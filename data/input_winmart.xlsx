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Projects\project-upload-reboot\data\"/>
    </mc:Choice>
  </mc:AlternateContent>
  <xr:revisionPtr revIDLastSave="0" documentId="13_ncr:1_{E215FD42-3FEC-408B-9FA7-3B31688DA669}" xr6:coauthVersionLast="47" xr6:coauthVersionMax="47" xr10:uidLastSave="{00000000-0000-0000-0000-000000000000}"/>
  <bookViews>
    <workbookView xWindow="-120" yWindow="-120" windowWidth="29040" windowHeight="15720" tabRatio="711" activeTab="2" xr2:uid="{00000000-000D-0000-FFFF-FFFF00000000}"/>
  </bookViews>
  <sheets>
    <sheet name="Sản phẩm" sheetId="7" r:id="rId1"/>
    <sheet name="Giá gốc" sheetId="1" r:id="rId2"/>
    <sheet name="Chương trình khuyến mãi" sheetId="2" r:id="rId3"/>
    <sheet name="Thông tin điểm giao" sheetId="4" r:id="rId4"/>
    <sheet name="Khách hàng" sheetId="5" r:id="rId5"/>
    <sheet name="Cost Center" sheetId="6" r:id="rId6"/>
    <sheet name="Data Validation" sheetId="3" r:id="rId7"/>
  </sheets>
  <definedNames>
    <definedName name="ExternalData_1" localSheetId="0" hidden="1">'Sản phẩm'!$A$1:$E$982</definedName>
    <definedName name="_xlnm.Print_Area" localSheetId="2">gia_khuyen_mai[#All]</definedName>
    <definedName name="_xlnm.Print_Titles" localSheetId="2">'Chương trình khuyến mãi'!$1:$1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1" i="2" l="1"/>
  <c r="H231" i="2"/>
  <c r="I231" i="2"/>
  <c r="J231" i="2"/>
  <c r="L231" i="2" s="1"/>
  <c r="O231" i="2"/>
  <c r="Q231" i="2"/>
  <c r="N230" i="2"/>
  <c r="O230" i="2" s="1"/>
  <c r="A230" i="2"/>
  <c r="H230" i="2"/>
  <c r="I230" i="2" s="1"/>
  <c r="A225" i="2"/>
  <c r="A226" i="2"/>
  <c r="A227" i="2"/>
  <c r="A228" i="2"/>
  <c r="A229" i="2"/>
  <c r="H225" i="2"/>
  <c r="I225" i="2" s="1"/>
  <c r="H226" i="2"/>
  <c r="J226" i="2" s="1"/>
  <c r="L226" i="2" s="1"/>
  <c r="H227" i="2"/>
  <c r="I227" i="2" s="1"/>
  <c r="H228" i="2"/>
  <c r="Q228" i="2" s="1"/>
  <c r="H229" i="2"/>
  <c r="J229" i="2" s="1"/>
  <c r="L229" i="2" s="1"/>
  <c r="I229" i="2"/>
  <c r="J225" i="2"/>
  <c r="L225" i="2" s="1"/>
  <c r="O225" i="2"/>
  <c r="O226" i="2"/>
  <c r="O227" i="2"/>
  <c r="O228" i="2"/>
  <c r="O229" i="2"/>
  <c r="Q225" i="2"/>
  <c r="Q226" i="2"/>
  <c r="A224" i="2"/>
  <c r="H224" i="2"/>
  <c r="I224" i="2" s="1"/>
  <c r="O224" i="2"/>
  <c r="N222" i="2"/>
  <c r="O222" i="2" s="1"/>
  <c r="A216" i="2"/>
  <c r="A217" i="2"/>
  <c r="A218" i="2"/>
  <c r="A219" i="2"/>
  <c r="A220" i="2"/>
  <c r="A221" i="2"/>
  <c r="A222" i="2"/>
  <c r="A223" i="2"/>
  <c r="H216" i="2"/>
  <c r="Q216" i="2" s="1"/>
  <c r="H217" i="2"/>
  <c r="Q217" i="2" s="1"/>
  <c r="H218" i="2"/>
  <c r="Q218" i="2" s="1"/>
  <c r="H219" i="2"/>
  <c r="Q219" i="2" s="1"/>
  <c r="H220" i="2"/>
  <c r="Q220" i="2" s="1"/>
  <c r="H221" i="2"/>
  <c r="Q221" i="2" s="1"/>
  <c r="H222" i="2"/>
  <c r="Q222" i="2" s="1"/>
  <c r="H223" i="2"/>
  <c r="Q223" i="2" s="1"/>
  <c r="I216" i="2"/>
  <c r="I217" i="2"/>
  <c r="I218" i="2"/>
  <c r="I219" i="2"/>
  <c r="I220" i="2"/>
  <c r="I221" i="2"/>
  <c r="I222" i="2"/>
  <c r="I223" i="2"/>
  <c r="J216" i="2"/>
  <c r="J217" i="2"/>
  <c r="J218" i="2"/>
  <c r="J219" i="2"/>
  <c r="J220" i="2"/>
  <c r="J221" i="2"/>
  <c r="J222" i="2"/>
  <c r="J223" i="2"/>
  <c r="L216" i="2"/>
  <c r="L217" i="2"/>
  <c r="L218" i="2"/>
  <c r="L219" i="2"/>
  <c r="L220" i="2"/>
  <c r="L221" i="2"/>
  <c r="L222" i="2"/>
  <c r="L223" i="2"/>
  <c r="O216" i="2"/>
  <c r="O217" i="2"/>
  <c r="O218" i="2"/>
  <c r="O219" i="2"/>
  <c r="O220" i="2"/>
  <c r="O221" i="2"/>
  <c r="O223" i="2"/>
  <c r="F4155" i="4"/>
  <c r="F4156" i="4"/>
  <c r="F4157" i="4"/>
  <c r="F4158" i="4"/>
  <c r="F4159" i="4"/>
  <c r="F4160" i="4"/>
  <c r="F4161" i="4"/>
  <c r="F4162" i="4"/>
  <c r="F4163" i="4"/>
  <c r="F4164" i="4"/>
  <c r="F4165" i="4"/>
  <c r="F4166" i="4"/>
  <c r="F4167" i="4"/>
  <c r="F4168" i="4"/>
  <c r="F4169" i="4"/>
  <c r="F4170" i="4"/>
  <c r="F4171" i="4"/>
  <c r="G4155" i="4"/>
  <c r="G4156" i="4"/>
  <c r="G4157" i="4"/>
  <c r="G4158" i="4"/>
  <c r="G4159" i="4"/>
  <c r="G4160" i="4"/>
  <c r="G4161" i="4"/>
  <c r="G4162" i="4"/>
  <c r="G4163" i="4"/>
  <c r="G4164" i="4"/>
  <c r="G4165" i="4"/>
  <c r="G4166" i="4"/>
  <c r="G4167" i="4"/>
  <c r="G4168" i="4"/>
  <c r="G4169" i="4"/>
  <c r="G4170" i="4"/>
  <c r="G4171" i="4"/>
  <c r="H4155" i="4"/>
  <c r="H4156" i="4"/>
  <c r="H4157" i="4"/>
  <c r="H4158" i="4"/>
  <c r="H4159" i="4"/>
  <c r="H4160" i="4"/>
  <c r="H4161" i="4"/>
  <c r="H4162" i="4"/>
  <c r="H4163" i="4"/>
  <c r="H4164" i="4"/>
  <c r="H4165" i="4"/>
  <c r="H4166" i="4"/>
  <c r="H4167" i="4"/>
  <c r="H4168" i="4"/>
  <c r="H4169" i="4"/>
  <c r="H4170" i="4"/>
  <c r="H4171" i="4"/>
  <c r="I4155" i="4"/>
  <c r="I4156" i="4"/>
  <c r="I4157" i="4"/>
  <c r="I4158" i="4"/>
  <c r="I4159" i="4"/>
  <c r="I4160" i="4"/>
  <c r="I4161" i="4"/>
  <c r="I4162" i="4"/>
  <c r="I4163" i="4"/>
  <c r="I4164" i="4"/>
  <c r="I4165" i="4"/>
  <c r="I4166" i="4"/>
  <c r="I4167" i="4"/>
  <c r="I4168" i="4"/>
  <c r="I4169" i="4"/>
  <c r="I4170" i="4"/>
  <c r="I4171" i="4"/>
  <c r="F4154" i="4"/>
  <c r="G4154" i="4"/>
  <c r="H4154" i="4"/>
  <c r="I4154" i="4"/>
  <c r="O214" i="2"/>
  <c r="O215" i="2"/>
  <c r="A215" i="2"/>
  <c r="H215" i="2"/>
  <c r="I215" i="2" s="1"/>
  <c r="A214" i="2"/>
  <c r="H214" i="2"/>
  <c r="I214" i="2" s="1"/>
  <c r="A213" i="2"/>
  <c r="H213" i="2"/>
  <c r="I213" i="2" s="1"/>
  <c r="O213" i="2"/>
  <c r="A207" i="2"/>
  <c r="A208" i="2"/>
  <c r="A209" i="2"/>
  <c r="A210" i="2"/>
  <c r="A211" i="2"/>
  <c r="A212" i="2"/>
  <c r="H207" i="2"/>
  <c r="I207" i="2" s="1"/>
  <c r="H208" i="2"/>
  <c r="I208" i="2" s="1"/>
  <c r="H209" i="2"/>
  <c r="I209" i="2" s="1"/>
  <c r="H210" i="2"/>
  <c r="Q210" i="2" s="1"/>
  <c r="H211" i="2"/>
  <c r="I211" i="2" s="1"/>
  <c r="H212" i="2"/>
  <c r="I212" i="2" s="1"/>
  <c r="O207" i="2"/>
  <c r="O208" i="2"/>
  <c r="O209" i="2"/>
  <c r="O210" i="2"/>
  <c r="O211" i="2"/>
  <c r="O212" i="2"/>
  <c r="A206" i="2"/>
  <c r="H206" i="2"/>
  <c r="I206" i="2" s="1"/>
  <c r="O206" i="2"/>
  <c r="F4116" i="4"/>
  <c r="F4117" i="4"/>
  <c r="F4118" i="4"/>
  <c r="F4119" i="4"/>
  <c r="F4120" i="4"/>
  <c r="F4121" i="4"/>
  <c r="F4122" i="4"/>
  <c r="F4123" i="4"/>
  <c r="F4124" i="4"/>
  <c r="F4125" i="4"/>
  <c r="F4126" i="4"/>
  <c r="F4127" i="4"/>
  <c r="F4128" i="4"/>
  <c r="F4129" i="4"/>
  <c r="F4130" i="4"/>
  <c r="F4131" i="4"/>
  <c r="F4132" i="4"/>
  <c r="F4133" i="4"/>
  <c r="F4134" i="4"/>
  <c r="F4135" i="4"/>
  <c r="F4136" i="4"/>
  <c r="F4137" i="4"/>
  <c r="F4138" i="4"/>
  <c r="F4139" i="4"/>
  <c r="F4140" i="4"/>
  <c r="F4141" i="4"/>
  <c r="F4142" i="4"/>
  <c r="F4143" i="4"/>
  <c r="F4144" i="4"/>
  <c r="F4145" i="4"/>
  <c r="F4146" i="4"/>
  <c r="F4147" i="4"/>
  <c r="F4148" i="4"/>
  <c r="F4149" i="4"/>
  <c r="F4150" i="4"/>
  <c r="F4151" i="4"/>
  <c r="F4152" i="4"/>
  <c r="F4153" i="4"/>
  <c r="G4116" i="4"/>
  <c r="G4117" i="4"/>
  <c r="G4118" i="4"/>
  <c r="G4119" i="4"/>
  <c r="G4120" i="4"/>
  <c r="G4121" i="4"/>
  <c r="G4122" i="4"/>
  <c r="G4123" i="4"/>
  <c r="G4124" i="4"/>
  <c r="G4125" i="4"/>
  <c r="G4126" i="4"/>
  <c r="G4127" i="4"/>
  <c r="G4128" i="4"/>
  <c r="G4129" i="4"/>
  <c r="G4130" i="4"/>
  <c r="G4131" i="4"/>
  <c r="G4132" i="4"/>
  <c r="G4133" i="4"/>
  <c r="G4134" i="4"/>
  <c r="G4135" i="4"/>
  <c r="G4136" i="4"/>
  <c r="G4137" i="4"/>
  <c r="G4138" i="4"/>
  <c r="G4139" i="4"/>
  <c r="G4140" i="4"/>
  <c r="G4141" i="4"/>
  <c r="G4142" i="4"/>
  <c r="G4143" i="4"/>
  <c r="G4144" i="4"/>
  <c r="G4145" i="4"/>
  <c r="G4146" i="4"/>
  <c r="G4147" i="4"/>
  <c r="G4148" i="4"/>
  <c r="G4149" i="4"/>
  <c r="G4150" i="4"/>
  <c r="G4151" i="4"/>
  <c r="G4152" i="4"/>
  <c r="G4153" i="4"/>
  <c r="H4116" i="4"/>
  <c r="H4117" i="4"/>
  <c r="H4118" i="4"/>
  <c r="H4119" i="4"/>
  <c r="H4120" i="4"/>
  <c r="H4121" i="4"/>
  <c r="H4122" i="4"/>
  <c r="H4123" i="4"/>
  <c r="H4124" i="4"/>
  <c r="H4125" i="4"/>
  <c r="H4126" i="4"/>
  <c r="H4127" i="4"/>
  <c r="H4128" i="4"/>
  <c r="H4129" i="4"/>
  <c r="H4130" i="4"/>
  <c r="H4131" i="4"/>
  <c r="H4132" i="4"/>
  <c r="H4133" i="4"/>
  <c r="H4134" i="4"/>
  <c r="H4135" i="4"/>
  <c r="H4136" i="4"/>
  <c r="H4137" i="4"/>
  <c r="H4138" i="4"/>
  <c r="H4139" i="4"/>
  <c r="H4140" i="4"/>
  <c r="H4141" i="4"/>
  <c r="H4142" i="4"/>
  <c r="H4143" i="4"/>
  <c r="H4144" i="4"/>
  <c r="H4145" i="4"/>
  <c r="H4146" i="4"/>
  <c r="H4147" i="4"/>
  <c r="H4148" i="4"/>
  <c r="H4149" i="4"/>
  <c r="H4150" i="4"/>
  <c r="H4151" i="4"/>
  <c r="H4152" i="4"/>
  <c r="H4153"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N202" i="2"/>
  <c r="O202" i="2" s="1"/>
  <c r="A202" i="2"/>
  <c r="A203" i="2"/>
  <c r="A204" i="2"/>
  <c r="A205" i="2"/>
  <c r="H202" i="2"/>
  <c r="Q202" i="2" s="1"/>
  <c r="H203" i="2"/>
  <c r="Q203" i="2" s="1"/>
  <c r="H204" i="2"/>
  <c r="Q204" i="2" s="1"/>
  <c r="H205" i="2"/>
  <c r="Q205" i="2" s="1"/>
  <c r="I202" i="2"/>
  <c r="J205" i="2"/>
  <c r="L205" i="2" s="1"/>
  <c r="O203" i="2"/>
  <c r="O204" i="2"/>
  <c r="O205" i="2"/>
  <c r="F4115" i="4"/>
  <c r="G4115" i="4"/>
  <c r="H4115" i="4"/>
  <c r="I4115" i="4"/>
  <c r="F4096" i="4"/>
  <c r="F4097" i="4"/>
  <c r="F4098" i="4"/>
  <c r="F4099" i="4"/>
  <c r="F4100" i="4"/>
  <c r="F4101" i="4"/>
  <c r="F4102" i="4"/>
  <c r="F4103" i="4"/>
  <c r="F4104" i="4"/>
  <c r="F4105" i="4"/>
  <c r="F4106" i="4"/>
  <c r="F4107" i="4"/>
  <c r="F4108" i="4"/>
  <c r="F4109" i="4"/>
  <c r="F4110" i="4"/>
  <c r="F4111" i="4"/>
  <c r="F4112" i="4"/>
  <c r="F4113" i="4"/>
  <c r="F4114" i="4"/>
  <c r="G4096" i="4"/>
  <c r="G4097" i="4"/>
  <c r="G4098" i="4"/>
  <c r="G4099" i="4"/>
  <c r="G4100" i="4"/>
  <c r="G4101" i="4"/>
  <c r="G4102" i="4"/>
  <c r="G4103" i="4"/>
  <c r="G4104" i="4"/>
  <c r="G4105" i="4"/>
  <c r="G4106" i="4"/>
  <c r="G4107" i="4"/>
  <c r="G4108" i="4"/>
  <c r="G4109" i="4"/>
  <c r="G4110" i="4"/>
  <c r="G4111" i="4"/>
  <c r="G4112" i="4"/>
  <c r="G4113" i="4"/>
  <c r="G4114" i="4"/>
  <c r="H4096" i="4"/>
  <c r="H4097" i="4"/>
  <c r="H4098" i="4"/>
  <c r="H4099" i="4"/>
  <c r="H4100" i="4"/>
  <c r="H4101" i="4"/>
  <c r="H4102" i="4"/>
  <c r="H4103" i="4"/>
  <c r="H4104" i="4"/>
  <c r="H4105" i="4"/>
  <c r="H4106" i="4"/>
  <c r="H4107" i="4"/>
  <c r="H4108" i="4"/>
  <c r="H4109" i="4"/>
  <c r="H4110" i="4"/>
  <c r="H4111" i="4"/>
  <c r="H4112" i="4"/>
  <c r="H4113" i="4"/>
  <c r="H4114" i="4"/>
  <c r="I4096" i="4"/>
  <c r="I4097" i="4"/>
  <c r="I4098" i="4"/>
  <c r="I4099" i="4"/>
  <c r="I4100" i="4"/>
  <c r="I4101" i="4"/>
  <c r="I4102" i="4"/>
  <c r="I4103" i="4"/>
  <c r="I4104" i="4"/>
  <c r="I4105" i="4"/>
  <c r="I4106" i="4"/>
  <c r="I4107" i="4"/>
  <c r="I4108" i="4"/>
  <c r="I4109" i="4"/>
  <c r="I4110" i="4"/>
  <c r="I4111" i="4"/>
  <c r="I4112" i="4"/>
  <c r="I4113" i="4"/>
  <c r="I4114" i="4"/>
  <c r="F4095" i="4"/>
  <c r="G4095" i="4"/>
  <c r="H4095" i="4"/>
  <c r="I4095" i="4"/>
  <c r="F4085" i="4"/>
  <c r="F4086" i="4"/>
  <c r="F4087" i="4"/>
  <c r="F4088" i="4"/>
  <c r="F4089" i="4"/>
  <c r="F4090" i="4"/>
  <c r="F4091" i="4"/>
  <c r="F4092" i="4"/>
  <c r="F4093" i="4"/>
  <c r="F4094" i="4"/>
  <c r="G4085" i="4"/>
  <c r="G4086" i="4"/>
  <c r="G4087" i="4"/>
  <c r="G4088" i="4"/>
  <c r="G4089" i="4"/>
  <c r="G4090" i="4"/>
  <c r="G4091" i="4"/>
  <c r="G4092" i="4"/>
  <c r="G4093" i="4"/>
  <c r="G4094" i="4"/>
  <c r="H4085" i="4"/>
  <c r="H4086" i="4"/>
  <c r="H4087" i="4"/>
  <c r="H4088" i="4"/>
  <c r="H4089" i="4"/>
  <c r="H4090" i="4"/>
  <c r="H4091" i="4"/>
  <c r="H4092" i="4"/>
  <c r="H4093" i="4"/>
  <c r="H4094" i="4"/>
  <c r="I4085" i="4"/>
  <c r="I4086" i="4"/>
  <c r="I4087" i="4"/>
  <c r="I4088" i="4"/>
  <c r="I4089" i="4"/>
  <c r="I4090" i="4"/>
  <c r="I4091" i="4"/>
  <c r="I4092" i="4"/>
  <c r="I4093" i="4"/>
  <c r="I4094" i="4"/>
  <c r="F4084" i="4"/>
  <c r="G4084" i="4"/>
  <c r="H4084" i="4"/>
  <c r="I4084" i="4"/>
  <c r="A197" i="2"/>
  <c r="A198" i="2"/>
  <c r="A199" i="2"/>
  <c r="A200" i="2"/>
  <c r="A201" i="2"/>
  <c r="H197" i="2"/>
  <c r="Q197" i="2" s="1"/>
  <c r="H198" i="2"/>
  <c r="J198" i="2" s="1"/>
  <c r="L198" i="2" s="1"/>
  <c r="H199" i="2"/>
  <c r="I199" i="2" s="1"/>
  <c r="H200" i="2"/>
  <c r="I200" i="2" s="1"/>
  <c r="H201" i="2"/>
  <c r="I201" i="2" s="1"/>
  <c r="I198" i="2"/>
  <c r="O197" i="2"/>
  <c r="O198" i="2"/>
  <c r="O199" i="2"/>
  <c r="O200" i="2"/>
  <c r="O201" i="2"/>
  <c r="A196" i="2"/>
  <c r="H196" i="2"/>
  <c r="I196" i="2" s="1"/>
  <c r="O196" i="2"/>
  <c r="A195" i="2"/>
  <c r="H195" i="2"/>
  <c r="I195" i="2" s="1"/>
  <c r="O195" i="2"/>
  <c r="A192" i="2"/>
  <c r="A193" i="2"/>
  <c r="A194" i="2"/>
  <c r="H192" i="2"/>
  <c r="J192" i="2" s="1"/>
  <c r="L192" i="2" s="1"/>
  <c r="H193" i="2"/>
  <c r="I193" i="2" s="1"/>
  <c r="H194" i="2"/>
  <c r="Q194" i="2" s="1"/>
  <c r="O192" i="2"/>
  <c r="O193" i="2"/>
  <c r="O194" i="2"/>
  <c r="A191" i="2"/>
  <c r="H191" i="2"/>
  <c r="J191" i="2" s="1"/>
  <c r="L191" i="2" s="1"/>
  <c r="O191" i="2"/>
  <c r="F4083" i="4"/>
  <c r="G4083" i="4"/>
  <c r="H4083" i="4"/>
  <c r="I4083" i="4"/>
  <c r="F4081" i="4"/>
  <c r="F4082" i="4"/>
  <c r="G4081" i="4"/>
  <c r="G4082" i="4"/>
  <c r="H4081" i="4"/>
  <c r="H4082" i="4"/>
  <c r="I4081" i="4"/>
  <c r="I4082" i="4"/>
  <c r="F4074" i="4"/>
  <c r="F4075" i="4"/>
  <c r="F4076" i="4"/>
  <c r="F4077" i="4"/>
  <c r="F4078" i="4"/>
  <c r="F4079" i="4"/>
  <c r="F4080" i="4"/>
  <c r="G4074" i="4"/>
  <c r="G4075" i="4"/>
  <c r="G4076" i="4"/>
  <c r="G4077" i="4"/>
  <c r="G4078" i="4"/>
  <c r="G4079" i="4"/>
  <c r="G4080" i="4"/>
  <c r="H4074" i="4"/>
  <c r="H4075" i="4"/>
  <c r="H4076" i="4"/>
  <c r="H4077" i="4"/>
  <c r="H4078" i="4"/>
  <c r="H4079" i="4"/>
  <c r="H4080" i="4"/>
  <c r="I4074" i="4"/>
  <c r="I4075" i="4"/>
  <c r="I4076" i="4"/>
  <c r="I4077" i="4"/>
  <c r="I4078" i="4"/>
  <c r="I4079" i="4"/>
  <c r="I4080" i="4"/>
  <c r="F4066" i="4"/>
  <c r="F4067" i="4"/>
  <c r="F4068" i="4"/>
  <c r="F4069" i="4"/>
  <c r="F4070" i="4"/>
  <c r="F4071" i="4"/>
  <c r="F4072" i="4"/>
  <c r="F4073" i="4"/>
  <c r="G4066" i="4"/>
  <c r="G4067" i="4"/>
  <c r="G4068" i="4"/>
  <c r="G4069" i="4"/>
  <c r="G4070" i="4"/>
  <c r="G4071" i="4"/>
  <c r="G4072" i="4"/>
  <c r="G4073" i="4"/>
  <c r="H4066" i="4"/>
  <c r="H4067" i="4"/>
  <c r="H4068" i="4"/>
  <c r="H4069" i="4"/>
  <c r="H4070" i="4"/>
  <c r="H4071" i="4"/>
  <c r="H4072" i="4"/>
  <c r="H4073" i="4"/>
  <c r="I4066" i="4"/>
  <c r="I4067" i="4"/>
  <c r="I4068" i="4"/>
  <c r="I4069" i="4"/>
  <c r="I4070" i="4"/>
  <c r="I4071" i="4"/>
  <c r="I4072" i="4"/>
  <c r="I4073" i="4"/>
  <c r="A184" i="2"/>
  <c r="A185" i="2"/>
  <c r="A186" i="2"/>
  <c r="A187" i="2"/>
  <c r="A188" i="2"/>
  <c r="A189" i="2"/>
  <c r="A190" i="2"/>
  <c r="H184" i="2"/>
  <c r="J184" i="2" s="1"/>
  <c r="L184" i="2" s="1"/>
  <c r="H185" i="2"/>
  <c r="I185" i="2" s="1"/>
  <c r="H186" i="2"/>
  <c r="J186" i="2" s="1"/>
  <c r="L186" i="2" s="1"/>
  <c r="H187" i="2"/>
  <c r="J187" i="2" s="1"/>
  <c r="L187" i="2" s="1"/>
  <c r="H188" i="2"/>
  <c r="J188" i="2" s="1"/>
  <c r="L188" i="2" s="1"/>
  <c r="H189" i="2"/>
  <c r="I189" i="2" s="1"/>
  <c r="H190" i="2"/>
  <c r="Q190" i="2" s="1"/>
  <c r="O184" i="2"/>
  <c r="O185" i="2"/>
  <c r="O186" i="2"/>
  <c r="O187" i="2"/>
  <c r="O188" i="2"/>
  <c r="O189" i="2"/>
  <c r="O190" i="2"/>
  <c r="A172" i="2"/>
  <c r="A173" i="2"/>
  <c r="A174" i="2"/>
  <c r="A175" i="2"/>
  <c r="A176" i="2"/>
  <c r="A177" i="2"/>
  <c r="A178" i="2"/>
  <c r="A179" i="2"/>
  <c r="A180" i="2"/>
  <c r="A181" i="2"/>
  <c r="A182" i="2"/>
  <c r="A183" i="2"/>
  <c r="H172" i="2"/>
  <c r="Q172" i="2" s="1"/>
  <c r="H173" i="2"/>
  <c r="J173" i="2" s="1"/>
  <c r="L173" i="2" s="1"/>
  <c r="H174" i="2"/>
  <c r="Q174" i="2" s="1"/>
  <c r="H175" i="2"/>
  <c r="Q175" i="2" s="1"/>
  <c r="H176" i="2"/>
  <c r="Q176" i="2" s="1"/>
  <c r="H177" i="2"/>
  <c r="Q177" i="2" s="1"/>
  <c r="H178" i="2"/>
  <c r="Q178" i="2" s="1"/>
  <c r="H179" i="2"/>
  <c r="Q179" i="2" s="1"/>
  <c r="H180" i="2"/>
  <c r="Q180" i="2" s="1"/>
  <c r="H181" i="2"/>
  <c r="Q181" i="2" s="1"/>
  <c r="H182" i="2"/>
  <c r="Q182" i="2" s="1"/>
  <c r="H183" i="2"/>
  <c r="Q183" i="2" s="1"/>
  <c r="I172" i="2"/>
  <c r="I173" i="2"/>
  <c r="I180" i="2"/>
  <c r="O172" i="2"/>
  <c r="O173" i="2"/>
  <c r="O174" i="2"/>
  <c r="O175" i="2"/>
  <c r="O176" i="2"/>
  <c r="O177" i="2"/>
  <c r="O178" i="2"/>
  <c r="O179" i="2"/>
  <c r="O180" i="2"/>
  <c r="O181" i="2"/>
  <c r="O182" i="2"/>
  <c r="O183" i="2"/>
  <c r="A171" i="2"/>
  <c r="H171" i="2"/>
  <c r="I171" i="2" s="1"/>
  <c r="O171" i="2"/>
  <c r="N169" i="2"/>
  <c r="O169" i="2" s="1"/>
  <c r="A169" i="2"/>
  <c r="H169" i="2"/>
  <c r="I169" i="2" s="1"/>
  <c r="A170" i="2"/>
  <c r="H170" i="2"/>
  <c r="J170" i="2" s="1"/>
  <c r="L170" i="2" s="1"/>
  <c r="O170" i="2"/>
  <c r="A168" i="2"/>
  <c r="H168" i="2"/>
  <c r="I168" i="2" s="1"/>
  <c r="O168" i="2"/>
  <c r="F4031" i="4"/>
  <c r="F4032" i="4"/>
  <c r="F4033" i="4"/>
  <c r="F4034" i="4"/>
  <c r="F4035" i="4"/>
  <c r="F4036" i="4"/>
  <c r="F4037" i="4"/>
  <c r="F4038" i="4"/>
  <c r="F4039" i="4"/>
  <c r="F4040" i="4"/>
  <c r="F4041" i="4"/>
  <c r="F4042" i="4"/>
  <c r="F4043" i="4"/>
  <c r="F4044" i="4"/>
  <c r="F4045" i="4"/>
  <c r="F4046" i="4"/>
  <c r="F4047" i="4"/>
  <c r="F4048" i="4"/>
  <c r="F4049" i="4"/>
  <c r="F4050" i="4"/>
  <c r="F4051" i="4"/>
  <c r="F4052" i="4"/>
  <c r="F4053" i="4"/>
  <c r="F4054" i="4"/>
  <c r="F4055" i="4"/>
  <c r="F4056" i="4"/>
  <c r="F4057" i="4"/>
  <c r="F4058" i="4"/>
  <c r="F4059" i="4"/>
  <c r="F4060" i="4"/>
  <c r="F4061" i="4"/>
  <c r="F4062" i="4"/>
  <c r="F4063" i="4"/>
  <c r="F4064" i="4"/>
  <c r="F4065" i="4"/>
  <c r="G4031" i="4"/>
  <c r="G4032" i="4"/>
  <c r="G4033" i="4"/>
  <c r="G4034" i="4"/>
  <c r="G4035" i="4"/>
  <c r="G4036" i="4"/>
  <c r="G4037" i="4"/>
  <c r="G4038" i="4"/>
  <c r="G4039" i="4"/>
  <c r="G4040" i="4"/>
  <c r="G4041" i="4"/>
  <c r="G4042" i="4"/>
  <c r="G4043" i="4"/>
  <c r="G4044" i="4"/>
  <c r="G4045" i="4"/>
  <c r="G4046" i="4"/>
  <c r="G4047" i="4"/>
  <c r="G4048" i="4"/>
  <c r="G4049" i="4"/>
  <c r="G4050" i="4"/>
  <c r="G4051" i="4"/>
  <c r="G4052" i="4"/>
  <c r="G4053" i="4"/>
  <c r="G4054" i="4"/>
  <c r="G4055" i="4"/>
  <c r="G4056" i="4"/>
  <c r="G4057" i="4"/>
  <c r="G4058" i="4"/>
  <c r="G4059" i="4"/>
  <c r="G4060" i="4"/>
  <c r="G4061" i="4"/>
  <c r="G4062" i="4"/>
  <c r="G4063" i="4"/>
  <c r="G4064" i="4"/>
  <c r="G4065" i="4"/>
  <c r="H4031" i="4"/>
  <c r="H4032" i="4"/>
  <c r="H4033" i="4"/>
  <c r="H4034" i="4"/>
  <c r="H4035" i="4"/>
  <c r="H4036" i="4"/>
  <c r="H4037" i="4"/>
  <c r="H4038" i="4"/>
  <c r="H4039" i="4"/>
  <c r="H4040" i="4"/>
  <c r="H4041" i="4"/>
  <c r="H4042" i="4"/>
  <c r="H4043" i="4"/>
  <c r="H4044" i="4"/>
  <c r="H4045" i="4"/>
  <c r="H4046" i="4"/>
  <c r="H4047" i="4"/>
  <c r="H4048" i="4"/>
  <c r="H4049" i="4"/>
  <c r="H4050" i="4"/>
  <c r="H4051" i="4"/>
  <c r="H4052" i="4"/>
  <c r="H4053" i="4"/>
  <c r="H4054" i="4"/>
  <c r="H4055" i="4"/>
  <c r="H4056" i="4"/>
  <c r="H4057" i="4"/>
  <c r="H4058" i="4"/>
  <c r="H4059" i="4"/>
  <c r="H4060" i="4"/>
  <c r="H4061" i="4"/>
  <c r="H4062" i="4"/>
  <c r="H4063" i="4"/>
  <c r="H4064" i="4"/>
  <c r="H4065"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A167" i="2"/>
  <c r="H167" i="2"/>
  <c r="I167" i="2" s="1"/>
  <c r="O167" i="2"/>
  <c r="N166" i="2"/>
  <c r="O166" i="2" s="1"/>
  <c r="A166" i="2"/>
  <c r="H166" i="2"/>
  <c r="I166" i="2" s="1"/>
  <c r="A160" i="2"/>
  <c r="A161" i="2"/>
  <c r="A162" i="2"/>
  <c r="A163" i="2"/>
  <c r="A164" i="2"/>
  <c r="A165" i="2"/>
  <c r="H160" i="2"/>
  <c r="I160" i="2" s="1"/>
  <c r="H161" i="2"/>
  <c r="I161" i="2" s="1"/>
  <c r="H162" i="2"/>
  <c r="Q162" i="2" s="1"/>
  <c r="H163" i="2"/>
  <c r="J163" i="2" s="1"/>
  <c r="L163" i="2" s="1"/>
  <c r="H164" i="2"/>
  <c r="I164" i="2" s="1"/>
  <c r="H165" i="2"/>
  <c r="I165" i="2" s="1"/>
  <c r="O160" i="2"/>
  <c r="O161" i="2"/>
  <c r="O162" i="2"/>
  <c r="O163" i="2"/>
  <c r="O164" i="2"/>
  <c r="O165" i="2"/>
  <c r="A159" i="2"/>
  <c r="H159" i="2"/>
  <c r="I159" i="2" s="1"/>
  <c r="O159" i="2"/>
  <c r="F3986" i="4"/>
  <c r="F3987" i="4"/>
  <c r="F3988" i="4"/>
  <c r="F3989" i="4"/>
  <c r="F3990" i="4"/>
  <c r="F3991" i="4"/>
  <c r="F3992" i="4"/>
  <c r="F3993" i="4"/>
  <c r="F3994" i="4"/>
  <c r="F3995" i="4"/>
  <c r="F3996" i="4"/>
  <c r="F3997" i="4"/>
  <c r="F3998" i="4"/>
  <c r="F3999" i="4"/>
  <c r="F4000" i="4"/>
  <c r="F4001" i="4"/>
  <c r="F4002" i="4"/>
  <c r="F4003" i="4"/>
  <c r="F4004" i="4"/>
  <c r="F4005" i="4"/>
  <c r="F4006" i="4"/>
  <c r="F4007" i="4"/>
  <c r="F4008" i="4"/>
  <c r="F4009" i="4"/>
  <c r="F4010" i="4"/>
  <c r="F4011" i="4"/>
  <c r="F4012" i="4"/>
  <c r="F4013" i="4"/>
  <c r="F4014" i="4"/>
  <c r="F4015" i="4"/>
  <c r="F4016" i="4"/>
  <c r="F4017" i="4"/>
  <c r="F4018" i="4"/>
  <c r="F4019" i="4"/>
  <c r="F4020" i="4"/>
  <c r="F4021" i="4"/>
  <c r="F4022" i="4"/>
  <c r="F4023" i="4"/>
  <c r="F4024" i="4"/>
  <c r="F4025" i="4"/>
  <c r="F4026" i="4"/>
  <c r="F4027" i="4"/>
  <c r="F4028" i="4"/>
  <c r="F4029" i="4"/>
  <c r="F4030" i="4"/>
  <c r="G3986" i="4"/>
  <c r="G3987" i="4"/>
  <c r="G3988" i="4"/>
  <c r="G3989" i="4"/>
  <c r="G3990" i="4"/>
  <c r="G3991" i="4"/>
  <c r="G3992" i="4"/>
  <c r="G3993" i="4"/>
  <c r="G3994" i="4"/>
  <c r="G3995" i="4"/>
  <c r="G3996" i="4"/>
  <c r="G3997" i="4"/>
  <c r="G3998" i="4"/>
  <c r="G3999" i="4"/>
  <c r="G4000" i="4"/>
  <c r="G4001" i="4"/>
  <c r="G4002" i="4"/>
  <c r="G4003" i="4"/>
  <c r="G4004" i="4"/>
  <c r="G4005" i="4"/>
  <c r="G4006" i="4"/>
  <c r="G4007" i="4"/>
  <c r="G4008" i="4"/>
  <c r="G4009" i="4"/>
  <c r="G4010" i="4"/>
  <c r="G4011" i="4"/>
  <c r="G4012" i="4"/>
  <c r="G4013" i="4"/>
  <c r="G4014" i="4"/>
  <c r="G4015" i="4"/>
  <c r="G4016" i="4"/>
  <c r="G4017" i="4"/>
  <c r="G4018" i="4"/>
  <c r="G4019" i="4"/>
  <c r="G4020" i="4"/>
  <c r="G4021" i="4"/>
  <c r="G4022" i="4"/>
  <c r="G4023" i="4"/>
  <c r="G4024" i="4"/>
  <c r="G4025" i="4"/>
  <c r="G4026" i="4"/>
  <c r="G4027" i="4"/>
  <c r="G4028" i="4"/>
  <c r="G4029" i="4"/>
  <c r="G4030" i="4"/>
  <c r="H3986" i="4"/>
  <c r="H3987" i="4"/>
  <c r="H3988" i="4"/>
  <c r="H3989" i="4"/>
  <c r="H3990" i="4"/>
  <c r="H3991" i="4"/>
  <c r="H3992" i="4"/>
  <c r="H3993" i="4"/>
  <c r="H3994" i="4"/>
  <c r="H3995" i="4"/>
  <c r="H3996" i="4"/>
  <c r="H3997" i="4"/>
  <c r="H3998" i="4"/>
  <c r="H3999" i="4"/>
  <c r="H4000" i="4"/>
  <c r="H4001" i="4"/>
  <c r="H4002" i="4"/>
  <c r="H4003" i="4"/>
  <c r="H4004" i="4"/>
  <c r="H4005" i="4"/>
  <c r="H4006" i="4"/>
  <c r="H4007" i="4"/>
  <c r="H4008" i="4"/>
  <c r="H4009" i="4"/>
  <c r="H4010" i="4"/>
  <c r="H4011" i="4"/>
  <c r="H4012" i="4"/>
  <c r="H4013" i="4"/>
  <c r="H4014" i="4"/>
  <c r="H4015" i="4"/>
  <c r="H4016" i="4"/>
  <c r="H4017" i="4"/>
  <c r="H4018" i="4"/>
  <c r="H4019" i="4"/>
  <c r="H4020" i="4"/>
  <c r="H4021" i="4"/>
  <c r="H4022" i="4"/>
  <c r="H4023" i="4"/>
  <c r="H4024" i="4"/>
  <c r="H4025" i="4"/>
  <c r="H4026" i="4"/>
  <c r="H4027" i="4"/>
  <c r="H4028" i="4"/>
  <c r="H4029" i="4"/>
  <c r="H4030"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A157" i="2"/>
  <c r="A158" i="2"/>
  <c r="O157" i="2"/>
  <c r="O158" i="2"/>
  <c r="H157" i="2"/>
  <c r="J157" i="2" s="1"/>
  <c r="L157" i="2" s="1"/>
  <c r="H158" i="2"/>
  <c r="J158" i="2" s="1"/>
  <c r="L158" i="2" s="1"/>
  <c r="H154" i="2"/>
  <c r="I154" i="2" s="1"/>
  <c r="H155" i="2"/>
  <c r="I155" i="2" s="1"/>
  <c r="H156" i="2"/>
  <c r="Q156" i="2" s="1"/>
  <c r="O156" i="2"/>
  <c r="A156" i="2"/>
  <c r="N155" i="2"/>
  <c r="O155" i="2" s="1"/>
  <c r="A155" i="2"/>
  <c r="A153" i="2"/>
  <c r="A154" i="2"/>
  <c r="H153" i="2"/>
  <c r="I153" i="2" s="1"/>
  <c r="O153" i="2"/>
  <c r="O154" i="2"/>
  <c r="A152" i="2"/>
  <c r="H152" i="2"/>
  <c r="I152" i="2" s="1"/>
  <c r="O152" i="2"/>
  <c r="A149" i="2"/>
  <c r="A150" i="2"/>
  <c r="A151" i="2"/>
  <c r="H149" i="2"/>
  <c r="J149" i="2" s="1"/>
  <c r="L149" i="2" s="1"/>
  <c r="H150" i="2"/>
  <c r="J150" i="2" s="1"/>
  <c r="L150" i="2" s="1"/>
  <c r="H151" i="2"/>
  <c r="I151" i="2" s="1"/>
  <c r="O149" i="2"/>
  <c r="O150" i="2"/>
  <c r="O151" i="2"/>
  <c r="A148" i="2"/>
  <c r="H148" i="2"/>
  <c r="I148" i="2" s="1"/>
  <c r="O148" i="2"/>
  <c r="A147" i="2"/>
  <c r="H147" i="2"/>
  <c r="J147" i="2" s="1"/>
  <c r="L147" i="2" s="1"/>
  <c r="O147" i="2"/>
  <c r="A146" i="2"/>
  <c r="H146" i="2"/>
  <c r="I146" i="2" s="1"/>
  <c r="O146" i="2"/>
  <c r="A144" i="2"/>
  <c r="A145" i="2"/>
  <c r="H144" i="2"/>
  <c r="I144" i="2" s="1"/>
  <c r="H145" i="2"/>
  <c r="I145" i="2" s="1"/>
  <c r="O144" i="2"/>
  <c r="O145" i="2"/>
  <c r="F3979" i="4"/>
  <c r="F3980" i="4"/>
  <c r="F3981" i="4"/>
  <c r="F3982" i="4"/>
  <c r="F3983" i="4"/>
  <c r="F3984" i="4"/>
  <c r="F3985" i="4"/>
  <c r="G3979" i="4"/>
  <c r="G3980" i="4"/>
  <c r="G3981" i="4"/>
  <c r="G3982" i="4"/>
  <c r="G3983" i="4"/>
  <c r="G3984" i="4"/>
  <c r="G3985" i="4"/>
  <c r="H3979" i="4"/>
  <c r="H3980" i="4"/>
  <c r="H3981" i="4"/>
  <c r="H3982" i="4"/>
  <c r="H3983" i="4"/>
  <c r="H3984" i="4"/>
  <c r="H3985" i="4"/>
  <c r="I3979" i="4"/>
  <c r="I3980" i="4"/>
  <c r="I3981" i="4"/>
  <c r="I3982" i="4"/>
  <c r="I3983" i="4"/>
  <c r="I3984" i="4"/>
  <c r="I3985" i="4"/>
  <c r="F3974" i="4"/>
  <c r="F3975" i="4"/>
  <c r="F3976" i="4"/>
  <c r="F3977" i="4"/>
  <c r="F3978" i="4"/>
  <c r="G3974" i="4"/>
  <c r="G3975" i="4"/>
  <c r="G3976" i="4"/>
  <c r="G3977" i="4"/>
  <c r="G3978" i="4"/>
  <c r="H3974" i="4"/>
  <c r="H3975" i="4"/>
  <c r="H3976" i="4"/>
  <c r="H3977" i="4"/>
  <c r="H3978" i="4"/>
  <c r="I3974" i="4"/>
  <c r="I3975" i="4"/>
  <c r="I3976" i="4"/>
  <c r="I3977" i="4"/>
  <c r="I3978" i="4"/>
  <c r="F3972" i="4"/>
  <c r="F3973" i="4"/>
  <c r="G3972" i="4"/>
  <c r="G3973" i="4"/>
  <c r="H3972" i="4"/>
  <c r="H3973" i="4"/>
  <c r="I3972" i="4"/>
  <c r="I3973" i="4"/>
  <c r="F3971" i="4"/>
  <c r="G3971" i="4"/>
  <c r="H3971" i="4"/>
  <c r="I3971" i="4"/>
  <c r="F3969" i="4"/>
  <c r="F3970" i="4"/>
  <c r="G3969" i="4"/>
  <c r="G3970" i="4"/>
  <c r="H3969" i="4"/>
  <c r="H3970" i="4"/>
  <c r="I3969" i="4"/>
  <c r="I3970" i="4"/>
  <c r="F3968" i="4"/>
  <c r="G3968" i="4"/>
  <c r="H3968" i="4"/>
  <c r="I3968" i="4"/>
  <c r="F3967" i="4"/>
  <c r="G3967" i="4"/>
  <c r="H3967" i="4"/>
  <c r="I3967" i="4"/>
  <c r="F3965" i="4"/>
  <c r="F3966" i="4"/>
  <c r="G3965" i="4"/>
  <c r="G3966" i="4"/>
  <c r="H3965" i="4"/>
  <c r="H3966" i="4"/>
  <c r="I3965" i="4"/>
  <c r="I3966" i="4"/>
  <c r="F3964" i="4"/>
  <c r="G3964" i="4"/>
  <c r="H3964" i="4"/>
  <c r="I3964" i="4"/>
  <c r="F3963" i="4"/>
  <c r="G3963" i="4"/>
  <c r="H3963" i="4"/>
  <c r="I3963" i="4"/>
  <c r="F3962" i="4"/>
  <c r="G3962" i="4"/>
  <c r="H3962" i="4"/>
  <c r="I3962" i="4"/>
  <c r="A135" i="2"/>
  <c r="A136" i="2"/>
  <c r="A137" i="2"/>
  <c r="A138" i="2"/>
  <c r="A139" i="2"/>
  <c r="A140" i="2"/>
  <c r="A141" i="2"/>
  <c r="A142" i="2"/>
  <c r="A143" i="2"/>
  <c r="H135" i="2"/>
  <c r="I135" i="2" s="1"/>
  <c r="H136" i="2"/>
  <c r="Q136" i="2" s="1"/>
  <c r="H137" i="2"/>
  <c r="I137" i="2" s="1"/>
  <c r="H138" i="2"/>
  <c r="Q138" i="2" s="1"/>
  <c r="H139" i="2"/>
  <c r="J139" i="2" s="1"/>
  <c r="L139" i="2" s="1"/>
  <c r="H140" i="2"/>
  <c r="Q140" i="2" s="1"/>
  <c r="H141" i="2"/>
  <c r="I141" i="2" s="1"/>
  <c r="H142" i="2"/>
  <c r="J142" i="2" s="1"/>
  <c r="L142" i="2" s="1"/>
  <c r="H143" i="2"/>
  <c r="I143" i="2" s="1"/>
  <c r="O135" i="2"/>
  <c r="O136" i="2"/>
  <c r="O137" i="2"/>
  <c r="O138" i="2"/>
  <c r="O139" i="2"/>
  <c r="O140" i="2"/>
  <c r="O141" i="2"/>
  <c r="O142" i="2"/>
  <c r="O143" i="2"/>
  <c r="A134" i="2"/>
  <c r="H134" i="2"/>
  <c r="I134" i="2" s="1"/>
  <c r="O134" i="2"/>
  <c r="A128" i="2"/>
  <c r="A129" i="2"/>
  <c r="A130" i="2"/>
  <c r="A131" i="2"/>
  <c r="A132" i="2"/>
  <c r="A133" i="2"/>
  <c r="H128" i="2"/>
  <c r="I128" i="2" s="1"/>
  <c r="H129" i="2"/>
  <c r="I129" i="2" s="1"/>
  <c r="H130" i="2"/>
  <c r="I130" i="2" s="1"/>
  <c r="H131" i="2"/>
  <c r="J131" i="2" s="1"/>
  <c r="L131" i="2" s="1"/>
  <c r="H132" i="2"/>
  <c r="I132" i="2" s="1"/>
  <c r="H133" i="2"/>
  <c r="I133" i="2" s="1"/>
  <c r="O128" i="2"/>
  <c r="O129" i="2"/>
  <c r="O130" i="2"/>
  <c r="O131" i="2"/>
  <c r="O132" i="2"/>
  <c r="O133" i="2"/>
  <c r="F3922" i="4"/>
  <c r="F3923" i="4"/>
  <c r="F3924" i="4"/>
  <c r="F3925" i="4"/>
  <c r="F3926" i="4"/>
  <c r="F3927" i="4"/>
  <c r="F3928" i="4"/>
  <c r="F3929" i="4"/>
  <c r="F3930" i="4"/>
  <c r="F3931" i="4"/>
  <c r="F3932" i="4"/>
  <c r="F3933" i="4"/>
  <c r="F3934" i="4"/>
  <c r="F3935" i="4"/>
  <c r="F3936" i="4"/>
  <c r="F3937" i="4"/>
  <c r="F3938" i="4"/>
  <c r="F3939" i="4"/>
  <c r="F3940" i="4"/>
  <c r="F3941" i="4"/>
  <c r="F3942" i="4"/>
  <c r="F3943" i="4"/>
  <c r="F3944" i="4"/>
  <c r="F3945" i="4"/>
  <c r="F3946" i="4"/>
  <c r="F3947" i="4"/>
  <c r="F3948" i="4"/>
  <c r="F3949" i="4"/>
  <c r="F3950" i="4"/>
  <c r="F3951" i="4"/>
  <c r="F3952" i="4"/>
  <c r="F3953" i="4"/>
  <c r="F3954" i="4"/>
  <c r="F3955" i="4"/>
  <c r="F3956" i="4"/>
  <c r="F3957" i="4"/>
  <c r="F3958" i="4"/>
  <c r="F3959" i="4"/>
  <c r="F3960" i="4"/>
  <c r="F3961" i="4"/>
  <c r="G3922" i="4"/>
  <c r="G3923" i="4"/>
  <c r="G3924" i="4"/>
  <c r="G3925" i="4"/>
  <c r="G3926" i="4"/>
  <c r="G3927" i="4"/>
  <c r="G3928" i="4"/>
  <c r="G3929" i="4"/>
  <c r="G3930" i="4"/>
  <c r="G3931" i="4"/>
  <c r="G3932" i="4"/>
  <c r="G3933" i="4"/>
  <c r="G3934" i="4"/>
  <c r="G3935" i="4"/>
  <c r="G3936" i="4"/>
  <c r="G3937" i="4"/>
  <c r="G3938" i="4"/>
  <c r="G3939" i="4"/>
  <c r="G3940" i="4"/>
  <c r="G3941" i="4"/>
  <c r="G3942" i="4"/>
  <c r="G3943" i="4"/>
  <c r="G3944" i="4"/>
  <c r="G3945" i="4"/>
  <c r="G3946" i="4"/>
  <c r="G3947" i="4"/>
  <c r="G3948" i="4"/>
  <c r="G3949" i="4"/>
  <c r="G3950" i="4"/>
  <c r="G3951" i="4"/>
  <c r="G3952" i="4"/>
  <c r="G3953" i="4"/>
  <c r="G3954" i="4"/>
  <c r="G3955" i="4"/>
  <c r="G3956" i="4"/>
  <c r="G3957" i="4"/>
  <c r="G3958" i="4"/>
  <c r="G3959" i="4"/>
  <c r="G3960" i="4"/>
  <c r="G3961" i="4"/>
  <c r="H3922" i="4"/>
  <c r="H3923" i="4"/>
  <c r="H3924" i="4"/>
  <c r="H3925" i="4"/>
  <c r="H3926" i="4"/>
  <c r="H3927" i="4"/>
  <c r="H3928" i="4"/>
  <c r="H3929" i="4"/>
  <c r="H3930" i="4"/>
  <c r="H3931" i="4"/>
  <c r="H3932" i="4"/>
  <c r="H3933" i="4"/>
  <c r="H3934" i="4"/>
  <c r="H3935" i="4"/>
  <c r="H3936" i="4"/>
  <c r="H3937" i="4"/>
  <c r="H3938" i="4"/>
  <c r="H3939" i="4"/>
  <c r="H3940" i="4"/>
  <c r="H3941" i="4"/>
  <c r="H3942" i="4"/>
  <c r="H3943" i="4"/>
  <c r="H3944" i="4"/>
  <c r="H3945" i="4"/>
  <c r="H3946" i="4"/>
  <c r="H3947" i="4"/>
  <c r="H3948" i="4"/>
  <c r="H3949" i="4"/>
  <c r="H3950" i="4"/>
  <c r="H3951" i="4"/>
  <c r="H3952" i="4"/>
  <c r="H3953" i="4"/>
  <c r="H3954" i="4"/>
  <c r="H3955" i="4"/>
  <c r="H3956" i="4"/>
  <c r="H3957" i="4"/>
  <c r="H3958" i="4"/>
  <c r="H3959" i="4"/>
  <c r="H3960" i="4"/>
  <c r="H396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F3921" i="4"/>
  <c r="G3921" i="4"/>
  <c r="H3921" i="4"/>
  <c r="I3921" i="4"/>
  <c r="F3870" i="4"/>
  <c r="F3871" i="4"/>
  <c r="F3872" i="4"/>
  <c r="F3873" i="4"/>
  <c r="F3874" i="4"/>
  <c r="F3875" i="4"/>
  <c r="F3876" i="4"/>
  <c r="F3877" i="4"/>
  <c r="F3878" i="4"/>
  <c r="F3879" i="4"/>
  <c r="F3880" i="4"/>
  <c r="F3881" i="4"/>
  <c r="F3882" i="4"/>
  <c r="F3883" i="4"/>
  <c r="F3884" i="4"/>
  <c r="F3885" i="4"/>
  <c r="F3886" i="4"/>
  <c r="F3887" i="4"/>
  <c r="F3888" i="4"/>
  <c r="F3889" i="4"/>
  <c r="F3890" i="4"/>
  <c r="F3891" i="4"/>
  <c r="F3892" i="4"/>
  <c r="F3893" i="4"/>
  <c r="F3894" i="4"/>
  <c r="F3895" i="4"/>
  <c r="F3896" i="4"/>
  <c r="F3897" i="4"/>
  <c r="F3898" i="4"/>
  <c r="F3899" i="4"/>
  <c r="F3900" i="4"/>
  <c r="F3901" i="4"/>
  <c r="F3902" i="4"/>
  <c r="F3903" i="4"/>
  <c r="F3904" i="4"/>
  <c r="F3905" i="4"/>
  <c r="F3906" i="4"/>
  <c r="F3907" i="4"/>
  <c r="F3908" i="4"/>
  <c r="F3909" i="4"/>
  <c r="F3910" i="4"/>
  <c r="F3911" i="4"/>
  <c r="F3912" i="4"/>
  <c r="F3913" i="4"/>
  <c r="F3914" i="4"/>
  <c r="F3915" i="4"/>
  <c r="F3916" i="4"/>
  <c r="F3917" i="4"/>
  <c r="F3918" i="4"/>
  <c r="F3919" i="4"/>
  <c r="F3920" i="4"/>
  <c r="G3870" i="4"/>
  <c r="G3871" i="4"/>
  <c r="G3872" i="4"/>
  <c r="G3873" i="4"/>
  <c r="G3874" i="4"/>
  <c r="G3875" i="4"/>
  <c r="G3876" i="4"/>
  <c r="G3877" i="4"/>
  <c r="G3878" i="4"/>
  <c r="G3879" i="4"/>
  <c r="G3880" i="4"/>
  <c r="G3881" i="4"/>
  <c r="G3882" i="4"/>
  <c r="G3883" i="4"/>
  <c r="G3884" i="4"/>
  <c r="G3885" i="4"/>
  <c r="G3886" i="4"/>
  <c r="G3887" i="4"/>
  <c r="G3888" i="4"/>
  <c r="G3889" i="4"/>
  <c r="G3890" i="4"/>
  <c r="G3891" i="4"/>
  <c r="G3892" i="4"/>
  <c r="G3893" i="4"/>
  <c r="G3894" i="4"/>
  <c r="G3895" i="4"/>
  <c r="G3896" i="4"/>
  <c r="G3897" i="4"/>
  <c r="G3898" i="4"/>
  <c r="G3899" i="4"/>
  <c r="G3900" i="4"/>
  <c r="G3901" i="4"/>
  <c r="G3902" i="4"/>
  <c r="G3903" i="4"/>
  <c r="G3904" i="4"/>
  <c r="G3905" i="4"/>
  <c r="G3906" i="4"/>
  <c r="G3907" i="4"/>
  <c r="G3908" i="4"/>
  <c r="G3909" i="4"/>
  <c r="G3910" i="4"/>
  <c r="G3911" i="4"/>
  <c r="G3912" i="4"/>
  <c r="G3913" i="4"/>
  <c r="G3914" i="4"/>
  <c r="G3915" i="4"/>
  <c r="G3916" i="4"/>
  <c r="G3917" i="4"/>
  <c r="G3918" i="4"/>
  <c r="G3919" i="4"/>
  <c r="G3920" i="4"/>
  <c r="H3870" i="4"/>
  <c r="H3871" i="4"/>
  <c r="H3872" i="4"/>
  <c r="H3873" i="4"/>
  <c r="H3874" i="4"/>
  <c r="H3875" i="4"/>
  <c r="H3876" i="4"/>
  <c r="H3877" i="4"/>
  <c r="H3878" i="4"/>
  <c r="H3879" i="4"/>
  <c r="H3880" i="4"/>
  <c r="H3881" i="4"/>
  <c r="H3882" i="4"/>
  <c r="H3883" i="4"/>
  <c r="H3884" i="4"/>
  <c r="H3885" i="4"/>
  <c r="H3886" i="4"/>
  <c r="H3887" i="4"/>
  <c r="H3888" i="4"/>
  <c r="H3889" i="4"/>
  <c r="H3890" i="4"/>
  <c r="H3891" i="4"/>
  <c r="H3892" i="4"/>
  <c r="H3893" i="4"/>
  <c r="H3894" i="4"/>
  <c r="H3895" i="4"/>
  <c r="H3896" i="4"/>
  <c r="H3897" i="4"/>
  <c r="H3898" i="4"/>
  <c r="H3899" i="4"/>
  <c r="H3900" i="4"/>
  <c r="H3901" i="4"/>
  <c r="H3902" i="4"/>
  <c r="H3903" i="4"/>
  <c r="H3904" i="4"/>
  <c r="H3905" i="4"/>
  <c r="H3906" i="4"/>
  <c r="H3907" i="4"/>
  <c r="H3908" i="4"/>
  <c r="H3909" i="4"/>
  <c r="H3910" i="4"/>
  <c r="H3911" i="4"/>
  <c r="H3912" i="4"/>
  <c r="H3913" i="4"/>
  <c r="H3914" i="4"/>
  <c r="H3915" i="4"/>
  <c r="H3916" i="4"/>
  <c r="H3917" i="4"/>
  <c r="H3918" i="4"/>
  <c r="H3919" i="4"/>
  <c r="H3920"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N126" i="2"/>
  <c r="O126" i="2" s="1"/>
  <c r="N125" i="2"/>
  <c r="O125" i="2" s="1"/>
  <c r="A127" i="2"/>
  <c r="H127" i="2"/>
  <c r="I127" i="2" s="1"/>
  <c r="O127" i="2"/>
  <c r="A118" i="2"/>
  <c r="H118" i="2"/>
  <c r="I118" i="2" s="1"/>
  <c r="O118" i="2"/>
  <c r="A119" i="2"/>
  <c r="H119" i="2"/>
  <c r="I119" i="2" s="1"/>
  <c r="O119" i="2"/>
  <c r="A120" i="2"/>
  <c r="H120" i="2"/>
  <c r="J120" i="2" s="1"/>
  <c r="L120" i="2" s="1"/>
  <c r="O120" i="2"/>
  <c r="A121" i="2"/>
  <c r="H121" i="2"/>
  <c r="I121" i="2" s="1"/>
  <c r="O121" i="2"/>
  <c r="A122" i="2"/>
  <c r="H122" i="2"/>
  <c r="I122" i="2" s="1"/>
  <c r="O122" i="2"/>
  <c r="A123" i="2"/>
  <c r="H123" i="2"/>
  <c r="I123" i="2" s="1"/>
  <c r="O123" i="2"/>
  <c r="A124" i="2"/>
  <c r="H124" i="2"/>
  <c r="I124" i="2" s="1"/>
  <c r="O124" i="2"/>
  <c r="A125" i="2"/>
  <c r="H125" i="2"/>
  <c r="I125" i="2" s="1"/>
  <c r="A126" i="2"/>
  <c r="H126" i="2"/>
  <c r="J126" i="2" s="1"/>
  <c r="L126" i="2" s="1"/>
  <c r="A117" i="2"/>
  <c r="H117" i="2"/>
  <c r="I117" i="2" s="1"/>
  <c r="O117" i="2"/>
  <c r="F3868" i="4"/>
  <c r="F3869" i="4"/>
  <c r="G3868" i="4"/>
  <c r="G3869" i="4"/>
  <c r="H3868" i="4"/>
  <c r="H3869" i="4"/>
  <c r="I3868" i="4"/>
  <c r="I3869" i="4"/>
  <c r="F3866" i="4"/>
  <c r="F3867" i="4"/>
  <c r="G3866" i="4"/>
  <c r="G3867" i="4"/>
  <c r="H3866" i="4"/>
  <c r="H3867" i="4"/>
  <c r="I3866" i="4"/>
  <c r="I3867" i="4"/>
  <c r="F3865" i="4"/>
  <c r="G3865" i="4"/>
  <c r="H3865" i="4"/>
  <c r="I3865" i="4"/>
  <c r="A116" i="2"/>
  <c r="H116" i="2"/>
  <c r="I116" i="2" s="1"/>
  <c r="O116" i="2"/>
  <c r="A115" i="2"/>
  <c r="H115" i="2"/>
  <c r="I115" i="2" s="1"/>
  <c r="O115" i="2"/>
  <c r="A114" i="2"/>
  <c r="H114" i="2"/>
  <c r="I114" i="2" s="1"/>
  <c r="O114" i="2"/>
  <c r="A113" i="2"/>
  <c r="H113" i="2"/>
  <c r="I113" i="2" s="1"/>
  <c r="O113" i="2"/>
  <c r="A112" i="2"/>
  <c r="H112" i="2"/>
  <c r="I112" i="2" s="1"/>
  <c r="O112" i="2"/>
  <c r="A111" i="2"/>
  <c r="H111" i="2"/>
  <c r="I111" i="2" s="1"/>
  <c r="O111" i="2"/>
  <c r="A110" i="2"/>
  <c r="H110" i="2"/>
  <c r="I110" i="2" s="1"/>
  <c r="O110" i="2"/>
  <c r="A109" i="2"/>
  <c r="H109" i="2"/>
  <c r="I109" i="2" s="1"/>
  <c r="O109" i="2"/>
  <c r="A108" i="2"/>
  <c r="H108" i="2"/>
  <c r="I108" i="2" s="1"/>
  <c r="O108" i="2"/>
  <c r="F3864" i="4"/>
  <c r="G3864" i="4"/>
  <c r="H3864" i="4"/>
  <c r="I3864" i="4"/>
  <c r="F3845" i="4"/>
  <c r="F3846" i="4"/>
  <c r="F3847" i="4"/>
  <c r="F3848" i="4"/>
  <c r="F3849" i="4"/>
  <c r="F3850" i="4"/>
  <c r="F3851" i="4"/>
  <c r="F3852" i="4"/>
  <c r="F3853" i="4"/>
  <c r="F3854" i="4"/>
  <c r="F3855" i="4"/>
  <c r="F3856" i="4"/>
  <c r="F3857" i="4"/>
  <c r="F3858" i="4"/>
  <c r="F3859" i="4"/>
  <c r="F3860" i="4"/>
  <c r="F3861" i="4"/>
  <c r="F3862" i="4"/>
  <c r="F3863" i="4"/>
  <c r="G3845" i="4"/>
  <c r="G3846" i="4"/>
  <c r="G3847" i="4"/>
  <c r="G3848" i="4"/>
  <c r="G3849" i="4"/>
  <c r="G3850" i="4"/>
  <c r="G3851" i="4"/>
  <c r="G3852" i="4"/>
  <c r="G3853" i="4"/>
  <c r="G3854" i="4"/>
  <c r="G3855" i="4"/>
  <c r="G3856" i="4"/>
  <c r="G3857" i="4"/>
  <c r="G3858" i="4"/>
  <c r="G3859" i="4"/>
  <c r="G3860" i="4"/>
  <c r="G3861" i="4"/>
  <c r="G3862" i="4"/>
  <c r="G3863" i="4"/>
  <c r="H3845" i="4"/>
  <c r="H3846" i="4"/>
  <c r="H3847" i="4"/>
  <c r="H3848" i="4"/>
  <c r="H3849" i="4"/>
  <c r="H3850" i="4"/>
  <c r="H3851" i="4"/>
  <c r="H3852" i="4"/>
  <c r="H3853" i="4"/>
  <c r="H3854" i="4"/>
  <c r="H3855" i="4"/>
  <c r="H3856" i="4"/>
  <c r="H3857" i="4"/>
  <c r="H3858" i="4"/>
  <c r="H3859" i="4"/>
  <c r="H3860" i="4"/>
  <c r="H3861" i="4"/>
  <c r="H3862" i="4"/>
  <c r="H3863" i="4"/>
  <c r="I3845" i="4"/>
  <c r="I3846" i="4"/>
  <c r="I3847" i="4"/>
  <c r="I3848" i="4"/>
  <c r="I3849" i="4"/>
  <c r="I3850" i="4"/>
  <c r="I3851" i="4"/>
  <c r="I3852" i="4"/>
  <c r="I3853" i="4"/>
  <c r="I3854" i="4"/>
  <c r="I3855" i="4"/>
  <c r="I3856" i="4"/>
  <c r="I3857" i="4"/>
  <c r="I3858" i="4"/>
  <c r="I3859" i="4"/>
  <c r="I3860" i="4"/>
  <c r="I3861" i="4"/>
  <c r="I3862" i="4"/>
  <c r="I3863" i="4"/>
  <c r="F3843" i="4"/>
  <c r="F3844" i="4"/>
  <c r="G3843" i="4"/>
  <c r="G3844" i="4"/>
  <c r="H3843" i="4"/>
  <c r="H3844" i="4"/>
  <c r="I3843" i="4"/>
  <c r="I3844" i="4"/>
  <c r="F3841" i="4"/>
  <c r="F3842" i="4"/>
  <c r="G3841" i="4"/>
  <c r="G3842" i="4"/>
  <c r="H3841" i="4"/>
  <c r="H3842" i="4"/>
  <c r="I3841" i="4"/>
  <c r="I3842" i="4"/>
  <c r="N107" i="2"/>
  <c r="A2" i="2"/>
  <c r="H2" i="2"/>
  <c r="I2" i="2" s="1"/>
  <c r="O2" i="2"/>
  <c r="A3" i="2"/>
  <c r="H3" i="2"/>
  <c r="J3" i="2" s="1"/>
  <c r="L3" i="2" s="1"/>
  <c r="O3" i="2"/>
  <c r="A4" i="2"/>
  <c r="H4" i="2"/>
  <c r="I4" i="2" s="1"/>
  <c r="O4" i="2"/>
  <c r="A5" i="2"/>
  <c r="H5" i="2"/>
  <c r="I5" i="2" s="1"/>
  <c r="O5" i="2"/>
  <c r="A6" i="2"/>
  <c r="H6" i="2"/>
  <c r="I6" i="2" s="1"/>
  <c r="O6" i="2"/>
  <c r="A7" i="2"/>
  <c r="H7" i="2"/>
  <c r="J7" i="2" s="1"/>
  <c r="L7" i="2" s="1"/>
  <c r="O7" i="2"/>
  <c r="A8" i="2"/>
  <c r="H8" i="2"/>
  <c r="I8" i="2" s="1"/>
  <c r="O8" i="2"/>
  <c r="A9" i="2"/>
  <c r="H9" i="2"/>
  <c r="I9" i="2" s="1"/>
  <c r="O9" i="2"/>
  <c r="A10" i="2"/>
  <c r="H10" i="2"/>
  <c r="I10" i="2" s="1"/>
  <c r="O10" i="2"/>
  <c r="A11" i="2"/>
  <c r="H11" i="2"/>
  <c r="J11" i="2" s="1"/>
  <c r="L11" i="2" s="1"/>
  <c r="O11" i="2"/>
  <c r="A12" i="2"/>
  <c r="H12" i="2"/>
  <c r="I12" i="2" s="1"/>
  <c r="O12" i="2"/>
  <c r="A13" i="2"/>
  <c r="H13" i="2"/>
  <c r="I13" i="2" s="1"/>
  <c r="O13" i="2"/>
  <c r="A14" i="2"/>
  <c r="H14" i="2"/>
  <c r="I14" i="2" s="1"/>
  <c r="O14" i="2"/>
  <c r="A15" i="2"/>
  <c r="H15" i="2"/>
  <c r="J15" i="2" s="1"/>
  <c r="L15" i="2" s="1"/>
  <c r="O15" i="2"/>
  <c r="A16" i="2"/>
  <c r="H16" i="2"/>
  <c r="I16" i="2" s="1"/>
  <c r="O16" i="2"/>
  <c r="A17" i="2"/>
  <c r="H17" i="2"/>
  <c r="I17" i="2" s="1"/>
  <c r="O17" i="2"/>
  <c r="A18" i="2"/>
  <c r="H18" i="2"/>
  <c r="I18" i="2" s="1"/>
  <c r="O18" i="2"/>
  <c r="A19" i="2"/>
  <c r="H19" i="2"/>
  <c r="J19" i="2" s="1"/>
  <c r="L19" i="2" s="1"/>
  <c r="O19" i="2"/>
  <c r="A20" i="2"/>
  <c r="H20" i="2"/>
  <c r="I20" i="2" s="1"/>
  <c r="O20" i="2"/>
  <c r="A21" i="2"/>
  <c r="H21" i="2"/>
  <c r="J21" i="2" s="1"/>
  <c r="L21" i="2" s="1"/>
  <c r="O21" i="2"/>
  <c r="A22" i="2"/>
  <c r="H22" i="2"/>
  <c r="I22" i="2" s="1"/>
  <c r="O22" i="2"/>
  <c r="A23" i="2"/>
  <c r="H23" i="2"/>
  <c r="J23" i="2" s="1"/>
  <c r="L23" i="2" s="1"/>
  <c r="O23" i="2"/>
  <c r="A24" i="2"/>
  <c r="H24" i="2"/>
  <c r="O24" i="2"/>
  <c r="A25" i="2"/>
  <c r="H25" i="2"/>
  <c r="J25" i="2" s="1"/>
  <c r="L25" i="2" s="1"/>
  <c r="O25" i="2"/>
  <c r="A26" i="2"/>
  <c r="H26" i="2"/>
  <c r="I26" i="2" s="1"/>
  <c r="O26" i="2"/>
  <c r="A27" i="2"/>
  <c r="H27" i="2"/>
  <c r="J27" i="2" s="1"/>
  <c r="L27" i="2" s="1"/>
  <c r="O27" i="2"/>
  <c r="A28" i="2"/>
  <c r="H28" i="2"/>
  <c r="O28" i="2"/>
  <c r="A29" i="2"/>
  <c r="H29" i="2"/>
  <c r="I29" i="2" s="1"/>
  <c r="O29" i="2"/>
  <c r="A30" i="2"/>
  <c r="H30" i="2"/>
  <c r="I30" i="2" s="1"/>
  <c r="O30" i="2"/>
  <c r="A31" i="2"/>
  <c r="H31" i="2"/>
  <c r="J31" i="2" s="1"/>
  <c r="L31" i="2" s="1"/>
  <c r="O31" i="2"/>
  <c r="A32" i="2"/>
  <c r="H32" i="2"/>
  <c r="J32" i="2" s="1"/>
  <c r="L32" i="2" s="1"/>
  <c r="O32" i="2"/>
  <c r="A33" i="2"/>
  <c r="H33" i="2"/>
  <c r="J33" i="2" s="1"/>
  <c r="L33" i="2" s="1"/>
  <c r="O33" i="2"/>
  <c r="A34" i="2"/>
  <c r="H34" i="2"/>
  <c r="J34" i="2" s="1"/>
  <c r="L34" i="2" s="1"/>
  <c r="O34" i="2"/>
  <c r="A35" i="2"/>
  <c r="H35" i="2"/>
  <c r="J35" i="2" s="1"/>
  <c r="L35" i="2" s="1"/>
  <c r="O35" i="2"/>
  <c r="A36" i="2"/>
  <c r="H36" i="2"/>
  <c r="J36" i="2" s="1"/>
  <c r="L36" i="2" s="1"/>
  <c r="O36" i="2"/>
  <c r="A37" i="2"/>
  <c r="H37" i="2"/>
  <c r="I37" i="2" s="1"/>
  <c r="O37" i="2"/>
  <c r="A38" i="2"/>
  <c r="H38" i="2"/>
  <c r="J38" i="2" s="1"/>
  <c r="L38" i="2" s="1"/>
  <c r="O38" i="2"/>
  <c r="A39" i="2"/>
  <c r="H39" i="2"/>
  <c r="J39" i="2" s="1"/>
  <c r="L39" i="2" s="1"/>
  <c r="O39" i="2"/>
  <c r="A40" i="2"/>
  <c r="H40" i="2"/>
  <c r="I40" i="2" s="1"/>
  <c r="O40" i="2"/>
  <c r="A41" i="2"/>
  <c r="H41" i="2"/>
  <c r="J41" i="2" s="1"/>
  <c r="L41" i="2" s="1"/>
  <c r="O41" i="2"/>
  <c r="A42" i="2"/>
  <c r="H42" i="2"/>
  <c r="J42" i="2" s="1"/>
  <c r="L42" i="2" s="1"/>
  <c r="O42" i="2"/>
  <c r="A43" i="2"/>
  <c r="H43" i="2"/>
  <c r="J43" i="2" s="1"/>
  <c r="L43" i="2" s="1"/>
  <c r="O43" i="2"/>
  <c r="A44" i="2"/>
  <c r="H44" i="2"/>
  <c r="I44" i="2" s="1"/>
  <c r="O44" i="2"/>
  <c r="A45" i="2"/>
  <c r="H45" i="2"/>
  <c r="I45" i="2" s="1"/>
  <c r="O45" i="2"/>
  <c r="A46" i="2"/>
  <c r="H46" i="2"/>
  <c r="J46" i="2" s="1"/>
  <c r="L46" i="2" s="1"/>
  <c r="O46" i="2"/>
  <c r="A47" i="2"/>
  <c r="H47" i="2"/>
  <c r="J47" i="2" s="1"/>
  <c r="L47" i="2" s="1"/>
  <c r="O47" i="2"/>
  <c r="A48" i="2"/>
  <c r="H48" i="2"/>
  <c r="I48" i="2" s="1"/>
  <c r="O48" i="2"/>
  <c r="A49" i="2"/>
  <c r="H49" i="2"/>
  <c r="I49" i="2" s="1"/>
  <c r="N49" i="2"/>
  <c r="O49" i="2" s="1"/>
  <c r="A50" i="2"/>
  <c r="H50" i="2"/>
  <c r="J50" i="2" s="1"/>
  <c r="L50" i="2" s="1"/>
  <c r="O50" i="2"/>
  <c r="A51" i="2"/>
  <c r="H51" i="2"/>
  <c r="J51" i="2" s="1"/>
  <c r="L51" i="2" s="1"/>
  <c r="O51" i="2"/>
  <c r="A52" i="2"/>
  <c r="H52" i="2"/>
  <c r="J52" i="2" s="1"/>
  <c r="L52" i="2" s="1"/>
  <c r="O52" i="2"/>
  <c r="A53" i="2"/>
  <c r="H53" i="2"/>
  <c r="I53" i="2" s="1"/>
  <c r="N53" i="2"/>
  <c r="O53" i="2" s="1"/>
  <c r="A54" i="2"/>
  <c r="H54" i="2"/>
  <c r="J54" i="2" s="1"/>
  <c r="L54" i="2" s="1"/>
  <c r="N54" i="2"/>
  <c r="O54" i="2" s="1"/>
  <c r="A55" i="2"/>
  <c r="H55" i="2"/>
  <c r="J55" i="2" s="1"/>
  <c r="L55" i="2" s="1"/>
  <c r="O55" i="2"/>
  <c r="A56" i="2"/>
  <c r="H56" i="2"/>
  <c r="I56" i="2" s="1"/>
  <c r="N56" i="2"/>
  <c r="O56" i="2" s="1"/>
  <c r="A57" i="2"/>
  <c r="H57" i="2"/>
  <c r="I57" i="2" s="1"/>
  <c r="O57" i="2"/>
  <c r="A58" i="2"/>
  <c r="H58" i="2"/>
  <c r="J58" i="2" s="1"/>
  <c r="L58" i="2" s="1"/>
  <c r="O58" i="2"/>
  <c r="A59" i="2"/>
  <c r="H59" i="2"/>
  <c r="J59" i="2" s="1"/>
  <c r="L59" i="2" s="1"/>
  <c r="O59" i="2"/>
  <c r="A60" i="2"/>
  <c r="H60" i="2"/>
  <c r="I60" i="2" s="1"/>
  <c r="N60" i="2"/>
  <c r="O60" i="2" s="1"/>
  <c r="A61" i="2"/>
  <c r="H61" i="2"/>
  <c r="J61" i="2" s="1"/>
  <c r="L61" i="2" s="1"/>
  <c r="N61" i="2"/>
  <c r="O61" i="2" s="1"/>
  <c r="A62" i="2"/>
  <c r="H62" i="2"/>
  <c r="I62" i="2" s="1"/>
  <c r="O62" i="2"/>
  <c r="A63" i="2"/>
  <c r="H63" i="2"/>
  <c r="I63" i="2" s="1"/>
  <c r="O63" i="2"/>
  <c r="A64" i="2"/>
  <c r="H64" i="2"/>
  <c r="J64" i="2" s="1"/>
  <c r="L64" i="2" s="1"/>
  <c r="O64" i="2"/>
  <c r="A65" i="2"/>
  <c r="H65" i="2"/>
  <c r="J65" i="2" s="1"/>
  <c r="L65" i="2" s="1"/>
  <c r="O65" i="2"/>
  <c r="A66" i="2"/>
  <c r="H66" i="2"/>
  <c r="I66" i="2" s="1"/>
  <c r="O66" i="2"/>
  <c r="A67" i="2"/>
  <c r="H67" i="2"/>
  <c r="I67" i="2" s="1"/>
  <c r="O67" i="2"/>
  <c r="A68" i="2"/>
  <c r="H68" i="2"/>
  <c r="J68" i="2" s="1"/>
  <c r="L68" i="2" s="1"/>
  <c r="O68" i="2"/>
  <c r="A69" i="2"/>
  <c r="H69" i="2"/>
  <c r="J69" i="2" s="1"/>
  <c r="L69" i="2" s="1"/>
  <c r="O69" i="2"/>
  <c r="A70" i="2"/>
  <c r="H70" i="2"/>
  <c r="I70" i="2" s="1"/>
  <c r="O70" i="2"/>
  <c r="A71" i="2"/>
  <c r="H71" i="2"/>
  <c r="J71" i="2" s="1"/>
  <c r="L71" i="2" s="1"/>
  <c r="O71" i="2"/>
  <c r="A72" i="2"/>
  <c r="H72" i="2"/>
  <c r="J72" i="2" s="1"/>
  <c r="L72" i="2" s="1"/>
  <c r="O72" i="2"/>
  <c r="A73" i="2"/>
  <c r="H73" i="2"/>
  <c r="J73" i="2" s="1"/>
  <c r="L73" i="2" s="1"/>
  <c r="O73" i="2"/>
  <c r="A74" i="2"/>
  <c r="H74" i="2"/>
  <c r="I74" i="2" s="1"/>
  <c r="O74" i="2"/>
  <c r="A75" i="2"/>
  <c r="H75" i="2"/>
  <c r="J75" i="2" s="1"/>
  <c r="L75" i="2" s="1"/>
  <c r="O75" i="2"/>
  <c r="A76" i="2"/>
  <c r="H76" i="2"/>
  <c r="I76" i="2" s="1"/>
  <c r="O76" i="2"/>
  <c r="A77" i="2"/>
  <c r="H77" i="2"/>
  <c r="I77" i="2" s="1"/>
  <c r="O77" i="2"/>
  <c r="A78" i="2"/>
  <c r="H78" i="2"/>
  <c r="O78" i="2"/>
  <c r="A79" i="2"/>
  <c r="H79" i="2"/>
  <c r="J79" i="2" s="1"/>
  <c r="L79" i="2" s="1"/>
  <c r="O79" i="2"/>
  <c r="A80" i="2"/>
  <c r="H80" i="2"/>
  <c r="J80" i="2" s="1"/>
  <c r="L80" i="2" s="1"/>
  <c r="N80" i="2"/>
  <c r="O80" i="2" s="1"/>
  <c r="A81" i="2"/>
  <c r="H81" i="2"/>
  <c r="I81" i="2" s="1"/>
  <c r="N81" i="2"/>
  <c r="O81" i="2" s="1"/>
  <c r="A82" i="2"/>
  <c r="H82" i="2"/>
  <c r="I82" i="2" s="1"/>
  <c r="N82" i="2"/>
  <c r="O82" i="2" s="1"/>
  <c r="A83" i="2"/>
  <c r="H83" i="2"/>
  <c r="I83" i="2" s="1"/>
  <c r="O83" i="2"/>
  <c r="A84" i="2"/>
  <c r="H84" i="2"/>
  <c r="J84" i="2" s="1"/>
  <c r="L84" i="2" s="1"/>
  <c r="O84" i="2"/>
  <c r="A85" i="2"/>
  <c r="H85" i="2"/>
  <c r="J85" i="2" s="1"/>
  <c r="L85" i="2" s="1"/>
  <c r="O85" i="2"/>
  <c r="A86" i="2"/>
  <c r="H86" i="2"/>
  <c r="J86" i="2" s="1"/>
  <c r="L86" i="2" s="1"/>
  <c r="O86" i="2"/>
  <c r="A87" i="2"/>
  <c r="H87" i="2"/>
  <c r="I87" i="2" s="1"/>
  <c r="O87" i="2"/>
  <c r="A88" i="2"/>
  <c r="H88" i="2"/>
  <c r="I88" i="2" s="1"/>
  <c r="O88" i="2"/>
  <c r="A89" i="2"/>
  <c r="H89" i="2"/>
  <c r="I89" i="2" s="1"/>
  <c r="O89" i="2"/>
  <c r="A90" i="2"/>
  <c r="H90" i="2"/>
  <c r="J90" i="2" s="1"/>
  <c r="L90" i="2" s="1"/>
  <c r="O90" i="2"/>
  <c r="A91" i="2"/>
  <c r="H91" i="2"/>
  <c r="I91" i="2" s="1"/>
  <c r="O91" i="2"/>
  <c r="A92" i="2"/>
  <c r="H92" i="2"/>
  <c r="I92" i="2" s="1"/>
  <c r="O92" i="2"/>
  <c r="A93" i="2"/>
  <c r="H93" i="2"/>
  <c r="I93" i="2" s="1"/>
  <c r="O93" i="2"/>
  <c r="H94" i="2"/>
  <c r="I94" i="2" s="1"/>
  <c r="N94" i="2"/>
  <c r="O94" i="2" s="1"/>
  <c r="A95" i="2"/>
  <c r="H95" i="2"/>
  <c r="I95" i="2" s="1"/>
  <c r="O95" i="2"/>
  <c r="A96" i="2"/>
  <c r="H96" i="2"/>
  <c r="I96" i="2" s="1"/>
  <c r="O96" i="2"/>
  <c r="A97" i="2"/>
  <c r="H97" i="2"/>
  <c r="I97" i="2" s="1"/>
  <c r="O97" i="2"/>
  <c r="A98" i="2"/>
  <c r="H98" i="2"/>
  <c r="J98" i="2" s="1"/>
  <c r="L98" i="2" s="1"/>
  <c r="O98" i="2"/>
  <c r="A99" i="2"/>
  <c r="H99" i="2"/>
  <c r="I99" i="2" s="1"/>
  <c r="O99" i="2"/>
  <c r="A100" i="2"/>
  <c r="H100" i="2"/>
  <c r="J100" i="2" s="1"/>
  <c r="L100" i="2" s="1"/>
  <c r="O100" i="2"/>
  <c r="A101" i="2"/>
  <c r="H101" i="2"/>
  <c r="I101" i="2" s="1"/>
  <c r="O101" i="2"/>
  <c r="A102" i="2"/>
  <c r="H102" i="2"/>
  <c r="J102" i="2" s="1"/>
  <c r="L102" i="2" s="1"/>
  <c r="O102" i="2"/>
  <c r="A103" i="2"/>
  <c r="H103" i="2"/>
  <c r="I103" i="2" s="1"/>
  <c r="O103" i="2"/>
  <c r="A104" i="2"/>
  <c r="H104" i="2"/>
  <c r="I104" i="2" s="1"/>
  <c r="O104" i="2"/>
  <c r="A105" i="2"/>
  <c r="H105" i="2"/>
  <c r="I105" i="2" s="1"/>
  <c r="O105" i="2"/>
  <c r="A106" i="2"/>
  <c r="H106" i="2"/>
  <c r="J106" i="2" s="1"/>
  <c r="L106" i="2" s="1"/>
  <c r="O106" i="2"/>
  <c r="A107" i="2"/>
  <c r="O107" i="2"/>
  <c r="F3835" i="4"/>
  <c r="F3836" i="4"/>
  <c r="F3837" i="4"/>
  <c r="F3838" i="4"/>
  <c r="F3839" i="4"/>
  <c r="F3840" i="4"/>
  <c r="G3835" i="4"/>
  <c r="G3836" i="4"/>
  <c r="G3837" i="4"/>
  <c r="G3838" i="4"/>
  <c r="G3839" i="4"/>
  <c r="G3840" i="4"/>
  <c r="H3835" i="4"/>
  <c r="H3836" i="4"/>
  <c r="H3837" i="4"/>
  <c r="H3838" i="4"/>
  <c r="H3839" i="4"/>
  <c r="H3840" i="4"/>
  <c r="I3835" i="4"/>
  <c r="I3836" i="4"/>
  <c r="I3837" i="4"/>
  <c r="I3838" i="4"/>
  <c r="I3839" i="4"/>
  <c r="I3840" i="4"/>
  <c r="F3820" i="4"/>
  <c r="F3821" i="4"/>
  <c r="F3822" i="4"/>
  <c r="F3823" i="4"/>
  <c r="F3824" i="4"/>
  <c r="F3825" i="4"/>
  <c r="F3826" i="4"/>
  <c r="F3827" i="4"/>
  <c r="F3828" i="4"/>
  <c r="F3829" i="4"/>
  <c r="F3830" i="4"/>
  <c r="F3831" i="4"/>
  <c r="F3832" i="4"/>
  <c r="F3833" i="4"/>
  <c r="F3834" i="4"/>
  <c r="G3820" i="4"/>
  <c r="G3821" i="4"/>
  <c r="G3822" i="4"/>
  <c r="G3823" i="4"/>
  <c r="G3824" i="4"/>
  <c r="G3825" i="4"/>
  <c r="G3826" i="4"/>
  <c r="G3827" i="4"/>
  <c r="G3828" i="4"/>
  <c r="G3829" i="4"/>
  <c r="G3830" i="4"/>
  <c r="G3831" i="4"/>
  <c r="G3832" i="4"/>
  <c r="G3833" i="4"/>
  <c r="G3834" i="4"/>
  <c r="H3820" i="4"/>
  <c r="H3821" i="4"/>
  <c r="H3822" i="4"/>
  <c r="H3823" i="4"/>
  <c r="H3824" i="4"/>
  <c r="H3825" i="4"/>
  <c r="H3826" i="4"/>
  <c r="H3827" i="4"/>
  <c r="H3828" i="4"/>
  <c r="H3829" i="4"/>
  <c r="H3830" i="4"/>
  <c r="H3831" i="4"/>
  <c r="H3832" i="4"/>
  <c r="H3833" i="4"/>
  <c r="H3834" i="4"/>
  <c r="I3820" i="4"/>
  <c r="I3821" i="4"/>
  <c r="I3822" i="4"/>
  <c r="I3823" i="4"/>
  <c r="I3824" i="4"/>
  <c r="I3825" i="4"/>
  <c r="I3826" i="4"/>
  <c r="I3827" i="4"/>
  <c r="I3828" i="4"/>
  <c r="I3829" i="4"/>
  <c r="I3830" i="4"/>
  <c r="I3831" i="4"/>
  <c r="I3832" i="4"/>
  <c r="I3833" i="4"/>
  <c r="I3834" i="4"/>
  <c r="F3815" i="4"/>
  <c r="F3816" i="4"/>
  <c r="F3817" i="4"/>
  <c r="F3818" i="4"/>
  <c r="F3819" i="4"/>
  <c r="G3815" i="4"/>
  <c r="G3816" i="4"/>
  <c r="G3817" i="4"/>
  <c r="G3818" i="4"/>
  <c r="G3819" i="4"/>
  <c r="H3815" i="4"/>
  <c r="H3816" i="4"/>
  <c r="H3817" i="4"/>
  <c r="H3818" i="4"/>
  <c r="H3819" i="4"/>
  <c r="I3815" i="4"/>
  <c r="I3816" i="4"/>
  <c r="I3817" i="4"/>
  <c r="I3818" i="4"/>
  <c r="I3819" i="4"/>
  <c r="F3781" i="4"/>
  <c r="F3782" i="4"/>
  <c r="F3783" i="4"/>
  <c r="F3784" i="4"/>
  <c r="F3785" i="4"/>
  <c r="F3786" i="4"/>
  <c r="F3787" i="4"/>
  <c r="F3788" i="4"/>
  <c r="F3789" i="4"/>
  <c r="F3790" i="4"/>
  <c r="F3791" i="4"/>
  <c r="F3792" i="4"/>
  <c r="F3793" i="4"/>
  <c r="F3794" i="4"/>
  <c r="F3795" i="4"/>
  <c r="F3796" i="4"/>
  <c r="F3797" i="4"/>
  <c r="F3798" i="4"/>
  <c r="F3799" i="4"/>
  <c r="F3800" i="4"/>
  <c r="F3801" i="4"/>
  <c r="F3802" i="4"/>
  <c r="F3803" i="4"/>
  <c r="F3804" i="4"/>
  <c r="F3805" i="4"/>
  <c r="F3806" i="4"/>
  <c r="F3807" i="4"/>
  <c r="F3808" i="4"/>
  <c r="F3809" i="4"/>
  <c r="F3810" i="4"/>
  <c r="F3811" i="4"/>
  <c r="F3812" i="4"/>
  <c r="F3813" i="4"/>
  <c r="F3814" i="4"/>
  <c r="G3781" i="4"/>
  <c r="G3782" i="4"/>
  <c r="G3783" i="4"/>
  <c r="G3784" i="4"/>
  <c r="G3785" i="4"/>
  <c r="G3786" i="4"/>
  <c r="G3787" i="4"/>
  <c r="G3788" i="4"/>
  <c r="G3789" i="4"/>
  <c r="G3790" i="4"/>
  <c r="G3791" i="4"/>
  <c r="G3792" i="4"/>
  <c r="G3793" i="4"/>
  <c r="G3794" i="4"/>
  <c r="G3795" i="4"/>
  <c r="G3796" i="4"/>
  <c r="G3797" i="4"/>
  <c r="G3798" i="4"/>
  <c r="G3799" i="4"/>
  <c r="G3800" i="4"/>
  <c r="G3801" i="4"/>
  <c r="G3802" i="4"/>
  <c r="G3803" i="4"/>
  <c r="G3804" i="4"/>
  <c r="G3805" i="4"/>
  <c r="G3806" i="4"/>
  <c r="G3807" i="4"/>
  <c r="G3808" i="4"/>
  <c r="G3809" i="4"/>
  <c r="G3810" i="4"/>
  <c r="G3811" i="4"/>
  <c r="G3812" i="4"/>
  <c r="G3813" i="4"/>
  <c r="G3814" i="4"/>
  <c r="H3781" i="4"/>
  <c r="H3782" i="4"/>
  <c r="H3783" i="4"/>
  <c r="H3784" i="4"/>
  <c r="H3785" i="4"/>
  <c r="H3786" i="4"/>
  <c r="H3787" i="4"/>
  <c r="H3788" i="4"/>
  <c r="H3789" i="4"/>
  <c r="H3790" i="4"/>
  <c r="H3791" i="4"/>
  <c r="H3792" i="4"/>
  <c r="H3793" i="4"/>
  <c r="H3794" i="4"/>
  <c r="H3795" i="4"/>
  <c r="H3796" i="4"/>
  <c r="H3797" i="4"/>
  <c r="H3798" i="4"/>
  <c r="H3799" i="4"/>
  <c r="H3800" i="4"/>
  <c r="H3801" i="4"/>
  <c r="H3802" i="4"/>
  <c r="H3803" i="4"/>
  <c r="H3804" i="4"/>
  <c r="H3805" i="4"/>
  <c r="H3806" i="4"/>
  <c r="H3807" i="4"/>
  <c r="H3808" i="4"/>
  <c r="H3809" i="4"/>
  <c r="H3810" i="4"/>
  <c r="H3811" i="4"/>
  <c r="H3812" i="4"/>
  <c r="H3813" i="4"/>
  <c r="H3814"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F3766" i="4"/>
  <c r="F3767" i="4"/>
  <c r="F3768" i="4"/>
  <c r="F3769" i="4"/>
  <c r="F3770" i="4"/>
  <c r="F3771" i="4"/>
  <c r="F3772" i="4"/>
  <c r="F3773" i="4"/>
  <c r="F3774" i="4"/>
  <c r="F3775" i="4"/>
  <c r="F3776" i="4"/>
  <c r="F3777" i="4"/>
  <c r="F3778" i="4"/>
  <c r="F3779" i="4"/>
  <c r="F3780" i="4"/>
  <c r="G3766" i="4"/>
  <c r="G3767" i="4"/>
  <c r="G3768" i="4"/>
  <c r="G3769" i="4"/>
  <c r="G3770" i="4"/>
  <c r="G3771" i="4"/>
  <c r="G3772" i="4"/>
  <c r="G3773" i="4"/>
  <c r="G3774" i="4"/>
  <c r="G3775" i="4"/>
  <c r="G3776" i="4"/>
  <c r="G3777" i="4"/>
  <c r="G3778" i="4"/>
  <c r="G3779" i="4"/>
  <c r="G3780" i="4"/>
  <c r="H3766" i="4"/>
  <c r="H3767" i="4"/>
  <c r="H3768" i="4"/>
  <c r="H3769" i="4"/>
  <c r="H3770" i="4"/>
  <c r="H3771" i="4"/>
  <c r="H3772" i="4"/>
  <c r="H3773" i="4"/>
  <c r="H3774" i="4"/>
  <c r="H3775" i="4"/>
  <c r="H3776" i="4"/>
  <c r="H3777" i="4"/>
  <c r="H3778" i="4"/>
  <c r="H3779" i="4"/>
  <c r="H3780" i="4"/>
  <c r="I3766" i="4"/>
  <c r="I3767" i="4"/>
  <c r="I3768" i="4"/>
  <c r="I3769" i="4"/>
  <c r="I3770" i="4"/>
  <c r="I3771" i="4"/>
  <c r="I3772" i="4"/>
  <c r="I3773" i="4"/>
  <c r="I3774" i="4"/>
  <c r="I3775" i="4"/>
  <c r="I3776" i="4"/>
  <c r="I3777" i="4"/>
  <c r="I3778" i="4"/>
  <c r="I3779" i="4"/>
  <c r="I3780" i="4"/>
  <c r="F3731" i="4"/>
  <c r="F3732" i="4"/>
  <c r="F3733" i="4"/>
  <c r="F3734" i="4"/>
  <c r="F3735" i="4"/>
  <c r="F3736" i="4"/>
  <c r="F3737" i="4"/>
  <c r="F3738" i="4"/>
  <c r="F3739" i="4"/>
  <c r="F3740" i="4"/>
  <c r="F3741" i="4"/>
  <c r="F3742" i="4"/>
  <c r="F3743" i="4"/>
  <c r="F3744" i="4"/>
  <c r="F3745" i="4"/>
  <c r="F3746" i="4"/>
  <c r="F3747" i="4"/>
  <c r="F3748" i="4"/>
  <c r="F3749" i="4"/>
  <c r="F3750" i="4"/>
  <c r="F3751" i="4"/>
  <c r="F3752" i="4"/>
  <c r="F3753" i="4"/>
  <c r="F3754" i="4"/>
  <c r="F3755" i="4"/>
  <c r="F3756" i="4"/>
  <c r="F3757" i="4"/>
  <c r="F3758" i="4"/>
  <c r="F3759" i="4"/>
  <c r="F3760" i="4"/>
  <c r="F3761" i="4"/>
  <c r="F3762" i="4"/>
  <c r="F3763" i="4"/>
  <c r="F3764" i="4"/>
  <c r="F3765" i="4"/>
  <c r="G3731" i="4"/>
  <c r="G3732" i="4"/>
  <c r="G3733" i="4"/>
  <c r="G3734" i="4"/>
  <c r="G3735" i="4"/>
  <c r="G3736" i="4"/>
  <c r="G3737" i="4"/>
  <c r="G3738" i="4"/>
  <c r="G3739" i="4"/>
  <c r="G3740" i="4"/>
  <c r="G3741" i="4"/>
  <c r="G3742" i="4"/>
  <c r="G3743" i="4"/>
  <c r="G3744" i="4"/>
  <c r="G3745" i="4"/>
  <c r="G3746" i="4"/>
  <c r="G3747" i="4"/>
  <c r="G3748" i="4"/>
  <c r="G3749" i="4"/>
  <c r="G3750" i="4"/>
  <c r="G3751" i="4"/>
  <c r="G3752" i="4"/>
  <c r="G3753" i="4"/>
  <c r="G3754" i="4"/>
  <c r="G3755" i="4"/>
  <c r="G3756" i="4"/>
  <c r="G3757" i="4"/>
  <c r="G3758" i="4"/>
  <c r="G3759" i="4"/>
  <c r="G3760" i="4"/>
  <c r="G3761" i="4"/>
  <c r="G3762" i="4"/>
  <c r="G3763" i="4"/>
  <c r="G3764" i="4"/>
  <c r="G3765" i="4"/>
  <c r="H3731" i="4"/>
  <c r="H3732" i="4"/>
  <c r="H3733" i="4"/>
  <c r="H3734" i="4"/>
  <c r="H3735" i="4"/>
  <c r="H3736" i="4"/>
  <c r="H3737" i="4"/>
  <c r="H3738" i="4"/>
  <c r="H3739" i="4"/>
  <c r="H3740" i="4"/>
  <c r="H3741" i="4"/>
  <c r="H3742" i="4"/>
  <c r="H3743" i="4"/>
  <c r="H3744" i="4"/>
  <c r="H3745" i="4"/>
  <c r="H3746" i="4"/>
  <c r="H3747" i="4"/>
  <c r="H3748" i="4"/>
  <c r="H3749" i="4"/>
  <c r="H3750" i="4"/>
  <c r="H3751" i="4"/>
  <c r="H3752" i="4"/>
  <c r="H3753" i="4"/>
  <c r="H3754" i="4"/>
  <c r="H3755" i="4"/>
  <c r="H3756" i="4"/>
  <c r="H3757" i="4"/>
  <c r="H3758" i="4"/>
  <c r="H3759" i="4"/>
  <c r="H3760" i="4"/>
  <c r="H3761" i="4"/>
  <c r="H3762" i="4"/>
  <c r="H3763" i="4"/>
  <c r="H3764" i="4"/>
  <c r="H3765"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F3730" i="4"/>
  <c r="G3730" i="4"/>
  <c r="H3730" i="4"/>
  <c r="I3730" i="4"/>
  <c r="F3729" i="4"/>
  <c r="G3729" i="4"/>
  <c r="H3729" i="4"/>
  <c r="I3729" i="4"/>
  <c r="F3727" i="4"/>
  <c r="F3728" i="4"/>
  <c r="G3727" i="4"/>
  <c r="G3728" i="4"/>
  <c r="H3727" i="4"/>
  <c r="H3728" i="4"/>
  <c r="I3727" i="4"/>
  <c r="I3728" i="4"/>
  <c r="F3726" i="4"/>
  <c r="G3726" i="4"/>
  <c r="H3726" i="4"/>
  <c r="I3726" i="4"/>
  <c r="F3725" i="4"/>
  <c r="G3725" i="4"/>
  <c r="H3725" i="4"/>
  <c r="I3725" i="4"/>
  <c r="F3690" i="4"/>
  <c r="F3691" i="4"/>
  <c r="F3692" i="4"/>
  <c r="F3693" i="4"/>
  <c r="F3694" i="4"/>
  <c r="F3695" i="4"/>
  <c r="F3696" i="4"/>
  <c r="F3697" i="4"/>
  <c r="F3698" i="4"/>
  <c r="F3699" i="4"/>
  <c r="F3700" i="4"/>
  <c r="F3701" i="4"/>
  <c r="F3702" i="4"/>
  <c r="F3703" i="4"/>
  <c r="F3704" i="4"/>
  <c r="F3705" i="4"/>
  <c r="F3706" i="4"/>
  <c r="F3707" i="4"/>
  <c r="F3708" i="4"/>
  <c r="F3709" i="4"/>
  <c r="F3710" i="4"/>
  <c r="F3711" i="4"/>
  <c r="F3712" i="4"/>
  <c r="F3713" i="4"/>
  <c r="F3714" i="4"/>
  <c r="F3715" i="4"/>
  <c r="F3716" i="4"/>
  <c r="F3717" i="4"/>
  <c r="F3718" i="4"/>
  <c r="F3719" i="4"/>
  <c r="F3720" i="4"/>
  <c r="F3721" i="4"/>
  <c r="F3722" i="4"/>
  <c r="F3723" i="4"/>
  <c r="F3724" i="4"/>
  <c r="G3690" i="4"/>
  <c r="G3691" i="4"/>
  <c r="G3692" i="4"/>
  <c r="G3693" i="4"/>
  <c r="G3694" i="4"/>
  <c r="G3695" i="4"/>
  <c r="G3696" i="4"/>
  <c r="G3697" i="4"/>
  <c r="G3698" i="4"/>
  <c r="G3699" i="4"/>
  <c r="G3700" i="4"/>
  <c r="G3701" i="4"/>
  <c r="G3702" i="4"/>
  <c r="G3703" i="4"/>
  <c r="G3704" i="4"/>
  <c r="G3705" i="4"/>
  <c r="G3706" i="4"/>
  <c r="G3707" i="4"/>
  <c r="G3708" i="4"/>
  <c r="G3709" i="4"/>
  <c r="G3710" i="4"/>
  <c r="G3711" i="4"/>
  <c r="G3712" i="4"/>
  <c r="G3713" i="4"/>
  <c r="G3714" i="4"/>
  <c r="G3715" i="4"/>
  <c r="G3716" i="4"/>
  <c r="G3717" i="4"/>
  <c r="G3718" i="4"/>
  <c r="G3719" i="4"/>
  <c r="G3720" i="4"/>
  <c r="G3721" i="4"/>
  <c r="G3722" i="4"/>
  <c r="G3723" i="4"/>
  <c r="G3724" i="4"/>
  <c r="H3690" i="4"/>
  <c r="H3691" i="4"/>
  <c r="H3692" i="4"/>
  <c r="H3693" i="4"/>
  <c r="H3694" i="4"/>
  <c r="H3695" i="4"/>
  <c r="H3696" i="4"/>
  <c r="H3697" i="4"/>
  <c r="H3698" i="4"/>
  <c r="H3699" i="4"/>
  <c r="H3700" i="4"/>
  <c r="H3701" i="4"/>
  <c r="H3702" i="4"/>
  <c r="H3703" i="4"/>
  <c r="H3704" i="4"/>
  <c r="H3705" i="4"/>
  <c r="H3706" i="4"/>
  <c r="H3707" i="4"/>
  <c r="H3708" i="4"/>
  <c r="H3709" i="4"/>
  <c r="H3710" i="4"/>
  <c r="H3711" i="4"/>
  <c r="H3712" i="4"/>
  <c r="H3713" i="4"/>
  <c r="H3714" i="4"/>
  <c r="H3715" i="4"/>
  <c r="H3716" i="4"/>
  <c r="H3717" i="4"/>
  <c r="H3718" i="4"/>
  <c r="H3719" i="4"/>
  <c r="H3720" i="4"/>
  <c r="H3721" i="4"/>
  <c r="H3722" i="4"/>
  <c r="H3723" i="4"/>
  <c r="H3724"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F3659" i="4"/>
  <c r="F3660" i="4"/>
  <c r="F3661" i="4"/>
  <c r="F3662" i="4"/>
  <c r="F3663" i="4"/>
  <c r="F3664" i="4"/>
  <c r="F3665" i="4"/>
  <c r="F3666" i="4"/>
  <c r="F3667" i="4"/>
  <c r="F3668" i="4"/>
  <c r="F3669" i="4"/>
  <c r="F3670" i="4"/>
  <c r="F3671" i="4"/>
  <c r="F3672" i="4"/>
  <c r="F3673" i="4"/>
  <c r="F3674" i="4"/>
  <c r="F3675" i="4"/>
  <c r="F3676" i="4"/>
  <c r="F3677" i="4"/>
  <c r="F3678" i="4"/>
  <c r="F3679" i="4"/>
  <c r="F3680" i="4"/>
  <c r="F3681" i="4"/>
  <c r="F3682" i="4"/>
  <c r="F3683" i="4"/>
  <c r="F3684" i="4"/>
  <c r="F3685" i="4"/>
  <c r="F3686" i="4"/>
  <c r="F3687" i="4"/>
  <c r="F3688" i="4"/>
  <c r="F3689" i="4"/>
  <c r="G3659" i="4"/>
  <c r="G3660" i="4"/>
  <c r="G3661" i="4"/>
  <c r="G3662" i="4"/>
  <c r="G3663" i="4"/>
  <c r="G3664" i="4"/>
  <c r="G3665" i="4"/>
  <c r="G3666" i="4"/>
  <c r="G3667" i="4"/>
  <c r="G3668" i="4"/>
  <c r="G3669" i="4"/>
  <c r="G3670" i="4"/>
  <c r="G3671" i="4"/>
  <c r="G3672" i="4"/>
  <c r="G3673" i="4"/>
  <c r="G3674" i="4"/>
  <c r="G3675" i="4"/>
  <c r="G3676" i="4"/>
  <c r="G3677" i="4"/>
  <c r="G3678" i="4"/>
  <c r="G3679" i="4"/>
  <c r="G3680" i="4"/>
  <c r="G3681" i="4"/>
  <c r="G3682" i="4"/>
  <c r="G3683" i="4"/>
  <c r="G3684" i="4"/>
  <c r="G3685" i="4"/>
  <c r="G3686" i="4"/>
  <c r="G3687" i="4"/>
  <c r="G3688" i="4"/>
  <c r="G3689" i="4"/>
  <c r="H3659" i="4"/>
  <c r="H3660" i="4"/>
  <c r="H3661" i="4"/>
  <c r="H3662" i="4"/>
  <c r="H3663" i="4"/>
  <c r="H3664" i="4"/>
  <c r="H3665" i="4"/>
  <c r="H3666" i="4"/>
  <c r="H3667" i="4"/>
  <c r="H3668" i="4"/>
  <c r="H3669" i="4"/>
  <c r="H3670" i="4"/>
  <c r="H3671" i="4"/>
  <c r="H3672" i="4"/>
  <c r="H3673" i="4"/>
  <c r="H3674" i="4"/>
  <c r="H3675" i="4"/>
  <c r="H3676" i="4"/>
  <c r="H3677" i="4"/>
  <c r="H3678" i="4"/>
  <c r="H3679" i="4"/>
  <c r="H3680" i="4"/>
  <c r="H3681" i="4"/>
  <c r="H3682" i="4"/>
  <c r="H3683" i="4"/>
  <c r="H3684" i="4"/>
  <c r="H3685" i="4"/>
  <c r="H3686" i="4"/>
  <c r="H3687" i="4"/>
  <c r="H3688" i="4"/>
  <c r="H3689"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F3640" i="4"/>
  <c r="F3641" i="4"/>
  <c r="F3642" i="4"/>
  <c r="F3643" i="4"/>
  <c r="F3644" i="4"/>
  <c r="F3645" i="4"/>
  <c r="F3646" i="4"/>
  <c r="F3647" i="4"/>
  <c r="F3648" i="4"/>
  <c r="F3649" i="4"/>
  <c r="F3650" i="4"/>
  <c r="F3651" i="4"/>
  <c r="F3652" i="4"/>
  <c r="F3653" i="4"/>
  <c r="F3654" i="4"/>
  <c r="F3655" i="4"/>
  <c r="F3656" i="4"/>
  <c r="F3657" i="4"/>
  <c r="F3658" i="4"/>
  <c r="G3640" i="4"/>
  <c r="G3641" i="4"/>
  <c r="G3642" i="4"/>
  <c r="G3643" i="4"/>
  <c r="G3644" i="4"/>
  <c r="G3645" i="4"/>
  <c r="G3646" i="4"/>
  <c r="G3647" i="4"/>
  <c r="G3648" i="4"/>
  <c r="G3649" i="4"/>
  <c r="G3650" i="4"/>
  <c r="G3651" i="4"/>
  <c r="G3652" i="4"/>
  <c r="G3653" i="4"/>
  <c r="G3654" i="4"/>
  <c r="G3655" i="4"/>
  <c r="G3656" i="4"/>
  <c r="G3657" i="4"/>
  <c r="G3658" i="4"/>
  <c r="H3640" i="4"/>
  <c r="H3641" i="4"/>
  <c r="H3642" i="4"/>
  <c r="H3643" i="4"/>
  <c r="H3644" i="4"/>
  <c r="H3645" i="4"/>
  <c r="H3646" i="4"/>
  <c r="H3647" i="4"/>
  <c r="H3648" i="4"/>
  <c r="H3649" i="4"/>
  <c r="H3650" i="4"/>
  <c r="H3651" i="4"/>
  <c r="H3652" i="4"/>
  <c r="H3653" i="4"/>
  <c r="H3654" i="4"/>
  <c r="H3655" i="4"/>
  <c r="H3656" i="4"/>
  <c r="H3657" i="4"/>
  <c r="H3658" i="4"/>
  <c r="I3640" i="4"/>
  <c r="I3641" i="4"/>
  <c r="I3642" i="4"/>
  <c r="I3643" i="4"/>
  <c r="I3644" i="4"/>
  <c r="I3645" i="4"/>
  <c r="I3646" i="4"/>
  <c r="I3647" i="4"/>
  <c r="I3648" i="4"/>
  <c r="I3649" i="4"/>
  <c r="I3650" i="4"/>
  <c r="I3651" i="4"/>
  <c r="I3652" i="4"/>
  <c r="I3653" i="4"/>
  <c r="I3654" i="4"/>
  <c r="I3655" i="4"/>
  <c r="I3656" i="4"/>
  <c r="I3657" i="4"/>
  <c r="I3658" i="4"/>
  <c r="F3626" i="4"/>
  <c r="F3627" i="4"/>
  <c r="F3628" i="4"/>
  <c r="F3629" i="4"/>
  <c r="F3630" i="4"/>
  <c r="F3631" i="4"/>
  <c r="F3632" i="4"/>
  <c r="F3633" i="4"/>
  <c r="F3634" i="4"/>
  <c r="F3635" i="4"/>
  <c r="F3636" i="4"/>
  <c r="F3637" i="4"/>
  <c r="F3638" i="4"/>
  <c r="F3639" i="4"/>
  <c r="G3626" i="4"/>
  <c r="G3627" i="4"/>
  <c r="G3628" i="4"/>
  <c r="G3629" i="4"/>
  <c r="G3630" i="4"/>
  <c r="G3631" i="4"/>
  <c r="G3632" i="4"/>
  <c r="G3633" i="4"/>
  <c r="G3634" i="4"/>
  <c r="G3635" i="4"/>
  <c r="G3636" i="4"/>
  <c r="G3637" i="4"/>
  <c r="G3638" i="4"/>
  <c r="G3639" i="4"/>
  <c r="H3626" i="4"/>
  <c r="H3627" i="4"/>
  <c r="H3628" i="4"/>
  <c r="H3629" i="4"/>
  <c r="H3630" i="4"/>
  <c r="H3631" i="4"/>
  <c r="H3632" i="4"/>
  <c r="H3633" i="4"/>
  <c r="H3634" i="4"/>
  <c r="H3635" i="4"/>
  <c r="H3636" i="4"/>
  <c r="H3637" i="4"/>
  <c r="H3638" i="4"/>
  <c r="H3639" i="4"/>
  <c r="I3626" i="4"/>
  <c r="I3627" i="4"/>
  <c r="I3628" i="4"/>
  <c r="I3629" i="4"/>
  <c r="I3630" i="4"/>
  <c r="I3631" i="4"/>
  <c r="I3632" i="4"/>
  <c r="I3633" i="4"/>
  <c r="I3634" i="4"/>
  <c r="I3635" i="4"/>
  <c r="I3636" i="4"/>
  <c r="I3637" i="4"/>
  <c r="I3638" i="4"/>
  <c r="I3639" i="4"/>
  <c r="F3620" i="4"/>
  <c r="F3621" i="4"/>
  <c r="F3622" i="4"/>
  <c r="F3623" i="4"/>
  <c r="F3624" i="4"/>
  <c r="F3625" i="4"/>
  <c r="G3620" i="4"/>
  <c r="G3621" i="4"/>
  <c r="G3622" i="4"/>
  <c r="G3623" i="4"/>
  <c r="G3624" i="4"/>
  <c r="G3625" i="4"/>
  <c r="H3620" i="4"/>
  <c r="H3621" i="4"/>
  <c r="H3622" i="4"/>
  <c r="H3623" i="4"/>
  <c r="H3624" i="4"/>
  <c r="H3625" i="4"/>
  <c r="I3620" i="4"/>
  <c r="I3621" i="4"/>
  <c r="I3622" i="4"/>
  <c r="I3623" i="4"/>
  <c r="I3624" i="4"/>
  <c r="I3625" i="4"/>
  <c r="F3568" i="4"/>
  <c r="F3569" i="4"/>
  <c r="F3570" i="4"/>
  <c r="F3571" i="4"/>
  <c r="F3572" i="4"/>
  <c r="F3573" i="4"/>
  <c r="F3574" i="4"/>
  <c r="F3575" i="4"/>
  <c r="F3576" i="4"/>
  <c r="F3577" i="4"/>
  <c r="F3578" i="4"/>
  <c r="F3579" i="4"/>
  <c r="F3580" i="4"/>
  <c r="F3581" i="4"/>
  <c r="F3582" i="4"/>
  <c r="F3583" i="4"/>
  <c r="F3584" i="4"/>
  <c r="F3585" i="4"/>
  <c r="F3586" i="4"/>
  <c r="F3587" i="4"/>
  <c r="F3588" i="4"/>
  <c r="F3589" i="4"/>
  <c r="F3590" i="4"/>
  <c r="F3591" i="4"/>
  <c r="F3592" i="4"/>
  <c r="F3593" i="4"/>
  <c r="F3594" i="4"/>
  <c r="F3595" i="4"/>
  <c r="F3596" i="4"/>
  <c r="F3597" i="4"/>
  <c r="F3598" i="4"/>
  <c r="F3599" i="4"/>
  <c r="F3600" i="4"/>
  <c r="F3601" i="4"/>
  <c r="F3602" i="4"/>
  <c r="F3603" i="4"/>
  <c r="F3604" i="4"/>
  <c r="F3605" i="4"/>
  <c r="F3606" i="4"/>
  <c r="F3607" i="4"/>
  <c r="F3608" i="4"/>
  <c r="F3609" i="4"/>
  <c r="F3610" i="4"/>
  <c r="F3611" i="4"/>
  <c r="F3612" i="4"/>
  <c r="F3613" i="4"/>
  <c r="F3614" i="4"/>
  <c r="F3615" i="4"/>
  <c r="F3616" i="4"/>
  <c r="F3617" i="4"/>
  <c r="F3618" i="4"/>
  <c r="F3619" i="4"/>
  <c r="G3568" i="4"/>
  <c r="G3569" i="4"/>
  <c r="G3570" i="4"/>
  <c r="G3571" i="4"/>
  <c r="G3572" i="4"/>
  <c r="G3573" i="4"/>
  <c r="G3574" i="4"/>
  <c r="G3575" i="4"/>
  <c r="G3576" i="4"/>
  <c r="G3577" i="4"/>
  <c r="G3578" i="4"/>
  <c r="G3579" i="4"/>
  <c r="G3580" i="4"/>
  <c r="G3581" i="4"/>
  <c r="G3582" i="4"/>
  <c r="G3583" i="4"/>
  <c r="G3584" i="4"/>
  <c r="G3585" i="4"/>
  <c r="G3586" i="4"/>
  <c r="G3587" i="4"/>
  <c r="G3588" i="4"/>
  <c r="G3589" i="4"/>
  <c r="G3590" i="4"/>
  <c r="G3591" i="4"/>
  <c r="G3592" i="4"/>
  <c r="G3593" i="4"/>
  <c r="G3594" i="4"/>
  <c r="G3595" i="4"/>
  <c r="G3596" i="4"/>
  <c r="G3597" i="4"/>
  <c r="G3598" i="4"/>
  <c r="G3599" i="4"/>
  <c r="G3600" i="4"/>
  <c r="G3601" i="4"/>
  <c r="G3602" i="4"/>
  <c r="G3603" i="4"/>
  <c r="G3604" i="4"/>
  <c r="G3605" i="4"/>
  <c r="G3606" i="4"/>
  <c r="G3607" i="4"/>
  <c r="G3608" i="4"/>
  <c r="G3609" i="4"/>
  <c r="G3610" i="4"/>
  <c r="G3611" i="4"/>
  <c r="G3612" i="4"/>
  <c r="G3613" i="4"/>
  <c r="G3614" i="4"/>
  <c r="G3615" i="4"/>
  <c r="G3616" i="4"/>
  <c r="G3617" i="4"/>
  <c r="G3618" i="4"/>
  <c r="G3619" i="4"/>
  <c r="H3568" i="4"/>
  <c r="H3569" i="4"/>
  <c r="H3570" i="4"/>
  <c r="H3571" i="4"/>
  <c r="H3572" i="4"/>
  <c r="H3573" i="4"/>
  <c r="H3574" i="4"/>
  <c r="H3575" i="4"/>
  <c r="H3576" i="4"/>
  <c r="H3577" i="4"/>
  <c r="H3578" i="4"/>
  <c r="H3579" i="4"/>
  <c r="H3580" i="4"/>
  <c r="H3581" i="4"/>
  <c r="H3582" i="4"/>
  <c r="H3583" i="4"/>
  <c r="H3584" i="4"/>
  <c r="H3585" i="4"/>
  <c r="H3586" i="4"/>
  <c r="H3587" i="4"/>
  <c r="H3588" i="4"/>
  <c r="H3589" i="4"/>
  <c r="H3590" i="4"/>
  <c r="H3591" i="4"/>
  <c r="H3592" i="4"/>
  <c r="H3593" i="4"/>
  <c r="H3594" i="4"/>
  <c r="H3595" i="4"/>
  <c r="H3596" i="4"/>
  <c r="H3597" i="4"/>
  <c r="H3598" i="4"/>
  <c r="H3599" i="4"/>
  <c r="H3600" i="4"/>
  <c r="H3601" i="4"/>
  <c r="H3602" i="4"/>
  <c r="H3603" i="4"/>
  <c r="H3604" i="4"/>
  <c r="H3605" i="4"/>
  <c r="H3606" i="4"/>
  <c r="H3607" i="4"/>
  <c r="H3608" i="4"/>
  <c r="H3609" i="4"/>
  <c r="H3610" i="4"/>
  <c r="H3611" i="4"/>
  <c r="H3612" i="4"/>
  <c r="H3613" i="4"/>
  <c r="H3614" i="4"/>
  <c r="H3615" i="4"/>
  <c r="H3616" i="4"/>
  <c r="H3617" i="4"/>
  <c r="H3618" i="4"/>
  <c r="H3619"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F3551" i="4"/>
  <c r="F3552" i="4"/>
  <c r="F3553" i="4"/>
  <c r="F3554" i="4"/>
  <c r="F3555" i="4"/>
  <c r="F3556" i="4"/>
  <c r="F3557" i="4"/>
  <c r="F3558" i="4"/>
  <c r="F3559" i="4"/>
  <c r="F3560" i="4"/>
  <c r="F3561" i="4"/>
  <c r="F3562" i="4"/>
  <c r="F3563" i="4"/>
  <c r="F3564" i="4"/>
  <c r="F3565" i="4"/>
  <c r="F3566" i="4"/>
  <c r="F3567" i="4"/>
  <c r="G3551" i="4"/>
  <c r="G3552" i="4"/>
  <c r="G3553" i="4"/>
  <c r="G3554" i="4"/>
  <c r="G3555" i="4"/>
  <c r="G3556" i="4"/>
  <c r="G3557" i="4"/>
  <c r="G3558" i="4"/>
  <c r="G3559" i="4"/>
  <c r="G3560" i="4"/>
  <c r="G3561" i="4"/>
  <c r="G3562" i="4"/>
  <c r="G3563" i="4"/>
  <c r="G3564" i="4"/>
  <c r="G3565" i="4"/>
  <c r="G3566" i="4"/>
  <c r="G3567" i="4"/>
  <c r="H3551" i="4"/>
  <c r="H3552" i="4"/>
  <c r="H3553" i="4"/>
  <c r="H3554" i="4"/>
  <c r="H3555" i="4"/>
  <c r="H3556" i="4"/>
  <c r="H3557" i="4"/>
  <c r="H3558" i="4"/>
  <c r="H3559" i="4"/>
  <c r="H3560" i="4"/>
  <c r="H3561" i="4"/>
  <c r="H3562" i="4"/>
  <c r="H3563" i="4"/>
  <c r="H3564" i="4"/>
  <c r="H3565" i="4"/>
  <c r="H3566" i="4"/>
  <c r="H3567" i="4"/>
  <c r="I3551" i="4"/>
  <c r="I3552" i="4"/>
  <c r="I3553" i="4"/>
  <c r="I3554" i="4"/>
  <c r="I3555" i="4"/>
  <c r="I3556" i="4"/>
  <c r="I3557" i="4"/>
  <c r="I3558" i="4"/>
  <c r="I3559" i="4"/>
  <c r="I3560" i="4"/>
  <c r="I3561" i="4"/>
  <c r="I3562" i="4"/>
  <c r="I3563" i="4"/>
  <c r="I3564" i="4"/>
  <c r="I3565" i="4"/>
  <c r="I3566" i="4"/>
  <c r="I3567" i="4"/>
  <c r="F3545" i="4"/>
  <c r="F3546" i="4"/>
  <c r="F3547" i="4"/>
  <c r="F3548" i="4"/>
  <c r="F3549" i="4"/>
  <c r="F3550" i="4"/>
  <c r="G3545" i="4"/>
  <c r="G3546" i="4"/>
  <c r="G3547" i="4"/>
  <c r="G3548" i="4"/>
  <c r="G3549" i="4"/>
  <c r="G3550" i="4"/>
  <c r="H3545" i="4"/>
  <c r="H3546" i="4"/>
  <c r="H3547" i="4"/>
  <c r="H3548" i="4"/>
  <c r="H3549" i="4"/>
  <c r="H3550" i="4"/>
  <c r="I3545" i="4"/>
  <c r="I3546" i="4"/>
  <c r="I3547" i="4"/>
  <c r="I3548" i="4"/>
  <c r="I3549" i="4"/>
  <c r="I3550" i="4"/>
  <c r="F3539" i="4"/>
  <c r="F3540" i="4"/>
  <c r="F3541" i="4"/>
  <c r="F3542" i="4"/>
  <c r="F3543" i="4"/>
  <c r="F3544" i="4"/>
  <c r="G3539" i="4"/>
  <c r="G3540" i="4"/>
  <c r="G3541" i="4"/>
  <c r="G3542" i="4"/>
  <c r="G3543" i="4"/>
  <c r="G3544" i="4"/>
  <c r="H3539" i="4"/>
  <c r="H3540" i="4"/>
  <c r="H3541" i="4"/>
  <c r="H3542" i="4"/>
  <c r="H3543" i="4"/>
  <c r="H3544" i="4"/>
  <c r="I3539" i="4"/>
  <c r="I3540" i="4"/>
  <c r="I3541" i="4"/>
  <c r="I3542" i="4"/>
  <c r="I3543" i="4"/>
  <c r="I3544" i="4"/>
  <c r="F3115" i="4"/>
  <c r="F3116" i="4"/>
  <c r="F3117" i="4"/>
  <c r="F3118" i="4"/>
  <c r="F3119" i="4"/>
  <c r="F3120" i="4"/>
  <c r="F3121" i="4"/>
  <c r="F3122" i="4"/>
  <c r="F3123" i="4"/>
  <c r="F3124" i="4"/>
  <c r="F3125" i="4"/>
  <c r="F3126" i="4"/>
  <c r="F3127" i="4"/>
  <c r="F3128" i="4"/>
  <c r="F3129" i="4"/>
  <c r="F3130" i="4"/>
  <c r="F3131" i="4"/>
  <c r="F3132" i="4"/>
  <c r="F3133" i="4"/>
  <c r="F3134" i="4"/>
  <c r="F3135" i="4"/>
  <c r="F3136" i="4"/>
  <c r="F3137" i="4"/>
  <c r="F3138" i="4"/>
  <c r="F3139" i="4"/>
  <c r="F3140" i="4"/>
  <c r="F3141" i="4"/>
  <c r="F3142" i="4"/>
  <c r="F3143" i="4"/>
  <c r="F3144" i="4"/>
  <c r="F3145" i="4"/>
  <c r="F3146" i="4"/>
  <c r="F3147" i="4"/>
  <c r="F3148" i="4"/>
  <c r="F3149" i="4"/>
  <c r="F3150" i="4"/>
  <c r="F3151" i="4"/>
  <c r="F3152" i="4"/>
  <c r="F3153" i="4"/>
  <c r="F3154" i="4"/>
  <c r="F3155" i="4"/>
  <c r="F3156" i="4"/>
  <c r="F3157" i="4"/>
  <c r="F3158" i="4"/>
  <c r="F3159" i="4"/>
  <c r="F3160" i="4"/>
  <c r="F3161" i="4"/>
  <c r="F3162" i="4"/>
  <c r="F3163" i="4"/>
  <c r="F3164" i="4"/>
  <c r="F3165" i="4"/>
  <c r="F3166" i="4"/>
  <c r="F3167" i="4"/>
  <c r="F3168" i="4"/>
  <c r="F3169" i="4"/>
  <c r="F3170" i="4"/>
  <c r="F3171" i="4"/>
  <c r="F3172" i="4"/>
  <c r="F3173" i="4"/>
  <c r="F3174" i="4"/>
  <c r="F3175" i="4"/>
  <c r="F3176" i="4"/>
  <c r="F3177" i="4"/>
  <c r="F3178" i="4"/>
  <c r="F3179" i="4"/>
  <c r="F3180" i="4"/>
  <c r="F3181" i="4"/>
  <c r="F3182" i="4"/>
  <c r="F3183" i="4"/>
  <c r="F3184" i="4"/>
  <c r="F3185" i="4"/>
  <c r="F3186" i="4"/>
  <c r="F3187" i="4"/>
  <c r="F3188" i="4"/>
  <c r="F3189" i="4"/>
  <c r="F3190" i="4"/>
  <c r="F3191" i="4"/>
  <c r="F3192" i="4"/>
  <c r="F3193" i="4"/>
  <c r="F3194" i="4"/>
  <c r="F3195" i="4"/>
  <c r="F3196" i="4"/>
  <c r="F3197" i="4"/>
  <c r="F3198" i="4"/>
  <c r="F3199" i="4"/>
  <c r="F3200" i="4"/>
  <c r="F3201" i="4"/>
  <c r="F3202" i="4"/>
  <c r="F3203" i="4"/>
  <c r="F3204" i="4"/>
  <c r="F3205" i="4"/>
  <c r="F3206" i="4"/>
  <c r="F3207" i="4"/>
  <c r="F3208" i="4"/>
  <c r="F3209" i="4"/>
  <c r="F3210" i="4"/>
  <c r="F3211" i="4"/>
  <c r="F3212" i="4"/>
  <c r="F3213" i="4"/>
  <c r="F3214" i="4"/>
  <c r="F3215" i="4"/>
  <c r="F3216" i="4"/>
  <c r="F3217" i="4"/>
  <c r="F3218" i="4"/>
  <c r="F3219" i="4"/>
  <c r="F3220" i="4"/>
  <c r="F3221" i="4"/>
  <c r="F3222" i="4"/>
  <c r="F3223" i="4"/>
  <c r="F3224" i="4"/>
  <c r="F3225" i="4"/>
  <c r="F3226" i="4"/>
  <c r="F3227" i="4"/>
  <c r="F3228" i="4"/>
  <c r="F3229" i="4"/>
  <c r="F3230" i="4"/>
  <c r="F3231" i="4"/>
  <c r="F3232" i="4"/>
  <c r="F3233" i="4"/>
  <c r="F3234" i="4"/>
  <c r="F3235" i="4"/>
  <c r="F3236" i="4"/>
  <c r="F3237" i="4"/>
  <c r="F3238" i="4"/>
  <c r="F3239" i="4"/>
  <c r="F3240" i="4"/>
  <c r="F3241" i="4"/>
  <c r="F3242" i="4"/>
  <c r="F3243" i="4"/>
  <c r="F3244" i="4"/>
  <c r="F3245" i="4"/>
  <c r="F3246" i="4"/>
  <c r="F3247" i="4"/>
  <c r="F3248" i="4"/>
  <c r="F3249" i="4"/>
  <c r="F3250" i="4"/>
  <c r="F3251" i="4"/>
  <c r="F3252" i="4"/>
  <c r="F3253" i="4"/>
  <c r="F3254" i="4"/>
  <c r="F3255" i="4"/>
  <c r="F3256" i="4"/>
  <c r="F3257" i="4"/>
  <c r="F3258" i="4"/>
  <c r="F3259" i="4"/>
  <c r="F3260" i="4"/>
  <c r="F3261" i="4"/>
  <c r="F3262" i="4"/>
  <c r="F3263" i="4"/>
  <c r="F3264" i="4"/>
  <c r="F3265" i="4"/>
  <c r="F3266" i="4"/>
  <c r="F3267" i="4"/>
  <c r="F3268" i="4"/>
  <c r="F3269" i="4"/>
  <c r="F3270" i="4"/>
  <c r="F3271" i="4"/>
  <c r="F3272" i="4"/>
  <c r="F3273" i="4"/>
  <c r="F3274" i="4"/>
  <c r="F3275" i="4"/>
  <c r="F3276" i="4"/>
  <c r="F3277" i="4"/>
  <c r="F3278" i="4"/>
  <c r="F3279" i="4"/>
  <c r="F3280" i="4"/>
  <c r="F3281" i="4"/>
  <c r="F3282" i="4"/>
  <c r="F3283" i="4"/>
  <c r="F3284" i="4"/>
  <c r="F3285" i="4"/>
  <c r="F3286" i="4"/>
  <c r="F3287" i="4"/>
  <c r="F3288" i="4"/>
  <c r="F3289" i="4"/>
  <c r="F3290" i="4"/>
  <c r="F3291" i="4"/>
  <c r="F3292" i="4"/>
  <c r="F3293" i="4"/>
  <c r="F3294" i="4"/>
  <c r="F3295" i="4"/>
  <c r="F3296" i="4"/>
  <c r="F3297" i="4"/>
  <c r="F3298" i="4"/>
  <c r="F3299" i="4"/>
  <c r="F3300" i="4"/>
  <c r="F3301" i="4"/>
  <c r="F3302" i="4"/>
  <c r="F3303" i="4"/>
  <c r="F3304" i="4"/>
  <c r="F3305" i="4"/>
  <c r="F3306" i="4"/>
  <c r="F3307" i="4"/>
  <c r="F3308" i="4"/>
  <c r="F3309" i="4"/>
  <c r="F3310" i="4"/>
  <c r="F3311" i="4"/>
  <c r="F3312" i="4"/>
  <c r="F3313" i="4"/>
  <c r="F3314" i="4"/>
  <c r="F3315" i="4"/>
  <c r="F3316" i="4"/>
  <c r="F3317" i="4"/>
  <c r="F3318" i="4"/>
  <c r="F3319" i="4"/>
  <c r="F3320" i="4"/>
  <c r="F3321" i="4"/>
  <c r="F3322" i="4"/>
  <c r="F3323" i="4"/>
  <c r="F3324" i="4"/>
  <c r="F3325" i="4"/>
  <c r="F3326" i="4"/>
  <c r="F3327" i="4"/>
  <c r="F3328" i="4"/>
  <c r="F3329" i="4"/>
  <c r="F3330" i="4"/>
  <c r="F3331" i="4"/>
  <c r="F3332" i="4"/>
  <c r="F3333" i="4"/>
  <c r="F3334" i="4"/>
  <c r="F3335" i="4"/>
  <c r="F3336" i="4"/>
  <c r="F3337" i="4"/>
  <c r="F3338" i="4"/>
  <c r="F3339" i="4"/>
  <c r="F3340" i="4"/>
  <c r="F3341" i="4"/>
  <c r="F3342" i="4"/>
  <c r="F3343" i="4"/>
  <c r="F3344" i="4"/>
  <c r="F3345" i="4"/>
  <c r="F3346" i="4"/>
  <c r="F3347" i="4"/>
  <c r="F3348" i="4"/>
  <c r="F3349" i="4"/>
  <c r="F3350" i="4"/>
  <c r="F3351" i="4"/>
  <c r="F3352" i="4"/>
  <c r="F3353" i="4"/>
  <c r="F3354" i="4"/>
  <c r="F3355" i="4"/>
  <c r="F3356" i="4"/>
  <c r="F3357" i="4"/>
  <c r="F3358" i="4"/>
  <c r="F3359" i="4"/>
  <c r="F3360" i="4"/>
  <c r="F3361" i="4"/>
  <c r="F3362" i="4"/>
  <c r="F3363" i="4"/>
  <c r="F3364" i="4"/>
  <c r="F3365" i="4"/>
  <c r="F3366" i="4"/>
  <c r="F3367" i="4"/>
  <c r="F3368" i="4"/>
  <c r="F3369" i="4"/>
  <c r="F3370" i="4"/>
  <c r="F3371" i="4"/>
  <c r="F3372" i="4"/>
  <c r="F3373" i="4"/>
  <c r="F3374" i="4"/>
  <c r="F3375" i="4"/>
  <c r="F3376" i="4"/>
  <c r="F3377" i="4"/>
  <c r="F3378" i="4"/>
  <c r="F3379" i="4"/>
  <c r="F3380" i="4"/>
  <c r="F3381" i="4"/>
  <c r="F3382" i="4"/>
  <c r="F3383" i="4"/>
  <c r="F3384" i="4"/>
  <c r="F3385" i="4"/>
  <c r="F3386" i="4"/>
  <c r="F3387" i="4"/>
  <c r="F3388" i="4"/>
  <c r="F3389" i="4"/>
  <c r="F3390" i="4"/>
  <c r="F3391" i="4"/>
  <c r="F3392" i="4"/>
  <c r="F3393" i="4"/>
  <c r="F3394" i="4"/>
  <c r="F3395" i="4"/>
  <c r="F3396" i="4"/>
  <c r="F3397" i="4"/>
  <c r="F3398" i="4"/>
  <c r="F3399" i="4"/>
  <c r="F3400" i="4"/>
  <c r="F3401" i="4"/>
  <c r="F3402" i="4"/>
  <c r="F3403" i="4"/>
  <c r="F3404" i="4"/>
  <c r="F3405" i="4"/>
  <c r="F3406" i="4"/>
  <c r="F3407" i="4"/>
  <c r="F3408" i="4"/>
  <c r="F3409" i="4"/>
  <c r="F3410" i="4"/>
  <c r="F3411" i="4"/>
  <c r="F3412" i="4"/>
  <c r="F3413" i="4"/>
  <c r="F3414" i="4"/>
  <c r="F3415" i="4"/>
  <c r="F3416" i="4"/>
  <c r="F3417" i="4"/>
  <c r="F3418" i="4"/>
  <c r="F3419" i="4"/>
  <c r="F3420" i="4"/>
  <c r="F3421" i="4"/>
  <c r="F3422" i="4"/>
  <c r="F3423" i="4"/>
  <c r="F3424" i="4"/>
  <c r="F3425" i="4"/>
  <c r="F3426" i="4"/>
  <c r="F3427" i="4"/>
  <c r="F3428" i="4"/>
  <c r="F3429" i="4"/>
  <c r="F3430" i="4"/>
  <c r="F3431" i="4"/>
  <c r="F3432" i="4"/>
  <c r="F3433" i="4"/>
  <c r="F3434" i="4"/>
  <c r="F3435" i="4"/>
  <c r="F3436" i="4"/>
  <c r="F3437" i="4"/>
  <c r="F3438" i="4"/>
  <c r="F3439" i="4"/>
  <c r="F3440" i="4"/>
  <c r="F3441" i="4"/>
  <c r="F3442" i="4"/>
  <c r="F3443" i="4"/>
  <c r="F3444" i="4"/>
  <c r="F3445" i="4"/>
  <c r="F3446" i="4"/>
  <c r="F3447" i="4"/>
  <c r="F3448" i="4"/>
  <c r="F3449" i="4"/>
  <c r="F3450" i="4"/>
  <c r="F3451" i="4"/>
  <c r="F3452" i="4"/>
  <c r="F3453" i="4"/>
  <c r="F3454" i="4"/>
  <c r="F3455" i="4"/>
  <c r="F3456" i="4"/>
  <c r="F3457" i="4"/>
  <c r="F3458" i="4"/>
  <c r="F3459" i="4"/>
  <c r="F3460" i="4"/>
  <c r="F3461" i="4"/>
  <c r="F3462" i="4"/>
  <c r="F3463" i="4"/>
  <c r="F3464" i="4"/>
  <c r="F3465" i="4"/>
  <c r="F3466" i="4"/>
  <c r="F3467" i="4"/>
  <c r="F3468" i="4"/>
  <c r="F3469" i="4"/>
  <c r="F3470" i="4"/>
  <c r="F3471" i="4"/>
  <c r="F3472" i="4"/>
  <c r="F3473" i="4"/>
  <c r="F3474" i="4"/>
  <c r="F3475" i="4"/>
  <c r="F3476" i="4"/>
  <c r="F3477" i="4"/>
  <c r="F3478" i="4"/>
  <c r="F3479" i="4"/>
  <c r="F3480" i="4"/>
  <c r="F3481" i="4"/>
  <c r="F3482" i="4"/>
  <c r="F3483" i="4"/>
  <c r="F3484" i="4"/>
  <c r="F3485" i="4"/>
  <c r="F3486" i="4"/>
  <c r="F3487" i="4"/>
  <c r="F3488" i="4"/>
  <c r="F3489" i="4"/>
  <c r="F3490" i="4"/>
  <c r="F3491" i="4"/>
  <c r="F3492" i="4"/>
  <c r="F3493" i="4"/>
  <c r="F3494" i="4"/>
  <c r="F3495" i="4"/>
  <c r="F3496" i="4"/>
  <c r="F3497" i="4"/>
  <c r="F3498" i="4"/>
  <c r="F3499" i="4"/>
  <c r="F3500" i="4"/>
  <c r="F3501" i="4"/>
  <c r="F3502" i="4"/>
  <c r="F3503" i="4"/>
  <c r="F3504" i="4"/>
  <c r="F3505" i="4"/>
  <c r="F3506" i="4"/>
  <c r="F3507" i="4"/>
  <c r="F3508" i="4"/>
  <c r="F3509" i="4"/>
  <c r="F3510" i="4"/>
  <c r="F3511" i="4"/>
  <c r="F3512" i="4"/>
  <c r="F3513" i="4"/>
  <c r="F3514" i="4"/>
  <c r="F3515" i="4"/>
  <c r="F3516" i="4"/>
  <c r="F3517" i="4"/>
  <c r="F3518" i="4"/>
  <c r="F3519" i="4"/>
  <c r="F3520" i="4"/>
  <c r="F3521" i="4"/>
  <c r="F3522" i="4"/>
  <c r="F3523" i="4"/>
  <c r="F3524" i="4"/>
  <c r="F3525" i="4"/>
  <c r="F3526" i="4"/>
  <c r="F3527" i="4"/>
  <c r="F3528" i="4"/>
  <c r="F3529" i="4"/>
  <c r="F3530" i="4"/>
  <c r="F3531" i="4"/>
  <c r="F3532" i="4"/>
  <c r="F3533" i="4"/>
  <c r="F3534" i="4"/>
  <c r="F3535" i="4"/>
  <c r="F3536" i="4"/>
  <c r="F3537" i="4"/>
  <c r="F3538"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 r="G3138" i="4"/>
  <c r="G3139" i="4"/>
  <c r="G3140" i="4"/>
  <c r="G3141" i="4"/>
  <c r="G3142" i="4"/>
  <c r="G3143" i="4"/>
  <c r="G3144" i="4"/>
  <c r="G3145" i="4"/>
  <c r="G3146" i="4"/>
  <c r="G3147" i="4"/>
  <c r="G3148" i="4"/>
  <c r="G3149" i="4"/>
  <c r="G3150" i="4"/>
  <c r="G3151" i="4"/>
  <c r="G3152" i="4"/>
  <c r="G3153" i="4"/>
  <c r="G3154" i="4"/>
  <c r="G3155" i="4"/>
  <c r="G3156" i="4"/>
  <c r="G3157" i="4"/>
  <c r="G3158" i="4"/>
  <c r="G3159" i="4"/>
  <c r="G3160" i="4"/>
  <c r="G3161" i="4"/>
  <c r="G3162" i="4"/>
  <c r="G3163" i="4"/>
  <c r="G3164" i="4"/>
  <c r="G3165" i="4"/>
  <c r="G3166" i="4"/>
  <c r="G3167" i="4"/>
  <c r="G3168" i="4"/>
  <c r="G3169" i="4"/>
  <c r="G3170" i="4"/>
  <c r="G3171" i="4"/>
  <c r="G3172" i="4"/>
  <c r="G3173" i="4"/>
  <c r="G3174" i="4"/>
  <c r="G3175" i="4"/>
  <c r="G3176" i="4"/>
  <c r="G3177" i="4"/>
  <c r="G3178" i="4"/>
  <c r="G3179" i="4"/>
  <c r="G3180" i="4"/>
  <c r="G3181" i="4"/>
  <c r="G3182" i="4"/>
  <c r="G3183" i="4"/>
  <c r="G3184" i="4"/>
  <c r="G3185" i="4"/>
  <c r="G3186" i="4"/>
  <c r="G3187" i="4"/>
  <c r="G3188" i="4"/>
  <c r="G3189" i="4"/>
  <c r="G3190" i="4"/>
  <c r="G3191" i="4"/>
  <c r="G3192" i="4"/>
  <c r="G3193" i="4"/>
  <c r="G3194" i="4"/>
  <c r="G3195" i="4"/>
  <c r="G3196" i="4"/>
  <c r="G3197" i="4"/>
  <c r="G3198" i="4"/>
  <c r="G3199" i="4"/>
  <c r="G3200" i="4"/>
  <c r="G3201" i="4"/>
  <c r="G3202" i="4"/>
  <c r="G3203" i="4"/>
  <c r="G3204" i="4"/>
  <c r="G3205" i="4"/>
  <c r="G3206" i="4"/>
  <c r="G3207" i="4"/>
  <c r="G3208" i="4"/>
  <c r="G3209" i="4"/>
  <c r="G3210" i="4"/>
  <c r="G3211" i="4"/>
  <c r="G3212" i="4"/>
  <c r="G3213" i="4"/>
  <c r="G3214" i="4"/>
  <c r="G3215" i="4"/>
  <c r="G3216" i="4"/>
  <c r="G3217" i="4"/>
  <c r="G3218" i="4"/>
  <c r="G3219" i="4"/>
  <c r="G3220" i="4"/>
  <c r="G3221" i="4"/>
  <c r="G3222" i="4"/>
  <c r="G3223" i="4"/>
  <c r="G3224" i="4"/>
  <c r="G3225" i="4"/>
  <c r="G3226" i="4"/>
  <c r="G3227" i="4"/>
  <c r="G3228" i="4"/>
  <c r="G3229" i="4"/>
  <c r="G3230" i="4"/>
  <c r="G3231" i="4"/>
  <c r="G3232" i="4"/>
  <c r="G3233" i="4"/>
  <c r="G3234" i="4"/>
  <c r="G3235" i="4"/>
  <c r="G3236" i="4"/>
  <c r="G3237" i="4"/>
  <c r="G3238" i="4"/>
  <c r="G3239" i="4"/>
  <c r="G3240" i="4"/>
  <c r="G3241" i="4"/>
  <c r="G3242" i="4"/>
  <c r="G3243" i="4"/>
  <c r="G3244" i="4"/>
  <c r="G3245" i="4"/>
  <c r="G3246" i="4"/>
  <c r="G3247" i="4"/>
  <c r="G3248" i="4"/>
  <c r="G3249" i="4"/>
  <c r="G3250" i="4"/>
  <c r="G3251" i="4"/>
  <c r="G3252" i="4"/>
  <c r="G3253" i="4"/>
  <c r="G3254" i="4"/>
  <c r="G3255" i="4"/>
  <c r="G3256" i="4"/>
  <c r="G3257" i="4"/>
  <c r="G3258" i="4"/>
  <c r="G3259" i="4"/>
  <c r="G3260" i="4"/>
  <c r="G3261" i="4"/>
  <c r="G3262" i="4"/>
  <c r="G3263" i="4"/>
  <c r="G3264" i="4"/>
  <c r="G3265" i="4"/>
  <c r="G3266" i="4"/>
  <c r="G3267" i="4"/>
  <c r="G3268" i="4"/>
  <c r="G3269" i="4"/>
  <c r="G3270" i="4"/>
  <c r="G3271" i="4"/>
  <c r="G3272" i="4"/>
  <c r="G3273" i="4"/>
  <c r="G3274" i="4"/>
  <c r="G3275" i="4"/>
  <c r="G3276" i="4"/>
  <c r="G3277" i="4"/>
  <c r="G3278" i="4"/>
  <c r="G3279" i="4"/>
  <c r="G3280" i="4"/>
  <c r="G3281" i="4"/>
  <c r="G3282" i="4"/>
  <c r="G3283" i="4"/>
  <c r="G3284" i="4"/>
  <c r="G3285" i="4"/>
  <c r="G3286" i="4"/>
  <c r="G3287" i="4"/>
  <c r="G3288" i="4"/>
  <c r="G3289" i="4"/>
  <c r="G3290" i="4"/>
  <c r="G3291" i="4"/>
  <c r="G3292" i="4"/>
  <c r="G3293" i="4"/>
  <c r="G3294" i="4"/>
  <c r="G3295" i="4"/>
  <c r="G3296" i="4"/>
  <c r="G3297" i="4"/>
  <c r="G3298" i="4"/>
  <c r="G3299" i="4"/>
  <c r="G3300" i="4"/>
  <c r="G3301" i="4"/>
  <c r="G3302" i="4"/>
  <c r="G3303" i="4"/>
  <c r="G3304" i="4"/>
  <c r="G3305" i="4"/>
  <c r="G3306" i="4"/>
  <c r="G3307" i="4"/>
  <c r="G3308" i="4"/>
  <c r="G3309" i="4"/>
  <c r="G3310" i="4"/>
  <c r="G3311" i="4"/>
  <c r="G3312" i="4"/>
  <c r="G3313" i="4"/>
  <c r="G3314" i="4"/>
  <c r="G3315" i="4"/>
  <c r="G3316" i="4"/>
  <c r="G3317" i="4"/>
  <c r="G3318" i="4"/>
  <c r="G3319" i="4"/>
  <c r="G3320" i="4"/>
  <c r="G3321" i="4"/>
  <c r="G3322" i="4"/>
  <c r="G3323" i="4"/>
  <c r="G3324" i="4"/>
  <c r="G3325" i="4"/>
  <c r="G3326" i="4"/>
  <c r="G3327" i="4"/>
  <c r="G3328" i="4"/>
  <c r="G3329" i="4"/>
  <c r="G3330" i="4"/>
  <c r="G3331" i="4"/>
  <c r="G3332" i="4"/>
  <c r="G3333" i="4"/>
  <c r="G3334" i="4"/>
  <c r="G3335" i="4"/>
  <c r="G3336" i="4"/>
  <c r="G3337" i="4"/>
  <c r="G3338" i="4"/>
  <c r="G3339" i="4"/>
  <c r="G3340" i="4"/>
  <c r="G3341" i="4"/>
  <c r="G3342" i="4"/>
  <c r="G3343" i="4"/>
  <c r="G3344" i="4"/>
  <c r="G3345" i="4"/>
  <c r="G3346" i="4"/>
  <c r="G3347" i="4"/>
  <c r="G3348" i="4"/>
  <c r="G3349" i="4"/>
  <c r="G3350" i="4"/>
  <c r="G3351" i="4"/>
  <c r="G3352" i="4"/>
  <c r="G3353" i="4"/>
  <c r="G3354" i="4"/>
  <c r="G3355" i="4"/>
  <c r="G3356" i="4"/>
  <c r="G3357" i="4"/>
  <c r="G3358" i="4"/>
  <c r="G3359" i="4"/>
  <c r="G3360" i="4"/>
  <c r="G3361" i="4"/>
  <c r="G3362" i="4"/>
  <c r="G3363" i="4"/>
  <c r="G3364" i="4"/>
  <c r="G3365" i="4"/>
  <c r="G3366" i="4"/>
  <c r="G3367" i="4"/>
  <c r="G3368" i="4"/>
  <c r="G3369" i="4"/>
  <c r="G3370" i="4"/>
  <c r="G3371" i="4"/>
  <c r="G3372" i="4"/>
  <c r="G3373" i="4"/>
  <c r="G3374" i="4"/>
  <c r="G3375" i="4"/>
  <c r="G3376" i="4"/>
  <c r="G3377" i="4"/>
  <c r="G3378" i="4"/>
  <c r="G3379" i="4"/>
  <c r="G3380" i="4"/>
  <c r="G3381" i="4"/>
  <c r="G3382" i="4"/>
  <c r="G3383" i="4"/>
  <c r="G3384" i="4"/>
  <c r="G3385" i="4"/>
  <c r="G3386" i="4"/>
  <c r="G3387" i="4"/>
  <c r="G3388" i="4"/>
  <c r="G3389" i="4"/>
  <c r="G3390" i="4"/>
  <c r="G3391" i="4"/>
  <c r="G3392" i="4"/>
  <c r="G3393" i="4"/>
  <c r="G3394" i="4"/>
  <c r="G3395" i="4"/>
  <c r="G3396" i="4"/>
  <c r="G3397" i="4"/>
  <c r="G3398" i="4"/>
  <c r="G3399" i="4"/>
  <c r="G3400" i="4"/>
  <c r="G3401" i="4"/>
  <c r="G3402" i="4"/>
  <c r="G3403" i="4"/>
  <c r="G3404" i="4"/>
  <c r="G3405" i="4"/>
  <c r="G3406" i="4"/>
  <c r="G3407" i="4"/>
  <c r="G3408" i="4"/>
  <c r="G3409" i="4"/>
  <c r="G3410" i="4"/>
  <c r="G3411" i="4"/>
  <c r="G3412" i="4"/>
  <c r="G3413" i="4"/>
  <c r="G3414" i="4"/>
  <c r="G3415" i="4"/>
  <c r="G3416" i="4"/>
  <c r="G3417" i="4"/>
  <c r="G3418" i="4"/>
  <c r="G3419" i="4"/>
  <c r="G3420" i="4"/>
  <c r="G3421" i="4"/>
  <c r="G3422" i="4"/>
  <c r="G3423" i="4"/>
  <c r="G3424" i="4"/>
  <c r="G3425" i="4"/>
  <c r="G3426" i="4"/>
  <c r="G3427" i="4"/>
  <c r="G3428" i="4"/>
  <c r="G3429" i="4"/>
  <c r="G3430" i="4"/>
  <c r="G3431" i="4"/>
  <c r="G3432" i="4"/>
  <c r="G3433" i="4"/>
  <c r="G3434" i="4"/>
  <c r="G3435" i="4"/>
  <c r="G3436" i="4"/>
  <c r="G3437" i="4"/>
  <c r="G3438" i="4"/>
  <c r="G3439" i="4"/>
  <c r="G3440" i="4"/>
  <c r="G3441" i="4"/>
  <c r="G3442" i="4"/>
  <c r="G3443" i="4"/>
  <c r="G3444" i="4"/>
  <c r="G3445" i="4"/>
  <c r="G3446" i="4"/>
  <c r="G3447" i="4"/>
  <c r="G3448" i="4"/>
  <c r="G3449" i="4"/>
  <c r="G3450" i="4"/>
  <c r="G3451" i="4"/>
  <c r="G3452" i="4"/>
  <c r="G3453" i="4"/>
  <c r="G3454" i="4"/>
  <c r="G3455" i="4"/>
  <c r="G3456" i="4"/>
  <c r="G3457" i="4"/>
  <c r="G3458" i="4"/>
  <c r="G3459" i="4"/>
  <c r="G3460" i="4"/>
  <c r="G3461" i="4"/>
  <c r="G3462" i="4"/>
  <c r="G3463" i="4"/>
  <c r="G3464" i="4"/>
  <c r="G3465" i="4"/>
  <c r="G3466" i="4"/>
  <c r="G3467" i="4"/>
  <c r="G3468" i="4"/>
  <c r="G3469" i="4"/>
  <c r="G3470" i="4"/>
  <c r="G3471" i="4"/>
  <c r="G3472" i="4"/>
  <c r="G3473" i="4"/>
  <c r="G3474" i="4"/>
  <c r="G3475" i="4"/>
  <c r="G3476" i="4"/>
  <c r="G3477" i="4"/>
  <c r="G3478" i="4"/>
  <c r="G3479" i="4"/>
  <c r="G3480" i="4"/>
  <c r="G3481" i="4"/>
  <c r="G3482" i="4"/>
  <c r="G3483" i="4"/>
  <c r="G3484" i="4"/>
  <c r="G3485" i="4"/>
  <c r="G3486" i="4"/>
  <c r="G3487" i="4"/>
  <c r="G3488" i="4"/>
  <c r="G3489" i="4"/>
  <c r="G3490" i="4"/>
  <c r="G3491" i="4"/>
  <c r="G3492" i="4"/>
  <c r="G3493" i="4"/>
  <c r="G3494" i="4"/>
  <c r="G3495" i="4"/>
  <c r="G3496" i="4"/>
  <c r="G3497" i="4"/>
  <c r="G3498" i="4"/>
  <c r="G3499" i="4"/>
  <c r="G3500" i="4"/>
  <c r="G3501" i="4"/>
  <c r="G3502" i="4"/>
  <c r="G3503" i="4"/>
  <c r="G3504" i="4"/>
  <c r="G3505" i="4"/>
  <c r="G3506" i="4"/>
  <c r="G3507" i="4"/>
  <c r="G3508" i="4"/>
  <c r="G3509" i="4"/>
  <c r="G3510" i="4"/>
  <c r="G3511" i="4"/>
  <c r="G3512" i="4"/>
  <c r="G3513" i="4"/>
  <c r="G3514" i="4"/>
  <c r="G3515" i="4"/>
  <c r="G3516" i="4"/>
  <c r="G3517" i="4"/>
  <c r="G3518" i="4"/>
  <c r="G3519" i="4"/>
  <c r="G3520" i="4"/>
  <c r="G3521" i="4"/>
  <c r="G3522" i="4"/>
  <c r="G3523" i="4"/>
  <c r="G3524" i="4"/>
  <c r="G3525" i="4"/>
  <c r="G3526" i="4"/>
  <c r="G3527" i="4"/>
  <c r="G3528" i="4"/>
  <c r="G3529" i="4"/>
  <c r="G3530" i="4"/>
  <c r="G3531" i="4"/>
  <c r="G3532" i="4"/>
  <c r="G3533" i="4"/>
  <c r="G3534" i="4"/>
  <c r="G3535" i="4"/>
  <c r="G3536" i="4"/>
  <c r="G3537" i="4"/>
  <c r="G3538" i="4"/>
  <c r="H3115" i="4"/>
  <c r="H3116" i="4"/>
  <c r="H3117" i="4"/>
  <c r="H3118" i="4"/>
  <c r="H3119" i="4"/>
  <c r="H3120" i="4"/>
  <c r="H3121" i="4"/>
  <c r="H3122" i="4"/>
  <c r="H3123" i="4"/>
  <c r="H3124" i="4"/>
  <c r="H3125" i="4"/>
  <c r="H3126" i="4"/>
  <c r="H3127" i="4"/>
  <c r="H3128" i="4"/>
  <c r="H3129" i="4"/>
  <c r="H3130" i="4"/>
  <c r="H3131" i="4"/>
  <c r="H3132" i="4"/>
  <c r="H3133" i="4"/>
  <c r="H3134" i="4"/>
  <c r="H3135" i="4"/>
  <c r="H3136" i="4"/>
  <c r="H3137" i="4"/>
  <c r="H3138" i="4"/>
  <c r="H3139" i="4"/>
  <c r="H3140" i="4"/>
  <c r="H3141" i="4"/>
  <c r="H3142" i="4"/>
  <c r="H3143" i="4"/>
  <c r="H3144" i="4"/>
  <c r="H3145" i="4"/>
  <c r="H3146" i="4"/>
  <c r="H3147" i="4"/>
  <c r="H3148" i="4"/>
  <c r="H3149" i="4"/>
  <c r="H3150" i="4"/>
  <c r="H3151" i="4"/>
  <c r="H3152" i="4"/>
  <c r="H3153" i="4"/>
  <c r="H3154" i="4"/>
  <c r="H3155" i="4"/>
  <c r="H3156" i="4"/>
  <c r="H3157" i="4"/>
  <c r="H3158" i="4"/>
  <c r="H3159" i="4"/>
  <c r="H3160" i="4"/>
  <c r="H3161" i="4"/>
  <c r="H3162" i="4"/>
  <c r="H3163" i="4"/>
  <c r="H3164" i="4"/>
  <c r="H3165" i="4"/>
  <c r="H3166" i="4"/>
  <c r="H3167" i="4"/>
  <c r="H3168" i="4"/>
  <c r="H3169" i="4"/>
  <c r="H3170" i="4"/>
  <c r="H3171" i="4"/>
  <c r="H3172" i="4"/>
  <c r="H3173" i="4"/>
  <c r="H3174" i="4"/>
  <c r="H3175" i="4"/>
  <c r="H3176" i="4"/>
  <c r="H3177" i="4"/>
  <c r="H3178" i="4"/>
  <c r="H3179" i="4"/>
  <c r="H3180" i="4"/>
  <c r="H3181" i="4"/>
  <c r="H3182" i="4"/>
  <c r="H3183" i="4"/>
  <c r="H3184" i="4"/>
  <c r="H3185" i="4"/>
  <c r="H3186" i="4"/>
  <c r="H3187" i="4"/>
  <c r="H3188" i="4"/>
  <c r="H3189" i="4"/>
  <c r="H3190" i="4"/>
  <c r="H3191" i="4"/>
  <c r="H3192" i="4"/>
  <c r="H3193" i="4"/>
  <c r="H3194" i="4"/>
  <c r="H3195" i="4"/>
  <c r="H3196" i="4"/>
  <c r="H3197" i="4"/>
  <c r="H3198" i="4"/>
  <c r="H3199" i="4"/>
  <c r="H3200" i="4"/>
  <c r="H3201" i="4"/>
  <c r="H3202" i="4"/>
  <c r="H3203" i="4"/>
  <c r="H3204" i="4"/>
  <c r="H3205" i="4"/>
  <c r="H3206" i="4"/>
  <c r="H3207" i="4"/>
  <c r="H3208" i="4"/>
  <c r="H3209" i="4"/>
  <c r="H3210" i="4"/>
  <c r="H3211" i="4"/>
  <c r="H3212" i="4"/>
  <c r="H3213" i="4"/>
  <c r="H3214" i="4"/>
  <c r="H3215" i="4"/>
  <c r="H3216" i="4"/>
  <c r="H3217" i="4"/>
  <c r="H3218" i="4"/>
  <c r="H3219" i="4"/>
  <c r="H3220" i="4"/>
  <c r="H3221" i="4"/>
  <c r="H3222" i="4"/>
  <c r="H3223" i="4"/>
  <c r="H3224" i="4"/>
  <c r="H3225" i="4"/>
  <c r="H3226" i="4"/>
  <c r="H3227" i="4"/>
  <c r="H3228" i="4"/>
  <c r="H3229" i="4"/>
  <c r="H3230" i="4"/>
  <c r="H3231" i="4"/>
  <c r="H3232" i="4"/>
  <c r="H3233" i="4"/>
  <c r="H3234" i="4"/>
  <c r="H3235" i="4"/>
  <c r="H3236" i="4"/>
  <c r="H3237" i="4"/>
  <c r="H3238" i="4"/>
  <c r="H3239" i="4"/>
  <c r="H3240" i="4"/>
  <c r="H3241" i="4"/>
  <c r="H3242" i="4"/>
  <c r="H3243" i="4"/>
  <c r="H3244" i="4"/>
  <c r="H3245" i="4"/>
  <c r="H3246" i="4"/>
  <c r="H3247" i="4"/>
  <c r="H3248" i="4"/>
  <c r="H3249" i="4"/>
  <c r="H3250" i="4"/>
  <c r="H3251" i="4"/>
  <c r="H3252" i="4"/>
  <c r="H3253" i="4"/>
  <c r="H3254" i="4"/>
  <c r="H3255" i="4"/>
  <c r="H3256" i="4"/>
  <c r="H3257" i="4"/>
  <c r="H3258" i="4"/>
  <c r="H3259" i="4"/>
  <c r="H3260" i="4"/>
  <c r="H3261" i="4"/>
  <c r="H3262" i="4"/>
  <c r="H3263" i="4"/>
  <c r="H3264" i="4"/>
  <c r="H3265" i="4"/>
  <c r="H3266" i="4"/>
  <c r="H3267" i="4"/>
  <c r="H3268" i="4"/>
  <c r="H3269" i="4"/>
  <c r="H3270" i="4"/>
  <c r="H3271" i="4"/>
  <c r="H3272" i="4"/>
  <c r="H3273" i="4"/>
  <c r="H3274" i="4"/>
  <c r="H3275" i="4"/>
  <c r="H3276" i="4"/>
  <c r="H3277" i="4"/>
  <c r="H3278" i="4"/>
  <c r="H3279" i="4"/>
  <c r="H3280" i="4"/>
  <c r="H3281" i="4"/>
  <c r="H3282" i="4"/>
  <c r="H3283" i="4"/>
  <c r="H3284" i="4"/>
  <c r="H3285" i="4"/>
  <c r="H3286" i="4"/>
  <c r="H3287" i="4"/>
  <c r="H3288" i="4"/>
  <c r="H3289" i="4"/>
  <c r="H3290" i="4"/>
  <c r="H3291" i="4"/>
  <c r="H3292" i="4"/>
  <c r="H3293" i="4"/>
  <c r="H3294" i="4"/>
  <c r="H3295" i="4"/>
  <c r="H3296" i="4"/>
  <c r="H3297" i="4"/>
  <c r="H3298" i="4"/>
  <c r="H3299" i="4"/>
  <c r="H3300" i="4"/>
  <c r="H3301" i="4"/>
  <c r="H3302" i="4"/>
  <c r="H3303" i="4"/>
  <c r="H3304" i="4"/>
  <c r="H3305" i="4"/>
  <c r="H3306" i="4"/>
  <c r="H3307" i="4"/>
  <c r="H3308" i="4"/>
  <c r="H3309" i="4"/>
  <c r="H3310" i="4"/>
  <c r="H3311" i="4"/>
  <c r="H3312" i="4"/>
  <c r="H3313" i="4"/>
  <c r="H3314" i="4"/>
  <c r="H3315" i="4"/>
  <c r="H3316" i="4"/>
  <c r="H3317" i="4"/>
  <c r="H3318" i="4"/>
  <c r="H3319" i="4"/>
  <c r="H3320" i="4"/>
  <c r="H3321" i="4"/>
  <c r="H3322" i="4"/>
  <c r="H3323" i="4"/>
  <c r="H3324" i="4"/>
  <c r="H3325" i="4"/>
  <c r="H3326" i="4"/>
  <c r="H3327" i="4"/>
  <c r="H3328" i="4"/>
  <c r="H3329" i="4"/>
  <c r="H3330" i="4"/>
  <c r="H3331" i="4"/>
  <c r="H3332" i="4"/>
  <c r="H3333" i="4"/>
  <c r="H3334" i="4"/>
  <c r="H3335" i="4"/>
  <c r="H3336" i="4"/>
  <c r="H3337" i="4"/>
  <c r="H3338" i="4"/>
  <c r="H3339" i="4"/>
  <c r="H3340" i="4"/>
  <c r="H3341" i="4"/>
  <c r="H3342" i="4"/>
  <c r="H3343" i="4"/>
  <c r="H3344" i="4"/>
  <c r="H3345" i="4"/>
  <c r="H3346" i="4"/>
  <c r="H3347" i="4"/>
  <c r="H3348" i="4"/>
  <c r="H3349" i="4"/>
  <c r="H3350" i="4"/>
  <c r="H3351" i="4"/>
  <c r="H3352" i="4"/>
  <c r="H3353" i="4"/>
  <c r="H3354" i="4"/>
  <c r="H3355" i="4"/>
  <c r="H3356" i="4"/>
  <c r="H3357" i="4"/>
  <c r="H3358" i="4"/>
  <c r="H3359" i="4"/>
  <c r="H3360" i="4"/>
  <c r="H3361" i="4"/>
  <c r="H3362" i="4"/>
  <c r="H3363" i="4"/>
  <c r="H3364" i="4"/>
  <c r="H3365" i="4"/>
  <c r="H3366" i="4"/>
  <c r="H3367" i="4"/>
  <c r="H3368" i="4"/>
  <c r="H3369" i="4"/>
  <c r="H3370" i="4"/>
  <c r="H3371" i="4"/>
  <c r="H3372" i="4"/>
  <c r="H3373" i="4"/>
  <c r="H3374" i="4"/>
  <c r="H3375" i="4"/>
  <c r="H3376" i="4"/>
  <c r="H3377" i="4"/>
  <c r="H3378" i="4"/>
  <c r="H3379" i="4"/>
  <c r="H3380" i="4"/>
  <c r="H3381" i="4"/>
  <c r="H3382" i="4"/>
  <c r="H3383" i="4"/>
  <c r="H3384" i="4"/>
  <c r="H3385" i="4"/>
  <c r="H3386" i="4"/>
  <c r="H3387" i="4"/>
  <c r="H3388" i="4"/>
  <c r="H3389" i="4"/>
  <c r="H3390" i="4"/>
  <c r="H3391" i="4"/>
  <c r="H3392" i="4"/>
  <c r="H3393" i="4"/>
  <c r="H3394" i="4"/>
  <c r="H3395" i="4"/>
  <c r="H3396" i="4"/>
  <c r="H3397" i="4"/>
  <c r="H3398" i="4"/>
  <c r="H3399" i="4"/>
  <c r="H3400" i="4"/>
  <c r="H3401" i="4"/>
  <c r="H3402" i="4"/>
  <c r="H3403" i="4"/>
  <c r="H3404" i="4"/>
  <c r="H3405" i="4"/>
  <c r="H3406" i="4"/>
  <c r="H3407" i="4"/>
  <c r="H3408" i="4"/>
  <c r="H3409" i="4"/>
  <c r="H3410" i="4"/>
  <c r="H3411" i="4"/>
  <c r="H3412" i="4"/>
  <c r="H3413" i="4"/>
  <c r="H3414" i="4"/>
  <c r="H3415" i="4"/>
  <c r="H3416" i="4"/>
  <c r="H3417" i="4"/>
  <c r="H3418" i="4"/>
  <c r="H3419" i="4"/>
  <c r="H3420" i="4"/>
  <c r="H3421" i="4"/>
  <c r="H3422" i="4"/>
  <c r="H3423" i="4"/>
  <c r="H3424" i="4"/>
  <c r="H3425" i="4"/>
  <c r="H3426" i="4"/>
  <c r="H3427" i="4"/>
  <c r="H3428" i="4"/>
  <c r="H3429" i="4"/>
  <c r="H3430" i="4"/>
  <c r="H3431" i="4"/>
  <c r="H3432" i="4"/>
  <c r="H3433" i="4"/>
  <c r="H3434" i="4"/>
  <c r="H3435" i="4"/>
  <c r="H3436" i="4"/>
  <c r="H3437" i="4"/>
  <c r="H3438" i="4"/>
  <c r="H3439" i="4"/>
  <c r="H3440" i="4"/>
  <c r="H3441" i="4"/>
  <c r="H3442" i="4"/>
  <c r="H3443" i="4"/>
  <c r="H3444" i="4"/>
  <c r="H3445" i="4"/>
  <c r="H3446" i="4"/>
  <c r="H3447" i="4"/>
  <c r="H3448" i="4"/>
  <c r="H3449" i="4"/>
  <c r="H3450" i="4"/>
  <c r="H3451" i="4"/>
  <c r="H3452" i="4"/>
  <c r="H3453" i="4"/>
  <c r="H3454" i="4"/>
  <c r="H3455" i="4"/>
  <c r="H3456" i="4"/>
  <c r="H3457" i="4"/>
  <c r="H3458" i="4"/>
  <c r="H3459" i="4"/>
  <c r="H3460" i="4"/>
  <c r="H3461" i="4"/>
  <c r="H3462" i="4"/>
  <c r="H3463" i="4"/>
  <c r="H3464" i="4"/>
  <c r="H3465" i="4"/>
  <c r="H3466" i="4"/>
  <c r="H3467" i="4"/>
  <c r="H3468" i="4"/>
  <c r="H3469" i="4"/>
  <c r="H3470" i="4"/>
  <c r="H3471" i="4"/>
  <c r="H3472" i="4"/>
  <c r="H3473" i="4"/>
  <c r="H3474" i="4"/>
  <c r="H3475" i="4"/>
  <c r="H3476" i="4"/>
  <c r="H3477" i="4"/>
  <c r="H3478" i="4"/>
  <c r="H3479" i="4"/>
  <c r="H3480" i="4"/>
  <c r="H3481" i="4"/>
  <c r="H3482" i="4"/>
  <c r="H3483" i="4"/>
  <c r="H3484" i="4"/>
  <c r="H3485" i="4"/>
  <c r="H3486" i="4"/>
  <c r="H3487" i="4"/>
  <c r="H3488" i="4"/>
  <c r="H3489" i="4"/>
  <c r="H3490" i="4"/>
  <c r="H3491" i="4"/>
  <c r="H3492" i="4"/>
  <c r="H3493" i="4"/>
  <c r="H3494" i="4"/>
  <c r="H3495" i="4"/>
  <c r="H3496" i="4"/>
  <c r="H3497" i="4"/>
  <c r="H3498" i="4"/>
  <c r="H3499" i="4"/>
  <c r="H3500" i="4"/>
  <c r="H3501" i="4"/>
  <c r="H3502" i="4"/>
  <c r="H3503" i="4"/>
  <c r="H3504" i="4"/>
  <c r="H3505" i="4"/>
  <c r="H3506" i="4"/>
  <c r="H3507" i="4"/>
  <c r="H3508" i="4"/>
  <c r="H3509" i="4"/>
  <c r="H3510" i="4"/>
  <c r="H3511" i="4"/>
  <c r="H3512" i="4"/>
  <c r="H3513" i="4"/>
  <c r="H3514" i="4"/>
  <c r="H3515" i="4"/>
  <c r="H3516" i="4"/>
  <c r="H3517" i="4"/>
  <c r="H3518" i="4"/>
  <c r="H3519" i="4"/>
  <c r="H3520" i="4"/>
  <c r="H3521" i="4"/>
  <c r="H3522" i="4"/>
  <c r="H3523" i="4"/>
  <c r="H3524" i="4"/>
  <c r="H3525" i="4"/>
  <c r="H3526" i="4"/>
  <c r="H3527" i="4"/>
  <c r="H3528" i="4"/>
  <c r="H3529" i="4"/>
  <c r="H3530" i="4"/>
  <c r="H3531" i="4"/>
  <c r="H3532" i="4"/>
  <c r="H3533" i="4"/>
  <c r="H3534" i="4"/>
  <c r="H3535" i="4"/>
  <c r="H3536" i="4"/>
  <c r="H3537" i="4"/>
  <c r="H3538"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F3114" i="4"/>
  <c r="G3114" i="4"/>
  <c r="H3114" i="4"/>
  <c r="I3114" i="4"/>
  <c r="F3113" i="4"/>
  <c r="G3113" i="4"/>
  <c r="H3113" i="4"/>
  <c r="I3113" i="4"/>
  <c r="G3014" i="4"/>
  <c r="G3016" i="4"/>
  <c r="I3017" i="4"/>
  <c r="G3030" i="4"/>
  <c r="G3032" i="4"/>
  <c r="H3033" i="4"/>
  <c r="G3035" i="4"/>
  <c r="G3036" i="4"/>
  <c r="H3037" i="4"/>
  <c r="I3038" i="4"/>
  <c r="H3039" i="4"/>
  <c r="F3041" i="4"/>
  <c r="I3044" i="4"/>
  <c r="I3045" i="4"/>
  <c r="I3046" i="4"/>
  <c r="I3047" i="4"/>
  <c r="G3048" i="4"/>
  <c r="F3049" i="4"/>
  <c r="F3050" i="4"/>
  <c r="F3051" i="4"/>
  <c r="G3052" i="4"/>
  <c r="H3053" i="4"/>
  <c r="I3054" i="4"/>
  <c r="F3057" i="4"/>
  <c r="I3058" i="4"/>
  <c r="H3059" i="4"/>
  <c r="I3060" i="4"/>
  <c r="I3061" i="4"/>
  <c r="I3062" i="4"/>
  <c r="I3063" i="4"/>
  <c r="I3064" i="4"/>
  <c r="I3065" i="4"/>
  <c r="G3066" i="4"/>
  <c r="F3067" i="4"/>
  <c r="G3068" i="4"/>
  <c r="H3069" i="4"/>
  <c r="I3070" i="4"/>
  <c r="I3071" i="4"/>
  <c r="F3073" i="4"/>
  <c r="F3074" i="4"/>
  <c r="H3075" i="4"/>
  <c r="I3076" i="4"/>
  <c r="I3077" i="4"/>
  <c r="I3078" i="4"/>
  <c r="I3079" i="4"/>
  <c r="F3080" i="4"/>
  <c r="I3081" i="4"/>
  <c r="F3083" i="4"/>
  <c r="G3084" i="4"/>
  <c r="H3085" i="4"/>
  <c r="I3086" i="4"/>
  <c r="I3087" i="4"/>
  <c r="G3089" i="4"/>
  <c r="G3090" i="4"/>
  <c r="H3091" i="4"/>
  <c r="I3092" i="4"/>
  <c r="I3093" i="4"/>
  <c r="I3094" i="4"/>
  <c r="I3095" i="4"/>
  <c r="F3096" i="4"/>
  <c r="I3097" i="4"/>
  <c r="F3098" i="4"/>
  <c r="F3099" i="4"/>
  <c r="G3100" i="4"/>
  <c r="H3101" i="4"/>
  <c r="I3102" i="4"/>
  <c r="I3103" i="4"/>
  <c r="I3104" i="4"/>
  <c r="F3105" i="4"/>
  <c r="H3106" i="4"/>
  <c r="H3107" i="4"/>
  <c r="I3108" i="4"/>
  <c r="I3109" i="4"/>
  <c r="I3110" i="4"/>
  <c r="I3111" i="4"/>
  <c r="G3112" i="4"/>
  <c r="F3002" i="4"/>
  <c r="F3003" i="4"/>
  <c r="F3004" i="4"/>
  <c r="F3005" i="4"/>
  <c r="F3006" i="4"/>
  <c r="F3007" i="4"/>
  <c r="F3008" i="4"/>
  <c r="F3009" i="4"/>
  <c r="F3010" i="4"/>
  <c r="F3011" i="4"/>
  <c r="F3012" i="4"/>
  <c r="F3013" i="4"/>
  <c r="F3015" i="4"/>
  <c r="F3018" i="4"/>
  <c r="F3019" i="4"/>
  <c r="F3020" i="4"/>
  <c r="F3021" i="4"/>
  <c r="F3022" i="4"/>
  <c r="F3023" i="4"/>
  <c r="F3024" i="4"/>
  <c r="F3025" i="4"/>
  <c r="F3026" i="4"/>
  <c r="F3027" i="4"/>
  <c r="F3028" i="4"/>
  <c r="F3029" i="4"/>
  <c r="F3031" i="4"/>
  <c r="F3034" i="4"/>
  <c r="F3035" i="4"/>
  <c r="F3036" i="4"/>
  <c r="F3037" i="4"/>
  <c r="F3038" i="4"/>
  <c r="F3039" i="4"/>
  <c r="F3040" i="4"/>
  <c r="F3042" i="4"/>
  <c r="F3043" i="4"/>
  <c r="F3044" i="4"/>
  <c r="F3045" i="4"/>
  <c r="F3047" i="4"/>
  <c r="F3052" i="4"/>
  <c r="F3055" i="4"/>
  <c r="F3056" i="4"/>
  <c r="F3058" i="4"/>
  <c r="F3060" i="4"/>
  <c r="F3061" i="4"/>
  <c r="F3071" i="4"/>
  <c r="F3072" i="4"/>
  <c r="F3077" i="4"/>
  <c r="F3082" i="4"/>
  <c r="F3088" i="4"/>
  <c r="F3101" i="4"/>
  <c r="F3104" i="4"/>
  <c r="G3002" i="4"/>
  <c r="G3003" i="4"/>
  <c r="G3004" i="4"/>
  <c r="G3005" i="4"/>
  <c r="G3006" i="4"/>
  <c r="G3007" i="4"/>
  <c r="G3008" i="4"/>
  <c r="G3009" i="4"/>
  <c r="G3010" i="4"/>
  <c r="G3011" i="4"/>
  <c r="G3012" i="4"/>
  <c r="G3013" i="4"/>
  <c r="G3015" i="4"/>
  <c r="G3018" i="4"/>
  <c r="G3019" i="4"/>
  <c r="G3020" i="4"/>
  <c r="G3021" i="4"/>
  <c r="G3022" i="4"/>
  <c r="G3023" i="4"/>
  <c r="G3024" i="4"/>
  <c r="G3025" i="4"/>
  <c r="G3026" i="4"/>
  <c r="G3027" i="4"/>
  <c r="G3028" i="4"/>
  <c r="G3029" i="4"/>
  <c r="G3031" i="4"/>
  <c r="G3033" i="4"/>
  <c r="G3034" i="4"/>
  <c r="G3039" i="4"/>
  <c r="G3040" i="4"/>
  <c r="G3041" i="4"/>
  <c r="G3042" i="4"/>
  <c r="G3043" i="4"/>
  <c r="G3045" i="4"/>
  <c r="G3050" i="4"/>
  <c r="G3053" i="4"/>
  <c r="G3055" i="4"/>
  <c r="G3056" i="4"/>
  <c r="G3058" i="4"/>
  <c r="G3061" i="4"/>
  <c r="G3072" i="4"/>
  <c r="G3073" i="4"/>
  <c r="G3079" i="4"/>
  <c r="G3082" i="4"/>
  <c r="G3086" i="4"/>
  <c r="G3088" i="4"/>
  <c r="G3097" i="4"/>
  <c r="G3104" i="4"/>
  <c r="G3106" i="4"/>
  <c r="H3002" i="4"/>
  <c r="H3003" i="4"/>
  <c r="H3004" i="4"/>
  <c r="H3005" i="4"/>
  <c r="H3006" i="4"/>
  <c r="H3007" i="4"/>
  <c r="H3008" i="4"/>
  <c r="H3009" i="4"/>
  <c r="H3010" i="4"/>
  <c r="H3011" i="4"/>
  <c r="H3012" i="4"/>
  <c r="H3013" i="4"/>
  <c r="H3015" i="4"/>
  <c r="H3018" i="4"/>
  <c r="H3019" i="4"/>
  <c r="H3020" i="4"/>
  <c r="H3021" i="4"/>
  <c r="H3022" i="4"/>
  <c r="H3023" i="4"/>
  <c r="H3024" i="4"/>
  <c r="H3025" i="4"/>
  <c r="H3026" i="4"/>
  <c r="H3027" i="4"/>
  <c r="H3028" i="4"/>
  <c r="H3029" i="4"/>
  <c r="H3031" i="4"/>
  <c r="H3034" i="4"/>
  <c r="H3035" i="4"/>
  <c r="H3038" i="4"/>
  <c r="H3040" i="4"/>
  <c r="H3042" i="4"/>
  <c r="H3043" i="4"/>
  <c r="H3047" i="4"/>
  <c r="H3050" i="4"/>
  <c r="H3055" i="4"/>
  <c r="H3056" i="4"/>
  <c r="H3058" i="4"/>
  <c r="H3066" i="4"/>
  <c r="H3067" i="4"/>
  <c r="H3071" i="4"/>
  <c r="H3072" i="4"/>
  <c r="H3082" i="4"/>
  <c r="H3083" i="4"/>
  <c r="H3088" i="4"/>
  <c r="H3098" i="4"/>
  <c r="H3104" i="4"/>
  <c r="H3105" i="4"/>
  <c r="I3002" i="4"/>
  <c r="I3003" i="4"/>
  <c r="I3004" i="4"/>
  <c r="I3005" i="4"/>
  <c r="I3006" i="4"/>
  <c r="I3007" i="4"/>
  <c r="I3008" i="4"/>
  <c r="I3009" i="4"/>
  <c r="I3010" i="4"/>
  <c r="I3011" i="4"/>
  <c r="I3012" i="4"/>
  <c r="I3013" i="4"/>
  <c r="I3015" i="4"/>
  <c r="I3018" i="4"/>
  <c r="I3019" i="4"/>
  <c r="I3020" i="4"/>
  <c r="I3021" i="4"/>
  <c r="I3022" i="4"/>
  <c r="I3023" i="4"/>
  <c r="I3024" i="4"/>
  <c r="I3025" i="4"/>
  <c r="I3026" i="4"/>
  <c r="I3027" i="4"/>
  <c r="I3028" i="4"/>
  <c r="I3029" i="4"/>
  <c r="I3031" i="4"/>
  <c r="I3034" i="4"/>
  <c r="I3035" i="4"/>
  <c r="I3036" i="4"/>
  <c r="I3039" i="4"/>
  <c r="I3040" i="4"/>
  <c r="I3041" i="4"/>
  <c r="I3042" i="4"/>
  <c r="I3043" i="4"/>
  <c r="I3050" i="4"/>
  <c r="I3051" i="4"/>
  <c r="I3052" i="4"/>
  <c r="I3055" i="4"/>
  <c r="I3056" i="4"/>
  <c r="I3059" i="4"/>
  <c r="I3066" i="4"/>
  <c r="I3072" i="4"/>
  <c r="I3074" i="4"/>
  <c r="I3075" i="4"/>
  <c r="I3082" i="4"/>
  <c r="I3088" i="4"/>
  <c r="I3090" i="4"/>
  <c r="I3106" i="4"/>
  <c r="I3107" i="4"/>
  <c r="J204" i="2" l="1"/>
  <c r="L204" i="2" s="1"/>
  <c r="J202" i="2"/>
  <c r="L202" i="2" s="1"/>
  <c r="I228" i="2"/>
  <c r="I204" i="2"/>
  <c r="Q229" i="2"/>
  <c r="J230" i="2"/>
  <c r="L230" i="2" s="1"/>
  <c r="J228" i="2"/>
  <c r="L228" i="2" s="1"/>
  <c r="I226" i="2"/>
  <c r="Q230" i="2"/>
  <c r="I177" i="2"/>
  <c r="I205" i="2"/>
  <c r="J203" i="2"/>
  <c r="L203" i="2" s="1"/>
  <c r="I203" i="2"/>
  <c r="I176" i="2"/>
  <c r="J227" i="2"/>
  <c r="L227" i="2" s="1"/>
  <c r="Q227" i="2"/>
  <c r="I179" i="2"/>
  <c r="I175" i="2"/>
  <c r="I178" i="2"/>
  <c r="I174" i="2"/>
  <c r="J224" i="2"/>
  <c r="L224" i="2" s="1"/>
  <c r="Q224" i="2"/>
  <c r="J180" i="2"/>
  <c r="L180" i="2" s="1"/>
  <c r="J214" i="2"/>
  <c r="L214" i="2" s="1"/>
  <c r="J176" i="2"/>
  <c r="L176" i="2" s="1"/>
  <c r="J172" i="2"/>
  <c r="L172" i="2" s="1"/>
  <c r="Q215" i="2"/>
  <c r="J212" i="2"/>
  <c r="L212" i="2" s="1"/>
  <c r="J215" i="2"/>
  <c r="L215" i="2" s="1"/>
  <c r="J208" i="2"/>
  <c r="L208" i="2" s="1"/>
  <c r="Q173" i="2"/>
  <c r="J175" i="2"/>
  <c r="L175" i="2" s="1"/>
  <c r="J183" i="2"/>
  <c r="L183" i="2" s="1"/>
  <c r="I210" i="2"/>
  <c r="J207" i="2"/>
  <c r="L207" i="2" s="1"/>
  <c r="Q214" i="2"/>
  <c r="J179" i="2"/>
  <c r="L179" i="2" s="1"/>
  <c r="I183" i="2"/>
  <c r="Q198" i="2"/>
  <c r="Q207" i="2"/>
  <c r="J211" i="2"/>
  <c r="L211" i="2" s="1"/>
  <c r="J200" i="2"/>
  <c r="L200" i="2" s="1"/>
  <c r="Q211" i="2"/>
  <c r="J210" i="2"/>
  <c r="L210" i="2" s="1"/>
  <c r="J213" i="2"/>
  <c r="L213" i="2" s="1"/>
  <c r="Q213" i="2"/>
  <c r="J181" i="2"/>
  <c r="L181" i="2" s="1"/>
  <c r="J177" i="2"/>
  <c r="L177" i="2" s="1"/>
  <c r="Q209" i="2"/>
  <c r="J182" i="2"/>
  <c r="L182" i="2" s="1"/>
  <c r="J178" i="2"/>
  <c r="L178" i="2" s="1"/>
  <c r="J174" i="2"/>
  <c r="L174" i="2" s="1"/>
  <c r="I182" i="2"/>
  <c r="J209" i="2"/>
  <c r="L209" i="2" s="1"/>
  <c r="I181" i="2"/>
  <c r="Q200" i="2"/>
  <c r="Q212" i="2"/>
  <c r="Q208" i="2"/>
  <c r="J206" i="2"/>
  <c r="L206" i="2" s="1"/>
  <c r="Q206" i="2"/>
  <c r="Q196" i="2"/>
  <c r="Q201" i="2"/>
  <c r="J201" i="2"/>
  <c r="L201" i="2" s="1"/>
  <c r="J196" i="2"/>
  <c r="L196" i="2" s="1"/>
  <c r="J197" i="2"/>
  <c r="L197" i="2" s="1"/>
  <c r="I197" i="2"/>
  <c r="J195" i="2"/>
  <c r="L195" i="2" s="1"/>
  <c r="J199" i="2"/>
  <c r="L199" i="2" s="1"/>
  <c r="Q199" i="2"/>
  <c r="Q195" i="2"/>
  <c r="J194" i="2"/>
  <c r="L194" i="2" s="1"/>
  <c r="Q186" i="2"/>
  <c r="J190" i="2"/>
  <c r="L190" i="2" s="1"/>
  <c r="Q191" i="2"/>
  <c r="Q193" i="2"/>
  <c r="I190" i="2"/>
  <c r="I186" i="2"/>
  <c r="I194" i="2"/>
  <c r="I191" i="2"/>
  <c r="J193" i="2"/>
  <c r="L193" i="2" s="1"/>
  <c r="Q187" i="2"/>
  <c r="I187" i="2"/>
  <c r="Q192" i="2"/>
  <c r="I192" i="2"/>
  <c r="J185" i="2"/>
  <c r="L185" i="2" s="1"/>
  <c r="J160" i="2"/>
  <c r="L160" i="2" s="1"/>
  <c r="Q185" i="2"/>
  <c r="J189" i="2"/>
  <c r="L189" i="2" s="1"/>
  <c r="Q163" i="2"/>
  <c r="I163" i="2"/>
  <c r="Q189" i="2"/>
  <c r="I136" i="2"/>
  <c r="Q188" i="2"/>
  <c r="Q184" i="2"/>
  <c r="I188" i="2"/>
  <c r="I184" i="2"/>
  <c r="I162" i="2"/>
  <c r="J171" i="2"/>
  <c r="L171" i="2" s="1"/>
  <c r="Q171" i="2"/>
  <c r="Q170" i="2"/>
  <c r="I170" i="2"/>
  <c r="J169" i="2"/>
  <c r="L169" i="2" s="1"/>
  <c r="Q169" i="2"/>
  <c r="J168" i="2"/>
  <c r="L168" i="2" s="1"/>
  <c r="Q166" i="2"/>
  <c r="Q167" i="2"/>
  <c r="Q168" i="2"/>
  <c r="J166" i="2"/>
  <c r="L166" i="2" s="1"/>
  <c r="J167" i="2"/>
  <c r="L167" i="2" s="1"/>
  <c r="J162" i="2"/>
  <c r="L162" i="2" s="1"/>
  <c r="J165" i="2"/>
  <c r="L165" i="2" s="1"/>
  <c r="J164" i="2"/>
  <c r="L164" i="2" s="1"/>
  <c r="J161" i="2"/>
  <c r="L161" i="2" s="1"/>
  <c r="Q165" i="2"/>
  <c r="Q161" i="2"/>
  <c r="Q164" i="2"/>
  <c r="Q160" i="2"/>
  <c r="Q159" i="2"/>
  <c r="J159" i="2"/>
  <c r="L159" i="2" s="1"/>
  <c r="I158" i="2"/>
  <c r="Q158" i="2"/>
  <c r="Q157" i="2"/>
  <c r="I157" i="2"/>
  <c r="J156" i="2"/>
  <c r="L156" i="2" s="1"/>
  <c r="I156" i="2"/>
  <c r="J153" i="2"/>
  <c r="L153" i="2" s="1"/>
  <c r="J155" i="2"/>
  <c r="L155" i="2" s="1"/>
  <c r="Q155" i="2"/>
  <c r="J154" i="2"/>
  <c r="L154" i="2" s="1"/>
  <c r="Q151" i="2"/>
  <c r="Q147" i="2"/>
  <c r="Q150" i="2"/>
  <c r="J151" i="2"/>
  <c r="L151" i="2" s="1"/>
  <c r="Q154" i="2"/>
  <c r="J152" i="2"/>
  <c r="L152" i="2" s="1"/>
  <c r="Q153" i="2"/>
  <c r="Q152" i="2"/>
  <c r="I150" i="2"/>
  <c r="I147" i="2"/>
  <c r="Q149" i="2"/>
  <c r="I149" i="2"/>
  <c r="I142" i="2"/>
  <c r="J140" i="2"/>
  <c r="L140" i="2" s="1"/>
  <c r="J146" i="2"/>
  <c r="L146" i="2" s="1"/>
  <c r="I140" i="2"/>
  <c r="Q148" i="2"/>
  <c r="J148" i="2"/>
  <c r="L148" i="2" s="1"/>
  <c r="J136" i="2"/>
  <c r="L136" i="2" s="1"/>
  <c r="J144" i="2"/>
  <c r="L144" i="2" s="1"/>
  <c r="Q146" i="2"/>
  <c r="J145" i="2"/>
  <c r="L145" i="2" s="1"/>
  <c r="Q129" i="2"/>
  <c r="Q145" i="2"/>
  <c r="J138" i="2"/>
  <c r="L138" i="2" s="1"/>
  <c r="Q144" i="2"/>
  <c r="Q142" i="2"/>
  <c r="Q135" i="2"/>
  <c r="Q139" i="2"/>
  <c r="I138" i="2"/>
  <c r="Q133" i="2"/>
  <c r="I131" i="2"/>
  <c r="Q143" i="2"/>
  <c r="J135" i="2"/>
  <c r="L135" i="2" s="1"/>
  <c r="J143" i="2"/>
  <c r="L143" i="2" s="1"/>
  <c r="I139" i="2"/>
  <c r="Q134" i="2"/>
  <c r="Q130" i="2"/>
  <c r="J130" i="2"/>
  <c r="L130" i="2" s="1"/>
  <c r="J134" i="2"/>
  <c r="L134" i="2" s="1"/>
  <c r="J129" i="2"/>
  <c r="L129" i="2" s="1"/>
  <c r="J133" i="2"/>
  <c r="L133" i="2" s="1"/>
  <c r="Q132" i="2"/>
  <c r="Q128" i="2"/>
  <c r="J132" i="2"/>
  <c r="L132" i="2" s="1"/>
  <c r="J128" i="2"/>
  <c r="L128" i="2" s="1"/>
  <c r="J141" i="2"/>
  <c r="L141" i="2" s="1"/>
  <c r="J137" i="2"/>
  <c r="L137" i="2" s="1"/>
  <c r="Q131" i="2"/>
  <c r="Q141" i="2"/>
  <c r="Q137" i="2"/>
  <c r="Q124" i="2"/>
  <c r="J127" i="2"/>
  <c r="L127" i="2" s="1"/>
  <c r="J124" i="2"/>
  <c r="L124" i="2" s="1"/>
  <c r="Q127" i="2"/>
  <c r="I126" i="2"/>
  <c r="Q125" i="2"/>
  <c r="J125" i="2"/>
  <c r="L125" i="2" s="1"/>
  <c r="Q126" i="2"/>
  <c r="J121" i="2"/>
  <c r="L121" i="2" s="1"/>
  <c r="Q121" i="2"/>
  <c r="J118" i="2"/>
  <c r="L118" i="2" s="1"/>
  <c r="Q118" i="2"/>
  <c r="I120" i="2"/>
  <c r="Q123" i="2"/>
  <c r="J123" i="2"/>
  <c r="L123" i="2" s="1"/>
  <c r="J119" i="2"/>
  <c r="L119" i="2" s="1"/>
  <c r="Q120" i="2"/>
  <c r="Q119" i="2"/>
  <c r="J122" i="2"/>
  <c r="L122" i="2" s="1"/>
  <c r="J117" i="2"/>
  <c r="L117" i="2" s="1"/>
  <c r="Q122" i="2"/>
  <c r="Q117" i="2"/>
  <c r="Q115" i="2"/>
  <c r="J113" i="2"/>
  <c r="L113" i="2" s="1"/>
  <c r="J114" i="2"/>
  <c r="L114" i="2" s="1"/>
  <c r="J116" i="2"/>
  <c r="L116" i="2" s="1"/>
  <c r="J115" i="2"/>
  <c r="L115" i="2" s="1"/>
  <c r="Q116" i="2"/>
  <c r="Q114" i="2"/>
  <c r="J111" i="2"/>
  <c r="L111" i="2" s="1"/>
  <c r="J112" i="2"/>
  <c r="L112" i="2" s="1"/>
  <c r="I50" i="2"/>
  <c r="J45" i="2"/>
  <c r="L45" i="2" s="1"/>
  <c r="Q25" i="2"/>
  <c r="Q113" i="2"/>
  <c r="Q9" i="2"/>
  <c r="I41" i="2"/>
  <c r="I36" i="2"/>
  <c r="I19" i="2"/>
  <c r="J18" i="2"/>
  <c r="L18" i="2" s="1"/>
  <c r="Q112" i="2"/>
  <c r="J9" i="2"/>
  <c r="L9" i="2" s="1"/>
  <c r="J110" i="2"/>
  <c r="L110" i="2" s="1"/>
  <c r="I33" i="2"/>
  <c r="I23" i="2"/>
  <c r="J22" i="2"/>
  <c r="L22" i="2" s="1"/>
  <c r="Q111" i="2"/>
  <c r="J67" i="2"/>
  <c r="L67" i="2" s="1"/>
  <c r="Q45" i="2"/>
  <c r="Q33" i="2"/>
  <c r="J108" i="2"/>
  <c r="L108" i="2" s="1"/>
  <c r="J109" i="2"/>
  <c r="L109" i="2" s="1"/>
  <c r="Q47" i="2"/>
  <c r="Q11" i="2"/>
  <c r="Q110" i="2"/>
  <c r="Q67" i="2"/>
  <c r="Q41" i="2"/>
  <c r="Q79" i="2"/>
  <c r="Q74" i="2"/>
  <c r="Q39" i="2"/>
  <c r="I102" i="2"/>
  <c r="Q82" i="2"/>
  <c r="Q31" i="2"/>
  <c r="Q109" i="2"/>
  <c r="I84" i="2"/>
  <c r="J82" i="2"/>
  <c r="L82" i="2" s="1"/>
  <c r="J56" i="2"/>
  <c r="L56" i="2" s="1"/>
  <c r="Q88" i="2"/>
  <c r="Q63" i="2"/>
  <c r="J104" i="2"/>
  <c r="L104" i="2" s="1"/>
  <c r="Q80" i="2"/>
  <c r="Q66" i="2"/>
  <c r="I55" i="2"/>
  <c r="J48" i="2"/>
  <c r="L48" i="2" s="1"/>
  <c r="Q44" i="2"/>
  <c r="I25" i="2"/>
  <c r="Q108" i="2"/>
  <c r="I39" i="2"/>
  <c r="Q29" i="2"/>
  <c r="I100" i="2"/>
  <c r="J99" i="2"/>
  <c r="L99" i="2" s="1"/>
  <c r="J94" i="2"/>
  <c r="L94" i="2" s="1"/>
  <c r="I80" i="2"/>
  <c r="Q55" i="2"/>
  <c r="I52" i="2"/>
  <c r="Q100" i="2"/>
  <c r="Q87" i="2"/>
  <c r="Q86" i="2"/>
  <c r="Q77" i="2"/>
  <c r="Q73" i="2"/>
  <c r="Q71" i="2"/>
  <c r="Q61" i="2"/>
  <c r="Q59" i="2"/>
  <c r="Q57" i="2"/>
  <c r="Q43" i="2"/>
  <c r="Q27" i="2"/>
  <c r="I21" i="2"/>
  <c r="J13" i="2"/>
  <c r="L13" i="2" s="1"/>
  <c r="I7" i="2"/>
  <c r="J6" i="2"/>
  <c r="L6" i="2" s="1"/>
  <c r="Q90" i="2"/>
  <c r="Q102" i="2"/>
  <c r="Q94" i="2"/>
  <c r="J92" i="2"/>
  <c r="L92" i="2" s="1"/>
  <c r="I90" i="2"/>
  <c r="J88" i="2"/>
  <c r="L88" i="2" s="1"/>
  <c r="Q84" i="2"/>
  <c r="J74" i="2"/>
  <c r="L74" i="2" s="1"/>
  <c r="J66" i="2"/>
  <c r="L66" i="2" s="1"/>
  <c r="J63" i="2"/>
  <c r="L63" i="2" s="1"/>
  <c r="Q56" i="2"/>
  <c r="Q52" i="2"/>
  <c r="Q50" i="2"/>
  <c r="J29" i="2"/>
  <c r="L29" i="2" s="1"/>
  <c r="Q23" i="2"/>
  <c r="I79" i="2"/>
  <c r="J77" i="2"/>
  <c r="I71" i="2"/>
  <c r="J57" i="2"/>
  <c r="L57" i="2" s="1"/>
  <c r="I43" i="2"/>
  <c r="Q40" i="2"/>
  <c r="Q35" i="2"/>
  <c r="Q21" i="2"/>
  <c r="Q7" i="2"/>
  <c r="Q106" i="2"/>
  <c r="Q104" i="2"/>
  <c r="J103" i="2"/>
  <c r="L103" i="2" s="1"/>
  <c r="I98" i="2"/>
  <c r="Q92" i="2"/>
  <c r="J91" i="2"/>
  <c r="L91" i="2" s="1"/>
  <c r="Q89" i="2"/>
  <c r="Q76" i="2"/>
  <c r="I75" i="2"/>
  <c r="J70" i="2"/>
  <c r="L70" i="2" s="1"/>
  <c r="Q62" i="2"/>
  <c r="I61" i="2"/>
  <c r="Q15" i="2"/>
  <c r="Q75" i="2"/>
  <c r="J49" i="2"/>
  <c r="L49" i="2" s="1"/>
  <c r="Q48" i="2"/>
  <c r="I47" i="2"/>
  <c r="J44" i="2"/>
  <c r="L44" i="2" s="1"/>
  <c r="J40" i="2"/>
  <c r="L40" i="2" s="1"/>
  <c r="J37" i="2"/>
  <c r="L37" i="2" s="1"/>
  <c r="Q36" i="2"/>
  <c r="I35" i="2"/>
  <c r="I31" i="2"/>
  <c r="J30" i="2"/>
  <c r="L30" i="2" s="1"/>
  <c r="I27" i="2"/>
  <c r="J26" i="2"/>
  <c r="L26" i="2" s="1"/>
  <c r="Q19" i="2"/>
  <c r="J17" i="2"/>
  <c r="L17" i="2" s="1"/>
  <c r="Q13" i="2"/>
  <c r="I11" i="2"/>
  <c r="J10" i="2"/>
  <c r="L10" i="2" s="1"/>
  <c r="Q3" i="2"/>
  <c r="J96" i="2"/>
  <c r="L96" i="2" s="1"/>
  <c r="I106" i="2"/>
  <c r="Q98" i="2"/>
  <c r="Q96" i="2"/>
  <c r="J95" i="2"/>
  <c r="L95" i="2" s="1"/>
  <c r="J89" i="2"/>
  <c r="L89" i="2" s="1"/>
  <c r="Q83" i="2"/>
  <c r="J81" i="2"/>
  <c r="L81" i="2" s="1"/>
  <c r="J76" i="2"/>
  <c r="Q70" i="2"/>
  <c r="Q65" i="2"/>
  <c r="J62" i="2"/>
  <c r="L62" i="2" s="1"/>
  <c r="Q49" i="2"/>
  <c r="Q37" i="2"/>
  <c r="Q17" i="2"/>
  <c r="I15" i="2"/>
  <c r="J14" i="2"/>
  <c r="L14" i="2" s="1"/>
  <c r="J5" i="2"/>
  <c r="L5" i="2" s="1"/>
  <c r="Q69" i="2"/>
  <c r="Q5" i="2"/>
  <c r="I3" i="2"/>
  <c r="J2" i="2"/>
  <c r="L2" i="2" s="1"/>
  <c r="Q105" i="2"/>
  <c r="J60" i="2"/>
  <c r="L60" i="2" s="1"/>
  <c r="Q54" i="2"/>
  <c r="I54" i="2"/>
  <c r="I78" i="2"/>
  <c r="Q78" i="2"/>
  <c r="Q103" i="2"/>
  <c r="Q99" i="2"/>
  <c r="Q95" i="2"/>
  <c r="Q91" i="2"/>
  <c r="I86" i="2"/>
  <c r="Q81" i="2"/>
  <c r="I73" i="2"/>
  <c r="I69" i="2"/>
  <c r="I65" i="2"/>
  <c r="Q60" i="2"/>
  <c r="I58" i="2"/>
  <c r="Q58" i="2"/>
  <c r="I32" i="2"/>
  <c r="Q32" i="2"/>
  <c r="I28" i="2"/>
  <c r="Q28" i="2"/>
  <c r="J28" i="2"/>
  <c r="L28" i="2" s="1"/>
  <c r="I24" i="2"/>
  <c r="Q24" i="2"/>
  <c r="J24" i="2"/>
  <c r="L24" i="2" s="1"/>
  <c r="J53" i="2"/>
  <c r="L53" i="2" s="1"/>
  <c r="I34" i="2"/>
  <c r="Q34" i="2"/>
  <c r="J105" i="2"/>
  <c r="L105" i="2" s="1"/>
  <c r="J101" i="2"/>
  <c r="L101" i="2" s="1"/>
  <c r="J97" i="2"/>
  <c r="L97" i="2" s="1"/>
  <c r="J93" i="2"/>
  <c r="L93" i="2" s="1"/>
  <c r="J87" i="2"/>
  <c r="L87" i="2" s="1"/>
  <c r="J83" i="2"/>
  <c r="L83" i="2" s="1"/>
  <c r="Q101" i="2"/>
  <c r="Q97" i="2"/>
  <c r="Q93" i="2"/>
  <c r="I85" i="2"/>
  <c r="Q85" i="2"/>
  <c r="J78" i="2"/>
  <c r="L78" i="2" s="1"/>
  <c r="I72" i="2"/>
  <c r="Q72" i="2"/>
  <c r="I68" i="2"/>
  <c r="Q68" i="2"/>
  <c r="I64" i="2"/>
  <c r="Q64" i="2"/>
  <c r="I59" i="2"/>
  <c r="Q53" i="2"/>
  <c r="I51" i="2"/>
  <c r="Q51" i="2"/>
  <c r="I46" i="2"/>
  <c r="Q46" i="2"/>
  <c r="I42" i="2"/>
  <c r="Q42" i="2"/>
  <c r="I38" i="2"/>
  <c r="Q38" i="2"/>
  <c r="Q30" i="2"/>
  <c r="Q26" i="2"/>
  <c r="Q22" i="2"/>
  <c r="Q18" i="2"/>
  <c r="Q14" i="2"/>
  <c r="Q10" i="2"/>
  <c r="Q6" i="2"/>
  <c r="Q2" i="2"/>
  <c r="J20" i="2"/>
  <c r="L20" i="2" s="1"/>
  <c r="J16" i="2"/>
  <c r="L16" i="2" s="1"/>
  <c r="J12" i="2"/>
  <c r="L12" i="2" s="1"/>
  <c r="J8" i="2"/>
  <c r="L8" i="2" s="1"/>
  <c r="J4" i="2"/>
  <c r="L4" i="2" s="1"/>
  <c r="Q20" i="2"/>
  <c r="Q16" i="2"/>
  <c r="Q12" i="2"/>
  <c r="Q8" i="2"/>
  <c r="Q4" i="2"/>
  <c r="G3063" i="4"/>
  <c r="I3073" i="4"/>
  <c r="H3087" i="4"/>
  <c r="G3047" i="4"/>
  <c r="H3073" i="4"/>
  <c r="G3087" i="4"/>
  <c r="F3053" i="4"/>
  <c r="G3038" i="4"/>
  <c r="F3089" i="4"/>
  <c r="I3105" i="4"/>
  <c r="H3057" i="4"/>
  <c r="G3071" i="4"/>
  <c r="G3037" i="4"/>
  <c r="G3098" i="4"/>
  <c r="G3054" i="4"/>
  <c r="F3109" i="4"/>
  <c r="H3054" i="4"/>
  <c r="F3106" i="4"/>
  <c r="H3051" i="4"/>
  <c r="G3070" i="4"/>
  <c r="F3093" i="4"/>
  <c r="F3085" i="4"/>
  <c r="I3033" i="4"/>
  <c r="H3097" i="4"/>
  <c r="F3097" i="4"/>
  <c r="F3017" i="4"/>
  <c r="I3091" i="4"/>
  <c r="G3081" i="4"/>
  <c r="G3049" i="4"/>
  <c r="F3087" i="4"/>
  <c r="F3054" i="4"/>
  <c r="F3033" i="4"/>
  <c r="H3081" i="4"/>
  <c r="H3049" i="4"/>
  <c r="I3049" i="4"/>
  <c r="H3079" i="4"/>
  <c r="G3078" i="4"/>
  <c r="F3081" i="4"/>
  <c r="F3079" i="4"/>
  <c r="G3065" i="4"/>
  <c r="H3065" i="4"/>
  <c r="H3017" i="4"/>
  <c r="G3103" i="4"/>
  <c r="F3069" i="4"/>
  <c r="H3063" i="4"/>
  <c r="G3102" i="4"/>
  <c r="G3017" i="4"/>
  <c r="F3065" i="4"/>
  <c r="H3103" i="4"/>
  <c r="F3103" i="4"/>
  <c r="F3063" i="4"/>
  <c r="I3089" i="4"/>
  <c r="I3057" i="4"/>
  <c r="H3080" i="4"/>
  <c r="H3032" i="4"/>
  <c r="H3016" i="4"/>
  <c r="G3110" i="4"/>
  <c r="G3057" i="4"/>
  <c r="F3090" i="4"/>
  <c r="F3070" i="4"/>
  <c r="H3112" i="4"/>
  <c r="G3080" i="4"/>
  <c r="I3083" i="4"/>
  <c r="I3032" i="4"/>
  <c r="I3016" i="4"/>
  <c r="H3074" i="4"/>
  <c r="H3030" i="4"/>
  <c r="H3014" i="4"/>
  <c r="G3105" i="4"/>
  <c r="F3066" i="4"/>
  <c r="F3048" i="4"/>
  <c r="F3032" i="4"/>
  <c r="F3016" i="4"/>
  <c r="F3112" i="4"/>
  <c r="I3030" i="4"/>
  <c r="I3014" i="4"/>
  <c r="H3048" i="4"/>
  <c r="G3074" i="4"/>
  <c r="F3110" i="4"/>
  <c r="F3086" i="4"/>
  <c r="F3064" i="4"/>
  <c r="F3046" i="4"/>
  <c r="F3030" i="4"/>
  <c r="F3014" i="4"/>
  <c r="I3112" i="4"/>
  <c r="I3080" i="4"/>
  <c r="H3046" i="4"/>
  <c r="F3062" i="4"/>
  <c r="I3048" i="4"/>
  <c r="H3096" i="4"/>
  <c r="G3096" i="4"/>
  <c r="H3090" i="4"/>
  <c r="H3064" i="4"/>
  <c r="H3041" i="4"/>
  <c r="G3094" i="4"/>
  <c r="G3046" i="4"/>
  <c r="I3099" i="4"/>
  <c r="I3067" i="4"/>
  <c r="H3089" i="4"/>
  <c r="F3102" i="4"/>
  <c r="F3078" i="4"/>
  <c r="I3098" i="4"/>
  <c r="H3062" i="4"/>
  <c r="G3064" i="4"/>
  <c r="I3096" i="4"/>
  <c r="G3062" i="4"/>
  <c r="F3094" i="4"/>
  <c r="I3101" i="4"/>
  <c r="I3085" i="4"/>
  <c r="I3069" i="4"/>
  <c r="I3053" i="4"/>
  <c r="I3037" i="4"/>
  <c r="H3100" i="4"/>
  <c r="H3084" i="4"/>
  <c r="H3068" i="4"/>
  <c r="H3052" i="4"/>
  <c r="H3036" i="4"/>
  <c r="G3099" i="4"/>
  <c r="G3083" i="4"/>
  <c r="G3067" i="4"/>
  <c r="G3051" i="4"/>
  <c r="I3100" i="4"/>
  <c r="I3084" i="4"/>
  <c r="I3068" i="4"/>
  <c r="H3099" i="4"/>
  <c r="F3111" i="4"/>
  <c r="F3095" i="4"/>
  <c r="G3111" i="4"/>
  <c r="G3095" i="4"/>
  <c r="H3111" i="4"/>
  <c r="H3095" i="4"/>
  <c r="H3110" i="4"/>
  <c r="H3094" i="4"/>
  <c r="H3078" i="4"/>
  <c r="G3109" i="4"/>
  <c r="G3093" i="4"/>
  <c r="G3077" i="4"/>
  <c r="F3108" i="4"/>
  <c r="F3092" i="4"/>
  <c r="F3076" i="4"/>
  <c r="H3109" i="4"/>
  <c r="H3093" i="4"/>
  <c r="H3077" i="4"/>
  <c r="H3061" i="4"/>
  <c r="H3045" i="4"/>
  <c r="G3108" i="4"/>
  <c r="G3092" i="4"/>
  <c r="G3076" i="4"/>
  <c r="G3060" i="4"/>
  <c r="G3044" i="4"/>
  <c r="F3107" i="4"/>
  <c r="F3091" i="4"/>
  <c r="F3075" i="4"/>
  <c r="F3059" i="4"/>
  <c r="H3108" i="4"/>
  <c r="H3092" i="4"/>
  <c r="H3076" i="4"/>
  <c r="H3060" i="4"/>
  <c r="H3044" i="4"/>
  <c r="G3107" i="4"/>
  <c r="G3091" i="4"/>
  <c r="G3075" i="4"/>
  <c r="G3059" i="4"/>
  <c r="H3102" i="4"/>
  <c r="H3086" i="4"/>
  <c r="H3070" i="4"/>
  <c r="G3101" i="4"/>
  <c r="G3085" i="4"/>
  <c r="G3069" i="4"/>
  <c r="F3100" i="4"/>
  <c r="F3084" i="4"/>
  <c r="F3068" i="4"/>
  <c r="I3" i="4" l="1"/>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2"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F3001" i="4" l="1"/>
  <c r="G3001" i="4"/>
  <c r="H3001"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2"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339" i="4"/>
  <c r="H2340" i="4"/>
  <c r="H2341" i="4"/>
  <c r="H2342" i="4"/>
  <c r="H2343" i="4"/>
  <c r="H2344" i="4"/>
  <c r="H2345" i="4"/>
  <c r="H2346" i="4"/>
  <c r="H2347" i="4"/>
  <c r="H2348" i="4"/>
  <c r="H2349" i="4"/>
  <c r="H2350" i="4"/>
  <c r="H2351" i="4"/>
  <c r="H2352" i="4"/>
  <c r="H2353" i="4"/>
  <c r="H2354" i="4"/>
  <c r="H2355" i="4"/>
  <c r="H2356" i="4"/>
  <c r="H2357" i="4"/>
  <c r="H2358" i="4"/>
  <c r="H2359" i="4"/>
  <c r="H2360" i="4"/>
  <c r="H2361" i="4"/>
  <c r="H2362" i="4"/>
  <c r="H2363" i="4"/>
  <c r="H2364" i="4"/>
  <c r="H2365" i="4"/>
  <c r="H2366" i="4"/>
  <c r="H2367" i="4"/>
  <c r="H2368" i="4"/>
  <c r="H2369" i="4"/>
  <c r="H2370" i="4"/>
  <c r="H2371" i="4"/>
  <c r="H2372" i="4"/>
  <c r="H2373" i="4"/>
  <c r="H2374" i="4"/>
  <c r="H2375" i="4"/>
  <c r="H2376" i="4"/>
  <c r="H2377" i="4"/>
  <c r="H2378" i="4"/>
  <c r="H2379" i="4"/>
  <c r="H2380" i="4"/>
  <c r="H2381" i="4"/>
  <c r="H2382" i="4"/>
  <c r="H2383" i="4"/>
  <c r="H2384" i="4"/>
  <c r="H2385" i="4"/>
  <c r="H2386" i="4"/>
  <c r="H2387" i="4"/>
  <c r="H2388" i="4"/>
  <c r="H2389" i="4"/>
  <c r="H2390" i="4"/>
  <c r="H2391" i="4"/>
  <c r="H2392" i="4"/>
  <c r="H2393" i="4"/>
  <c r="H2394" i="4"/>
  <c r="H2395" i="4"/>
  <c r="H2396" i="4"/>
  <c r="H2397" i="4"/>
  <c r="H2398" i="4"/>
  <c r="H2399" i="4"/>
  <c r="H2400" i="4"/>
  <c r="H2401" i="4"/>
  <c r="H2402" i="4"/>
  <c r="H2403" i="4"/>
  <c r="H2404" i="4"/>
  <c r="H2405" i="4"/>
  <c r="H2406" i="4"/>
  <c r="H2407" i="4"/>
  <c r="H2408" i="4"/>
  <c r="H2409" i="4"/>
  <c r="H2410" i="4"/>
  <c r="H2411" i="4"/>
  <c r="H2412" i="4"/>
  <c r="H2413" i="4"/>
  <c r="H2414" i="4"/>
  <c r="H2415" i="4"/>
  <c r="H2416" i="4"/>
  <c r="H2417" i="4"/>
  <c r="H2418" i="4"/>
  <c r="H2419" i="4"/>
  <c r="H2420" i="4"/>
  <c r="H2421" i="4"/>
  <c r="H2422" i="4"/>
  <c r="H2423" i="4"/>
  <c r="H2424" i="4"/>
  <c r="H2425" i="4"/>
  <c r="H2426" i="4"/>
  <c r="H2427" i="4"/>
  <c r="H2428" i="4"/>
  <c r="H2429" i="4"/>
  <c r="H2430" i="4"/>
  <c r="H2431" i="4"/>
  <c r="H2432" i="4"/>
  <c r="H2433" i="4"/>
  <c r="H2434" i="4"/>
  <c r="H2435" i="4"/>
  <c r="H2436" i="4"/>
  <c r="H2437" i="4"/>
  <c r="H2438" i="4"/>
  <c r="H2439" i="4"/>
  <c r="H2440" i="4"/>
  <c r="H2441" i="4"/>
  <c r="H2442" i="4"/>
  <c r="H2443" i="4"/>
  <c r="H2444" i="4"/>
  <c r="H2445" i="4"/>
  <c r="H2446" i="4"/>
  <c r="H2447" i="4"/>
  <c r="H2448" i="4"/>
  <c r="H2449" i="4"/>
  <c r="H2450" i="4"/>
  <c r="H2451" i="4"/>
  <c r="H2452" i="4"/>
  <c r="H2453" i="4"/>
  <c r="H2454" i="4"/>
  <c r="H2455" i="4"/>
  <c r="H2456" i="4"/>
  <c r="H2457" i="4"/>
  <c r="H2458" i="4"/>
  <c r="H2459" i="4"/>
  <c r="H2460" i="4"/>
  <c r="H2461" i="4"/>
  <c r="H2462" i="4"/>
  <c r="H2463" i="4"/>
  <c r="H2464" i="4"/>
  <c r="H2465" i="4"/>
  <c r="H2466" i="4"/>
  <c r="H2467" i="4"/>
  <c r="H2468" i="4"/>
  <c r="H2469" i="4"/>
  <c r="H2470" i="4"/>
  <c r="H2471" i="4"/>
  <c r="H2472" i="4"/>
  <c r="H2473" i="4"/>
  <c r="H2474" i="4"/>
  <c r="H2475" i="4"/>
  <c r="H2476" i="4"/>
  <c r="H2477" i="4"/>
  <c r="H2478" i="4"/>
  <c r="H2479" i="4"/>
  <c r="H2480" i="4"/>
  <c r="H2481" i="4"/>
  <c r="H2482" i="4"/>
  <c r="H2483" i="4"/>
  <c r="H2484" i="4"/>
  <c r="H2485" i="4"/>
  <c r="H2486" i="4"/>
  <c r="H2487" i="4"/>
  <c r="H2488" i="4"/>
  <c r="H2489" i="4"/>
  <c r="H2490" i="4"/>
  <c r="H2491" i="4"/>
  <c r="H2492" i="4"/>
  <c r="H2493" i="4"/>
  <c r="H2494" i="4"/>
  <c r="H2495" i="4"/>
  <c r="H2496" i="4"/>
  <c r="H2497" i="4"/>
  <c r="H2498" i="4"/>
  <c r="H2499" i="4"/>
  <c r="H2500" i="4"/>
  <c r="H2501" i="4"/>
  <c r="H2502" i="4"/>
  <c r="H2503" i="4"/>
  <c r="H2504" i="4"/>
  <c r="H2505" i="4"/>
  <c r="H2506" i="4"/>
  <c r="H2507" i="4"/>
  <c r="H2508" i="4"/>
  <c r="H2509" i="4"/>
  <c r="H2510" i="4"/>
  <c r="H2511" i="4"/>
  <c r="H2512" i="4"/>
  <c r="H2513" i="4"/>
  <c r="H2514" i="4"/>
  <c r="H2515" i="4"/>
  <c r="H2516" i="4"/>
  <c r="H2517" i="4"/>
  <c r="H2518" i="4"/>
  <c r="H2519" i="4"/>
  <c r="H2520" i="4"/>
  <c r="H2521" i="4"/>
  <c r="H2522" i="4"/>
  <c r="H2523" i="4"/>
  <c r="H2524" i="4"/>
  <c r="H2525" i="4"/>
  <c r="H2526" i="4"/>
  <c r="H2527" i="4"/>
  <c r="H2528" i="4"/>
  <c r="H2529" i="4"/>
  <c r="H2530" i="4"/>
  <c r="H2531" i="4"/>
  <c r="H2532" i="4"/>
  <c r="H2533" i="4"/>
  <c r="H2534" i="4"/>
  <c r="H2535" i="4"/>
  <c r="H2536" i="4"/>
  <c r="H2537" i="4"/>
  <c r="H2538" i="4"/>
  <c r="H2539" i="4"/>
  <c r="H2540" i="4"/>
  <c r="H2541" i="4"/>
  <c r="H2542" i="4"/>
  <c r="H2543" i="4"/>
  <c r="H2544" i="4"/>
  <c r="H2545" i="4"/>
  <c r="H2546" i="4"/>
  <c r="H2547" i="4"/>
  <c r="H2548" i="4"/>
  <c r="H2549" i="4"/>
  <c r="H2550" i="4"/>
  <c r="H2551" i="4"/>
  <c r="H2552" i="4"/>
  <c r="H2553" i="4"/>
  <c r="H2554" i="4"/>
  <c r="H2555" i="4"/>
  <c r="H2556" i="4"/>
  <c r="H2557" i="4"/>
  <c r="H2558" i="4"/>
  <c r="H2559" i="4"/>
  <c r="H2560" i="4"/>
  <c r="H2561" i="4"/>
  <c r="H2562" i="4"/>
  <c r="H2563" i="4"/>
  <c r="H2564" i="4"/>
  <c r="H2565" i="4"/>
  <c r="H2566" i="4"/>
  <c r="H2567" i="4"/>
  <c r="H2568" i="4"/>
  <c r="H2569" i="4"/>
  <c r="H2570" i="4"/>
  <c r="H2571" i="4"/>
  <c r="H2572" i="4"/>
  <c r="H2573" i="4"/>
  <c r="H2574" i="4"/>
  <c r="H2575" i="4"/>
  <c r="H2576" i="4"/>
  <c r="H2577" i="4"/>
  <c r="H2578" i="4"/>
  <c r="H2579" i="4"/>
  <c r="H2580" i="4"/>
  <c r="H2581" i="4"/>
  <c r="H2582" i="4"/>
  <c r="H2583" i="4"/>
  <c r="H2584" i="4"/>
  <c r="H2585" i="4"/>
  <c r="H2586" i="4"/>
  <c r="H2587" i="4"/>
  <c r="H2588" i="4"/>
  <c r="H2589" i="4"/>
  <c r="H2590" i="4"/>
  <c r="H2591" i="4"/>
  <c r="H2592" i="4"/>
  <c r="H2593" i="4"/>
  <c r="H2594" i="4"/>
  <c r="H2595" i="4"/>
  <c r="H2596" i="4"/>
  <c r="H2597" i="4"/>
  <c r="H2598" i="4"/>
  <c r="H2599" i="4"/>
  <c r="H2600" i="4"/>
  <c r="H2601" i="4"/>
  <c r="H2602" i="4"/>
  <c r="H2603" i="4"/>
  <c r="H2604" i="4"/>
  <c r="H2605" i="4"/>
  <c r="H2606" i="4"/>
  <c r="H2607" i="4"/>
  <c r="H2608" i="4"/>
  <c r="H2609" i="4"/>
  <c r="H2610" i="4"/>
  <c r="H2611" i="4"/>
  <c r="H2612" i="4"/>
  <c r="H2613" i="4"/>
  <c r="H2614" i="4"/>
  <c r="H2615" i="4"/>
  <c r="H2616" i="4"/>
  <c r="H2617" i="4"/>
  <c r="H2618" i="4"/>
  <c r="H2619" i="4"/>
  <c r="H2620" i="4"/>
  <c r="H2621" i="4"/>
  <c r="H2622" i="4"/>
  <c r="H2623" i="4"/>
  <c r="H2624" i="4"/>
  <c r="H2625" i="4"/>
  <c r="H2626" i="4"/>
  <c r="H2627" i="4"/>
  <c r="H2628" i="4"/>
  <c r="H2629" i="4"/>
  <c r="H2630" i="4"/>
  <c r="H2631" i="4"/>
  <c r="H2632" i="4"/>
  <c r="H2633" i="4"/>
  <c r="H2634" i="4"/>
  <c r="H2635" i="4"/>
  <c r="H2636" i="4"/>
  <c r="H2637" i="4"/>
  <c r="H2638" i="4"/>
  <c r="H2639" i="4"/>
  <c r="H2640" i="4"/>
  <c r="H2641" i="4"/>
  <c r="H2642" i="4"/>
  <c r="H2643" i="4"/>
  <c r="H2644" i="4"/>
  <c r="H2645" i="4"/>
  <c r="H2646" i="4"/>
  <c r="H2647" i="4"/>
  <c r="H2648" i="4"/>
  <c r="H2649" i="4"/>
  <c r="H2650" i="4"/>
  <c r="H2651" i="4"/>
  <c r="H2652" i="4"/>
  <c r="H2653" i="4"/>
  <c r="H2654" i="4"/>
  <c r="H2655" i="4"/>
  <c r="H2656" i="4"/>
  <c r="H2657" i="4"/>
  <c r="H2658" i="4"/>
  <c r="H2659" i="4"/>
  <c r="H2660" i="4"/>
  <c r="H2661" i="4"/>
  <c r="H2662" i="4"/>
  <c r="H2663" i="4"/>
  <c r="H2664" i="4"/>
  <c r="H2665" i="4"/>
  <c r="H2666" i="4"/>
  <c r="H2667" i="4"/>
  <c r="H2668" i="4"/>
  <c r="H2669" i="4"/>
  <c r="H2670" i="4"/>
  <c r="H2671" i="4"/>
  <c r="H2672" i="4"/>
  <c r="H2673" i="4"/>
  <c r="H2674" i="4"/>
  <c r="H2675" i="4"/>
  <c r="H2676" i="4"/>
  <c r="H2677" i="4"/>
  <c r="H2678" i="4"/>
  <c r="H2679" i="4"/>
  <c r="H2680" i="4"/>
  <c r="H2681" i="4"/>
  <c r="H2682" i="4"/>
  <c r="H2683" i="4"/>
  <c r="H2684" i="4"/>
  <c r="H2685" i="4"/>
  <c r="H2686" i="4"/>
  <c r="H2687" i="4"/>
  <c r="H2688" i="4"/>
  <c r="H2689" i="4"/>
  <c r="H2690" i="4"/>
  <c r="H2691" i="4"/>
  <c r="H2692" i="4"/>
  <c r="H2693" i="4"/>
  <c r="H2694" i="4"/>
  <c r="H2695" i="4"/>
  <c r="H2696" i="4"/>
  <c r="H2697" i="4"/>
  <c r="H2698" i="4"/>
  <c r="H2699" i="4"/>
  <c r="H2700" i="4"/>
  <c r="H2701" i="4"/>
  <c r="H2702" i="4"/>
  <c r="H2703" i="4"/>
  <c r="H2704" i="4"/>
  <c r="H2705" i="4"/>
  <c r="H2706" i="4"/>
  <c r="H2707" i="4"/>
  <c r="H2708" i="4"/>
  <c r="H2709" i="4"/>
  <c r="H2710" i="4"/>
  <c r="H2711" i="4"/>
  <c r="H2712" i="4"/>
  <c r="H2713" i="4"/>
  <c r="H2714" i="4"/>
  <c r="H2715" i="4"/>
  <c r="H2716" i="4"/>
  <c r="H2717" i="4"/>
  <c r="H2718" i="4"/>
  <c r="H2719" i="4"/>
  <c r="H2720" i="4"/>
  <c r="H2721" i="4"/>
  <c r="H2722" i="4"/>
  <c r="H2723" i="4"/>
  <c r="H2724" i="4"/>
  <c r="H2725" i="4"/>
  <c r="H2726" i="4"/>
  <c r="H2727" i="4"/>
  <c r="H2728" i="4"/>
  <c r="H2729" i="4"/>
  <c r="H2730" i="4"/>
  <c r="H2731" i="4"/>
  <c r="H2732" i="4"/>
  <c r="H2733" i="4"/>
  <c r="H2734" i="4"/>
  <c r="H2735" i="4"/>
  <c r="H2736" i="4"/>
  <c r="H2737" i="4"/>
  <c r="H2738" i="4"/>
  <c r="H2739" i="4"/>
  <c r="H2740" i="4"/>
  <c r="H2741" i="4"/>
  <c r="H2742" i="4"/>
  <c r="H2743" i="4"/>
  <c r="H2744" i="4"/>
  <c r="H2745" i="4"/>
  <c r="H2746" i="4"/>
  <c r="H2747" i="4"/>
  <c r="H2748" i="4"/>
  <c r="H2749" i="4"/>
  <c r="H2750" i="4"/>
  <c r="H2751" i="4"/>
  <c r="H2752" i="4"/>
  <c r="H2753" i="4"/>
  <c r="H2754" i="4"/>
  <c r="H2755" i="4"/>
  <c r="H2756" i="4"/>
  <c r="H2757" i="4"/>
  <c r="H2758" i="4"/>
  <c r="H2759" i="4"/>
  <c r="H2760" i="4"/>
  <c r="H2761" i="4"/>
  <c r="H2762" i="4"/>
  <c r="H2763" i="4"/>
  <c r="H2764" i="4"/>
  <c r="H2765" i="4"/>
  <c r="H2766" i="4"/>
  <c r="H2767" i="4"/>
  <c r="H2768" i="4"/>
  <c r="H2769" i="4"/>
  <c r="H2770" i="4"/>
  <c r="H2771" i="4"/>
  <c r="H2772" i="4"/>
  <c r="H2773" i="4"/>
  <c r="H2774" i="4"/>
  <c r="H2775" i="4"/>
  <c r="H2776" i="4"/>
  <c r="H2777" i="4"/>
  <c r="H2778" i="4"/>
  <c r="H2779" i="4"/>
  <c r="H2780" i="4"/>
  <c r="H2781" i="4"/>
  <c r="H2782" i="4"/>
  <c r="H2783" i="4"/>
  <c r="H2784" i="4"/>
  <c r="H2785" i="4"/>
  <c r="H2786" i="4"/>
  <c r="H2787" i="4"/>
  <c r="H2788" i="4"/>
  <c r="H2789" i="4"/>
  <c r="H2790" i="4"/>
  <c r="H2791" i="4"/>
  <c r="H2792" i="4"/>
  <c r="H2793" i="4"/>
  <c r="H2794" i="4"/>
  <c r="H2795" i="4"/>
  <c r="H2796" i="4"/>
  <c r="H2797" i="4"/>
  <c r="H2798" i="4"/>
  <c r="H2799" i="4"/>
  <c r="H2800" i="4"/>
  <c r="H2801" i="4"/>
  <c r="H2802" i="4"/>
  <c r="H2803" i="4"/>
  <c r="H2804" i="4"/>
  <c r="H2805" i="4"/>
  <c r="H2806" i="4"/>
  <c r="H2807" i="4"/>
  <c r="H2808" i="4"/>
  <c r="H2809" i="4"/>
  <c r="H2810" i="4"/>
  <c r="H2811" i="4"/>
  <c r="H2812" i="4"/>
  <c r="H2813" i="4"/>
  <c r="H2814" i="4"/>
  <c r="H2815" i="4"/>
  <c r="H2816" i="4"/>
  <c r="H2817" i="4"/>
  <c r="H2818" i="4"/>
  <c r="H2819" i="4"/>
  <c r="H2820" i="4"/>
  <c r="H2821" i="4"/>
  <c r="H2822" i="4"/>
  <c r="H2823" i="4"/>
  <c r="H2824" i="4"/>
  <c r="H2825" i="4"/>
  <c r="H2826" i="4"/>
  <c r="H2827" i="4"/>
  <c r="H2828" i="4"/>
  <c r="H2829" i="4"/>
  <c r="H2830" i="4"/>
  <c r="H2831" i="4"/>
  <c r="H2832" i="4"/>
  <c r="H2833" i="4"/>
  <c r="H2834" i="4"/>
  <c r="H2835" i="4"/>
  <c r="H2836" i="4"/>
  <c r="H2837" i="4"/>
  <c r="H2838" i="4"/>
  <c r="H2839" i="4"/>
  <c r="H2840" i="4"/>
  <c r="H2841" i="4"/>
  <c r="H2842" i="4"/>
  <c r="H2843" i="4"/>
  <c r="H2844" i="4"/>
  <c r="H2845" i="4"/>
  <c r="H2846" i="4"/>
  <c r="H2847" i="4"/>
  <c r="H2848" i="4"/>
  <c r="H2849" i="4"/>
  <c r="H2850" i="4"/>
  <c r="H2851" i="4"/>
  <c r="H2852" i="4"/>
  <c r="H2853" i="4"/>
  <c r="H2854" i="4"/>
  <c r="H2855" i="4"/>
  <c r="H2856" i="4"/>
  <c r="H2857" i="4"/>
  <c r="H2858" i="4"/>
  <c r="H2859" i="4"/>
  <c r="H2860" i="4"/>
  <c r="H2861" i="4"/>
  <c r="H2862" i="4"/>
  <c r="H2863" i="4"/>
  <c r="H2864" i="4"/>
  <c r="H2865" i="4"/>
  <c r="H2866" i="4"/>
  <c r="H2867" i="4"/>
  <c r="H2868" i="4"/>
  <c r="H2869" i="4"/>
  <c r="H2870" i="4"/>
  <c r="H2871" i="4"/>
  <c r="H2872" i="4"/>
  <c r="H2873" i="4"/>
  <c r="H2874" i="4"/>
  <c r="H2875" i="4"/>
  <c r="H2876" i="4"/>
  <c r="H2877" i="4"/>
  <c r="H2878" i="4"/>
  <c r="H2879" i="4"/>
  <c r="H2880" i="4"/>
  <c r="H2881" i="4"/>
  <c r="H2882" i="4"/>
  <c r="H2883" i="4"/>
  <c r="H2884" i="4"/>
  <c r="H2885" i="4"/>
  <c r="H2886" i="4"/>
  <c r="H2887" i="4"/>
  <c r="H2888" i="4"/>
  <c r="H2889" i="4"/>
  <c r="H2890" i="4"/>
  <c r="H2891" i="4"/>
  <c r="H2892" i="4"/>
  <c r="H2893" i="4"/>
  <c r="H2894" i="4"/>
  <c r="H2895" i="4"/>
  <c r="H2896" i="4"/>
  <c r="H2897" i="4"/>
  <c r="H2898" i="4"/>
  <c r="H2899" i="4"/>
  <c r="H2900" i="4"/>
  <c r="H2901" i="4"/>
  <c r="H2902" i="4"/>
  <c r="H2903" i="4"/>
  <c r="H2904" i="4"/>
  <c r="H2905" i="4"/>
  <c r="H2906" i="4"/>
  <c r="H2907" i="4"/>
  <c r="H2908" i="4"/>
  <c r="H2909" i="4"/>
  <c r="H2910" i="4"/>
  <c r="H2911" i="4"/>
  <c r="H2912" i="4"/>
  <c r="H2913" i="4"/>
  <c r="H2914" i="4"/>
  <c r="H2915" i="4"/>
  <c r="H2916" i="4"/>
  <c r="H2917" i="4"/>
  <c r="H2918" i="4"/>
  <c r="H2919" i="4"/>
  <c r="H2920" i="4"/>
  <c r="H2921" i="4"/>
  <c r="H2922" i="4"/>
  <c r="H2923" i="4"/>
  <c r="H2924" i="4"/>
  <c r="H2925" i="4"/>
  <c r="H2926" i="4"/>
  <c r="H2927" i="4"/>
  <c r="H2928" i="4"/>
  <c r="H2929" i="4"/>
  <c r="H2930" i="4"/>
  <c r="H2931" i="4"/>
  <c r="H2932" i="4"/>
  <c r="H2933" i="4"/>
  <c r="H2934" i="4"/>
  <c r="H2935" i="4"/>
  <c r="H2936" i="4"/>
  <c r="H2937" i="4"/>
  <c r="H2938" i="4"/>
  <c r="H2939" i="4"/>
  <c r="H2940" i="4"/>
  <c r="H2941" i="4"/>
  <c r="H2942" i="4"/>
  <c r="H2943" i="4"/>
  <c r="H2944" i="4"/>
  <c r="H2945" i="4"/>
  <c r="H2946" i="4"/>
  <c r="H2947" i="4"/>
  <c r="H2948" i="4"/>
  <c r="H2949" i="4"/>
  <c r="H2950" i="4"/>
  <c r="H2951" i="4"/>
  <c r="H2952" i="4"/>
  <c r="H2953" i="4"/>
  <c r="H2954" i="4"/>
  <c r="H2955" i="4"/>
  <c r="H2956" i="4"/>
  <c r="H2957" i="4"/>
  <c r="H2958" i="4"/>
  <c r="H2959" i="4"/>
  <c r="H2960" i="4"/>
  <c r="H2961" i="4"/>
  <c r="H2962" i="4"/>
  <c r="H2963" i="4"/>
  <c r="H2964" i="4"/>
  <c r="H2965" i="4"/>
  <c r="H2966" i="4"/>
  <c r="H2967" i="4"/>
  <c r="H2968" i="4"/>
  <c r="H2969" i="4"/>
  <c r="H2970" i="4"/>
  <c r="H2971" i="4"/>
  <c r="H2972" i="4"/>
  <c r="H2973" i="4"/>
  <c r="H2974" i="4"/>
  <c r="H2975" i="4"/>
  <c r="H2976" i="4"/>
  <c r="H2977" i="4"/>
  <c r="H2978" i="4"/>
  <c r="H2979" i="4"/>
  <c r="H2980" i="4"/>
  <c r="H2981" i="4"/>
  <c r="H2982" i="4"/>
  <c r="H2983" i="4"/>
  <c r="H2984" i="4"/>
  <c r="H2985" i="4"/>
  <c r="H2986" i="4"/>
  <c r="H2987" i="4"/>
  <c r="H2988" i="4"/>
  <c r="H2989" i="4"/>
  <c r="H2990" i="4"/>
  <c r="H2991" i="4"/>
  <c r="H2992" i="4"/>
  <c r="H2993" i="4"/>
  <c r="H2994" i="4"/>
  <c r="H2995" i="4"/>
  <c r="H2996" i="4"/>
  <c r="H2997" i="4"/>
  <c r="H2998" i="4"/>
  <c r="H2999" i="4"/>
  <c r="H3000"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2"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339" i="4"/>
  <c r="F2340" i="4"/>
  <c r="F2341" i="4"/>
  <c r="F2342" i="4"/>
  <c r="F2343" i="4"/>
  <c r="F2344" i="4"/>
  <c r="F2345" i="4"/>
  <c r="F2346" i="4"/>
  <c r="F2347" i="4"/>
  <c r="F2348" i="4"/>
  <c r="F2349" i="4"/>
  <c r="F2350" i="4"/>
  <c r="F2351" i="4"/>
  <c r="F2352" i="4"/>
  <c r="F2353" i="4"/>
  <c r="F2354" i="4"/>
  <c r="F2355" i="4"/>
  <c r="F2356" i="4"/>
  <c r="F2357" i="4"/>
  <c r="F2358" i="4"/>
  <c r="F2359" i="4"/>
  <c r="F2360" i="4"/>
  <c r="F2361" i="4"/>
  <c r="F2362" i="4"/>
  <c r="F2363" i="4"/>
  <c r="F2364" i="4"/>
  <c r="F2365" i="4"/>
  <c r="F2366" i="4"/>
  <c r="F2367" i="4"/>
  <c r="F2368" i="4"/>
  <c r="F2369" i="4"/>
  <c r="F2370" i="4"/>
  <c r="F2371" i="4"/>
  <c r="F2372" i="4"/>
  <c r="F2373" i="4"/>
  <c r="F2374" i="4"/>
  <c r="F2375" i="4"/>
  <c r="F2376" i="4"/>
  <c r="F2377" i="4"/>
  <c r="F2378" i="4"/>
  <c r="F2379" i="4"/>
  <c r="F2380" i="4"/>
  <c r="F2381" i="4"/>
  <c r="F2382" i="4"/>
  <c r="F2383" i="4"/>
  <c r="F2384" i="4"/>
  <c r="F2385" i="4"/>
  <c r="F2386" i="4"/>
  <c r="F2387" i="4"/>
  <c r="F2388" i="4"/>
  <c r="F2389" i="4"/>
  <c r="F2390" i="4"/>
  <c r="F2391" i="4"/>
  <c r="F2392" i="4"/>
  <c r="F2393" i="4"/>
  <c r="F2394" i="4"/>
  <c r="F2395" i="4"/>
  <c r="F2396" i="4"/>
  <c r="F2397" i="4"/>
  <c r="F2398" i="4"/>
  <c r="F2399" i="4"/>
  <c r="F2400" i="4"/>
  <c r="F2401" i="4"/>
  <c r="F2402" i="4"/>
  <c r="F2403" i="4"/>
  <c r="F2404" i="4"/>
  <c r="F2405" i="4"/>
  <c r="F2406" i="4"/>
  <c r="F2407" i="4"/>
  <c r="F2408" i="4"/>
  <c r="F2409" i="4"/>
  <c r="F2410" i="4"/>
  <c r="F2411" i="4"/>
  <c r="F2412" i="4"/>
  <c r="F2413" i="4"/>
  <c r="F2414" i="4"/>
  <c r="F2415" i="4"/>
  <c r="F2416" i="4"/>
  <c r="F2417" i="4"/>
  <c r="F2418" i="4"/>
  <c r="F2419" i="4"/>
  <c r="F2420" i="4"/>
  <c r="F2421" i="4"/>
  <c r="F2422" i="4"/>
  <c r="F2423" i="4"/>
  <c r="F2424" i="4"/>
  <c r="F2425" i="4"/>
  <c r="F2426" i="4"/>
  <c r="F2427" i="4"/>
  <c r="F2428" i="4"/>
  <c r="F2429" i="4"/>
  <c r="F2430" i="4"/>
  <c r="F2431" i="4"/>
  <c r="F2432" i="4"/>
  <c r="F2433" i="4"/>
  <c r="F2434" i="4"/>
  <c r="F2435" i="4"/>
  <c r="F2436" i="4"/>
  <c r="F2437" i="4"/>
  <c r="F2438" i="4"/>
  <c r="F2439" i="4"/>
  <c r="F2440" i="4"/>
  <c r="F2441" i="4"/>
  <c r="F2442" i="4"/>
  <c r="F2443" i="4"/>
  <c r="F2444" i="4"/>
  <c r="F2445" i="4"/>
  <c r="F2446" i="4"/>
  <c r="F2447" i="4"/>
  <c r="F2448" i="4"/>
  <c r="F2449" i="4"/>
  <c r="F2450" i="4"/>
  <c r="F2451" i="4"/>
  <c r="F2452" i="4"/>
  <c r="F2453" i="4"/>
  <c r="F2454" i="4"/>
  <c r="F2455" i="4"/>
  <c r="F2456" i="4"/>
  <c r="F2457" i="4"/>
  <c r="F2458" i="4"/>
  <c r="F2459" i="4"/>
  <c r="F2460" i="4"/>
  <c r="F2461" i="4"/>
  <c r="F2462" i="4"/>
  <c r="F2463" i="4"/>
  <c r="F2464" i="4"/>
  <c r="F2465" i="4"/>
  <c r="F2466" i="4"/>
  <c r="F2467" i="4"/>
  <c r="F2468" i="4"/>
  <c r="F2469" i="4"/>
  <c r="F2470" i="4"/>
  <c r="F2471" i="4"/>
  <c r="F2472" i="4"/>
  <c r="F2473" i="4"/>
  <c r="F2474" i="4"/>
  <c r="F2475" i="4"/>
  <c r="F2476" i="4"/>
  <c r="F2477" i="4"/>
  <c r="F2478" i="4"/>
  <c r="F2479" i="4"/>
  <c r="F2480" i="4"/>
  <c r="F2481" i="4"/>
  <c r="F2482" i="4"/>
  <c r="F2483" i="4"/>
  <c r="F2484" i="4"/>
  <c r="F2485" i="4"/>
  <c r="F2486" i="4"/>
  <c r="F2487" i="4"/>
  <c r="F2488" i="4"/>
  <c r="F2489" i="4"/>
  <c r="F2490" i="4"/>
  <c r="F2491" i="4"/>
  <c r="F2492" i="4"/>
  <c r="F2493" i="4"/>
  <c r="F2494" i="4"/>
  <c r="F2495" i="4"/>
  <c r="F2496" i="4"/>
  <c r="F2497" i="4"/>
  <c r="F2498" i="4"/>
  <c r="F2499" i="4"/>
  <c r="F2500" i="4"/>
  <c r="F2501" i="4"/>
  <c r="F2502" i="4"/>
  <c r="F2503" i="4"/>
  <c r="F2504" i="4"/>
  <c r="F2505" i="4"/>
  <c r="F2506" i="4"/>
  <c r="F2507" i="4"/>
  <c r="F2508" i="4"/>
  <c r="F2509" i="4"/>
  <c r="F2510" i="4"/>
  <c r="F2511" i="4"/>
  <c r="F2512" i="4"/>
  <c r="F2513" i="4"/>
  <c r="F2514" i="4"/>
  <c r="F2515" i="4"/>
  <c r="F2516" i="4"/>
  <c r="F2517" i="4"/>
  <c r="F2518" i="4"/>
  <c r="F2519" i="4"/>
  <c r="F2520" i="4"/>
  <c r="F2521" i="4"/>
  <c r="F2522" i="4"/>
  <c r="F2523" i="4"/>
  <c r="F2524" i="4"/>
  <c r="F2525" i="4"/>
  <c r="F2526" i="4"/>
  <c r="F2527" i="4"/>
  <c r="F2528" i="4"/>
  <c r="F2529" i="4"/>
  <c r="F2530" i="4"/>
  <c r="F2531" i="4"/>
  <c r="F2532" i="4"/>
  <c r="F2533" i="4"/>
  <c r="F2534" i="4"/>
  <c r="F2535" i="4"/>
  <c r="F2536" i="4"/>
  <c r="F2537" i="4"/>
  <c r="F2538" i="4"/>
  <c r="F2539" i="4"/>
  <c r="F2540" i="4"/>
  <c r="F2541" i="4"/>
  <c r="F2542" i="4"/>
  <c r="F2543" i="4"/>
  <c r="F2544" i="4"/>
  <c r="F2545" i="4"/>
  <c r="F2546" i="4"/>
  <c r="F2547" i="4"/>
  <c r="F2548" i="4"/>
  <c r="F2549" i="4"/>
  <c r="F2550" i="4"/>
  <c r="F2551" i="4"/>
  <c r="F2552" i="4"/>
  <c r="F2553" i="4"/>
  <c r="F2554" i="4"/>
  <c r="F2555" i="4"/>
  <c r="F2556" i="4"/>
  <c r="F2557" i="4"/>
  <c r="F2558" i="4"/>
  <c r="F2559" i="4"/>
  <c r="F2560" i="4"/>
  <c r="F2561" i="4"/>
  <c r="F2562" i="4"/>
  <c r="F2563" i="4"/>
  <c r="F2564" i="4"/>
  <c r="F2565" i="4"/>
  <c r="F2566" i="4"/>
  <c r="F2567" i="4"/>
  <c r="F2568" i="4"/>
  <c r="F2569" i="4"/>
  <c r="F2570" i="4"/>
  <c r="F2571" i="4"/>
  <c r="F2572" i="4"/>
  <c r="F2573" i="4"/>
  <c r="F2574" i="4"/>
  <c r="F2575" i="4"/>
  <c r="F2576" i="4"/>
  <c r="F2577" i="4"/>
  <c r="F2578" i="4"/>
  <c r="F2579" i="4"/>
  <c r="F2580" i="4"/>
  <c r="F2581" i="4"/>
  <c r="F2582" i="4"/>
  <c r="F2583" i="4"/>
  <c r="F2584" i="4"/>
  <c r="F2585" i="4"/>
  <c r="F2586" i="4"/>
  <c r="F2587" i="4"/>
  <c r="F2588" i="4"/>
  <c r="F2589" i="4"/>
  <c r="F2590" i="4"/>
  <c r="F2591" i="4"/>
  <c r="F2592" i="4"/>
  <c r="F2593" i="4"/>
  <c r="F2594" i="4"/>
  <c r="F2595" i="4"/>
  <c r="F2596" i="4"/>
  <c r="F2597" i="4"/>
  <c r="F2598" i="4"/>
  <c r="F2599" i="4"/>
  <c r="F2600" i="4"/>
  <c r="F2601" i="4"/>
  <c r="F2602" i="4"/>
  <c r="F2603" i="4"/>
  <c r="F2604" i="4"/>
  <c r="F2605" i="4"/>
  <c r="F2606" i="4"/>
  <c r="F2607" i="4"/>
  <c r="F2608" i="4"/>
  <c r="F2609" i="4"/>
  <c r="F2610" i="4"/>
  <c r="F2611" i="4"/>
  <c r="F2612" i="4"/>
  <c r="F2613" i="4"/>
  <c r="F2614" i="4"/>
  <c r="F2615" i="4"/>
  <c r="F2616" i="4"/>
  <c r="F2617" i="4"/>
  <c r="F2618" i="4"/>
  <c r="F2619" i="4"/>
  <c r="F2620" i="4"/>
  <c r="F2621" i="4"/>
  <c r="F2622" i="4"/>
  <c r="F2623" i="4"/>
  <c r="F2624" i="4"/>
  <c r="F2625" i="4"/>
  <c r="F2626" i="4"/>
  <c r="F2627" i="4"/>
  <c r="F2628" i="4"/>
  <c r="F2629" i="4"/>
  <c r="F2630" i="4"/>
  <c r="F2631" i="4"/>
  <c r="F2632" i="4"/>
  <c r="F2633" i="4"/>
  <c r="F2634" i="4"/>
  <c r="F2635" i="4"/>
  <c r="F2636" i="4"/>
  <c r="F2637" i="4"/>
  <c r="F2638" i="4"/>
  <c r="F2639" i="4"/>
  <c r="F2640" i="4"/>
  <c r="F2641" i="4"/>
  <c r="F2642" i="4"/>
  <c r="F2643" i="4"/>
  <c r="F2644" i="4"/>
  <c r="F2645" i="4"/>
  <c r="F2646" i="4"/>
  <c r="F2647" i="4"/>
  <c r="F2648" i="4"/>
  <c r="F2649" i="4"/>
  <c r="F2650" i="4"/>
  <c r="F2651" i="4"/>
  <c r="F2652" i="4"/>
  <c r="F2653" i="4"/>
  <c r="F2654" i="4"/>
  <c r="F2655" i="4"/>
  <c r="F2656" i="4"/>
  <c r="F2657" i="4"/>
  <c r="F2658" i="4"/>
  <c r="F2659" i="4"/>
  <c r="F2660" i="4"/>
  <c r="F2661" i="4"/>
  <c r="F2662" i="4"/>
  <c r="F2663" i="4"/>
  <c r="F2664" i="4"/>
  <c r="F2665" i="4"/>
  <c r="F2666" i="4"/>
  <c r="F2667" i="4"/>
  <c r="F2668" i="4"/>
  <c r="F2669" i="4"/>
  <c r="F2670" i="4"/>
  <c r="F2671" i="4"/>
  <c r="F2672" i="4"/>
  <c r="F2673" i="4"/>
  <c r="F2674" i="4"/>
  <c r="F2675" i="4"/>
  <c r="F2676" i="4"/>
  <c r="F2677" i="4"/>
  <c r="F2678" i="4"/>
  <c r="F2679" i="4"/>
  <c r="F2680" i="4"/>
  <c r="F2681" i="4"/>
  <c r="F2682" i="4"/>
  <c r="F2683" i="4"/>
  <c r="F2684" i="4"/>
  <c r="F2685" i="4"/>
  <c r="F2686" i="4"/>
  <c r="F2687" i="4"/>
  <c r="F2688" i="4"/>
  <c r="F2689" i="4"/>
  <c r="F2690" i="4"/>
  <c r="F2691" i="4"/>
  <c r="F2692" i="4"/>
  <c r="F2693" i="4"/>
  <c r="F2694" i="4"/>
  <c r="F2695" i="4"/>
  <c r="F2696" i="4"/>
  <c r="F2697" i="4"/>
  <c r="F2698" i="4"/>
  <c r="F2699" i="4"/>
  <c r="F2700" i="4"/>
  <c r="F2701" i="4"/>
  <c r="F2702" i="4"/>
  <c r="F2703" i="4"/>
  <c r="F2704" i="4"/>
  <c r="F2705" i="4"/>
  <c r="F2706" i="4"/>
  <c r="F2707" i="4"/>
  <c r="F2708" i="4"/>
  <c r="F2709" i="4"/>
  <c r="F2710" i="4"/>
  <c r="F2711" i="4"/>
  <c r="F2712" i="4"/>
  <c r="F2713" i="4"/>
  <c r="F2714" i="4"/>
  <c r="F2715" i="4"/>
  <c r="F2716" i="4"/>
  <c r="F2717" i="4"/>
  <c r="F2718" i="4"/>
  <c r="F2719" i="4"/>
  <c r="F2720" i="4"/>
  <c r="F2721" i="4"/>
  <c r="F2722" i="4"/>
  <c r="F2723" i="4"/>
  <c r="F2724" i="4"/>
  <c r="F2725" i="4"/>
  <c r="F2726" i="4"/>
  <c r="F2727" i="4"/>
  <c r="F2728" i="4"/>
  <c r="F2729" i="4"/>
  <c r="F2730" i="4"/>
  <c r="F2731" i="4"/>
  <c r="F2732" i="4"/>
  <c r="F2733" i="4"/>
  <c r="F2734" i="4"/>
  <c r="F2735" i="4"/>
  <c r="F2736" i="4"/>
  <c r="F2737" i="4"/>
  <c r="F2738" i="4"/>
  <c r="F2739" i="4"/>
  <c r="F2740" i="4"/>
  <c r="F2741" i="4"/>
  <c r="F2742" i="4"/>
  <c r="F2743" i="4"/>
  <c r="F2744" i="4"/>
  <c r="F2745" i="4"/>
  <c r="F2746" i="4"/>
  <c r="F2747" i="4"/>
  <c r="F2748" i="4"/>
  <c r="F2749" i="4"/>
  <c r="F2750" i="4"/>
  <c r="F2751" i="4"/>
  <c r="F2752" i="4"/>
  <c r="F2753" i="4"/>
  <c r="F2754" i="4"/>
  <c r="F2755" i="4"/>
  <c r="F2756" i="4"/>
  <c r="F2757" i="4"/>
  <c r="F2758" i="4"/>
  <c r="F2759" i="4"/>
  <c r="F2760" i="4"/>
  <c r="F2761" i="4"/>
  <c r="F2762" i="4"/>
  <c r="F2763" i="4"/>
  <c r="F2764" i="4"/>
  <c r="F2765" i="4"/>
  <c r="F2766" i="4"/>
  <c r="F2767" i="4"/>
  <c r="F2768" i="4"/>
  <c r="F2769" i="4"/>
  <c r="F2770" i="4"/>
  <c r="F2771" i="4"/>
  <c r="F2772" i="4"/>
  <c r="F2773" i="4"/>
  <c r="F2774" i="4"/>
  <c r="F2775" i="4"/>
  <c r="F2776" i="4"/>
  <c r="F2777" i="4"/>
  <c r="F2778" i="4"/>
  <c r="F2779" i="4"/>
  <c r="F2780" i="4"/>
  <c r="F2781" i="4"/>
  <c r="F2782" i="4"/>
  <c r="F2783" i="4"/>
  <c r="F2784" i="4"/>
  <c r="F2785" i="4"/>
  <c r="F2786" i="4"/>
  <c r="F2787" i="4"/>
  <c r="F2788" i="4"/>
  <c r="F2789" i="4"/>
  <c r="F2790" i="4"/>
  <c r="F2791" i="4"/>
  <c r="F2792" i="4"/>
  <c r="F2793" i="4"/>
  <c r="F2794" i="4"/>
  <c r="F2795" i="4"/>
  <c r="F2796" i="4"/>
  <c r="F2797" i="4"/>
  <c r="F2798" i="4"/>
  <c r="F2799" i="4"/>
  <c r="F2800" i="4"/>
  <c r="F2801" i="4"/>
  <c r="F2802" i="4"/>
  <c r="F2803" i="4"/>
  <c r="F2804" i="4"/>
  <c r="F2805" i="4"/>
  <c r="F2806" i="4"/>
  <c r="F2807" i="4"/>
  <c r="F2808" i="4"/>
  <c r="F2809" i="4"/>
  <c r="F2810" i="4"/>
  <c r="F2811" i="4"/>
  <c r="F2812" i="4"/>
  <c r="F2813" i="4"/>
  <c r="F2814" i="4"/>
  <c r="F2815" i="4"/>
  <c r="F2816" i="4"/>
  <c r="F2817" i="4"/>
  <c r="F2818" i="4"/>
  <c r="F2819" i="4"/>
  <c r="F2820" i="4"/>
  <c r="F2821" i="4"/>
  <c r="F2822" i="4"/>
  <c r="F2823" i="4"/>
  <c r="F2824" i="4"/>
  <c r="F2825" i="4"/>
  <c r="F2826" i="4"/>
  <c r="F2827" i="4"/>
  <c r="F2828" i="4"/>
  <c r="F2829" i="4"/>
  <c r="F2830" i="4"/>
  <c r="F2831" i="4"/>
  <c r="F2832" i="4"/>
  <c r="F2833" i="4"/>
  <c r="F2834" i="4"/>
  <c r="F2835" i="4"/>
  <c r="F2836" i="4"/>
  <c r="F2837" i="4"/>
  <c r="F2838" i="4"/>
  <c r="F2839" i="4"/>
  <c r="F2840" i="4"/>
  <c r="F2841" i="4"/>
  <c r="F2842" i="4"/>
  <c r="F2843" i="4"/>
  <c r="F2844" i="4"/>
  <c r="F2845" i="4"/>
  <c r="F2846" i="4"/>
  <c r="F2847" i="4"/>
  <c r="F2848" i="4"/>
  <c r="F2849" i="4"/>
  <c r="F2850" i="4"/>
  <c r="F2851" i="4"/>
  <c r="F2852" i="4"/>
  <c r="F2853" i="4"/>
  <c r="F2854" i="4"/>
  <c r="F2855" i="4"/>
  <c r="F2856" i="4"/>
  <c r="F2857" i="4"/>
  <c r="F2858" i="4"/>
  <c r="F2859" i="4"/>
  <c r="F2860" i="4"/>
  <c r="F2861" i="4"/>
  <c r="F2862" i="4"/>
  <c r="F2863" i="4"/>
  <c r="F2864" i="4"/>
  <c r="F2865" i="4"/>
  <c r="F2866" i="4"/>
  <c r="F2867" i="4"/>
  <c r="F2868" i="4"/>
  <c r="F2869" i="4"/>
  <c r="F2870" i="4"/>
  <c r="F2871" i="4"/>
  <c r="F2872" i="4"/>
  <c r="F2873" i="4"/>
  <c r="F2874" i="4"/>
  <c r="F2875" i="4"/>
  <c r="F2876" i="4"/>
  <c r="F2877" i="4"/>
  <c r="F2878" i="4"/>
  <c r="F2879" i="4"/>
  <c r="F2880" i="4"/>
  <c r="F2881" i="4"/>
  <c r="F2882" i="4"/>
  <c r="F2883" i="4"/>
  <c r="F2884" i="4"/>
  <c r="F2885" i="4"/>
  <c r="F2886" i="4"/>
  <c r="F2887" i="4"/>
  <c r="F2888" i="4"/>
  <c r="F2889" i="4"/>
  <c r="F2890" i="4"/>
  <c r="F2891" i="4"/>
  <c r="F2892" i="4"/>
  <c r="F2893" i="4"/>
  <c r="F2894" i="4"/>
  <c r="F2895" i="4"/>
  <c r="F2896" i="4"/>
  <c r="F2897" i="4"/>
  <c r="F2898" i="4"/>
  <c r="F2899" i="4"/>
  <c r="F2900" i="4"/>
  <c r="F2901" i="4"/>
  <c r="F2902" i="4"/>
  <c r="F2903" i="4"/>
  <c r="F2904" i="4"/>
  <c r="F2905" i="4"/>
  <c r="F2906" i="4"/>
  <c r="F2907" i="4"/>
  <c r="F2908" i="4"/>
  <c r="F2909" i="4"/>
  <c r="F2910" i="4"/>
  <c r="F2911" i="4"/>
  <c r="F2912" i="4"/>
  <c r="F2913" i="4"/>
  <c r="F2914" i="4"/>
  <c r="F2915" i="4"/>
  <c r="F2916" i="4"/>
  <c r="F2917" i="4"/>
  <c r="F2918" i="4"/>
  <c r="F2919" i="4"/>
  <c r="F2920" i="4"/>
  <c r="F2921" i="4"/>
  <c r="F2922" i="4"/>
  <c r="F2923" i="4"/>
  <c r="F2924" i="4"/>
  <c r="F2925" i="4"/>
  <c r="F2926" i="4"/>
  <c r="F2927" i="4"/>
  <c r="F2928" i="4"/>
  <c r="F2929" i="4"/>
  <c r="F2930" i="4"/>
  <c r="F2931" i="4"/>
  <c r="F2932" i="4"/>
  <c r="F2933" i="4"/>
  <c r="F2934" i="4"/>
  <c r="F2935" i="4"/>
  <c r="F2936" i="4"/>
  <c r="F2937" i="4"/>
  <c r="F2938" i="4"/>
  <c r="F2939" i="4"/>
  <c r="F2940" i="4"/>
  <c r="F2941" i="4"/>
  <c r="F2942" i="4"/>
  <c r="F2943" i="4"/>
  <c r="F2944" i="4"/>
  <c r="F2945" i="4"/>
  <c r="F2946" i="4"/>
  <c r="F2947" i="4"/>
  <c r="F2948" i="4"/>
  <c r="F2949" i="4"/>
  <c r="F2950" i="4"/>
  <c r="F2951" i="4"/>
  <c r="F2952" i="4"/>
  <c r="F2953" i="4"/>
  <c r="F2954" i="4"/>
  <c r="F2955" i="4"/>
  <c r="F2956" i="4"/>
  <c r="F2957" i="4"/>
  <c r="F2958" i="4"/>
  <c r="F2959" i="4"/>
  <c r="F2960" i="4"/>
  <c r="F2961" i="4"/>
  <c r="F2962" i="4"/>
  <c r="F2963" i="4"/>
  <c r="F2964" i="4"/>
  <c r="F2965" i="4"/>
  <c r="F2966" i="4"/>
  <c r="F2967" i="4"/>
  <c r="F2968" i="4"/>
  <c r="F2969" i="4"/>
  <c r="F2970" i="4"/>
  <c r="F2971" i="4"/>
  <c r="F2972" i="4"/>
  <c r="F2973" i="4"/>
  <c r="F2974" i="4"/>
  <c r="F2975" i="4"/>
  <c r="F2976" i="4"/>
  <c r="F2977" i="4"/>
  <c r="F2978" i="4"/>
  <c r="F2979" i="4"/>
  <c r="F2980" i="4"/>
  <c r="F2981" i="4"/>
  <c r="F2982" i="4"/>
  <c r="F2983" i="4"/>
  <c r="F2984" i="4"/>
  <c r="F2985" i="4"/>
  <c r="F2986" i="4"/>
  <c r="F2987" i="4"/>
  <c r="F2988" i="4"/>
  <c r="F2989" i="4"/>
  <c r="F2990" i="4"/>
  <c r="F2991" i="4"/>
  <c r="F2992" i="4"/>
  <c r="F2993" i="4"/>
  <c r="F2994" i="4"/>
  <c r="F2995" i="4"/>
  <c r="F2996" i="4"/>
  <c r="F2997" i="4"/>
  <c r="F2998" i="4"/>
  <c r="F2999" i="4"/>
  <c r="F3000"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2"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F3" i="4"/>
  <c r="G3" i="4"/>
  <c r="H107" i="2"/>
  <c r="I107" i="2" l="1"/>
  <c r="Q107" i="2"/>
  <c r="J107" i="2"/>
  <c r="L107"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7624DD-4958-4B28-9ADD-D293A4E90301}"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s>
</file>

<file path=xl/sharedStrings.xml><?xml version="1.0" encoding="utf-8"?>
<sst xmlns="http://schemas.openxmlformats.org/spreadsheetml/2006/main" count="27197" uniqueCount="13659">
  <si>
    <t>Giá gốc</t>
  </si>
  <si>
    <t>Hệ thống</t>
  </si>
  <si>
    <t>8935304200226</t>
  </si>
  <si>
    <t>1023739</t>
  </si>
  <si>
    <t>Lá Kim tẩm dầu Oliu 5g lốc 3 * 36 lốc (HD)</t>
  </si>
  <si>
    <t>Win+</t>
  </si>
  <si>
    <t>8935304201810</t>
  </si>
  <si>
    <t>1024697</t>
  </si>
  <si>
    <t>Lá Kim Trẻ em 5g lốc 3 * 36 lốc (HD)</t>
  </si>
  <si>
    <t>8935304201841</t>
  </si>
  <si>
    <t>1024696</t>
  </si>
  <si>
    <t>Lá Kim Tảo biển cao cấp 5g lốc 3 * 36 lốc (HD)</t>
  </si>
  <si>
    <t>8935304200769</t>
  </si>
  <si>
    <t>1106055</t>
  </si>
  <si>
    <t>Rong biển giòn trộn khô gà 40G KM lá kim tẩm dầu oliu 4G (30 lốc) HD</t>
  </si>
  <si>
    <t>8935304200240</t>
  </si>
  <si>
    <t>1106048</t>
  </si>
  <si>
    <t>Rong biển giòn trộn gia vị 40g KM lá kim tẩm dầu oliu 4g (30 lốc) HD</t>
  </si>
  <si>
    <t>8935304200837</t>
  </si>
  <si>
    <t>1106056</t>
  </si>
  <si>
    <t>Rong biển giòn trộn hạt óc chó, hạnh nhân 40G KM lá kim tẩm dầu oliu 4G (30 lốc) HD</t>
  </si>
  <si>
    <t>8935304200783</t>
  </si>
  <si>
    <t>1106049</t>
  </si>
  <si>
    <t>Rong biển giòn trộn hải sản 40G KM lá kim tẩm dầu oliu 4G (30 lốc) HD</t>
  </si>
  <si>
    <t>8935304200219</t>
  </si>
  <si>
    <t>1023643</t>
  </si>
  <si>
    <t>Lá Kim tẩm dầu Ô liu 5g
lốc 2 (2 tặng 1) * 40 lốc (HD)</t>
  </si>
  <si>
    <t>8801052029450</t>
  </si>
  <si>
    <t>2015475</t>
  </si>
  <si>
    <t>Lá Kim tẩm dầu Oliu 4.5g lốc 2 (40 lốc)</t>
  </si>
  <si>
    <t>8935304200141</t>
  </si>
  <si>
    <t>1021862</t>
  </si>
  <si>
    <t>Tokpokki Hàn Quốc vị phô mai (hộp)
105g * 24EA (HD</t>
  </si>
  <si>
    <t>8935304200233</t>
  </si>
  <si>
    <t>1021808</t>
  </si>
  <si>
    <t>Lá Kim cuốn cơm 10g * 64EA (HD)</t>
  </si>
  <si>
    <t>8935304200608</t>
  </si>
  <si>
    <t>1022846</t>
  </si>
  <si>
    <t>Tokpokki Hàn Quốc tròn vị phô mai - Không cay (hộp) 105g*24EA(HD)</t>
  </si>
  <si>
    <t>8935304200165</t>
  </si>
  <si>
    <t>1021863</t>
  </si>
  <si>
    <t>Tokpokki Hàn Quốc vị phô mai (gói) 140g * 24EA (HD)</t>
  </si>
  <si>
    <t>8801052008226</t>
  </si>
  <si>
    <t>2012967</t>
  </si>
  <si>
    <t>Rong biển hàn quốc 50gr*40EA</t>
  </si>
  <si>
    <t>8935304201964</t>
  </si>
  <si>
    <t>1025514</t>
  </si>
  <si>
    <t>Sốt Spaghetti Phô mai Kem 120g x 40EA (HD)</t>
  </si>
  <si>
    <t>8801052022215</t>
  </si>
  <si>
    <t>2014434</t>
  </si>
  <si>
    <t>Rong biển giòn trộn gia vị 50g</t>
  </si>
  <si>
    <t>8935304201018</t>
  </si>
  <si>
    <t>1023583</t>
  </si>
  <si>
    <t>Tokpokki Hàn Quốc vị phô mai 300g * 24EA (HD)</t>
  </si>
  <si>
    <t>8935304201926</t>
  </si>
  <si>
    <t>1025516</t>
  </si>
  <si>
    <t>Sốt Spaghetti Bolognese - Thịt bằm 120g x 40EA (HD)</t>
  </si>
  <si>
    <t>8935304200158</t>
  </si>
  <si>
    <t>1021861</t>
  </si>
  <si>
    <t>Tokpokki Hàn Quốc vị truyền thống (gói) 140g * 24EA (HD)</t>
  </si>
  <si>
    <t>8935304200134</t>
  </si>
  <si>
    <t>1021859</t>
  </si>
  <si>
    <t>Tokpokki Hàn Quốc vị truyền thống (hộp)
105g * 24EA (HD)</t>
  </si>
  <si>
    <t>8801052022703</t>
  </si>
  <si>
    <t>2014681</t>
  </si>
  <si>
    <t>Lá kim cuốn cơm 10g*64 EA</t>
  </si>
  <si>
    <t>8935036200044</t>
  </si>
  <si>
    <t>1100008</t>
  </si>
  <si>
    <t>Mì chính (L) 454g*40EA</t>
  </si>
  <si>
    <t>8935304200851</t>
  </si>
  <si>
    <t>1025611</t>
  </si>
  <si>
    <t>Lá kim tẩm gia vị 22g*64EA</t>
  </si>
  <si>
    <t>8935304200660</t>
  </si>
  <si>
    <t>1022847</t>
  </si>
  <si>
    <t>Tokpokki Hàn Quốc tròn vị phô mai - Không cay (gói) 140g*24EA(HD)</t>
  </si>
  <si>
    <t>8935304201988</t>
  </si>
  <si>
    <t>1025515</t>
  </si>
  <si>
    <t>Sốt Spaghetti vị Rose - Kem cà chua 120g</t>
  </si>
  <si>
    <t>8935304201292</t>
  </si>
  <si>
    <t>1024339</t>
  </si>
  <si>
    <t>Sốt lẩu hoàn chỉnh Lẩu Thái 180g*40 EA (HD)</t>
  </si>
  <si>
    <t>8935036280275</t>
  </si>
  <si>
    <t>1021841</t>
  </si>
  <si>
    <t>Bột chiên xù 100g* 40 EA ( lốc 10  x 4 lốc) (HD)</t>
  </si>
  <si>
    <t>8935304200912</t>
  </si>
  <si>
    <t>1023556</t>
  </si>
  <si>
    <t>Sốt muối Kim Chi Hàn Quốc 180g * 40EA (HD)</t>
  </si>
  <si>
    <t>8935036280299</t>
  </si>
  <si>
    <t>1021844</t>
  </si>
  <si>
    <t>Bột chiên xù 200g*24EA (HD)</t>
  </si>
  <si>
    <t>8801052438092</t>
  </si>
  <si>
    <t>1002754</t>
  </si>
  <si>
    <t>Tương đậu 200g</t>
  </si>
  <si>
    <t>8935304200028</t>
  </si>
  <si>
    <t>1023673</t>
  </si>
  <si>
    <t>Sốt ướp thịt Hàn Quốc vị truyền thống 80g*60EA (HD)</t>
  </si>
  <si>
    <t>8935304201377</t>
  </si>
  <si>
    <t>1024639</t>
  </si>
  <si>
    <t>Sốt chấm thịt nướng Hàn Quốc 250g*20EA (HD)</t>
  </si>
  <si>
    <t>8935304202787</t>
  </si>
  <si>
    <t>1025717</t>
  </si>
  <si>
    <t>Sốt lẩu hoàn chỉnh Lẩu Riêu cua 180g*40EA (HD)</t>
  </si>
  <si>
    <t>8935304201315</t>
  </si>
  <si>
    <t>1024340</t>
  </si>
  <si>
    <t>Sốt lẩu hoàn chỉnh Lẩu thập cẩm 180g*40EA (HD)</t>
  </si>
  <si>
    <t>8935304201056</t>
  </si>
  <si>
    <t>1023557</t>
  </si>
  <si>
    <t>Sốt gà chiên vị cay Hàn Quốc 120g * 40EA (HD)</t>
  </si>
  <si>
    <t>8935304200042</t>
  </si>
  <si>
    <t>1023674</t>
  </si>
  <si>
    <t>Sốt ướp thịt Hàn Quốc vị cay 80g*60EA (HD)</t>
  </si>
  <si>
    <t>8935304201353</t>
  </si>
  <si>
    <t>1024636</t>
  </si>
  <si>
    <t>Sốt Teriyaki 250g*20EA (HD)</t>
  </si>
  <si>
    <t>8935304200998</t>
  </si>
  <si>
    <t>1023555</t>
  </si>
  <si>
    <t>Sốt bò kho (Bò sốt vang) 50g * 60EA (HD)</t>
  </si>
  <si>
    <t>8935036210043</t>
  </si>
  <si>
    <t>1021966</t>
  </si>
  <si>
    <t>Bột chiên giòn 100g x 96EA (lốc 6 x 16 lốc) (HD)</t>
  </si>
  <si>
    <t>8935304203272</t>
  </si>
  <si>
    <t>1105823</t>
  </si>
  <si>
    <t>Tokpokki Hàn Quốc vị BBQ (hộp) 105g*24EA (HD)</t>
  </si>
  <si>
    <t>8935036251251</t>
  </si>
  <si>
    <t>1021864</t>
  </si>
  <si>
    <t>Bột chiên gà giòn 70g*100EA (Lốc 10 x 10 lốc) (HD)</t>
  </si>
  <si>
    <t>8935304200899</t>
  </si>
  <si>
    <t>1025531</t>
  </si>
  <si>
    <t>Bột chiên giòn thêm hạt 100g x 96EA (lốc 6 x 16 lốc) (HD)</t>
  </si>
  <si>
    <t>8935304202763</t>
  </si>
  <si>
    <t>1025718</t>
  </si>
  <si>
    <t>Sốt lẩu hoàn chỉnh Lẩu Bò 180g*40EA (HD)</t>
  </si>
  <si>
    <t>8935304202411</t>
  </si>
  <si>
    <t>1025312</t>
  </si>
  <si>
    <t>Lá Kim tẩm dầu Ô liu 4g lốc 3 * 24 lốc (HD)</t>
  </si>
  <si>
    <t>8935304203067</t>
  </si>
  <si>
    <t>1105763</t>
  </si>
  <si>
    <t>Miến khoai lang sợi gập 200g * 35EA (HD)</t>
  </si>
  <si>
    <t>8935036200099</t>
  </si>
  <si>
    <t>1100002</t>
  </si>
  <si>
    <t>Mì chính (L) 100g* 120EA (LT)</t>
  </si>
  <si>
    <t>8935304203913</t>
  </si>
  <si>
    <t>1106574</t>
  </si>
  <si>
    <t>Sốt Spaghetti Bolognese - Thịt bằm 340g x 15EA (HD)</t>
  </si>
  <si>
    <t>8935304203951</t>
  </si>
  <si>
    <t>1106573</t>
  </si>
  <si>
    <t>Sốt Spaghetti Rose - Kem &amp; cà chua 340g x 15EA (HD)</t>
  </si>
  <si>
    <t>8935304204118</t>
  </si>
  <si>
    <t>1106775</t>
  </si>
  <si>
    <t xml:space="preserve">Tokpokki Rose Hàn Quốc (hộp) 100g*24EA (HD) </t>
  </si>
  <si>
    <t>8935304203500</t>
  </si>
  <si>
    <t>1106388</t>
  </si>
  <si>
    <t>Lá Kim tẩm dầu Ô Liu 5g lốc 16 (KM 10+6)*8 lốc (HD)</t>
  </si>
  <si>
    <t>8935304204965</t>
  </si>
  <si>
    <t>1107442</t>
  </si>
  <si>
    <t>Rong biển Hàn Quốc 40g * 40 EA (HD)</t>
  </si>
  <si>
    <t>8935304203487</t>
  </si>
  <si>
    <t>1106389</t>
  </si>
  <si>
    <t>Lá Kim tẩm dầu Ô Liu 5g lốc 9 (KM 6+3)*12 lốc (HD)</t>
  </si>
  <si>
    <t>8935304204804</t>
  </si>
  <si>
    <t>1107393</t>
  </si>
  <si>
    <t xml:space="preserve">Rong biển giòn trộn cá hồi 30g * 30EA (HD) </t>
  </si>
  <si>
    <t>8935304202596</t>
  </si>
  <si>
    <t>2041001</t>
  </si>
  <si>
    <t>Snack Rong biển cuộn nướng vị mực 6g*90EA</t>
  </si>
  <si>
    <t>8935304202626</t>
  </si>
  <si>
    <t>2040993</t>
  </si>
  <si>
    <t>Snack Rong biển cuộn nướng vị Pho mai 6g*90EA</t>
  </si>
  <si>
    <t>8935304202657</t>
  </si>
  <si>
    <t>2040967</t>
  </si>
  <si>
    <t>Snack Rong biển cuộn nướng vị truyền thống 6g*90EA</t>
  </si>
  <si>
    <t>8935304203975</t>
  </si>
  <si>
    <t>2144605</t>
  </si>
  <si>
    <t>Snack rong biển nướng Wavy vị truyền thống 8g*60EA</t>
  </si>
  <si>
    <t>8935304203579</t>
  </si>
  <si>
    <t>2144596</t>
  </si>
  <si>
    <t>Mì Ý Spaghetti O'Food 250g*40EA</t>
  </si>
  <si>
    <t>8935304203999</t>
  </si>
  <si>
    <t>2144606</t>
  </si>
  <si>
    <t>Snack rong biển nướng Wavy vị phô mai 8g*60EA</t>
  </si>
  <si>
    <t>8935304204781</t>
  </si>
  <si>
    <t>1107394</t>
  </si>
  <si>
    <t xml:space="preserve">Rong biển giòn trộn rau &amp; hạt 30g *30 EA (HD) </t>
  </si>
  <si>
    <t>Winmart</t>
  </si>
  <si>
    <t>8801052733272</t>
  </si>
  <si>
    <t>2006266</t>
  </si>
  <si>
    <t>Rong biển tẩm gia vị 18.4g</t>
  </si>
  <si>
    <t>8801052008233</t>
  </si>
  <si>
    <t>2012968</t>
  </si>
  <si>
    <t>Rong biển hàn quốc 100gr*24EA</t>
  </si>
  <si>
    <t>8935304201032</t>
  </si>
  <si>
    <t>1023582</t>
  </si>
  <si>
    <t>Tokpokki Hàn Quốc vị truyền thống 300g * 24EA (HD)</t>
  </si>
  <si>
    <t>8935304200585</t>
  </si>
  <si>
    <t>1022853</t>
  </si>
  <si>
    <t>Tokpokki Hàn Quốc vị chua ngọt (hộp) 105g*24EA(HD)</t>
  </si>
  <si>
    <t>8935304200189</t>
  </si>
  <si>
    <t>1021806</t>
  </si>
  <si>
    <t>Bánh gạo Hàn Quốc 350g * 24EA (HD)</t>
  </si>
  <si>
    <t>8935036200235</t>
  </si>
  <si>
    <t>1100014</t>
  </si>
  <si>
    <t>Mì chính (L) 1Kg* 16EA</t>
  </si>
  <si>
    <t>8935304200073</t>
  </si>
  <si>
    <t>1021800</t>
  </si>
  <si>
    <t>Sốt Spaghetti vị nguyên bản 220g * 20EA (HD)</t>
  </si>
  <si>
    <t>8935304200622</t>
  </si>
  <si>
    <t>1022850</t>
  </si>
  <si>
    <t>Tokpokki Hàn Quốc vị tương đen (hộp) 105g*24EA(HD)</t>
  </si>
  <si>
    <t>8801052801773</t>
  </si>
  <si>
    <t>1015718</t>
  </si>
  <si>
    <t>Tương ớt gạo lứt 200g</t>
  </si>
  <si>
    <t>8801052431017</t>
  </si>
  <si>
    <t>1000349</t>
  </si>
  <si>
    <t>Giấm táo 500ml*24BT</t>
  </si>
  <si>
    <t>8935304200646</t>
  </si>
  <si>
    <t>1022854</t>
  </si>
  <si>
    <t>Tokpokki Hàn Quốc vị chua ngọt (gói) 140g*24EA(HD)</t>
  </si>
  <si>
    <t>8935304200172</t>
  </si>
  <si>
    <t>1023678</t>
  </si>
  <si>
    <t>Sốt Tokpokki truyền thống Hàn Quốc 120g * 40 EA (HD)</t>
  </si>
  <si>
    <t>8935304202459</t>
  </si>
  <si>
    <t>1025389</t>
  </si>
  <si>
    <t>Sốt muối kim chi Hàn Quốc cay dịu 180g*40EA</t>
  </si>
  <si>
    <t>8935304201070</t>
  </si>
  <si>
    <t>1023558</t>
  </si>
  <si>
    <t>Sốt gà chiên vị phô mai Hàn Quốc 120g * 40EA (HD)</t>
  </si>
  <si>
    <t>8935304200684</t>
  </si>
  <si>
    <t>1022852</t>
  </si>
  <si>
    <t>Tokpokki Hàn Quốc vị tương đen (gói) 140g*24EA(HD)</t>
  </si>
  <si>
    <t>8801052022710</t>
  </si>
  <si>
    <t>2014691</t>
  </si>
  <si>
    <t>Rong biển Hàn Quốc (Cắt sẵn) 20g*60EA</t>
  </si>
  <si>
    <t>8935304200011</t>
  </si>
  <si>
    <t>1021794</t>
  </si>
  <si>
    <t>Sốt ướp thịt Hàn Quốc vị truyền thống 240g*20EA (HD)</t>
  </si>
  <si>
    <t>8801052204376</t>
  </si>
  <si>
    <t>1002795</t>
  </si>
  <si>
    <t>Mù tạt Wasabi paste 35g*40EA (HQ)</t>
  </si>
  <si>
    <t>8935304200561</t>
  </si>
  <si>
    <t>1023679</t>
  </si>
  <si>
    <t>Sốt Tokpokki vị phô mai Hàn Quốc 120g * 40 EA (HD)</t>
  </si>
  <si>
    <t>8801052438016</t>
  </si>
  <si>
    <t>1002767</t>
  </si>
  <si>
    <t>Tương Đậu 500g(20ea)</t>
  </si>
  <si>
    <t>8935036200723</t>
  </si>
  <si>
    <t>1100037</t>
  </si>
  <si>
    <t>Mì chính (M) 2Kg* 8EA</t>
  </si>
  <si>
    <t>8935304200035</t>
  </si>
  <si>
    <t>1021793</t>
  </si>
  <si>
    <t>Sốt ướp thịt Hàn Quốc vị cay 240g*20EA (HD)</t>
  </si>
  <si>
    <t>8935036290298</t>
  </si>
  <si>
    <t>1021982</t>
  </si>
  <si>
    <t>Gia vị hoàn hảo thịt kho tàu 30g*200EA(Lốc 20 x 10 lốc) (HD)</t>
  </si>
  <si>
    <t>8935304203258</t>
  </si>
  <si>
    <t>1105821</t>
  </si>
  <si>
    <t>Rapokki Hàn Quốc vị Phô Mai (gói) 146g*24EA (HD)</t>
  </si>
  <si>
    <t>8935304202121</t>
  </si>
  <si>
    <t>1025388</t>
  </si>
  <si>
    <t>Dầu hào 250g*24EA (HD)</t>
  </si>
  <si>
    <t>8935036251206</t>
  </si>
  <si>
    <t>1021978</t>
  </si>
  <si>
    <t>Bột năng đa dụng 400g*24EA (HD)</t>
  </si>
  <si>
    <t>8935304203333</t>
  </si>
  <si>
    <t>1105824</t>
  </si>
  <si>
    <t>Tokpokki Hàn Quốc vị BBQ (gói) 140g*24EA (HD)</t>
  </si>
  <si>
    <t>8935036210036</t>
  </si>
  <si>
    <t>1021967</t>
  </si>
  <si>
    <t>Bột chiên giòn 500g x 20EA (HD)</t>
  </si>
  <si>
    <t>8801052747507</t>
  </si>
  <si>
    <t>2009922</t>
  </si>
  <si>
    <t>Miến khoai lang 500g*20EA</t>
  </si>
  <si>
    <t>8801052003795</t>
  </si>
  <si>
    <t>2100010</t>
  </si>
  <si>
    <t>Xốt Mayonnaise 300gr x 12BT</t>
  </si>
  <si>
    <t>8935304203234</t>
  </si>
  <si>
    <t>1105820</t>
  </si>
  <si>
    <t>Rapokki Hàn Quốc vị Truyền thống (gói) 146g*24EA (HD)</t>
  </si>
  <si>
    <t>8935304203319</t>
  </si>
  <si>
    <t>1105827</t>
  </si>
  <si>
    <t>Tokpokki Hàn Quốc vị Trái Cây Nhiệt Đới (hộp) 105g*24EA (HD)</t>
  </si>
  <si>
    <t>8935304201865</t>
  </si>
  <si>
    <t>1024637</t>
  </si>
  <si>
    <t>Sốt me hoàn chỉnh 80g*60EA (HD)</t>
  </si>
  <si>
    <t>8935036290304</t>
  </si>
  <si>
    <t>1021984</t>
  </si>
  <si>
    <t>Gia vị hoàn hảo cá kho riềng 30g*200EA (Lốc 20 x 10 lốc) (HD)</t>
  </si>
  <si>
    <t>8935036200211</t>
  </si>
  <si>
    <t>1100019</t>
  </si>
  <si>
    <t>Mì chính (L) 2Kg* 6EA (repacking)</t>
  </si>
  <si>
    <t>8935304201889</t>
  </si>
  <si>
    <t>1024638</t>
  </si>
  <si>
    <t>Sốt me hoàn chỉnh 250g*20EA (HD)</t>
  </si>
  <si>
    <t>8935036200518</t>
  </si>
  <si>
    <t>1100006</t>
  </si>
  <si>
    <t>Mì chính (L) 400g* 40EA</t>
  </si>
  <si>
    <t>8935304203296</t>
  </si>
  <si>
    <t>1105825</t>
  </si>
  <si>
    <t>Tokpokki Hàn Quốc vị Matcha (hộp) 105g*24EA (HD)</t>
  </si>
  <si>
    <t>8935304200097</t>
  </si>
  <si>
    <t>1021801</t>
  </si>
  <si>
    <t>Sốt Spaghetti Arrabbiata vị cay 220g * 20EA (HD)</t>
  </si>
  <si>
    <t>8935304201780</t>
  </si>
  <si>
    <t>1024428</t>
  </si>
  <si>
    <t>Sốt lẩu hoàn chỉnh Lẩu Kim Chi 180g*40EA (HD)</t>
  </si>
  <si>
    <t>8935304203081</t>
  </si>
  <si>
    <t>1105764</t>
  </si>
  <si>
    <t>Miến khoai lang sợi gập 500g * 15EA (HD)</t>
  </si>
  <si>
    <t>8801052019659</t>
  </si>
  <si>
    <t>2014228</t>
  </si>
  <si>
    <t>Sốt Bolognese cho mì Ý truyền thống 370g*12BT</t>
  </si>
  <si>
    <t>8935304200066</t>
  </si>
  <si>
    <t>1023675</t>
  </si>
  <si>
    <t>Sốt kho hoàn hảo 80g*60EA (HD)</t>
  </si>
  <si>
    <t>8935304203357</t>
  </si>
  <si>
    <t>1105826</t>
  </si>
  <si>
    <t>Tokpokki Hàn Quốc vị Matcha (gói) 140g*24EA (HD)</t>
  </si>
  <si>
    <t>8935304201339</t>
  </si>
  <si>
    <t>1024341</t>
  </si>
  <si>
    <t>Sốt lẩu hoàn chỉnh Lẩu Tokpokki Hàn Quốc 180g*40EA (HD)</t>
  </si>
  <si>
    <t>6935036482008</t>
  </si>
  <si>
    <t>2010093</t>
  </si>
  <si>
    <t>Miến khoai lang truyền thống 500g*20EA</t>
  </si>
  <si>
    <t>8935304203371</t>
  </si>
  <si>
    <t>1105828</t>
  </si>
  <si>
    <t>Tokpokki Hàn Quốc vị Trái Cây Nhiệt Đới (gói) 140g*24EA (HD)</t>
  </si>
  <si>
    <t>8801052065205</t>
  </si>
  <si>
    <t>1021441</t>
  </si>
  <si>
    <t>Mayonnaise vị phô mai tỏi 300g*12EA</t>
  </si>
  <si>
    <t>8801052451015</t>
  </si>
  <si>
    <t>1002211</t>
  </si>
  <si>
    <t>Mạch Nha 700g*20ea (HQ)</t>
  </si>
  <si>
    <t>8935304200059</t>
  </si>
  <si>
    <t>1021798</t>
  </si>
  <si>
    <t>Sốt kho hoàn hảo 240g*20EA (HD)</t>
  </si>
  <si>
    <t>8801052730769</t>
  </si>
  <si>
    <t>1014862</t>
  </si>
  <si>
    <t>Xốt ướp sườn bò 280g*20EA</t>
  </si>
  <si>
    <t>8801052202013</t>
  </si>
  <si>
    <t>2002057</t>
  </si>
  <si>
    <t>Rong biển hàn quốc 50g*40EA (HQ)</t>
  </si>
  <si>
    <t>8801052746302</t>
  </si>
  <si>
    <t>2012096</t>
  </si>
  <si>
    <t>Mì Spaghetti 250g*40EA</t>
  </si>
  <si>
    <t>8935304203937</t>
  </si>
  <si>
    <t>1106572</t>
  </si>
  <si>
    <t>Sốt Spaghetti Phô mai Kem 340g x 15EA (HD)</t>
  </si>
  <si>
    <t>8935304203739</t>
  </si>
  <si>
    <t>2142645</t>
  </si>
  <si>
    <t>Tiêu đen hạt 50g*24 EA</t>
  </si>
  <si>
    <t>8935304203463</t>
  </si>
  <si>
    <t>1106290</t>
  </si>
  <si>
    <t>Bolognese/Phô mai Kem/Rose 120g lốc 3 KM Mì Spaghetti 250g * 12 lốc HD</t>
  </si>
  <si>
    <t>8935304203715</t>
  </si>
  <si>
    <t>2142644</t>
  </si>
  <si>
    <t>Muối hồng Himalaya 110g*24 EA</t>
  </si>
  <si>
    <t>8935304204132</t>
  </si>
  <si>
    <t>1106776</t>
  </si>
  <si>
    <t xml:space="preserve">Tokpokki Rose Hàn Quốc (gói) 125g*24EA (HD) </t>
  </si>
  <si>
    <t>8935304204989</t>
  </si>
  <si>
    <t>1107443</t>
  </si>
  <si>
    <t>Rong biển Hàn Quốc 80g * 24 EA (HD)</t>
  </si>
  <si>
    <t>8935304203593</t>
  </si>
  <si>
    <t>2144597</t>
  </si>
  <si>
    <t>Mì Ý Spaghetti O'Food 500g*24EA</t>
  </si>
  <si>
    <t>8935304205481</t>
  </si>
  <si>
    <t>1108113</t>
  </si>
  <si>
    <t>Lá Kim tẩm dầu Ô Liu 4g lốc 24 Tết *8 lốc (HD)</t>
  </si>
  <si>
    <t>8935101600045</t>
  </si>
  <si>
    <t>2145718</t>
  </si>
  <si>
    <t>Xúc xích nướng ( 84) 500g</t>
  </si>
  <si>
    <t>8935101600366</t>
  </si>
  <si>
    <t>2145688</t>
  </si>
  <si>
    <t>Xúc xích hong khói 200g * 1EA</t>
  </si>
  <si>
    <t>8935101600250</t>
  </si>
  <si>
    <t>2145686</t>
  </si>
  <si>
    <t>Xúc xích hong khói 450g</t>
  </si>
  <si>
    <t>8935101600380</t>
  </si>
  <si>
    <t>2145690</t>
  </si>
  <si>
    <t>Xúc xích vườn bia 200g * 1EA</t>
  </si>
  <si>
    <t>8935101600625</t>
  </si>
  <si>
    <t>2145689</t>
  </si>
  <si>
    <t>Xúc xích vườn bia 450g * 1EA</t>
  </si>
  <si>
    <t>8935101600427</t>
  </si>
  <si>
    <t>2145691</t>
  </si>
  <si>
    <t>Xúc xích viên hong khói 450g * 1EA</t>
  </si>
  <si>
    <t>8935101600373</t>
  </si>
  <si>
    <t>2145714</t>
  </si>
  <si>
    <t>Xúc xích viên hong khói 200g</t>
  </si>
  <si>
    <t>8935101604111</t>
  </si>
  <si>
    <t>2145721</t>
  </si>
  <si>
    <t>Xúc xích Becllin 500g</t>
  </si>
  <si>
    <t>8935101600229</t>
  </si>
  <si>
    <t>2146404</t>
  </si>
  <si>
    <t>Xúc xích hong khói 500g (84)</t>
  </si>
  <si>
    <t>8935101608348</t>
  </si>
  <si>
    <t>2145744</t>
  </si>
  <si>
    <t>Xúc xích bắp phô mai 250g</t>
  </si>
  <si>
    <t>8935101607938</t>
  </si>
  <si>
    <t>2145726</t>
  </si>
  <si>
    <t>Xúc xích phô mai Cheesy 250g</t>
  </si>
  <si>
    <t>8935101607952</t>
  </si>
  <si>
    <t>2145740</t>
  </si>
  <si>
    <t>Xúc xích phô mai Cheesy 70g * 30EA</t>
  </si>
  <si>
    <t>8935101604913</t>
  </si>
  <si>
    <t>2145762</t>
  </si>
  <si>
    <t>Xúc xích Cocktail 200g</t>
  </si>
  <si>
    <t>8935101604937</t>
  </si>
  <si>
    <t>2145764</t>
  </si>
  <si>
    <t>Xúc xích Cocktail 500g</t>
  </si>
  <si>
    <t>8935101604883</t>
  </si>
  <si>
    <t>2145765</t>
  </si>
  <si>
    <t>Xúc xích Hotdog 200g</t>
  </si>
  <si>
    <t>8935101604906</t>
  </si>
  <si>
    <t>2145768</t>
  </si>
  <si>
    <t>Xúc xích Hotdog 500g</t>
  </si>
  <si>
    <t>8935101605804</t>
  </si>
  <si>
    <t>2145766</t>
  </si>
  <si>
    <t>Xúc xích Mỹ 1000g</t>
  </si>
  <si>
    <t>8935101605118</t>
  </si>
  <si>
    <t>2145783</t>
  </si>
  <si>
    <t>Xúc xích Romas ( 50g) 500g</t>
  </si>
  <si>
    <t>8935101607969</t>
  </si>
  <si>
    <t>2145791</t>
  </si>
  <si>
    <t>Xúc xích Romas 70g * 30EA</t>
  </si>
  <si>
    <t>8935101605989</t>
  </si>
  <si>
    <t>2145774</t>
  </si>
  <si>
    <t>Xúc xích Pari (50g) 500g</t>
  </si>
  <si>
    <t>8935101608072</t>
  </si>
  <si>
    <t>2145743</t>
  </si>
  <si>
    <t>Xúc xích sụn nướng Bulgogi 450g</t>
  </si>
  <si>
    <t>8935101604319</t>
  </si>
  <si>
    <t>2145746</t>
  </si>
  <si>
    <t>Chân giò ủ muối 450g</t>
  </si>
  <si>
    <t>8935101604180</t>
  </si>
  <si>
    <t>2145749</t>
  </si>
  <si>
    <t>Chân giò hong khói rút xương 300g</t>
  </si>
  <si>
    <t>8935101601967</t>
  </si>
  <si>
    <t>2145737</t>
  </si>
  <si>
    <t>Thăn heo hong khói 200g</t>
  </si>
  <si>
    <t>8935101602155</t>
  </si>
  <si>
    <t>2145751</t>
  </si>
  <si>
    <t>Dọi quế hong khói 200g</t>
  </si>
  <si>
    <t>8935101601028</t>
  </si>
  <si>
    <t>2145735</t>
  </si>
  <si>
    <t>Xúc xích tỏi 200g</t>
  </si>
  <si>
    <t>8935101600960</t>
  </si>
  <si>
    <t>2145745</t>
  </si>
  <si>
    <t>Jăm bông hấp 200g</t>
  </si>
  <si>
    <t>8935101606078</t>
  </si>
  <si>
    <t>2145695</t>
  </si>
  <si>
    <t>Seoul's Hotdog 350g</t>
  </si>
  <si>
    <t>8935101607099</t>
  </si>
  <si>
    <t>8935101607105</t>
  </si>
  <si>
    <t>2145648</t>
  </si>
  <si>
    <t>Đức Việt Handy - xúc xích ăn liền vị heo 105g * 20EA</t>
  </si>
  <si>
    <t>8935101607129</t>
  </si>
  <si>
    <t>2145657</t>
  </si>
  <si>
    <t>Đức Việt Handy - xúc xích ăn liền vị bò 105g * 20EA</t>
  </si>
  <si>
    <t>8935101607891</t>
  </si>
  <si>
    <t>2145680</t>
  </si>
  <si>
    <t>O'food Xúc xích Lắc Phô mai vị truyền thống 56g * 24EA</t>
  </si>
  <si>
    <t>8935101607907</t>
  </si>
  <si>
    <t>2145681</t>
  </si>
  <si>
    <t>O'food Xúc xích Lắc Phô mai vị dâu tây 56g * 24EA</t>
  </si>
  <si>
    <t>8935101608102</t>
  </si>
  <si>
    <t>2145625</t>
  </si>
  <si>
    <t>Kimchi cải thảo cắt lát 1000g * 10EA</t>
  </si>
  <si>
    <t>8935101608409</t>
  </si>
  <si>
    <t>2148987</t>
  </si>
  <si>
    <t>Kimchi cải thảo cắt lát 150g * 30EA</t>
  </si>
  <si>
    <t>8935101607877</t>
  </si>
  <si>
    <t>2146839</t>
  </si>
  <si>
    <t>Seoul's Hotdog Chiên xù 250g (M)</t>
  </si>
  <si>
    <t>8935101607716</t>
  </si>
  <si>
    <t>2145679</t>
  </si>
  <si>
    <t>Đức Việt Handy- Xúc xích thịt heo muối hồng Himalaya 175g * 20EA</t>
  </si>
  <si>
    <t>8935101608478</t>
  </si>
  <si>
    <t>2150337</t>
  </si>
  <si>
    <t>O'food Chả giò da xốp nhân thịt 300g</t>
  </si>
  <si>
    <t>8935101608461</t>
  </si>
  <si>
    <t>2150338</t>
  </si>
  <si>
    <t>O'food Chả giò da xốp hải sản 300g</t>
  </si>
  <si>
    <t>8935101608508</t>
  </si>
  <si>
    <t>2150771</t>
  </si>
  <si>
    <t>Lạp xưởng tươi (62g) 500g</t>
  </si>
  <si>
    <t>Barcode</t>
  </si>
  <si>
    <t>Mã sản phẩm</t>
  </si>
  <si>
    <t>Tên sản phẩm</t>
  </si>
  <si>
    <t>Tên chương trình</t>
  </si>
  <si>
    <t>Ngày áp dụng</t>
  </si>
  <si>
    <t>Ngày kết thúc</t>
  </si>
  <si>
    <t>% Giảm giá</t>
  </si>
  <si>
    <t>Giá khuyến mại</t>
  </si>
  <si>
    <t>Mã hàng tặng</t>
  </si>
  <si>
    <t>Tên hàng tặng</t>
  </si>
  <si>
    <t>Phạm vi</t>
  </si>
  <si>
    <t>Toàn quốc</t>
  </si>
  <si>
    <t>Miền Bắc</t>
  </si>
  <si>
    <t>Miền Nam</t>
  </si>
  <si>
    <t>Miền Trung</t>
  </si>
  <si>
    <t>Toàn bộ</t>
  </si>
  <si>
    <t>Chương trình KM</t>
  </si>
  <si>
    <t>Mua 2 tặng 1</t>
  </si>
  <si>
    <t>Mua 1 tặng 1</t>
  </si>
  <si>
    <t>STT</t>
  </si>
  <si>
    <t>Mì Ý Spaghetti O'Food 250g * 40EA</t>
  </si>
  <si>
    <t>1025313</t>
  </si>
  <si>
    <t>Lá Kim tẩm dầu Ô liu 4g lốc 3 * 24 lốc (HD) + 12 lốc KM</t>
  </si>
  <si>
    <t>Mì Spaghetti 250g</t>
  </si>
  <si>
    <t>Chương trình KAM</t>
  </si>
  <si>
    <t>Mã điểm giao</t>
  </si>
  <si>
    <t>Tên điểm giao</t>
  </si>
  <si>
    <t>Địa chỉ điểm giao</t>
  </si>
  <si>
    <t>Mã khách hàng</t>
  </si>
  <si>
    <t>Chi nhánh</t>
  </si>
  <si>
    <t>Tên khách hàng</t>
  </si>
  <si>
    <t>1712</t>
  </si>
  <si>
    <t>WM VCP BNH Bắc Giang</t>
  </si>
  <si>
    <t>Tầng L1, TTTM Vincom Plaza Bắc Giang thuộc dự án đầu tư xây dựng nhà ở thương mại, số 41 đường Ngô Gia Tự, phường Bắc Giang, Tỉnh Bắc Ninh Việt Nam</t>
  </si>
  <si>
    <t>Miền Bắc đặc biệt 2</t>
  </si>
  <si>
    <t>CHI NHÁNH BẮC NINH - CÔNG TY CỔ PHẦN DỊCH VỤ THƯƠNG MẠI TỔNG HỢP WINCOMMERCE</t>
  </si>
  <si>
    <t>2BU2</t>
  </si>
  <si>
    <t>WM+ BNH 531-533 Đồi Ngô</t>
  </si>
  <si>
    <t>Số 531-533 Phố Đồi Ngô, Xã Lục Nam, T. Bắc Ninh Việt Nam</t>
  </si>
  <si>
    <t>5924</t>
  </si>
  <si>
    <t>WM+ VPC TDP Đội Cấn, Vĩnh Tường</t>
  </si>
  <si>
    <t>Số 101–103, Thôn Đội Cấn, Xã Vĩnh Tường, Tỉnh Phú Thọ T. Phú Thọ Việt Nam</t>
  </si>
  <si>
    <t>CHI NHÁNH VĨNH PHÚC - CÔNG TY CỔ PHẦN DỊCH VỤ THƯƠNG MẠI TỔNG HỢP WINCOMMERCE</t>
  </si>
  <si>
    <t>1530</t>
  </si>
  <si>
    <t>WM HNI Hà Đông</t>
  </si>
  <si>
    <t>Tòa nhà CT1A- CT1B Khu đô thị Xa la-, Quận Hà Đông, TP. Hà Nội Việt Nam</t>
  </si>
  <si>
    <t>CHI NHÁNH HÀ NỘI - CÔNG TY CỔ PHẦN DỊCH VỤ THƯƠNG MẠI TỔNG HỢP WINCOMMERCE</t>
  </si>
  <si>
    <t>1531</t>
  </si>
  <si>
    <t>WM HNI Thăng Long</t>
  </si>
  <si>
    <t>Tổ hợp nhà ở 28 tầng, làng Quốc tế, Thăng Long, P. Dịch Vọng, Quận Cầu Giấy, TP. Hà Nội Việt Nam</t>
  </si>
  <si>
    <t>1532</t>
  </si>
  <si>
    <t>WM VMM HNI Royal City</t>
  </si>
  <si>
    <t>Số 72A đường Nguyễn Trãi - P., Thượng Đình, Quận Thanh Xuân, TP. Hà Nội Việt Nam</t>
  </si>
  <si>
    <t>1533</t>
  </si>
  <si>
    <t>WM HNI Trung Hòa</t>
  </si>
  <si>
    <t>TTTM Ocean Mall Trung Hòa - Đường, Hoàng Đạo Thúy, Quận Cầu Giấy, TP. Hà Nội Việt Nam</t>
  </si>
  <si>
    <t>1535</t>
  </si>
  <si>
    <t>WM VMM HNI Times City</t>
  </si>
  <si>
    <t>B1-C55 Khu đô thị Times City, 458 Minh Khai , P. Minh Khai, , Quận Hai Bà Trưng , TP. Hà Nội, Việt Nam</t>
  </si>
  <si>
    <t>1539</t>
  </si>
  <si>
    <t>WM VCC HNI Bà Triệu</t>
  </si>
  <si>
    <t>Tầng 1, TTTM Vincom Center, 191 Bà, Triệu, P. Lê Đại Hành, Quận Hai Bà Trưng, TP. Hà Nội Việt Nam</t>
  </si>
  <si>
    <t>1541</t>
  </si>
  <si>
    <t>WM VCP HNI Long Biên</t>
  </si>
  <si>
    <t>TTTM Vincom center Long Biên , Quận Long Biên , TP. Hà Nội, Việt Nam</t>
  </si>
  <si>
    <t>1542</t>
  </si>
  <si>
    <t>WM HNI Văn Quán</t>
  </si>
  <si>
    <t>Tầng 1 nhà CT7A, khu đô thị mới văn, quán, Yên Phúc, P. Phúc La, Quận Hà Đông, TP. Hà Nội Việt Nam</t>
  </si>
  <si>
    <t>1553</t>
  </si>
  <si>
    <t>WM VCC HNI Nguyễn Chí Thanh</t>
  </si>
  <si>
    <t>54A Nguyễn Chí Thanh, Quận Đống Đa, TP. Hà Nội Việt Nam</t>
  </si>
  <si>
    <t>1569</t>
  </si>
  <si>
    <t>WM HNI Đan Phượng</t>
  </si>
  <si>
    <t>Số 188 phố Tây Sơn, TT. Phùng, H. Đan Phượng, TP. Hà Nội Việt Nam</t>
  </si>
  <si>
    <t>1585</t>
  </si>
  <si>
    <t>WM HNI Tây Hồ</t>
  </si>
  <si>
    <t>Tầng 1+2, Chung cư nhà F, Ngõ 28, Đường Xuân La, P.Xuân La, Quận Tây Hồ, TP. Hà Nội Việt Nam</t>
  </si>
  <si>
    <t>1588</t>
  </si>
  <si>
    <t>WM HNI Hoài Đức</t>
  </si>
  <si>
    <t>TP Hà Nội, Khu đô thị Tân Tây Đô, Xã Tân Lập, TP. Hà Nội Việt Nam</t>
  </si>
  <si>
    <t>1589</t>
  </si>
  <si>
    <t>WM VCC HNI Phạm Ngọc Thạch</t>
  </si>
  <si>
    <t>B1, TTTM Vincom Phạm Ngọc Thạch, Phạm Ngọc Thạch, Phường Trung Tự, TP. Hà Nội Việt Nam</t>
  </si>
  <si>
    <t>1590</t>
  </si>
  <si>
    <t>WM VCP HNI Bắc Từ Liêm</t>
  </si>
  <si>
    <t>số 234 B1, TTTM Vincom Bắc Từ Liêm , Phạm Văn Đồng, P. Cổ Nhuế , Quận Bắc Từ Liêm , TP. Hà Nội, Việt Nam</t>
  </si>
  <si>
    <t>1606</t>
  </si>
  <si>
    <t>WM HNI Hoàng Cầu</t>
  </si>
  <si>
    <t>Tầng 1, Chung cư CT1, Khu nhà ở di dân Ao Hoàng Cầu, Ao Hoàng Cầu, Phường Ô Chợ Dừa, Quận Đống Đa, TP. Hà Nội Việt Nam</t>
  </si>
  <si>
    <t>1608</t>
  </si>
  <si>
    <t>WM VCC HNI Liễu Giai</t>
  </si>
  <si>
    <t>Tầng B1, TTTM Vincom Center Liễu Giai, Số 29 Liễu Giai, P. Ngọc Khánh, Q. Ba Đình, TP. Hà Nội Việt Nam</t>
  </si>
  <si>
    <t>1620</t>
  </si>
  <si>
    <t>WM HNI Gardenia</t>
  </si>
  <si>
    <t>Tầng 1,2 Tòa nhà A1 khu đô thị Vinhomes Gardenia, Đường Hàm Nghi, Phường Cầu Diễn, Quận Nam Từ Liêm, TP. Hà Nội Việt Nam</t>
  </si>
  <si>
    <t>1635</t>
  </si>
  <si>
    <t>WM VCP HNI Skylake</t>
  </si>
  <si>
    <t>Tầng 1, TTTM Vincom Plaza Skylake, Khu đô, thị mới Cầu Giấy, P. Mỹ Đình 1, Quận Nam Từ Liêm, TP. Hà Nội Việt Nam</t>
  </si>
  <si>
    <t>1644</t>
  </si>
  <si>
    <t>WM HNI Yên Sở</t>
  </si>
  <si>
    <t>Tầng 1, Tòa CT2, Khu đô thị Gamuda Gardens, Phường Trần Phú, Quận Hoàng Mai, TP. Hà Nội Việt Nam</t>
  </si>
  <si>
    <t>1645</t>
  </si>
  <si>
    <t>WM HNI Cầu Giấy</t>
  </si>
  <si>
    <t>Tòa nhà Skypark, Số 2 , ngõ 3 Tôn Thất Thuyết, Phường Dịch Vọng Hậu, Quận Cầu Giấy, TP. Hà Nội Việt Nam</t>
  </si>
  <si>
    <t>1646</t>
  </si>
  <si>
    <t>WM VCC HNI Trần Duy Hưng</t>
  </si>
  <si>
    <t>Tầng 2, TTTM Vincom Center Trần Duy Hưng, Đường Trần Duy Hưng, P. Trung Hòa, Quận Cầu Giấy, TP. Hà Nội Việt Nam</t>
  </si>
  <si>
    <t>1650</t>
  </si>
  <si>
    <t>WM HNI Trúc Khê</t>
  </si>
  <si>
    <t>19 Trúc Khê, Phường Láng Hạ, Quận Đống Đa, TP. Hà Nội Việt Nam</t>
  </si>
  <si>
    <t>1651</t>
  </si>
  <si>
    <t>WM HNI Trương Định</t>
  </si>
  <si>
    <t>Tòa nhà Nam Đô Complex, 609 Trương Định, Phường Thịnh Liệt, Quận Hoàng Mai, TP. Hà Nội Việt Nam</t>
  </si>
  <si>
    <t>1655</t>
  </si>
  <si>
    <t>WM HNI Nhật Tân</t>
  </si>
  <si>
    <t>Lô E khu đất D1 tòa nhà hỗn hợp Vườn Đào, Phường Phú Thượng, Quận Tây Hồ, TP. Hà Nội Việt Nam</t>
  </si>
  <si>
    <t>1656</t>
  </si>
  <si>
    <t>WM HNI Quang Trung - Hà Đông</t>
  </si>
  <si>
    <t>Số 8, Quang Trung, P. Quang Trung, Quận Hà Đông, TP. Hà Nội Việt Nam</t>
  </si>
  <si>
    <t>1657</t>
  </si>
  <si>
    <t>WM HNI Lê Đức Thọ</t>
  </si>
  <si>
    <t>Tầng 1 Tòa nhà CT4 Lê Đức Thọ, Phường Mỹ Đình 2, Quận Nam Từ Liêm, TP. Hà Nội Việt Nam</t>
  </si>
  <si>
    <t>1658</t>
  </si>
  <si>
    <t>WM HNI Đại La</t>
  </si>
  <si>
    <t>163A Đại La, Phường Đồng Tâm, Quận Hai Bà Trưng, TP. Hà Nội Việt Nam</t>
  </si>
  <si>
    <t>1663</t>
  </si>
  <si>
    <t>WM HNI Xuân Diệu</t>
  </si>
  <si>
    <t>Số 51 Xuân Diệu, Quảng An, Quận Tây Hồ, TP. Hà Nội Việt Nam</t>
  </si>
  <si>
    <t>1664</t>
  </si>
  <si>
    <t>WM HNI La Thành</t>
  </si>
  <si>
    <t>Tầng 1, Toàn nhà 170 La Thành, Ô Chợ Dừa, Quận Đống Đa, TP. Hà Nội Việt Nam</t>
  </si>
  <si>
    <t>1665</t>
  </si>
  <si>
    <t>WM HNI Tràng An</t>
  </si>
  <si>
    <t>Tràng An Complex, 1 Phùng Chí, Kiên, Nghĩa Đô, Quận Cầu Giấy, TP. Hà Nội Việt Nam</t>
  </si>
  <si>
    <t>1666</t>
  </si>
  <si>
    <t>WM HNI Trường Chinh</t>
  </si>
  <si>
    <t>Tầng 1, Tòa HH1 - Meco Complex Building, ngõ 102 Trường Chinh, Phường Phương Mai Quận Đống Đa, TP. Hà Nội Việt Nam</t>
  </si>
  <si>
    <t>1669</t>
  </si>
  <si>
    <t>WM HNI Linh Đàm</t>
  </si>
  <si>
    <t>Tòa nhà Bắc Rice City Linh Đàm, KĐT mới, Tây Nam Linh Đàm, Phường Hoàng Liệt, Quận Hoàng Mai, TP. Hà Nội Việt Nam</t>
  </si>
  <si>
    <t>1671</t>
  </si>
  <si>
    <t>WM HNI Vũ Trọng Phụng</t>
  </si>
  <si>
    <t>Tầng 1 Nhà 17T1, 17T2 số 1 Nguyễn Huy Tưởng, Phường Thanh Xuân Trung, Quận Thanh Xuân, TP. Hà Nội Việt Nam</t>
  </si>
  <si>
    <t>1672</t>
  </si>
  <si>
    <t>WM HNI Nguyễn Văn Cừ II</t>
  </si>
  <si>
    <t>131 Nguyễn Văn Cừ, Phường Ngọc Lâm, Quận Long Biên, TP. Hà Nội Việt Nam</t>
  </si>
  <si>
    <t>1673</t>
  </si>
  <si>
    <t>WM HNI Thụy Khuê</t>
  </si>
  <si>
    <t>Tòa nhà Sun Plaza Thụy Khuê, Số nhà 69B đường Thụy Khuê, P. Thụy Khuê, Quận Tây Hồ, TP. Hà Nội Việt Nam</t>
  </si>
  <si>
    <t>1675</t>
  </si>
  <si>
    <t>WM HNI Lương Yên</t>
  </si>
  <si>
    <t>Số 3 Lương Yên, Phường Bạch Đằng, Quận Hai Bà Trưng, TP. Hà Nội Việt Nam</t>
  </si>
  <si>
    <t>1698</t>
  </si>
  <si>
    <t>WM VMM HNI Smart City</t>
  </si>
  <si>
    <t>Tầng 1, TTTM Vincom Mega Mall Smart City, Khu vực ô GS-CCTP1 thuộc DA KĐTM Tây Mỗ - Đại Mỗ - Vinhomes P. Tây Mỗ, Q. Nam Từ Liêm, TP. Hà Nội TP. Hà Nội Việt Nam</t>
  </si>
  <si>
    <t>1699</t>
  </si>
  <si>
    <t>WM VMM HNI Ocean Park</t>
  </si>
  <si>
    <t>Tầng 2 và Tầng 3, TTTM Vincom Mega Mall Ocean Park, Lô đất số CCTP-10 thuộc DA KĐT Gia Lâm, TT Trâu Quỳ và các xã Dương Xá, Kiêu Kỵ, Hà Nội Việt Nam</t>
  </si>
  <si>
    <t>1706</t>
  </si>
  <si>
    <t>WM HNI Đông Hội</t>
  </si>
  <si>
    <t>Trong tổ hợp dự án Eurowindow River Park, khu tái định cư Đông Hội, xã Đông Hội, H. Đông Anh TP. Hà Nội Việt Nam</t>
  </si>
  <si>
    <t>1708</t>
  </si>
  <si>
    <t>WM HNI Lê Văn Thiêm</t>
  </si>
  <si>
    <t>35 Lê Văn Thiêm, phường Thanh Xuân Trung, quận Thanh Xuân TP. Hà Nội Việt Nam</t>
  </si>
  <si>
    <t>X. Tân Lập, KCN Yên Mỹ, H. Yên Mỹ T. Hưng Yên Việt Nam</t>
  </si>
  <si>
    <t>Miền Bắc đặc biệt 1</t>
  </si>
  <si>
    <t>CHI NHÁNH HƯNG YÊN - CÔNG TY CỔ PHẦN DỊCH VỤ THƯƠNG MẠI TỔNG HỢP WINCOMMERCE</t>
  </si>
  <si>
    <t>1537</t>
  </si>
  <si>
    <t>WM NBH Ninh Bình</t>
  </si>
  <si>
    <t>Số 848 Đường Trần Hưng Đạo, P. Tân, Thành, TP. Ninh Bình, T. Ninh Bình Việt Nam</t>
  </si>
  <si>
    <t>1543</t>
  </si>
  <si>
    <t>WM VCP QNH Hạ Long</t>
  </si>
  <si>
    <t>Vincom Center Hạ Long , P. Bạch Đằng , TP. Hạ Long , T. Quảng Ninh, Việt Nam</t>
  </si>
  <si>
    <t>1550</t>
  </si>
  <si>
    <t>WM VCP HPG Hải Phòng</t>
  </si>
  <si>
    <t>Số 4 &amp; 5 Lê Thánh Tông, P. Máy Tơ , Q. Ngô Quyền, , TP. Hải Phòng, Việt Nam</t>
  </si>
  <si>
    <t>1564</t>
  </si>
  <si>
    <t>WM VCP PTO Việt Trì</t>
  </si>
  <si>
    <t>Tầng 2 TTTM Vincom Plaza, Số 2 Đại, lộ Hùng Vương, P. Tiên Cát, TP. Việt Trì, T. Phú Thọ Việt Nam</t>
  </si>
  <si>
    <t>1573</t>
  </si>
  <si>
    <t>WM VCP TBH Thái Bình</t>
  </si>
  <si>
    <t>Số 460, phố Lý Bôn, P. Đề Thám, TP. Thái Bình, T. Thái Bình Việt Nam</t>
  </si>
  <si>
    <t>1592</t>
  </si>
  <si>
    <t>WM VC+ HDG Chí Linh</t>
  </si>
  <si>
    <t>Chí Linh, Thành phố Chí Linh, T. Hải Dương Việt Nam</t>
  </si>
  <si>
    <t>1594</t>
  </si>
  <si>
    <t>WM VCP YBI Yên Bái</t>
  </si>
  <si>
    <t>Tầng 2, TTTM Vincom Yên Bái, Công viên Yên Hòa, Đường, Yên Hòa, Đường Thành Công và Đường Tô, Hiến Thành, P. Nguyễn Thái Học, T. Yên Bái Việt Nam</t>
  </si>
  <si>
    <t>1598</t>
  </si>
  <si>
    <t>WM VC+ THA Tĩnh Gia</t>
  </si>
  <si>
    <t>Tầng 1, TTTM Vincom+ Tĩnh Gia , Xã Nguyên Bình , Huyện Tĩnh Gia , T. Thanh Hóa, Việt Nam</t>
  </si>
  <si>
    <t>1601</t>
  </si>
  <si>
    <t>WM VCP TQG Tuyên Quang</t>
  </si>
  <si>
    <t>Tầng 2, TTTM Vincom Tuyên Quang, Đường Quang Trung, P. Phan Thiết, TP. Tuyên Quang, T. Tuyên Quang Việt Nam</t>
  </si>
  <si>
    <t>1603</t>
  </si>
  <si>
    <t>TTTM Vincom+ Kỳ Anh, Tổ dân phố 1, Phường Sông Trí, Thị xã Kỳ Anh, T. Hà Tĩnh Việt Nam</t>
  </si>
  <si>
    <t>1605</t>
  </si>
  <si>
    <t>WM VC+ QNH Uông Bí</t>
  </si>
  <si>
    <t>TTTM Vincom+ Uông Bí, Khu đô thị Yên Thanh, Phường Yên Thanh, Thành phố Uông Bí, T. Quảng Ninh Việt Nam</t>
  </si>
  <si>
    <t>1609</t>
  </si>
  <si>
    <t>WM VCP SLA Sơn La</t>
  </si>
  <si>
    <t>TTTM Vincom Sơn La, Tổ 3, Phường Quyết Thắng, TP Sơn La, T. Sơn La Việt Nam</t>
  </si>
  <si>
    <t>1610</t>
  </si>
  <si>
    <t>WM VCP TNN Thái Nguyên</t>
  </si>
  <si>
    <t>TTTM Vincom Thái Nguyên, Đường Lương Ngọc Quyến, Phường Quang Trung, TP. Thái Nguyên, T. Thái Nguyên Việt Nam</t>
  </si>
  <si>
    <t>1611</t>
  </si>
  <si>
    <t>WM VCP LSN Lạng Sơn</t>
  </si>
  <si>
    <t>TTTM Vincom Lạng Sơn, Cầu Kỳ Lừa, Phường Chi Lăng, Thành phố Lạng Sơn, T. Lạng Sơn Việt Nam</t>
  </si>
  <si>
    <t>1612</t>
  </si>
  <si>
    <t>WM VCP QBH Quảng Bình</t>
  </si>
  <si>
    <t>Khu TTTM Đồng Hới, đường Quách Xuân Kỳ, phường Đồng Hải, TP. Đồng Hới, T. Quảng Bình Việt Nam</t>
  </si>
  <si>
    <t>1618</t>
  </si>
  <si>
    <t>WM VCP HNM Hà Nam</t>
  </si>
  <si>
    <t>TTTM Vincom Hà Nam, Phường Minh Khai, Thành phố Phủ Lý, T. Hà Nam Việt Nam</t>
  </si>
  <si>
    <t>1619</t>
  </si>
  <si>
    <t>WM VCP THA Thanh Hóa</t>
  </si>
  <si>
    <t>Số 27 – Đường Trần Phú – Phường Điện Biên, Thành phố Thanh Hóa, T. Thanh Hóa Việt Nam</t>
  </si>
  <si>
    <t>1626</t>
  </si>
  <si>
    <t>WM VCP HTH Hà Tĩnh</t>
  </si>
  <si>
    <t>Tầng 2, TTTM Vincom Hà Tĩnh, Góc ngã tư , Đ. Hàm Nghi và Đ. Hà Huy Tập , P. Hà Huy Tập, TP. Hà Tĩnh , T. Hà Tĩnh, Việt Nam</t>
  </si>
  <si>
    <t>1627</t>
  </si>
  <si>
    <t>Vincom+ Nam Đàn, Xã Vân Diên, Huyện Nam Đàn, T. Nghệ An Việt Nam</t>
  </si>
  <si>
    <t>1628</t>
  </si>
  <si>
    <t>WM VCP HPG Imperia Hải Phòng</t>
  </si>
  <si>
    <t>Tầng 2, TTTM Vincom Imperia Hải Phòng, P. Thượng Lý, Q. Hồng Bàng, TP. Hải Phòng Việt Nam</t>
  </si>
  <si>
    <t>1629</t>
  </si>
  <si>
    <t>WM VCP BNH Bắc Ninh</t>
  </si>
  <si>
    <t>TTTM Vincom Bắc Ninh, Đường Trần Hưng Đạo, Phường Suối Hoa, TP Bắc Ninh, T. Bắc Ninh Việt Nam</t>
  </si>
  <si>
    <t>1647</t>
  </si>
  <si>
    <t>WM VCP QNH Móng Cái</t>
  </si>
  <si>
    <t>Tầng 2, TTTM Vincom Plaza Móng Cái, Phường Trần Phú, TP. Móng Cái, T. Quảng Ninh Việt Nam</t>
  </si>
  <si>
    <t>1648</t>
  </si>
  <si>
    <t>WM VCP HBH Hòa Bình</t>
  </si>
  <si>
    <t>Tầng 2, TTTM Vincom Plaza Hòa Bình, Phường Đồng Tiến, Thành phố Hòa Bình, T. Hòa Bình Việt Nam</t>
  </si>
  <si>
    <t>1649</t>
  </si>
  <si>
    <t>WM VC+ PTO Phú Thọ</t>
  </si>
  <si>
    <t>TTTM Vincom+ Phú Thọ, Phường Hùng Vương, Thị xã Phú Thọ, T. Phú Thọ Việt Nam</t>
  </si>
  <si>
    <t>1676</t>
  </si>
  <si>
    <t>WM VCP BKN Bắc Kạn</t>
  </si>
  <si>
    <t>TTTTM Vincom Bắc Kạn, Phường Đức Xuân, TP. Bắc Kạn, T. Bắc Kạn Việt Nam</t>
  </si>
  <si>
    <t>1677</t>
  </si>
  <si>
    <t>WM VCP QNH Cẩm Phả</t>
  </si>
  <si>
    <t>TTTM Vincom Cẩm Phả, Phường Cẩm Bình, Thành phố Cẩm Phả, T. Quảng Ninh Việt Nam</t>
  </si>
  <si>
    <t>1678</t>
  </si>
  <si>
    <t>TTTM Vincom+ Thái Hòa, Khối 8, Phường Long Sơn, Thị xã Thái Hòa, T. Nghệ An Việt Nam</t>
  </si>
  <si>
    <t>1695</t>
  </si>
  <si>
    <t>WM LCU Lai Châu</t>
  </si>
  <si>
    <t>Đường Điện Biên Phủ, Tổ 9, Phường Tân Phong, Thành phố Lai Châu, T. Lai Châu Việt Nam</t>
  </si>
  <si>
    <t>1700</t>
  </si>
  <si>
    <t>WM NAN Vinh - Lê Lợi</t>
  </si>
  <si>
    <t>Tầng 1, tòa nhà Trung Đức, số 2 Lê Lợi T. Nghệ An Việt Nam</t>
  </si>
  <si>
    <t>1701</t>
  </si>
  <si>
    <t>WM NAN Vinh - Bến Thủy</t>
  </si>
  <si>
    <t>176 Nguyễn Du, P.Bến Thủy, TP.Nghệ An, Tỉnh Nghệ An T. Nghệ An Việt Nam</t>
  </si>
  <si>
    <t>1711</t>
  </si>
  <si>
    <t>Tầng L2, TTTM Vincom Plaza Vinh thuộc khu thương mại dịch vụ, khách sạn thuộc dự án cải tạo khu B, khu chung cư Quang Trung, phường Thành Vinh, Tỉnh Nghệ An Việt Nam</t>
  </si>
  <si>
    <t>2011</t>
  </si>
  <si>
    <t>WM+ HNI Almaz</t>
  </si>
  <si>
    <t>L1 - 01, khu TTTM Almaz Long Biên, đường Hoa Lan, khu đô thị sinh thái, Vinhomes River side, P. Phúc Lợi, TP. Hà Nội Việt Nam</t>
  </si>
  <si>
    <t>2013</t>
  </si>
  <si>
    <t>WM+ HNI 183 Hg Văn Thái</t>
  </si>
  <si>
    <t>Số 183 Hoàng Văn Thái, Phường Khương, Trung, Quận Thanh Xuân, TP. Hà Nội Việt Nam</t>
  </si>
  <si>
    <t>2014</t>
  </si>
  <si>
    <t>WM+ HNI 46/230 Lạc Trung</t>
  </si>
  <si>
    <t>Chung cư 46/230 Lạc Trung, Quận Hai Bà Trưng, TP. Hà Nội Việt Nam</t>
  </si>
  <si>
    <t>2015</t>
  </si>
  <si>
    <t>WM+ HNI Thăng Long Garden</t>
  </si>
  <si>
    <t>250 Minh Khai, Phường Minh Khai, Quận Hai Bà Trưng, TP. Hà Nội Việt Nam</t>
  </si>
  <si>
    <t>2016</t>
  </si>
  <si>
    <t>WM+ HNI R3A RC</t>
  </si>
  <si>
    <t>Royal City R3-L1-08B, tổ hợp trung, tâm thương mại, giáo dục và căn hộ, Royal City, số 72 Nguyễn Trãi, P., TP. Hà Nội Việt Nam</t>
  </si>
  <si>
    <t>2017</t>
  </si>
  <si>
    <t>WM+ HNI R3B RC</t>
  </si>
  <si>
    <t>Royal City R3-L1-09B, tổ hợp trung, tâm thương mại, giáo dục và căn hộ, Royal City, số 72 Nguyễn Trãi, P., TP. Hà Nội Việt Nam</t>
  </si>
  <si>
    <t>2018</t>
  </si>
  <si>
    <t>WM+ HNI T4-L1-07A TC</t>
  </si>
  <si>
    <t>Times City T4-L1-07, 458 Minh Khai, P. Vĩnh Tuy, Quận Hai Bà Trưng, TP. Hà Nội Việt Nam</t>
  </si>
  <si>
    <t>2020</t>
  </si>
  <si>
    <t>WM+ HNI CT6 Định Công</t>
  </si>
  <si>
    <t>Đường Trần Điền khu đô thị Định Công, Phường Định Công, Quận Hoàng Mai, (vị trí Minimart ACE), TP. Hà Nội Việt Nam</t>
  </si>
  <si>
    <t>2021</t>
  </si>
  <si>
    <t>WIN HNI Chelsea Park</t>
  </si>
  <si>
    <t>Tòa nhà Chelsea Park, đường Trung Kính, , Phường Yên Hòa, Quận Cầu Giấy, TP. Hà Nội Việt Nam</t>
  </si>
  <si>
    <t>2024</t>
  </si>
  <si>
    <t>WM+ HNI Thăng Long Mall</t>
  </si>
  <si>
    <t>Tòa nhà Viglacera số 1 đại lộ Thăng, Long, Phường Mễ Trì, Quận Nam Từ Liêm, TP. Hà Nội Việt Nam</t>
  </si>
  <si>
    <t>2031</t>
  </si>
  <si>
    <t>WM+ HNI 150 Bạch Mai</t>
  </si>
  <si>
    <t>150 Bạch Mai, Phường Cầu Dền, quận, Quận Hai Bà Trưng, TP. Hà Nội Việt Nam</t>
  </si>
  <si>
    <t>2032</t>
  </si>
  <si>
    <t>WM+ HNI Packexim</t>
  </si>
  <si>
    <t>Tòa nhà Packexim, 49/15 đường An Dư, ơng Vương, Phường Phú Thượng, Quận Tây Hồ, TP. Hà Nội Việt Nam</t>
  </si>
  <si>
    <t>2050</t>
  </si>
  <si>
    <t>WM+ HNI T2-L1-03 TC</t>
  </si>
  <si>
    <t>T2-L1-03, tổ hợp trung tâm thương mại, , giáo dục và căn hộ Times City, số 458, đường Minh Khai, P. Vĩnh Tuy, TP. Hà Nội Việt Nam</t>
  </si>
  <si>
    <t>2054</t>
  </si>
  <si>
    <t>WM+ HNI 81 Thanh Nhàn</t>
  </si>
  <si>
    <t>Số 81 đường Thanh Nhàn, P. Quỳnh Lôi, Quận Hai Bà Trưng, TP. Hà Nội Việt Nam</t>
  </si>
  <si>
    <t>2056</t>
  </si>
  <si>
    <t>WM+ HNI 4A Hàng Chiếu</t>
  </si>
  <si>
    <t>Số 4A Hàng Chiếu, Phường Đồng Xuân, Quận Hoàn Kiếm, TP. Hà Nội Việt Nam</t>
  </si>
  <si>
    <t>2057</t>
  </si>
  <si>
    <t>WM+ HNI 100 Ng Sơn</t>
  </si>
  <si>
    <t>100 Nguyễn Sơn-Phường Ngọc Lâm-Quận, Long Biên-, TP. Hà Nội Việt Nam</t>
  </si>
  <si>
    <t>2058</t>
  </si>
  <si>
    <t>WM+ HNI 2/1 Nghĩa Tân</t>
  </si>
  <si>
    <t>Số 2-Nhà B20- đường Nghĩa Tân, Phườ, ng Nghĩa Tân, Quận Cầu Giấy-, TP. Hà Nội Việt Nam</t>
  </si>
  <si>
    <t>2059</t>
  </si>
  <si>
    <t>WM+ HNI T10 TC</t>
  </si>
  <si>
    <t>T10-L1-07C, tổ hợp trung tâm thương, mại, giáo dục và căn hộ Times City, , số 458, đường Minh Khai, phường V, TP. Hà Nội Việt Nam</t>
  </si>
  <si>
    <t>2061</t>
  </si>
  <si>
    <t>WM+ HNI 227 Thanh Nhàn</t>
  </si>
  <si>
    <t>số 227 đường Thanh Nhàn, Phường Tha, nh Nhàn, Quận Hai Bà Trưng, TP. Hà Nội Việt Nam</t>
  </si>
  <si>
    <t>2063</t>
  </si>
  <si>
    <t>WM+ HNI 304 Hoàng Mai</t>
  </si>
  <si>
    <t>số 304 Hoàng Mai, Phường Hoàng Văn, Thụ, Quận Hoàng Mai, TP. Hà Nội Việt Nam</t>
  </si>
  <si>
    <t>2066</t>
  </si>
  <si>
    <t>WM+ HNI 208L Lê Trọng Tấn</t>
  </si>
  <si>
    <t>Số 208L Lê Trọng Tấn, Phường Khương, Mai, Quận Thanh Xuân, TP. Hà Nội Việt Nam</t>
  </si>
  <si>
    <t>2067</t>
  </si>
  <si>
    <t>WM+ HNI K2 Vĩnh Phúc</t>
  </si>
  <si>
    <t>Nhà K2, Khu TT 7,2ha, Phường Vĩnh Phúc, Quận Ba Đình, TP. Hà Nội Việt Nam</t>
  </si>
  <si>
    <t>2069</t>
  </si>
  <si>
    <t>WM+ HNI 66 Hoàng Sâm</t>
  </si>
  <si>
    <t>Số 1 Lô 2 tập thể Viện Kỹ thuật quân, sự, Phường Nghĩa Đô, Quận Cầu Giấy, TP. Hà Nội Việt Nam</t>
  </si>
  <si>
    <t>2070</t>
  </si>
  <si>
    <t>WM+ HNI 49 Lê Duẩn</t>
  </si>
  <si>
    <t>Số 49 Lê Duẩn, Phường Cửa Nam, Quận Hoàn Kiếm, TP. Hà Nội Việt Nam</t>
  </si>
  <si>
    <t>2071</t>
  </si>
  <si>
    <t>WM+ HNI 194 Minh Khai</t>
  </si>
  <si>
    <t>Số 194 phố Minh Khai, tổ 14, Phường, Minh Khai, Quận Hai Bà Trưng, TP. Hà Nội Việt Nam</t>
  </si>
  <si>
    <t>2075</t>
  </si>
  <si>
    <t>WM+ HNI 23 Cửa Bắc</t>
  </si>
  <si>
    <t>Nhà số 23, phố Cửa Bắc, Phường Trúc, Bạch, Quận Ba Đình, TP. Hà Nội Việt Nam</t>
  </si>
  <si>
    <t>2078</t>
  </si>
  <si>
    <t>WM+ HNI 210 Xã Đàn 2</t>
  </si>
  <si>
    <t>Số 210 Ngõ Xã Đàn 2, Phường Nam Đồn, g, Quận Đống Đa, TP. Hà Nội Việt Nam</t>
  </si>
  <si>
    <t>2080</t>
  </si>
  <si>
    <t>WM+ HNI 347 Bạch Mai</t>
  </si>
  <si>
    <t>Số 347 Bạch Mai, Phường Bạch Mai, Quận Hai Bà Trưng, TP. Hà Nội Việt Nam</t>
  </si>
  <si>
    <t>2082</t>
  </si>
  <si>
    <t>WM+ HNI 41 Tương Mai</t>
  </si>
  <si>
    <t>Tổ 1, Nguyễn An Ninh, Phường Giap, Bát, Quận Hoàng Mai, TP. Hà Nội Việt Nam</t>
  </si>
  <si>
    <t>2083</t>
  </si>
  <si>
    <t>WM+ HNI 138 Phú Diễn</t>
  </si>
  <si>
    <t>138 Phú Diễn, P. Phú Diễn, Quận, Quận Bắc Từ Liêm, TP. Hà Nội Việt Nam</t>
  </si>
  <si>
    <t>2085</t>
  </si>
  <si>
    <t>WM+ HNI 17A Hàn Thuyên</t>
  </si>
  <si>
    <t>Số 17A Hàn Thuyên, Tổ 2, Phường Phạm, m Đình Hổ, Quận Hai Bà Trưng, TP. Hà Nội Việt Nam</t>
  </si>
  <si>
    <t>2088</t>
  </si>
  <si>
    <t>WM+ HNI 47 Phó Đức Chính</t>
  </si>
  <si>
    <t>Số 47 Phó Đức Chính, Phường Trúc Bạch, Quận Ba Đình, TP. Hà Nội Việt Nam</t>
  </si>
  <si>
    <t>2091</t>
  </si>
  <si>
    <t>WM+ HNI 2/61 Lạc Trung</t>
  </si>
  <si>
    <t>Căn 22 Lô 1 khu Lạc Trung, Phường, Vĩnh Tuy, Quận Hai Bà Trưng, TP. Hà Nội Việt Nam</t>
  </si>
  <si>
    <t>2092</t>
  </si>
  <si>
    <t>WM+ HNI 41 Trung Kính</t>
  </si>
  <si>
    <t>Số 41, Tổ 5, Phố Trung Kính , Phường Trung Hòa, Quận Cầu Giấy , TP. Hà Nội, Việt Nam</t>
  </si>
  <si>
    <t>2094</t>
  </si>
  <si>
    <t>WM+ HNI 210 Bis Đội Cấn</t>
  </si>
  <si>
    <t>Số 210 Bis phố Đội Cấn, Phường Đội, Cấn, Quận Ba Đình, TP. Hà Nội Việt Nam</t>
  </si>
  <si>
    <t>2098</t>
  </si>
  <si>
    <t>WM+ HNI 50 Ng Hoàng Tôn</t>
  </si>
  <si>
    <t>Số 50 đường Nguyễn Hoàng Tôn, phường Xuân La, Quận Tây Hồ, TP. Hà Nội Việt Nam</t>
  </si>
  <si>
    <t>2100</t>
  </si>
  <si>
    <t>WM+ HNI 55 Thụy Khuê</t>
  </si>
  <si>
    <t>Số 55 Thụy Khuê, Phường Thụy Khuê, Quận Tây Hồ, TP. Hà Nội Việt Nam</t>
  </si>
  <si>
    <t>2116</t>
  </si>
  <si>
    <t>WM+ HNI 35B Xuân La</t>
  </si>
  <si>
    <t>Số 35B, đường Xuân La, Phường Xuân, La, Quận Tây Hồ, TP. Hà Nội Việt Nam</t>
  </si>
  <si>
    <t>2117</t>
  </si>
  <si>
    <t>WM+ HNI 16 Võ Văn Dũng</t>
  </si>
  <si>
    <t>Số 16 Võ Văn Dũng, Phường Ô Chợ, Dừa, Quận Đống Đa, TP. Hà Nội Việt Nam</t>
  </si>
  <si>
    <t>2119</t>
  </si>
  <si>
    <t>WM+ HNI 3 ĐH Hà Nội</t>
  </si>
  <si>
    <t>Số 3, dãy N1, Học viện Chính trị qu, ân sự, Phường Trung Văn, Quận Nam Từ Liêm, TP. Hà Nội Việt Nam</t>
  </si>
  <si>
    <t>2122</t>
  </si>
  <si>
    <t>WM+ HNI 10/118 Ng Khánh Toàn</t>
  </si>
  <si>
    <t>Số 10 Ngõ 118 Nguyễn Khánh Toàn, ph, ường Quan Hoa, Quận Cầu Giấy, TP. Hà Nội Việt Nam</t>
  </si>
  <si>
    <t>2123</t>
  </si>
  <si>
    <t>WM+ HNI 57 Phố 8/3</t>
  </si>
  <si>
    <t>Số 57 Phố 8/3, Phường Quỳnh Mai, Qu, ận Hai Bà Trưng, TP. Hà Nội Việt Nam</t>
  </si>
  <si>
    <t>2124</t>
  </si>
  <si>
    <t>WM+ HNI 133 Thụy Khuê</t>
  </si>
  <si>
    <t>Số 133 Phố Thụy Khuê, Phường Thụy Khuê, Quận Tây Hồ, TP. Hà Nội Việt Nam</t>
  </si>
  <si>
    <t>2125</t>
  </si>
  <si>
    <t>WM+ HNI 409 Bạch Mai</t>
  </si>
  <si>
    <t>Số 409 Bạch Mai, Phường Bạch Mai, Q, uận Hai Bà Trưng, TP. Hà Nội Việt Nam</t>
  </si>
  <si>
    <t>2126</t>
  </si>
  <si>
    <t>WM+ HNI 18B Ng Biểu</t>
  </si>
  <si>
    <t>Số 18B Nguyễn Biểu, Phường Quán Thánh, Quận Ba Đình, TP. Hà Nội Việt Nam</t>
  </si>
  <si>
    <t>2139</t>
  </si>
  <si>
    <t>WM+ HNI 102 Lê Thanh Nghị</t>
  </si>
  <si>
    <t>102 Lê Thanh Nghị, Phường Bách K, hoa, Quận Hai Bà Trưng, TP. Hà Nội Việt Nam</t>
  </si>
  <si>
    <t>2141</t>
  </si>
  <si>
    <t>WM+ HNI 601 Kim Ngưu</t>
  </si>
  <si>
    <t>Số 601 Kim Ngưu, Phường Vĩnh Tuy, Quận Hai Bà Trưng, TP. Hà Nội Việt Nam</t>
  </si>
  <si>
    <t>2142</t>
  </si>
  <si>
    <t>WM+ HNI 268 Lê Trọng Tấn</t>
  </si>
  <si>
    <t>Số 268 Lê Trọng Tấn, Phường Khương, Mai, Quận Thanh Xuân, TP. Hà Nội Việt Nam</t>
  </si>
  <si>
    <t>2143</t>
  </si>
  <si>
    <t>WM+ HNI LK6C-8 Lg VK Châu Âu</t>
  </si>
  <si>
    <t>LK6C-8 Làng Việt Kiều Châu Âu, Khu, đô thị mới Mỗ Lao, Phường Mộ Lao, Quận Hà Đông, TP. Hà Nội Việt Nam</t>
  </si>
  <si>
    <t>2144</t>
  </si>
  <si>
    <t>WM+ HNI 28 Tôn Đức Thắng</t>
  </si>
  <si>
    <t>28 Tôn Đức Thắng, Phường Cát Linh, Quận Đống Đa, TP. Hà Nội Việt Nam</t>
  </si>
  <si>
    <t>2145</t>
  </si>
  <si>
    <t>WM+ HNI 147 Hg Văn Thái</t>
  </si>
  <si>
    <t>Số 147 đường Hoàng Văn Thái, tổ 72, Phường Khương Trung, Quận Thanh Xuân, TP. Hà Nội Việt Nam</t>
  </si>
  <si>
    <t>2146</t>
  </si>
  <si>
    <t>WM+ HNI 91 Hoàng Văn Thái</t>
  </si>
  <si>
    <t>Số 91, đường Hoàng Văn Thái, Phường, Khương Trung, Quận Thanh Xuân, TP. Hà Nội Việt Nam</t>
  </si>
  <si>
    <t>2151</t>
  </si>
  <si>
    <t>WM+ HNI 59 Mai Hắc Đế</t>
  </si>
  <si>
    <t>59 Mai Hắc Đế, Phường Nguyễn Du, Quận Hai Bà Trưng, TP. Hà Nội Việt Nam</t>
  </si>
  <si>
    <t>2164</t>
  </si>
  <si>
    <t>WM+ HNI 9 Chợ Khâm Thiên</t>
  </si>
  <si>
    <t>Số 9 Ngõ Chợ Khâm Thiên, Phường Khâ, m Thiên, Quận Đống Đa, TP. Hà Nội Việt Nam</t>
  </si>
  <si>
    <t>2167</t>
  </si>
  <si>
    <t>WM+ HNI 242 Lê Thanh Nghị</t>
  </si>
  <si>
    <t>Số 242 Lê Thanh Nghị, Phường Đồng T, âm, Quận Hai Bà Trưng, TP. Hà Nội Việt Nam</t>
  </si>
  <si>
    <t>2168</t>
  </si>
  <si>
    <t>WM+ HNI 70 Lê Trọng Tấn</t>
  </si>
  <si>
    <t>70 Lê Trọng Tấn, Phường Dương Nội, Quận Hà Đông, TP. Hà Nội Việt Nam</t>
  </si>
  <si>
    <t>2169</t>
  </si>
  <si>
    <t>WM+ HNI 48 Phố Trạm</t>
  </si>
  <si>
    <t>48 Phố Trạm, Phường Long Biên, quận, Long Biên, HN, TP. Hà Nội Việt Nam</t>
  </si>
  <si>
    <t>2171</t>
  </si>
  <si>
    <t>WM+ HNI 1088 Đê La Thành</t>
  </si>
  <si>
    <t>Số 1088, đường La Thành, Phường Ngọc Khánh, Quận Ba Đình, TP. Hà Nội Việt Nam</t>
  </si>
  <si>
    <t>2173</t>
  </si>
  <si>
    <t>WM+ HNI 37 Doãn Kế Thiện</t>
  </si>
  <si>
    <t>37 Doãn Kế Thiện, Phường Mai Dịch, Quận Cầu Giấy, TP. Hà Nội Việt Nam</t>
  </si>
  <si>
    <t>2174</t>
  </si>
  <si>
    <t>WM+ HNI C2 Xuân Đỉnh</t>
  </si>
  <si>
    <t>Chung cư cao tầng C2 Xuân Đỉnh, Lô, C2, Phường Xuân Đỉnh, Quận Bắc Từ Liêm, TP. Hà Nội Việt Nam</t>
  </si>
  <si>
    <t>2178</t>
  </si>
  <si>
    <t>WM+ HNI 35B Ng Bỉnh Khiêm</t>
  </si>
  <si>
    <t>35B Nguyễn Bỉnh Khiêm, Phường Lê Đại, Hành, Quận Hai Bà Trưng, TP. Hà Nội Việt Nam</t>
  </si>
  <si>
    <t>2188</t>
  </si>
  <si>
    <t>WM+ HNI 373 Ng Khang</t>
  </si>
  <si>
    <t>373 Nguyễn Khang, Phường Yên Hòa, Quận Cầu Giấy, TP. Hà Nội Việt Nam</t>
  </si>
  <si>
    <t>2189</t>
  </si>
  <si>
    <t>WM+ HNI 29A Ng Công Hoan</t>
  </si>
  <si>
    <t>29A Nguyễn Công Hoan, Phường Ngọc K, hánh, Quận Ba Đình, TP. Hà Nội Việt Nam</t>
  </si>
  <si>
    <t>2210</t>
  </si>
  <si>
    <t>WM+ HNI 12 Phạm Tuấn Tài</t>
  </si>
  <si>
    <t>12 Phạm Tuấn Tài, P. Dịch Vọng Hậu, Q. Cầu Giấy, TP. Hà Nội Việt Nam</t>
  </si>
  <si>
    <t>2213</t>
  </si>
  <si>
    <t>WM+ HNI 38 Linh Lang</t>
  </si>
  <si>
    <t>38 Linh Lang, P. Cống Vị, Q. Ba Đình, TP. Hà Nội Việt Nam</t>
  </si>
  <si>
    <t>2215</t>
  </si>
  <si>
    <t>WM+ HNI 93 ngõ Núi Trúc</t>
  </si>
  <si>
    <t>93 Ngõ Núi Trúc, P. Kim Mã., Q. Ba Đình, TP. Hà Nội Việt Nam</t>
  </si>
  <si>
    <t>2216</t>
  </si>
  <si>
    <t>WM+ HNI 5/32 An Dương</t>
  </si>
  <si>
    <t>5/32 An Dương, Q. Tây Hồ, TP. Hà Nội Việt Nam</t>
  </si>
  <si>
    <t>2217</t>
  </si>
  <si>
    <t>WM+ HNI 20 Ngô Thì Nhậm</t>
  </si>
  <si>
    <t>20 Ngô Thì Nhậm, P. Hà Cầu, Quận Hà Đông, TP. Hà Nội Việt Nam</t>
  </si>
  <si>
    <t>2219</t>
  </si>
  <si>
    <t>WM+ HNI 129 Pháo Đài Láng</t>
  </si>
  <si>
    <t>129 Pháo Đài Láng, P. Láng Thượng, Đống Đa, TP. Hà Nội Việt Nam</t>
  </si>
  <si>
    <t>2220</t>
  </si>
  <si>
    <t>WM+ HNI 166 Kim Hoa</t>
  </si>
  <si>
    <t>166 Kim Hoa, P. Phương Liên, Đống Đa, TP. Hà Nội Việt Nam</t>
  </si>
  <si>
    <t>2232</t>
  </si>
  <si>
    <t>WM+ HNI 66 Đại Cồ Việt</t>
  </si>
  <si>
    <t>66 Đại Cồ Việt, P. Lê Đại Hành, Q., Quận Hai Bà Trưng, TP. Hà Nội Việt Nam</t>
  </si>
  <si>
    <t>2233</t>
  </si>
  <si>
    <t>WM+ HNI 58 Lô 6 Đền Lừ II</t>
  </si>
  <si>
    <t>Ô 58 lô 6 tổ 44 Đền Lừ II, P.Hoàng, Văn Thụ, Q. Hoàng Mai, TP. Hà Nội Việt Nam</t>
  </si>
  <si>
    <t>2234</t>
  </si>
  <si>
    <t>WM+ HNI 121B Quan Hoa</t>
  </si>
  <si>
    <t>121B Quan Hoa, P. Quan Hoa, Quận Cầu Giấy, TP. Hà Nội Việt Nam</t>
  </si>
  <si>
    <t>2240</t>
  </si>
  <si>
    <t>WM+ HNI Số 1 Ngõ 12 Chính Kinh</t>
  </si>
  <si>
    <t>Số 1 Ngõ 12 Chính Kinh, Phường Nhân Chính, Quận Thanh Xuân, TP. Hà Nội Việt Nam</t>
  </si>
  <si>
    <t>2241</t>
  </si>
  <si>
    <t>WM+ HNI B15 Bồ Hỏa – HĐ</t>
  </si>
  <si>
    <t>B15 Bồ Hỏa, Quận Hà Đông, TP. Hà Nội Việt Nam</t>
  </si>
  <si>
    <t>2242</t>
  </si>
  <si>
    <t>WM+ HNI 688 Lạc Long Quân</t>
  </si>
  <si>
    <t>668 Lạc Long Quân, Quận Tây Hồ, TP. Hà Nội Việt Nam</t>
  </si>
  <si>
    <t>2254</t>
  </si>
  <si>
    <t>WM+ HNI 164 Trương Định</t>
  </si>
  <si>
    <t>164 Trương Định- quận Hoàng Mai, TP. Hà Nội Việt Nam</t>
  </si>
  <si>
    <t>2256</t>
  </si>
  <si>
    <t>WM+ HNI 27 Ngô Thì Nhậm</t>
  </si>
  <si>
    <t>27 Ngô Thì Nhậm, Quận Hai Bà Trưng, TP. Hà Nội Việt Nam</t>
  </si>
  <si>
    <t>2262</t>
  </si>
  <si>
    <t>WM+ HNI 38 Trường Lâm</t>
  </si>
  <si>
    <t>38 Trường Lâm, P. Đức Giang, Q. Lon, g Biên, TP. Hà Nội Việt Nam</t>
  </si>
  <si>
    <t>2263</t>
  </si>
  <si>
    <t>WM+ HNI 272 Thụy Phương</t>
  </si>
  <si>
    <t>272 Thụy Phương, P. Thụy Phương, Quận Bắc Từ Liêm, TP. Hà Nội Việt Nam</t>
  </si>
  <si>
    <t>2275</t>
  </si>
  <si>
    <t>WM+ HNI 16 K Tái ĐC 7.3-8.1</t>
  </si>
  <si>
    <t>16X5 tái định cư 7.3 và 8.1 Mỹ Đình, 2, Q. Nam Từ Liêm, TP. Hà Nội Việt Nam</t>
  </si>
  <si>
    <t>2291</t>
  </si>
  <si>
    <t>WM+ HNI 21 tổ 7 Giang Biên</t>
  </si>
  <si>
    <t>Số 21 Tổ 7, P. Giang Biên, Q. Long, Biên, TP. Hà Nội Việt Nam</t>
  </si>
  <si>
    <t>2292</t>
  </si>
  <si>
    <t>WM+ HNI 151 Ng Đức Cảnh</t>
  </si>
  <si>
    <t>tòa nhà lô II - 1 chung cư 151, Nguyễn Đức Cảnh, P. Tương Mai, Quận Hoàng Mai, TP. Hà Nội Việt Nam</t>
  </si>
  <si>
    <t>2295</t>
  </si>
  <si>
    <t>WM+ HNI 10 Đức Giang</t>
  </si>
  <si>
    <t>10 Đức Giang, P. Đức Giang, Q. Long, Biên, TP. Hà Nội Việt Nam</t>
  </si>
  <si>
    <t>2296</t>
  </si>
  <si>
    <t>WM+ HNI 40 Thông Phong</t>
  </si>
  <si>
    <t>40 Ngõ Thông Phong, P. Quốc Tử Giám, Quận Đống Đa, TP. Hà Nội Việt Nam</t>
  </si>
  <si>
    <t>2303</t>
  </si>
  <si>
    <t>WM+ HNI 62/63 Lô 7 Đền Lừ II</t>
  </si>
  <si>
    <t>Ô số 62 + 63 khu di dân Đền Lừ II, Phường Hoàng Văn Thụ, Quận Hoàng Mai, TP. Hà Nội Việt Nam</t>
  </si>
  <si>
    <t>2306</t>
  </si>
  <si>
    <t>WM+ HNI 1 tổ 24 Dịch Vọng</t>
  </si>
  <si>
    <t>1 tổ 24, Dịch Vọng, Dịch Vọng, Cầu, Giấy, TP. Hà Nội Việt Nam</t>
  </si>
  <si>
    <t>2308</t>
  </si>
  <si>
    <t>WM+ HNI 345 Bùi Xương Trạch</t>
  </si>
  <si>
    <t>Số 345 Bùi Xương Trạch, Phường Định, Công, Quận Hoàng Mai, TP. Hà Nội Việt Nam</t>
  </si>
  <si>
    <t>2309</t>
  </si>
  <si>
    <t>WM+ HNI 104C Ngọc Hà</t>
  </si>
  <si>
    <t>Số 104C phố Ngọc Hà, Phường Đội Cấn, , Quận Ba Đình, TP. Hà Nội Việt Nam</t>
  </si>
  <si>
    <t>2322</t>
  </si>
  <si>
    <t>WM+ HNI 47/187 Hồng Mai</t>
  </si>
  <si>
    <t>Số 47 ngõ 187 Hồng Mai, Phường Quỳnh, Lôi, TP. Hà Nội Việt Nam</t>
  </si>
  <si>
    <t>2323</t>
  </si>
  <si>
    <t>WM+ HNI 69 Hồng Mai</t>
  </si>
  <si>
    <t>Số 69 Hồng Mai, Phường Bạch Mai, Quận Hai Bà Trưng, TP. Hà Nội Việt Nam</t>
  </si>
  <si>
    <t>2338</t>
  </si>
  <si>
    <t>WM+ HNI 72+76 Nguyễn Lân</t>
  </si>
  <si>
    <t>Số 72+76 phố Nguyễn Lân, Phường Phương Liệt, Quận Thanh Xuân, TP. Hà Nội Việt Nam</t>
  </si>
  <si>
    <t>2340</t>
  </si>
  <si>
    <t>WM+ HNI 281 Khâm Thiên</t>
  </si>
  <si>
    <t>Số 281 phố Khâm Thiên, Phường Thổ Quan, Quận Đống Đa, TP. Hà Nội Việt Nam</t>
  </si>
  <si>
    <t>2343</t>
  </si>
  <si>
    <t>WM+ HNI 23 Vạn Phúc</t>
  </si>
  <si>
    <t>Số 23 đường Vạn Phúc, tổ dân phố 7, Phường Vạn Phúc, Quận Hà Đông TP. Hà Nội Việt Nam</t>
  </si>
  <si>
    <t>2347</t>
  </si>
  <si>
    <t>WM+ HNI 22 Thạch Bàn</t>
  </si>
  <si>
    <t>Số 22 đường Thạch Bàn, Phường Thạch, Bàn, Quận Long Biên, TP. Hà Nội Việt Nam</t>
  </si>
  <si>
    <t>2349</t>
  </si>
  <si>
    <t>WM+ HNI 142 Phương Liệt</t>
  </si>
  <si>
    <t>Số 142 phố Phương Liệt, Phường, Phương Liệt, Quận Thanh Xuân, TP. Hà Nội Việt Nam</t>
  </si>
  <si>
    <t>2351</t>
  </si>
  <si>
    <t>WM+ HNI 7 Ng Cao</t>
  </si>
  <si>
    <t>Số 7 Nguyễn Cao, tổ 14, Phường Đống, Mác, Quận Hai Bà Trưng, TP. Hà Nội Việt Nam</t>
  </si>
  <si>
    <t>2352</t>
  </si>
  <si>
    <t>WM+ HNI 70 Vạn Kiếp</t>
  </si>
  <si>
    <t>Số 70 Vạn Kiếp, tổ 58A, Phường Bạch, Đằng, Quận Hai Bà Trưng, TP. Hà Nội Việt Nam</t>
  </si>
  <si>
    <t>2355</t>
  </si>
  <si>
    <t>WM+ HNI 41 Ng Ngọc Vũ</t>
  </si>
  <si>
    <t>Số 41 Nguyễn Ngọc Vũ, Phường Trung, Hòa, Quận Cầu Giấy, TP. Hà Nội Việt Nam</t>
  </si>
  <si>
    <t>2357</t>
  </si>
  <si>
    <t>WM+ HNI 103 Thanh Đàm</t>
  </si>
  <si>
    <t>Số 103 Thanh Đàm, Phường Thanh Trì, Quận Hoàng Mai, TP. Hà Nội Việt Nam</t>
  </si>
  <si>
    <t>2358</t>
  </si>
  <si>
    <t>WM+ HNI 19 Ng Văn Huyên</t>
  </si>
  <si>
    <t>Số 19 Nguyễn Văn Huyên kéo dài, phường Quan Hoa, Quận Cầu Giấy, TP. Hà Nội Việt Nam</t>
  </si>
  <si>
    <t>2361</t>
  </si>
  <si>
    <t>WM+ HNI 353 Nam Dư</t>
  </si>
  <si>
    <t>Số 353 đường Nam Dư, Phường Trần Phú, Quận Hoàng Mai, TP. Hà Nội Việt Nam</t>
  </si>
  <si>
    <t>2362</t>
  </si>
  <si>
    <t>WM+ HNI 20 Nghĩa Dũng</t>
  </si>
  <si>
    <t>31 đường Bờ Sông hoặc 20 Nghĩa Dũng, , Phường Phúc Xá, Quận Ba Đình, TP. Hà Nội Việt Nam</t>
  </si>
  <si>
    <t>2364</t>
  </si>
  <si>
    <t>WM+ HNI 102-K9 Việt Hưng</t>
  </si>
  <si>
    <t>Căn hộ số 102-104, Nhà K9, Đô thị mới Việt Hưng, Phường Việt Hưng, TP. Hà Nội Việt Nam</t>
  </si>
  <si>
    <t>2369</t>
  </si>
  <si>
    <t>WM+ HNI 67/213 Giáp Nhất</t>
  </si>
  <si>
    <t>Số 67 ngõ 213 đường Giáp Nhất, Phường Nhân Chính, Quận Thanh Xuân, TP. Hà Nội Việt Nam</t>
  </si>
  <si>
    <t>2370</t>
  </si>
  <si>
    <t>WM+ HNI 1/250 Kim Giang</t>
  </si>
  <si>
    <t>Số 1 ngõ 250 đường Kim Giang, phườn, g Đại Kim, Quận Hoàng Mai, TP. Hà Nội Việt Nam</t>
  </si>
  <si>
    <t>2371</t>
  </si>
  <si>
    <t>WM+ HNI 79/1194 Láng</t>
  </si>
  <si>
    <t>79 ngõ 1194 Đường Láng, Phường Láng, Thượng, Quận Đống Đa, TP. Hà Nội Việt Nam</t>
  </si>
  <si>
    <t>2377</t>
  </si>
  <si>
    <t>WM+ HNI 211 Thạch Bàn</t>
  </si>
  <si>
    <t>Số 211 đường Thạch Bàn, Phường Thạc, h Bàn, Quận Long Biên, TP. Hà Nội Việt Nam</t>
  </si>
  <si>
    <t>2390</t>
  </si>
  <si>
    <t>WM+ HNI CT2A Xuân La</t>
  </si>
  <si>
    <t>Chung cư cao tầng CT2A, khu nhà ở Xuân, La, Phường Xuân La, TP. Hà Nội Việt Nam</t>
  </si>
  <si>
    <t>2392</t>
  </si>
  <si>
    <t>WM+ HNI 56/143 Ng Chính</t>
  </si>
  <si>
    <t>Số 56 ngõ 143 Nguyễn Chính, Phường, Thịnh Liệt, Quận Hoàng Mai, TP. Hà Nội Việt Nam</t>
  </si>
  <si>
    <t>2400</t>
  </si>
  <si>
    <t>WM+ HNI 31 Mạc Thị Bưởi</t>
  </si>
  <si>
    <t>Số 31 Mạc Thị Bưởi, P. Vĩnh Tuy, Q., Quận Hai Bà Trưng, TP. Hà Nội Việt Nam</t>
  </si>
  <si>
    <t>2402</t>
  </si>
  <si>
    <t>WM+ HNI 19B Tô Ngọc Vân</t>
  </si>
  <si>
    <t>Số 19B đường Tô Ngọc Vân, Phường, Quảng An, Quận Tây Hồ, TP. Hà Nội Việt Nam</t>
  </si>
  <si>
    <t>2403</t>
  </si>
  <si>
    <t>WM+ HNI 6-8 Phố Vọng</t>
  </si>
  <si>
    <t>Số 6-8 Phố Vọng, Phường Phương Mai, Quận Đống Đa, TP. Hà Nội Việt Nam</t>
  </si>
  <si>
    <t>2406</t>
  </si>
  <si>
    <t>WM+ HNI 11 Ngô Sỹ Liên</t>
  </si>
  <si>
    <t>Số 11 Ngô Sỹ Liên, Phường Văn Miếu, Quận Đống Đa, TP. Hà Nội Việt Nam</t>
  </si>
  <si>
    <t>2409</t>
  </si>
  <si>
    <t>WM+ HNI 354-356 Mỹ Đình</t>
  </si>
  <si>
    <t>Số 354-356 Mỹ Đình, Phường Mỹ Đình 1, Quận Nam Từ Liêm, TP. Hà Nội Việt Nam</t>
  </si>
  <si>
    <t>2410</t>
  </si>
  <si>
    <t>WM+ HNI 123 Trịnh Công Sơn</t>
  </si>
  <si>
    <t>Số 123 phố Trịnh Công Sơn, Phường N, hật Tân, Quận Tây Hồ, TP. Hà Nội Việt Nam</t>
  </si>
  <si>
    <t>2412</t>
  </si>
  <si>
    <t>WM+ HNI 158 Thái Thịnh</t>
  </si>
  <si>
    <t>Số 158 phố Thái Thịnh, Phường Láng, Hạ, Quận Đống Đa, TP. Hà Nội Việt Nam</t>
  </si>
  <si>
    <t>2416</t>
  </si>
  <si>
    <t>WM+ HNI 101 Hương Viên</t>
  </si>
  <si>
    <t>Số 101 Hương Viên, Phường Đống Mác, Quận Hai Bà Trưng, TP. Hà Nội Việt Nam</t>
  </si>
  <si>
    <t>2418</t>
  </si>
  <si>
    <t>WM+ HNI 33 Lương Khánh Thiện</t>
  </si>
  <si>
    <t>Số 33 Lương Khánh Thiện, tổ 62 phườ, ng Tương Mai, Quận Hoàng Mai, TP. Hà Nội Việt Nam</t>
  </si>
  <si>
    <t>2419</t>
  </si>
  <si>
    <t>WM+ HNI 17/77 Đặng Xuân Bảng</t>
  </si>
  <si>
    <t>Số 17 ngõ 77 Đặng Xuân Bảng, Phường, Đại Kim, Quận Hoàng Mai, TP. Hà Nội Việt Nam</t>
  </si>
  <si>
    <t>2426</t>
  </si>
  <si>
    <t>WM+ HNI 51/53 Vũ Xuân Thiều</t>
  </si>
  <si>
    <t>51 ngõ 53 Vũ Xuân Thiều, P. Sài Đồn, g, Q. Long Biên, TP. Hà Nội Việt Nam</t>
  </si>
  <si>
    <t>2427</t>
  </si>
  <si>
    <t>WM+ HNI 10 tổ 30 Thịnh Liệt</t>
  </si>
  <si>
    <t>10 tổ 30 Thịnh Liệt - KĐT Đồng Tàu, P. Thịnh Liệt, Q. Hoàng Mai, TP. Hà Nội Việt Nam</t>
  </si>
  <si>
    <t>2430</t>
  </si>
  <si>
    <t>WM+ HNI 17B Đoàn Thị Điểm</t>
  </si>
  <si>
    <t>Số 17B Đoàn Thị Điểm, Phường Quốc Tử Giám, Quận Đống Đa, TP. Hà Nội Việt Nam</t>
  </si>
  <si>
    <t>2435</t>
  </si>
  <si>
    <t>WM+ HNI 16/12 Tr Quý Kiên</t>
  </si>
  <si>
    <t>16/12 Trần Quý Kiên, Tổ 58A, P. Dịch, Vọng, Q. Cầu Giấy, TP. Hà Nội Việt Nam</t>
  </si>
  <si>
    <t>2439</t>
  </si>
  <si>
    <t>WM+ HNI 17 Trần Quốc Hoàn</t>
  </si>
  <si>
    <t>17 Trần Quốc Hoàn, P. Dịch Vọng, Q., Cầu Giấy, TP. Hà Nội Việt Nam</t>
  </si>
  <si>
    <t>2441</t>
  </si>
  <si>
    <t>WM+ HNI 310 Minh Khai</t>
  </si>
  <si>
    <t>Số 310 đường Minh Khai, P. Minh Khai, Quận Hai Bà Trưng, TP. Hà Nội Việt Nam</t>
  </si>
  <si>
    <t>2518</t>
  </si>
  <si>
    <t>WM+ HNI 101-A1 Th Xuân Bắc</t>
  </si>
  <si>
    <t>101-A1 Tập thể Thanh Xuân, P. Thanh Xuân Bắc, Quận Thanh Xuân, TP. Hà Nội Việt Nam</t>
  </si>
  <si>
    <t>2520</t>
  </si>
  <si>
    <t>WM+ HNI 116-118 Cầu Diễn</t>
  </si>
  <si>
    <t>116-118 Cầu Diễn, Quận Bắc Từ Liêm, TP. Hà Nội Việt Nam</t>
  </si>
  <si>
    <t>2524</t>
  </si>
  <si>
    <t>WM+ HNI 70B Đội Cấn</t>
  </si>
  <si>
    <t>Số 70B phố Đội Cấn, Quận Ba Đình, TP. Hà Nội Việt Nam</t>
  </si>
  <si>
    <t>2531</t>
  </si>
  <si>
    <t>WM+ HNI 139 Chiến Thắng</t>
  </si>
  <si>
    <t>Số 139 đường Chiến Thắng, Phường Tân Triều Huyện Thanh Trì, TP. Hà Nội Việt Nam</t>
  </si>
  <si>
    <t>2534</t>
  </si>
  <si>
    <t>WM+ HNI 152 Yên Hòa</t>
  </si>
  <si>
    <t>Số 152 Yên Hòa, Phường Yên Hòa, Quận Cầu Giấy, TP. Hà Nội Việt Nam</t>
  </si>
  <si>
    <t>2536</t>
  </si>
  <si>
    <t>WM+ HNI 8/140 Giảng Võ</t>
  </si>
  <si>
    <t>Số 8 - Ngõ 140 Giảng Võ, Phường Giảng Võ Quận Ba Đình, TP. Hà Nội Việt Nam</t>
  </si>
  <si>
    <t>2537</t>
  </si>
  <si>
    <t>WM+ HNI 71 Khương Thượng</t>
  </si>
  <si>
    <t>Số 71 phố Khương Thượng, Phường Trung Liệt Quận Đống Đa, TP. Hà Nội Việt Nam</t>
  </si>
  <si>
    <t>2542</t>
  </si>
  <si>
    <t>WM+ HNI 384 Bạch Đằng</t>
  </si>
  <si>
    <t>Số 384 Bạch Đằng, Phường Chương Dương, Quận Hoàn Kiếm, TP. Hà Nội Việt Nam</t>
  </si>
  <si>
    <t>2545</t>
  </si>
  <si>
    <t>WM+ HNI 232 Khương Đình</t>
  </si>
  <si>
    <t>Số 232 Khương Đình P. Hạ Đình, Quận Thanh Xuân, TP. Hà Nội Việt Nam</t>
  </si>
  <si>
    <t>2552</t>
  </si>
  <si>
    <t>WM+ HNI 195 Hoa Lâm</t>
  </si>
  <si>
    <t>195 Hoa Lâm, P. Việt Hưng, Quận Long Biên, TP. Hà Nội Việt Nam</t>
  </si>
  <si>
    <t>2554</t>
  </si>
  <si>
    <t>WM+ HNI 1/71 Lê Văn Lương</t>
  </si>
  <si>
    <t>1 ngõ 71 Lê Văn Lương, Phường Nhân Chính, Quận Thanh Xuân, TP. Hà Nội Việt Nam</t>
  </si>
  <si>
    <t>2557</t>
  </si>
  <si>
    <t>WM+ HNI 230 Văn Chương</t>
  </si>
  <si>
    <t>230 Văn Chương, P. Khâm Thiên, Quận Đống Đa, TP. Hà Nội Việt Nam</t>
  </si>
  <si>
    <t>2558</t>
  </si>
  <si>
    <t>WM+ HNI 70/268 Ngọc Thụy</t>
  </si>
  <si>
    <t>70 ngõ 268 Ngọc Thụy, P. Ngọc Thụy, Quận Long Biên, TP. Hà Nội Việt Nam</t>
  </si>
  <si>
    <t>2559</t>
  </si>
  <si>
    <t>WM+ HNI 3/55 Đỗ Quang</t>
  </si>
  <si>
    <t>3 ngõ 55 Đỗ Quang, Quận Cầu Giấy, TP. Hà Nội Việt Nam</t>
  </si>
  <si>
    <t>2560</t>
  </si>
  <si>
    <t>WM+ HNI 28 Ng Thái Học</t>
  </si>
  <si>
    <t>28 Nguyễn Thái Học, Quận Ba Đình, TP. Hà Nội Việt Nam</t>
  </si>
  <si>
    <t>2561</t>
  </si>
  <si>
    <t>WM+ HNI LK1-30 Văn Phú</t>
  </si>
  <si>
    <t>Liền kề LK1-30 Văn Phú, P. Phú La, Quận Hà Đông, TP. Hà Nội Việt Nam</t>
  </si>
  <si>
    <t>2563</t>
  </si>
  <si>
    <t>WM+ HNI C15 NƠ 19 Định Công</t>
  </si>
  <si>
    <t>C15 NƠ 19 Định Công, Quận Hoàng Mai, TP. Hà Nội Việt Nam</t>
  </si>
  <si>
    <t>2565</t>
  </si>
  <si>
    <t>WM+ HNI 101/13/1 Kh Duy Tiến</t>
  </si>
  <si>
    <t>101 – B13 Thanh Xuân Bắc, Quận Thanh Xuân, TP. Hà Nội Việt Nam</t>
  </si>
  <si>
    <t>2745</t>
  </si>
  <si>
    <t>WM+ HNI N4-A5 Mỹ Đình 2</t>
  </si>
  <si>
    <t>N4-A5 nhà số 4, thuộc dự án Khu nhà ở để bán, phườn, TP. Hà Nội Việt Nam</t>
  </si>
  <si>
    <t>2747</t>
  </si>
  <si>
    <t>WM+ HNI 9 Thịnh Liệt</t>
  </si>
  <si>
    <t>9 Thịnh Liệt, TP. Hà Nội Việt Nam</t>
  </si>
  <si>
    <t>2748</t>
  </si>
  <si>
    <t>WM+ HNI Lô 11 LK19 Mậu Lương</t>
  </si>
  <si>
    <t>Lô 11 liền kề 19 Mậu Lương, Quận Hà Đông, TP. Hà Nội Việt Nam</t>
  </si>
  <si>
    <t>2751</t>
  </si>
  <si>
    <t>WM+ HNI 453 Bạch Đằng</t>
  </si>
  <si>
    <t>453 Bạch Đằng, Phường Chương Dương, Quận Hoàn Kiếm, TP. Hà Nội Việt Nam</t>
  </si>
  <si>
    <t>2752</t>
  </si>
  <si>
    <t>WM+ HNI 109 Trần Huy Liệu</t>
  </si>
  <si>
    <t>109,Trần Huy Liệu tổ dân phố 7a, P. Giảng Võ, Quận Ba Đình, TP. Hà Nội Việt Nam</t>
  </si>
  <si>
    <t>2753</t>
  </si>
  <si>
    <t>WM+ HNI 24/1 Đỗ Nhuận</t>
  </si>
  <si>
    <t>Số 24 Ngõ 1 Đường Đỗ Nhuận, Xuân Đỉnh, Quận Bắc Từ Liêm, TP. Hà Nội Việt Nam</t>
  </si>
  <si>
    <t>2755</t>
  </si>
  <si>
    <t>WM+ HNI 121-123 Tô Hiệu</t>
  </si>
  <si>
    <t>Tòa nhà HUD3 Tower, số 121-123, đường Tô Hiệu,P. Nguyễn Trãi, Quận Hà Đông, TP. Hà Nội Việt Nam</t>
  </si>
  <si>
    <t>2758</t>
  </si>
  <si>
    <t>WM+ HNI 167 Tr Đại Nghĩa</t>
  </si>
  <si>
    <t>Số 167 Trần Đại Nghĩa, Bách Khoa, Quận Hai Bà Trưng, TP. Hà Nội Việt Nam</t>
  </si>
  <si>
    <t>2760</t>
  </si>
  <si>
    <t>WM+ HNI Tây Hà</t>
  </si>
  <si>
    <t>Ô số 5 tòa nhà Tây Hà tower, Trung Văn, Quận Nam Từ Liêm, TP. Hà Nội Việt Nam</t>
  </si>
  <si>
    <t>2761</t>
  </si>
  <si>
    <t>WM+ HNI 22A Đức Diễn</t>
  </si>
  <si>
    <t>22A Đức Diễn, Phường Phúc Diễn, Quận Bắc Từ Liêm, TP. Hà Nội Việt Nam</t>
  </si>
  <si>
    <t>2762</t>
  </si>
  <si>
    <t>WM+ HNI 15/68 Trung Hà</t>
  </si>
  <si>
    <t>15 tổ 6 ngõ 68,Trung Hà, P. Ngọc Thụy,Long Biên, TP. Hà Nội Việt Nam</t>
  </si>
  <si>
    <t>2763</t>
  </si>
  <si>
    <t>WM+ HNI 179 Thịnh Liệt</t>
  </si>
  <si>
    <t>Số 179 Thịnh Liệt, Phường Thịnh Liệt, TP. Hà Nội Việt Nam</t>
  </si>
  <si>
    <t>2767</t>
  </si>
  <si>
    <t>WM+ HNI 31/260 Cầu Giấy</t>
  </si>
  <si>
    <t>Số 31 ngõ 260 Cầu Giấy, Phường Quan Hoa, Quận Cầu Giấy, TP. Hà Nội Việt Nam</t>
  </si>
  <si>
    <t>2768</t>
  </si>
  <si>
    <t>WM+ HNI 31 Tân Ấp</t>
  </si>
  <si>
    <t>Số 31 Tân Ấp, Phường Phúc Xá, TP. Hà Nội Việt Nam</t>
  </si>
  <si>
    <t>2770</t>
  </si>
  <si>
    <t>WM+ HNI 116-118 Ngõ Hòa Bình 7</t>
  </si>
  <si>
    <t>Số 116-118 Ngõ Hòa Bình 7 , Phường Minh Khai, Quận Hai Bà Trưng, TP. Hà Nội Việt Nam</t>
  </si>
  <si>
    <t>2771</t>
  </si>
  <si>
    <t>WM+ HNI 169 Đặng Tiến Đông</t>
  </si>
  <si>
    <t>Số 169 Đặng Tiến Đông, Trung Liệt, Quận Đống Đa, TP. Hà Nội Việt Nam</t>
  </si>
  <si>
    <t>2775</t>
  </si>
  <si>
    <t>WM+ HNI 25I/358 Bùi Xng Trạch</t>
  </si>
  <si>
    <t>25I Ngõ 358 Bùi Xương Trạch, Phường Khương Đình, Quận Thanh Xuân, TP. Hà Nội Việt Nam</t>
  </si>
  <si>
    <t>2781</t>
  </si>
  <si>
    <t>WM+ HNI 44/81 Đặng Văn Ngữ</t>
  </si>
  <si>
    <t>Số 44 ngõ 81 Đặng Văn Ngữ, Phường Trung Tự, Quận Đống Đa, TP. Hà Nội Việt Nam</t>
  </si>
  <si>
    <t>2782</t>
  </si>
  <si>
    <t>WM+ HNI 1132 Đường Láng</t>
  </si>
  <si>
    <t>Số 1132 Đường Láng, P Láng Thượng, Quận Đống Đa, TP. Hà Nội Việt Nam</t>
  </si>
  <si>
    <t>2785</t>
  </si>
  <si>
    <t>WM+ HNI 175 An Dương</t>
  </si>
  <si>
    <t>Số 175 An Dương, Phường Yên Phụ, Quận Tây Hồ, TP. Hà Nội Việt Nam</t>
  </si>
  <si>
    <t>2790</t>
  </si>
  <si>
    <t>WM+ HNI 166 Ái Mộ</t>
  </si>
  <si>
    <t>Số 166 Ái Mộ, Phường Bồ Đề, TP. Hà Nội Việt Nam</t>
  </si>
  <si>
    <t>2792</t>
  </si>
  <si>
    <t>WM+ HNI 38 Đê Tô Hoàng</t>
  </si>
  <si>
    <t>Số 38 Đê Tô Hoàng, P Cầu Dền, Quận Hai Bà Trưng, TP. Hà Nội Việt Nam</t>
  </si>
  <si>
    <t>2795</t>
  </si>
  <si>
    <t>WM+ HNI chung cư Ruby</t>
  </si>
  <si>
    <t>Số 1 khu đấu giá tổ 7, Phường Giang Biên, TP. Hà Nội Việt Nam</t>
  </si>
  <si>
    <t>2796</t>
  </si>
  <si>
    <t>WM+ HNI 8/1B Sài Đồng</t>
  </si>
  <si>
    <t>Số 8 nhà 01B Đô thị mới Sài Đồng, Phường Phúc Đồng, TP. Hà Nội Việt Nam</t>
  </si>
  <si>
    <t>2797</t>
  </si>
  <si>
    <t>WM+ HNI TTTM Chợ Sủi</t>
  </si>
  <si>
    <t>Số 42 Phố Sủi, xã Phú Thị, Huyện Gia Lâm, TP. Hà Nội Việt Nam</t>
  </si>
  <si>
    <t>2798</t>
  </si>
  <si>
    <t>WM+ HNI 207 Đức Giang</t>
  </si>
  <si>
    <t>Số 207 Đức Giang, Phường Thượng Thanh, Quận Long B, TP. Hà Nội Việt Nam</t>
  </si>
  <si>
    <t>2799</t>
  </si>
  <si>
    <t>WM+ HNI 120A Ng An Ninh</t>
  </si>
  <si>
    <t>Số 120A Nguyễn An Ninh, P. Tương Mai, Quận Hoàng Mai, TP. Hà Nội Việt Nam</t>
  </si>
  <si>
    <t>2801</t>
  </si>
  <si>
    <t>WM+ HNI 261 Tân Mai</t>
  </si>
  <si>
    <t>Số 261 Tân Mai, Phường Tân Mai, Quận Hoàng Mai, TP. Hà Nội Việt Nam</t>
  </si>
  <si>
    <t>2802</t>
  </si>
  <si>
    <t>WM+ HNI 31/310 Nghi Tàm</t>
  </si>
  <si>
    <t>Số 31 ngõ 310 Nghi Tàm, Phường Yên Phụ, Quận Tây Hồ, TP. Hà Nội Việt Nam</t>
  </si>
  <si>
    <t>2803</t>
  </si>
  <si>
    <t>WM+ HNI 528/528 Ngô Gia Tự</t>
  </si>
  <si>
    <t>Số 528 ngõ 528 Ngô Gia Tự, Phường Đức Giang, Quận, TP. Hà Nội Việt Nam</t>
  </si>
  <si>
    <t>2806</t>
  </si>
  <si>
    <t>WM+ HNI 3 Hàng Bút</t>
  </si>
  <si>
    <t>Số 3 Hàng Bút, Phường Hàng Bồ, Quận Hoàn Kiếm, TP. Hà Nội Việt Nam</t>
  </si>
  <si>
    <t>2807</t>
  </si>
  <si>
    <t>WM+ HNI 9/293 Tam Trinh</t>
  </si>
  <si>
    <t>Số 9 ngõ 293 Tam Trinh, Phường, TP. Hà Nội Việt Nam</t>
  </si>
  <si>
    <t>2808</t>
  </si>
  <si>
    <t>WM+ HNI 27 Phạm Hồng Thái</t>
  </si>
  <si>
    <t>Số 27 phố Phạm Hồng Thái, phườ, Quận Ba Đình, TP. Hà Nội Việt Nam</t>
  </si>
  <si>
    <t>2810</t>
  </si>
  <si>
    <t>WM+ HNI CT2B Cổ Nhuế</t>
  </si>
  <si>
    <t>Tầng 1 tòa nhà CT-2B Khu đô thị mới, Cổ Nhuế, Quận Bắc Từ Liêm, TP. Hà Nội Việt Nam</t>
  </si>
  <si>
    <t>2811</t>
  </si>
  <si>
    <t>WM+ HNI 402 Kim Giang</t>
  </si>
  <si>
    <t>Số 402 Kim Giang, Phường Đại Kim, Quận Hoàng Mai, TP. Hà Nội Việt Nam</t>
  </si>
  <si>
    <t>2812</t>
  </si>
  <si>
    <t>WM+ HNI 27/165 Xuân Thủy</t>
  </si>
  <si>
    <t>Số 27 ngõ 165 Xuân Thủy, phườn, TP. Hà Nội Việt Nam</t>
  </si>
  <si>
    <t>2814</t>
  </si>
  <si>
    <t>WM+ HNI 116 Đê La Thành</t>
  </si>
  <si>
    <t>Số 116 Đê La Thành, P. Phương Liên, Quận Đống Đa, TP. Hà Nội Việt Nam</t>
  </si>
  <si>
    <t>2816</t>
  </si>
  <si>
    <t>WM+ HNI 198 Hoàng Mai</t>
  </si>
  <si>
    <t>Số 198 Hoàng Mai, P. Tương Mai, Quận Hoàng Mai, TP. Hà Nội Việt Nam</t>
  </si>
  <si>
    <t>2817</t>
  </si>
  <si>
    <t>WM+ HNI 18 Cầu Dậu</t>
  </si>
  <si>
    <t>Số 18 Cầu Dậu, xã Thanh Liệt, Huyện Thanh Trì, TP. Hà Nội Việt Nam</t>
  </si>
  <si>
    <t>2820</t>
  </si>
  <si>
    <t>WM+ HNI 29/126 Xuân Đỉnh</t>
  </si>
  <si>
    <t>Số 29 ngõ 126 Xuân Đỉnh, P. Xuân Đỉnh, Quận Bắc Từ Liêm, TP. Hà Nội Việt Nam</t>
  </si>
  <si>
    <t>2825</t>
  </si>
  <si>
    <t>WM+ HNI 10/100 Hg Quốc Việt</t>
  </si>
  <si>
    <t>Số 10 ngõ 100 Hoàng Quốc Việt, TP. Hà Nội Việt Nam</t>
  </si>
  <si>
    <t>2826</t>
  </si>
  <si>
    <t>WM+ HNI 18 Lệ Mật</t>
  </si>
  <si>
    <t>Số 18 Lệ Mật, Phường Việt Hưng, TP. Hà Nội Việt Nam</t>
  </si>
  <si>
    <t>2827</t>
  </si>
  <si>
    <t>WM+ HNI 29/32/564 Ng Văn Cừ</t>
  </si>
  <si>
    <t>Số 29 ngách 32 ngõ 564 Nguyễn, TP. Hà Nội Việt Nam</t>
  </si>
  <si>
    <t>2830</t>
  </si>
  <si>
    <t>WM+ HNI 76 Nhân Hòa</t>
  </si>
  <si>
    <t>Số 76 Nhân Hòa, Phường Nhân Chính, Quận Thanh Xuân, TP. Hà Nội Việt Nam</t>
  </si>
  <si>
    <t>2833</t>
  </si>
  <si>
    <t>WM+ HNI 28/68 Cầu Giấy</t>
  </si>
  <si>
    <t>Số 28 ngõ 68 đường Cầu Giấy, P. Quan Hoa, Quận Cầu Giấy, TP. Hà Nội Việt Nam</t>
  </si>
  <si>
    <t>2835</t>
  </si>
  <si>
    <t>WM+ HNI Intracom Trung Văn</t>
  </si>
  <si>
    <t>66 Trung Văn, Phường Trung Văn, Quận Nam Từ Liêm, TP. Hà Nội Việt Nam</t>
  </si>
  <si>
    <t>2846</t>
  </si>
  <si>
    <t>WM+ HNI 90 ngõ 24 Kim Đồng</t>
  </si>
  <si>
    <t>Số 90 ngõ 24 Kim Đồng, Phường, TP. Hà Nội Việt Nam</t>
  </si>
  <si>
    <t>2850</t>
  </si>
  <si>
    <t>WM+ HNI 639 Vũ Tông Phan</t>
  </si>
  <si>
    <t>Số 639 Vũ Tông Phan, Phường Khương Đình, Quận Thanh Xuân, TP. Hà Nội Việt Nam</t>
  </si>
  <si>
    <t>2853</t>
  </si>
  <si>
    <t>WM+ HNI 85 Yên Sở</t>
  </si>
  <si>
    <t>Số 85 Yên Sở, Phường Yên Sở, Quận Hoàng Mai, TP. Hà Nội Việt Nam</t>
  </si>
  <si>
    <t>2859</t>
  </si>
  <si>
    <t>WM+ HPG 231B Trần Nguyên Hãn</t>
  </si>
  <si>
    <t>Số 231B Trần Nguyên Hãn, Phường Niệm Nghĩa, Quận Lê Chân, TP. Hải Phòng Việt Nam</t>
  </si>
  <si>
    <t>Miền Bắc đặc biệt 3</t>
  </si>
  <si>
    <t>CHI NHÁNH HẢI PHÒNG - CÔNG TY CỔ PHẦN DỊCH VỤ THƯƠNG MẠI TỔNG HỢP WINCOMMERCE</t>
  </si>
  <si>
    <t>2861</t>
  </si>
  <si>
    <t>WM+ HPG 12 Lê Duẩn</t>
  </si>
  <si>
    <t>Số 12 Lê Duẩn, tổ 52 khu 6, Phường Quán Trữ, Quận Kiến An, TP. Hải Phòng Việt Nam</t>
  </si>
  <si>
    <t>2909</t>
  </si>
  <si>
    <t>WM+ HNI 38/76 Mai Dịch</t>
  </si>
  <si>
    <t>Số 38 ngõ 76 Mai Dịch, Phường, Mai Dịch, Quận Cầu Giấy, TP. Hà Nội Việt Nam</t>
  </si>
  <si>
    <t>2918</t>
  </si>
  <si>
    <t>WM+ HNI 5 Nhật Tảo</t>
  </si>
  <si>
    <t>Số 5 Nhật Tảo, P. Đông Ngạc, Quận Bắc Từ Liêm, TP. Hà Nội Việt Nam</t>
  </si>
  <si>
    <t>2919</t>
  </si>
  <si>
    <t>WM+ HPG 96 Lán Bè</t>
  </si>
  <si>
    <t>Số 96 Lán Bè, P.Lam Sơn, Quận Lê Chân, TP. Hải Phòng Việt Nam</t>
  </si>
  <si>
    <t>2924</t>
  </si>
  <si>
    <t>WM+ HNI 391 Ngô Xuân Quảng</t>
  </si>
  <si>
    <t>Số 391 Ngô Xuân Quảng, TT. Trâu Quỳ, Huyện Gia Lâm, TP. Hà Nội Việt Nam</t>
  </si>
  <si>
    <t>2982</t>
  </si>
  <si>
    <t>WM+ HNI 848 Trương Định</t>
  </si>
  <si>
    <t>848 Trương Định, P. Giáp Bát, Quận Hoàng Mai, TP. Hà Nội Việt Nam</t>
  </si>
  <si>
    <t>2984</t>
  </si>
  <si>
    <t>WM+ HYN RA1 Ecopark</t>
  </si>
  <si>
    <t>Căn RA1 Ecopark, Ecopark, Huyện Văn Giang, T. Hưng Yên Việt Nam</t>
  </si>
  <si>
    <t>2995</t>
  </si>
  <si>
    <t>WM+ HNI Lô 8-3A KCN Hoàng Mai</t>
  </si>
  <si>
    <t>Lô 8-3A, KCN Q. Hoàng Mai, Phường Hoàng Văn Thụ, Quận Hoàng Mai, TP. Hà Nội Việt Nam</t>
  </si>
  <si>
    <t>2999</t>
  </si>
  <si>
    <t>WM+ HNI 12 ngõ 253 Nguyễn Văn Linh</t>
  </si>
  <si>
    <t>Số 12 ngõ 253 Nguyễn Văn Linh, Số 12 ngõ 253 Nguyễn Văn Linh, phường Phúc Đồng, TP. Hà Nội Việt Nam</t>
  </si>
  <si>
    <t>2A00</t>
  </si>
  <si>
    <t>WM+ HNI Vĩnh Ninh, Thanh Trì</t>
  </si>
  <si>
    <t>Thôn Vĩnh Ninh, Xã Vĩnh Quỳnh, Huyện Thanh Trì TP. Hà Nội Việt Nam</t>
  </si>
  <si>
    <t>2A02</t>
  </si>
  <si>
    <t>WM+ VPC TDP Mậu Thông, Vĩnh Yên</t>
  </si>
  <si>
    <t>Tổ dân phố Mậu Thông, P. Khai Quang, Tp. Vĩnh Yên T. Vĩnh Phúc Việt Nam</t>
  </si>
  <si>
    <t>2A04</t>
  </si>
  <si>
    <t>WM+ QBH Trần Hưng Đạo, Bảo Ninh</t>
  </si>
  <si>
    <t>Đường Trần Hưng Đạo, Xã Bảo Ninh, Thành phố Đồng Hới, T. Quảng Bình Việt Nam</t>
  </si>
  <si>
    <t>CHI NHÁNH QUẢNG BÌNH - CÔNG TY CỔ PHẦN DỊCH VỤ THƯƠNG MẠI TỔNG HỢP WINCOMMERCE</t>
  </si>
  <si>
    <t>2A06</t>
  </si>
  <si>
    <t>WM+ HPG 36 Tổ 4 An Dương</t>
  </si>
  <si>
    <t>Số 36, tổ 4, Thị trấn An Dương, Huyện An Dương TP. Hải Phòng Việt Nam</t>
  </si>
  <si>
    <t>2A14</t>
  </si>
  <si>
    <t>WM+ HTH TDP Nam Mỹ, Can Lộc</t>
  </si>
  <si>
    <t>Tổ dân phố Nam Mỹ, Thị trấn Đồng Lộc, Huyện Can Lộc T. Hà Tĩnh Việt Nam</t>
  </si>
  <si>
    <t>CHI NHÁNH HÀ TĨNH - CÔNG TY CỔ PHẦN DỊCH VỤ THƯƠNG MẠI TỔNG HỢP WINCOMMERCE</t>
  </si>
  <si>
    <t>2A15</t>
  </si>
  <si>
    <t>WM+ BNH A33 Lê Quang Đạo, Từ Sơn</t>
  </si>
  <si>
    <t>Số A33 Lê Quang Đạo, P. Đông Ngàn, TP. Từ Sơn T. Bắc Ninh Việt Nam</t>
  </si>
  <si>
    <t>2A16</t>
  </si>
  <si>
    <t>WM+ HNI Thôn 1, Cát Quế</t>
  </si>
  <si>
    <t>Thôn 01, Xã Cát Quế, Huyện Hoài Đức TP. Hà Nội Việt Nam</t>
  </si>
  <si>
    <t>2A20</t>
  </si>
  <si>
    <t>WM+ HNI Tiên Hội, Đông Anh</t>
  </si>
  <si>
    <t>Thôn Tiên Hội, Xã Đông Hội, Huyện Đông Anh TP. Hà Nội Việt Nam</t>
  </si>
  <si>
    <t>2A23</t>
  </si>
  <si>
    <t>Thôn Trung Hòa, Xã Tân Lâm Hương, Huyện Thạch Hà T. Hà Tĩnh Việt Nam</t>
  </si>
  <si>
    <t>2A24</t>
  </si>
  <si>
    <t>WM+ NAN Hồng Yên, Diễn Châu</t>
  </si>
  <si>
    <t>Xóm Hồng Yên, Xã Diễn Ngọc, Huyện Diễn Châu T. Nghệ An Việt Nam</t>
  </si>
  <si>
    <t>CHI NHÁNH NGHỆ AN - CÔNG TY CỔ PHẦN DỊCH VỤ THƯƠNG MẠI TỔNG HỢP WINCOMMERCE</t>
  </si>
  <si>
    <t>2A26</t>
  </si>
  <si>
    <t>WM+ TBH Thị An, Hưng Hà</t>
  </si>
  <si>
    <t>Khu Thị An, Thị trấn Hưng Nhân, Huyện Hưng Hà T. Thái Bình Việt Nam</t>
  </si>
  <si>
    <t>CHI NHÁNH THÁI BÌNH - CÔNG TY CỔ PHẦN DỊCH VỤ THƯƠNG MẠI TỔNG HỢP WINCOMMERCE</t>
  </si>
  <si>
    <t>2A27</t>
  </si>
  <si>
    <t>WM+ BGG TDP Thanh Bình, Lạng Giang</t>
  </si>
  <si>
    <t>Tổ dân phố Thanh Bình, Thị trấn Kép, Huyện Lạng Giang T. Bắc Giang Việt Nam</t>
  </si>
  <si>
    <t>CHI NHÁNH BẮC GIANG - CÔNG TY CỔ PHẦN DỊCH VỤ THƯƠNG MẠI TỔNG HỢP WINCOMMERCE</t>
  </si>
  <si>
    <t>2A28</t>
  </si>
  <si>
    <t>WM+ NAN Sơn Hải, Quỳnh Lưu</t>
  </si>
  <si>
    <t>Xóm 10, Xã Sơn Hải, Huyện Quỳnh Lưu T. Nghệ An Việt Nam</t>
  </si>
  <si>
    <t>2A30</t>
  </si>
  <si>
    <t>Số 158 Thôn Đông Phú, Xã Hoa Lộc, Huyện Hậu Lộc, T. Thanh Hóa Việt Nam</t>
  </si>
  <si>
    <t>CHI NHÁNH THANH HÓA - CÔNG TY CỔ PHẦN DỊCH VỤ THƯƠNG MẠI TỔNG HỢP WINCOMMERCE</t>
  </si>
  <si>
    <t>2A34</t>
  </si>
  <si>
    <t>WM+ THA Chợ Già, Hoằng Hóa</t>
  </si>
  <si>
    <t>Ki ốt số 10 + 11 Chợ Già mới, Xã Hoằng Kim, Huyện Hoằng Hóa T. Thanh Hóa Việt Nam</t>
  </si>
  <si>
    <t>2A36</t>
  </si>
  <si>
    <t>WM+ QBH TDP Xuân Tiến, Bố Trạch</t>
  </si>
  <si>
    <t>Tổ dân phố Xuân Tiến, Thị trấn Phong Nha, Huyện Bố Trạch T. Quảng Bình Việt Nam</t>
  </si>
  <si>
    <t>2A37</t>
  </si>
  <si>
    <t>WM+ TNN 314-316 Triệu Quang Phục</t>
  </si>
  <si>
    <t>Số 314 - 316 Đường Triệu Quang Phục, TDP. Thanh Xuyên 4, P. Trung Thành, TP. Phổ Yên T. Thái Nguyên Việt Nam</t>
  </si>
  <si>
    <t>CHI NHÁNH THÁI NGUYÊN - CÔNG TY CỔ PHẦN DỊCH VỤ THƯƠNG MẠI TỔNG HỢP WINCOMMERCE</t>
  </si>
  <si>
    <t>2A41</t>
  </si>
  <si>
    <t>Xóm 7, Xã Văn Kiều, Tỉnh Nghệ An T. Nghệ An Việt Nam</t>
  </si>
  <si>
    <t>2A43</t>
  </si>
  <si>
    <t>WM+ YBI Đoàn Kết, Yên Bình</t>
  </si>
  <si>
    <t>Thôn Đoàn Kết, Chợ Km 19, Xã Cảm Ân, Huyện Yên Bình T. Yên Bái Việt Nam</t>
  </si>
  <si>
    <t>CHI NHÁNH YÊN BÁI - CÔNG TY CỔ PHẦN DỊCH VỤ THƯƠNG MẠI TỔNG HỢP WINCOMMERCE</t>
  </si>
  <si>
    <t>2A45</t>
  </si>
  <si>
    <t>WM+ NAN 197 Khối 1, TT Cầu Giát</t>
  </si>
  <si>
    <t>Số 197, Khối 1, Thị Trấn Cầu Giát, Huyện Quỳnh Lưu T. Nghệ An Việt Nam</t>
  </si>
  <si>
    <t>2A50</t>
  </si>
  <si>
    <t>WM+ VPC TDP Trại Dật, Bình Xuyên</t>
  </si>
  <si>
    <t>TDP Trại Dật, Thị trấn Đạo Đức, Huyện Bình Xuyên T. Vĩnh Phúc Việt Nam</t>
  </si>
  <si>
    <t>2A52</t>
  </si>
  <si>
    <t>Thôn An Tiên, Xã Nghi Xuân, Tỉnh Hà Tĩnh T. Hà Tĩnh Việt Nam</t>
  </si>
  <si>
    <t>2A62</t>
  </si>
  <si>
    <t>WM+ TNN 37 Tôn Đức Thắng</t>
  </si>
  <si>
    <t>Số nhà 37 Tôn Đức Thắng, P. Ba Hàng, TP. Phổ Yên T. Thái Nguyên Việt Nam</t>
  </si>
  <si>
    <t>2A64</t>
  </si>
  <si>
    <t>WM+ HDG 305 Nguyễn Hữu Cầu</t>
  </si>
  <si>
    <t>Số 305 Nguyễn Hữu Cầu, P. Ngọc Châu, TP. Hải Dương T. Hải Dương Việt Nam</t>
  </si>
  <si>
    <t>CHI NHÁNH HẢI DƯƠNG - CÔNG TY CỔ PHẦN DỊCH VỤ THƯƠNG MẠI TỔNG HỢP WINCOMMERCE</t>
  </si>
  <si>
    <t>2A66</t>
  </si>
  <si>
    <t>WM+ PTO Khu Phố, Đoan Hùng</t>
  </si>
  <si>
    <t>Khu Phố, Xã Tây Cốc, Huyện Đoan Hùng T. Phú Thọ Việt Nam</t>
  </si>
  <si>
    <t>CHI NHÁNH PHÚ THỌ - CÔNG TY CỔ PHẦN DỊCH VỤ THƯƠNG MẠI TỔNG HỢP WINCOMMERCE</t>
  </si>
  <si>
    <t>2A69</t>
  </si>
  <si>
    <t>Thôn 9, Xã Cát Quế, Huyện Hoài Đức TP. Hà Nội Việt Nam</t>
  </si>
  <si>
    <t>2A71</t>
  </si>
  <si>
    <t>WM+ HPG 170-172 Vạn Mỹ</t>
  </si>
  <si>
    <t>Số 170-172 Đường vòng Vạn Mỹ, P. Vạn Mỹ, Q. Ngô Quyền TP. Hải Phòng Việt Nam</t>
  </si>
  <si>
    <t>2A72</t>
  </si>
  <si>
    <t>WM+ HNI Thôn Bến, Thạch Thất</t>
  </si>
  <si>
    <t>Thôn Bến, Xã Dị Nậu, Huyện Thạch Thất TP. Hà Nội Việt Nam</t>
  </si>
  <si>
    <t>2A73</t>
  </si>
  <si>
    <t>WM+ HYN Đồng Lý, Kim Động</t>
  </si>
  <si>
    <t>Thôn Đồng Lý, Thị Trấn Lương Bằng, Huyện Kim Động T. Hưng Yên Việt Nam</t>
  </si>
  <si>
    <t>2A76</t>
  </si>
  <si>
    <t>WM+ BNH 118-120 Khu Lãm Làng</t>
  </si>
  <si>
    <t>Số 118-120 Khu Lãm Làng, P. Vân Dương, TP. Bắc Ninh T. Bắc Ninh Việt Nam</t>
  </si>
  <si>
    <t>2A78</t>
  </si>
  <si>
    <t>WM+ HNI Số 51, TDP 4 Phú Đô</t>
  </si>
  <si>
    <t>Số 51, TDP số 4, P. Phú Đô, Q. Nam Từ Liêm TP. Hà Nội Việt Nam</t>
  </si>
  <si>
    <t>2A79</t>
  </si>
  <si>
    <t>WM+ YBI 251 Lý Thường Kiệt</t>
  </si>
  <si>
    <t>Số 251 Đường Lý Thường Kiệt, Tổ 8, Thị Trấn Mậu A, Huyện Văn Yên T. Yên Bái Việt Nam</t>
  </si>
  <si>
    <t>2A80</t>
  </si>
  <si>
    <t>WM+ THA 105A Nguyễn Trãi</t>
  </si>
  <si>
    <t>Số 105A Nguyễn Trãi, Lô 45+46 MBQH số 109 XD/UBTH, P. Ba Đình, TP. Thanh Hóa T. Thanh Hóa Việt Nam</t>
  </si>
  <si>
    <t>2A83</t>
  </si>
  <si>
    <t>WM+ HNI Phú Mỹ, Tự Lập</t>
  </si>
  <si>
    <t>Đường 308, Xóm 11, Thôn Phú Mỹ, Xã Tự Lập, Huyện Mê Linh TP. Hà Nội Việt Nam</t>
  </si>
  <si>
    <t>2A90</t>
  </si>
  <si>
    <t>WM+ QNH 12-13 Lô A6 KDC đô thị, Cao</t>
  </si>
  <si>
    <t>Ô số 12-13 Lô A6, Dự án Khu dân cư đô thị, P. Cao Thắng, TP. Hạ Long T. Quảng Ninh Việt Nam</t>
  </si>
  <si>
    <t>CHI NHÁNH QUẢNG NINH - CÔNG TY CỔ PHẦN DỊCH VỤ THƯƠNG MẠI TỔNG HỢP WINCOMMERCE</t>
  </si>
  <si>
    <t>2A95</t>
  </si>
  <si>
    <t>WM+ NBH 52 Vân Giang</t>
  </si>
  <si>
    <t>SN 52, Đường Vân Giang, Phố 9, P. Vân Giang, TP. Ninh Bình T. Ninh Bình Việt Nam</t>
  </si>
  <si>
    <t>CHI NHÁNH NINH BÌNH - CÔNG TY CỔ PHẦN DỊCH VỤ THƯƠNG MẠI TỔNG HỢP WINCOMMERCE</t>
  </si>
  <si>
    <t>2A97</t>
  </si>
  <si>
    <t>WM+ HPG 942 Đại Lộ Tôn Đức Thắng</t>
  </si>
  <si>
    <t>Số 942, Đại Lộ Tôn Đức Thắng, P. Sở Dầu, Q. Hồng Bàng TP. Hải Phòng Việt Nam</t>
  </si>
  <si>
    <t>2A99</t>
  </si>
  <si>
    <t>WM+ NAN 6 Tuệ Tĩnh</t>
  </si>
  <si>
    <t>Số 6 Đường Tuệ Tĩnh, Khối Trung Hưng, P. Hưng Dũng, TP. Vinh T. Nghệ An Việt Nam</t>
  </si>
  <si>
    <t>2AA2</t>
  </si>
  <si>
    <t>WM+ HNI Yên Bài, Mê Linh</t>
  </si>
  <si>
    <t>Thôn Yên Bài, Xã Tự Lập, Huyện Mê Linh TP. Hà Nội Việt Nam</t>
  </si>
  <si>
    <t>2AA6</t>
  </si>
  <si>
    <t>WM+ LCI 338 Hùng Vương</t>
  </si>
  <si>
    <t>Số 338 Đường Hùng Vương, Tổ 6, Thị trấn Bát Xát, Huyện Bát Xát T. Lào Cai Việt Nam</t>
  </si>
  <si>
    <t>CHI NHÁNH LÀO CAI - CÔNG TY CỔ PHẦN DỊCH VỤ THƯƠNG MẠI TỔNG HỢP WINCOMMERCE</t>
  </si>
  <si>
    <t>2AAB</t>
  </si>
  <si>
    <t>WM+ TBH Đông Hòe, Đồng Tiến</t>
  </si>
  <si>
    <t>Thôn Đông Hòe, Xã Đồng Tiến, Huyện Quỳnh Phụ T. Thái Bình Việt Nam</t>
  </si>
  <si>
    <t>2AAC</t>
  </si>
  <si>
    <t>WM+ TBH La Vân 1, Quỳnh Hồng</t>
  </si>
  <si>
    <t>Thôn La Vân 1, Xã Quỳnh Hồng, Huyện Quỳnh Phụ T. Thái Bình Việt Nam</t>
  </si>
  <si>
    <t>2AAF</t>
  </si>
  <si>
    <t>WM+ THA 630 Lê Thái Tổ, Triệu Sơn</t>
  </si>
  <si>
    <t>630 đường Lê Thái Tổ, Tổ dân phố Giắt, Thị trấn Triệu Sơn Huyện Triệu Sơn T. Thanh Hóa Việt Nam</t>
  </si>
  <si>
    <t>2AAH</t>
  </si>
  <si>
    <t>Thôn Trung Sơn, Xã Thanh Sơn, Thị xã Nghi Sơn T. Thanh Hóa Việt Nam</t>
  </si>
  <si>
    <t>2AAI</t>
  </si>
  <si>
    <t>WM+ HNI 144, TDP Tân Xuân, Xuân Mai</t>
  </si>
  <si>
    <t>144, Tổ tự quản 3, TDP Tân Xuân, TT. Xuân Mai, H. Chương Mỹ TP. Hà Nội Việt Nam</t>
  </si>
  <si>
    <t>2AAL</t>
  </si>
  <si>
    <t>Xóm 13, Xã Quỳnh Thạch, Huyện Quỳnh Lưu T. Nghệ An Việt Nam</t>
  </si>
  <si>
    <t>2AAM</t>
  </si>
  <si>
    <t>WM+ HPG 210 Hàng Kênh, Lê Chân</t>
  </si>
  <si>
    <t>Số 210 Hàng Kênh, Phường Hàng K TP. Hải Phòng Việt Nam</t>
  </si>
  <si>
    <t>2AAQ</t>
  </si>
  <si>
    <t>WM+ NDH Xóm Nhì, Trung Thành</t>
  </si>
  <si>
    <t>Xóm Nhì, Xã Trung Thành, Huyện Vụ Bản T. Nam Định Việt Nam</t>
  </si>
  <si>
    <t>CHI NHÁNH NAM ĐỊNH - CÔNG TY CỔ PHẦN DỊCH VỤ THƯƠNG MẠI TỔNG HỢP WINCOMMERCE</t>
  </si>
  <si>
    <t>2AAS</t>
  </si>
  <si>
    <t>WM+ HNI 39/41 ngõ 73 La Dương</t>
  </si>
  <si>
    <t>Số nhà 39/41, Ngõ 73, La Dương, Phường Dương Nội, Quận Hà Đông, TP. Hà Nội Việt Nam</t>
  </si>
  <si>
    <t>2AAT</t>
  </si>
  <si>
    <t>WM+ HNI 272 Lê Lợi, Sơn Tây</t>
  </si>
  <si>
    <t>Số nhà 272 Phố Lê Lợi, Phường Lê Lợi, Thị xã Sơn Tây, Thành phố Hà Nội Việt Nam</t>
  </si>
  <si>
    <t>2AAU</t>
  </si>
  <si>
    <t>WM+ BNH Khu phố Đỉnh, Phố Mới</t>
  </si>
  <si>
    <t>Khu phố Đỉnh, Phường Phố Mới, Thị xã Quế Võ, T. Bắc Ninh Việt Nam</t>
  </si>
  <si>
    <t>2AAZ</t>
  </si>
  <si>
    <t>WM+ TBH Xuân Bàng, Thụy Xuân</t>
  </si>
  <si>
    <t>X. Thụy Xuân, H. Thái Thụy T. Thái Bình Việt Nam</t>
  </si>
  <si>
    <t>2AB4</t>
  </si>
  <si>
    <t>WM+ HNM Điệp Sơn, Duy Tiên</t>
  </si>
  <si>
    <t>Thôn Điệp Sơn, Xã Yên Nam, Thị xã Duy Tiên   T. Hà Nam Việt Nam</t>
  </si>
  <si>
    <t>CHI NHÁNH HÀ NAM - CÔNG TY CỔ PHẦN DỊCH VỤ THƯƠNG MẠI TỔNG HỢP WINCOMMERCE</t>
  </si>
  <si>
    <t>2AB5</t>
  </si>
  <si>
    <t>WM+ QNH 189 Tổ 18, Khu 3 Trưng Vươn</t>
  </si>
  <si>
    <t>Số 189 Tổ 18, Khu 3, P. Trưng Vương, TP. Uông Bí T. Quảng Ninh Việt Nam</t>
  </si>
  <si>
    <t>2AB9</t>
  </si>
  <si>
    <t>WM+ PTO 35 Hà Chương</t>
  </si>
  <si>
    <t>SN 35, Phố Hà Chương, Khu Hàm Nghi, P. Gia Cẩm, TP. Việt Trì T. Phú Thọ Việt Nam</t>
  </si>
  <si>
    <t>2ABA</t>
  </si>
  <si>
    <t>WM+ HNI Đội 2, Tiên Phương</t>
  </si>
  <si>
    <t>Đội 2, Thôn Đồng Nanh, Xã Tiên Phương, Huyện Chương Mỹ TP. Hà Nội Việt Nam</t>
  </si>
  <si>
    <t>2ABB</t>
  </si>
  <si>
    <t>WM+ BGG Thôn Khoát, Đông Lỗ</t>
  </si>
  <si>
    <t>Thôn Khoát, Xã Đông Lỗ, Huyện Hiệp Hòa T. Bắc Giang Việt Nam</t>
  </si>
  <si>
    <t>2ABC</t>
  </si>
  <si>
    <t>WM+ THA TM-05, CC Ruby Tower</t>
  </si>
  <si>
    <t>Căn hộ số TM-05, Tầng 1, CC Ruby Tower, thuộc P. Lam Sơn, P. Đông Vệ, TP. Thanh Hóa, T. Thanh Hóa Việt Nam</t>
  </si>
  <si>
    <t>2ABK</t>
  </si>
  <si>
    <t>WM+ THA 33 Nguyễn Đình Thuần</t>
  </si>
  <si>
    <t>33 Nguyễn Đình Thuần, Phố Tân Hạnh Thành phố Thanh Hóa, T. Thanh Hóa Việt Nam</t>
  </si>
  <si>
    <t>2ABL</t>
  </si>
  <si>
    <t>WM+ NBH Phong Lai 1,Đồng Phong</t>
  </si>
  <si>
    <t>Xóm Phong Lai 1, Xã Đồng Phong, Huyện Nho Quan, Tỉnh Ninh Bình Việt Nam</t>
  </si>
  <si>
    <t>2ABM</t>
  </si>
  <si>
    <t>WM+ BNH 103 Lý Thường Kiệt</t>
  </si>
  <si>
    <t>103 Lý Thường Kiệt, Thôn Duệ Đông, Thị trấn Lim, Huyện Tiên Du, Tỉnh Bắc Ninh Việt Nam</t>
  </si>
  <si>
    <t>2ABO</t>
  </si>
  <si>
    <t>WM+ HPG 461 Cát Bi</t>
  </si>
  <si>
    <t>Số 461 Cát Bi, phường Thành Tô, Quận Hải An, Thành phố Hải Phòng Việt Nam</t>
  </si>
  <si>
    <t>2ABP</t>
  </si>
  <si>
    <t>WM+ LCI 028 Lương Định Của</t>
  </si>
  <si>
    <t>Số 028, Phố Lương Định Của, Phường Sa Pa, Thị xã Sa Pa, Tỉnh Lào Cai Việt Nam</t>
  </si>
  <si>
    <t>2ABQ</t>
  </si>
  <si>
    <t>WM+ HPG Thôn 6, Hòa Bình</t>
  </si>
  <si>
    <t>Thôn 6, Xã Hòa Bình, Huyện Thủy Nguyên, Thành phố Hải Phòng Việt Nam</t>
  </si>
  <si>
    <t>2ABR</t>
  </si>
  <si>
    <t>WM+ QBH 69 Hùng Vương, Hoàn Lão</t>
  </si>
  <si>
    <t>69 đường Hùng Vương, Thị trấn Hoàn Lão, Huyện Bố Trạch, Tỉnh Quảng Bình Việt Nam</t>
  </si>
  <si>
    <t>2ABV</t>
  </si>
  <si>
    <t>Tiểu khu 2, Phường Hải Hòa, Thị Xã Nghi Sơn, Tỉnh Thanh Hóa Việt Nam</t>
  </si>
  <si>
    <t>2ABX</t>
  </si>
  <si>
    <t>WM+ HGG Tổ 6 Việt Lâm</t>
  </si>
  <si>
    <t>Tổ 6, Thị trấn Việt Lâm, Huyện Vị Xuyên, Tỉnh Hà Giang Việt Nam</t>
  </si>
  <si>
    <t>CHI NHÁNH HÀ GIANG - CÔNG TY CỔ PHẦN DỊCH VỤ THƯƠNG MẠI TỔNG HỢP WINCOMMERCE</t>
  </si>
  <si>
    <t>2ABZ</t>
  </si>
  <si>
    <t>WM+ BGG Số 5 Hoàng Hoa Thám</t>
  </si>
  <si>
    <t>Số 5, Tổ Dân Phố Hoàng Hoa Thám, Thị trấn Cao Thượng Huyện Tân Yên, Tỉnh Bắc Giang Việt Nam</t>
  </si>
  <si>
    <t>2AC5</t>
  </si>
  <si>
    <t>WM+ QBH 19 Lê Lợi</t>
  </si>
  <si>
    <t>Số 19 Đường Lê Lợi, P. Đồng Hải, TP. Đồng Hới T. Quảng Bình Việt Nam</t>
  </si>
  <si>
    <t>2AC6</t>
  </si>
  <si>
    <t>WM+ NAN Khối Tây Hồ 1, Quang Tiến</t>
  </si>
  <si>
    <t>Khối Tây Hồ 1, P. Quang Tiến, TX. Thái Hòa T. Nghệ An Việt Nam</t>
  </si>
  <si>
    <t>2ACB</t>
  </si>
  <si>
    <t>WM+ HNI Khu Tái Định Cư Ngũ Hiệp</t>
  </si>
  <si>
    <t>Thôn Tự Khoát, Xã Ngũ Hiệp, Huyện Thanh Trì Thành phố Hà Nội Việt Nam</t>
  </si>
  <si>
    <t>2ACC</t>
  </si>
  <si>
    <t>WM+ LCI Bản Phiệt, Bảo Thắng</t>
  </si>
  <si>
    <t>Thôn Bản Phiệt, Xã Bản Phiệt, Huyện Bảo Thắng Tỉnh Lào Cai Việt Nam</t>
  </si>
  <si>
    <t>2ACD</t>
  </si>
  <si>
    <t>WM+ NBH Số 8 Trì Chính</t>
  </si>
  <si>
    <t>Số 8 Phố Trì Chính, Thị Trấn Phát Diệm, Huyện Kim Sơn Tỉnh Ninh Bình Việt Nam</t>
  </si>
  <si>
    <t>2ACE</t>
  </si>
  <si>
    <t>WM+ QBH QL1A, Hải Phú</t>
  </si>
  <si>
    <t>Thôn Quốc Lộ 1A, Xã Hải Phú, Huyện Bố Trạch Tỉnh Quảng Bình Việt Nam</t>
  </si>
  <si>
    <t>2ACF</t>
  </si>
  <si>
    <t>WM+ LCI 5A Phố Ràng</t>
  </si>
  <si>
    <t>Tổ dân phố 5A, Thị trấn Phố Ràng, Huyện Bảo Yên Tỉnh Lào Cai Việt Nam</t>
  </si>
  <si>
    <t>2ACG</t>
  </si>
  <si>
    <t>WM+ TBH Thanh Lãng, Minh Hòa</t>
  </si>
  <si>
    <t>Thôn Thanh Lãng, Xã Minh Hòa, Huyện Hưng Hà, Tỉnh Thái Bình Việt Nam</t>
  </si>
  <si>
    <t>2ACI</t>
  </si>
  <si>
    <t>WM+ THA L05-06, Khu A4 MBQH 65</t>
  </si>
  <si>
    <t>Lô 05 – 06 khu A4 MBQH số 65, P. Long Anh, TP. Thanh Hóa, T. Thanh Hóa Việt Nam</t>
  </si>
  <si>
    <t>2ACJ</t>
  </si>
  <si>
    <t>WM+ BNH Tiêu Long, Tương Giang</t>
  </si>
  <si>
    <t>Khu phố Tiêu Long, Phường Tương Giang, Thành phố Từ Sơn Tỉnh Bắc Ninh Việt Nam</t>
  </si>
  <si>
    <t>2ACM</t>
  </si>
  <si>
    <t>WM+ THA 162 Nguyễn Du</t>
  </si>
  <si>
    <t>162 Nguyễn Du, Khu phố Bắc Kỳ, Phường Trung Sơn Thành phố Sầm Sơn, Tỉnh Thanh Hóa Việt Nam</t>
  </si>
  <si>
    <t>2ACO</t>
  </si>
  <si>
    <t>WM+ VPC 105-106 Tòa B2 Khai Minh</t>
  </si>
  <si>
    <t>Căn 105+106 Tòa nhà B2 Khai Minh, TDP Minh Quyết Phường Khai Quang, Thành phố Vĩnh Yên Tỉnh Vĩnh Phúc Việt Nam</t>
  </si>
  <si>
    <t>2ACP</t>
  </si>
  <si>
    <t>WM+ HBH 23-25 Thống Nhất</t>
  </si>
  <si>
    <t>Số 23-25 Phố Thống Nhất, Thị trấn Vụ Bản Huyện Lạc Sơn, Tỉnh Hòa Bình Việt Nam</t>
  </si>
  <si>
    <t>CHI NHÁNH HÒA BÌNH - CÔNG TY CỔ PHẦN DỊCH VỤ THƯƠNG MẠI TỔNG HỢP WINCOMMERCE</t>
  </si>
  <si>
    <t>2ACT</t>
  </si>
  <si>
    <t>WM+ TBH Vũ Xá, An Đồng</t>
  </si>
  <si>
    <t>Thôn Vũ Xá, Xã An Đồng, Huyện Quỳnh Phụ, T. Thái Bình Việt Nam</t>
  </si>
  <si>
    <t>2ACU</t>
  </si>
  <si>
    <t>WM+ NDH Vũ Xuyên, Yên Dương</t>
  </si>
  <si>
    <t>Thôn Vũ Xuyên, Xã Yên Dương, Huyện Ý Yên, Tỉnh Nam Định Việt Nam</t>
  </si>
  <si>
    <t>2ACW</t>
  </si>
  <si>
    <t>WM+ HNI 82 Xuân Đỗ</t>
  </si>
  <si>
    <t>Số 82 phố Xuân Đỗ, P. Cự Khối, Q. Long Biên TP. Hà Nội Việt Nam</t>
  </si>
  <si>
    <t>2ACX</t>
  </si>
  <si>
    <t>Số 1 đường Phú Hà, KDC Phú Nhi 2, P. Phú Thịnh TP. Hà Nội Việt Nam</t>
  </si>
  <si>
    <t>2AD0</t>
  </si>
  <si>
    <t>WM+ HNI SH-5B Phương Đông Green Par</t>
  </si>
  <si>
    <t>SH-5B tại tầng trệt của Tòa nhà thuộc Dự án tại khu C1, Đường Pháp Vân, P. Hoàng Liệt, Q. Hoàng Mai TP. Hà Nội Việt Nam</t>
  </si>
  <si>
    <t>2AD1</t>
  </si>
  <si>
    <t>WM+ VPC Lê Xoay, TT Vĩnh Tường</t>
  </si>
  <si>
    <t>Đường Lê Xoay, Khu 3, Thị trấn Vĩnh Tường, Huyện Vĩnh Tường T. Vĩnh Phúc Việt Nam</t>
  </si>
  <si>
    <t>2AD3</t>
  </si>
  <si>
    <t>WM+ PTO Núi Trang, Phù Ninh</t>
  </si>
  <si>
    <t>Khu Núi Trang, Thị trấn Phong Châu, Huyện Phù Ninh T. Phú Thọ Việt Nam</t>
  </si>
  <si>
    <t>2AD4</t>
  </si>
  <si>
    <t>WM+ VPC CH5 The City Light</t>
  </si>
  <si>
    <t>Sàn thương mại dịch vụ CH5, Tòa The City Light, Đường Tôn Đức Thắng, P. Khai Quang, TP. Vĩnh Yên T. Vĩnh Phúc Việt Nam</t>
  </si>
  <si>
    <t>2AD6</t>
  </si>
  <si>
    <t>WM+ NBH Văn Lâm, Hoa Lư</t>
  </si>
  <si>
    <t>Thôn Văn Lâm, Xã Ninh Hải, Huyện Hoa Lư T. Ninh Bình Việt Nam</t>
  </si>
  <si>
    <t>2AD7</t>
  </si>
  <si>
    <t>WM+ NDH Phúc Thắng, Nghĩa Hưng</t>
  </si>
  <si>
    <t>Xóm 1, Xã Phúc Thắng, Huyện Nghĩa Hưng T. Nam Định Việt Nam</t>
  </si>
  <si>
    <t>2AD8</t>
  </si>
  <si>
    <t>Thôn Đông Phú, Xã Xuân Phú, Huyện Yên Dũng T. Bắc Giang Việt Nam</t>
  </si>
  <si>
    <t>2AD9</t>
  </si>
  <si>
    <t>WM+ HPG An Thắng, Thủy Nguyên</t>
  </si>
  <si>
    <t>Thôn An Thắng, Xã An Lư, Huyện Thủy Nguyên TP. Hải Phòng Việt Nam</t>
  </si>
  <si>
    <t>2ADA</t>
  </si>
  <si>
    <t>WM+ BKN Tiểu khu 4, Chợ Rã</t>
  </si>
  <si>
    <t>Tiểu khu 4, Thị trấn Chợ Rã, Huyện Ba Bể T. Bắc Kạn Việt Nam</t>
  </si>
  <si>
    <t>CHI NHÁNH BẮC KẠN - CÔNG TY CỔ PHẦN DỊCH VỤ THƯƠNG MẠI TỔNG HỢP WINCOMMERCE</t>
  </si>
  <si>
    <t>2ADE</t>
  </si>
  <si>
    <t>WM+ HGG Thôn Vạt, Việt Lâm</t>
  </si>
  <si>
    <t>Thôn Vạt, Xã Việt Lâm, Huyện Vị Xuyên T. Hà Giang Việt Nam</t>
  </si>
  <si>
    <t>2ADF</t>
  </si>
  <si>
    <t>WM+ SLA Tân Lập, Chiềng Khương</t>
  </si>
  <si>
    <t>Bản Tân Lập, Xã Chiềng Khương T. Sơn La Việt Nam</t>
  </si>
  <si>
    <t>CHI NHÁNH SƠN LA - CÔNG TY CỔ PHẦN DỊCH VỤ THƯƠNG MẠI TỔNG HỢP WINCOMMERCE</t>
  </si>
  <si>
    <t>2ADG</t>
  </si>
  <si>
    <t>WM+ TBH Nhân Phú, Hùng Dũng</t>
  </si>
  <si>
    <t>Thôn Nhân Phú, Xã Hùng Dũng T. Thái Bình Việt Nam</t>
  </si>
  <si>
    <t>2ADH</t>
  </si>
  <si>
    <t>WM+ DBN 175 Tổ 2, Na Lay</t>
  </si>
  <si>
    <t>Số 175 Tổ 2, Phường Na Lay, T. Điện Biên Việt Nam</t>
  </si>
  <si>
    <t>CHI NHÁNH ĐIỆN BIÊN - CÔNG TY CỔ PHẦN DỊCH VỤ THƯƠNG MẠI TỔNG HỢP WINCOMMERCE</t>
  </si>
  <si>
    <t>2ADI</t>
  </si>
  <si>
    <t>WM+ DBN Đồng Tâm, Tủa Chùa</t>
  </si>
  <si>
    <t>Tổ Dân Phố Đồng Tâm, Thị Trấn Tủa Chùa, T. Điện Biên Việt Nam</t>
  </si>
  <si>
    <t>2ADJ</t>
  </si>
  <si>
    <t>WM+ HYN H201 &amp; H202 Haven Park</t>
  </si>
  <si>
    <t>Căn H201S26 &amp; H202S26 Tòa H2, Haven Park Residences T. Hưng Yên Việt Nam</t>
  </si>
  <si>
    <t>2ADK</t>
  </si>
  <si>
    <t>WM+ BNH Trần Xá, Yên Trung</t>
  </si>
  <si>
    <t>Thôn Trần Xá, Xã Yên Trung T. Bắc Ninh Việt Nam</t>
  </si>
  <si>
    <t>2ADL</t>
  </si>
  <si>
    <t>WM+ BNH 24-26 Bình Than</t>
  </si>
  <si>
    <t>Số 24-26 Bình Than, Phường Đại Phúc T. Bắc Ninh Việt Nam</t>
  </si>
  <si>
    <t>2ADM</t>
  </si>
  <si>
    <t>WM+ SLA 284 Tô Hiệu</t>
  </si>
  <si>
    <t>Số 284 Đường Tô Hiệu, Tiểu khu 2, Xã Mường La, T. Sơn La Việt Nam</t>
  </si>
  <si>
    <t>2ADO</t>
  </si>
  <si>
    <t>WM+ SLA 93-95 đường Cách Mạng Tháng</t>
  </si>
  <si>
    <t>Số 93-95 đường Cách Mạng Tháng 8, Thị trấn Sông Mã T. Sơn La Việt Nam</t>
  </si>
  <si>
    <t>2ADP</t>
  </si>
  <si>
    <t>Số 176, Tổ 13, Phường Sông Cầu T. Bắc Kạn Việt Nam</t>
  </si>
  <si>
    <t>2ADQ</t>
  </si>
  <si>
    <t>WM+ LCU 260A Nguyễn Trãi</t>
  </si>
  <si>
    <t>Số 260A Nguyễn Trãi, Tổ 9, P. Quyết Thắng T. Lai Châu Việt Nam</t>
  </si>
  <si>
    <t>CHI NHÁNH LAI CHÂU - CÔNG TY CỔ PHẦN DỊCH VỤ THƯƠNG MẠI TỔNG HỢP WINCOMMERCE</t>
  </si>
  <si>
    <t>2ADR</t>
  </si>
  <si>
    <t>WM+ SLA Hua Mường, Sốp Cộp</t>
  </si>
  <si>
    <t>Bản Hua Mường, Xã Sốp Cộp, T. Sơn La Việt Nam</t>
  </si>
  <si>
    <t>2ADS</t>
  </si>
  <si>
    <t>WM+ HBH 474 Trần Hưng Đạo</t>
  </si>
  <si>
    <t>Số 474 đường Trần Hưng Đạo, Khu phố Yên Phong T. Hòa Bình Việt Nam</t>
  </si>
  <si>
    <t>2ADT</t>
  </si>
  <si>
    <t>WM+ BKN 273-277 Tổ 10A Đức Xuân</t>
  </si>
  <si>
    <t>Số 273-277, Tổ 10A, Phường Đức Xuân T. Bắc Kạn Việt Nam</t>
  </si>
  <si>
    <t>2ADU</t>
  </si>
  <si>
    <t>WM+ HGG Nguyễn Du, Mèo Vạc</t>
  </si>
  <si>
    <t>Đường Nguyễn Du, Tổ 2, Thị Trấn Mèo Vạc T. Hà Giang Việt Nam</t>
  </si>
  <si>
    <t>2ADY</t>
  </si>
  <si>
    <t>WM+ NBH Xóm 5, Cồn Thoi</t>
  </si>
  <si>
    <t>Xóm 5, Xã Cồn Thoi T. Ninh Bình Việt Nam</t>
  </si>
  <si>
    <t>2ADZ</t>
  </si>
  <si>
    <t>WM+ LCU Cầu Phà, Pa Tần</t>
  </si>
  <si>
    <t>Bản Cầu Phà, Xã Pa Tần T. Lai Châu Việt Nam</t>
  </si>
  <si>
    <t>2AE3</t>
  </si>
  <si>
    <t>WM+ HNM 68 Lê Chân</t>
  </si>
  <si>
    <t>SN 68 Đường Lê Chân, Khu TĐC, P. Lê Hồng Phong, TP. Phủ Lý T. Hà Nam Việt Nam</t>
  </si>
  <si>
    <t>2AE4</t>
  </si>
  <si>
    <t>WM+ BNH Chợ Ấp Đồn, Yên Phong</t>
  </si>
  <si>
    <t>Thôn Ấp Đồn, Xã Yên Trung, Huyện Yên Phong T. Bắc Ninh Việt Nam</t>
  </si>
  <si>
    <t>2AE8</t>
  </si>
  <si>
    <t>WM+ HNI 237 Định Công</t>
  </si>
  <si>
    <t>Số 237 Định Công, P. Định Công, Q. Hoàng Mai TP. Hà Nội Việt Nam</t>
  </si>
  <si>
    <t>2AEA</t>
  </si>
  <si>
    <t>WM+ LCU Tây Sơn, Mường So</t>
  </si>
  <si>
    <t>Thôn Tây Sơn, Xã Mường So T. Lai Châu Việt Nam</t>
  </si>
  <si>
    <t>2AED</t>
  </si>
  <si>
    <t>WM+ THA Chung Cư Tân Thành Eco2</t>
  </si>
  <si>
    <t>Lô 36-37 Khu dân cư Đông Nam, KĐT Đông Phát T. Thanh Hóa Việt Nam</t>
  </si>
  <si>
    <t>2AEI</t>
  </si>
  <si>
    <t>WM+ HNI 50 Chùa Thông</t>
  </si>
  <si>
    <t>Số 50, Phố Chùa Thông, P. Sơn Lộc TP. Hà Nội Việt Nam</t>
  </si>
  <si>
    <t>2AEK</t>
  </si>
  <si>
    <t>Số 123 Hoàng Hoa Thám, Phường Yên Giang, TX. Quảng Yên T. Quảng Ninh Việt Nam</t>
  </si>
  <si>
    <t>2AEL</t>
  </si>
  <si>
    <t>WM+ HTH 175A - 175B Lý Tự Trọng</t>
  </si>
  <si>
    <t>Số 175A - 175B, đường Lý Tự Trọng, Tổ dân phố 7, Thị trấn Thạch Hà, T. Hà Tĩnh Việt Nam</t>
  </si>
  <si>
    <t>2AEM</t>
  </si>
  <si>
    <t>WM+ HPG Đoàn Kết, Minh Tân</t>
  </si>
  <si>
    <t>Thôn Đoàn Kết, Xã Minh Tân TP. Hải Phòng Việt Nam</t>
  </si>
  <si>
    <t>2AEO</t>
  </si>
  <si>
    <t>WM+ HDG Quý Cao, Nguyên Giáp</t>
  </si>
  <si>
    <t>Phố Quý Cao, Xã Nguyên Giáp T. Hải Dương Việt Nam</t>
  </si>
  <si>
    <t>2AEP</t>
  </si>
  <si>
    <t>WM+ QNH Cửa Tràng, Tiền An</t>
  </si>
  <si>
    <t>Khu dân cư xóm Cửa Tràng, Xã Tiền An T. Quảng Ninh Việt Nam</t>
  </si>
  <si>
    <t>2AER</t>
  </si>
  <si>
    <t>WM+ HPG Xóm Quán, Thủy Đường</t>
  </si>
  <si>
    <t>Xóm Quán, Xã Thủy Đường TP. Hải Phòng Việt Nam</t>
  </si>
  <si>
    <t>2AEU</t>
  </si>
  <si>
    <t>WM+ YBI 551 Điện Biên</t>
  </si>
  <si>
    <t>Số 551 đường Điện Biên, Tổ 7, P. Minh Tân T. Yên Bái Việt Nam</t>
  </si>
  <si>
    <t>2AEW</t>
  </si>
  <si>
    <t>WM+ LCI Số 145 - 147 Nguyễn Huệ</t>
  </si>
  <si>
    <t>Số 145-147 đường Nguyễn Huệ, P. Lào Cai T. Lào Cai Việt Nam</t>
  </si>
  <si>
    <t>2AEY</t>
  </si>
  <si>
    <t>WM+ THA Khu 6, Thọ Xuân</t>
  </si>
  <si>
    <t>Khu 6, Thị trấn Thọ Xuân T. Thanh Hóa Việt Nam</t>
  </si>
  <si>
    <t>2AF1</t>
  </si>
  <si>
    <t>WM+ HNI Cống Đặng, Thạch Thất</t>
  </si>
  <si>
    <t>Thôn Cống Đặng, Xã Bình Phú, Huyện Thạch Thất TP. Hà Nội Việt Nam</t>
  </si>
  <si>
    <t>2AF2</t>
  </si>
  <si>
    <t>WM+ QBH TDP 14, Nam Lý</t>
  </si>
  <si>
    <t>Tổ Dân phố 14, Phường Nam Lý, Thành phố Đồng Hới T. Quảng Bình Việt Nam</t>
  </si>
  <si>
    <t>2AFC</t>
  </si>
  <si>
    <t>WM+ THA Tân Hải, Hải Bình</t>
  </si>
  <si>
    <t>Tổ dân phố Tân Hải, Phường Hải Bình, Thị xã Nghi Sơn T. Thanh Hóa Việt Nam</t>
  </si>
  <si>
    <t>2AFE</t>
  </si>
  <si>
    <t>WM+ SLA 284 Trần Huy Liệu</t>
  </si>
  <si>
    <t>Số 284 Đường Trần Huy Liệu, Phường Mộc Lỵ, Thị xã Mộc Châu, TX. Mộc Châu T. Sơn La Việt Nam</t>
  </si>
  <si>
    <t>2AFF</t>
  </si>
  <si>
    <t>WM+ PTO Khu 5, Xuân Lộc</t>
  </si>
  <si>
    <t>Khu 5, Xã Xuân Lộc, Huyện Thanh Thủy T. Phú Thọ Việt Nam</t>
  </si>
  <si>
    <t>2AFG</t>
  </si>
  <si>
    <t>WM+ BNH 898 Quang Trung</t>
  </si>
  <si>
    <t>Số 898 đường Quang Trung, Khu phố Mao Lại Phường Phượng Mao, Thị xã Quế Võ T. Bắc Ninh Việt Nam</t>
  </si>
  <si>
    <t>2AFI</t>
  </si>
  <si>
    <t>WM+ NBH Phố 10, Đông Thành</t>
  </si>
  <si>
    <t>Phố 10, Phường Đông Thành T. Ninh Bình Việt Nam</t>
  </si>
  <si>
    <t>2AFJ</t>
  </si>
  <si>
    <t>WM+ HPG Phủ Niệm, Thái Sơn</t>
  </si>
  <si>
    <t>Thôn Phủ Niệm, Xã Thái Sơn TP. Hải Phòng Việt Nam</t>
  </si>
  <si>
    <t>2AFK</t>
  </si>
  <si>
    <t>WM+ NAN Trung Sơn, Kim Sơn</t>
  </si>
  <si>
    <t>Khối Trung Sơn, Thị Trấn Kim Sơn, T. Nghệ An Việt Nam</t>
  </si>
  <si>
    <t>2AFL</t>
  </si>
  <si>
    <t>Xóm Lạc Hồng, Xã Nghi Diên T. Nghệ An Việt Nam</t>
  </si>
  <si>
    <t>2AFM</t>
  </si>
  <si>
    <t>WM+ BNH Xóm Ngoài, Đại Bái</t>
  </si>
  <si>
    <t>Xóm Ngoài, Thôn Đại Bái, Xã Đại Bái T. Bắc Ninh Việt Nam</t>
  </si>
  <si>
    <t>2AFN</t>
  </si>
  <si>
    <t>WM+ HNI Ô đất 44, KGD Phú Đô</t>
  </si>
  <si>
    <t>Ô đất số 44, khu giãn dân Phú Đô, P. Phú Đô TP. Hà Nội Việt Nam</t>
  </si>
  <si>
    <t>2AFO</t>
  </si>
  <si>
    <t>WM+ TBH Tổ 8, Đông Hưng</t>
  </si>
  <si>
    <t>Tổ 8, Thị trấn Đông Hưng, T. Thái Bình Việt Nam</t>
  </si>
  <si>
    <t>2AFQ</t>
  </si>
  <si>
    <t>WM+ VPC Khu Chợ Đầm, Thái Hòa</t>
  </si>
  <si>
    <t>Khu Chợ Đầm, Xã Thái Hòa T. Vĩnh Phúc Việt Nam</t>
  </si>
  <si>
    <t>2AFR</t>
  </si>
  <si>
    <t>Số 85 Đường Trần Hưng Đạo, Khối 11, Phường Đội Cung T. Nghệ An Việt Nam</t>
  </si>
  <si>
    <t>2AFS</t>
  </si>
  <si>
    <t>WM+ HYN Thôn Cầu, Lạc Đạo</t>
  </si>
  <si>
    <t>Thôn Cầu, Xã Lạc Đạo T. Hưng Yên Việt Nam</t>
  </si>
  <si>
    <t>2AFT</t>
  </si>
  <si>
    <t>WM+ TBH Phố Lầy, An Ninh</t>
  </si>
  <si>
    <t>Thôn Phố Lầy, Xã An Ninh, Huyện Quỳnh Phụ T. Thái Bình Việt Nam</t>
  </si>
  <si>
    <t>2AFW</t>
  </si>
  <si>
    <t>WM+ HNI Thôn Đìa, Xã Nam Hồng</t>
  </si>
  <si>
    <t>Thôn Đìa, Xã Nam Hồng, Huyện Đông Anh TP. Hà Nội Việt Nam</t>
  </si>
  <si>
    <t>2AFY</t>
  </si>
  <si>
    <t>WM+ BGG 322 Lê Lợi</t>
  </si>
  <si>
    <t>Số 322 Đường Lê Lợi, Phường Hoàng Văn Thụ Thành phố Bắc Giang T. Bắc Giang Việt Nam</t>
  </si>
  <si>
    <t>2AFZ</t>
  </si>
  <si>
    <t>WM+ BGG Đông Lâm, Hương Lâm</t>
  </si>
  <si>
    <t>Thôn Đông Lâm, Xã Hương Lâm, Huyện Hiệp Hòa T. Bắc Giang Việt Nam</t>
  </si>
  <si>
    <t>2AG0</t>
  </si>
  <si>
    <t>WM+ NAN Khối 4, TT Yên Thành</t>
  </si>
  <si>
    <t>Khối 4, Thị Trấn Yên Thành, Huyện Yên Thành T. Nghệ An Việt Nam</t>
  </si>
  <si>
    <t>2AG5</t>
  </si>
  <si>
    <t>WM+ HBH 841 An Dương Vương</t>
  </si>
  <si>
    <t>841 An Dương Vương, Tổ 6, Phường Thái Bình, T. Hòa Bình Việt Nam</t>
  </si>
  <si>
    <t>2AG6</t>
  </si>
  <si>
    <t>Thôn Phú Thuận Hợp, Xã Cổ Đạm, Huyện Nghi Xuân T. Hà Tĩnh Việt Nam</t>
  </si>
  <si>
    <t>2AG8</t>
  </si>
  <si>
    <t>WM+ HTH 138 Hà Huy Tập</t>
  </si>
  <si>
    <t>Số 138 Đường Hà Huy Tập, Thị trấn Cẩm Xuyên, Huyện Cẩm Xuyên Tỉnh Hà Tĩnh Việt Nam</t>
  </si>
  <si>
    <t>2AG9</t>
  </si>
  <si>
    <t>WM+ HNI 97 Ngõ 168 Kim Giang</t>
  </si>
  <si>
    <t>Số 97 Ngõ 168 Đường Kim Giang, Phường Đại Kim, Q. Hoàng Mai TP. Hà Nội Việt Nam</t>
  </si>
  <si>
    <t>2AGA</t>
  </si>
  <si>
    <t>WM+ BGG 208 Giáp Hải</t>
  </si>
  <si>
    <t>Số 208 Đường Giáp Hải, Phường Tự Lạn TX. Việt Yên T. Bắc Giang Việt Nam</t>
  </si>
  <si>
    <t>2AGB</t>
  </si>
  <si>
    <t>WM+ QNH 229 Nguyễn Văn Cừ</t>
  </si>
  <si>
    <t>Số 229 Nguyễn Văn Cừ, Phường Hồng Hải, Thành phố Hạ Long T. Quảng Ninh Việt Nam</t>
  </si>
  <si>
    <t>2AGD</t>
  </si>
  <si>
    <t>WM+ HNM 212 Trường Chinh</t>
  </si>
  <si>
    <t>Số 212 Đường Trường Chinh, Phường Hai Bà Trưng TP. Phủ Lý T. Hà Nam Việt Nam</t>
  </si>
  <si>
    <t>2AGK</t>
  </si>
  <si>
    <t>WM+ HNI F5-CH02 Masteri West Height</t>
  </si>
  <si>
    <t>Ô đất F5-CH02, Dự án Khu đô thị mới Tây Mỗ - Đại Mỗ Vinhomes Park, Q. Nam Từ Liêm TP. Hà Nội Việt Nam</t>
  </si>
  <si>
    <t>2AGM</t>
  </si>
  <si>
    <t>WM+ BNH 1170 Quang Trung</t>
  </si>
  <si>
    <t>Số 1170 Đường Quang Trung, Khu phố Vũ Dương, TX. Quế Võ T. Bắc Ninh Việt Nam</t>
  </si>
  <si>
    <t>2AGP</t>
  </si>
  <si>
    <t>WM+ HNI 28 Ngách 158/38 Nguyễn Sơn</t>
  </si>
  <si>
    <t>Số 28 Ngách 158/38 Nguyễn Sơn, Tổ 21, Phường Bồ Đề, Q. Long Biên TP. Hà Nội Việt Nam</t>
  </si>
  <si>
    <t>2AGR</t>
  </si>
  <si>
    <t>WM+ THA 223 Nguyễn Trãi</t>
  </si>
  <si>
    <t>Số 223 Nguyễn Trãi, Phường Tân Sơn, Thành phố Thanh Hóa T. Thanh Hóa Việt Nam</t>
  </si>
  <si>
    <t>2AGS</t>
  </si>
  <si>
    <t>WM+ HNI LK4-09, KĐT mới Kim Văn-Kim</t>
  </si>
  <si>
    <t>LK4-09, Khu nhà ở thấp tầng TT1, Khu Đô thị mới Kim Văn-Kim Lũ, Q. Hoàng Mai TP. Hà Nội Việt Nam</t>
  </si>
  <si>
    <t>2AGT</t>
  </si>
  <si>
    <t>WM+ HNM Thôn 7, Hòa Hậu</t>
  </si>
  <si>
    <t>Thôn 7, Xã Hòa Hậu, Huyện Lý Nhân, Tỉnh Hà Nam T. Hà Nam Việt Nam</t>
  </si>
  <si>
    <t>2AGV</t>
  </si>
  <si>
    <t>WM+ HNI Số 1, Ngách 22/163 Khuyến L</t>
  </si>
  <si>
    <t>Số 1, Ngách 22/163, Đường Khuyến Lương, Phường Trần Phú, TP. Hà Nội Việt Nam</t>
  </si>
  <si>
    <t>2AGZ</t>
  </si>
  <si>
    <t>WM+ HNI Phú Nhi, Thanh Lâm</t>
  </si>
  <si>
    <t>QL35, Thôn Phú Nhi, Xã Thanh Lâm, Huyện Mê Linh, TP. Hà Nội Việt Nam</t>
  </si>
  <si>
    <t>2AH1</t>
  </si>
  <si>
    <t>WM+ NAN 261 Đường 1 Tháng 9</t>
  </si>
  <si>
    <t>Số 261 Đường 1 Tháng 9, Khối 3A, Thị trấn Thanh Chương, H. Thanh Chương T. Nghệ An Việt Nam</t>
  </si>
  <si>
    <t>2AH2</t>
  </si>
  <si>
    <t>WM+ HPG 101 Ngô Quyền</t>
  </si>
  <si>
    <t>Số 101 Ngô Quyền, Thị trấn An Lão, Huyện An Lão TP. Hải Phòng Việt Nam</t>
  </si>
  <si>
    <t>2AH3</t>
  </si>
  <si>
    <t>Xóm 3, Xã Diễn Đồng, Huyện Diễn Châu T. Nghệ An Việt Nam</t>
  </si>
  <si>
    <t>2AH4</t>
  </si>
  <si>
    <t>WM+ VPC 5 Ngô Gia Tự</t>
  </si>
  <si>
    <t>Số nhà 5 Đường Ngô Gia Tự, Phường Liên Bảo, T. Vĩnh Phúc Việt Nam</t>
  </si>
  <si>
    <t>2AH8</t>
  </si>
  <si>
    <t>WM+ HNI BT4-13 KĐG Ngũ Hiệp-Tứ Hiệp</t>
  </si>
  <si>
    <t>BT4-13 Khu đấu giá quyền sử dụng đất Ngũ Hiệp-Tứ Hiệp, Xã Tứ Hiệp, Huyện Thanh Trì TP. Hà Nội Việt Nam</t>
  </si>
  <si>
    <t>2AHD</t>
  </si>
  <si>
    <t>WM+ BGG Đoàn Kết, Thường Thắng</t>
  </si>
  <si>
    <t>Thôn Đoàn Kết, Xã Thường Thắng, Huyện Hiệp Hoà T. Bắc Giang Việt Nam</t>
  </si>
  <si>
    <t>2AHE</t>
  </si>
  <si>
    <t>WM+ BNH Long Khám, Việt Đoàn</t>
  </si>
  <si>
    <t>Thôn Long Khám, Xã Việt Đoàn, Huyện Tiên Du T. Bắc Ninh Việt Nam</t>
  </si>
  <si>
    <t>2AHG</t>
  </si>
  <si>
    <t>WM+ NDH Nhì Giáp, Liên Minh</t>
  </si>
  <si>
    <t>Xóm Nhì Giáp, Xã Liên Minh, Huyện Vụ Bản T. Nam Định Việt Nam</t>
  </si>
  <si>
    <t>2AHL</t>
  </si>
  <si>
    <t>WM+ HNI I1.CH08 Imperia Smart City</t>
  </si>
  <si>
    <t>Căn thương mại dịch vụ I1.CH08, Tòa I1, Tầng 01 tại dự án Im TP. Hà Nội Việt Nam</t>
  </si>
  <si>
    <t>2AHM</t>
  </si>
  <si>
    <t>WM+ HNI Thôn 1, Thạch Đà</t>
  </si>
  <si>
    <t>Đội 4, Thôn 1, Xã Thạch Đà, Huyện Mê Linh TP. Hà Nội Việt Nam</t>
  </si>
  <si>
    <t>2AHN</t>
  </si>
  <si>
    <t>WM+ TBH Nguyên Xá, Quỳnh Hội</t>
  </si>
  <si>
    <t>Thôn Nguyên Xá, Xã Quỳnh Hội, Huyện Quỳnh Phụ T. Thái Bình Việt Nam</t>
  </si>
  <si>
    <t>2AHO</t>
  </si>
  <si>
    <t>WM+ TBH Trà Đoài, Quang Trung</t>
  </si>
  <si>
    <t>Thôn Trà Đoài, Xã Quang Trung, Huyện Kiến Xương T. Thái Bình Việt Nam</t>
  </si>
  <si>
    <t>2AHP</t>
  </si>
  <si>
    <t>WM+ TBH Tú Mậu, Hồng An</t>
  </si>
  <si>
    <t>Thôn Tú Mậu, Xã Hồng An, Huyện Hưng Hà T. Thái Bình Việt Nam</t>
  </si>
  <si>
    <t>2AHQ</t>
  </si>
  <si>
    <t>WM+ NDH Đồng Tâm, Nam Điền</t>
  </si>
  <si>
    <t>Thôn Đồng Tâm, Xã Nam Điền, Huyện Nam Trực, T. Nam Định Việt Nam</t>
  </si>
  <si>
    <t>2AHU</t>
  </si>
  <si>
    <t>WM+ TBH An Ký Trung, Quỳnh Minh</t>
  </si>
  <si>
    <t>Thôn An Ký Trung, Xã Quỳnh Minh, Huyện Quỳnh Phụ T. Thái Bình Việt Nam</t>
  </si>
  <si>
    <t>2AHX</t>
  </si>
  <si>
    <t>WM+ BGG 128 Nguyễn Trãi</t>
  </si>
  <si>
    <t>Số 128 Nguyễn Trãi, Thị Trấn Vôi, Huyện Lạng Giang T. Bắc Giang Việt Nam</t>
  </si>
  <si>
    <t>2AHY</t>
  </si>
  <si>
    <t>WM+ HPG Thôn 8, Ngũ Lão</t>
  </si>
  <si>
    <t>Thôn 8, Xã Ngũ Lão, Huyện Thuỷ Nguyên TP. Hải Phòng Việt Nam</t>
  </si>
  <si>
    <t>2AI0</t>
  </si>
  <si>
    <t>Thôn Lộc Ân, Xã Lưu Vĩnh Sơn, Huyện Thạch Hà T. Hà Tĩnh Việt Nam</t>
  </si>
  <si>
    <t>2AI2</t>
  </si>
  <si>
    <t>WM+ NAN Đô Thành, Yên Thành</t>
  </si>
  <si>
    <t>Xóm Vách Bắc, Xã Đô Thành, Huyện Yên Thành T. Nghệ An Việt Nam</t>
  </si>
  <si>
    <t>2AI3</t>
  </si>
  <si>
    <t>WM+ THA Yên Khoái, Nga Sơn</t>
  </si>
  <si>
    <t>Thôn Yên Khoái, Xã Nga Yên, Huyện Nga Sơn T. Thanh Hóa Việt Nam</t>
  </si>
  <si>
    <t>2AI6</t>
  </si>
  <si>
    <t>WM+ NAN 400 Phạm Nguyễn Du</t>
  </si>
  <si>
    <t>400 Đường Phạm Nguyễn Du, Phường Cửa Lò, Tỉnh Nghệ An T. Nghệ An Việt Nam</t>
  </si>
  <si>
    <t>2AI7</t>
  </si>
  <si>
    <t>WM+ HTH Hòa Bình, Kỳ Anh</t>
  </si>
  <si>
    <t>Thôn Hòa Bình, Xã Kỳ Phong, Huyện Kỳ Anh T. Hà Tĩnh Việt Nam</t>
  </si>
  <si>
    <t>2AI9</t>
  </si>
  <si>
    <t>WM+ YBI TDP 6, TT Yên Thế</t>
  </si>
  <si>
    <t>Tổ dân phố số 6, Thị trấn Yên Thế, Huyện Lục Yên T. Yên Bái Việt Nam</t>
  </si>
  <si>
    <t>2AID</t>
  </si>
  <si>
    <t>WM+ BNH Khu phố Công Hà, Hà Mãn</t>
  </si>
  <si>
    <t>Khu phố Công Hà, Phường Hà Mãn, Thị xã Thuận Thành T. Bắc Ninh Việt Nam</t>
  </si>
  <si>
    <t>2AIF</t>
  </si>
  <si>
    <t>Đường 4B, Thôn Nga Linh, Xã Quảng Lộc, Huyện Quảng Xương H. Quảng Xương T. Thanh Hóa Việt Nam</t>
  </si>
  <si>
    <t>2AIG</t>
  </si>
  <si>
    <t>WM+ THA Khu 2, TT Hồi Xuân</t>
  </si>
  <si>
    <t>Khu 2, Thị trấn Hồi Xuân, Huyện Quan Hóa T. Thanh Hóa Việt Nam</t>
  </si>
  <si>
    <t>2AIH</t>
  </si>
  <si>
    <t>Số 63, Thôn Hữu Cần, Xã Tế Lợi, Huyện Nông Cống T. Thanh Hóa Việt Nam</t>
  </si>
  <si>
    <t>2AII</t>
  </si>
  <si>
    <t>WM+ TBH Hướng Tân, Nam Hà</t>
  </si>
  <si>
    <t>Thôn Hướng Tân, Xã Nam Hà, Huyện Tiền Hải T. Thái Bình Việt Nam</t>
  </si>
  <si>
    <t>2AIK</t>
  </si>
  <si>
    <t>WM+ TBH Tư La, Minh Khai</t>
  </si>
  <si>
    <t>Thôn Tư La, Xã Minh Khai, Huyện Hưng Hà T. Thái Bình Việt Nam</t>
  </si>
  <si>
    <t>2AIN</t>
  </si>
  <si>
    <t>WM+ HYN 39 - 40 Như Quỳnh</t>
  </si>
  <si>
    <t>Số 39 - 40, Đường Như Quỳnh, Thị trấn Như Quỳnh, H. Văn Lâm T. Hưng Yên Việt Nam</t>
  </si>
  <si>
    <t>2AIO</t>
  </si>
  <si>
    <t>WM+ QNH TM.09, A1B The Sky LuxCity</t>
  </si>
  <si>
    <t>TM.09, Tầng 01, Tòa A1B The Sky LuxCity, Khu Hòa Lạc, TP. Cẩm Phả T. Quảng Ninh Việt Nam</t>
  </si>
  <si>
    <t>2AIS</t>
  </si>
  <si>
    <t>WM+ VPC TDP Then, TT Tam Sơn</t>
  </si>
  <si>
    <t>KV Cây Xanh, TDP Then, Thị trấn Tam Sơn, Huyện Sông Lô T. Vĩnh Phúc Việt Nam</t>
  </si>
  <si>
    <t>2AIT</t>
  </si>
  <si>
    <t>WM+ TBH Chợ Vàng, Đông Phương</t>
  </si>
  <si>
    <t>Khu Trung Tâm TMDV Chợ Vàng, Xã Đông Phương, Huyện Đông Hưng T. Thái Bình Việt Nam</t>
  </si>
  <si>
    <t>2AIU</t>
  </si>
  <si>
    <t>WM+ PTO Khu 14, Đào Xá</t>
  </si>
  <si>
    <t>Khu 14, Xã Đào Xá, Huyện Thanh Thủy T. Phú Thọ Việt Nam</t>
  </si>
  <si>
    <t>2AIV</t>
  </si>
  <si>
    <t>WM+ YBI 070 Ngô Minh Loan</t>
  </si>
  <si>
    <t>Số 070 Ngô Minh Loan, Phường Hợp Minh, Thành phố Yên Bái T. Yên Bái Việt Nam</t>
  </si>
  <si>
    <t>2AIW</t>
  </si>
  <si>
    <t>WM+ TBH 345 Long Hưng</t>
  </si>
  <si>
    <t>Số nhà 345 Đường Long Hưng, TDP Nhân Cầu 3, Thị trấn Hưng Hà T. Thái Bình Việt Nam</t>
  </si>
  <si>
    <t>2AIX</t>
  </si>
  <si>
    <t>WM+ THA Thôn 6, Nga Liên</t>
  </si>
  <si>
    <t>Thôn 6, Xã Nga Liên, Huyện Nga Sơn T. Thanh Hóa Việt Nam</t>
  </si>
  <si>
    <t>2AIZ</t>
  </si>
  <si>
    <t>WM+ HPG 178 TDP Quyết Thành</t>
  </si>
  <si>
    <t>Số 178, Tổ dân phố Quyết Thành, Thị trấn Minh Đức, TP. Hải Phòng Việt Nam</t>
  </si>
  <si>
    <t>2AJA</t>
  </si>
  <si>
    <t>WM+ HYN Ba Hàng, Thủ Sỹ</t>
  </si>
  <si>
    <t>Phố Ba Hàng, Xã Thủ Sỹ, Huyện Tiên Lữ T. Hưng Yên Việt Nam</t>
  </si>
  <si>
    <t>2AJB</t>
  </si>
  <si>
    <t>WM+ TBH Điện Biên, Bình Thanh</t>
  </si>
  <si>
    <t>Thôn Điện Biên, Xã Bình Thanh, Huyện Kiến Xương T. Thái Bình Việt Nam</t>
  </si>
  <si>
    <t>2AJD</t>
  </si>
  <si>
    <t>WM+ HGG Chợ Bắc Mê</t>
  </si>
  <si>
    <t>Chợ Bắc Mê, Tổ 3, Thị trấn Yên Phú, Huyện Bắc Mê T. Hà Giang Việt Nam</t>
  </si>
  <si>
    <t>2AJE</t>
  </si>
  <si>
    <t>WM+ HNI M1 Masteri Waterfront</t>
  </si>
  <si>
    <t>Căn L26M.TMDV15A tại Cụm Nhà Chung Cư Lô đất B3-CT03, Dự án Khu đô thị Gia Lâm, Xã Đa Tốn, TP. Hà Nội Việt Nam</t>
  </si>
  <si>
    <t>2AJF</t>
  </si>
  <si>
    <t>Số 416 Đường Lê Viết Thuật, Phường Hưng Lộc, Thành Phố Vinh T. Nghệ An Việt Nam</t>
  </si>
  <si>
    <t>2AJG</t>
  </si>
  <si>
    <t>WM+ LCU 99 Trần Hưng Đạo</t>
  </si>
  <si>
    <t>Số 99 Đường Trần Hưng Đạo, Phường Đoàn Kết, TP. Lai Châu T. Lai Châu Việt Nam</t>
  </si>
  <si>
    <t>2AJH</t>
  </si>
  <si>
    <t>WM+ BGG 196 Lư Giang</t>
  </si>
  <si>
    <t>Số 196 Lư Giang, Tổ dân phố Vân Cốc 2, Phường Vân Trung, T. Bắc Giang Việt Nam</t>
  </si>
  <si>
    <t>2AJI</t>
  </si>
  <si>
    <t>WM+ HNI 150 Tân Thành</t>
  </si>
  <si>
    <t>150 Tân Thành, Xã Thượng Mỗ, Huyện Đan Phượng TP. Hà Nội Việt Nam</t>
  </si>
  <si>
    <t>2AJS</t>
  </si>
  <si>
    <t>WM+ HNI Dộc Toản, Hạ Mỗ</t>
  </si>
  <si>
    <t>Khu Dộc Toản, Xã Hạ Mỗ, Huyện Đan Phượng, TP. Hà Nội Việt Nam</t>
  </si>
  <si>
    <t>2AJT</t>
  </si>
  <si>
    <t>WM+ HNM 345 Nguyễn Hữu Tiến</t>
  </si>
  <si>
    <t>Số 345 Nguyễn Hữu Tiến, Phường Đồng Văn, Thị xã Duy Tiên, T. Hà Nam Việt Nam</t>
  </si>
  <si>
    <t>2AJU</t>
  </si>
  <si>
    <t>Xóm 8, Xã Nghĩa Thuận, Thị Xã Thái Hòa T. Nghệ An Việt Nam</t>
  </si>
  <si>
    <t>2AJV</t>
  </si>
  <si>
    <t>Số 541 Đường Ngự Thiên, TDP Tây Xuyên, Thị Trấn Hưng Nhân, T. Thái Bình Việt Nam</t>
  </si>
  <si>
    <t>2AJX</t>
  </si>
  <si>
    <t>WM+ VPC Thôn Dùng, Cao Phong</t>
  </si>
  <si>
    <t>Thôn Dùng, Xã Cao Phong, Huyện Sông Lô T. Vĩnh Phúc Việt Nam</t>
  </si>
  <si>
    <t>2AJZ</t>
  </si>
  <si>
    <t>116 Đường Đội Cung, Khối 3, Thị Trấn Đô Lương, T. Nghệ An Việt Nam</t>
  </si>
  <si>
    <t>2AK0</t>
  </si>
  <si>
    <t>Số 51 Đường Hùng Vương, Phường Chi Lăng, Thành phố Lạng Sơn T. Lạng Sơn Việt Nam</t>
  </si>
  <si>
    <t>CHI NHÁNH LẠNG SƠN - CÔNG TY CỔ PHẦN DỊCH VỤ THƯƠNG MẠI TỔNG HỢP WINCOMMERCE</t>
  </si>
  <si>
    <t>2AK1</t>
  </si>
  <si>
    <t>WIN HNI SH01 - HH2, 360 Giải Phóng</t>
  </si>
  <si>
    <t>Căn TMDV SH01, Tòa HH2 (P2), Số 360 Đường Giải Phóng, Phường Phương Liệt, Quận Thanh Xuân TP. Hà Nội Việt Nam</t>
  </si>
  <si>
    <t>2AK2</t>
  </si>
  <si>
    <t>WM+ NAN Minh Tân, Thanh Chương</t>
  </si>
  <si>
    <t>Xóm Minh Tân, Xã Võ Liệt, Huyện Thanh Chương T. Nghệ An Việt Nam</t>
  </si>
  <si>
    <t>2AK4</t>
  </si>
  <si>
    <t>WM+ HNI Liên Hiệp, Phúc Thọ</t>
  </si>
  <si>
    <t>Thôn 8, Xã Liên Hiệp, Huyện Phúc Thọ TP. Hà Nội Việt Nam</t>
  </si>
  <si>
    <t>2AK5</t>
  </si>
  <si>
    <t>WM+ HPG Cao Nhân, Thủy Nguyên</t>
  </si>
  <si>
    <t>Xóm 5, Xã Cao Nhân, Huyện Thủy Nguyên TP. Hải Phòng Việt Nam</t>
  </si>
  <si>
    <t>2AKA</t>
  </si>
  <si>
    <t>WM+ DBN Thôn 4, Pom Lót</t>
  </si>
  <si>
    <t>Thôn 4, Xã Pom Lót, Huyện Điện Biên T. Điện Biên Việt Nam</t>
  </si>
  <si>
    <t>2AKD</t>
  </si>
  <si>
    <t>WM+ BGG 341 Bình Minh</t>
  </si>
  <si>
    <t>Số 341 Bình Minh, Thị trấn Đồi Ngô, Huyện Lục Nam T. Bắc Giang Việt Nam</t>
  </si>
  <si>
    <t>2AKE</t>
  </si>
  <si>
    <t>WM+ QNH 01C Phố Lý Thường Kiệt</t>
  </si>
  <si>
    <t>01C Phố Lý Thường Kiệt, Thị trấn Tiên Yên, Huyện Tiên Yên T. Quảng Ninh Việt Nam</t>
  </si>
  <si>
    <t>2AKF</t>
  </si>
  <si>
    <t>WM+ QNH Thôn 8, Liên Hòa</t>
  </si>
  <si>
    <t>SThôn 8, Xã Liên Hòa, Thị xã Quảng Yên, Tỉnh Quảng Ninh T. Quảng Ninh Việt Nam</t>
  </si>
  <si>
    <t>2AKG</t>
  </si>
  <si>
    <t>WM+ PTO Khu 5, Tứ Xã</t>
  </si>
  <si>
    <t>Khu 5, Xã Tứ Xã, Huyện Lâm Thao H. Lâm Thao T. Phú Thọ Việt Nam</t>
  </si>
  <si>
    <t>2AKH</t>
  </si>
  <si>
    <t>WIN HNI CT8B KĐT Đại Thanh</t>
  </si>
  <si>
    <t>Tầng 1, Tòa nhà CT8B, Khu đô thị Đại Thanh, Xã Tả Thanh Oai, TP. Hà Nội Việt Nam</t>
  </si>
  <si>
    <t>2AKL</t>
  </si>
  <si>
    <t>WM+ PTO Khu 2, Trạm Thản</t>
  </si>
  <si>
    <t>Khu 2, Xã Trạm Thản, Huyện Phù Ninh T. Phú Thọ Việt Nam</t>
  </si>
  <si>
    <t>2AKN</t>
  </si>
  <si>
    <t>WM+ VPC 52 Thanh Vân</t>
  </si>
  <si>
    <t>Số nhà 52, Phố Thanh Vân, Xã Thanh Vân, Huyện Tam Dương T. Vĩnh Phúc Việt Nam</t>
  </si>
  <si>
    <t>2AKO</t>
  </si>
  <si>
    <t>WM+ NDH 216 Triệu Việt Vương</t>
  </si>
  <si>
    <t>Số 216 Triệu Việt Vương, TDP Lâm Khang, Thị trấn Quất Lâm, T. Nam Định Việt Nam</t>
  </si>
  <si>
    <t>2AKP</t>
  </si>
  <si>
    <t>Số 184 Đường Định Đức, Thôn Thượng Đình 3, Xã Quảng Định, T. Thanh Hóa Việt Nam</t>
  </si>
  <si>
    <t>2AKQ</t>
  </si>
  <si>
    <t>WM+ VPC Cầu Tre, Hồ Sơn</t>
  </si>
  <si>
    <t>Thôn Cầu Tre, Xã Hồ Sơn, Huyện Tam Đảo T. Vĩnh Phúc Việt Nam</t>
  </si>
  <si>
    <t>2AKR</t>
  </si>
  <si>
    <t>WM+ NAN 35 Phan Bội Châu</t>
  </si>
  <si>
    <t>Số 35 Đường Phan Bội Châu, Khối 2, Phường Quán Bàu, T. Nghệ An Việt Nam</t>
  </si>
  <si>
    <t>2AKS</t>
  </si>
  <si>
    <t>WM+ HPG Minh Kha, Đồng Thái</t>
  </si>
  <si>
    <t>Thôn Minh Kha, Xã Đồng Thái, Huyện An Dương TP. Hải Phòng Việt Nam</t>
  </si>
  <si>
    <t>2AKT</t>
  </si>
  <si>
    <t>WM+ HNI 20 Phú Đa</t>
  </si>
  <si>
    <t>Số 20 Thôn Phú Đa, Xã Đức Thượng, Huyện Hoài Đức TP. Hà Nội Việt Nam</t>
  </si>
  <si>
    <t>2AKU</t>
  </si>
  <si>
    <t>WM+ PTO Khu 4, Đoan Hạ</t>
  </si>
  <si>
    <t>Khu 4, Xã Đoan Hạ, Huyện Thanh Thủy T. Phú Thọ Việt Nam</t>
  </si>
  <si>
    <t>2AKV</t>
  </si>
  <si>
    <t>WM+ HNI Thôn 6, Trung Châu</t>
  </si>
  <si>
    <t>Thôn 6, Xã Trung Châu, Huyện Đan Phượng TP. Hà Nội Việt Nam</t>
  </si>
  <si>
    <t>2AL0</t>
  </si>
  <si>
    <t>WM+ HYN Phương Thông, Phương Chiểu</t>
  </si>
  <si>
    <t>Thôn Phương Thông, Xã Phương Chiểu, Thành phố Hưng Yên T. Hưng Yên Việt Nam</t>
  </si>
  <si>
    <t>2AL1</t>
  </si>
  <si>
    <t>WM+ VPC L9-01 Khu đô thị VCI</t>
  </si>
  <si>
    <t>Căn L9-01 Khu đô thị VCI, Phường Định Trung, TP. Vĩnh Yên T. Vĩnh Phúc Việt Nam</t>
  </si>
  <si>
    <t>2AL2</t>
  </si>
  <si>
    <t>WM+ QNH 352 Trần Phú</t>
  </si>
  <si>
    <t>Số 352 Đường Trần Phú, Khu 1A, Phường Cẩm Trung, TP. Cẩm Phả T. Quảng Ninh Việt Nam</t>
  </si>
  <si>
    <t>2AL6</t>
  </si>
  <si>
    <t>Số 640 Đường Trần Hưng Đạo, Thôn Liên Hải, Xã Quỳnh Liên, TX. Hoàng Mai T. Nghệ An Việt Nam</t>
  </si>
  <si>
    <t>2AL8</t>
  </si>
  <si>
    <t>WM+ HNI 71 Ngách 116 Ngõ Trại Cá</t>
  </si>
  <si>
    <t>Số 71 Ngách 116 Ngõ Trại Cá, Phường Trương Định, Q. Hai Bà Trưng TP. Hà Nội Việt Nam</t>
  </si>
  <si>
    <t>2ALC</t>
  </si>
  <si>
    <t>WM+ PTO Tân Hương, Hương Cần</t>
  </si>
  <si>
    <t>Khu Tân Hương, Xã Hương Cần, Huyện Thanh Sơn T. Phú Thọ Việt Nam</t>
  </si>
  <si>
    <t>2ALD</t>
  </si>
  <si>
    <t>WM+ NAN Minh Châu, Diễn Châu</t>
  </si>
  <si>
    <t>Xóm 7, Xã Minh Châu, Huyện Diễn Châu T. Nghệ An Việt Nam</t>
  </si>
  <si>
    <t>2ALE</t>
  </si>
  <si>
    <t>TDP 3, Thị trấn Cẩm Xuyên, Huyện Cẩm Xuyên T. Hà Tĩnh Việt Nam</t>
  </si>
  <si>
    <t>2ALF</t>
  </si>
  <si>
    <t>WM+ TBH Hưng Đạo, Quỳnh Thọ</t>
  </si>
  <si>
    <t>Thôn Hưng Đạo, Xã Quỳnh Thọ, Huyện Quỳnh Phụ T. Thái Bình Việt Nam</t>
  </si>
  <si>
    <t>2ALG</t>
  </si>
  <si>
    <t>Thôn 1 Tam Hòa, Xã Hòa Lộc, Huyện Hậu Lộc T. Thanh Hóa Việt Nam</t>
  </si>
  <si>
    <t>2ALI</t>
  </si>
  <si>
    <t>WM+ PTO Khu 1, Thanh Thủy</t>
  </si>
  <si>
    <t>Khu 01, Xã Thanh Thủy, Tỉnh Phú Thọ T. Phú Thọ Việt Nam</t>
  </si>
  <si>
    <t>2ALK</t>
  </si>
  <si>
    <t>WM+ NAN 40 Lê Lợi</t>
  </si>
  <si>
    <t>Số 40 Đường Lê Lợi, Khối 3, Thị Trấn Tân Lạc, H. Quỳ Châu T. Nghệ An Việt Nam</t>
  </si>
  <si>
    <t>2ALL</t>
  </si>
  <si>
    <t>WM+ HPG 60 Máng Nước</t>
  </si>
  <si>
    <t>Số 60 Máng Nước, Xã An Đồng, Huyện An Dương TP. Hải Phòng Việt Nam</t>
  </si>
  <si>
    <t>2ALO</t>
  </si>
  <si>
    <t>WM+ PTO Khu 2, Chân Mộng</t>
  </si>
  <si>
    <t>Khu 2, Xã Chân Mộng, Huyện Đoan Hùng T. Phú Thọ Việt Nam</t>
  </si>
  <si>
    <t>2ALP</t>
  </si>
  <si>
    <t>WM+ TBH Man Đích, Vũ Lễ</t>
  </si>
  <si>
    <t>Thôn Man Đích, Xã Vũ Lễ, Huyện Kiến Xương T. Thái Bình Việt Nam</t>
  </si>
  <si>
    <t>2ALU</t>
  </si>
  <si>
    <t>WM+ TNN TDP Đồng Xuân, Tiên Phong</t>
  </si>
  <si>
    <t>TDP Đồng Xuân, Phường Tiên Phong, Thành phố Phổ Yên T. Thái Nguyên Việt Nam</t>
  </si>
  <si>
    <t>2AM2</t>
  </si>
  <si>
    <t>WM+ HNI 174 Thôn Thượng</t>
  </si>
  <si>
    <t>Số 174 Thôn Thượng, Xã Cự Khê, Huyện Thanh Oai TP. Hà Nội Việt Nam</t>
  </si>
  <si>
    <t>2AM3</t>
  </si>
  <si>
    <t>WM+ HNI SL20 – Lô M2 Viện Bỏng Lê H</t>
  </si>
  <si>
    <t>SL20 – Lô M2, DAXD nhà ở cho CBNV Viện Bỏng Lê Hữu Trác – Học viện Quân Y, X. Tân Triều, H. Thanh Trì TP. Hà Nội Việt Nam</t>
  </si>
  <si>
    <t>2AM8</t>
  </si>
  <si>
    <t>WM+ VPC Khu Trung Tâm, Lãng Công</t>
  </si>
  <si>
    <t>Khu Trung Tâm, Thôn Phú Cường, Xã Lãng Công, Huyện Sông Lô T. Vĩnh Phúc Việt Nam</t>
  </si>
  <si>
    <t>2AM9</t>
  </si>
  <si>
    <t>WIN HNI CT2B KĐT Xuân Phương</t>
  </si>
  <si>
    <t>Tầng 1, Tòa nhà CT2B Khu nhà ở cán bộ Quốc hội, Ô đất CT2 KĐT mới Xuân Phương, P. Xuân Phương, Q. Nam Từ Liêm TP. Hà Nội Việt Nam</t>
  </si>
  <si>
    <t>2AMA</t>
  </si>
  <si>
    <t>Thôn 3, Xã Hoằng Thái, Huyện Hoằng Hóa T. Thanh Hóa Việt Nam</t>
  </si>
  <si>
    <t>2AMD</t>
  </si>
  <si>
    <t>WM+ HPG Ninh Sơn, Thuỷ Nguyên</t>
  </si>
  <si>
    <t>Thôn 5, Xã Ninh Sơn, Thành phố Thuỷ Nguyên, TP. Hải Phòng Việt Nam</t>
  </si>
  <si>
    <t>2AME</t>
  </si>
  <si>
    <t>TDP 8, Thị trấn Quý Lộc, Huyện Yên Định T. Thanh Hóa Việt Nam</t>
  </si>
  <si>
    <t>2AMF</t>
  </si>
  <si>
    <t>WM+ HPG 130 Tôn Đức Thắng</t>
  </si>
  <si>
    <t>Số 130 Tôn Đức Thắng, Phường An Dương, Quận Lê Chân TP. Hải Phòng Việt Nam</t>
  </si>
  <si>
    <t>2AMG</t>
  </si>
  <si>
    <t>WM+ HNI 104-106 Phùng Hưng</t>
  </si>
  <si>
    <t>104-106 Phùng Hưng, Phường Phúc La, Quận Hà Đông TP. Hà Nội Việt Nam</t>
  </si>
  <si>
    <t>2AMJ</t>
  </si>
  <si>
    <t>Số 73 QL47C, Thôn Thái Lai, Xã Thái Hòa, Huyện Triệu Sơn T. Thanh Hóa Việt Nam</t>
  </si>
  <si>
    <t>2AMK</t>
  </si>
  <si>
    <t>WM+ THA Văn Thắng, Đông Văn</t>
  </si>
  <si>
    <t>Thôn Văn Thắng, Xã Đông Văn, Huyện Đông Sơn T. Thanh Hóa Việt Nam</t>
  </si>
  <si>
    <t>2AML</t>
  </si>
  <si>
    <t>WM+ QNH Tổ 84 Khu 8 Hà Khẩu</t>
  </si>
  <si>
    <t>Số nhà 240A, Tổ 84, Khu 8, Phường Hà Khẩu, Thành phố Hạ Long, T. Quảng Ninh Việt Nam</t>
  </si>
  <si>
    <t>2AMO</t>
  </si>
  <si>
    <t>WM+ HDG 78 Trần Hưng Đạo</t>
  </si>
  <si>
    <t>Số 78 Đường Trần Hưng Đạo, Thị trấn Phú Thái, Huyện Kim Thàn T. Hải Dương Việt Nam</t>
  </si>
  <si>
    <t>2AMP</t>
  </si>
  <si>
    <t>WM+ PTO 28 Phố Vàng</t>
  </si>
  <si>
    <t>Số 28 Phố Vàng, Thị trấn Thanh Sơn, Huyện Thanh Sơn T. Phú Thọ Việt Nam</t>
  </si>
  <si>
    <t>2AMU</t>
  </si>
  <si>
    <t>Thôn Quý Hòa, Xã Yên Hòa, Huyện Cẩm Xuyên T. Hà Tĩnh Việt Nam</t>
  </si>
  <si>
    <t>2AMV</t>
  </si>
  <si>
    <t>Xóm 5, Xã Quỳnh Tân, Huyện Quỳnh Lưu T. Nghệ An Việt Nam</t>
  </si>
  <si>
    <t>2AN1</t>
  </si>
  <si>
    <t>WIN HNI ED.104 Eco Dream</t>
  </si>
  <si>
    <t>Shophouse ED.104, Nhà ở cao tầng kết hợp TMDV Eco Dream, Ô đất TT6, Khu đô thị Tây Nam Kim GiangI Xã Tân Triều, Huyện Thanh Trì TP. Hà Nội Việt Nam</t>
  </si>
  <si>
    <t>2AN2</t>
  </si>
  <si>
    <t>Thôn Thị Tứ, Xã Dân Lực, Huyện Triệu Sơn T. Thanh Hóa Việt Nam</t>
  </si>
  <si>
    <t>2AN3</t>
  </si>
  <si>
    <t>WM+ THA Thổ Nam, Nông Cống</t>
  </si>
  <si>
    <t>Thôn Thổ Nam, Xã Tế Thắng, Huyện Nông Cống T. Thanh Hóa Việt Nam</t>
  </si>
  <si>
    <t>2AN4</t>
  </si>
  <si>
    <t>WIN HNI B1.3 – HH03A KĐT Thanh Hà</t>
  </si>
  <si>
    <t>Kiot số 22 &amp; 24, Tòa nhà B1.3 – HH03A, KĐT Thanh Hà – Cienco 5, Xã Cự Khê, Huyện Thanh Oai TP. Hà Nội Việt Nam</t>
  </si>
  <si>
    <t>2ANA</t>
  </si>
  <si>
    <t>WM+ QNH 194 Bái Tử Long</t>
  </si>
  <si>
    <t>Số 194 Đường Bái Tử Long, Tổ 6, Khu 4B, Phường Cẩm Trung, TP. Cẩm Phả T. Quảng Ninh Việt Nam</t>
  </si>
  <si>
    <t>2ANB</t>
  </si>
  <si>
    <t>WM+ PTO Khu 15, Hanh Cù</t>
  </si>
  <si>
    <t>Khu 15, Xã Hanh Cù, Huyện Thanh Ba T. Phú Thọ Việt Nam</t>
  </si>
  <si>
    <t>2ANC</t>
  </si>
  <si>
    <t>WM+ PTO Khu 21, Vạn Xuân</t>
  </si>
  <si>
    <t>Khu 21, Xã Vạn Xuân, Huyện Tam Nông T. Phú Thọ Việt Nam</t>
  </si>
  <si>
    <t>2AND</t>
  </si>
  <si>
    <t>WM+ HTH Nam Thượng, Thạch Đài</t>
  </si>
  <si>
    <t>Thôn Nam Thượng, Xã Thạch Đài, Huyện Thạch Hà T. Hà Tĩnh Việt Nam</t>
  </si>
  <si>
    <t>2ANF</t>
  </si>
  <si>
    <t>WM+ TNN 228 Thắng Lợi</t>
  </si>
  <si>
    <t>Số 228 Đường Thắng Lợi, Phường Mỏ Chè, Thành phố Sông Công, T. Thái Nguyên Việt Nam</t>
  </si>
  <si>
    <t>2ANH</t>
  </si>
  <si>
    <t>TDP Đồng Bông, Xã Kim Long, Huyện Tam Dương T. Vĩnh Phúc Việt Nam</t>
  </si>
  <si>
    <t>2ANI</t>
  </si>
  <si>
    <t>WM+ HYN 50 Tuệ Tĩnh</t>
  </si>
  <si>
    <t>Số 50 Đường Tuệ Tĩnh, Phường Hiến Nam, Thành phố Hưng Yên T. Hưng Yên Việt Nam</t>
  </si>
  <si>
    <t>2ANL</t>
  </si>
  <si>
    <t>WM+ HNI 1062 An Hạ</t>
  </si>
  <si>
    <t>Số 1062 An Hạ, Xã An Thượng, Huyện Hoài Đức TP. Hà Nội Việt Nam</t>
  </si>
  <si>
    <t>2ANQ</t>
  </si>
  <si>
    <t>WM+ THA 178 Bà Triệu</t>
  </si>
  <si>
    <t>Số 178 Bà Triệu, Thị trấn Nưa, Huyện Triệu Sơn T. Thanh Hóa Việt Nam</t>
  </si>
  <si>
    <t>2ANS</t>
  </si>
  <si>
    <t>WM+ NAN Đình Tiến, Long Xá</t>
  </si>
  <si>
    <t>Xóm Đình Tiến, Xã Long Xá, Huyện Hưng Nguyên T. Nghệ An Việt Nam</t>
  </si>
  <si>
    <t>2ANV</t>
  </si>
  <si>
    <t>WM+ PTO Khu Km5, Hà Lộc</t>
  </si>
  <si>
    <t>Khu Km5, Xã Hà Lộc, Thị xã Phú Thọ T. Phú Thọ Việt Nam</t>
  </si>
  <si>
    <t>2ANX</t>
  </si>
  <si>
    <t>WM+ HDG Du La, Cẩm Việt</t>
  </si>
  <si>
    <t>Thôn Du La, Xã Cẩm Việt, Huyện Thanh Hà, T. Hải Dương Việt Nam</t>
  </si>
  <si>
    <t>2ANY</t>
  </si>
  <si>
    <t>Số 25, Tỉnh lộ 505, Thôn Ngọc Chẩm, Xã Thăng Long, H. Nông Cống T. Thanh Hóa Việt Nam</t>
  </si>
  <si>
    <t>2ANZ</t>
  </si>
  <si>
    <t>Thôn Tuy Yên, Xã Công Liêm, Huyện Nông Cống T. Thanh Hóa Việt Nam</t>
  </si>
  <si>
    <t>2AO0</t>
  </si>
  <si>
    <t>WM+ NDH 181 Trần Nhật Duật</t>
  </si>
  <si>
    <t>Số 181 Đường Trần Nhật Duật, Phường Vị Xuyên, T. Nam Định Việt Nam</t>
  </si>
  <si>
    <t>2AO3</t>
  </si>
  <si>
    <t>WM+ HNI Đông Tiến, Chương Mỹ</t>
  </si>
  <si>
    <t>Thôn Đông Tiến, Xã Tân Tiến, Huyện Chương Mỹ TP. Hà Nội Việt Nam</t>
  </si>
  <si>
    <t>2AO4</t>
  </si>
  <si>
    <t>Thôn Phấn Thôn, Xã Thọ Hải, Huyện Thọ Xuân T. Thanh Hóa Việt Nam</t>
  </si>
  <si>
    <t>2AO6</t>
  </si>
  <si>
    <t>WM+ NAN 426 Khối Tân Phong</t>
  </si>
  <si>
    <t>Số 426 Khối Tân Phong, Phường Quỳnh Thiện, Thị Xã Hoàng Mai T. Nghệ An Việt Nam</t>
  </si>
  <si>
    <t>2AO8</t>
  </si>
  <si>
    <t>Số 332 Phố 1, Thị trấn Ngọc Lặc, Huyện Ngọc Lặc, Tỉnh Thanh Hóa T. Thanh Hóa Việt Nam</t>
  </si>
  <si>
    <t>2AO9</t>
  </si>
  <si>
    <t>WM+ THA Hải Thanh, Như Thanh</t>
  </si>
  <si>
    <t>Thôn Hải Thanh, Xã Hải Long, Huyện Như Thanh T. Thanh Hóa Việt Nam</t>
  </si>
  <si>
    <t>2AOC</t>
  </si>
  <si>
    <t>WM+ HNI 244 Đội Cấn</t>
  </si>
  <si>
    <t>Số 244 Đội Cấn, Phường Liễu Giai, Quận Ba Đình TP. Hà Nội Việt Nam</t>
  </si>
  <si>
    <t>2AOJ</t>
  </si>
  <si>
    <t>Thôn Đông Thành, Xã Đa Lộc, Huyện Hậu Lộc T. Thanh Hóa Việt Nam</t>
  </si>
  <si>
    <t>2AOK</t>
  </si>
  <si>
    <t>2AON</t>
  </si>
  <si>
    <t>WM+ HNI Cụm 2, Thọ Xuân</t>
  </si>
  <si>
    <t>Số nhà 297, Cụm 2, Xã Thọ Xuân, Huyện Đan Phượng, TP. Hà Nội Việt Nam</t>
  </si>
  <si>
    <t>2AOO</t>
  </si>
  <si>
    <t>WM+HDG 166 Lô TT1-KD-14-6 An Dương</t>
  </si>
  <si>
    <t>Số 166, Lô TT1-KD-14-6 An Dương Vương, Phường Hải Tân, TP. Hải Dương T. Hải Dương Việt Nam</t>
  </si>
  <si>
    <t>2AOP</t>
  </si>
  <si>
    <t>WM+ TNN 29 Lý Nam Đế</t>
  </si>
  <si>
    <t>Số 29 Lý Nam Đế, Phường Ba Hàng, Thành phố Phổ Yên T. Thái Nguyên Việt Nam</t>
  </si>
  <si>
    <t>2AOQ</t>
  </si>
  <si>
    <t>WM+ TNN Quán Vuông 1, Trung Hội</t>
  </si>
  <si>
    <t>Xóm Quán Vuông 1, Xã Trung Hội, Huyện Định Hóa T. Thái Nguyên Việt Nam</t>
  </si>
  <si>
    <t>2AOT</t>
  </si>
  <si>
    <t>WM+ THA Trịnh Lộc, Yên Phú</t>
  </si>
  <si>
    <t>Số nhà 02A, Tỉnh lộ 516B, Thôn Trịnh Lộc, Xã Yên Phú T. Thanh Hóa Việt Nam</t>
  </si>
  <si>
    <t>2AP0</t>
  </si>
  <si>
    <t>WM+ NAN Thuận Minh, Đô Lương</t>
  </si>
  <si>
    <t>Xóm Thuận Minh, Xã Thuận Sơn, Huyện Đô Lương T. Nghệ An Việt Nam</t>
  </si>
  <si>
    <t>2AP2</t>
  </si>
  <si>
    <t>WM+ HNI 39 Tổ 8 Đa Sỹ</t>
  </si>
  <si>
    <t>Số 39 Tổ 8 Đa Sỹ, Phường Kiến Hưng, Quận Hà Đông TP. Hà Nội Việt Nam</t>
  </si>
  <si>
    <t>2AP3</t>
  </si>
  <si>
    <t>WM+ YBI 479 Yên Thịnh</t>
  </si>
  <si>
    <t>Số 479 Thôn Yên Thịnh, Xã An Thịnh, Huyện Văn Yên T. Yên Bái Việt Nam</t>
  </si>
  <si>
    <t>2AP4</t>
  </si>
  <si>
    <t>WM+ BNH Do Nha, Quế Võ</t>
  </si>
  <si>
    <t>Khu phố Do Nha, Phường Phương Liễu, Thị xã Quế Võ T. Bắc Ninh Việt Nam</t>
  </si>
  <si>
    <t>2AP8</t>
  </si>
  <si>
    <t>Thôn Hoa Trung, Xã Hoa Lộc, Huyện Hậu Lộc T. Thanh Hóa Việt Nam</t>
  </si>
  <si>
    <t>2APE</t>
  </si>
  <si>
    <t>WM+ HPG 69 Hồng Bàng</t>
  </si>
  <si>
    <t>Số 69 Đường Hồng Bàng, Phường Sở Dầu, Quận Hồng Bàng TP. Hải Phòng Việt Nam</t>
  </si>
  <si>
    <t>2APK</t>
  </si>
  <si>
    <t>WM+ QNH 58 Vận Tải Bạch Đằng</t>
  </si>
  <si>
    <t>Số 58 Đường Vận Tải Bạch Đằng, Phường Hà An, Thị xã Quảng Yê TX. Quảng Yên T. Quảng Ninh Việt Nam</t>
  </si>
  <si>
    <t>2APL</t>
  </si>
  <si>
    <t>WM+ HPG 200-202 Đồng Hoà</t>
  </si>
  <si>
    <t>Số 200-202 Đồng Hoà, Phường Đồng Hoà, Q. Kiến An TP. Hải Phòng Việt Nam</t>
  </si>
  <si>
    <t>2APM</t>
  </si>
  <si>
    <t>WM+ TNN 218-220 Cách Mạng Tháng 10</t>
  </si>
  <si>
    <t>Số 218-220 Đường Cách Mạng Tháng 10, Tổ 8, Phường Châu Sơn, Thành phố Sông Công, T. Thái Nguyên Việt Nam</t>
  </si>
  <si>
    <t>2APN</t>
  </si>
  <si>
    <t>WM+ THA 127 Đường 515 KP Đồng Thanh</t>
  </si>
  <si>
    <t>Số 127 Đường 515 Khu Phố Đồng Thanh, Thị Trấn Hậu Hiền, H. Thiệu Hóa T. Thanh Hóa Việt Nam</t>
  </si>
  <si>
    <t>2APV</t>
  </si>
  <si>
    <t>WM+ HDG Lạc Long, Kinh Môn</t>
  </si>
  <si>
    <t>Lô NTM6-01, Khu dân cư mới Xã Lạc Long, Thị Xã Kinh Môn T. Hải Dương Việt Nam</t>
  </si>
  <si>
    <t>2APX</t>
  </si>
  <si>
    <t>WM+ PTO Khu Phố, TT Thanh Thủy</t>
  </si>
  <si>
    <t>Khu Phố, Thị trấn Thanh Thủy, Huyện Thanh Thủy T. Phú Thọ Việt Nam</t>
  </si>
  <si>
    <t>2APY</t>
  </si>
  <si>
    <t>WM+ HNI 30 Tiền Huân</t>
  </si>
  <si>
    <t>Số 30 Tiền Huân, Phường Viên Sơn, Thị xã Sơn Tây TP. Hà Nội Việt Nam</t>
  </si>
  <si>
    <t>2APZ</t>
  </si>
  <si>
    <t>Thôn Đông Hòa, Xã Hoằng Hải, Huyện Hoằng Hóa T. Thanh Hóa Việt Nam</t>
  </si>
  <si>
    <t>2AQ0</t>
  </si>
  <si>
    <t>WM+ HNI Ngõ 12, Đội 1 Tả Thanh Oai</t>
  </si>
  <si>
    <t>Ngõ 12, Đội 1, Xã Tả Thanh Oai, Huyện Thanh Trì TP. Hà Nội Việt Nam</t>
  </si>
  <si>
    <t>2AQ5</t>
  </si>
  <si>
    <t>WM+ HNI 254 Đại Từ</t>
  </si>
  <si>
    <t>Số 254 Phố Đại Từ, Phường Đại Kim, Quận Hoàng Mai TP. Hà Nội Việt Nam</t>
  </si>
  <si>
    <t>2AQ7</t>
  </si>
  <si>
    <t>WM+ THA 117 Thị Tứ, Triệu Sơn</t>
  </si>
  <si>
    <t>Số 117 Thôn Thị Tứ, Xã Đồng Tiến, Huyện Triệu Sơn T. Thanh Hóa Việt Nam</t>
  </si>
  <si>
    <t>2AQA</t>
  </si>
  <si>
    <t>WM+ NAN Thái Thịnh, Diễn Kim</t>
  </si>
  <si>
    <t>Xóm Thái Thịnh, Xã Diễn Kim, Huyện Diễn Châu T. Nghệ An Việt Nam</t>
  </si>
  <si>
    <t>2AQB</t>
  </si>
  <si>
    <t>WM+ PTO Khu Trung Tâm, Lương Sơn</t>
  </si>
  <si>
    <t>Khu Trung Tâm, Xã Lương Sơn, Huyện Yên Lập T. Phú Thọ Việt Nam</t>
  </si>
  <si>
    <t>2AQC</t>
  </si>
  <si>
    <t>WM+ HNI Tân Hội, Tân Tiến</t>
  </si>
  <si>
    <t>Thôn Tân Hội, Xã Tân Tiến, Huyện Chương Mỹ TP. Hà Nội Việt Nam</t>
  </si>
  <si>
    <t>2AQG</t>
  </si>
  <si>
    <t>WM+ HPG The Minato Residence CT1</t>
  </si>
  <si>
    <t>Tòa nhà The Minato Residence CT1, Số 6 Đường số 1, Khu đô thị Waterfront City, Phường Lê Chân, Thành phố Hải Phòng Việt Nam</t>
  </si>
  <si>
    <t>2AQH</t>
  </si>
  <si>
    <t>WM+ HPG SO-08 Diamond Crown</t>
  </si>
  <si>
    <t>Căn TM số SO-08, Chung cư Diamond Crown, Lô số 01/8B, KĐT mới Ngã 5 - Sân bay Cát Bi, Phường Đông Hải, TP. Hải Phòng Việt Nam</t>
  </si>
  <si>
    <t>2AQI</t>
  </si>
  <si>
    <t>WM+ HNI Phương Hạnh, Tân Tiến</t>
  </si>
  <si>
    <t>Thôn Phương Hạnh, Xã Tân Tiến, Huyện Chương Mỹ TP. Hà Nội Việt Nam</t>
  </si>
  <si>
    <t>2AQK</t>
  </si>
  <si>
    <t>WM+ HPG 22 Hợp Đức</t>
  </si>
  <si>
    <t>Số 22 Đường Hợp Đức, Tổ dân phố Quý Kim 1, Phường Hợp Đức, TP. Hải Phòng Việt Nam</t>
  </si>
  <si>
    <t>2AQL</t>
  </si>
  <si>
    <t>WM+ HNI Xuân Dương, Kim Lũ</t>
  </si>
  <si>
    <t>Số nhà 108 Đường 16, Thôn Xuân Dương, Xã Kim Lũ, Huyện Sóc Sơn TP. Hà Nội Việt Nam</t>
  </si>
  <si>
    <t>2AQM</t>
  </si>
  <si>
    <t>WM+ THA Liên Minh, Hoằng Trường</t>
  </si>
  <si>
    <t>Số 72, ĐT 510B, Thôn Liên Minh, Xã Hoằng Trường, Huyện Hoằng T. Thanh Hóa Việt Nam</t>
  </si>
  <si>
    <t>2AQN</t>
  </si>
  <si>
    <t>WM+ HNI Long Phú, Hòa Thạch</t>
  </si>
  <si>
    <t>Xóm 1, Thôn Long Phú, Xã Hòa Thạch, Huyện Quốc Oai TP. Hà Nội Việt Nam</t>
  </si>
  <si>
    <t>2AQO</t>
  </si>
  <si>
    <t>WIN HNI CT4AB KĐT Xa La</t>
  </si>
  <si>
    <t>Tầng 1, Trung tâm thương mại nhà CT4AB, Dự án Khu nhà ở Xa La, TP. Hà Nội Việt Nam</t>
  </si>
  <si>
    <t>2AQP</t>
  </si>
  <si>
    <t>WM+ BNH Châu Cầu, Châu Phong</t>
  </si>
  <si>
    <t>Thôn Châu Cầu, Xã Châu Phong, TX. Quế Võ T. Bắc Ninh Việt Nam</t>
  </si>
  <si>
    <t>2AQQ</t>
  </si>
  <si>
    <t>WM+ BGG Bảo Tân, Sơn Thịnh</t>
  </si>
  <si>
    <t>Thôn Bảo Tân, Xã Sơn Thịnh, Huyện Hiệp Hòa, T. Bắc Giang Việt Nam</t>
  </si>
  <si>
    <t>2AQU</t>
  </si>
  <si>
    <t>WM+ HNI 92 Xóm Đông, Thôn Dược Hạ</t>
  </si>
  <si>
    <t>Số 92 Xóm Đông, Thôn Dược Hạ, Xã Tiên Dược, Huyện Sóc Sơn TP. Hà Nội Việt Nam</t>
  </si>
  <si>
    <t>2AQV</t>
  </si>
  <si>
    <t>WIN HNI TM01-29 Vinhomes West Point</t>
  </si>
  <si>
    <t>TM01-29, Tầng 1, Tòa nhà số W1 và W2 tại Lô đất HH, Đường Phạm Hùng, Q. Nam Từ Liêm TP. Hà Nội Việt Nam</t>
  </si>
  <si>
    <t>2AQX</t>
  </si>
  <si>
    <t>WM+ HNI Bạch Thạch, Hòa Thạch</t>
  </si>
  <si>
    <t>Thôn Bạch Thạch, Xã Hòa Thạch, Huyện Quốc Oai TP. Hà Nội Việt Nam</t>
  </si>
  <si>
    <t>2AR1</t>
  </si>
  <si>
    <t>Xóm Trung Tâm, Xã Thọ Thành, Huyện Yên Thành T. Nghệ An Việt Nam</t>
  </si>
  <si>
    <t>2AR2</t>
  </si>
  <si>
    <t>Khối 7, Thị Trấn Cầu Giát, Huyện Quỳnh Lưu T. Nghệ An Việt Nam</t>
  </si>
  <si>
    <t>2AR5</t>
  </si>
  <si>
    <t>WM+ HNI R1.05 Ocean Park</t>
  </si>
  <si>
    <t>Căn 01S16, Tầng 1, Tòa R1.05, Khu đô thị Vinhomes Ocean Park Thị trấn Trâu Quỳ, Huyện Gia Lâm TP. Hà Nội Việt Nam</t>
  </si>
  <si>
    <t>2ARA</t>
  </si>
  <si>
    <t>Đường ĐTX03, Thôn Diễn Hòa, Xã Hợp Thành, Huyện Triệu Sơn T. Thanh Hóa Việt Nam</t>
  </si>
  <si>
    <t>2ARB</t>
  </si>
  <si>
    <t>WM+ HNI CC1 Hado Parkside</t>
  </si>
  <si>
    <t>Tầng 1, Tòa nhà CC1, Chung cư Hado Parkside, Số 87 Khúc Thừa Dụ, Q. Cầu Giấy TP. Hà Nội Việt Nam</t>
  </si>
  <si>
    <t>2ARC</t>
  </si>
  <si>
    <t>WM+ HNI 129 Nam Dư</t>
  </si>
  <si>
    <t>Số 129 Phố Nam Dư, Tổ dân phố số 01, Phường Lĩnh Nam, Q. Hoàng Mai TP. Hà Nội Việt Nam</t>
  </si>
  <si>
    <t>2ARD</t>
  </si>
  <si>
    <t>WM+ HNI C2.15 Ecohome 2</t>
  </si>
  <si>
    <t>Kiot C2.15, Sảnh B, Tòa nhà C2 thuộc Dự án Khu nhà ở xã hội Ecohome 2, Q. Bắc Từ Liêm TP. Hà Nội Việt Nam</t>
  </si>
  <si>
    <t>2ARE</t>
  </si>
  <si>
    <t>WM+ HNI Thôn 7, Ba Trại</t>
  </si>
  <si>
    <t>Thôn 7, Xã Ba Trại, Huyện Ba Vì TP. Hà Nội Việt Nam</t>
  </si>
  <si>
    <t>2ARF</t>
  </si>
  <si>
    <t>Số nhà 236 TDP Hành Chính, Thị trấn Yên Lâm, Huyện Yên Định T. Thanh Hóa Việt Nam</t>
  </si>
  <si>
    <t>2ARG</t>
  </si>
  <si>
    <t>WM+ HNI 507 Thụy Khuê</t>
  </si>
  <si>
    <t>Số 507 Phố Thụy Khuê, Tổ 25B, Phường Bưởi, Quận Tây Hồ TP. Hà Nội Việt Nam</t>
  </si>
  <si>
    <t>2ARH</t>
  </si>
  <si>
    <t>WM+ HNI 20 Cầu Bây</t>
  </si>
  <si>
    <t>Số 20 Phố Cầu Bây, Phường Phúc Lợi, Quận Long Biên TP. Hà Nội Việt Nam</t>
  </si>
  <si>
    <t>2ARI</t>
  </si>
  <si>
    <t>WM+ HNI Vĩnh Ninh, Tri Thủy</t>
  </si>
  <si>
    <t>Thôn Vĩnh Ninh, Xã Tri Thủy, Huyện Phú Xuyên TP. Hà Nội Việt Nam</t>
  </si>
  <si>
    <t>2ARK</t>
  </si>
  <si>
    <t>WM+ HTH Phú Trung, Kỳ Phú</t>
  </si>
  <si>
    <t>Thôn Phú Trung, Xã Kỳ Phú, Huyện Kỳ Anh T. Hà Tĩnh Việt Nam</t>
  </si>
  <si>
    <t>2ARL</t>
  </si>
  <si>
    <t>WM+ THA Kiot 6-7 Chợ Hà Phong</t>
  </si>
  <si>
    <t>Kiot 6-7 Chợ Hà Phong, Tiểu khu Phong Vận, Đường 217, T. Thanh Hóa Việt Nam</t>
  </si>
  <si>
    <t>2ARM</t>
  </si>
  <si>
    <t>WM+ TBH Trung Thịnh, Thái Thịnh</t>
  </si>
  <si>
    <t>Thôn Trung Thịnh, Xã Thái Thịnh, Huyện Thái Thụy T. Thái Bình Việt Nam</t>
  </si>
  <si>
    <t>2ARO</t>
  </si>
  <si>
    <t>WM+ HNI Dốc Chợ Sấu</t>
  </si>
  <si>
    <t>Số 24 Đường Tiền Phong, Thôn Đồng Phú, Xã Dương Liễu, TP. Hà Nội Việt Nam</t>
  </si>
  <si>
    <t>2ARP</t>
  </si>
  <si>
    <t>WM+ HNI 176 -178 Vân Hòa</t>
  </si>
  <si>
    <t>Số 176 -178, Thôn Vân Hòa, Xã Vân Tảo, Huyện Thường Tín TP. Hà Nội Việt Nam</t>
  </si>
  <si>
    <t>2ARQ</t>
  </si>
  <si>
    <t>WM+ HDG 208 Vạn Đức</t>
  </si>
  <si>
    <t>Số 208 Đường Vạn Đức, Phường Phú Thứ, Thị Xã Kinh Môn T. Hải Dương Việt Nam</t>
  </si>
  <si>
    <t>2ARS</t>
  </si>
  <si>
    <t>WM+ HNI Chợ Chiều Sơn Đồng</t>
  </si>
  <si>
    <t>Thôn Hàn, Xã Sơn Đồng, Huyện Hoài Đức TP. Hà Nội Việt Nam</t>
  </si>
  <si>
    <t>2ART</t>
  </si>
  <si>
    <t>WM+ BGG 430 Chợ Mía</t>
  </si>
  <si>
    <t>Số 430 Chợ Mía, Tổ dân phố Đồng, Phường Tân Mỹ, Thành phố Bắc Giang T. Bắc Giang Việt Nam</t>
  </si>
  <si>
    <t>2ARU</t>
  </si>
  <si>
    <t>WM+ HNI I2.CH17 Imperia Smart City</t>
  </si>
  <si>
    <t>Tòa Z38.1 (I2 Imperia Smart City), Lô đất F4-CH04, Khu đô thị mới Tây Mỗ, Đại Mỗ, Vinhomes TP. Hà Nội Việt Nam</t>
  </si>
  <si>
    <t>2ARV</t>
  </si>
  <si>
    <t>WM+ HDG 40-42 Huề Trì</t>
  </si>
  <si>
    <t>Số 40-42 Phố Huề Trì, Khu dân cư Huề Trì 1, Phường An Phụ, Thị Xã Kinh Môn T. Hải Dương Việt Nam</t>
  </si>
  <si>
    <t>2ARW</t>
  </si>
  <si>
    <t>WM+ HDG 1193 Trần Hưng Đạo</t>
  </si>
  <si>
    <t>Số 1193 Đường Trần Hưng Đạo, Phường Phạm Thái, Thị Xã Kinh Môn T. Hải Dương Việt Nam</t>
  </si>
  <si>
    <t>2ARX</t>
  </si>
  <si>
    <t>WM+ HNI Thôn Ngoại, Tam Thuấn</t>
  </si>
  <si>
    <t>Thôn Ngoại, Xã Tam Thuấn, Huyện Phúc Thọ, TP. Hà Nội Việt Nam</t>
  </si>
  <si>
    <t>2ARZ</t>
  </si>
  <si>
    <t>WM+ HNI Thôn Nam, Phụng Thượng</t>
  </si>
  <si>
    <t>Số nhà 98, Thôn 11, Xã Phụng Thượng, Huyện Phúc Thọ, TP. Hà Nội Việt Nam</t>
  </si>
  <si>
    <t>2AS0</t>
  </si>
  <si>
    <t>WM+ HNI 64 Bạch Đằng</t>
  </si>
  <si>
    <t>Số 64 Bạch Đằng, Phường Chương Dương, Quận Hoàn Kiếm TP. Hà Nội Việt Nam</t>
  </si>
  <si>
    <t>2AS1</t>
  </si>
  <si>
    <t>WM+ QNH 18-19-LK01, Khu 4 Cao Xanh</t>
  </si>
  <si>
    <t>Số 18-19-LK01, Dự án Khu nhà ở liền kề và Trụ sở văn phòng, Dịch vụ thương mại, Khu 4, Phường Cao Xanh, TP. Hạ Long T. Quảng Ninh Việt Nam</t>
  </si>
  <si>
    <t>2AS2</t>
  </si>
  <si>
    <t>WM+ NDH Khu phố 2, TT Quỹ Nhất</t>
  </si>
  <si>
    <t>Khu phố 2, Thị trấn Quỹ Nhất, Huyện Nghĩa Hưng T. Nam Định Việt Nam</t>
  </si>
  <si>
    <t>2AS7</t>
  </si>
  <si>
    <t>WM+ NBH Phú Tân, Yên Khánh</t>
  </si>
  <si>
    <t>Phố Phú Tân, Phường Đông Hoa Lư, Tỉnh Ninh Bình T. Ninh Bình Việt Nam</t>
  </si>
  <si>
    <t>2AS8</t>
  </si>
  <si>
    <t>WM+ HNI Xuân Lai, Sóc Sơn</t>
  </si>
  <si>
    <t>Thôn Xuân Lai, Xã Xuân Thu, Huyện Sóc Sơn TP. Hà Nội Việt Nam</t>
  </si>
  <si>
    <t>2ASA</t>
  </si>
  <si>
    <t>WM+ HNI Chợ Hương Ngải</t>
  </si>
  <si>
    <t>Số 108-110 Đường Làng Hương, Thôn 2, Xã Hương Ngải, Huyện Thạch Thất TP. Hà Nội Việt Nam</t>
  </si>
  <si>
    <t>2ASB</t>
  </si>
  <si>
    <t>WM+ HYN LK02-19_20 Khu nhà ở Phúc T</t>
  </si>
  <si>
    <t>LK02-19 và LK02-20, Khu nhà ở Liền Kề Phúc Thành, Phường Bần Yên Nhân, Thị xã Mỹ Hào T. Hưng Yên Việt Nam</t>
  </si>
  <si>
    <t>2ASC</t>
  </si>
  <si>
    <t>WM+ PTO Xóm Dẹ 1, Văn Miếu</t>
  </si>
  <si>
    <t>Xóm Dẹ 1, Xã Văn Miếu, Huyện Thanh Sơn T. Phú Thọ Việt Nam</t>
  </si>
  <si>
    <t>2ASD</t>
  </si>
  <si>
    <t>WM+ HTH Thống Nhất, Ích Hậu</t>
  </si>
  <si>
    <t>Thôn Thống Nhất, Xã Ích Hậu, Huyện Thạch Hà T. Hà Tĩnh Việt Nam</t>
  </si>
  <si>
    <t>2ASE</t>
  </si>
  <si>
    <t>WM+ HTH Phú Thượng, Cẩm Duệ</t>
  </si>
  <si>
    <t>Thôn Phú Thượng, Xã Cẩm Duệ, Huyện Cẩm Xuyên T. Hà Tĩnh Việt Nam</t>
  </si>
  <si>
    <t>2ASF</t>
  </si>
  <si>
    <t>WM+ NAN Xóm 3A, Quỳnh Tam</t>
  </si>
  <si>
    <t>Xóm 3A, Xã Quỳnh Tam, Huyện Quỳnh Lưu T. Nghệ An Việt Nam</t>
  </si>
  <si>
    <t>2ASO</t>
  </si>
  <si>
    <t>WM+ HPG 993 Ngô Gia Tự</t>
  </si>
  <si>
    <t>Số 993 Ngô Gia Tự, Phường Đằng Hải, Quận Hải An TP. Hải Phòng Việt Nam</t>
  </si>
  <si>
    <t>2ASP</t>
  </si>
  <si>
    <t>WM+ QBH Thôn 3, Phúc Trạch</t>
  </si>
  <si>
    <t>Thôn 3, Xã Phúc Trạch, Huyện Bố Trạch T. Quảng Bình Việt Nam</t>
  </si>
  <si>
    <t>2ASQ</t>
  </si>
  <si>
    <t>WM+ HDG 26 Lê Duẩn, KĐT Ecorivers</t>
  </si>
  <si>
    <t>Số 26 Đường Lê Duẩn, Lô TT4-KD-05-01, T. Hải Dương Việt Nam</t>
  </si>
  <si>
    <t>2ASR</t>
  </si>
  <si>
    <t>WM+ TQG Lập Thành, Mỹ Bằng</t>
  </si>
  <si>
    <t>Thôn Lập Thành, Xã Mỹ Bằng, Huyện Yên Sơn T. Tuyên Quang Việt Nam</t>
  </si>
  <si>
    <t>CHI NHÁNH TUYÊN QUANG - CÔNG TY CỔ PHẦN DỊCH VỤ THƯƠNG MẠI TỔNG HỢP WINCOMMERCE</t>
  </si>
  <si>
    <t>2ASS</t>
  </si>
  <si>
    <t>WM+ HNI Thôn 7, Ngọc Tảo</t>
  </si>
  <si>
    <t>Số 128, Thôn 7, Xã Ngọc Tảo, Huyện Phúc Thọ TP. Hà Nội Việt Nam</t>
  </si>
  <si>
    <t>2AST</t>
  </si>
  <si>
    <t>WM+ HNI Thôn 3, Thạch Đà</t>
  </si>
  <si>
    <t>Thôn 3, Xã Thạch Đà, Huyện Mê Linh TP. Hà Nội Việt Nam</t>
  </si>
  <si>
    <t>2ASU</t>
  </si>
  <si>
    <t>WM+ HNI 80 Đa Lộc</t>
  </si>
  <si>
    <t>80 Đường Đa Lộc, Xã Kim Chung, Huyện Đông Anh TP. Hà Nội Việt Nam</t>
  </si>
  <si>
    <t>2ASV</t>
  </si>
  <si>
    <t>WM+ HNI Ngã 3 Thuống, Thôn 2, Yên B</t>
  </si>
  <si>
    <t>Thôn 2, Xã Yên Bình, Huyện Thạch Thất TP. Hà Nội Việt Nam</t>
  </si>
  <si>
    <t>2ASZ</t>
  </si>
  <si>
    <t>WM+ HNI My Hạ, Thanh Mai</t>
  </si>
  <si>
    <t>Số 100, Thôn My Hạ, Xã Thanh Mai, Huyện Thanh Oai TP. Hà Nội Việt Nam</t>
  </si>
  <si>
    <t>2AT0</t>
  </si>
  <si>
    <t>WM+ NBH 34 Lương Văn Thăng</t>
  </si>
  <si>
    <t>Số 34 Lương Văn Thăng, Thị trấn Nho Quan, Huyện Nho Quan T. Ninh Bình Việt Nam</t>
  </si>
  <si>
    <t>2AT2</t>
  </si>
  <si>
    <t>WIN HNI 16-TT11 KĐT Văn Phú</t>
  </si>
  <si>
    <t>16 - TT11 Khu đô thị Văn Phú, Phường Phú La, Quận Hà Đ TP. Hà Nội Việt Nam</t>
  </si>
  <si>
    <t>2AT4</t>
  </si>
  <si>
    <t>Thôn Phố Mới, Xã Vạn Thắng, Huyện Nông Cống T. Thanh Hóa Việt Nam</t>
  </si>
  <si>
    <t>2AT5</t>
  </si>
  <si>
    <t>WM+ QBH 220 Lê Lợi</t>
  </si>
  <si>
    <t>Số 220 Lê Lợi, Xã Đức Ninh, Thành phố Đồng Hới T. Quảng Bình Việt Nam</t>
  </si>
  <si>
    <t>2AT6</t>
  </si>
  <si>
    <t>WM+ VPC SH4 La Fortuna, Phạm Văn Đồ</t>
  </si>
  <si>
    <t>SH4, Chung cư La Fortuna, Đường Phạm Văn Đồng, Phường Tích Sơn, Thành phố Vĩnh Yên T. Vĩnh Phúc Việt Nam</t>
  </si>
  <si>
    <t>2AT7</t>
  </si>
  <si>
    <t>WM+ THA 272 Bà Triệu</t>
  </si>
  <si>
    <t>Số 272 Đường Bà Triệu, Khu phố 1, Phường Bắc Sơn, Thị Xã Bỉm T. Thanh Hóa Việt Nam</t>
  </si>
  <si>
    <t>2AT8</t>
  </si>
  <si>
    <t>Đường Tái Định Cư, Xóm 5, Xã Diễn Thành, Huyện Diễn Châu T. Nghệ An Việt Nam</t>
  </si>
  <si>
    <t>2AT9</t>
  </si>
  <si>
    <t>WM+ BGG 41 Trần Quang Khải</t>
  </si>
  <si>
    <t>Số 41 Trần Quang Khải, Phường Thọ Xương, Thành phố Bắc Giang T. Bắc Giang Việt Nam</t>
  </si>
  <si>
    <t>2ATA</t>
  </si>
  <si>
    <t>WM+ HNI Mai Trang, Minh Tân</t>
  </si>
  <si>
    <t>Thôn Mai Trang, Xã Minh Tân, Huyện Phú Xuyên TP. Hà Nội Việt Nam</t>
  </si>
  <si>
    <t>2ATB</t>
  </si>
  <si>
    <t>TDP Phú Quý, Thị trấn Nông Trường Việt Trung, T. Quảng Bình Việt Nam</t>
  </si>
  <si>
    <t>2ATC</t>
  </si>
  <si>
    <t>WM+ HNI Cốc Thượng, Hoàng Diệu</t>
  </si>
  <si>
    <t>Số 25, Thôn Cốc Thượng, Xã Hoàng Diệu, Huyện Chương Mỹ TP. Hà Nội Việt Nam</t>
  </si>
  <si>
    <t>2ATD</t>
  </si>
  <si>
    <t>Thôn Đa Phạn, Xã Hải Lộc, Huyện Hậu Lộc T. Thanh Hóa Việt Nam</t>
  </si>
  <si>
    <t>2ATE</t>
  </si>
  <si>
    <t>Xóm Thị Tứ, Xã Tân Thành, Huyện Yên Thành T. Nghệ An Việt Nam</t>
  </si>
  <si>
    <t>2ATF</t>
  </si>
  <si>
    <t>WM+ NAN Diễn Trường, Diễn Châu</t>
  </si>
  <si>
    <t>Xóm 4, Xã Diễn Trường, Huyện Diễn Châu T. Nghệ An Việt Nam</t>
  </si>
  <si>
    <t>2ATK</t>
  </si>
  <si>
    <t>WM+ HPG 04-05, TĐC 14 Vinhomes Rive</t>
  </si>
  <si>
    <t>Số 04-05 Lô TĐC 14, Khu tái định cư Vinhomes Riverside Q. Hồng Bàng TP. Hải Phòng Việt Nam</t>
  </si>
  <si>
    <t>2ATL</t>
  </si>
  <si>
    <t>WM+ HNI 202 Đại Nghĩa</t>
  </si>
  <si>
    <t>Số 202 Đại Nghĩa, Thị trấn Đại Nghĩa, Huyện Mỹ Đức TP. Hà Nội Việt Nam</t>
  </si>
  <si>
    <t>2ATM</t>
  </si>
  <si>
    <t>WM+ HNI 176 Phố Nghệ</t>
  </si>
  <si>
    <t>Số 176 Phố Nghệ, Thôn Khôn Thôn, Xã Minh Cường, TP. Hà Nội Việt Nam</t>
  </si>
  <si>
    <t>2ATN</t>
  </si>
  <si>
    <t>WM+ QBH Xuân Dục 1, Xuân Ninh</t>
  </si>
  <si>
    <t>Thôn Xuân Dục 1, Xã Xuân Ninh, Huyện Quảng Ninh T. Quảng Bình Việt Nam</t>
  </si>
  <si>
    <t>2ATO</t>
  </si>
  <si>
    <t>Thôn Đông Thịnh, Xã Hồng Lộc, Huyện Thạch Hà, Tỉnh Hà Tĩnh T. Hà Tĩnh Việt Nam</t>
  </si>
  <si>
    <t>2ATQ</t>
  </si>
  <si>
    <t>WM+ HNI Cốc Thôn, Cam Thượng</t>
  </si>
  <si>
    <t>Số 81, Thôn Cốc Thôn, Xã Cam Thượng, Huyện Ba Vì TP. Hà Nội Việt Nam</t>
  </si>
  <si>
    <t>2ATR</t>
  </si>
  <si>
    <t>WM+ QBH Trung Thiện, Dương Thủy</t>
  </si>
  <si>
    <t>Thôn Trung Thiện, Xã Dương Thủy, Huyện Lệ Thủy T. Quảng Bình Việt Nam</t>
  </si>
  <si>
    <t>2ATS</t>
  </si>
  <si>
    <t>WM+ HNI Phú Hữu 2, Phú Nghĩa</t>
  </si>
  <si>
    <t>Thôn Phú Hữu 2, Xã Phú Nghĩa, Huyện Chương Mỹ TP. Hà Nội Việt Nam</t>
  </si>
  <si>
    <t>2ATU</t>
  </si>
  <si>
    <t>WIN HNI P11 Park Hill</t>
  </si>
  <si>
    <t>Nhà dịch vụ SH0112, Tầng 1, Park 11, KĐT Vinhomes Times TP. Hà Nội Việt Nam</t>
  </si>
  <si>
    <t>2ATV</t>
  </si>
  <si>
    <t>WM+ HNI Chợ Cầu, Trung Tiến</t>
  </si>
  <si>
    <t>Chợ Cầu, Thôn Trung Tiến, Xã Thụy Hương, Huyện Chương Mỹ TP. Hà Nội Việt Nam</t>
  </si>
  <si>
    <t>2ATW</t>
  </si>
  <si>
    <t>WM+ HNI TDP 3 Mễ Trì Hạ</t>
  </si>
  <si>
    <t>Tổ Dân Phố 3 Mễ Trì Hạ, Phường Từ Liêm, Thành phố Hà Nội Việt Nam</t>
  </si>
  <si>
    <t>2ATX</t>
  </si>
  <si>
    <t>WM+ HNI Xóm 5, Thôn Hoành</t>
  </si>
  <si>
    <t>Xóm 5, Thôn Hoành, Xã Đồng Tâm, Huyện Mỹ Đức TP. Hà Nội Việt Nam</t>
  </si>
  <si>
    <t>2ATY</t>
  </si>
  <si>
    <t>WM+ BGG 69 -71 Nguyễn Thị Minh Khai</t>
  </si>
  <si>
    <t>Số 69 -71 Đường Nguyễn Thị Minh Khai, Phường Xương Giang, TP. Bắc Giang T. Bắc Giang Việt Nam</t>
  </si>
  <si>
    <t>2ATZ</t>
  </si>
  <si>
    <t>WM+ NAN Xóm 1, Xuân Sơn</t>
  </si>
  <si>
    <t>Xóm 1, Xã Xuân Sơn, Huyện Đô Lương T. Nghệ An Việt Nam</t>
  </si>
  <si>
    <t>2AU0</t>
  </si>
  <si>
    <t>WM+ NAN Thượng Sơn, Đô Lương</t>
  </si>
  <si>
    <t>Xóm 6, Xã Thượng Sơn, Huyện Đô Lương T. Nghệ An Việt Nam</t>
  </si>
  <si>
    <t>2AU2</t>
  </si>
  <si>
    <t>WM+ BNH Tam Tảo, Tiên Du</t>
  </si>
  <si>
    <t>Thôn Tam Tảo, Xã Phú Lâm, Huyện Tiên Du T. Bắc Ninh Việt Nam</t>
  </si>
  <si>
    <t>2AU3</t>
  </si>
  <si>
    <t>WM+ HNI Bái Đô, Phú Xuyên</t>
  </si>
  <si>
    <t>Chợ Bái, Thôn Bái Đô, Xã Tri Thủy, Huyện Phú Xuyên TP. Hà Nội Việt Nam</t>
  </si>
  <si>
    <t>2AU6</t>
  </si>
  <si>
    <t>WM+ HPG 91 Chợ Con</t>
  </si>
  <si>
    <t>Số 91 Chợ Con, Phường Trại Cau, Quận Lê Chân, TP. Hải Phòng Việt Nam</t>
  </si>
  <si>
    <t>2AU7</t>
  </si>
  <si>
    <t>WM+ NAN Nghĩa Đồng, Tân Kỳ</t>
  </si>
  <si>
    <t>Xóm 3, Xã Nghĩa Đồng, Huyện Tân Kỳ, Tỉnh Nghệ An Việt Nam</t>
  </si>
  <si>
    <t>2AU9</t>
  </si>
  <si>
    <t>WM+ PTO Băng 1, Nguyễn Tất Thành</t>
  </si>
  <si>
    <t>Băng 1, Đường Nguyễn Tất Thành, Phường Thanh Miếu, T. Phú Thọ Việt Nam</t>
  </si>
  <si>
    <t>2AUA</t>
  </si>
  <si>
    <t>WM+ QNH 89 -91 Cao Thắng</t>
  </si>
  <si>
    <t>Số 89 -91 Cao Thắng, Phường Cao Thắng, Thành phố Hạ Long T. Quảng Ninh Việt Nam</t>
  </si>
  <si>
    <t>2AUB</t>
  </si>
  <si>
    <t>WM+ TNN Xóm Trại, Nhã Lộng</t>
  </si>
  <si>
    <t>Xóm Trại, Xã Nhã Lộng, Huyện Phú Bình T. Thái Nguyên Việt Nam</t>
  </si>
  <si>
    <t>2AUC</t>
  </si>
  <si>
    <t>WM+ HNI Cẩm Lĩnh, Đông Phượng</t>
  </si>
  <si>
    <t>Đường Cẩm Lĩnh, Thôn Đông Phượng, Xã Cẩm Lĩnh, Huyện Ba Vì TP. Hà Nội Việt Nam</t>
  </si>
  <si>
    <t>2AUD</t>
  </si>
  <si>
    <t>WM+ THA Thôn 2, Yên Thịnh</t>
  </si>
  <si>
    <t>Thôn 2, Xã Yên Thịnh, Huyện Yên Định T. Thanh Hóa Việt Nam</t>
  </si>
  <si>
    <t>2AUE</t>
  </si>
  <si>
    <t>WM+ HNI 72 Đường 2 Bãi Thụy</t>
  </si>
  <si>
    <t>Số 72 Đường 2 Bãi Thụy, Xã Đồng Tháp, Huyện Đan Phượng TP. Hà Nội Việt Nam</t>
  </si>
  <si>
    <t>2AUF</t>
  </si>
  <si>
    <t>WM+ HNI 7 Cầu Am</t>
  </si>
  <si>
    <t>Số 7 Phố Cầu Am, Tổ dân phố Chiến Thắng, Phường Vạn Phúc, Quận Hà Đông TP. Hà Nội Việt Nam</t>
  </si>
  <si>
    <t>2AUH</t>
  </si>
  <si>
    <t>WM+ HNI Bái Ngoại, Liệp Nghĩa</t>
  </si>
  <si>
    <t>Thôn Bái Ngoại, Xã Liệp Nghĩa, Huyện Quốc Oai TP. Hà Nội Việt Nam</t>
  </si>
  <si>
    <t>2AUK</t>
  </si>
  <si>
    <t>WM+ HNI Nhân Hiền, Hiền Giang</t>
  </si>
  <si>
    <t>Số 35, Thôn Nhân Hiền, Xã Hiền Giang, Huyện Thường Tín TP. Hà Nội Việt Nam</t>
  </si>
  <si>
    <t>2AUL</t>
  </si>
  <si>
    <t>WM+ SLA 12-14-16 Trần Huy Liệu</t>
  </si>
  <si>
    <t>Số 12-14-16 Trần Huy Liệu, Phường Mộc Sơn, Thị xã Mộc Châu T. Sơn La Việt Nam</t>
  </si>
  <si>
    <t>2AUM</t>
  </si>
  <si>
    <t>WM+ HNI Trung Hà, Thái Hòa</t>
  </si>
  <si>
    <t>Thôn Trung Hà, Xã Thái Hòa, Huyện Ba Vì TP. Hà Nội Việt Nam</t>
  </si>
  <si>
    <t>2AUN</t>
  </si>
  <si>
    <t>WM+ THA 195 Tống Duy Tân</t>
  </si>
  <si>
    <t>Số 195 Tống Duy Tân, Khu 1, Thị trấn Vĩnh Lộc, H. Vĩnh Lộc T. Thanh Hóa Việt Nam</t>
  </si>
  <si>
    <t>2AUO</t>
  </si>
  <si>
    <t>WM+ HTH Ninh Hòa, Xuân Phổ</t>
  </si>
  <si>
    <t>Thôn Ninh Hòa, Xã Xuân Phổ, Huyện Nghi Xuân T. Hà Tĩnh Việt Nam</t>
  </si>
  <si>
    <t>2AUP</t>
  </si>
  <si>
    <t>WM+ NBH 10 Núi Vàng</t>
  </si>
  <si>
    <t>Số 10 Đường Núi Vàng, Phường Trung Sơn, Thành Phố Tam Điệp T. Ninh Bình Việt Nam</t>
  </si>
  <si>
    <t>2AUQ</t>
  </si>
  <si>
    <t>WM+ VPC Bảo Đức, Đạo Đức</t>
  </si>
  <si>
    <t>Thôn Bảo Đức, Thị trấn Đạo Đức, Huyện Bình Xuyên T. Vĩnh Phúc Việt Nam</t>
  </si>
  <si>
    <t>2AUS</t>
  </si>
  <si>
    <t>WM+ HNI Hạ Hoà, Hưng Đạo</t>
  </si>
  <si>
    <t>Xóm Chùa, Thôn Hạ Hoà, Xã Hưng Đạo, Huyện Quốc Oai, Thành phố Hà Nội Việt Nam</t>
  </si>
  <si>
    <t>2AUU</t>
  </si>
  <si>
    <t>WM+ BGG Phố Bằng, An Hà</t>
  </si>
  <si>
    <t>Phố Bằng, Xã An Hà, Huyện Lạng Giang T. Bắc Giang Việt Nam</t>
  </si>
  <si>
    <t>2AUV</t>
  </si>
  <si>
    <t>WM+ NAN Xóm Lũy, Mã Thành</t>
  </si>
  <si>
    <t>Xóm Lũy, Xã Mã Thành, Huyện Yên Thành T. Nghệ An Việt Nam</t>
  </si>
  <si>
    <t>2AUY</t>
  </si>
  <si>
    <t>WM+ HNI 60 Thu Thuận</t>
  </si>
  <si>
    <t>Số 60 Thu Thuận, Thôn Thu Quế, Xã Song Phượng, H. Đan Phượng TP. Hà Nội Việt Nam</t>
  </si>
  <si>
    <t>2AV0</t>
  </si>
  <si>
    <t>Thôn Mỹ Quan, Xã Yên Tâm, Huyện Yên Định T. Thanh Hóa Việt Nam</t>
  </si>
  <si>
    <t>2AV1</t>
  </si>
  <si>
    <t>WM+ HNI Vân Côn, Hoài Đức</t>
  </si>
  <si>
    <t>Thôn Vân Côn, Xã Vân Côn, Huyện Hoài Đức TP. Hà Nội Việt Nam</t>
  </si>
  <si>
    <t>2AV2</t>
  </si>
  <si>
    <t>WM+ BNH Hữu Ái, Lương Tài</t>
  </si>
  <si>
    <t>Thôn Hữu Ái, Xã Tân Lãng, Huyện Lương Tài T. Bắc Ninh Việt Nam</t>
  </si>
  <si>
    <t>2AV4</t>
  </si>
  <si>
    <t>WM+ NBH Phú Mỹ, Yên Mô</t>
  </si>
  <si>
    <t>Xóm Phú Mỹ, Xã Yên Phong, Huyện Yên Mô T. Ninh Bình Việt Nam</t>
  </si>
  <si>
    <t>2AV5</t>
  </si>
  <si>
    <t>WM+ NAN Diễn Thọ, Diễn Châu</t>
  </si>
  <si>
    <t>Xóm 7, Xã Diễn Thọ, Huyện Diễn Châu T. Nghệ An Việt Nam</t>
  </si>
  <si>
    <t>2AV6</t>
  </si>
  <si>
    <t>WM+ HYN SO02 Sol Forest, KĐT Ecopar</t>
  </si>
  <si>
    <t>SO201S29-SO202S29 tòa SO02, Khu căn hộ Rừng Thông-Sol forest KĐT Thương mại và Du lịch Văn Giang (Ecopark), Xã Xuân Quan, H. Văn Giang T. Hưng Yên Việt Nam</t>
  </si>
  <si>
    <t>2AVF</t>
  </si>
  <si>
    <t>Tổ dân phố Đề Nắm, Thị trấn Phồn Xương, Huyện Yên Thế T. Bắc Giang Việt Nam</t>
  </si>
  <si>
    <t>2AVG</t>
  </si>
  <si>
    <t>Số 623 Triệu Quốc Đạt, Tổ dân phố 1, Thị trấn Triệu Sơn, Huy T. Thanh Hóa Việt Nam</t>
  </si>
  <si>
    <t>2AVH</t>
  </si>
  <si>
    <t>WM+ QBH 402 Quang Trung</t>
  </si>
  <si>
    <t>Số 402 Đường Quang Trung, Phường Phú Hải, Thành phố Đồng Hới T. Quảng Bình Việt Nam</t>
  </si>
  <si>
    <t>2AVL</t>
  </si>
  <si>
    <t>Số 62 Đường 4C, Thôn 7, Xã Quảng Thái, Huyện Quảng Xương T. Thanh Hóa Việt Nam</t>
  </si>
  <si>
    <t>2AVU</t>
  </si>
  <si>
    <t>WM+ HNI Đồi Miễu, Nam Phương Tiến</t>
  </si>
  <si>
    <t>Thôn Đồi Miễu, Xã Nam Phương Tiến, Huyện Chương Mỹ TP. Hà Nội Việt Nam</t>
  </si>
  <si>
    <t>2AVZ</t>
  </si>
  <si>
    <t>WM+ QNH 257 Đồng Đăng</t>
  </si>
  <si>
    <t>Số 257 Đồng Đăng, Tổ 2, Khu 5, Phường Việt Hưng, Thành phố H T. Quảng Ninh Việt Nam</t>
  </si>
  <si>
    <t>2AW3</t>
  </si>
  <si>
    <t>WIN HNI 74A Quang Trung</t>
  </si>
  <si>
    <t>Số nhà 74A, Phố Quang Trung, Phường Quang Trung, Thị xã Sơn Tây TP. Hà Nội Việt Nam</t>
  </si>
  <si>
    <t>2AW4</t>
  </si>
  <si>
    <t>WM+ HNI Phú Châu, Ba Vì</t>
  </si>
  <si>
    <t>Thôn Phú Xuyên 1, Xã Phú Châu, Huyện Ba Vì, TP. Hà Nội Việt Nam</t>
  </si>
  <si>
    <t>2AW7</t>
  </si>
  <si>
    <t>WM+ BNH Cầu Đào, Gia Bình</t>
  </si>
  <si>
    <t>Thôn Cầu Đào, Xã Nhân Thắng, Huyện Gia Bình T. Bắc Ninh Việt Nam</t>
  </si>
  <si>
    <t>2AWA</t>
  </si>
  <si>
    <t>WM+ HNI Trát Cầu, Tiền Phong</t>
  </si>
  <si>
    <t>Số 19, Đội 6, Thôn Trát Cầu, Xã Tiền Phong, Huyện Thường Tín TP. Hà Nội Việt Nam</t>
  </si>
  <si>
    <t>2AWF</t>
  </si>
  <si>
    <t>WM+ HNI Đại Đồng Độ Lân, Tuyết Nghĩ</t>
  </si>
  <si>
    <t>Thôn Đại Đồng Độ Lân, Xã Tuyết Nghĩa, Huyện Quốc Oai TP. Hà Nội Việt Nam</t>
  </si>
  <si>
    <t>2AWK</t>
  </si>
  <si>
    <t>WM+ HNI Ngự Tiền, Thanh Lâm</t>
  </si>
  <si>
    <t>Thôn Ngự Tiền, Xã Thanh Lâm, Huyện Mê Linh TP. Hà Nội Việt Nam</t>
  </si>
  <si>
    <t>2AWL</t>
  </si>
  <si>
    <t>WM+ HNI SA5 Vinhomes Smart City</t>
  </si>
  <si>
    <t>1S18-1S25, Tòa SA5, Ô đất số F3-CH02-2 Vinhomes Smart City, Phường Tây Mỗ, Quận Nam Từ Liêm TP. Hà Nội Việt Nam</t>
  </si>
  <si>
    <t>2AWN</t>
  </si>
  <si>
    <t>WM+ NDH 116-118 Hải Đông</t>
  </si>
  <si>
    <t>Số nhà 116-118, Phố Hải Đông, Xã Nghĩa Trung, Huyện Nghĩa Hưng T. Nam Định Việt Nam</t>
  </si>
  <si>
    <t>2AWO</t>
  </si>
  <si>
    <t>WM+ NAN 136 Phạm Nguyễn Du</t>
  </si>
  <si>
    <t>136 Phạm Nguyễn Du, Khối Hải Lam, Phường Nghi Hải, Thành phố Vinh T. Nghệ An Việt Nam</t>
  </si>
  <si>
    <t>2AWP</t>
  </si>
  <si>
    <t>WM+ TBH Hoà Bình, Hà Giang</t>
  </si>
  <si>
    <t>Thôn Hoà Bình, Xã Hà Giang, Huyện Đông Hưng T. Thái Bình Việt Nam</t>
  </si>
  <si>
    <t>2AWQ</t>
  </si>
  <si>
    <t>WM+ NAN Trung Tâm, Nghi Ân</t>
  </si>
  <si>
    <t>Xóm Trung Tâm, Xã Nghi Ân, Thành phố Vinh T. Nghệ An Việt Nam</t>
  </si>
  <si>
    <t>2AWW</t>
  </si>
  <si>
    <t>WM+ HNI Ngô Đạo, Tân Hưng</t>
  </si>
  <si>
    <t>Thôn Ngô Đạo, Xã Tân Hưng, Huyện Sóc Sơn TP. Hà Nội Việt Nam</t>
  </si>
  <si>
    <t>2AWX</t>
  </si>
  <si>
    <t>WM+ HNI Thọ Lão, Tiến Thịnh</t>
  </si>
  <si>
    <t>Thôn Thọ Lão, Xã Tiến Thịnh, Huyện Mê Linh TP. Hà Nội Việt Nam</t>
  </si>
  <si>
    <t>2AWY</t>
  </si>
  <si>
    <t>WM+ HNI 45 Hiệu Chân</t>
  </si>
  <si>
    <t>45 Hiệu Chân, Xã Tân Hưng, Huyện Sóc Sơn TP. Hà Nội Việt Nam</t>
  </si>
  <si>
    <t>2AWZ</t>
  </si>
  <si>
    <t>WM+ HNI Tráng Việt, Mê Linh</t>
  </si>
  <si>
    <t>Thôn Tráng Việt, Xã Tráng Việt, Huyện Mê Linh TP. Hà Nội Việt Nam</t>
  </si>
  <si>
    <t>2AX0</t>
  </si>
  <si>
    <t>WM+ TBH Đồng Hòa, Thái Thụy</t>
  </si>
  <si>
    <t>Thôn 1 Đồng Hòa, Xã Thụy Phong, Huyện Thái Thụy T. Thái Bình Việt Nam</t>
  </si>
  <si>
    <t>2AX3</t>
  </si>
  <si>
    <t>WM+ BGG Mai Thượng, Việt Yên</t>
  </si>
  <si>
    <t>Thôn Mai Thượng, Xã Hương Mai, Thị Xã Việt Yên T. Bắc Giang Việt Nam</t>
  </si>
  <si>
    <t>2AX5</t>
  </si>
  <si>
    <t>WM+ HNI U39.2 Masteri West Heights</t>
  </si>
  <si>
    <t>Căn U39.2.TMDV10, Khu Chung cư cao tầng F5 – CH02 thuộc Dự án đô thị mới Tây Mỗ- Đại Mỗ-Vinhomes Park, P. Tây Mỗ, Q. Nam Từ Liêm TP. Hà Nội Việt Nam</t>
  </si>
  <si>
    <t>2AX6</t>
  </si>
  <si>
    <t>WM+ HNI 381 - 383 Kiêu Kỵ</t>
  </si>
  <si>
    <t>Số 381 – 383 đường Kiêu Kỵ, Xã Kiêu Kỵ, Huyện Gia Lâm TP. Hà Nội Việt Nam</t>
  </si>
  <si>
    <t>2AXA</t>
  </si>
  <si>
    <t>WM+ HDG La Xá, Thượng Quận</t>
  </si>
  <si>
    <t>Thôn La Xá, Xã Thượng Quận, Thị xã Kinh Môn T. Hải Dương Việt Nam</t>
  </si>
  <si>
    <t>2AXC</t>
  </si>
  <si>
    <t>WIN HNI HH5 Khai Sơn City</t>
  </si>
  <si>
    <t>Gian hàng thương mại tầng 1 K2-GTM02- GTM03, Nhà CC HH5 Dự án Khai Sơn City, Phường Bồ Đề, Thành phố Hà Nội TP. Hà Nội Việt Nam</t>
  </si>
  <si>
    <t>2AXD</t>
  </si>
  <si>
    <t>WM+ THA 54 Nguyễn Đình Ngân</t>
  </si>
  <si>
    <t>Số 54 Nguyễn Đình Ngân, Phường Long Anh, Thành phố Thanh Hóa T. Thanh Hóa Việt Nam</t>
  </si>
  <si>
    <t>2AXE</t>
  </si>
  <si>
    <t>WM+ HTH Trung Ngọc, Xã Gia Hanh</t>
  </si>
  <si>
    <t>Thôn Trung Ngọc, Xã Gia Hanh, Huyện Can Lộc T. Hà Tĩnh Việt Nam</t>
  </si>
  <si>
    <t>2AXF</t>
  </si>
  <si>
    <t>WM+ HDG 686 Trần Hưng Đạo</t>
  </si>
  <si>
    <t>Số 686 Trần Hưng Đạo, Phường Hiệp Sơn, Thị Xã Kinh Môn T. Hải Dương Việt Nam</t>
  </si>
  <si>
    <t>2AXG</t>
  </si>
  <si>
    <t>WM+ THA TDP Thượng Hải, Hải Thanh</t>
  </si>
  <si>
    <t>Tổ dân phố Thượng Hải, Phường Hải Thanh, Thị xã Nghi Sơn T. Thanh Hóa Việt Nam</t>
  </si>
  <si>
    <t>2AXH</t>
  </si>
  <si>
    <t>WM+ NAN Tân Hoa, Trung Phúc Cường</t>
  </si>
  <si>
    <t>Xóm Tân Hoa, Xã Trung Phúc Cường, Huyện Nam Đàn T. Nghệ An Việt Nam</t>
  </si>
  <si>
    <t>2AXK</t>
  </si>
  <si>
    <t>WM+ HNI Thôn Đoài, Xuy Xá</t>
  </si>
  <si>
    <t>Số 75-77, Đội 5, Thôn Đoài, Xã Xuy Xá, Huyện Mỹ Đức TP. Hà Nội Việt Nam</t>
  </si>
  <si>
    <t>2AXL</t>
  </si>
  <si>
    <t>WM+ HNI Thôn Thượng, Phùng Xá</t>
  </si>
  <si>
    <t>Thôn Thượng, Xã Phùng Xá, Huyện Mỹ Đức TP. Hà Nội Việt Nam</t>
  </si>
  <si>
    <t>2AXM</t>
  </si>
  <si>
    <t>WM+ HNI Ngã 4 An Phú, Mỹ Đức</t>
  </si>
  <si>
    <t>Thôn Đồi Dùng, Xã An Phú, Huyện Mỹ Đức TP. Hà Nội Việt Nam</t>
  </si>
  <si>
    <t>2AXP</t>
  </si>
  <si>
    <t>WM+ HNI Lập Trí, Minh Trí</t>
  </si>
  <si>
    <t>Số nhà 162, Thôn Lập Trí, Xã Minh Trí, Huyện Sóc Sơn TP. Hà Nội Việt Nam</t>
  </si>
  <si>
    <t>2AXT</t>
  </si>
  <si>
    <t>WM+ HNI Hoàng Kim, Mê Linh</t>
  </si>
  <si>
    <t>Thôn Hoàng Kim, Xã Hoàng Kim, Huyện Mê Linh TP. Hà Nội Việt Nam</t>
  </si>
  <si>
    <t>2AXV</t>
  </si>
  <si>
    <t>WM+ HTH Đô Hành, Mỹ Lộc</t>
  </si>
  <si>
    <t>Thôn Đô Hành, Xã Mỹ Lộc, Huyện Can Lộc T. Hà Tĩnh Việt Nam</t>
  </si>
  <si>
    <t>2AXX</t>
  </si>
  <si>
    <t>WM+ HNI Bồng Mạc, Liên Mạc</t>
  </si>
  <si>
    <t>Thôn Bồng Mạc, Xã Liên Mạc, Huyện Mê Linh TP. Hà Nội Việt Nam</t>
  </si>
  <si>
    <t>2AXY</t>
  </si>
  <si>
    <t>WM+ HPG 321 Đà Nẵng</t>
  </si>
  <si>
    <t>Số 321 Đà Nẵng, Phường Vạn Mỹ, Quận Ngô Quyền TP. Hải Phòng Việt Nam</t>
  </si>
  <si>
    <t>2AY0</t>
  </si>
  <si>
    <t>WM+ NDH Khu Đông Bình, Nghĩa Hưng</t>
  </si>
  <si>
    <t>Khu Phố Đông Bình, Thị Trấn Rạng Đông, Huyện Nghĩa Hưng T. Nam Định Việt Nam</t>
  </si>
  <si>
    <t>2AY2</t>
  </si>
  <si>
    <t>WM+ HNI Khu 2 Văn Lôi, Mê Linh</t>
  </si>
  <si>
    <t>Khu 2, Thôn Văn Lôi, Xã Tam Đồng, Huyện Mê Linh TP. Hà Nội Việt Nam</t>
  </si>
  <si>
    <t>2AY3</t>
  </si>
  <si>
    <t>WM+ HYN S301S03 + S301S05 Tòa S3</t>
  </si>
  <si>
    <t>S301S03 và S301S05, Tầng 1 Tòa nhà S3 Khu Căn hộ Vịnh Đảo 2, KÐT Thương mại và Du lịch Văn Giang Ecopark, X. Xuân Quan, H. Văn Giang T. Hưng Yên Việt Nam</t>
  </si>
  <si>
    <t>2AY5</t>
  </si>
  <si>
    <t>Thôn Phú Sơn, Xã Tượng Sơn, Huyện Thạch Hà T. Hà Tĩnh Việt Nam</t>
  </si>
  <si>
    <t>2AY6</t>
  </si>
  <si>
    <t>WM+ PTO Khu Trung Phương, Việt Trì</t>
  </si>
  <si>
    <t>Khu Trung Phương, phường Minh Phương, Thành phố Việt Trì T. Phú Thọ Việt Nam</t>
  </si>
  <si>
    <t>2AY7</t>
  </si>
  <si>
    <t>WM+ THA 265 Triệu Quốc Đạt</t>
  </si>
  <si>
    <t>Số 265 Triệu Quốc Đạt, Thị trấn Nưa, Huyện Triệu Sơn T. Thanh Hóa Việt Nam</t>
  </si>
  <si>
    <t>2AY8</t>
  </si>
  <si>
    <t>WM+ HBH Khu 3, Lạc Thủy</t>
  </si>
  <si>
    <t>Khu 3, Thị trấn Chi Nê, Huyện Lạc Thủy T. Hòa Bình Việt Nam</t>
  </si>
  <si>
    <t>2AYB</t>
  </si>
  <si>
    <t>WM+ THA Đông Phú, Xã Hoằng Lộc</t>
  </si>
  <si>
    <t>Thôn Đông Phú, Xã Hoằng Lộc, Huyện Hoằng Hóa T. Thanh Hóa Việt Nam</t>
  </si>
  <si>
    <t>2AYC</t>
  </si>
  <si>
    <t>WM+ HNI 40 Hào Nam</t>
  </si>
  <si>
    <t>Số 40 Hào Nam, Phường Ô Chợ Dừa, Quận Đống Đa TP. Hà Nội Việt Nam</t>
  </si>
  <si>
    <t>2AYD</t>
  </si>
  <si>
    <t>WM+ THA Ngọc Phúc, Uy Bắc</t>
  </si>
  <si>
    <t>Đường Ngọc Phúc, Thôn Uy Bắc, Xã Quảng Ngọc, H. Quảng Xương T. Thanh Hóa Việt Nam</t>
  </si>
  <si>
    <t>2AYE</t>
  </si>
  <si>
    <t>WM+ HTH Thanh Đồng, Thanh Lộc</t>
  </si>
  <si>
    <t>Xóm Thanh Đồng, Xã Thanh Lộc, Huyện Can Lộc T. Hà Tĩnh Việt Nam</t>
  </si>
  <si>
    <t>2AYF</t>
  </si>
  <si>
    <t>WM+ THA 01 Ngõ Phủ, Thung Thượng</t>
  </si>
  <si>
    <t>Số 01 Ngõ Phủ, Thôn Thung Thượng, Xã Định Hoà, H. Yên Định T. Thanh Hóa Việt Nam</t>
  </si>
  <si>
    <t>2AYJ</t>
  </si>
  <si>
    <t>WM+ HNI 39 Đại Đồng</t>
  </si>
  <si>
    <t>Số 39 Đại Đồng, Phường Vĩnh Hưng, Thành phố Hà Nội Việt Nam</t>
  </si>
  <si>
    <t>2AYM</t>
  </si>
  <si>
    <t>WM+ BNH 66 TDP Phố Cốc</t>
  </si>
  <si>
    <t>Số 66 Tổ dân phố Phố Cốc, Phường Bắc Giang, Tỉnh Bắc Ninh Việt Nam</t>
  </si>
  <si>
    <t>2AYT</t>
  </si>
  <si>
    <t>WM+ HNI P3 Ocean Park</t>
  </si>
  <si>
    <t>Căn 1S28 &amp; 1S14, Tòa nhà số P3 (U32), H. Gia Lâm TP. Hà Nội Việt Nam</t>
  </si>
  <si>
    <t>2AYV</t>
  </si>
  <si>
    <t>WM+ HNI Thượng Hồng, Văn Bình</t>
  </si>
  <si>
    <t>Số 30, Thôn Thượng Hồng, Xã Văn Bình, Huyện Thường Tín TP. Hà Nội Việt Nam</t>
  </si>
  <si>
    <t>2AYW</t>
  </si>
  <si>
    <t>WM+ THA 205 Khu phố 1, TT Bến Sung</t>
  </si>
  <si>
    <t>Số 205, Khu phố 1, Thị trấn Bến Sung, Huyện Như Thanh T. Thanh Hóa Việt Nam</t>
  </si>
  <si>
    <t>2AYX</t>
  </si>
  <si>
    <t>WM+ TBH Kiều Trai, Xã Minh Tân</t>
  </si>
  <si>
    <t>Thôn Kiều Trai, Xã Minh Tân, Huyện Hưng Hà T. Thái Bình Việt Nam</t>
  </si>
  <si>
    <t>2AYY</t>
  </si>
  <si>
    <t>WM+ TBH Minh Thành, Tân Học</t>
  </si>
  <si>
    <t>Thôn Minh Thành, Xã Tân Học, Huyện Thái Thụy T. Thái Bình Việt Nam</t>
  </si>
  <si>
    <t>2AYZ</t>
  </si>
  <si>
    <t>WM+ NAN Nguyễn Tạo, Giang Sơn Đông</t>
  </si>
  <si>
    <t>Xóm Nguyễn Tạo, Xã Giang Sơn Đông, Huyện Đô Lương T. Nghệ An Việt Nam</t>
  </si>
  <si>
    <t>2AZ0</t>
  </si>
  <si>
    <t>WM+ HPG 235B Văn Cao, Đằng Lâm</t>
  </si>
  <si>
    <t>Số 235B Văn Cao, Phường Đằng Lâm, Quận Hải An TP. Hải Phòng Việt Nam</t>
  </si>
  <si>
    <t>2AZ2</t>
  </si>
  <si>
    <t>WM+ NBH Thôn Trung, Trường Yên</t>
  </si>
  <si>
    <t>Thôn Trung, Xã Trường Yên, Huyện Hoa Lư T. Ninh Bình Việt Nam</t>
  </si>
  <si>
    <t>2AZ3</t>
  </si>
  <si>
    <t>WM+ NAN Dương Nam, Thanh Dương</t>
  </si>
  <si>
    <t>Xóm Dương Nam, Xã Thanh Dương, Huyện Thanh Chương T. Nghệ An Việt Nam</t>
  </si>
  <si>
    <t>2AZ5</t>
  </si>
  <si>
    <t>WM+ HNI 93 Đức Giang, Long Biên</t>
  </si>
  <si>
    <t>SH - 09B, Tầng 1, Số 93 Đức Giang, Phường Đức Giang, Quận Long Biên, Thành phố Hà Nội Việt Nam</t>
  </si>
  <si>
    <t>2AZ6</t>
  </si>
  <si>
    <t>WM+ BNH Ô Cách, Đông Tiến</t>
  </si>
  <si>
    <t>Thôn Ô Cách, Xã Đông Tiến, Huyện Yên Phong T. Bắc Ninh Việt Nam</t>
  </si>
  <si>
    <t>2AZ9</t>
  </si>
  <si>
    <t>WM+ TBH An Cơ Bắc, Thanh Tân</t>
  </si>
  <si>
    <t>Thôn An Cơ Bắc, Xã Thanh Tân, Huyện Kiến Xương, Tỉnh Thái Bình Việt Nam</t>
  </si>
  <si>
    <t>2AZA</t>
  </si>
  <si>
    <t>WM+ NAN Xóm 5, Vân Tụ</t>
  </si>
  <si>
    <t>Xóm 5, Xã Vân Tụ, Tỉnh Nghệ An Việt Nam</t>
  </si>
  <si>
    <t>2AZG</t>
  </si>
  <si>
    <t>WM+ HNI Phú Ninh, Minh Phú</t>
  </si>
  <si>
    <t>Thôn Phú Ninh, Xã Minh Phú, Huyện Sóc Sơn H. Sóc Sơn TP. Hà Nội Việt Nam</t>
  </si>
  <si>
    <t>2AZK</t>
  </si>
  <si>
    <t>WM+ TBH Cao Bạt Nang, Thống Nhất</t>
  </si>
  <si>
    <t>Thôn Cao Bạt Nang, Xã Thống Nhất, Huyện Kiến Xương T. Thái Bình Việt Nam</t>
  </si>
  <si>
    <t>2AZL</t>
  </si>
  <si>
    <t>WM+ NBH Xóm 17, Hải Hưng</t>
  </si>
  <si>
    <t>Xóm 17, Xã Hải Hưng, Tỉnh Ninh Bình Việt Nam</t>
  </si>
  <si>
    <t>2AZM</t>
  </si>
  <si>
    <t>WM+ TBH Thanh Tây, Đông Lâm</t>
  </si>
  <si>
    <t>Thôn Thanh Tây, Xã Đông Lâm, Huyện Tiền Hải T. Thái Bình Việt Nam</t>
  </si>
  <si>
    <t>2AZO</t>
  </si>
  <si>
    <t>WM+ HPG TMDV06 Hoàng Huy Grand</t>
  </si>
  <si>
    <t>Căn TMDV06, Toà nhà Hoàng Huy Grand, Số 2A Đường Hồng Bàng, Q. Hồng Bàng TP. Hải Phòng Việt Nam</t>
  </si>
  <si>
    <t>2AZP</t>
  </si>
  <si>
    <t>WM+ HNI 155 Vương Thừa Vũ</t>
  </si>
  <si>
    <t>Số 155 Phố Vương Thừa Vũ, Phường Khương Trung, Q. Thanh Xuân TP. Hà Nội Việt Nam</t>
  </si>
  <si>
    <t>2AZQ</t>
  </si>
  <si>
    <t>WM+ QNH 693 Trần Phú</t>
  </si>
  <si>
    <t>Số 693 Trần Phú, Phường Cẩm Thủy, Thành phố Cẩm Phả T. Quảng Ninh Việt Nam</t>
  </si>
  <si>
    <t>2AZR</t>
  </si>
  <si>
    <t>Số 112 Lê Lợi, Phường Gia Viên, Quận Ngô Quyền TP. Hải Phòng Việt Nam</t>
  </si>
  <si>
    <t>2AZT</t>
  </si>
  <si>
    <t>WM+ HNI Đông Cao, Tráng Việt</t>
  </si>
  <si>
    <t>Thôn Đông Cao, Xã Tráng Việt, Huyện Mê Linh TP. Hà Nội Việt Nam</t>
  </si>
  <si>
    <t>2AZU</t>
  </si>
  <si>
    <t>WM+ HNI 22 Chợ Đông Bài</t>
  </si>
  <si>
    <t>Số 22 Phố Chợ Đông Bài, Thôn Đông Bài, Xã Mai Đình, Huyện Sóc Sơn TP. Hà Nội Việt Nam</t>
  </si>
  <si>
    <t>2AZW</t>
  </si>
  <si>
    <t>WM+ HDG Thị Tứ, Quang Phục</t>
  </si>
  <si>
    <t>Thôn Thị Tứ, Xã Quang Phục, Huyện Tứ Kỳ T. Hải Dương Việt Nam</t>
  </si>
  <si>
    <t>2AZX</t>
  </si>
  <si>
    <t>WM+ HNI Văn Mỹ, Hoàng Văn Thụ</t>
  </si>
  <si>
    <t>Thôn Văn Mỹ, Xã Hoàng Văn Thụ, Huyện Chương Mỹ TP. Hà Nội Việt Nam</t>
  </si>
  <si>
    <t>2AZZ</t>
  </si>
  <si>
    <t>WM+ HYN Nguyễn Trung Ngạn, Ân Thi</t>
  </si>
  <si>
    <t>Phố Nguyễn Trung Ngạn, Thị trấn Ân Thi, Huyện Ân Thi T. Hưng Yên Việt Nam</t>
  </si>
  <si>
    <t>2B03</t>
  </si>
  <si>
    <t>WM+ THA Tiền Thôn, Hoằng Tiến</t>
  </si>
  <si>
    <t>ĐT510B, Thôn Tiền Thôn, Xã Hoằng Tiến, Huyện Hoằng Hóa T. Thanh Hóa Việt Nam</t>
  </si>
  <si>
    <t>2B04</t>
  </si>
  <si>
    <t>WM+ HNI 139 Lại Thượng</t>
  </si>
  <si>
    <t>Số 139 Lại Thượng, Xã Thạch Thất, Thành phố Hà Nội TP. Hà Nội Việt Nam</t>
  </si>
  <si>
    <t>2B05</t>
  </si>
  <si>
    <t>WM+ VPC Yên Đồng, Yên Lạc</t>
  </si>
  <si>
    <t>Số nhà 276, Thôn Gia, Xã Yên Đồng, Huyện Yên Lạc T. Vĩnh Phúc Việt Nam</t>
  </si>
  <si>
    <t>2B06</t>
  </si>
  <si>
    <t>WM+ PTO Ngọc Bảo, Bình Nguyên</t>
  </si>
  <si>
    <t>Thôn Ngọc Bảo, Xã Bình Nguyên, Tỉnh Phú Thọ Việt Nam</t>
  </si>
  <si>
    <t>2B07</t>
  </si>
  <si>
    <t>WM+ HNI Yên Thị, Tiến Thịnh</t>
  </si>
  <si>
    <t>Thôn Yên Thị, Xã Tiến Thịnh, Huyện Mê Linh TP. Hà Nội Việt Nam</t>
  </si>
  <si>
    <t>2B08</t>
  </si>
  <si>
    <t>WM+ HNI Lực Canh, Xuân Canh</t>
  </si>
  <si>
    <t>Số 100-102, Thôn Lực Canh, Xã Xuân Canh, Huyện Đông Anh TP. Hà Nội Việt Nam</t>
  </si>
  <si>
    <t>2B09</t>
  </si>
  <si>
    <t>WM+ HNI Mạnh Tân, Thụy Lâm</t>
  </si>
  <si>
    <t>Thửa đất số 130(2), Tờ bản đồ số 23, Thôn Mạnh Tân H. Đông Anh TP. Hà Nội Việt Nam</t>
  </si>
  <si>
    <t>2B10</t>
  </si>
  <si>
    <t>WM+ NDH Xóm 4, Trung Lao</t>
  </si>
  <si>
    <t>Xóm 4, Thôn Trung Lao, Xã Trung Đông, Huyện Trực Ninh T. Nam Định Việt Nam</t>
  </si>
  <si>
    <t>2B11</t>
  </si>
  <si>
    <t>WM+ NAN Xóm 4, Minh Châu</t>
  </si>
  <si>
    <t>Xóm 4, Xã Minh Châu, T. Nghệ An Việt Nam</t>
  </si>
  <si>
    <t>2B13</t>
  </si>
  <si>
    <t>WM+ HNI 36A Ngõ 670 Hà Huy Tập</t>
  </si>
  <si>
    <t>Số 36A Ngõ 670, Đường Hà Huy Tập, Thị trấn Yên Viên, H. Gia Lâm TP. Hà Nội Việt Nam</t>
  </si>
  <si>
    <t>2B14</t>
  </si>
  <si>
    <t>WM+ HNI Thôn Đoài, Phú Minh</t>
  </si>
  <si>
    <t>Thôn Đoài, Xã Phú Minh, Huyện Sóc Sơn TP. Hà Nội Việt Nam</t>
  </si>
  <si>
    <t>2B19</t>
  </si>
  <si>
    <t>WM+ THA 57 Hải Thượng Lãn Ông</t>
  </si>
  <si>
    <t>Số 57 Hải Thượng Lãn Ông, Phường Hạc Thành, Tỉnh Thanh Hóa Việt Nam</t>
  </si>
  <si>
    <t>2B20</t>
  </si>
  <si>
    <t>WM+ NAN 184-186 Hồ Văn Sinh</t>
  </si>
  <si>
    <t>184-186 Đường Hồ Văn Sinh, Phường Quỳnh Phương, TX. Hoàng Mai T. Nghệ An Việt Nam</t>
  </si>
  <si>
    <t>2B21</t>
  </si>
  <si>
    <t>WM+ NAN Tân Phúc, Diễn Thịnh</t>
  </si>
  <si>
    <t>Xóm Tân Phúc, Xã Diễn Thịnh, Huyện Diễn Châu T. Nghệ An Việt Nam</t>
  </si>
  <si>
    <t>2B22</t>
  </si>
  <si>
    <t>WM+ HNI 200-202 Định Công Thượng</t>
  </si>
  <si>
    <t>Số 200-202, Phố Định Công Thượng, Phường Định Công, Q. Hoàng Mai TP. Hà Nội Việt Nam</t>
  </si>
  <si>
    <t>2B23</t>
  </si>
  <si>
    <t>WM+ HNI 50 Vĩnh Lộc</t>
  </si>
  <si>
    <t>Số 50 Đường Vĩnh Lộc, Xã Tây Phương, Thành phố Hà Nội Việt Nam</t>
  </si>
  <si>
    <t>2B24</t>
  </si>
  <si>
    <t>WM+ HNI GS1 Vinhomes Smart City</t>
  </si>
  <si>
    <t>Gian hàng TM số 1S06 Tòa U39.1 (GS1), Lô đất F3-CH01, Q. Nam Từ Liêm TP. Hà Nội Việt Nam</t>
  </si>
  <si>
    <t>2B31</t>
  </si>
  <si>
    <t>WM+ THA Long Vân, Đồng Lợi</t>
  </si>
  <si>
    <t>Số 174, Thôn Long Vân, Xã Đồng Lợi, Huyện Triệu Sơn T. Thanh Hóa Việt Nam</t>
  </si>
  <si>
    <t>2B33</t>
  </si>
  <si>
    <t>WM+ HDG Đại Tân, Hoàng Tân</t>
  </si>
  <si>
    <t>Phố Đại Tân, Phường Hoàng Tân, Thành phố Chí Linh T. Hải Dương Việt Nam</t>
  </si>
  <si>
    <t>2B34</t>
  </si>
  <si>
    <t>WM+ HDG Phố Mới, Bình Xuyên</t>
  </si>
  <si>
    <t>Phố Mới, Xã Bình Xuyên, Huyện Bình Giang T. Hải Dương Việt Nam</t>
  </si>
  <si>
    <t>2B35</t>
  </si>
  <si>
    <t>WM+ VPC Trại Mới, TT Đại Đình</t>
  </si>
  <si>
    <t>Tổ dân phố Trại Mới, Thị trấn Đại Đình, Huyện Tam Đảo T. Vĩnh Phúc Việt Nam</t>
  </si>
  <si>
    <t>2B36</t>
  </si>
  <si>
    <t>Thôn Bảo Tháp, Xã Quang Minh, Thành phố Hà Nội TP. Hà Nội Việt Nam</t>
  </si>
  <si>
    <t>2B37</t>
  </si>
  <si>
    <t>WM+ HDG Cam Lộ, Tân Việt</t>
  </si>
  <si>
    <t>Thôn Cam Lộ, Xã Tân Việt, Huyện Thanh Hà T. Hải Dương Việt Nam</t>
  </si>
  <si>
    <t>2B38</t>
  </si>
  <si>
    <t>WM+ NAN 88 Xuân Lộc</t>
  </si>
  <si>
    <t>Số 88 Đường Xuân Lộc, Xã Nghi Kim, Thành Phố Vinh T. Nghệ An Việt Nam</t>
  </si>
  <si>
    <t>2B39</t>
  </si>
  <si>
    <t>WM+ THA Mậu Đông, Quảng Lưu</t>
  </si>
  <si>
    <t>Thôn Mậu Đông, Xã Quảng Lưu, Huyện Quảng Xương T. Thanh Hóa Việt Nam</t>
  </si>
  <si>
    <t>2B41</t>
  </si>
  <si>
    <t>WM+ HYN An Thái, Lê Lợi</t>
  </si>
  <si>
    <t>Thôn An Thái, Xã Lê Lợi, Tỉnh Hưng Yên Việt Nam</t>
  </si>
  <si>
    <t>2B42</t>
  </si>
  <si>
    <t>WM+ HNI 51 Quang Trung, Kim Lũ</t>
  </si>
  <si>
    <t>Số 51, Đường Quang Trung, Thôn Kim Lũ, Xã Long Thượng, TP. Hà Nội Việt Nam</t>
  </si>
  <si>
    <t>2B43</t>
  </si>
  <si>
    <t>WM+ HNI Sơn Đoài, Tân Minh</t>
  </si>
  <si>
    <t>Thôn Sơn Đoài, Xã Tân Minh, Huyện Sóc Sơn, TP. Hà Nội Việt Nam</t>
  </si>
  <si>
    <t>2B44</t>
  </si>
  <si>
    <t>WM+ PTO Khu 3, TT Phong Châu</t>
  </si>
  <si>
    <t>Thửa đất số 71-3, Tờ bản đồ số 33, TT Phong Châu T. Phú Thọ Việt Nam</t>
  </si>
  <si>
    <t>2B45</t>
  </si>
  <si>
    <t>WM+ HDG 695 Lê Thánh Tông</t>
  </si>
  <si>
    <t>Số 695, Đường Lê Thánh Tông, Phường Văn An, TP. Chí Linh T. Hải Dương Việt Nam</t>
  </si>
  <si>
    <t>2B49</t>
  </si>
  <si>
    <t>WM+ HPG Thôn 6, Thuỷ Nguyên</t>
  </si>
  <si>
    <t>Thôn 6, Phường Thuỷ Nguyên, Thành phố Hải Phòng Việt Nam</t>
  </si>
  <si>
    <t>2B50</t>
  </si>
  <si>
    <t>WM+ HNM35 Trần Hưng Đạo</t>
  </si>
  <si>
    <t>Số35 Đường Trần Hưng Đạo, Tổ dân phố Nam Cao, Thị Trấn Vĩnh Vĩnh Trụ, Huyện Lý Nhân T. Hà Nam Việt Nam</t>
  </si>
  <si>
    <t>2B51</t>
  </si>
  <si>
    <t>WM+ HNI 9 Trần Kim Xuyến</t>
  </si>
  <si>
    <t>Số 9 Trần Kim Xuyến, Phường Yên Hòa, Quận Cầu Giấy TP. Hà Nội Việt Nam</t>
  </si>
  <si>
    <t>2B52</t>
  </si>
  <si>
    <t>WM+ HNI Xóm 5, Liệp Mai</t>
  </si>
  <si>
    <t>Xóm 5, Thôn Liệp Mai, Xã Ngọc Liệp, Huyện Quốc Oai TP. Hà Nội Việt Nam</t>
  </si>
  <si>
    <t>2B53</t>
  </si>
  <si>
    <t>WM+ NAN 177 Nguyễn Trường Tộ</t>
  </si>
  <si>
    <t>Số 177 Đường Nguyễn Trường Tộ, Khối Yên Duệ, P. Đông Vĩnh T. Nghệ An Việt Nam</t>
  </si>
  <si>
    <t>2B54</t>
  </si>
  <si>
    <t>WM+ TBH 306 Đường 3 Tháng 2</t>
  </si>
  <si>
    <t>Số 306 Đường 3 Tháng 2, Thị trấn Diêm Điền, Huyện Thái Thụy T. Thái Bình Việt Nam</t>
  </si>
  <si>
    <t>2B55</t>
  </si>
  <si>
    <t>WM+ HNI M6 Mipec City View</t>
  </si>
  <si>
    <t>Sàn dịch vụ M6-DVTM-06, Tòa nhà CT3B (M6), Khu nhà ở phường Kiến Hưng TP. Hà Nội Việt Nam</t>
  </si>
  <si>
    <t>2B56</t>
  </si>
  <si>
    <t>WM+ HNI Thôn Vực, Chuyên  Mỹ</t>
  </si>
  <si>
    <t>Số 08 Thôn Vực, Xã Chuyên  Mỹ, Thành phố Hà Nội Việt Nam</t>
  </si>
  <si>
    <t>2B57</t>
  </si>
  <si>
    <t>WM+ HNI 80 Sông Ái</t>
  </si>
  <si>
    <t>Số 80 Đường Sông Ái, Thôn Phượng Mỹ, Xã Mỹ Hưng, H. Thanh Oai TP. Hà Nội Việt Nam</t>
  </si>
  <si>
    <t>2B63</t>
  </si>
  <si>
    <t>WM+ PTO Hòa Bình, Hải Lựu</t>
  </si>
  <si>
    <t>Thôn Hòa Bình, Xã Hải Lựu, T. Phú Thọ Việt Nam</t>
  </si>
  <si>
    <t>2B66</t>
  </si>
  <si>
    <t>WM+ NBH Xóm 2, Khánh Hội</t>
  </si>
  <si>
    <t>Xóm 2, Xã Khánh Hội, Tỉnh Ninh Bình Việt Nam</t>
  </si>
  <si>
    <t>2B67</t>
  </si>
  <si>
    <t>WM+ HNI Xóm 2, Chương Dương</t>
  </si>
  <si>
    <t>Xóm 2, Xã Chương Dương, Thành phố Hà Nội Việt Nam</t>
  </si>
  <si>
    <t>2B68</t>
  </si>
  <si>
    <t>WM+ THA Tiến Thành, Hợp Lý</t>
  </si>
  <si>
    <t>Số 92, Đường 514, Thôn Tiến Thành, Xã Hợp Lý, H. Triệu Sơn T. Thanh Hóa Việt Nam</t>
  </si>
  <si>
    <t>2B69</t>
  </si>
  <si>
    <t>WM+ NBH 69 Nguyễn Huệ</t>
  </si>
  <si>
    <t>Số 69, Đường Nguyễn Huệ, Phố Lê Lợi, Phường Nam Bình, TP. Hoa Lư T. Ninh Bình Việt Nam</t>
  </si>
  <si>
    <t>2B70</t>
  </si>
  <si>
    <t>WM+ THA 415 Ngô Chân Lưu</t>
  </si>
  <si>
    <t>Số 415 Đường Ngô Chân Lưu, Phường Tĩnh Gia, T. Thanh Hóa Việt Nam</t>
  </si>
  <si>
    <t>2B71</t>
  </si>
  <si>
    <t>WM+ HPG 151 Thiên Lôi</t>
  </si>
  <si>
    <t>Số 151 Thiên Lôi, Phường Vĩnh Niệm, Quận Lê Chân TP. Hải Phòng Việt Nam</t>
  </si>
  <si>
    <t>2B73</t>
  </si>
  <si>
    <t>WM+ PTO Đồng Ve, Sơn Lương</t>
  </si>
  <si>
    <t>Khu Đồng Ve, Xã Sơn Lương, Tỉnh Phú Thọ Việt Nam</t>
  </si>
  <si>
    <t>2B74</t>
  </si>
  <si>
    <t>WM+ HTH Đồng Giang, Thạch Khê</t>
  </si>
  <si>
    <t>Thôn Đồng Giang, Xã Thạch Khê, Tỉnh Hà Tĩnh Việt Nam</t>
  </si>
  <si>
    <t>2B75</t>
  </si>
  <si>
    <t>WM+ NAN Xóm 4, Hùng Châu</t>
  </si>
  <si>
    <t>Xóm 4, Xã Hùng Châu, Tỉnh Nghệ An Việt Nam</t>
  </si>
  <si>
    <t>2B76</t>
  </si>
  <si>
    <t>WM+ HNI Hiệp Thuận 2, Hát Môn</t>
  </si>
  <si>
    <t>Số 34, Thôn Hiệp Thuận 2, Xã Hát Môn, Thành phố Hà Nội Việt Nam</t>
  </si>
  <si>
    <t>2B77</t>
  </si>
  <si>
    <t>WM+ HNI Mục Uyên 1, Hạ Bằng</t>
  </si>
  <si>
    <t>Thôn Mục Uyên 1, Xã Hạ Bằng, TP. Hà Nội Việt Nam</t>
  </si>
  <si>
    <t>2B79</t>
  </si>
  <si>
    <t>Số 50, Cụm 2, Thôn 2, Xã Yên Xuân, TP. Hà Nội Việt Nam</t>
  </si>
  <si>
    <t>2B80</t>
  </si>
  <si>
    <t>WM+ HDG Trung Tuyến, Hòa Bình</t>
  </si>
  <si>
    <t>Thôn Trung Tuyến, Xã Hòa Bình, H. Kim Thành T. Hải Dương Việt Nam</t>
  </si>
  <si>
    <t>2B81</t>
  </si>
  <si>
    <t>WM+ VPC Nguyễn Lương Bằng, Vị Trù</t>
  </si>
  <si>
    <t>Đường Nguyễn Lương Bằng, Thôn Vị Trù, Xã Thanh Trù, TP. Vĩnh Yên T. Vĩnh Phúc Việt Nam</t>
  </si>
  <si>
    <t>2B82</t>
  </si>
  <si>
    <t>WM+ VPC Yên Điềm, Cao Minh</t>
  </si>
  <si>
    <t>Thôn Yên Điềm, Xã Cao Minh, Thành phố Phúc Yên T. Vĩnh Phúc Việt Nam</t>
  </si>
  <si>
    <t>2B83</t>
  </si>
  <si>
    <t>WM+ HPG 145 TDP Trụ Thượng</t>
  </si>
  <si>
    <t>Số 145 Tổ dân phố Trụ Thượng, Phường Lê Đại Hành, Thành phố Hải Phòng Việt Nam</t>
  </si>
  <si>
    <t>2B84</t>
  </si>
  <si>
    <t>WM+ HNI 39 Bất Bạt</t>
  </si>
  <si>
    <t>Số 39 Bất Bạt, Thôn Đan Thê, Xã Sơn Đà, Huyện Ba Vì TP. Hà Nội Việt Nam</t>
  </si>
  <si>
    <t>2B88</t>
  </si>
  <si>
    <t>WM+ NAN Tân Xuân, Quan Thành</t>
  </si>
  <si>
    <t>Xóm Tân Xuân, Xã Quan Thành, T. Nghệ An Việt Nam</t>
  </si>
  <si>
    <t>2B89</t>
  </si>
  <si>
    <t>WM+ NAN 32 Sào Nam</t>
  </si>
  <si>
    <t>Số 32 Đường Sào Nam, Phường Nghi Thu, Thành Phố Vinh T. Nghệ An Việt Nam</t>
  </si>
  <si>
    <t>2B90</t>
  </si>
  <si>
    <t>WM+ NBH 62 Thiên Quan</t>
  </si>
  <si>
    <t>Số 62 Đường Thiên Quan, Phường Yên Sơn, Tỉnh Ninh Bình Việt Nam</t>
  </si>
  <si>
    <t>2B91</t>
  </si>
  <si>
    <t>WM+ THA Thôn Phố, Thạch Quảng</t>
  </si>
  <si>
    <t>Thôn Phố, Xã Thạch Quảng, Huyện Thạch Thành T. Thanh Hóa Việt Nam</t>
  </si>
  <si>
    <t>2B92</t>
  </si>
  <si>
    <t>WM+ NBH Xóm 34, Yên Đồng</t>
  </si>
  <si>
    <t>Xóm 34, Xã Yên Đồng, Tỉnh Ninh Bình Việt Nam</t>
  </si>
  <si>
    <t>2B93</t>
  </si>
  <si>
    <t>WM+ HNI Thôn Bặn, Vân Hòa</t>
  </si>
  <si>
    <t>Số 08, Thôn Bặn, Xã Vân Hòa, Huyện Ba Vì TP. Hà Nội Việt Nam</t>
  </si>
  <si>
    <t>2B94</t>
  </si>
  <si>
    <t>WM+ HNI 166 Liên Phú Thượng</t>
  </si>
  <si>
    <t>Số 166 Đường Liên Phú Thượng, Thôn Nội Thôn, Xã Thạch Thất, Thành phố Hà Nội Việt Nam</t>
  </si>
  <si>
    <t>2B95</t>
  </si>
  <si>
    <t>WM+ HNI Nam Hòa 2, Đặng Giang</t>
  </si>
  <si>
    <t>Khu vực Nam Hòa 2, Thôn Đặng Giang, Xã Hòa Xá Thành phố Hà Nội Việt Nam</t>
  </si>
  <si>
    <t>2B96</t>
  </si>
  <si>
    <t>WM+ HNI 8 Đường Đông</t>
  </si>
  <si>
    <t>Số 8 Đường Đông, Thôn Trung Oai, Xã Phúc Thịnh, Thành phố Hà Nội Việt Nam</t>
  </si>
  <si>
    <t>2B97</t>
  </si>
  <si>
    <t>WM+ HPG Xóm Giữa, Quỳnh Huê</t>
  </si>
  <si>
    <t>Xóm Giữa, Thôn Quỳnh Huê, Xã Yết Kiêu, Thành phố Hải Phòng Việt Nam</t>
  </si>
  <si>
    <t>2B98</t>
  </si>
  <si>
    <t>WM+ HNI TDP Chùa Vàng</t>
  </si>
  <si>
    <t>TDP Chùa Vàng, Phường Chương Mỹ, Thành phố Hà Nội Việt Nam</t>
  </si>
  <si>
    <t>2BA1</t>
  </si>
  <si>
    <t>WM+ THA Hưng Phú, Vạn Lộc</t>
  </si>
  <si>
    <t>Số 131, Tỉnh lộ 526, Thôn Hưng Phú, Xã Vạn Lộc, Tỉnh Thanh Hóa Việt Nam</t>
  </si>
  <si>
    <t>2BA2</t>
  </si>
  <si>
    <t>WIN HNI B2-HH Roman Plaza</t>
  </si>
  <si>
    <t>Tầng 1, Căn TM 104, Tháp B2, Tòa nhà HH, Dự án ĐTXD Tổ hợp TM, DV và căn hộ cao cấp Hải Phát Plaza, Phường Hà Đông, Thành phố Hà Nội Việt Nam</t>
  </si>
  <si>
    <t>2BA3</t>
  </si>
  <si>
    <t>WM+ THA 211 Lê Lợi</t>
  </si>
  <si>
    <t>Số 211 Lê Lợi, Tổ Đồn Trại, Phường Sầm Sơn Tỉnh Thanh Hóa Việt Nam</t>
  </si>
  <si>
    <t>2BA4</t>
  </si>
  <si>
    <t>WM+ NAN Tân Ninh, Minh Châu</t>
  </si>
  <si>
    <t>Xóm Tân Ninh, Xã Minh Châu, T. Nghệ An Việt Nam</t>
  </si>
  <si>
    <t>2BA5</t>
  </si>
  <si>
    <t>WM+ THA Phố 2, Yên Phú</t>
  </si>
  <si>
    <t>Phố 2, Xã Yên Phú, Tỉnh Thanh Hóa Việt Nam</t>
  </si>
  <si>
    <t>2BA8</t>
  </si>
  <si>
    <t>WM+ HNI Cầu Bã, Quảng Oai</t>
  </si>
  <si>
    <t>Thôn Cầu Bã, Xã Quảng Oai, Thành phố Hà Nội Việt Nam</t>
  </si>
  <si>
    <t>2BA9</t>
  </si>
  <si>
    <t>WM+ TNN 873-875 Cách Mạng Tháng 8</t>
  </si>
  <si>
    <t>Số 873-875 Đường Cách Mạng Tháng 8, Phường Sông Công, Tỉnh Thái Nguyên Việt Nam</t>
  </si>
  <si>
    <t>2BAA</t>
  </si>
  <si>
    <t>Căn hộ số 04-05, Tầng 1 thuộc nhà chung cư A14, Ngõ 106 TP. Hà Nội TP. Hà Nội Việt Nam</t>
  </si>
  <si>
    <t>2BAB</t>
  </si>
  <si>
    <t>WM+ NBH 1364-1366 Trần Huy Liệu</t>
  </si>
  <si>
    <t>Số 1364-1366 Đường Trần Huy Liệu, Phường Thành Nam, T. Ninh Bình Việt Nam</t>
  </si>
  <si>
    <t>2BAC</t>
  </si>
  <si>
    <t>WM+ THA Nhân Mỹ, Thiệu Hóa</t>
  </si>
  <si>
    <t>Thôn Nhân Mỹ, Xã Thiệu Hóa, Tỉnh Thanh Hóa T. Thanh Hóa Việt Nam</t>
  </si>
  <si>
    <t>2BAJ</t>
  </si>
  <si>
    <t>WM+ HYN Lục Nam, Đông Thái Ninh</t>
  </si>
  <si>
    <t>Thôn Lục Nam, Xã Đông Thái Ninh, Tỉnh Hưng Yên T. Hưng Yên Việt Nam</t>
  </si>
  <si>
    <t>2BAK</t>
  </si>
  <si>
    <t>WM+ HPG 8-10 Dân Chủ</t>
  </si>
  <si>
    <t>Số 8-10 Phố Dân Chủ, Khu dân cư Kim Xuyên 3, TP. Hải Phòng TP. Hải Phòng Việt Nam</t>
  </si>
  <si>
    <t>2BAL</t>
  </si>
  <si>
    <t>WM+ PTO Tân Tiến, Đạo Trù</t>
  </si>
  <si>
    <t>Thôn Tân Tiến, Xã Đạo Trù, Tỉnh Phú Thọ T. Phú Thọ Việt Nam</t>
  </si>
  <si>
    <t>2BAN</t>
  </si>
  <si>
    <t>WM + HNI Ngã 3 Vân Lôi, Hạ Bằng</t>
  </si>
  <si>
    <t>Số 578-580, Đường TL 420 Bình Yên, Thôn Vân Lôi, TP. Hà Nội Việt Nam</t>
  </si>
  <si>
    <t>2BAO</t>
  </si>
  <si>
    <t>WM+ HNI An Duyệt, Hương Sơn</t>
  </si>
  <si>
    <t>Thôn An Duyệt, Xã Hương Sơn, Thành phố Hà Nội TP. Hà Nội Việt Nam</t>
  </si>
  <si>
    <t>2BAP</t>
  </si>
  <si>
    <t>WM+ NBH Xóm 3, Hải Anh</t>
  </si>
  <si>
    <t>Xóm 3, Xã Hải Anh, Tỉnh Ninh Bình T. Ninh Bình Việt Nam</t>
  </si>
  <si>
    <t>2BAR</t>
  </si>
  <si>
    <t>WM+ PTO 642-644 Cù Chính Lan</t>
  </si>
  <si>
    <t>Số 642-644 Đường Cù Chính Lan, Tổ 9, Phường Hòa Bình, T. Phú Thọ Việt Nam</t>
  </si>
  <si>
    <t>2BAS</t>
  </si>
  <si>
    <t>WM+ THA Phương Phú, Nga Thắng</t>
  </si>
  <si>
    <t>Thôn 2 Phương Phú, Xã Nga Thắng, Tỉnh Thanh Hóa T. Thanh Hóa Việt Nam</t>
  </si>
  <si>
    <t>2BAT</t>
  </si>
  <si>
    <t>WM+ BNH Trác Bút, Xã Yên Phong</t>
  </si>
  <si>
    <t>Thôn Trác Bút, Xã Yên Phong, Tỉnh Bắc Ninh T. Bắc Ninh Việt Nam</t>
  </si>
  <si>
    <t>2BAV</t>
  </si>
  <si>
    <t>WM+ LCI Tân Lợi, Gia Phú</t>
  </si>
  <si>
    <t>Thôn Tân Lợi, Xã Gia Phú, Tỉnh Lào Cai T. Lào Cai Việt Nam</t>
  </si>
  <si>
    <t>2BAW</t>
  </si>
  <si>
    <t>WM+ PTO Khu 4, Phú Mỹ</t>
  </si>
  <si>
    <t>Khu 4, Xã Phú Mỹ, Tỉnh Phú Thọ T. Phú Thọ Việt Nam</t>
  </si>
  <si>
    <t>2BAX</t>
  </si>
  <si>
    <t>WM+ HPG TDP 5, Lưu Kiếm</t>
  </si>
  <si>
    <t>Tổ dân phố 5, Phường Lưu Kiếm, Thành phố Hải Phòng TP. Hải Phòng Việt Nam</t>
  </si>
  <si>
    <t>2BAY</t>
  </si>
  <si>
    <t>WM+ PTO Làng Mạ, Tam Dương Bắc</t>
  </si>
  <si>
    <t>Thôn Làng Mạ, Xã Tam Dương Bắc, Tỉnh Phú Thọ T. Phú Thọ Việt Nam</t>
  </si>
  <si>
    <t>2BB0</t>
  </si>
  <si>
    <t>WM+ THA Phú Vinh, Thọ Phú</t>
  </si>
  <si>
    <t>Số 19, Tỉnh Lộ 515, Thôn Phú Vinh, Xã Thọ Phú Tỉnh Thanh Hóa Việt Nam</t>
  </si>
  <si>
    <t>2BB2</t>
  </si>
  <si>
    <t>WM+ HNI Chợ Đồng Vàng</t>
  </si>
  <si>
    <t>Số 06-08, Khu Chợ Đồng Vàng, Xã Phượng Dực, Thành phố Hà Nội Việt Nam</t>
  </si>
  <si>
    <t>2BB3</t>
  </si>
  <si>
    <t>WM+ HNI Thôn Cầu, Minh Đức</t>
  </si>
  <si>
    <t>Số 150 – 152, Thôn Cầu, Xã Ứng Hoà, Thành phố Hà Nội Việt Nam</t>
  </si>
  <si>
    <t>2BB4</t>
  </si>
  <si>
    <t>WM+ HNI 18-19 Lô B Đại Kim</t>
  </si>
  <si>
    <t>Ô số 18 và 19 Lô B, Khu đô thị mới Đại Kim - Định Công, Phường Định Công, Thành phố Hà Nội Việt Nam</t>
  </si>
  <si>
    <t>2BB6</t>
  </si>
  <si>
    <t>WIN HNI SA1 Vinhomes Smart City</t>
  </si>
  <si>
    <t>Tầng 1, Căn 1S12-1S13-1S16, Tòa SA1, Ô đất F3-CH02&amp;CH03, Dự án KĐTM Tây Mỗ - Đại Mỗ - Vinhomes Park, Phường Tây Mỗ, TP. Hà Nội Việt Nam</t>
  </si>
  <si>
    <t>2BB7</t>
  </si>
  <si>
    <t>WIN HNI HH4C Linh Đàm</t>
  </si>
  <si>
    <t>Tầng 1, Tòa HH4C, Khu đô thị Linh Đàm, Phường Hoàng Liệt, Thành phố Hà Nội Việt Nam</t>
  </si>
  <si>
    <t>2BB8</t>
  </si>
  <si>
    <t>WM+ TNN 305-307 TDP Cầu Thành 1</t>
  </si>
  <si>
    <t>Số 305-307, Tổ dân phố Cầu Thành 1, Xã Đại Phúc Tỉnh Thái Nguyên Việt Nam</t>
  </si>
  <si>
    <t>2BBA</t>
  </si>
  <si>
    <t>WM+ HNI Lô A3, Số 2 Giảng Võ</t>
  </si>
  <si>
    <t>Số 01, Lô A3, Khu nhà ở số 2 Giảng Võ, Phường Giảng Võ, TP. Hà Nội TP. Hà Nội Việt Nam</t>
  </si>
  <si>
    <t>2BBB</t>
  </si>
  <si>
    <t>WM+ HTH Phúc Sơn, Xuân Lộc</t>
  </si>
  <si>
    <t>Thôn Phúc Sơn, Xã Xuân Lộc, Tỉnh Hà Tĩnh T. Hà Tĩnh Việt Nam</t>
  </si>
  <si>
    <t>2BBC</t>
  </si>
  <si>
    <t>WM+ HTH Quyết Thắng, Cẩm Trung</t>
  </si>
  <si>
    <t>Thôn Quyết Thắng, Xã Cẩm Trung, Tỉnh Hà Tĩnh T. Hà Tĩnh Việt Nam</t>
  </si>
  <si>
    <t>2BBD</t>
  </si>
  <si>
    <t>WM+ THA Trung Thành, Lương Sơn</t>
  </si>
  <si>
    <t>Thôn Trung Thành, Xã Lương Sơn, Tỉnh Thanh Hóa T. Thanh Hóa Việt Nam</t>
  </si>
  <si>
    <t>2BBE</t>
  </si>
  <si>
    <t>WIN HNI CT8A Dương Nội</t>
  </si>
  <si>
    <t>Tầng 1, Tòa CT8A, Khu đô thị mới Dương Nội, TP. Hà Nội TP. Hà Nội Việt Nam</t>
  </si>
  <si>
    <t>2BBF</t>
  </si>
  <si>
    <t>WM+ HPG Cúc Thị, Khúc Thừa Dụ</t>
  </si>
  <si>
    <t>Thôn Cúc Thị, Xã Khúc Thừa Dụ, Thành phố Hải Phòng TP. Hải Phòng Việt Nam</t>
  </si>
  <si>
    <t>2BBG</t>
  </si>
  <si>
    <t>WM+ BNH Ngọc Trì, Lâm Thao</t>
  </si>
  <si>
    <t>Thôn Ngọc Trì, Xã Lâm Thao, Tỉnh Bắc Ninh T. Bắc Ninh Việt Nam</t>
  </si>
  <si>
    <t>2BBH</t>
  </si>
  <si>
    <t>WM+ PTO Khu 8, Đông Thành</t>
  </si>
  <si>
    <t>Khu 8, Xã Đông Thành, Tỉnh Phú Thọ T. Phú Thọ Việt Nam</t>
  </si>
  <si>
    <t>2BBI</t>
  </si>
  <si>
    <t>WM+ BNH An Động, Tân Chi</t>
  </si>
  <si>
    <t>Thôn An Động, Xã Tân Chi, Tỉnh Bắc Ninh T. Bắc Ninh Việt Nam</t>
  </si>
  <si>
    <t>2BBJ</t>
  </si>
  <si>
    <t>WM+ HYN Thôn 3, Chí Minh</t>
  </si>
  <si>
    <t>Thôn 3, Xã Chí Minh, Tỉnh Hưng Yên T. Hưng Yên Việt Nam</t>
  </si>
  <si>
    <t>2BBK</t>
  </si>
  <si>
    <t>WM+ THA Hanh Cát 1, Yên Ninh</t>
  </si>
  <si>
    <t>Số 405, Thôn Hanh Cát 1, Xã Yên Ninh, Tỉnh Thanh Hóa T. Thanh Hóa Việt Nam</t>
  </si>
  <si>
    <t>2BBN</t>
  </si>
  <si>
    <t>WM+ PTO Giáp Xuân, Phú Khê</t>
  </si>
  <si>
    <t>Khu Giáp Xuân, Xã Phú Khê, Tỉnh Phú Thọ T. Phú Thọ Việt Nam</t>
  </si>
  <si>
    <t>2BBP</t>
  </si>
  <si>
    <t>WM+ BNH Thôn Khánh, Hiệp Hòa</t>
  </si>
  <si>
    <t>Thôn Khánh, Xã Hiệp Hòa, Tỉnh Bắc Ninh T. Bắc Ninh Việt Nam</t>
  </si>
  <si>
    <t>2BBQ</t>
  </si>
  <si>
    <t>WM+ BNH TDP Đông Khánh, Cảnh Thụy</t>
  </si>
  <si>
    <t>Tổ dân phố Đông Khánh, Phường Cảnh Thụy, Tỉnh Bắc Ninh T. Bắc Ninh Việt Nam</t>
  </si>
  <si>
    <t>2BBR</t>
  </si>
  <si>
    <t>WM+ HNI 31 Thao Chính, Phú Xuyên</t>
  </si>
  <si>
    <t>Số 31 Tiểu Khu Thao Chính, Xã Phú Xuyên, Thành phố Hà Nội TP. Hà Nội Việt Nam</t>
  </si>
  <si>
    <t>2BBS</t>
  </si>
  <si>
    <t>WM+ THA Phố Cát, Vân Du</t>
  </si>
  <si>
    <t>Khu phố Phố Cát, Xã Vân Du, Tỉnh Thanh Hóa T. Thanh Hóa Việt Nam</t>
  </si>
  <si>
    <t>2BBT</t>
  </si>
  <si>
    <t>WM+ NAN Trù Sơn 6, Bạch Hà</t>
  </si>
  <si>
    <t>Xóm Trù Sơn 6, Xã Bạch Hà, Tỉnh Nghệ An T. Nghệ An Việt Nam</t>
  </si>
  <si>
    <t>2BBU</t>
  </si>
  <si>
    <t>WM+ HPG Ứng Mộ, Tân An</t>
  </si>
  <si>
    <t>Thôn Ứng Mộ, Xã Tân An, Thành phố Hải Phòng TP. Hải Phòng Việt Nam</t>
  </si>
  <si>
    <t>2BBV</t>
  </si>
  <si>
    <t>WM+ BNH Thôn Đoài, Tam Giang</t>
  </si>
  <si>
    <t>Thôn Đoài, Xã Tam Giang, Tỉnh Bắc Ninh T. Bắc Ninh Việt Nam</t>
  </si>
  <si>
    <t>2BBW</t>
  </si>
  <si>
    <t>WM+ BNH Phù Lưu, Yên Phong</t>
  </si>
  <si>
    <t>Thôn Phù Lưu, Xã Yên Phong, Tỉnh Bắc Ninh T. Bắc Ninh Việt Nam</t>
  </si>
  <si>
    <t>2BBY</t>
  </si>
  <si>
    <t>WM+ HNI Xuân Tàng, Đa Phúc</t>
  </si>
  <si>
    <t>Số 44, Thôn Xuân Tàng, Xã Đa Phúc, Thành Phố Hà Nội TP. Hà Nội Việt Nam</t>
  </si>
  <si>
    <t>2BC3</t>
  </si>
  <si>
    <t>WM+ HPG 142 An Đà</t>
  </si>
  <si>
    <t>Số 142 An Đà, Phường Gia Viên, Thành phố Hải Phòng Việt Nam</t>
  </si>
  <si>
    <t>2BC4</t>
  </si>
  <si>
    <t>WM+ THA Minh Sơn, Thạch Bình</t>
  </si>
  <si>
    <t>Thôn Minh Sơn, Xã Thạch Bình, Tỉnh Thanh Hóa Việt Nam</t>
  </si>
  <si>
    <t>2BC5</t>
  </si>
  <si>
    <t>WM+ PTO Quế Trạo, Tam Sơn</t>
  </si>
  <si>
    <t>Thôn Quế Trạo B, Xã Tam Sơn, Tỉnh Phú Thọ Việt Nam</t>
  </si>
  <si>
    <t>2BC8</t>
  </si>
  <si>
    <t>WM+ HNI 19 Cây Xanh</t>
  </si>
  <si>
    <t>Số nhà 19 Đường Cây Xanh, Thôn Dược Hạ, Xã Sóc Sơn Thành phố Hà Nội Việt Nam</t>
  </si>
  <si>
    <t>2BCA</t>
  </si>
  <si>
    <t>WM+ THA Thôn 1 Lê Lợi, Hoằng Hóa</t>
  </si>
  <si>
    <t>Số 195-197 Đường ĐT 510, Thôn 1 Lê Lợi, Xã Hoằng Hóa, T. Thanh Hóa Việt Nam</t>
  </si>
  <si>
    <t>2BCB</t>
  </si>
  <si>
    <t>WM+ BNH Ngọc Thành 2, Hoàng Vân</t>
  </si>
  <si>
    <t>Thôn Ngọc Thành 2, Xã Hoàng Vân, Tỉnh Bắc Ninh T. Bắc Ninh Việt Nam</t>
  </si>
  <si>
    <t>2BCC</t>
  </si>
  <si>
    <t>WM+ PTO Đại Tự 2, Liên Châu</t>
  </si>
  <si>
    <t>Thôn Đại Tự 2, Xã Liên Châu, Tỉnh Phú Thọ T. Phú Thọ Việt Nam</t>
  </si>
  <si>
    <t>2BCE</t>
  </si>
  <si>
    <t>WM+ THA 353-355 Lê Thái Tổ</t>
  </si>
  <si>
    <t>353-355 Lê Thái Tổ, Thôn 6, Xã Kim Tân, Tỉnh Thanh Hóa T. Thanh Hóa Việt Nam</t>
  </si>
  <si>
    <t>2BCF</t>
  </si>
  <si>
    <t>WM+ THA Phú Hậu 1, Xuân Lập</t>
  </si>
  <si>
    <t>Thôn Phú Hậu 1, Xã Xuân Lập, Tỉnh Thanh Hóa T. Thanh Hóa Việt Nam</t>
  </si>
  <si>
    <t>2BCH</t>
  </si>
  <si>
    <t>Số nhà 241 Đường Nguyễn Trãi, Khu Hoàng Hanh, Xã Nam Sách, TP. Hải Phòng Việt Nam</t>
  </si>
  <si>
    <t>2BCI</t>
  </si>
  <si>
    <t>WIN HNI 125 Hoàng Ngân</t>
  </si>
  <si>
    <t>K2TM1 Tòa nhà trụ sở Công ty, TTTM, văn phòng và căn hộ TP. Hà Nội Việt Nam</t>
  </si>
  <si>
    <t>2BCK</t>
  </si>
  <si>
    <t>WM+ HYN Quang Xá, Quang Hưng</t>
  </si>
  <si>
    <t>Thôn Quang Xá, Xã Quang Hưng, Tỉnh Hưng Yên T. Hưng Yên Việt Nam</t>
  </si>
  <si>
    <t>2BCL</t>
  </si>
  <si>
    <t>WM+ BNH Thôn Giếng, Bắc Lũng</t>
  </si>
  <si>
    <t>Thôn Giếng, Xã Bắc Lũng, Tỉnh Bắc Ninh T. Bắc Ninh Việt Nam</t>
  </si>
  <si>
    <t>2BCM</t>
  </si>
  <si>
    <t>WM+ HPG TDP Phả Lễ 2, Nam Triệu</t>
  </si>
  <si>
    <t>Tổ Dân Phố Phả Lễ 2, Phường Nam Triệu, Thành phố Hải Phòng TP. Hải Phòng Việt Nam</t>
  </si>
  <si>
    <t>2BCN</t>
  </si>
  <si>
    <t>WM+ BNH Gò Pháo, Hợp Thịnh</t>
  </si>
  <si>
    <t>Thôn Gò Pháo, Xã Hợp Thịnh, Tỉnh Bắc Ninh T. Bắc Ninh Việt Nam</t>
  </si>
  <si>
    <t>2BCQ</t>
  </si>
  <si>
    <t>WM+ BNH Vạn Ty, Nhân Thắng</t>
  </si>
  <si>
    <t>Thôn Vạn Ty, Xã Nhân Thắng, Tỉnh Bắc Ninh T. Bắc Ninh Việt Nam</t>
  </si>
  <si>
    <t>2BCR</t>
  </si>
  <si>
    <t>WM+ QNH 155-157 Đông Hải</t>
  </si>
  <si>
    <t>Số 155-157 Đường Đông Hải, Khu 7, Phường Liên Hòa, T. Quảng Ninh Việt Nam</t>
  </si>
  <si>
    <t>2BCS</t>
  </si>
  <si>
    <t>WM+ BNH Phố Bùi, Tân Yên</t>
  </si>
  <si>
    <t>Thôn Phố Bùi, Xã Tân Yên, Tỉnh Bắc Ninh T. Bắc Ninh Việt Nam</t>
  </si>
  <si>
    <t>2BCW</t>
  </si>
  <si>
    <t>WM+ HNI 168 Thượng Tiết</t>
  </si>
  <si>
    <t>Số 168 Thượng Tiết, Thôn Thượng Tiết, Xã Mỹ Đức, TP. Hà Nội Việt Nam</t>
  </si>
  <si>
    <t>2BCX</t>
  </si>
  <si>
    <t>WM+ HNI Thành Lập 1, Đại Xuyên</t>
  </si>
  <si>
    <t>Thôn Thành Lập 1, Xã Đại Xuyên, Thành phố Hà Nội TP. Hà Nội Việt Nam</t>
  </si>
  <si>
    <t>2BCY</t>
  </si>
  <si>
    <t>WM+ HNI Nại Châu, Yên Lãng</t>
  </si>
  <si>
    <t>Thôn Nại Châu, Xã Yên Lãng, Thành phố Hà Nội TP. Hà Nội Việt Nam</t>
  </si>
  <si>
    <t>2BCZ</t>
  </si>
  <si>
    <t>WM+ BNH Trung Thành, Hợp Thịnh</t>
  </si>
  <si>
    <t>Thôn Trung Thành, Xã Hợp Thịnh, Tỉnh Bắc Ninh T. Bắc Ninh Việt Nam</t>
  </si>
  <si>
    <t>2BD1</t>
  </si>
  <si>
    <t>WM+ HNI Hoàng Xá, Chương Dương</t>
  </si>
  <si>
    <t>Số 116, Thôn Hoàng Xá, Xã Chương Dương, Thành phố Hà Nội Việt Nam</t>
  </si>
  <si>
    <t>2BD3</t>
  </si>
  <si>
    <t>WM+ NAN Làng Danh, Giai Lạc</t>
  </si>
  <si>
    <t>Xóm Làng Danh, Xã Giai Lạc, Tỉnh Nghệ An Việt Nam</t>
  </si>
  <si>
    <t>2BD4</t>
  </si>
  <si>
    <t>WM+ NAN 95 Nguyễn Cảnh Hoan</t>
  </si>
  <si>
    <t>Số 95 Nguyễn Cảnh Hoan, Khối 5, Phường Vinh Hưng Tỉnh Nghệ An Việt Nam</t>
  </si>
  <si>
    <t>2BD6</t>
  </si>
  <si>
    <t>WM+ THA Lý Yên, Yên Định</t>
  </si>
  <si>
    <t>Khu phố Lý Yên, Xã Yên Định, Tỉnh Thanh Hóa Việt Nam</t>
  </si>
  <si>
    <t>2BD8</t>
  </si>
  <si>
    <t>WM+ THA 62 Đường 4C, Tiên Trang</t>
  </si>
  <si>
    <t>Số 62 Đường 4C, Xã Tiên Trang, Tỉnh Thanh Hóa Việt Nam</t>
  </si>
  <si>
    <t>2BD9</t>
  </si>
  <si>
    <t>WM+ THA 1206 Quang Trung</t>
  </si>
  <si>
    <t>Số 1206 Đường Quang Trung, Phường Quảng Phú, Tỉnh Thanh Hóa Việt Nam</t>
  </si>
  <si>
    <t>2BDA</t>
  </si>
  <si>
    <t>WM+ PTO Hòa Bình, Hải Lựu 2</t>
  </si>
  <si>
    <t>Thửa đất số 110, Tờ bản đồ số 9, Thôn Hòa Bình, T. Phú Thọ Việt Nam</t>
  </si>
  <si>
    <t>2BDB</t>
  </si>
  <si>
    <t>WM+ THA Phố Thắng, Đông Tiến</t>
  </si>
  <si>
    <t>Phố Thắng, Phường Đông Tiến, Tỉnh Thanh Hóa T. Thanh Hóa Việt Nam</t>
  </si>
  <si>
    <t>2BDD</t>
  </si>
  <si>
    <t>WM+ NBH Xóm 1, Khánh Thiện</t>
  </si>
  <si>
    <t>Xóm 1, Xã Khánh Thiện, Tỉnh Ninh Bình T. Ninh Bình Việt Nam</t>
  </si>
  <si>
    <t>2BDF</t>
  </si>
  <si>
    <t>WM+ PTO Trung Tiến 2, Hùng Việt</t>
  </si>
  <si>
    <t>Khu Trung Tiến 2, Xã Hùng Việt, Tỉnh Phú Thọ T. Phú Thọ Việt Nam</t>
  </si>
  <si>
    <t>2BDI</t>
  </si>
  <si>
    <t>WM+ PTO Phú Nông, Vĩnh An</t>
  </si>
  <si>
    <t>Thôn Phú Nông, Xã Vĩnh An, Tỉnh Phú Thọ T. Phú Thọ Việt Nam</t>
  </si>
  <si>
    <t>2BDJ</t>
  </si>
  <si>
    <t>WM+ NBH Đình Cựu, Thống Nhất</t>
  </si>
  <si>
    <t>Thôn Đình Cựu, Đường Thống Nhất, Xã Cổ Lễ, Tỉnh Ninh Bình T. Ninh Bình Việt Nam</t>
  </si>
  <si>
    <t>2BDL</t>
  </si>
  <si>
    <t>WM+ HYN Vô Hối Tây, Nam Thụy Anh</t>
  </si>
  <si>
    <t>Thôn Vô Hối Tây, Xã Nam Thụy Anh, Tỉnh Hưng Yên T. Hưng Yên Việt Nam</t>
  </si>
  <si>
    <t>2BDM</t>
  </si>
  <si>
    <t>WM+ HNI 51 Thư Dương</t>
  </si>
  <si>
    <t>Số 51 Thư Dương, Xã Chương Dương, Thành phố Hà Nội TP. Hà Nội Việt Nam</t>
  </si>
  <si>
    <t>2BDN</t>
  </si>
  <si>
    <t>WM+ HYN Quý Đức, Đông Tiền Hải</t>
  </si>
  <si>
    <t>Thôn Quý Đức, Xã Đông Tiền Hải, Tỉnh Hưng Yên T. Hưng Yên Việt Nam</t>
  </si>
  <si>
    <t>2BDO</t>
  </si>
  <si>
    <t>WM+ PTO Khu An Ninh, Hùng Việt</t>
  </si>
  <si>
    <t>Khu An Ninh, Xã Hùng Việt, Tỉnh Phú Thọ T. Phú Thọ Việt Nam</t>
  </si>
  <si>
    <t>2BDP</t>
  </si>
  <si>
    <t>WM+ BNH Làng Sai, Ngọc Thiện</t>
  </si>
  <si>
    <t>Thôn Làng Sai, Xã Ngọc Thiện, Tỉnh Bắc Ninh T. Bắc Ninh Việt Nam</t>
  </si>
  <si>
    <t>2BDQ</t>
  </si>
  <si>
    <t>WM+ BNH Mải Hạ, Mỹ Thái</t>
  </si>
  <si>
    <t>Thôn Mải Hạ, Xã Mỹ Thái, Tỉnh Bắc Ninh T. Bắc Ninh Việt Nam</t>
  </si>
  <si>
    <t>2BDR</t>
  </si>
  <si>
    <t>WM+ HYN Yên Khê, Việt Tiến</t>
  </si>
  <si>
    <t>Xóm 6, Thôn Yên Khê, Xã Việt Tiến, Tỉnh Hưng Yên T. Hưng Yên Việt Nam</t>
  </si>
  <si>
    <t>2BDS</t>
  </si>
  <si>
    <t>WM+ NBH Duy Dương, Bình An</t>
  </si>
  <si>
    <t>Thôn Duy Dương, Xã Bình An, Tỉnh Ninh Bình T. Ninh Bình Việt Nam</t>
  </si>
  <si>
    <t>2BDT</t>
  </si>
  <si>
    <t>WM+ HNI Châu Phong, Thư Lâm</t>
  </si>
  <si>
    <t>Thôn Châu Phong, Xã Thư Lâm, Thành phố Hà Nội TP. Hà Nội Việt Nam</t>
  </si>
  <si>
    <t>2BDW</t>
  </si>
  <si>
    <t>WM+ NAN Đồng Nại, Quỳ Hợp</t>
  </si>
  <si>
    <t>Xóm Đồng Nại, Xã Quỳ Hợp, Tỉnh Nghệ An T. Nghệ An Việt Nam</t>
  </si>
  <si>
    <t>2BDX</t>
  </si>
  <si>
    <t>WM+ NAN Liên Chung, Cát Ngạn</t>
  </si>
  <si>
    <t>Xóm Liên Chung, Xã Cát Ngạn, Tỉnh Nghệ An T. Nghệ An Việt Nam</t>
  </si>
  <si>
    <t>2BE2</t>
  </si>
  <si>
    <t>WM+ TNN Ngã 3 Cầu Mây</t>
  </si>
  <si>
    <t>Ngã 3 Cầu Mây, Xóm Kiều Chính, Xã Phú Bình, Tỉnh Thái Nguyên Việt Nam</t>
  </si>
  <si>
    <t>2BE4</t>
  </si>
  <si>
    <t>WM+ HYN 231 Phố Phủ</t>
  </si>
  <si>
    <t>Số 231 Phố Phủ, Xã Khoái Châu, T. Hưng Yên Việt Nam</t>
  </si>
  <si>
    <t>2BE5</t>
  </si>
  <si>
    <t>WM+ THA Quốc lộ 47C, Thọ Phú</t>
  </si>
  <si>
    <t>Số 79, Quốc lộ 47C, Xã Thọ Phú, Tỉnh Thanh Hóa Việt Nam</t>
  </si>
  <si>
    <t>2BE6</t>
  </si>
  <si>
    <t>WM+ THA 487-489 Vĩnh Long 1</t>
  </si>
  <si>
    <t>Số 487-489 Khu phố Vĩnh Long 1, Xã Như Thanh, Tỉnh Thanh Hóa Việt Nam</t>
  </si>
  <si>
    <t>2BE9</t>
  </si>
  <si>
    <t>WM+ QNH 214EF Trần Phú</t>
  </si>
  <si>
    <t>Số 214EF Trần Phú, Phường Cẩm Phả, Tỉnh Quảng Ninh Việt Nam</t>
  </si>
  <si>
    <t>2BEA</t>
  </si>
  <si>
    <t>WM+ HNI Đỗ Hà, Thường Tín</t>
  </si>
  <si>
    <t>Thôn Đỗ Hà, Xã Thường Tín, Thành phố Hà Nội TP. Hà Nội Việt Nam</t>
  </si>
  <si>
    <t>2BEB</t>
  </si>
  <si>
    <t>WM+ HNI Nhuận Trạch, Cổ Đô</t>
  </si>
  <si>
    <t>Số 24-24A, Thôn Nhuận Trạch, Xã Cổ Đô, Thành phố Hà Nội TP. Hà Nội Việt Nam</t>
  </si>
  <si>
    <t>2BEC</t>
  </si>
  <si>
    <t>WM+ HNI Thanh Lũng, Quảng Oai</t>
  </si>
  <si>
    <t>Số 60, Đường DT90, Thôn Thanh Lũng, Xã Quảng Oai, TP. Hà Nội Việt Nam</t>
  </si>
  <si>
    <t>2BED</t>
  </si>
  <si>
    <t>WM+ HTH Hội Thành, Đan Hải</t>
  </si>
  <si>
    <t>Xóm Hội Thành, Xã Đan Hải, Tỉnh Hà Tĩnh T. Hà Tĩnh Việt Nam</t>
  </si>
  <si>
    <t>2BEE</t>
  </si>
  <si>
    <t>WM+ HTH Tân Vĩnh Cần, Cẩm Bình</t>
  </si>
  <si>
    <t>Thôn Tân Vĩnh Cần, Xã Cẩm Bình, Tỉnh Hà Tĩnh T. Hà Tĩnh Việt Nam</t>
  </si>
  <si>
    <t>2BEG</t>
  </si>
  <si>
    <t>WM+ PTO Hữu Phúc, Thái Hòa</t>
  </si>
  <si>
    <t>Thôn Hữu Phúc, Xã Thái Hòa, Tỉnh Phú Thọ T. Phú Thọ Việt Nam</t>
  </si>
  <si>
    <t>2BEH</t>
  </si>
  <si>
    <t>WM+ TQG Thôn 4, Bắc Quang</t>
  </si>
  <si>
    <t>Số 568, Thôn 4, Xã Bắc Quang, Tỉnh Tuyên Quang T. Tuyên Quang Việt Nam</t>
  </si>
  <si>
    <t>2BEI</t>
  </si>
  <si>
    <t>WM+ NBH Ngưỡng Nhân, Giao Hưng</t>
  </si>
  <si>
    <t>Xóm Ngưỡng Nhân, Xã Giao Hưng, Tỉnh Ninh Bình T. Ninh Bình Việt Nam</t>
  </si>
  <si>
    <t>2BEK</t>
  </si>
  <si>
    <t>WM+ HNI 72 Phú Nghĩa</t>
  </si>
  <si>
    <t>Số 72 Đường Phú Nghĩa, Thôn Phú Nghĩa, Xã Cổ Đô, TP. Hà Nội Việt Nam</t>
  </si>
  <si>
    <t>2BEM</t>
  </si>
  <si>
    <t>WM+ HNI An Trai, Sơn Đồng</t>
  </si>
  <si>
    <t>Thôn An Trai, Xã Sơn Đồng, Thành phố Hà Nội TP. Hà Nội Việt Nam</t>
  </si>
  <si>
    <t>2BEN</t>
  </si>
  <si>
    <t>WM+ NAN Xóm 6, Thần Lĩnh</t>
  </si>
  <si>
    <t>Thửa đất số 58, tờ bản đồ số 6, Xóm 6, Xã Thần Lĩnh, T. Nghệ An Việt Nam</t>
  </si>
  <si>
    <t>2BEO</t>
  </si>
  <si>
    <t>Thửa đất số 680, tờ bản đồ số 23, Xóm 3, Xã Đại Huệ, T. Nghệ An Việt Nam</t>
  </si>
  <si>
    <t>2BES</t>
  </si>
  <si>
    <t>WM+ PTO Trung Kiên, Sơn Đông</t>
  </si>
  <si>
    <t>Thôn Trung Kiên, Xã Sơn Đông, Tỉnh Phú Thọ T. Phú Thọ Việt Nam</t>
  </si>
  <si>
    <t>2BET</t>
  </si>
  <si>
    <t>WM+ HPG Thanh Kỳ, Chí Minh</t>
  </si>
  <si>
    <t>Thôn Thanh Kỳ, Xã Chí Minh, Thành phố Hải Phòng TP. Hải Phòng Việt Nam</t>
  </si>
  <si>
    <t>2BEV</t>
  </si>
  <si>
    <t>WM+ PTO Đội 3, Nông Trang</t>
  </si>
  <si>
    <t>Đội 3, Phường Nông Trang, Tỉnh Phú Thọ T. Phú Thọ Việt Nam</t>
  </si>
  <si>
    <t>2BEX</t>
  </si>
  <si>
    <t>WM+ THA 19 Đường 4A, Nam Sầm Sơn</t>
  </si>
  <si>
    <t>Số nhà 19, Đường 4A, Phường Nam Sầm Sơn, Tỉnh Thanh Hóa T. Thanh Hóa Việt Nam</t>
  </si>
  <si>
    <t>2BEY</t>
  </si>
  <si>
    <t>WM+ NAN Thôn 4, Quỳnh Lưu</t>
  </si>
  <si>
    <t>Thôn 4, Xã Quỳnh Lưu, Tỉnh Nghệ An T. Nghệ An Việt Nam</t>
  </si>
  <si>
    <t>2BEZ</t>
  </si>
  <si>
    <t>WM+ NAN Hải Thượng Lãn Ông, Tân Mai</t>
  </si>
  <si>
    <t>Đường Hải Thượng Lãn Ông, Thôn 5, Phường Tân Mai, T. Nghệ An Việt Nam</t>
  </si>
  <si>
    <t>2BF0</t>
  </si>
  <si>
    <t>WM+ HPG CH-TM3T-06 Quang Vinh</t>
  </si>
  <si>
    <t>Căn CH-TM3T-06 Khu nhà ở xã hội Quang Vinh, Số 39 Lương Khánh Thiện, Phường Gia Viên, Thành phố Hải Phòng Việt Nam</t>
  </si>
  <si>
    <t>2BF1</t>
  </si>
  <si>
    <t>WM+ PTO Bắc Tiến 2, Hùng Việt</t>
  </si>
  <si>
    <t>Khu Bắc Tiến 2, Xã Hùng Việt, Tỉnh Phú Thọ Việt Nam</t>
  </si>
  <si>
    <t>2BF2</t>
  </si>
  <si>
    <t>WM+ HPG 92 Đa Phúc</t>
  </si>
  <si>
    <t>Số 92 Đa Phúc, Phường Hưng Đạo, Thành phố Hải Phòng Việt Nam</t>
  </si>
  <si>
    <t>2BF5</t>
  </si>
  <si>
    <t>WM+ HNI Hải Bối, Vĩnh Thanh</t>
  </si>
  <si>
    <t>Thôn Hải Bối, Xã Vĩnh Thanh, Thành phố Hà Nội Việt Nam</t>
  </si>
  <si>
    <t>2BF6</t>
  </si>
  <si>
    <t>WM+ HNI Quán Mỹ, Kim Anh</t>
  </si>
  <si>
    <t>Số 51, Thôn Quán Mỹ, Xã Kim Anh, Thành phố Hà Nội Việt Nam</t>
  </si>
  <si>
    <t>2BF7</t>
  </si>
  <si>
    <t>WM+ NAN 05 Hồng Liên</t>
  </si>
  <si>
    <t>Số nhà 05, Đường Hồng Liên, Xóm Trung Liên, Phường Vinh Hưng, Tỉnh Nghệ An Việt Nam</t>
  </si>
  <si>
    <t>2BF8</t>
  </si>
  <si>
    <t>WM+ HTH 157 Nguyễn Tuấn Thiện</t>
  </si>
  <si>
    <t>Số nhà 157, Đường Nguyễn Tuấn Thiện, TDP 2, Xã Hương Sơn, Tỉnh Hà Tĩnh Việt Nam</t>
  </si>
  <si>
    <t>2BFC</t>
  </si>
  <si>
    <t>WM+ HTH Thôn Mỹ Trung, Cẩm Duệ</t>
  </si>
  <si>
    <t>Thôn Mỹ Trung, Xã Cẩm Duệ, Tỉnh Hà Tĩnh T. Hà Tĩnh Việt Nam</t>
  </si>
  <si>
    <t>2BFE</t>
  </si>
  <si>
    <t>WM+ THA Phố Tân Sơn, Hoằng Hóa</t>
  </si>
  <si>
    <t>Phố Tân Sơn, Xã Hoằng Hóa, Tỉnh Thanh Hóa T. Thanh Hóa Việt Nam</t>
  </si>
  <si>
    <t>2BFF</t>
  </si>
  <si>
    <t>WM+ HNI Yên Thái, Phú Cát</t>
  </si>
  <si>
    <t>Thôn Yên Thái, Xã Phú Cát, Thành phố Hà Nội TP. Hà Nội Việt Nam</t>
  </si>
  <si>
    <t>2BFG</t>
  </si>
  <si>
    <t>WM+ HPG GH 72, KĐTM Long Sơn</t>
  </si>
  <si>
    <t>GH 72, Khu Đô Thị Mới Long Sơn, Phường Hồng An, TP. Hải Phòng Việt Nam</t>
  </si>
  <si>
    <t>2BFH</t>
  </si>
  <si>
    <t>WM+ BNH Ngọc Liễn, Xuân Cẩm</t>
  </si>
  <si>
    <t>Thôn Ngọc Liễn, Xã Xuân Cẩm, Tỉnh Bắc Ninh T. Bắc Ninh Việt Nam</t>
  </si>
  <si>
    <t>2BFJ</t>
  </si>
  <si>
    <t>WM+ HNI Thôn Nội 5, Phượng Dực</t>
  </si>
  <si>
    <t>Thôn Nội 5, Xã Phượng Dực, Thành phố Hà Nội TP. Hà Nội Việt Nam</t>
  </si>
  <si>
    <t>2BFL</t>
  </si>
  <si>
    <t>WM+ THA 41 Liên Xã, Thiệu Tiến</t>
  </si>
  <si>
    <t>Số 41 Đường Liên Xã, Thôn Thành Tiến, Xã Thiệu Tiến, T. Thanh Hóa Việt Nam</t>
  </si>
  <si>
    <t>2BFM</t>
  </si>
  <si>
    <t>WM+ THA 37 Khê Ngọc, Trường Thành</t>
  </si>
  <si>
    <t>Số nhà 37, Đường Khê Ngọc, Thôn Trường Thành, T. Thanh Hóa Việt Nam</t>
  </si>
  <si>
    <t>2BFN</t>
  </si>
  <si>
    <t>WM+ NAN Xóm 2, Trung Lộc (2)</t>
  </si>
  <si>
    <t>Thửa đất số 300, Tờ bản đồ số 20, Xóm 2, Xã Trung Lộc, T. Nghệ An Việt Nam</t>
  </si>
  <si>
    <t>2BFO</t>
  </si>
  <si>
    <t>WM+ NAN Xóm Thành, Trung Lộc</t>
  </si>
  <si>
    <t>Xóm Thành, Xã Trung Lộc, Tỉnh Nghệ An T. Nghệ An Việt Nam</t>
  </si>
  <si>
    <t>2BFR</t>
  </si>
  <si>
    <t>WM+ NAN Xóm 6, Quỳnh Phú</t>
  </si>
  <si>
    <t>Xóm 6, Xã Quỳnh Phú, Tỉnh Nghệ An T. Nghệ An Việt Nam</t>
  </si>
  <si>
    <t>2BFT</t>
  </si>
  <si>
    <t>WM+ CBG Xuân Lộc, Trường Hà</t>
  </si>
  <si>
    <t>Số A82-A83, Xóm Xuân Lộc, Xã Trường Hà, Tỉnh Cao Bằng T. Cao Bằng Việt Nam</t>
  </si>
  <si>
    <t>CHI NHÁNH CAO BẰNG - CÔNG TY CỔ PHẦN DỊCH VỤ THƯƠNG MẠI TỔNG HỢP WINCOMMERCE</t>
  </si>
  <si>
    <t>2BFV</t>
  </si>
  <si>
    <t>WM+ HPG Thôn 5, Nam Triệu</t>
  </si>
  <si>
    <t>Thôn 5, Phường Nam Triệu, Thành phố Hải Phòng TP. Hải Phòng Việt Nam</t>
  </si>
  <si>
    <t>2BFX</t>
  </si>
  <si>
    <t>WM+ BNH TDP Nội Ninh, Vân Hà</t>
  </si>
  <si>
    <t>Tổ dân phố Nội Ninh, Phường Vân Hà, Tỉnh Bắc Ninh T. Bắc Ninh Việt Nam</t>
  </si>
  <si>
    <t>2BFY</t>
  </si>
  <si>
    <t>Số 2A, Ngõ 303 Phúc Lợi, Tổ 9, Phường Phúc Lợi, TP. Hà Nội Việt Nam</t>
  </si>
  <si>
    <t>2BFZ</t>
  </si>
  <si>
    <t>WM+ HYN Đồng Phúc, Đồng Bằng</t>
  </si>
  <si>
    <t>Thôn Đồng Phúc, Xã Đồng Bằng, Tỉnh Hưng Yên T. Hưng Yên Việt Nam</t>
  </si>
  <si>
    <t>2BG2</t>
  </si>
  <si>
    <t>WM+ HNI 3 Đông Đoài, Cổ Đô</t>
  </si>
  <si>
    <t>Số 3 Đường Đông Đoài, Thôn Tân Phong 2, Xã Cổ Đô, Thành phố Hà Nội Việt Nam</t>
  </si>
  <si>
    <t>2BG5</t>
  </si>
  <si>
    <t>WM+ HPG Thôn 1, Kiến Hải</t>
  </si>
  <si>
    <t>Thôn 1, Xã Kiến Hải, Thành phố Hải Phòng Việt Nam</t>
  </si>
  <si>
    <t>2BG6</t>
  </si>
  <si>
    <t>WM+ THA Thôn Điền, Tiên Trang</t>
  </si>
  <si>
    <t>Số 102, Thôn Điền, Xã Tiên Trang, Tỉnh Thanh Hóa Việt Nam</t>
  </si>
  <si>
    <t>2BG7</t>
  </si>
  <si>
    <t>WM+ HNI Hiền Lương, Nội Bài</t>
  </si>
  <si>
    <t>Số 97, Thôn Hiền Lương, Xã Nội Bài, Thành phố Hà Nội Việt Nam</t>
  </si>
  <si>
    <t>2BG8</t>
  </si>
  <si>
    <t>WM+ HTH Thọ Tường, Đức Minh</t>
  </si>
  <si>
    <t>Thôn Thọ Tường, Xã Đức Minh, Tỉnh Hà Tĩnh Việt Nam</t>
  </si>
  <si>
    <t>2BG9</t>
  </si>
  <si>
    <t>WM+ THA Xóm 4, Thiệu Trung</t>
  </si>
  <si>
    <t>Xóm 4, Xã Thiệu Trung, Tỉnh Thanh Hóa Việt Nam</t>
  </si>
  <si>
    <t>2BGA</t>
  </si>
  <si>
    <t>WM+ HNI Lễ Pháp, Phúc Thịnh</t>
  </si>
  <si>
    <t>Thôn Lễ Pháp, Xã Phúc Thịnh, Thành phố Hà Nội TP. Hà Nội Việt Nam</t>
  </si>
  <si>
    <t>2BGB</t>
  </si>
  <si>
    <t>WM+ PTO Thôn Trung, Vĩnh Thành</t>
  </si>
  <si>
    <t>Thôn Trung, Xã Vĩnh Thành, Tỉnh Phú Thọ T. Phú Thọ Việt Nam</t>
  </si>
  <si>
    <t>2BGC</t>
  </si>
  <si>
    <t>WM+ THA Thôn Vân Lộ, Thọ Xuân</t>
  </si>
  <si>
    <t>Thôn Vân Lộ, Xã Thọ Xuân, Tỉnh Thanh Hóa T. Thanh Hóa Việt Nam</t>
  </si>
  <si>
    <t>2BGD</t>
  </si>
  <si>
    <t>WM+ THA Thôn 4, Xã Xuân Lập</t>
  </si>
  <si>
    <t>Thôn 4, Xã Xuân Lập, Tỉnh Thanh Hóa T. Thanh Hóa Việt Nam</t>
  </si>
  <si>
    <t>2BGE</t>
  </si>
  <si>
    <t>Đường Lê Quang Đạo (kéo dài), Lô B1-B2-B3, Khu Tái Định Cư TP. Hà Nội Việt Nam</t>
  </si>
  <si>
    <t>2BGF</t>
  </si>
  <si>
    <t>WM+ PTO Khu 10, Xuân Lũng</t>
  </si>
  <si>
    <t>Khu 10, Xã Xuân Lũng, Tỉnh Phú Thọ T. Phú Thọ Việt Nam</t>
  </si>
  <si>
    <t>2BGG</t>
  </si>
  <si>
    <t>Thôn Trúc Ổ, Phường Bồng Lai, Tỉnh Bắc Ninh T. Bắc Ninh Việt Nam</t>
  </si>
  <si>
    <t>2BGJ</t>
  </si>
  <si>
    <t>WM+ HNI Thôn Bãi, Bình Minh</t>
  </si>
  <si>
    <t>Thôn Bãi, Xã Bình Minh, Thành phố Hà Nội TP. Hà Nội Việt Nam</t>
  </si>
  <si>
    <t>2BGL</t>
  </si>
  <si>
    <t>WM+ HPG Xuân Hùng, Vĩnh Hòa</t>
  </si>
  <si>
    <t>Thôn Xuân Hùng, Xã Vĩnh Hòa, Thành phố Hải Phòng TP. Hải Phòng Việt Nam</t>
  </si>
  <si>
    <t>2BGM</t>
  </si>
  <si>
    <t>WM+ HNI 21 Hải Bối, Vĩnh Thanh</t>
  </si>
  <si>
    <t>Số 21, Thôn Hải Bối, Xã Vĩnh Thanh, Thành phố Hà Nội TP. Hà Nội Việt Nam</t>
  </si>
  <si>
    <t>2BGN</t>
  </si>
  <si>
    <t>WM+ NBH Thôn 3, Vĩnh Trụ</t>
  </si>
  <si>
    <t>Thôn 3, Xã Vĩnh Trụ, Tỉnh Ninh Bình T. Ninh Bình Việt Nam</t>
  </si>
  <si>
    <t>2BGO</t>
  </si>
  <si>
    <t>WM+ HYN Thôn Nam, Ái Quốc</t>
  </si>
  <si>
    <t>Thôn Nam, Xã Ái Quốc, Tỉnh Hưng Yên T. Hưng Yên Việt Nam</t>
  </si>
  <si>
    <t>2BGT</t>
  </si>
  <si>
    <t>WM+ THA Cụ Thôn, Lĩnh Toại</t>
  </si>
  <si>
    <t>Thôn Cụ Thôn, Xã Lĩnh Toại, Tỉnh Thanh Hóa T. Thanh Hóa Việt Nam</t>
  </si>
  <si>
    <t>2BGU</t>
  </si>
  <si>
    <t>WM+ THA Thôn 3, Thọ Xuân</t>
  </si>
  <si>
    <t>Thôn 3, Xã Thọ Xuân, Tỉnh Thanh Hóa T. Thanh Hóa Việt Nam</t>
  </si>
  <si>
    <t>2BGV</t>
  </si>
  <si>
    <t>129 Sư Vạn Hạnh, Khối Xuân Hương, Phường Vinh Phú, T. Nghệ An Việt Nam</t>
  </si>
  <si>
    <t>2BGW</t>
  </si>
  <si>
    <t>WM+ NAN Xóm Tân Thành, Hưng Nguyên</t>
  </si>
  <si>
    <t>Xóm Tân Thành, Xã Hưng Nguyên, T. Nghệ An Việt Nam</t>
  </si>
  <si>
    <t>2BGX</t>
  </si>
  <si>
    <t>WM+ HTH Thôn Đông Nam Lý, Cẩm Bình</t>
  </si>
  <si>
    <t>Thôn Đông Nam Lý, Xã Cẩm Bình, Tỉnh Hà Tĩnh T. Hà Tĩnh Việt Nam</t>
  </si>
  <si>
    <t>2BGZ</t>
  </si>
  <si>
    <t>WM+ SLA Tiểu khu 3, Bắc Yên</t>
  </si>
  <si>
    <t>Số 474, Tiểu khu 3, Xã Bắc Yên, Tỉnh Sơn La T. Sơn La Việt Nam</t>
  </si>
  <si>
    <t>2BH0</t>
  </si>
  <si>
    <t>WM+ HNI 109 Yên Mỹ</t>
  </si>
  <si>
    <t>Số 109 Đường Yên Mỹ, Thôn Yên Mỹ, Xã Hạ Bằng, Thành phố Hà Nội Việt Nam</t>
  </si>
  <si>
    <t>2BH1</t>
  </si>
  <si>
    <t>WM+ NAN 129 Mai Lão Bạng</t>
  </si>
  <si>
    <t>Số 129 Đường Mai Lão Bạng, Phường Vinh Phú, Tỉnh Nghệ An Việt Nam</t>
  </si>
  <si>
    <t>2BH3</t>
  </si>
  <si>
    <t>WM+ THA Khu phố 2, Sao Vàng</t>
  </si>
  <si>
    <t>Khu phố 2, Xã Sao Vàng, Tỉnh Thanh Hóa Việt Nam</t>
  </si>
  <si>
    <t>2BHA</t>
  </si>
  <si>
    <t>Số 472 Nguyễn Chế Nghĩa, Xã Gia Lộc, Thành Phố Hải Phòng TP. Hải Phòng Việt Nam</t>
  </si>
  <si>
    <t>2BHC</t>
  </si>
  <si>
    <t>WM+ HPG Thiết Tranh, Vĩnh Thuận</t>
  </si>
  <si>
    <t>Thôn Thiết Tranh, Xã Vĩnh Thuận, Thành phố Hải Phòng TP. Hải Phòng Việt Nam</t>
  </si>
  <si>
    <t>2BHD</t>
  </si>
  <si>
    <t>WM+ HPG Tâng Thượng, Thạch Khôi</t>
  </si>
  <si>
    <t>Tổ dân phố Tâng Thượng, Phường Thạch Khôi, TP. Hải Phòng Việt Nam</t>
  </si>
  <si>
    <t>2BHE</t>
  </si>
  <si>
    <t>WM+ HPG TDP 4, Hoàng Động</t>
  </si>
  <si>
    <t>Tổ dân phố 4, Khu vực Hoàng Động, Phường Thiên Hương, TP. Hải Phòng Việt Nam</t>
  </si>
  <si>
    <t>2BHF</t>
  </si>
  <si>
    <t>WM+ HPG 28 Bạch Đằng</t>
  </si>
  <si>
    <t>Số nhà 28 Bạch Đằng, Phường Chu Văn An, Thành phố Hải Phòng TP. Hải Phòng Việt Nam</t>
  </si>
  <si>
    <t>2BHG</t>
  </si>
  <si>
    <t>WM+ HNI 67 Hẻm 503/54 Ninh Hiệp</t>
  </si>
  <si>
    <t>Số nhà 67, Hẻm 503/54 Đường Ninh Hiệp, Thôn 5, Xã Phù Đổng, TP. Hà Nội Việt Nam</t>
  </si>
  <si>
    <t>2BHK</t>
  </si>
  <si>
    <t>WM+ CBG TDP 2, Nguyên Bình</t>
  </si>
  <si>
    <t>Tổ dân phố 2, Xã Nguyên Bình, Tỉnh Cao Bằng T. Cao Bằng Việt Nam</t>
  </si>
  <si>
    <t>2BHL</t>
  </si>
  <si>
    <t>Số 84 Bến Tượng, Phường Phan Đình Phùng, Tỉnh Thái Nguyên T. Thái Nguyên Việt Nam</t>
  </si>
  <si>
    <t>2BHM</t>
  </si>
  <si>
    <t>WM+ THA Phúc Lâm, Xã Lam Sơn</t>
  </si>
  <si>
    <t>Khu phố Phúc Lâm, Xã Lam Sơn, Tỉnh Thanh Hóa T. Thanh Hóa Việt Nam</t>
  </si>
  <si>
    <t>2BHP</t>
  </si>
  <si>
    <t>WM+ THA Thôn Bái Môn, Quảng Ngọc</t>
  </si>
  <si>
    <t>Thôn Bái Môn, Xã Quảng Ngọc, Tỉnh Thanh Hóa T. Thanh Hóa Việt Nam</t>
  </si>
  <si>
    <t>2BHQ</t>
  </si>
  <si>
    <t>WM+ NAN Xóm 1, Quỳnh Lưu</t>
  </si>
  <si>
    <t>Xóm 1, Xã Quỳnh Lưu, Tỉnh Nghệ An T. Nghệ An Việt Nam</t>
  </si>
  <si>
    <t>2BHR</t>
  </si>
  <si>
    <t>WM+ BNH Cường Tráng, Trung Kênh</t>
  </si>
  <si>
    <t>Thôn Cường Tráng, Xã Trung Kênh, Tỉnh Bắc Ninh T. Bắc Ninh Việt Nam</t>
  </si>
  <si>
    <t>2BHS</t>
  </si>
  <si>
    <t>WM+ HNI Ngô Đồng, Dân Hòa</t>
  </si>
  <si>
    <t>Thôn Ngô Đồng, Xã Dân Hòa, Thành phố Hà Nội TP. Hà Nội Việt Nam</t>
  </si>
  <si>
    <t>2BHV</t>
  </si>
  <si>
    <t>WM+ PTO Đống Cả, Xuân Đài</t>
  </si>
  <si>
    <t>Xóm Đống Cả, Xã Xuân Đài, Tỉnh Phú Thọ T. Phú Thọ Việt Nam</t>
  </si>
  <si>
    <t>2BHW</t>
  </si>
  <si>
    <t>WM+ PTO Cung Thượng, Yên Lạc</t>
  </si>
  <si>
    <t>Thôn Cung Thượng, Xã Yên Lạc, Tỉnh Phú Thọ T. Phú Thọ Việt Nam</t>
  </si>
  <si>
    <t>2BHX</t>
  </si>
  <si>
    <t>WM+ PTO Nghệ Oản Trung, Hợp Lý</t>
  </si>
  <si>
    <t>Thôn Nghệ Oản Trung, Xã Hợp Lý, Tỉnh Phú Thọ T. Phú Thọ Việt Nam</t>
  </si>
  <si>
    <t>2BI0</t>
  </si>
  <si>
    <t>WM+ HPG 432-434 Đường 354</t>
  </si>
  <si>
    <t>Số nhà 432-434 Đường 354, Thôn Minh Khai, Xã An Khánh, Thành phố Hải Phòng Việt Nam</t>
  </si>
  <si>
    <t>2BI1</t>
  </si>
  <si>
    <t>WM+ HNI Yên Khoái, Quảng Oai</t>
  </si>
  <si>
    <t>Số 2, Thôn Yên Khoái, Xã Quảng Oai, TP. Hà Nội Việt Nam</t>
  </si>
  <si>
    <t>2BI2</t>
  </si>
  <si>
    <t>WM+ HTH 159 Yên Trung</t>
  </si>
  <si>
    <t>Số 159 Đường Yên Trung, Tổ dân phố 7, Xã Đức Thọ, T. Hà Tĩnh Việt Nam</t>
  </si>
  <si>
    <t>2BI3</t>
  </si>
  <si>
    <t>WM+ HTH Xuân Nam, Thiên Cầm</t>
  </si>
  <si>
    <t>Thôn Xuân Nam, Xã Thiên Cầm, T. Hà Tĩnh Việt Nam</t>
  </si>
  <si>
    <t>2BIA</t>
  </si>
  <si>
    <t>WM+ BNH TDP Lê Xá, Ninh Xá</t>
  </si>
  <si>
    <t>Tổ dân phố Lê Xá, Phường Ninh Xá, Tỉnh Bắc Ninh T. Bắc Ninh Việt Nam</t>
  </si>
  <si>
    <t>2BIC</t>
  </si>
  <si>
    <t>WM+ HNI Thôn 4, Liên Minh</t>
  </si>
  <si>
    <t>Số 70, Thôn 4, Xã Liên Minh, Thành phố Hà Nội TP. Hà Nội Việt Nam</t>
  </si>
  <si>
    <t>2BID</t>
  </si>
  <si>
    <t>WM+ NAN Thôn Đại Tân, Quỳnh Phú</t>
  </si>
  <si>
    <t>Thôn Đại Tân, Xã Quỳnh Phú, Tỉnh Nghệ An T. Nghệ An Việt Nam</t>
  </si>
  <si>
    <t>2BIG</t>
  </si>
  <si>
    <t>WM+ HNI Trung Cao 2, Phú Nghĩa</t>
  </si>
  <si>
    <t>Thôn Trung Cao 2, Xã Phú Nghĩa, Thành phố Hà Nội TP. Hà Nội Việt Nam</t>
  </si>
  <si>
    <t>2BIH</t>
  </si>
  <si>
    <t>WM+ HYN Thụy Lôi, Tiên Lữ</t>
  </si>
  <si>
    <t>Đội 2, Thôn Thụy Lôi, Xã Tiên Lữ, Tỉnh Hưng Yên T. Hưng Yên Việt Nam</t>
  </si>
  <si>
    <t>2BII</t>
  </si>
  <si>
    <t>Thôn Châu Xá, Xã Việt Yên, Tỉnh Hưng Yên T. Hưng Yên Việt Nam</t>
  </si>
  <si>
    <t>2BIJ</t>
  </si>
  <si>
    <t>WM+ BNH TDP Đại Phú 1, Lạng Giang</t>
  </si>
  <si>
    <t>Tổ dân phố Đại Phú 1, Xã Lạng Giang, Tỉnh Bắc Ninh T. Bắc Ninh Việt Nam</t>
  </si>
  <si>
    <t>2BIK</t>
  </si>
  <si>
    <t>WM+ BNH Nguyễn Đăng Đạo kéo dài</t>
  </si>
  <si>
    <t>Đường Nguyễn Đăng Đạo kéo dài, Phường Võ Cường, T. Bắc Ninh Việt Nam</t>
  </si>
  <si>
    <t>2BIL</t>
  </si>
  <si>
    <t>110 Lê Nin, Nhà liền kề LK1-12 Khu nhà ở Trường Thịnh Phát II T. Nghệ An Việt Nam</t>
  </si>
  <si>
    <t>2BIR</t>
  </si>
  <si>
    <t>WM+ HPG 335 Trần Quốc Chẩn</t>
  </si>
  <si>
    <t>Số 335 Trần Quốc Chẩn, Phường Chu Văn An, TP. Hải Phòng Việt Nam</t>
  </si>
  <si>
    <t>2BIS</t>
  </si>
  <si>
    <t>WM+ BNH TDP Đồng Đoài, Thuận Thành</t>
  </si>
  <si>
    <t>Tổ dân phố Đồng Đoài, Phường Thuận Thành, Tỉnh Bắc Ninh T. Bắc Ninh Việt Nam</t>
  </si>
  <si>
    <t>2BIT</t>
  </si>
  <si>
    <t>WM+ BNH Giới Tế, Tiên Du</t>
  </si>
  <si>
    <t>Thôn Giới Tế, Xã Tiên Du, Tỉnh Bắc Ninh T. Bắc Ninh Việt Nam</t>
  </si>
  <si>
    <t>2BIU</t>
  </si>
  <si>
    <t>WM+ PTO 301-303 Trần Hưng Đạo</t>
  </si>
  <si>
    <t>Số nhà 301-303, Đường Trần Hưng Đạo, Tổ 7, T. Phú Thọ T. Phú Thọ Việt Nam</t>
  </si>
  <si>
    <t>2BIW</t>
  </si>
  <si>
    <t>Thôn Ngoại Trạch 2, Xã Bình Nguyên, Tỉnh Phú Thọ T. Phú Thọ Việt Nam</t>
  </si>
  <si>
    <t>2BIX</t>
  </si>
  <si>
    <t>WM+ NBH Hòa Ngãi, Liêm Hà</t>
  </si>
  <si>
    <t>Thôn Hòa Ngãi, Xã Liêm Hà, Tỉnh Ninh Bình T. Ninh Bình Việt Nam</t>
  </si>
  <si>
    <t>2BJ0</t>
  </si>
  <si>
    <t>WM+ HNI Gia Lương, Đông Anh</t>
  </si>
  <si>
    <t>Thôn Gia Lương, Xã Đông Anh, TP. Hà Nội Việt Nam</t>
  </si>
  <si>
    <t>2BJ1</t>
  </si>
  <si>
    <t>WM+ HNI 53 Hàng Lược</t>
  </si>
  <si>
    <t>53 Hàng Lược, Phường Hoàn Kiếm, TP. Hà Nội Việt Nam</t>
  </si>
  <si>
    <t>2BJ2</t>
  </si>
  <si>
    <t>WM+ THA Thống Nhất, Nông Cống</t>
  </si>
  <si>
    <t>Số 260, Tỉnh lộ 525, Thôn Thống Nhất, Xã Nông Cống, T. Thanh Hóa Việt Nam</t>
  </si>
  <si>
    <t>2BJ3</t>
  </si>
  <si>
    <t>WM+ HYN 80 Nguyễn Công Trứ</t>
  </si>
  <si>
    <t>Số 80 Nguyễn Công Trứ, Thôn 4, Xã Tiền Hải, T. Hưng Yên Việt Nam</t>
  </si>
  <si>
    <t>2BJ4</t>
  </si>
  <si>
    <t>WM+ HYN 316-318 Bùi Sỹ Tiêm</t>
  </si>
  <si>
    <t>Số 316-318 Bùi Sỹ Tiêm, Xã Đông Hưng, T. Hưng Yên Việt Nam</t>
  </si>
  <si>
    <t>2BJ5</t>
  </si>
  <si>
    <t>WM+ THA Chợ Nấp, Đông Quang</t>
  </si>
  <si>
    <t>Phố Quang, Phường Đông Quang, T. Thanh Hóa Việt Nam</t>
  </si>
  <si>
    <t>2BJ9</t>
  </si>
  <si>
    <t>WM+ HNI Yên Ninh, Nội Bài</t>
  </si>
  <si>
    <t>Số 04, Thôn Yên Ninh, Xã Nội Bài, TP. Hà Nội Việt Nam</t>
  </si>
  <si>
    <t>2BJA</t>
  </si>
  <si>
    <t>WM+ HNI Đại Đồng, Thiên Lộc</t>
  </si>
  <si>
    <t>Thôn Đại Đồng, Xã Thiên Lộc, TP. Hà Nội Việt Nam</t>
  </si>
  <si>
    <t>2BJB</t>
  </si>
  <si>
    <t>WM+ NBH Lạc Long, Gia Lâm</t>
  </si>
  <si>
    <t>Xóm Lạc Long, Xã Gia Lâm, Tỉnh Ninh Bình T. Ninh Bình Việt Nam</t>
  </si>
  <si>
    <t>2BJC</t>
  </si>
  <si>
    <t>WM+ NBH Xóm 11, Bình Minh</t>
  </si>
  <si>
    <t>Xóm 11, Xã Bình Minh, Tỉnh Ninh Bình T. Ninh Bình Việt Nam</t>
  </si>
  <si>
    <t>2BJE</t>
  </si>
  <si>
    <t>Số 315 Nguyễn Văn Cừ, Phường Bồ Đề, Thành phố Hà Nội TP. Hà Nội Việt Nam</t>
  </si>
  <si>
    <t>2BJF</t>
  </si>
  <si>
    <t>WM+ QNH Khu Trới 5, Hoành Bồ</t>
  </si>
  <si>
    <t>Số 54, Tổ 4A, Khu Trới 5, Phường Hoành Bồ, Tỉnh Quảng Ninh T. Quảng Ninh Việt Nam</t>
  </si>
  <si>
    <t>2BJG</t>
  </si>
  <si>
    <t>WM+ BNH Minh Phượng, Yên Dũng</t>
  </si>
  <si>
    <t>Tổ dân phố Minh Phượng, Phường Yên Dũng, Tỉnh Bắc Ninh T. Bắc Ninh Việt Nam</t>
  </si>
  <si>
    <t>2BJH</t>
  </si>
  <si>
    <t>WM+ HPG Khu 2, Thạch Khôi</t>
  </si>
  <si>
    <t>Khu 2, Phường Thạch Khôi, Thành phố Hải Phòng TP. Hải Phòng Việt Nam</t>
  </si>
  <si>
    <t>2BJJ</t>
  </si>
  <si>
    <t>WM+ NBH Quỳnh Phong 3, Tây Hoa Lư</t>
  </si>
  <si>
    <t>Tổ dân phố Quỳnh Phong 3, Phường Tây Hoa Lư, Tỉnh Ninh Bình T. Ninh Bình Việt Nam</t>
  </si>
  <si>
    <t>2BJK</t>
  </si>
  <si>
    <t>WM+ NAN Khối Chế Biến Lâm Sản 3</t>
  </si>
  <si>
    <t>Khối Chế Biến Lâm Sản 3, Phường Thái Hòa, Tỉnh Nghệ An T. Nghệ An Việt Nam</t>
  </si>
  <si>
    <t>2BJL</t>
  </si>
  <si>
    <t>WM+ NBH 274 Phạm Ngọc Nhị</t>
  </si>
  <si>
    <t>274 Phạm Ngọc Nhị, Phường Duy Hà, Tỉnh Ninh Bình T. Ninh Bình Việt Nam</t>
  </si>
  <si>
    <t>2BJM</t>
  </si>
  <si>
    <t>WM+ NBH 132 Thôn Bàng Lân</t>
  </si>
  <si>
    <t>132 Thôn Bàng Lân, Xã Yên Khánh, Tỉnh Ninh Bình T. Ninh Bình Việt Nam</t>
  </si>
  <si>
    <t>2BJN</t>
  </si>
  <si>
    <t>105 Lê Lợi, Phường Bỉm Sơn, Tỉnh Thanh Hóa T. Thanh Hóa Việt Nam</t>
  </si>
  <si>
    <t>2BJO</t>
  </si>
  <si>
    <t>WM+ NBH 45 Võ Văn Kiệt</t>
  </si>
  <si>
    <t>45 Võ Văn Kiệt, TDP Thần Nữ, Phường Đồng Văn, Tỉnh Ninh Bình T. Ninh Bình Việt Nam</t>
  </si>
  <si>
    <t>2BJQ</t>
  </si>
  <si>
    <t>68 Nguyễn Du, Khối 14, Phường Trường Vinh, Tỉnh Nghệ An T. Nghệ An Việt Nam</t>
  </si>
  <si>
    <t>2BJR</t>
  </si>
  <si>
    <t>WM+ HPG Tiền Liệt, Tân An</t>
  </si>
  <si>
    <t>Xóm 5, Thôn Tiền Liệt, Xã Tân An, TP. Hải Phòng Việt Nam</t>
  </si>
  <si>
    <t>2BJS</t>
  </si>
  <si>
    <t>WM+ HNI Hạ Lôi, Mê Linh</t>
  </si>
  <si>
    <t>Thôn 4 Hạ Lôi, Xã Mê Linh, Thành phố Hà Nội TP. Hà Nội Việt Nam</t>
  </si>
  <si>
    <t>2BJT</t>
  </si>
  <si>
    <t>WM+ QNH 158-160 Khu TĐC Vĩnh Huy</t>
  </si>
  <si>
    <t>Ô số 158-160, Khu TĐC Đường Vĩnh Huy, Phường Hạ Long, T. Quảng Ninh Việt Nam</t>
  </si>
  <si>
    <t>2BJW</t>
  </si>
  <si>
    <t>WM+ HPG An Đông, An Phú</t>
  </si>
  <si>
    <t>Thôn An Đông, Xã An Phú, Thành phố Hải Phòng TP. Hải Phòng Việt Nam</t>
  </si>
  <si>
    <t>2BJY</t>
  </si>
  <si>
    <t>WM+ BNH Đồng Sài, Phù Lãng</t>
  </si>
  <si>
    <t>Thôn Đồng Sài, Xã Phù Lãng, Tỉnh Bắc Ninh T. Bắc Ninh Việt Nam</t>
  </si>
  <si>
    <t>2BK1</t>
  </si>
  <si>
    <t>WM+ HNI Số 1 Phú Thịnh</t>
  </si>
  <si>
    <t>Số 1, Đường Phú Thịnh, Thôn Phú Thịnh, Xã Cổ Đô, TP. Hà Nội Việt Nam</t>
  </si>
  <si>
    <t>2BK4</t>
  </si>
  <si>
    <t>WM+ HYN Đồng Tâm, Trần Lãm</t>
  </si>
  <si>
    <t>Thôn Đồng Tâm, Phường Trần Lãm, T. Hưng Yên Việt Nam</t>
  </si>
  <si>
    <t>2BK5</t>
  </si>
  <si>
    <t>WM+ NAN Tân Thái, Tân Phú</t>
  </si>
  <si>
    <t>Xóm Tân Thái, Xã Tân Phú, T. Nghệ An Việt Nam</t>
  </si>
  <si>
    <t>2BK6</t>
  </si>
  <si>
    <t>WM+ HNI Thạch Lỗi, Nội Bài</t>
  </si>
  <si>
    <t>Số 31, Thôn Thạch Lỗi, Xã Nội Bài, TP. Hà Nội Việt Nam</t>
  </si>
  <si>
    <t>2BK7</t>
  </si>
  <si>
    <t>WM+ HYN Tả Phụ, Trà Giang</t>
  </si>
  <si>
    <t>Thôn Tả Phụ, Xã Trà Giang, T. Hưng Yên Việt Nam</t>
  </si>
  <si>
    <t>2BKA</t>
  </si>
  <si>
    <t>WM+ BNH Đàm Viết Kính, Đồng Hương</t>
  </si>
  <si>
    <t>Đường Đàm Viết Kính, Khu phố Đồng Hương, Phường Phù Khê, T. Bắc Ninh Việt Nam</t>
  </si>
  <si>
    <t>2BKB</t>
  </si>
  <si>
    <t>WM+ HYN 20-22 Tam Đằng</t>
  </si>
  <si>
    <t>20-22 Tam Đằng, Khu phố Kim Đằng, Phường Sơn Nam, Tỉnh Hưng T. Hưng Yên Việt Nam</t>
  </si>
  <si>
    <t>2BKC</t>
  </si>
  <si>
    <t>Số 129, Ngõ 40 Đường Do Nha, Tổ dân phố 4 Miêu Nha, Phường Xuân Phương TP. Hà Nội Việt Nam</t>
  </si>
  <si>
    <t>2BKF</t>
  </si>
  <si>
    <t>WM+ QNH 441 Hùng Thắng</t>
  </si>
  <si>
    <t>Số 441, Tổ 10B, Khu phố Hùng Thắng 4A, Phường Bãi Cháy, T. Quảng Ninh Việt Nam</t>
  </si>
  <si>
    <t>2BKG</t>
  </si>
  <si>
    <t>WM+ BNH Dinh Hương, Hiệp Hòa</t>
  </si>
  <si>
    <t>Số 224, Thôn Dinh Hương, Xã Hiệp Hòa, Tỉnh Bắc Ninh T. Bắc Ninh Việt Nam</t>
  </si>
  <si>
    <t>2BKH</t>
  </si>
  <si>
    <t>WM+ TQG An Tiến, Hùng An</t>
  </si>
  <si>
    <t>Thôn An Tiến, Xã Hùng An, Tỉnh Tuyên Quang T. Tuyên Quang Việt Nam</t>
  </si>
  <si>
    <t>2BKK</t>
  </si>
  <si>
    <t>WM+ QNH 311 Trần Phú</t>
  </si>
  <si>
    <t>311 Trần Phú, Phường Cao Xanh, Tỉnh Quảng Ninh T. Quảng Ninh Việt Nam</t>
  </si>
  <si>
    <t>2BKR</t>
  </si>
  <si>
    <t>WM+ HPG 277 Thành Phao</t>
  </si>
  <si>
    <t>Số nhà 277, Đường Thành Phao Khu dân cư số 9, Phường Chí Linh TP. Hải Phòng Việt Nam</t>
  </si>
  <si>
    <t>2BKS</t>
  </si>
  <si>
    <t>Số 129, Đường 25/4, Phường Hồng Gai, Tỉnh Quảng Ninh T. Quảng Ninh Việt Nam</t>
  </si>
  <si>
    <t>2BKT</t>
  </si>
  <si>
    <t>WM+ QNH Tổ 4 Tân Lập, Yên Tử</t>
  </si>
  <si>
    <t>Tổ 4 Tân Lập, Phường Yên Tử,Tỉnh Quảng Ninh T. Quảng Ninh Việt Nam</t>
  </si>
  <si>
    <t>2BKU</t>
  </si>
  <si>
    <t>WM+ QNH Tổ 76, Khu 9, Hà Lầm</t>
  </si>
  <si>
    <t>Tổ 76, Khu 9, Phường Hà Lầm, Tỉnh Quảng Ninh  T. Quảng Ninh Việt Nam</t>
  </si>
  <si>
    <t>2BKV</t>
  </si>
  <si>
    <t>WM+ QNH Tổ 4, Khu 1, Uông Bí</t>
  </si>
  <si>
    <t>Số 184A, Tổ 4, Khu 1, Phường Uông Bí, Tỉnh Quảng Ninh T. Quảng Ninh Việt Nam</t>
  </si>
  <si>
    <t>2BKW</t>
  </si>
  <si>
    <t>WM+ NBH Gia Sinh, Gia Viễn</t>
  </si>
  <si>
    <t>Thửa đất số 420, TBĐ số 11, TDP4, Phường Tây Hoa Lư T. Ninh Bình Việt Nam</t>
  </si>
  <si>
    <t>2BKY</t>
  </si>
  <si>
    <t>Thửa đất 39, tờ bản đồ số 36, Thôn Phù Long, Xã Gia Vân, T. Ninh Bình Việt Nam</t>
  </si>
  <si>
    <t>2BL5</t>
  </si>
  <si>
    <t>WM+ HNI Ích Vịnh, Đại Thanh</t>
  </si>
  <si>
    <t>Cụm 5, Thôn Ích Vịnh, Xã Đại Thanh, TP. Hà Nội Việt Nam</t>
  </si>
  <si>
    <t>2BL6</t>
  </si>
  <si>
    <t>WM+ HNI Đội 10, Đại Thanh</t>
  </si>
  <si>
    <t>Đội 10, Xã Đại Thanh, TP. Hà Nội Việt Nam</t>
  </si>
  <si>
    <t>2BL7</t>
  </si>
  <si>
    <t>WM+ NAN Đông Thị, Đông Thành</t>
  </si>
  <si>
    <t>Xóm Đông Thị, Xã Đông Thành, T. Nghệ An Việt Nam</t>
  </si>
  <si>
    <t>2BL8</t>
  </si>
  <si>
    <t>WM+ THA 126 Trần Hưng Đạo</t>
  </si>
  <si>
    <t>Số 126 Đường Trần Hưng Đạo, Phường Bỉm Sơn, T. Thanh Hóa Việt Nam</t>
  </si>
  <si>
    <t>2BLC</t>
  </si>
  <si>
    <t>WM+ PTO Bản Hậu, Lập Thạch</t>
  </si>
  <si>
    <t>Thôn Bản Hậu, Xã Lập Thạch, Tỉnh Phú Thọ T. Phú Thọ Việt Nam</t>
  </si>
  <si>
    <t>2BLF</t>
  </si>
  <si>
    <t>WM+ HPG TDP Hạ, Hồng An</t>
  </si>
  <si>
    <t>Tổ dân phố Hạ, Phường Hồng An, Thành phố Hải Phòng TP. Hải Phòng Việt Nam</t>
  </si>
  <si>
    <t>2BLG</t>
  </si>
  <si>
    <t>WM+ NAN Đường Quốc Lộ 7, Diễn Châu</t>
  </si>
  <si>
    <t>Thửa đất số 17467-707, tờ bản đồ số 01, Đường Quốc Lộ 7, T. Nghệ An Việt Nam</t>
  </si>
  <si>
    <t>2BLH</t>
  </si>
  <si>
    <t>WM+ PTO Lê Lợi, Hải Lựu</t>
  </si>
  <si>
    <t>Thôn Lê Lợi, Xã Hải Lựu, Tỉnh Phú Thọ T. Phú Thọ Việt Nam</t>
  </si>
  <si>
    <t>2BLI</t>
  </si>
  <si>
    <t>Thôn Trung, Xã Thổ Tang, Tỉnh Phú Thọ T. Phú Thọ Việt Nam</t>
  </si>
  <si>
    <t>2BLK</t>
  </si>
  <si>
    <t>Thôn Kinh Điền, Xã An Khánh, TP. Hải Phòng Việt Nam</t>
  </si>
  <si>
    <t>2BLP</t>
  </si>
  <si>
    <t>WM+ BNH TDP Liên Sơn, Tiền Phong</t>
  </si>
  <si>
    <t>Tổ dân phố Liên Sơn, Phường Tiền Phong, Tỉnh Bắc Ninh T. Bắc Ninh Việt Nam</t>
  </si>
  <si>
    <t>2BLQ</t>
  </si>
  <si>
    <t>WM+ NBH Xóm 2, Xuân Hưng</t>
  </si>
  <si>
    <t>Thửa đất 463-464, tờ bản đồ số 6, Xóm 2, Xã Xuân Hưng, T. Ninh Bình Việt Nam</t>
  </si>
  <si>
    <t>2BLV</t>
  </si>
  <si>
    <t>WM+ BNH Phù Lãng</t>
  </si>
  <si>
    <t>Thôn Phù Lãng, Xã Phù Lãng, Tỉnh Bắc Ninh  T. Bắc Ninh Việt Nam</t>
  </si>
  <si>
    <t>2BLX</t>
  </si>
  <si>
    <t>WM+ HYN 06 Bùi Sính</t>
  </si>
  <si>
    <t>06 Bùi Sính, TDP số 2, Xã Tiền Hải, Tỉnh Hưng Yên T. Hưng Yên Việt Nam</t>
  </si>
  <si>
    <t>2BM0</t>
  </si>
  <si>
    <t>WM+ PTO Thôn Mới, Vĩnh Hưng</t>
  </si>
  <si>
    <t>Thôn Mới, Xã Vĩnh Hưng, T. Phú Thọ Việt Nam</t>
  </si>
  <si>
    <t>2BM1</t>
  </si>
  <si>
    <t>WM+ BNH 18 Quang Trung</t>
  </si>
  <si>
    <t>Số 18 Đường Quang Trung, Khu phố Liễn Thượng, Phường Nhân Hòa, T. Bắc Ninh Việt Nam</t>
  </si>
  <si>
    <t>2BM2</t>
  </si>
  <si>
    <t>WM+ TNN Xóm Cạn, Vạn Phú</t>
  </si>
  <si>
    <t>Xóm Cạn, Xã Vạn Phú, T. Thái Nguyên Việt Nam</t>
  </si>
  <si>
    <t>2BM3</t>
  </si>
  <si>
    <t>WM+ NAN 07 Mai Hắc Đế</t>
  </si>
  <si>
    <t>Số 07 Mai Hắc Đế, Khối 1, Phường Vinh Hưng, T. Nghệ An Việt Nam</t>
  </si>
  <si>
    <t>2BM4</t>
  </si>
  <si>
    <t>WM+ HYN Quang Lang Đoài, Thái Thụỵ</t>
  </si>
  <si>
    <t>Thôn Quang Lang Đoài, Xã Thái Thụỵ, T. Hưng Yên Việt Nam</t>
  </si>
  <si>
    <t>2BM5</t>
  </si>
  <si>
    <t>WM+ NBH 09 Năm Dân</t>
  </si>
  <si>
    <t>Số 09 Phố Năm Dân, Xã Phát Diệm, T. Ninh Bình Việt Nam</t>
  </si>
  <si>
    <t>2BM6</t>
  </si>
  <si>
    <t>WM+ THA Hà Lũng Thượng, Thọ Phú</t>
  </si>
  <si>
    <t>Số 502, Quốc lộ 47, Thôn Hà Lũng Thượng, Xã Thọ Phú, T. Thanh Hóa Việt Nam</t>
  </si>
  <si>
    <t>2BME</t>
  </si>
  <si>
    <t>WM+ PTO Đông Xuân, Tiên Lữ</t>
  </si>
  <si>
    <t>Thôn Đông Xuân, Xã Tiên Lữ, Tỉnh Phú Thọ T. Phú Thọ Việt Nam</t>
  </si>
  <si>
    <t>2BN1</t>
  </si>
  <si>
    <t>WIN HNI 208 Đường 19-5</t>
  </si>
  <si>
    <t>Số nhà 208 Đường 19-5, Phường Hà Đông, TP. Hà Nội Việt Nam</t>
  </si>
  <si>
    <t>2BN2</t>
  </si>
  <si>
    <t>WM+ TNN Xóm Quán, Kha Sơn</t>
  </si>
  <si>
    <t>Xóm Quán, Xã Kha Sơn, T. Thái Nguyên Việt Nam</t>
  </si>
  <si>
    <t>2BN3</t>
  </si>
  <si>
    <t>WM+ HPG TDP 8, Đồ Sơn</t>
  </si>
  <si>
    <t>Tổ dân phố 8, Phường Đồ Sơn, TP. Hải Phòng Việt Nam</t>
  </si>
  <si>
    <t>2BN6</t>
  </si>
  <si>
    <t>WM+ HNI B2.1-HH03F KĐT Thanh Hà</t>
  </si>
  <si>
    <t>Ki ốt số 02-04, Tầng 01, Tòa nhà B2.1-HH03F, Khu đô thị Thanh Hà Cienco5, Xã Bình Minh, TP. Hà Nội Việt Nam</t>
  </si>
  <si>
    <t>2BN7</t>
  </si>
  <si>
    <t>WM+ NAN Xóm 2, Quỳnh Lưu</t>
  </si>
  <si>
    <t>Xóm 2, Xã Quỳnh Lưu, T. Nghệ An Việt Nam</t>
  </si>
  <si>
    <t>2BN9</t>
  </si>
  <si>
    <t>WM+ NAN Xóm 2, Kim Liên</t>
  </si>
  <si>
    <t>Xóm 2, Xã Kim Liên, T. Nghệ An Việt Nam</t>
  </si>
  <si>
    <t>2BO2</t>
  </si>
  <si>
    <t>WM+ HNI 144 Đường 420, Yên Mỹ</t>
  </si>
  <si>
    <t>Số 144, Đường 420, Thôn Yên Mỹ, Xã Hạ Bằng, TP. Hà Nội Việt Nam</t>
  </si>
  <si>
    <t>2BO3</t>
  </si>
  <si>
    <t>WM+ HNI LK6 KĐT mới Tân Tây Đô</t>
  </si>
  <si>
    <t>Ô 62, LK6, Khu đô thị mới Tân Tây Đô, Tổ dân phố 1, Xã Ô Diên, TP. Hà Nội Việt Nam</t>
  </si>
  <si>
    <t>2BO4</t>
  </si>
  <si>
    <t>WM+ HNI Lương Phúc, Đa Phúc</t>
  </si>
  <si>
    <t>Số 6, Thôn Lương Phúc, Xã Đa Phúc, TP. Hà Nội Việt Nam</t>
  </si>
  <si>
    <t>2BO5</t>
  </si>
  <si>
    <t>WM+ HNI Giai Lạc, Quang Minh</t>
  </si>
  <si>
    <t>Tổ 1, Thôn Giai Lạc, Xã Quang Minh, TP. Hà Nội Việt Nam</t>
  </si>
  <si>
    <t>2BO6</t>
  </si>
  <si>
    <t>WM+ PTO Khu 11, Tu Vũ</t>
  </si>
  <si>
    <t>Khu 11, Xã Tu Vũ, T. Phú Thọ Việt Nam</t>
  </si>
  <si>
    <t>2BO7</t>
  </si>
  <si>
    <t>WM+ HNI Đạo Thượng, Đa Phúc</t>
  </si>
  <si>
    <t>Số 19, Thôn Đạo Thượng, Xã Đa Phúc, TP. Hà Nội Việt Nam</t>
  </si>
  <si>
    <t>2BO8</t>
  </si>
  <si>
    <t>WM+ NAN Chợ Mõ, Giai Lạc</t>
  </si>
  <si>
    <t>Xóm Chợ Mõ, Xã Giai Lạc, T. Nghệ An Việt Nam</t>
  </si>
  <si>
    <t>2BO9</t>
  </si>
  <si>
    <t>WM+ THA Thuận Tôn, Thiệu Hóa</t>
  </si>
  <si>
    <t>Thôn Thuận Tôn, Xã Thiệu Hóa, T. Thanh Hóa Việt Nam</t>
  </si>
  <si>
    <t>2BP2</t>
  </si>
  <si>
    <t>WM+ HPG Thọ Trương, Bắc Thanh Miện</t>
  </si>
  <si>
    <t>Thôn Thọ Trương, Xã Bắc Thanh Miện, TP. Hải Phòng Việt Nam</t>
  </si>
  <si>
    <t>2BP3</t>
  </si>
  <si>
    <t>WM+ HNI Ngã tư Dốc Chằm</t>
  </si>
  <si>
    <t>Số 35 Đường Đồng Trúc, Thôn Trúc Động, Xã Hạ Bằng, TP. Hà Nội Việt Nam</t>
  </si>
  <si>
    <t>2BQ5</t>
  </si>
  <si>
    <t>WM+ TQG 118 Trần Hưng Đạo</t>
  </si>
  <si>
    <t>Số 118 Đường Trần Hưng Đạo, Tổ 3, Xã Yên Minh, T. Tuyên Quang Việt Nam</t>
  </si>
  <si>
    <t>2BQ6</t>
  </si>
  <si>
    <t>WM+ HNI Văn Quán, Thanh Oai</t>
  </si>
  <si>
    <t>Số 63, Thôn Văn Quán, Xã Thanh Oai, TP. Hà Nội Việt Nam</t>
  </si>
  <si>
    <t>2BQ7</t>
  </si>
  <si>
    <t>WM+ HPG TDP 6, An Dương</t>
  </si>
  <si>
    <t>Tổ dân phố 6, Đường Liên Xã Bắc Sơn – An Hòa, Phường An Dương, TP. Hải Phòng Việt Nam</t>
  </si>
  <si>
    <t>2BQ9</t>
  </si>
  <si>
    <t>WM+ HNI Thôn Đồng, Quang Minh</t>
  </si>
  <si>
    <t>Thôn Đồng, Xã Quang Minh, TP. Hà Nội Việt Nam</t>
  </si>
  <si>
    <t>2BR0</t>
  </si>
  <si>
    <t>WM+ PTO TDP Liên Bình, Tam Dương</t>
  </si>
  <si>
    <t>Tổ dân phố Liên Bình, Xã Tam Dương, T. Phú Thọ Việt Nam</t>
  </si>
  <si>
    <t>2BR7</t>
  </si>
  <si>
    <t>WM+ HPG Tân Kỳ, Mao Điền</t>
  </si>
  <si>
    <t>Thôn Tân Kỳ, Xã Mao Điền, TP. Hải Phòng Việt Nam</t>
  </si>
  <si>
    <t>2BR9</t>
  </si>
  <si>
    <t>WM+ HNI C17-BT06 KĐTM Việt Hưng</t>
  </si>
  <si>
    <t>C17-BT06, Khu đô thị mới Việt Hưng, Phường Việt Hưng, TP. Hà Nội Việt Nam</t>
  </si>
  <si>
    <t>2BS0</t>
  </si>
  <si>
    <t>WM+ PTO Thôn 7, Tam Dương</t>
  </si>
  <si>
    <t>Thôn 7, Xã Tam Dương, T. Phú Thọ Việt Nam</t>
  </si>
  <si>
    <t>2BS1</t>
  </si>
  <si>
    <t>Thôn Thống Nhất, Xã Bố Hạ, Tỉnh Bắc Ninh T. Bắc Ninh Việt Nam</t>
  </si>
  <si>
    <t>2BS2</t>
  </si>
  <si>
    <t>WM+ THA Nghĩa Phú, Hoằng Phú</t>
  </si>
  <si>
    <t>Số 100, Tỉnh lộ 509, Thôn Nghĩa Phú, Xã Hoằng Phú, T. Thanh Hóa Việt Nam</t>
  </si>
  <si>
    <t>2BS3</t>
  </si>
  <si>
    <t>WM+ PTO Khu 6, Hy Cương</t>
  </si>
  <si>
    <t>Khu 6, Xã Hy Cương, T. Phú Thọ Việt Nam</t>
  </si>
  <si>
    <t>2BS4</t>
  </si>
  <si>
    <t>WM+ HPG TDP 2, Lưu Kiếm</t>
  </si>
  <si>
    <t>Tổ dân phố 2, Phường Lưu Kiếm, TP. Hải Phòng Việt Nam</t>
  </si>
  <si>
    <t>2BS5</t>
  </si>
  <si>
    <t>WM+ PTO Phượng Hùng 1, Chí Đám</t>
  </si>
  <si>
    <t>Khu Phượng Hùng 1, Xã Chí Đám, T. Phú Thọ Việt Nam</t>
  </si>
  <si>
    <t>2BT0</t>
  </si>
  <si>
    <t>WM+ HYN Lê Lợi 2, Nam Đông Hưng</t>
  </si>
  <si>
    <t>Thôn Lê Lợi 2, Xã Nam Đông Hưng, T. Hưng Yên Việt Nam</t>
  </si>
  <si>
    <t>2BT2</t>
  </si>
  <si>
    <t>WM+ NAN Xóm 4, Hợp Minh</t>
  </si>
  <si>
    <t>Xóm 4, Xã Hợp Minh, T. Nghệ An Việt Nam</t>
  </si>
  <si>
    <t>2BT3</t>
  </si>
  <si>
    <t>WM+ BNH Phố Chẹm</t>
  </si>
  <si>
    <t>Phố Chẹm, Phường Trạm Lộ, T. Bắc Ninh Việt Nam</t>
  </si>
  <si>
    <t>2BT4</t>
  </si>
  <si>
    <t>WM+ BNH Hộ Vệ, Tân Chi</t>
  </si>
  <si>
    <t>Thôn Hộ Vệ, Xã Tân Chi, T. Bắc Ninh Việt Nam</t>
  </si>
  <si>
    <t>2BT5</t>
  </si>
  <si>
    <t>WM+ BNH 217 Hàn Thuyên</t>
  </si>
  <si>
    <t>Số 217 Hàn Thuyên, Thôn Phượng Giáo, Xã Lương Tài, T. Bắc Ninh Việt Nam</t>
  </si>
  <si>
    <t>2BT6</t>
  </si>
  <si>
    <t>WM+ HNI 55A Đường Ao Mới, Từ Châu</t>
  </si>
  <si>
    <t>Số 55A Đường Ao Mới, Thôn Từ Châu, Xã Dân Hòa, TP. Hà Nội Việt Nam</t>
  </si>
  <si>
    <t>2BT9</t>
  </si>
  <si>
    <t>WM+ HNI Yên Quán, Hưng Đạo</t>
  </si>
  <si>
    <t>Thôn Yên Quán, Xã Hưng Đạo, TP. Hà Nội Việt Nam</t>
  </si>
  <si>
    <t>2BU0</t>
  </si>
  <si>
    <t>WM+ BNH Thôn Cát, Đồng Việt</t>
  </si>
  <si>
    <t>Thôn Cát, Xã Đồng Việt, T. Bắc Ninh Việt Nam</t>
  </si>
  <si>
    <t>2BU1</t>
  </si>
  <si>
    <t>WM+ HNI 51 Trần Phú</t>
  </si>
  <si>
    <t>Số 51 Đường Trần Phú, Thôn Xuân La, Xã Phượng Dực, TP. Hà Nội Việt Nam</t>
  </si>
  <si>
    <t>2BU3</t>
  </si>
  <si>
    <t>WM+ PTO Hoa Cao, Tam Sơn</t>
  </si>
  <si>
    <t>Thôn Hoa Cao, Xã Tam Sơn, T. Phú Thọ Việt Nam</t>
  </si>
  <si>
    <t>2BU7</t>
  </si>
  <si>
    <t>WM+ PTO Quyết Tiến, Cự Đồng</t>
  </si>
  <si>
    <t>Thôn Quyết Tiến, Xã Cự Đồng, T. Phú Thọ Việt Nam</t>
  </si>
  <si>
    <t>2BU8</t>
  </si>
  <si>
    <t>WM+ HNI Đường Nhạn, Thư Lâm</t>
  </si>
  <si>
    <t>Thôn Đường Nhạn, Xã Thư Lâm, TP. Hà Nội Việt Nam</t>
  </si>
  <si>
    <t>2BU9</t>
  </si>
  <si>
    <t>WM+ NAN Hồng Thái, Hưng Nguyên Nam</t>
  </si>
  <si>
    <t>Xóm Hồng Thái, Xã Hưng Nguyên Nam, T. Nghệ An Việt Nam</t>
  </si>
  <si>
    <t>2BV0</t>
  </si>
  <si>
    <t>WM+ TNN Quang Trung, Nam Hòa</t>
  </si>
  <si>
    <t>Xóm Quang Trung, Xã Nam Hòa, T. Thái Nguyên Việt Nam</t>
  </si>
  <si>
    <t>2BV1</t>
  </si>
  <si>
    <t>WM+ BNH Ngô Nội, Yên Phong</t>
  </si>
  <si>
    <t>Thôn Ngô Nội, Xã Yên Phong, T. Bắc Ninh Việt Nam</t>
  </si>
  <si>
    <t>2BV3</t>
  </si>
  <si>
    <t>WM+ NAN Hưng Trung 2, Yên Trung</t>
  </si>
  <si>
    <t>Xóm Hưng Trung 2, Xã Yên Trung, T. Nghệ An Việt Nam</t>
  </si>
  <si>
    <t>2BV4</t>
  </si>
  <si>
    <t>WM+ NBH Xóm 3, Hải Hưng</t>
  </si>
  <si>
    <t>Xóm 3, Xã Hải Hưng, T. Ninh Bình Việt Nam</t>
  </si>
  <si>
    <t>2BV6</t>
  </si>
  <si>
    <t>WM+ HPG Phương Hạ, An Hưng</t>
  </si>
  <si>
    <t>Thôn Phương Hạ, Xã An Hưng, TP. Hải Phòng Việt Nam</t>
  </si>
  <si>
    <t>2BV7</t>
  </si>
  <si>
    <t>WM+ HNI Cộng Hòa, Lai Tảo</t>
  </si>
  <si>
    <t>Xóm Cộng Hòa, Thôn Lai Tảo, Xã Phúc Sơn, TP. Hà Nội Việt Nam</t>
  </si>
  <si>
    <t>2BV8</t>
  </si>
  <si>
    <t>WM+ HNI 64-66 Hoa Sơn</t>
  </si>
  <si>
    <t>Số 64-66 Đường Hoa Sơn, Xã Đan Phượng, TP. Hà Nội Việt Nam</t>
  </si>
  <si>
    <t>2BV9</t>
  </si>
  <si>
    <t>WM+ HNI Chợ Thuần Mỹ, Bất Bạt</t>
  </si>
  <si>
    <t>Số 15 Đường Chân Đê, Xã Bất Bạt, TP. Hà Nội Việt Nam</t>
  </si>
  <si>
    <t>2BW0</t>
  </si>
  <si>
    <t>WM+ HYN Thị Tứ, Khoái Châu</t>
  </si>
  <si>
    <t>Thôn Thị Tứ, Xã Khoái Châu, T. Hưng Yên Việt Nam</t>
  </si>
  <si>
    <t>2BW1</t>
  </si>
  <si>
    <t>WM+ PTO Khu 13, Minh Hòa</t>
  </si>
  <si>
    <t>Khu 13, Xã Minh Hòa, T. Phú Thọ Việt Nam</t>
  </si>
  <si>
    <t>2BW2</t>
  </si>
  <si>
    <t>WM+ TNN Yên Thông, Bình Yên</t>
  </si>
  <si>
    <t>Xóm Yên Thông, Xã Bình Yên, T. Thái Nguyên Việt Nam</t>
  </si>
  <si>
    <t>2BW3</t>
  </si>
  <si>
    <t>WM+ HPG Độc Lập, An Hưng</t>
  </si>
  <si>
    <t>Thôn Độc Lập, Xã An Hưng, TP. Hải Phòng Việt Nam</t>
  </si>
  <si>
    <t>2BW4</t>
  </si>
  <si>
    <t>WM+ PTO Thanh Bình, Âu Cơ</t>
  </si>
  <si>
    <t>Khu Thanh Bình, Phường Âu Cơ, T. Phú Thọ Việt Nam</t>
  </si>
  <si>
    <t>2BW5</t>
  </si>
  <si>
    <t>WM+ HPG Hoà Loan, Nguyễn Lương Bằng</t>
  </si>
  <si>
    <t>Thôn Hoà Loan, Xã Nguyễn Lương Bằng, TP. Hải Phòng Việt Nam</t>
  </si>
  <si>
    <t>2BW6</t>
  </si>
  <si>
    <t>WM+ HPG Việt Khê</t>
  </si>
  <si>
    <t>Thôn Việt Khê, Xã Việt Khê, TP. Hải Phòng Việt Nam</t>
  </si>
  <si>
    <t>2BW7</t>
  </si>
  <si>
    <t>WM+ HNI 130 Đền Sóc, Sóc Sơn</t>
  </si>
  <si>
    <t>Số 130 Đường Đền Sóc, Xã Sóc Sơn, TP. Hà Nội Việt Nam</t>
  </si>
  <si>
    <t>2BW8</t>
  </si>
  <si>
    <t>WM+ PTO Khu 1, Bản Nguyên</t>
  </si>
  <si>
    <t>Khu 1, Xã Bản Nguyên, T. Phú Thọ Việt Nam</t>
  </si>
  <si>
    <t>2BX0</t>
  </si>
  <si>
    <t>WM+ THA Thanh Sơn, Trung Chính</t>
  </si>
  <si>
    <t>Số 191-193, QL 47C, Thôn Thanh Sơn, Xã Trung Chính, T. Thanh Hóa Việt Nam</t>
  </si>
  <si>
    <t>2BX1</t>
  </si>
  <si>
    <t>WM+ NAN Thôn 13, Quỳnh Phú</t>
  </si>
  <si>
    <t>Thôn 13, Xã Quỳnh Phú, T. Nghệ An Việt Nam</t>
  </si>
  <si>
    <t>2BX3</t>
  </si>
  <si>
    <t>WM+ PTO Khu 10, Hạ Hòa</t>
  </si>
  <si>
    <t>Khu 10, Xã Hạ Hòa, T. Phú Thọ Việt Nam</t>
  </si>
  <si>
    <t>2BX4</t>
  </si>
  <si>
    <t>WM+ PTO Khu 10, Phù Ninh</t>
  </si>
  <si>
    <t>Khu 10, Xã Phù Ninh, T. Phú Thọ Việt Nam</t>
  </si>
  <si>
    <t>2BX5</t>
  </si>
  <si>
    <t>WM+ HNI Việt Hòa, Yên Bài</t>
  </si>
  <si>
    <t>Thôn Việt Hòa, Xã Yên Bài, TP. Hà Nội Việt Nam</t>
  </si>
  <si>
    <t>2BX6</t>
  </si>
  <si>
    <t>WM+ HNI V3 The Vesta</t>
  </si>
  <si>
    <t>Kiot số 02 – 03, Tầng 01, Tòa nhà V3, Dự án Khu nhà ở xã hội Phú Lãm – The Vesta, Phường Phú Lương, TP. Hà Nội Việt Nam</t>
  </si>
  <si>
    <t>2BX7</t>
  </si>
  <si>
    <t>WM+ NAN Xóm 2, Trung Lộc</t>
  </si>
  <si>
    <t>Xóm 2, Xã Trung Lộc, T. Nghệ An Việt Nam</t>
  </si>
  <si>
    <t>2BX9</t>
  </si>
  <si>
    <t>WM+ PTO Khu 15, Dục Mỹ</t>
  </si>
  <si>
    <t>Khu 15, Thôn Dục Mỹ, Xã Bản Nguyên, T. Phú Thọ Việt Nam</t>
  </si>
  <si>
    <t>2BY1</t>
  </si>
  <si>
    <t>WM+ THA Xuân Mới, Yên Thọ</t>
  </si>
  <si>
    <t>Số 160, Thôn Xuân Mới, Xã Yên Thọ, T. Thanh Hóa Việt Nam</t>
  </si>
  <si>
    <t>2BY2</t>
  </si>
  <si>
    <t>WM+ HNI Bạch Nao, Tam Hưng</t>
  </si>
  <si>
    <t>Số nhà 22, Xóm 3, Thôn Bạch Nao, Xã Tam Hưng, TP. Hà Nội Việt Nam</t>
  </si>
  <si>
    <t>2BY3</t>
  </si>
  <si>
    <t>WM+ HPG Bình Long, Cẩm Giàng</t>
  </si>
  <si>
    <t>Thôn Bình Long, Xã Cẩm Giàng, TP. Hải Phòng Việt Nam</t>
  </si>
  <si>
    <t>2BY4</t>
  </si>
  <si>
    <t>WM+ HYN 16-18 Nguyễn Thái Sơn</t>
  </si>
  <si>
    <t>Số 16-18 Đường Nguyễn Thái Sơn, Thôn Quỳnh Côi 3, Xã Quỳnh Phụ, T. Hưng Yên Việt Nam</t>
  </si>
  <si>
    <t>2BY5</t>
  </si>
  <si>
    <t>WM+ HTH 134 Phan Đình Phùng</t>
  </si>
  <si>
    <t>Số 134 Đường Phan Đình Phùng, Tổ dân phố 4, Xã Hương Khê, T. Hà Tĩnh Việt Nam</t>
  </si>
  <si>
    <t>2BY6</t>
  </si>
  <si>
    <t>WM+ PTO Khu 3, Thanh Thủy</t>
  </si>
  <si>
    <t>Khu 3, Xã Thanh Thủy, T. Phú Thọ Việt Nam</t>
  </si>
  <si>
    <t>2BY8</t>
  </si>
  <si>
    <t>WM+ HNI Bài Lâm Hạ, Hòa Xá</t>
  </si>
  <si>
    <t>Số 64, Thôn Bài Lâm Hạ, Xã Hòa Xá, TP. Hà Nội Việt Nam</t>
  </si>
  <si>
    <t>2BZ0</t>
  </si>
  <si>
    <t>WM+ PTO An Ninh Hạ, Phú Thọ</t>
  </si>
  <si>
    <t>Khu An Ninh Hạ, Phường Phú Thọ, T. Phú Thọ Việt Nam</t>
  </si>
  <si>
    <t>2BZ1</t>
  </si>
  <si>
    <t>WM+ NAN Xóm 2, Nam Đàn</t>
  </si>
  <si>
    <t>Xóm 2, Xã Nam Đàn, T. Nghệ An Việt Nam</t>
  </si>
  <si>
    <t>2BZ3</t>
  </si>
  <si>
    <t>WM+ TNN TDP Hoàng Vân, Vạn Xuân</t>
  </si>
  <si>
    <t>Tổ dân phố Hoàng Vân, Phường Vạn Xuân, T. Thái Nguyên Việt Nam</t>
  </si>
  <si>
    <t>2BZ4</t>
  </si>
  <si>
    <t>WM+ HNI Thọ Am, Nam Phù</t>
  </si>
  <si>
    <t>Số nhà 177, Thôn Thọ Am, Xã Nam Phù, TP. Hà Nội Việt Nam</t>
  </si>
  <si>
    <t>2BZ5</t>
  </si>
  <si>
    <t>WM+ THA Đông Mỹ, Thiệu Quang</t>
  </si>
  <si>
    <t>Thôn Đông Mỹ, Xã Thiệu Quang, T. Thanh Hóa Việt Nam</t>
  </si>
  <si>
    <t>2BZ6</t>
  </si>
  <si>
    <t>WM+ BNH Nội Viên, Tân Chi</t>
  </si>
  <si>
    <t>Thôn Nội Viên, Xã Tân Chi, T. Bắc Ninh Việt Nam</t>
  </si>
  <si>
    <t>2BZ7</t>
  </si>
  <si>
    <t>WM+ HPG TDP Đồng Bào, Thạch Khôi</t>
  </si>
  <si>
    <t>Tổ dân phố Đồng Bào, Phường Thạch Khôi, TP. Hải Phòng Việt Nam</t>
  </si>
  <si>
    <t>2BZ9</t>
  </si>
  <si>
    <t>WM+ THA Khu phố 4, Quan Sơn</t>
  </si>
  <si>
    <t>Khu phố 4, Xã Quan Sơn, Tỉnh Thanh Hóa T. Thanh Hóa Việt Nam</t>
  </si>
  <si>
    <t>3012</t>
  </si>
  <si>
    <t>WM+ HNI 62 Nguyễn Đức Cảnh</t>
  </si>
  <si>
    <t>62 Nguyễn Đức Cảnh, Phường Tương Mai, P. Tương Mai, Quận Hoàng Mai, TP. Hà Nội Việt Nam</t>
  </si>
  <si>
    <t>3013</t>
  </si>
  <si>
    <t>WM+ HNI 464 Hoàng Công Chất</t>
  </si>
  <si>
    <t>Số 464 Hoàng Công Chất, Phường Phú Diễn, Q. Bắc Từ Liêm, TP. Hà Nội Việt Nam</t>
  </si>
  <si>
    <t>3014</t>
  </si>
  <si>
    <t>WM+ HNI P06 Park Hill</t>
  </si>
  <si>
    <t>Nhà Dịch Vụ số P06S11 tầng trệt, tòa P06 (ECO-35CT1-B), (ECO-35CT1-B), Khu chức năng đô, thị tại Quận Hoàng Mai, TP. Hà Nội Việt Nam</t>
  </si>
  <si>
    <t>3015</t>
  </si>
  <si>
    <t>WM+ HNI N3 Nguyễn Công Trứ</t>
  </si>
  <si>
    <t>Tầng 1, tòa nhà N3, Khu nhà ở cải tạo, chung cư cũ, ngõ Nguyễn Công Trứ, đường Nguyễn Công Trứ, phường Phố Huế, TP. Hà Nội Việt Nam</t>
  </si>
  <si>
    <t>3025</t>
  </si>
  <si>
    <t>WM+ HNI N07 B2 Dịch Vọng</t>
  </si>
  <si>
    <t>Tầng 01 Tòa nhà Chung cư N07 B2, đường, Tầng 01 Tòa nhà Chung cư N07 B2, đường, Thành Thái, Khu Đô thị mới Dịch Vọng, TP. Hà Nội Việt Nam</t>
  </si>
  <si>
    <t>3029</t>
  </si>
  <si>
    <t>WM+ HNI N03 T2 Đoàn Ngoại Giao</t>
  </si>
  <si>
    <t>Tầng 1, Tổ hợp chung cư cao tầng NO3-T2, khu Đoàn Ngoại Giao đường Nguyễn Văn H, TP. Hà Nội Việt Nam</t>
  </si>
  <si>
    <t>3030</t>
  </si>
  <si>
    <t>WM+ HNI Đại Kim Building</t>
  </si>
  <si>
    <t>Chung cư Đại Kim, đường Vũ Tông Phan, Phường Đại Kim, Quận Hoàng Mai, TP. Hà Nội Việt Nam</t>
  </si>
  <si>
    <t>3038</t>
  </si>
  <si>
    <t>WM+ HNI 131 Ba La</t>
  </si>
  <si>
    <t>131 Ba La, Phú Lương, Quận Hà Đông, TP. Hà Nội Việt Nam</t>
  </si>
  <si>
    <t>3057</t>
  </si>
  <si>
    <t>WM+ HNI P05 Park Hill</t>
  </si>
  <si>
    <t>Tầng 1 tòa P05, Vinhomes Times City Park, Hill số 25 ngõ 13, đường Lĩnh Nam, TP. Hà Nội Việt Nam</t>
  </si>
  <si>
    <t>3071</t>
  </si>
  <si>
    <t>WM+ QNH 496 Cao Thắng</t>
  </si>
  <si>
    <t>Số 496 Cao Thắng, Phường Cao Thắ, Số 496 Cao Thắng, Phường Cao Thắng, Thành phố Hạ Long, T. Quảng Ninh Việt Nam</t>
  </si>
  <si>
    <t>3072</t>
  </si>
  <si>
    <t>WM+ HNI 18T2 The Golden An Khánh</t>
  </si>
  <si>
    <t>Ki ốt 04, tầng 1, tòa nhà 18T2, Khu CC cao tầng, DVTM HH6, The Golden An Khánh, H. Hoài Đức, TP. Hà Nội Việt Nam</t>
  </si>
  <si>
    <t>3073</t>
  </si>
  <si>
    <t>WM+ HNI 38 Ô Cách</t>
  </si>
  <si>
    <t>Số 38 Ô Cách, Phường Đức Giang, Số 38 Ô Cách, Phường Đức Giang, TP. Hà Nội Việt Nam</t>
  </si>
  <si>
    <t>3081</t>
  </si>
  <si>
    <t>WM+ HNI 21-23 Mễ Trì Thượng</t>
  </si>
  <si>
    <t>Số 21-23 Mễ Trì Thượng, Phường Mễ Trì, Quận Nam Từ Liêm, TP. Hà Nội Việt Nam</t>
  </si>
  <si>
    <t>3082</t>
  </si>
  <si>
    <t>WM+ HPG 63 Thiên Lôi</t>
  </si>
  <si>
    <t>63 Thiên Lôi, Phường Nghĩa Xá, TP. Hải Phòng Việt Nam</t>
  </si>
  <si>
    <t>3088</t>
  </si>
  <si>
    <t>WM+ HNI 38 Đào Cam Mộc</t>
  </si>
  <si>
    <t>38 Đào Cam Mộc, xã Việt Hùng, Huyện Đông Anh, TP. Hà Nội Việt Nam</t>
  </si>
  <si>
    <t>3089</t>
  </si>
  <si>
    <t>WM+ HNI 44 Lâm Tiên</t>
  </si>
  <si>
    <t>44 tổ 12 phố Lâm Tiên, thị trấn, Đông Anh, Huyện Đông Anh, TP. Hà Nội Việt Nam</t>
  </si>
  <si>
    <t>3090</t>
  </si>
  <si>
    <t>WM+ HNI 16 ngõ 67 Tô Ngọc Vân</t>
  </si>
  <si>
    <t>Số 16 ngõ 67 Tô Ngọc Vân, Số 16 ngõ 67 Tô Ngọc Vân, P. Quảng An, Quận Tây Hồ, TP. Hà Nội Việt Nam</t>
  </si>
  <si>
    <t>3093</t>
  </si>
  <si>
    <t>WM+ QNH ĐN1 Green Bay Hạ Long</t>
  </si>
  <si>
    <t>Lô số 03, Tầng 1, Nhà ĐN1, Tổ hợp, CC Green Bay, Đ. Hoàng Quốc Việt, P., Hùng Thắng, TP. Hạ Long, T. Quảng Ninh Việt Nam</t>
  </si>
  <si>
    <t>3104</t>
  </si>
  <si>
    <t>WIN HNI N04 T1 Đoàn Ngoại Giao</t>
  </si>
  <si>
    <t>Tầng 1, tòa N04-T1, lô N04B, Khu, Đoàn Ngoại Giao Đ. Nguyễn Văn Huyên kéo dài, P. Xuân Đỉnh, Q. Bắc Từ Liêm, TP. Hà Nội Việt Nam</t>
  </si>
  <si>
    <t>3105</t>
  </si>
  <si>
    <t>WM+ HNI T06-SO05A Times City</t>
  </si>
  <si>
    <t>T06SO05A, tầng 1, tòa nhà T06, Tổ, hợp TTTM giáo dục và căn hộ Times City, 458 Minh Khai, Phường Vĩnh Tuy, TP. Hà Nội Việt Nam</t>
  </si>
  <si>
    <t>3107</t>
  </si>
  <si>
    <t>WM+ HNI 15 ngõ 35 Tu Hoàng</t>
  </si>
  <si>
    <t>Số 15 ngõ 35 Tu Hoàng, Phường, Phương Canh, Quận Nam Từ Liêm, TP. Hà Nội Việt Nam</t>
  </si>
  <si>
    <t>3120</t>
  </si>
  <si>
    <t>WM+ HPG 54 Kênh Dương</t>
  </si>
  <si>
    <t>54 Kênh Dương, Phường Kênh Dương, Quận Lê Chân, TP. Hải Phòng Việt Nam</t>
  </si>
  <si>
    <t>3122</t>
  </si>
  <si>
    <t>WM+ HPG 328 Trần Nguyên Hãn</t>
  </si>
  <si>
    <t>328 Trần Nguyên Hãn, Phường Niệm Nghĩa, Quận Lê Chân, TP. Hải Phòng Việt Nam</t>
  </si>
  <si>
    <t>3123</t>
  </si>
  <si>
    <t>WM+ HNI FLC Star Tower</t>
  </si>
  <si>
    <t>Tầng 1 (L1),Tòa nhà FLC Star Tower, 418 Quang Trung, Phường La Khê, Quận Hà Đông, TP. Hà Nội Việt Nam</t>
  </si>
  <si>
    <t>3130</t>
  </si>
  <si>
    <t>WM+ HNI P12S03 Park Hill</t>
  </si>
  <si>
    <t>P12S03 tầng trệt, tòa P12 (NOCT34T), Park Hill, số 25 ngõ 13, đường Lĩnh Nam, P. Mai, Động, Q. Hoàng Mai, TP. Hà Nội Việt Nam</t>
  </si>
  <si>
    <t>3131</t>
  </si>
  <si>
    <t>WM+ HNI 19 tổ 22 TT Đông Anh</t>
  </si>
  <si>
    <t>số 19, tổ 22, thị trấn Đông Anh, Huyện Đông Anh, TP. Hà Nội Việt Nam</t>
  </si>
  <si>
    <t>3132</t>
  </si>
  <si>
    <t>WM+ HNI Tổ 25 TT Đông Anh</t>
  </si>
  <si>
    <t>Tổ dân phố 25, Thị trấn Đông Anh, Huyện Đông Anh, TP. Hà Nội Việt Nam</t>
  </si>
  <si>
    <t>3134</t>
  </si>
  <si>
    <t>WM+ HPG 130 Ngô Gia Tự</t>
  </si>
  <si>
    <t>130 Ngô Gia Tự, Phường Cát Bi, Quận Hải An, TP. Hải Phòng Việt Nam</t>
  </si>
  <si>
    <t>3136</t>
  </si>
  <si>
    <t>WM+ HNI Green Star Phạm Văn Đồng</t>
  </si>
  <si>
    <t>Tầng 1, 21B6&amp;B7, CC Green Star, 234 Phạm Văn Đồng, Phường Cổ Nhuế 1, Quận Bắc Từ Liêm, TP. Hà Nội Việt Nam</t>
  </si>
  <si>
    <t>3137</t>
  </si>
  <si>
    <t>WM+ HNI 11C ngõ 124 Âu Cơ</t>
  </si>
  <si>
    <t>11C ngõ 124 Âu Cơ, Phường Tứ Liên, Quận Tây Hồ, TP. Hà Nội Việt Nam</t>
  </si>
  <si>
    <t>3138</t>
  </si>
  <si>
    <t>WM+ HNI 98 Xuân Diệu</t>
  </si>
  <si>
    <t>98 Xuân Diệu, tổ 30, cụm 4, Phường Tứ Liên, Quận Tây Hồ, TP. Hà Nội Việt Nam</t>
  </si>
  <si>
    <t>3142</t>
  </si>
  <si>
    <t>WM+ HNI LK 20-22 La Khê</t>
  </si>
  <si>
    <t>20-22 đường Bia Bà, Phường La Khê, Quận Hà Đông, TP. Hà Nội Việt Nam</t>
  </si>
  <si>
    <t>3144</t>
  </si>
  <si>
    <t>WM+ HNI 313 Trần Cung</t>
  </si>
  <si>
    <t>313 Trần Cung, Phường Cổ Nhuế 1, Quận Bắc Từ Liêm, TP. Hà Nội Việt Nam</t>
  </si>
  <si>
    <t>3145</t>
  </si>
  <si>
    <t>WM+ HNI 112 Mai Động</t>
  </si>
  <si>
    <t>112 Mai Động, Phường Mai Động, Quận Hoàng Mai, TP. Hà Nội Việt Nam</t>
  </si>
  <si>
    <t>3159</t>
  </si>
  <si>
    <t>WM+ HNI 17T1-CT2 Trung Văn</t>
  </si>
  <si>
    <t>Kiot số 11,12 và 13, tầng 1, tòa nhà chung cư 17T1-CT2, khu nhà ở Trung Văn tại xã Mễ Trì và xã Trung Văn, Quận Nam Từ Liêm, TP. Hà Nội Việt Nam</t>
  </si>
  <si>
    <t>3160</t>
  </si>
  <si>
    <t>WM+ HYN WB-B02 Westbay</t>
  </si>
  <si>
    <t>Căn WB-B02, tầng 1 tháp B, Khu chung cư cao tầng Lake View, ECOPARK, Xã Xuân Quan, Huyện Văn Giang, T. Hưng Yên Việt Nam</t>
  </si>
  <si>
    <t>3161</t>
  </si>
  <si>
    <t>WM+ HYN WB-D03 Westbay</t>
  </si>
  <si>
    <t>Căn WB-D03, tầng 1 tháp D, Khu chung cư cao tầng Lake View, ECOPARK, Xã Xuân Quan, Huyện Văn Giang, T. Hưng Yên Việt Nam</t>
  </si>
  <si>
    <t>3162</t>
  </si>
  <si>
    <t>WIN HNI MonCity</t>
  </si>
  <si>
    <t>tầng 01 của Tòa nhà CT1B thuộc Dự án Hải Đăng City, (MonCity) tại địa chỉ Phường Mỹ Đình 2, Quận Nam Từ Liêm, TP. Hà Nội Việt Nam</t>
  </si>
  <si>
    <t>3168</t>
  </si>
  <si>
    <t>WM+ HNI 153 Hữu Hưng</t>
  </si>
  <si>
    <t>Số 153 Hữu Hưng, Phường Tây Mỗ, Quận Nam Từ Liêm, TP. Hà Nội Việt Nam</t>
  </si>
  <si>
    <t>3169</t>
  </si>
  <si>
    <t>WIN HNI 96 Định Công</t>
  </si>
  <si>
    <t>96 phố Định Công, P. Phương Liệt, Quận Thanh Xuân, TP. Hà Nội Việt Nam</t>
  </si>
  <si>
    <t>3178</t>
  </si>
  <si>
    <t>WM+ HNI Thôn 2 Ninh Hiệp</t>
  </si>
  <si>
    <t>Thôn 2, xã Ninh Hiệp, Huyện Gia Lâm, TP. Hà Nội Việt Nam</t>
  </si>
  <si>
    <t>3179</t>
  </si>
  <si>
    <t>WM+ HNI CT4 Vimeco</t>
  </si>
  <si>
    <t>Ô V3, tầng 1, Tòa nhà hỗn hợp CT4-VIMECO, Lô H1, đường Nguyễn Chánh, Phường, Trung Hòa, Quận Cầu Giấy, TP. Hà Nội Việt Nam</t>
  </si>
  <si>
    <t>3180</t>
  </si>
  <si>
    <t>WM+ HNI Sky Light 125D Minh Khai</t>
  </si>
  <si>
    <t>Tầng 1 tòa nhà CT1 - Khu nhà ở cao cấp Skylight, 125D phố Minh Khai, Phường Minh Khai, Quận Hai Bà Trưng, TP. Hà Nội Việt Nam</t>
  </si>
  <si>
    <t>3181</t>
  </si>
  <si>
    <t>WM+ HNI N09 B2 Dịch Vọng</t>
  </si>
  <si>
    <t>Ô DV1, tầng 1 Tòa nhà N09-B2 KĐT mới Dịch Vọng, đường Thành Thái, Phường Dịch Vọng, Quận Cầu Giấy, TP. Hà Nội Việt Nam</t>
  </si>
  <si>
    <t>3182</t>
  </si>
  <si>
    <t>WM+ HNI A21-BT7 Việt Hưng</t>
  </si>
  <si>
    <t>Ô số 21 Lô A Biệt Thự BT7, Khu đô thị mới Việt Hưng, Phường Giang Biên, Quận Long Biên, TP. Hà Nội Việt Nam</t>
  </si>
  <si>
    <t>3188</t>
  </si>
  <si>
    <t>WM+ HNI 144 Hoa Bằng</t>
  </si>
  <si>
    <t>Số 144 Hoa Bằng, Phường Yên Hòa, Quận Cầu Giấy, TP. Hà Nội Việt Nam</t>
  </si>
  <si>
    <t>3189</t>
  </si>
  <si>
    <t>WM+ HPG 33 Lê Lai</t>
  </si>
  <si>
    <t>Số 33 Lê Lai, Phường Lạc Viên, Quận Ngô Quyền, TP. Hải Phòng Việt Nam</t>
  </si>
  <si>
    <t>3190</t>
  </si>
  <si>
    <t>WM+ HPG 314 Chợ Hàng</t>
  </si>
  <si>
    <t>số 314 đường Chợ Hàng, Phường Dư Hàng Kênh, Quận Lê Chân, TP. Hải Phòng Việt Nam</t>
  </si>
  <si>
    <t>3191</t>
  </si>
  <si>
    <t>WM+ HNI Metropolitan CT36</t>
  </si>
  <si>
    <t>kiot số 106, 107 tầng 01 lô B (lô 2) TN Metropolitan CT36, ngõ 177 đường Định Công, tổ 24 Phường, Định Công, Quận Hoàng Mai, TP. Hà Nội Việt Nam</t>
  </si>
  <si>
    <t>3196</t>
  </si>
  <si>
    <t>WM+ HNI 1B Nguyễn Duy Trinh</t>
  </si>
  <si>
    <t>Số 1B đường Nguyễn Duy Trinh, Phường Hoàng Liệt, Quận Hoàng Mai, TP. Hà Nội Việt Nam</t>
  </si>
  <si>
    <t>3197</t>
  </si>
  <si>
    <t>WM+ HNI 2 ngách 8/11 Lê Quang Đạo</t>
  </si>
  <si>
    <t>Số 2 ngách 8/11 đường Lê Quang Đạo, Phường Phú Đô, Quận Nam Từ Liêm, TP. Hà Nội Việt Nam</t>
  </si>
  <si>
    <t>3198</t>
  </si>
  <si>
    <t>WM+ QNH 192-194 Trần Phú</t>
  </si>
  <si>
    <t>Số 192-194 đường Trần Phú, Phường Cao Xanh, Thành phố Hạ Long, T. Quảng Ninh Việt Nam</t>
  </si>
  <si>
    <t>3208</t>
  </si>
  <si>
    <t>WM+ HNI BT1.D8 KĐT Trung Văn</t>
  </si>
  <si>
    <t>BT1.D8, Khu đô thị mới Trung Văn, đường Trung Văn, Phường Trung Văn, Quận Nam Từ Liêm, TP. Hà Nội Việt Nam</t>
  </si>
  <si>
    <t>3210</t>
  </si>
  <si>
    <t>WM+ HNI BT8-1 KĐT Văn Khê</t>
  </si>
  <si>
    <t>BT8-1, Khu đô thị mới Văn Khê, đường Tố Hữu, Phường La Khê, Quận Hà Đông, TP. Hà Nội Việt Nam</t>
  </si>
  <si>
    <t>3220</t>
  </si>
  <si>
    <t>WM+ HNI 28 Trần Tử Bình</t>
  </si>
  <si>
    <t>Số 28 Trần Tử Bình, Phường Nghĩa Tân, Quận Cầu Giấy, ., TP. Hà Nội Việt Nam</t>
  </si>
  <si>
    <t>3225</t>
  </si>
  <si>
    <t>WM+ HNI 75 Tam Trinh</t>
  </si>
  <si>
    <t>75 Tam Trinh, Phường Mai Động, Quận Hoàng Mai, TP. Hà Nội Việt Nam</t>
  </si>
  <si>
    <t>3227</t>
  </si>
  <si>
    <t>WM+ HNI 15 Trần Khánh Dư</t>
  </si>
  <si>
    <t>Số 15 Trần Khánh Dư, tổ 53, Phường Bạch Đằng, Quận Hai Bà Trưng, TP. Hà Nội Việt Nam</t>
  </si>
  <si>
    <t>3228</t>
  </si>
  <si>
    <t>WM+ HNI 44-46 Kiều Mai</t>
  </si>
  <si>
    <t>Số 44-46 Kiều Mai, Phường Phúc Diễn, Quận Bắc Từ Liêm, TP. Hà Nội Việt Nam</t>
  </si>
  <si>
    <t>3229</t>
  </si>
  <si>
    <t>WM+ HNI CT7K Parkview Dương Nội</t>
  </si>
  <si>
    <t>tầng 1 Tòa K, Chung cư CT7, Tổ hợp Chung cư cao tầng NCG, Residential, Khu đô thị mới Dương Nội, Quận Hà Đông, TP. Hà Nội Việt Nam</t>
  </si>
  <si>
    <t>3231</t>
  </si>
  <si>
    <t>WM+ HNI Tổ 6 Phúc Lợi</t>
  </si>
  <si>
    <t>Tổ 6, Phường Phúc Lợi, Quận Long Biên, TP. Hà Nội Việt Nam</t>
  </si>
  <si>
    <t>3233</t>
  </si>
  <si>
    <t>WM+ HPG 118 Hùng Vương</t>
  </si>
  <si>
    <t>Số 118 Hùng Vương, Phường Thượng Lý, Quận Hồng Bàng, TP. Hải Phòng Việt Nam</t>
  </si>
  <si>
    <t>3235</t>
  </si>
  <si>
    <t>WM+ HPG 267 Thiên Lôi</t>
  </si>
  <si>
    <t>Số 267 Thiên Lôi, Phường Vĩnh Niệm, Quận Lê Chân, TP. Hải Phòng Việt Nam</t>
  </si>
  <si>
    <t>3237</t>
  </si>
  <si>
    <t>WM+ HNI 23 ngõ 136 Cầu Diễn</t>
  </si>
  <si>
    <t>Số 23 ngõ 136 đường Cầu Diễn, Phường Minh Khai, Quận Bắc Từ Liêm, TP. Hà Nội Việt Nam</t>
  </si>
  <si>
    <t>3238</t>
  </si>
  <si>
    <t>WM+ HNI Chung cư BMM</t>
  </si>
  <si>
    <t>tầng 1 Khu nhà ở cao cấp BMM, Phường Phúc La, Quận Hà Đông, TP. Hà Nội Việt Nam</t>
  </si>
  <si>
    <t>3239</t>
  </si>
  <si>
    <t>WM+ HNI Thăng Long Victory</t>
  </si>
  <si>
    <t>ô dịch vụ số 1, Tòa nhà T1 – Dự án Thăng Long Victory, khu đô thị mới Nam An Khánh, Hoài Đức, TP. Hà Nội Việt Nam</t>
  </si>
  <si>
    <t>3245</t>
  </si>
  <si>
    <t>WM+ HNI 191 Xuân Đỉnh</t>
  </si>
  <si>
    <t>Số 191 Xuân Đỉnh, Phường Xuân Đỉnh, Quận Bắc Từ Liêm, TP. Hà Nội Việt Nam</t>
  </si>
  <si>
    <t>3246</t>
  </si>
  <si>
    <t>WM+ HNI 140-142 Nguyễn Sơn</t>
  </si>
  <si>
    <t>Số 140-142 Nguyễn Sơn, Phường Bồ Đề, Long Biên, TP. Hà Nội Việt Nam</t>
  </si>
  <si>
    <t>3248</t>
  </si>
  <si>
    <t>WM+ HNI Lô 2-628 Hoàng Hoa Thám</t>
  </si>
  <si>
    <t>Lô số 2-628, đường Hoàng Hoa Thám, Phường Bưởi, Quận Tây Hồ, TP. Hà Nội Việt Nam</t>
  </si>
  <si>
    <t>3251</t>
  </si>
  <si>
    <t>WM+ QNH 618 Hà Lầm</t>
  </si>
  <si>
    <t>618 Hà Lầm, Phường Hà Lầm, Thành phố Hạ Long, T. Quảng Ninh Việt Nam</t>
  </si>
  <si>
    <t>3261</t>
  </si>
  <si>
    <t>WM+ HNI Đào Xuyên</t>
  </si>
  <si>
    <t>Thôn Đào Xuyên, xã Đa Tốn, Huyện Gia Lâm, TP. Hà Nội Việt Nam</t>
  </si>
  <si>
    <t>3262</t>
  </si>
  <si>
    <t>WM+ HPG 154 Bạch Đằng</t>
  </si>
  <si>
    <t>154 Bạch Đằng, Thị trấn Núi Đèo, Huyện Thủy Nguyên, TP. Hải Phòng Việt Nam</t>
  </si>
  <si>
    <t>3263</t>
  </si>
  <si>
    <t>WM+ HPG 252 Đông Khê</t>
  </si>
  <si>
    <t>Số 252 Đông Khê, Phường Đằng Giang, Quận Ngô Quyền, TP. Hải Phòng Việt Nam</t>
  </si>
  <si>
    <t>3264</t>
  </si>
  <si>
    <t>WM+ HNI 15 ngõ 259 Yên Hòa</t>
  </si>
  <si>
    <t>Số 15 ngõ 259 Yên Hòa, Phường Yên Hòa, Quận Cầu Giấy, TP. Hà Nội Việt Nam</t>
  </si>
  <si>
    <t>3265</t>
  </si>
  <si>
    <t>WM+ HNI N01 T4 Đoàn Ngoại Giao</t>
  </si>
  <si>
    <t>Tầng 1, tòa nhà N01-T4, Khu Đoàn Ngoại Giao Hà Nội, Phường Xuân Tảo, Quận Bắc Từ Liêm, TP. Hà Nội Việt Nam</t>
  </si>
  <si>
    <t>3266</t>
  </si>
  <si>
    <t>WM+ HNI CT2E Chung cư VOV</t>
  </si>
  <si>
    <t>Lô 01, tầng 1 Nhà chung cư cao tầng CT2-E tại ô đất CT2, Phường Mễ Trì, Quận Nam Từ Liêm, TP. Hà Nội Việt Nam</t>
  </si>
  <si>
    <t>3267</t>
  </si>
  <si>
    <t>WM+ HPG 21 Lê Hồng Phong</t>
  </si>
  <si>
    <t>số 21 Khu B1 Lô 7B, đường Lê Hồng Phong, P. Đông Khê, Quận Ngô Quyền, TP. Hải Phòng Việt Nam</t>
  </si>
  <si>
    <t>3268</t>
  </si>
  <si>
    <t>WM+ HPG 121 Dư Hàng</t>
  </si>
  <si>
    <t>121 Dư Hàng, Phường Dư Hàng, Quận Lê Chân, TP. Hải Phòng Việt Nam</t>
  </si>
  <si>
    <t>3275</t>
  </si>
  <si>
    <t>WM+ HNI 254 Cổ Bi</t>
  </si>
  <si>
    <t>Số 254 đưởng Cổ Bi, xã Cổ Bi, Huyện Gia Lâm, TP. Hà Nội Việt Nam</t>
  </si>
  <si>
    <t>3276</t>
  </si>
  <si>
    <t>WM+ HNI 250 Lạc Long Quân</t>
  </si>
  <si>
    <t>Số 250 đường Lạc Long Quân, Phường Bưởi, Quận Tây Hồ, TP. Hà Nội Việt Nam</t>
  </si>
  <si>
    <t>3277</t>
  </si>
  <si>
    <t>WM+ HNI Xóm Ngoài Uy Nỗ</t>
  </si>
  <si>
    <t>Xóm ngoài, Xã Uy Nỗ, Huyện Đông Anh, TP. Hà Nội Việt Nam</t>
  </si>
  <si>
    <t>3279</t>
  </si>
  <si>
    <t>WM+ HNI 207 Lương Thế Vinh</t>
  </si>
  <si>
    <t>Số 207 đường Lương Thế Vinh, Phường Trung Văn, Quận Nam Từ Liêm, TP. Hà Nội Việt Nam</t>
  </si>
  <si>
    <t>3280</t>
  </si>
  <si>
    <t>WM+ HNI TDP 5 Mễ Trì Hạ</t>
  </si>
  <si>
    <t>TDP số 5 Mễ Trì Hạ, Phường Mễ Trì, Quận Nam Từ Liêm, TP. Hà Nội Việt Nam</t>
  </si>
  <si>
    <t>3281</t>
  </si>
  <si>
    <t>WM+ HNI TT3 40-41 KĐG Tứ Hiệp</t>
  </si>
  <si>
    <t>TT3 40-41, Khu đấu giá quyền sử dụng đất, xã Ngũ Hiệp – Tứ Hiệp, Thanh Trì, TP. Hà Nội Việt Nam</t>
  </si>
  <si>
    <t>3289</t>
  </si>
  <si>
    <t>WM+ HDG 616-618 Lê Thanh Nghị</t>
  </si>
  <si>
    <t>số 616-618 Lê Thanh Nghị, Phường Lê Thanh Nghị, Thành phố Hải Dương, T. Hải Dương Việt Nam</t>
  </si>
  <si>
    <t>3290</t>
  </si>
  <si>
    <t>WM+ HNI 371 Cao Lỗ</t>
  </si>
  <si>
    <t>Số 371 Cao Lỗ, xã Uy Nỗ, Huyện Đông Anh, TP. Hà Nội Việt Nam</t>
  </si>
  <si>
    <t>3291</t>
  </si>
  <si>
    <t>WM+ HNI Khu nhà ở Viện 103</t>
  </si>
  <si>
    <t>2-NV1, Khu nhà ở cho cán bộ, nhân viên Viện 103 –, Học viện quân y, xã Tân Triều, Huyện Thanh Trì, TP. Hà Nội Việt Nam</t>
  </si>
  <si>
    <t>3300</t>
  </si>
  <si>
    <t>WM+ HPG 449 Thiên Lôi</t>
  </si>
  <si>
    <t>449 Thiên Lôi, Phường Vĩnh Niệm, Quận Lê Chân, TP. Hải Phòng Việt Nam</t>
  </si>
  <si>
    <t>3301</t>
  </si>
  <si>
    <t>WM+ HNI TDP 4 Phú Đô</t>
  </si>
  <si>
    <t>Tổ dân phố số 4, Phường Phú Đô, Quận Nam Từ Liêm, TP. Hà Nội Việt Nam</t>
  </si>
  <si>
    <t>3303</t>
  </si>
  <si>
    <t>WM+ HNI BT1 Lô 8 Mễ Trì Hạ</t>
  </si>
  <si>
    <t>BT1- Lô 8, Khu đô thị Mễ Trì Hạ, đường Mễ Trì Hạ, Phường Mễ Trì, Quận Nam Từ Liêm, TP. Hà Nội Việt Nam</t>
  </si>
  <si>
    <t>3304</t>
  </si>
  <si>
    <t>WM+ HNI 217A Quan Hoa</t>
  </si>
  <si>
    <t>Số 217A Quan Hoa, Phường Quan Hoa, Quận Cầu Giấy, TP. Hà Nội Việt Nam</t>
  </si>
  <si>
    <t>3312</t>
  </si>
  <si>
    <t>WM+ HNI 100 đường K2</t>
  </si>
  <si>
    <t>Số 100, đường K2, Phường Cầu Diễn, Quận Nam Từ Liêm, TP. Hà Nội Việt Nam</t>
  </si>
  <si>
    <t>3313</t>
  </si>
  <si>
    <t>WM+ PTO 62 Phan Châu Trinh</t>
  </si>
  <si>
    <t>Số 62 Phan Châu Trinh, Phường Gia Cẩm, Thành phố Việt Trì, T. Phú Thọ Việt Nam</t>
  </si>
  <si>
    <t>3314</t>
  </si>
  <si>
    <t>WM+ QNH Khu 1 Trưng Vương</t>
  </si>
  <si>
    <t>Tổ 1, khu 1, Trưng Vương, Thành phố Uông Bí, T. Quảng Ninh Việt Nam</t>
  </si>
  <si>
    <t>3322</t>
  </si>
  <si>
    <t>WIN HNI Hapulico</t>
  </si>
  <si>
    <t>Tầng 1, tòa 17T4, (Hapulico Complex), Số 01 phố Nguyễn Huy, Tưởng, Phường Thanh Xuân Trung, Quận Thanh Xuân, TP. Hà Nội Việt Nam</t>
  </si>
  <si>
    <t>3323</t>
  </si>
  <si>
    <t>WM+ HNI 105-107 Tân Xuân</t>
  </si>
  <si>
    <t>Số 105-107 Tân Xuân, Phường Xuân Đỉnh, Quận Bắc Từ Liêm, TP. Hà Nội Việt Nam</t>
  </si>
  <si>
    <t>3324</t>
  </si>
  <si>
    <t>WM+ HNI Cổ Điển</t>
  </si>
  <si>
    <t>Xóm 3, Thôn Cổ Điển, Xã Hải Bối, Huyện Đông Anh, TP. Hà Nội Việt Nam</t>
  </si>
  <si>
    <t>3326</t>
  </si>
  <si>
    <t>WM+ QNH 239 Tổ 24 Quang Trung</t>
  </si>
  <si>
    <t>Số 239, Tổ 24, Khu 7, Phường Quang Trung, Thành phố Uông Bí, T. Quảng Ninh Việt Nam</t>
  </si>
  <si>
    <t>3336</t>
  </si>
  <si>
    <t>WM+ QNH Tổ 12C khu 2A Hà Phong</t>
  </si>
  <si>
    <t>Tổ 12C, khu 2A Hà Phong, Thành phố Hạ Long, T. Quảng Ninh Việt Nam</t>
  </si>
  <si>
    <t>3342</t>
  </si>
  <si>
    <t>WM+ HNI B2 Pandora Triều Khúc</t>
  </si>
  <si>
    <t>B2 Dự án Pandora, số 53 Phố Triều Khúc, P. Thanh Xuân Nam, Quận Thanh Xuân, TP. Hà Nội Việt Nam</t>
  </si>
  <si>
    <t>3343</t>
  </si>
  <si>
    <t>WM+ PTO 3023 Đại Lộ Hùng Vương</t>
  </si>
  <si>
    <t>Số 3023 Đại Lộ Hùng Vương, Khu 1, Phường Vân Cơ, Thành phố Việt Trì, T. Phú Thọ Việt Nam</t>
  </si>
  <si>
    <t>3345</t>
  </si>
  <si>
    <t>WM+ PTO 44 Nguyễn Du</t>
  </si>
  <si>
    <t>Số 44 Nguyễn Du, Phường Nông Trang, Thành phố Việt Trì, T. Phú Thọ Việt Nam</t>
  </si>
  <si>
    <t>3346</t>
  </si>
  <si>
    <t>WM+ HNI 204 Thanh Bình</t>
  </si>
  <si>
    <t>Khu nhà ở Công ty Xây dựng Phát triển hạ tầng và SXVLXD, số 204 đường Thanh Bình, Phường Mộ Lao, Quận Hà Đông, TP. Hà Nội Việt Nam</t>
  </si>
  <si>
    <t>3347</t>
  </si>
  <si>
    <t>WM+ HNI 173 TDP 4 Xuân Phương</t>
  </si>
  <si>
    <t>Số 173 TDP số 4, Phường Xuân Phương, Quận Nam Từ Liêm, TP. Hà Nội Việt Nam</t>
  </si>
  <si>
    <t>3350</t>
  </si>
  <si>
    <t>WM+ HNI 777 Bạch Đằng</t>
  </si>
  <si>
    <t>Số 777 đường Bạch Đằng, Phường Bạch Đằng, Quận Hai Bà Trưng, TP. Hà Nội Việt Nam</t>
  </si>
  <si>
    <t>3351</t>
  </si>
  <si>
    <t>WM+ HDG 7C Nguyễn Du</t>
  </si>
  <si>
    <t>Số 7C đường Nguyễn Du, Phường Trần Hưng Đạo, Thành phố Hải Dương, T. Hải Dương Việt Nam</t>
  </si>
  <si>
    <t>3363</t>
  </si>
  <si>
    <t>WM+ TBH KĐT Petro Thăng Long</t>
  </si>
  <si>
    <t>KĐT Petro Thăng Long, Phường Quang Trung, Thành phố Thái Bình, T. Thái Bình Việt Nam</t>
  </si>
  <si>
    <t>3367</t>
  </si>
  <si>
    <t>WM+ QNH 577 Cái Dăm</t>
  </si>
  <si>
    <t>Số 577 đường Cái Dăm, Phường Bãi Cháy, Thành phố Hạ Long, T. Quảng Ninh Việt Nam</t>
  </si>
  <si>
    <t>3369</t>
  </si>
  <si>
    <t>WM+ HNI TDP Viên 5 Cổ Nhuế</t>
  </si>
  <si>
    <t>TDP Viên 5, Phường Cổ Nhuế 2, Quận Bắc Từ Liêm, TP. Hà Nội Việt Nam</t>
  </si>
  <si>
    <t>3370</t>
  </si>
  <si>
    <t>WM+ HNI G3AB Yên Hòa Sunshine</t>
  </si>
  <si>
    <t>Tầng 1, khu cc G3AB (CC Yên Hòa SunShine), KĐT Yên Hoà, Số 9 phố Vũ Phạm Hàm, Phường Yên Hòa, Quận Cầu Giấy, TP. Hà Nội Việt Nam</t>
  </si>
  <si>
    <t>3371</t>
  </si>
  <si>
    <t>WM+ HNI 23-25 Nguyễn Khả Trạc</t>
  </si>
  <si>
    <t>Số 23-25 đường Nguyễn Khả Trạc, Phường Mai Dịch, Quận Cầu Giấy, TP. Hà Nội Việt Nam</t>
  </si>
  <si>
    <t>3380</t>
  </si>
  <si>
    <t>WM+ QNH 338 Nguyễn Văn Cừ</t>
  </si>
  <si>
    <t>Số 338 đường Nguyễn Văn Cừ, Phường Hồng Hà, Thành phố Hạ Long, T. Quảng Ninh Việt Nam</t>
  </si>
  <si>
    <t>3381</t>
  </si>
  <si>
    <t>WM+ QNH 388 Quang Trung</t>
  </si>
  <si>
    <t>Số 388 Quang Trung, Phường Quang Trung, Tp. Uông Bí, T. Quảng Ninh Việt Nam</t>
  </si>
  <si>
    <t>3385</t>
  </si>
  <si>
    <t>WM+ HDG 101-103-105 Thanh Niên</t>
  </si>
  <si>
    <t>Số 101-103-105 đường Thanh Niên, Phường Hải Tân, Thành phố Hải Dương, T. Hải Dương Việt Nam</t>
  </si>
  <si>
    <t>3404</t>
  </si>
  <si>
    <t>WM+ HNI NV36 KĐT Mới Trung Văn</t>
  </si>
  <si>
    <t>NV36, Khu đô thị mới Trung Văn, Phường Trung Văn, Quận Nam Từ Liêm, TP. Hà Nội Việt Nam</t>
  </si>
  <si>
    <t>3406</t>
  </si>
  <si>
    <t>WM+ HDG 28 Nguyễn Thị Duệ</t>
  </si>
  <si>
    <t>Số 28 Nguyễn Thị Duệ, Phường Phạm Ngũ Lão, Thành phố Hải Dương, T. Hải Dương Việt Nam</t>
  </si>
  <si>
    <t>3407</t>
  </si>
  <si>
    <t>WM+ PTO 1250 Hùng Vương</t>
  </si>
  <si>
    <t>1250 Hùng Vương, Phường Tiên Cát, Thành phố Việt Trì, T. Phú Thọ Việt Nam</t>
  </si>
  <si>
    <t>3432</t>
  </si>
  <si>
    <t>WM+TBH 19 Hai Bà Trưng</t>
  </si>
  <si>
    <t>Số 19 đường Hai Bà Trưng, Phường Lê Hồng Phong, Thành phố Thái Bình, T. Thái Bình Việt Nam</t>
  </si>
  <si>
    <t>3433</t>
  </si>
  <si>
    <t>WM+ HNI 68 Hoàng Như Tiếp</t>
  </si>
  <si>
    <t>Số 68 Hoàng Như Tiếp, Phường Bồ Đề, Quận Long Biên, TP. Hà Nội Việt Nam</t>
  </si>
  <si>
    <t>3434</t>
  </si>
  <si>
    <t>WM+ HNI 91 Đốc Ngữ</t>
  </si>
  <si>
    <t>Số 91 Đốc Ngữ, Phường Liễu Giai, Quận Ba Đình, TP. Hà Nội Việt Nam</t>
  </si>
  <si>
    <t>3435</t>
  </si>
  <si>
    <t>WM+ PTO 130 Lê Quý Đôn</t>
  </si>
  <si>
    <t>Số 130 Lê Quý Đôn, Phường Gia Cẩm, Thành phố Việt Trì, T. Phú Thọ Việt Nam</t>
  </si>
  <si>
    <t>3438</t>
  </si>
  <si>
    <t>WM+ BNH 73 Phố Vũ</t>
  </si>
  <si>
    <t>Số 73 Phố Vũ, Phường Đại Phúc, Thành Phố Bắc Ninh, T. Bắc Ninh Việt Nam</t>
  </si>
  <si>
    <t>3446</t>
  </si>
  <si>
    <t>WM+ HNI A12-BT1 Lưu Hữu Phước</t>
  </si>
  <si>
    <t>Số A12-BT1, đường Lưu Hữu Phước, KĐT Mỹ Đình 2, Phường Mỹ Đình 2, Quận Nam Từ Liêm, TP. Hà Nội Việt Nam</t>
  </si>
  <si>
    <t>3450</t>
  </si>
  <si>
    <t>WM+ HPG 261 Tôn Đức Thắng</t>
  </si>
  <si>
    <t>Thôn An Dương, xã An Đồng, (261 Tôn Đức Thắng, Hải Phòng), Huyện An Dương, TP. Hải Phòng Việt Nam</t>
  </si>
  <si>
    <t>3451</t>
  </si>
  <si>
    <t>WM+ HPG Phố mới, Phù Liễn</t>
  </si>
  <si>
    <t>Khu phố mới, Thôn Phù Liễn, Xã Thủy Sơn, Huyện Thủy Nguyên, TP. Hải Phòng Việt Nam</t>
  </si>
  <si>
    <t>3452</t>
  </si>
  <si>
    <t>WM+ HPG Lô 11, Xóm Chùa</t>
  </si>
  <si>
    <t>Lô 11, xóm Chùa, Xã Tân Dương, Huyện Thủy Nguyên, TP. Hải Phòng Việt Nam</t>
  </si>
  <si>
    <t>3453</t>
  </si>
  <si>
    <t>WM+ QNG Tổ 54 Khu 5 Hà Khẩu</t>
  </si>
  <si>
    <t>Tổ 54, khu 5, Phường Hà Khẩu, Thành phố Hạ Long, T. Quảng Ninh Việt Nam</t>
  </si>
  <si>
    <t>3454</t>
  </si>
  <si>
    <t>WM+ HNI 451 Đại Mỗ</t>
  </si>
  <si>
    <t>Phường Đại Mỗ, Quận Nam Từ Liêm, TP. Hà Nội Việt Nam</t>
  </si>
  <si>
    <t>3455</t>
  </si>
  <si>
    <t>WM+ HNI18T1-HH6 Nam An Khánh</t>
  </si>
  <si>
    <t>Tầng 1 Tòa nhà 18T1- Lô HH6 – Khu đô thị Nam An Khánh, - xã An Khánh-Huyện Hoài Đức, TP. Hà Nội Việt Nam</t>
  </si>
  <si>
    <t>3461</t>
  </si>
  <si>
    <t>WM+ HDG 42 Thanh Niên</t>
  </si>
  <si>
    <t>42 Thanh Niên, Phường Quang Trung, Thành phố Hải Dương, T. Hải Dương Việt Nam</t>
  </si>
  <si>
    <t>3462</t>
  </si>
  <si>
    <t>WM+ HPG 390 Phủ Thượng Đoạn</t>
  </si>
  <si>
    <t>Số 390 Phủ Thượng Đoạn, Đông Hải 1, Quận Hải An, TP. Hải Phòng Việt Nam</t>
  </si>
  <si>
    <t>3464</t>
  </si>
  <si>
    <t>WM+ PTO Thành Công, Việt Trì</t>
  </si>
  <si>
    <t>Phố Thành Công, Phường Thọ Sơn, Thành phố Việt Trì, T. Phú Thọ Việt Nam</t>
  </si>
  <si>
    <t>3465</t>
  </si>
  <si>
    <t>WM+ HNI 671 Hoàng Hoa Thám</t>
  </si>
  <si>
    <t>Tầng 1, Công trình dịch vụ và nhà ở cao tầng tại số 671, Hoàng Hoa Thám, Phường Vĩnh Phúc, Quận Ba Đình, TP. Hà Nội Việt Nam</t>
  </si>
  <si>
    <t>3468</t>
  </si>
  <si>
    <t>WM+ QNH 45 tổ 19C Quang Trung</t>
  </si>
  <si>
    <t>Tổ 19C, khu 6, Phường Quang Trung, Thành phố Uông Bí, T. Quảng Ninh Việt Nam</t>
  </si>
  <si>
    <t>3475</t>
  </si>
  <si>
    <t>WM+ HDG 1030A Lê Thanh Nghị</t>
  </si>
  <si>
    <t>Số 1030A Lê Thanh Nghị, Phường Hải Tân, Thành phố Hải Dương, T. Hải Dương Việt Nam</t>
  </si>
  <si>
    <t>3477</t>
  </si>
  <si>
    <t>WM+ HNI 228 Vĩnh Hưng</t>
  </si>
  <si>
    <t>Số 228 đường Vĩnh Hưng, Phường Vĩnh Hưng, Quận Hoàng Mai, TP. Hà Nội Việt Nam</t>
  </si>
  <si>
    <t>3478</t>
  </si>
  <si>
    <t>WM+ HNI 80 Kẻ Vẽ</t>
  </si>
  <si>
    <t>Số 80 đường Kẻ Vẽ, Phường Đông Ngạc, Quận Bắc Từ Liêm, TP. Hà Nội Việt Nam</t>
  </si>
  <si>
    <t>3479</t>
  </si>
  <si>
    <t>WM+ QNH Khu 2 Thanh Sơn</t>
  </si>
  <si>
    <t>Khu 2, Phường Thanh Sơn, Tp Uông Bí, T. Quảng Ninh Việt Nam</t>
  </si>
  <si>
    <t>3480</t>
  </si>
  <si>
    <t>WM+ HDG 97-99 Nguyễn Văn Linh</t>
  </si>
  <si>
    <t>Số 97-99 Nguyễn Văn Linh, Phường Tân Bình, Thành phố Hải Dương, T. Hải Dương Việt Nam</t>
  </si>
  <si>
    <t>3495</t>
  </si>
  <si>
    <t>WM+ BNH 8-10 Ngõ 2 Minh Khai</t>
  </si>
  <si>
    <t>Số 8-10 ngõ 2 Minh Khai, Phường Đông Ngàn, Thị xã Từ Sơn, T. Bắc Ninh Việt Nam</t>
  </si>
  <si>
    <t>3496</t>
  </si>
  <si>
    <t>WM+ HNI N02 T1 Đoàn Ngoại Giao</t>
  </si>
  <si>
    <t>N02-T1 Khu Đoàn Ngoại Giao, Phường Xuân Tảo, Quận Bắc Từ Liêm, TP. Hà Nội Việt Nam</t>
  </si>
  <si>
    <t>3497</t>
  </si>
  <si>
    <t>WM+ HNI Lilama, 52 Lĩnh Nam</t>
  </si>
  <si>
    <t>Tòa nhà Lilama Hà Nội, 52 Lĩnh Nam, Quận Hoàng Mai, TP. Hà Nội Việt Nam</t>
  </si>
  <si>
    <t>3499</t>
  </si>
  <si>
    <t>WM+ HNI Hà Phong</t>
  </si>
  <si>
    <t>Thôn Hà Phong, xã Liên Hà, Huyện Đông Anh, TP. Hà Nội Việt Nam</t>
  </si>
  <si>
    <t>3500</t>
  </si>
  <si>
    <t>WM+ HNI 101 Học viện Quốc Phòng</t>
  </si>
  <si>
    <t>Ô số 101, tầng 1, tòa tháp Tây chung cư thuộc dự án Khu nhà, ở cán bộ Học viện Quốc Phòng, ô đất O17 HH2, Phường Xuân La, Q. Tây Hồ, TP. Hà Nội Việt Nam</t>
  </si>
  <si>
    <t>3501</t>
  </si>
  <si>
    <t>WM+ TBH 12 Lê Quý Đôn</t>
  </si>
  <si>
    <t>Số 12 đường Lê Quý Đôn, Phường Kỳ Bá, Thành phố Thái Bình, T. Thái Bình Việt Nam</t>
  </si>
  <si>
    <t>3512</t>
  </si>
  <si>
    <t>WM+ HNI Đội 5 thôn Yên Kiện</t>
  </si>
  <si>
    <t>Đội 5, thôn Yên Kiện, xã Ngọc Hồi, Thanh Trì, TP. Hà Nội Việt Nam</t>
  </si>
  <si>
    <t>3513</t>
  </si>
  <si>
    <t>WM+ HPG 180 Trung Hành</t>
  </si>
  <si>
    <t>Tổ dân phố Trung hành 9, Phường Đằng Lâm, quận Hải An, Hải, Phòng NAY là số 180 đường Trung Hành, phường Đằng Lâm, Quận Hải An, TP. Hải Phòng Việt Nam</t>
  </si>
  <si>
    <t>3518</t>
  </si>
  <si>
    <t>WM+ PTO 73 Quang Trung</t>
  </si>
  <si>
    <t>73 Quang Trung, Phường Nông Trang, Thành phố Việt Trì, T. Phú Thọ Việt Nam</t>
  </si>
  <si>
    <t>3524</t>
  </si>
  <si>
    <t>WM+ BNH 203 Nguyễn Văn Cừ</t>
  </si>
  <si>
    <t>Số 203 Nguyễn Văn Cừ, Phường Võ Cường, Thành Phố Bắc Ninh, T. Bắc Ninh Việt Nam</t>
  </si>
  <si>
    <t>3525</t>
  </si>
  <si>
    <t>WM+ HPG 123 Phương Lưu 1</t>
  </si>
  <si>
    <t>Xã Đông Hải, Huyện An Hải, tp Hải Phòng ( nay là, 123 Phương Lưu 1, Phường Đông Hải 1, Quận Hải An, TP. Hải Phòng Việt Nam</t>
  </si>
  <si>
    <t>3526</t>
  </si>
  <si>
    <t>WM+ HDG 272 Điện Biên Phủ</t>
  </si>
  <si>
    <t>Số 272 Điện Biên Phủ, Phường Bình Hàn, Thành phố Hải Dương, T. Hải Dương Việt Nam</t>
  </si>
  <si>
    <t>3527</t>
  </si>
  <si>
    <t>WM+ HDG 297 Nguyễn Lương Bằng</t>
  </si>
  <si>
    <t>Số 297 Nguyễn Lương Bằng, Khu 1, Phường Thanh Bình, Thành phố Hải Dương, T. Hải Dương Việt Nam</t>
  </si>
  <si>
    <t>3528</t>
  </si>
  <si>
    <t>WM+ HNI 69 Bắc Cầu</t>
  </si>
  <si>
    <t>Số 69 Bắc Cầu, Phường Ngọc Thụy, Quận Long Biên, TP. Hà Nội Việt Nam</t>
  </si>
  <si>
    <t>3529</t>
  </si>
  <si>
    <t>WM+ HNI OCT2 Xuân Phương</t>
  </si>
  <si>
    <t>Tầng 1, Khu Nhà ở Cao tầng kết hợp dịch vụ thương mại OCT2, xã Xuân Phương, Huyện Nam Từ Liêm, TP. Hà Nội Việt Nam</t>
  </si>
  <si>
    <t>3530</t>
  </si>
  <si>
    <t>WM+ HNI Five Star Kim Giang</t>
  </si>
  <si>
    <t>Tầng 1, Khu trung tâm thương mại – Tòa nhà Five Star Garden, số 2 Kim Giang, Phường Kim Giang, Quận Thanh Xuân, TP. Hà Nội Việt Nam</t>
  </si>
  <si>
    <t>3531</t>
  </si>
  <si>
    <t>WM+ HNI 24T3 Thanh Xuân Complex</t>
  </si>
  <si>
    <t>Tầng 1 Tòa nhà 24T3 Thanh Xuân Complex, Số 6 phố, Lê Văn Thiêm, Phường Thanh Xuân Trung, Quận Thanh Xuân, TP. Hà Nội Việt Nam</t>
  </si>
  <si>
    <t>3536</t>
  </si>
  <si>
    <t>WM+ TBH 461Trần Hưng Đạo</t>
  </si>
  <si>
    <t>Số 461, tổ 10, Phường Trần Hưng Đạo, Thành phố Thái Bình, T. Thái Bình Việt Nam</t>
  </si>
  <si>
    <t>3539</t>
  </si>
  <si>
    <t>WM+ PTO Tổ 1, khu 1A, Vân Phú</t>
  </si>
  <si>
    <t>Tổ 1, khu 1A, Phường Vân Phú, Thành phố Việt Trì, T. Phú Thọ Việt Nam</t>
  </si>
  <si>
    <t>3540</t>
  </si>
  <si>
    <t>WM+ HNI 136 Hồ Tùng Mậu</t>
  </si>
  <si>
    <t>Tầng 1, chung cư cao tầng 2A, khu nhà ở để bán tại, số 136 Hồ Tùng Mậu, Phường Phú Diễn, Quận Bắc Từ Liêm, TP. Hà Nội Việt Nam</t>
  </si>
  <si>
    <t>3541</t>
  </si>
  <si>
    <t>WM+ HNI SH13-SH14 Tháp B, AZ Sky</t>
  </si>
  <si>
    <t>Tầng 2, SH13 và SH14 – Tháp B- Dự án tòa nhà hỗn hợp AZ SKY, – lô đất A1/CN1 Khu đô thị mới Định Côn , phường Định Công, Quận Hoàng Mai, TP. Hà Nội Việt Nam</t>
  </si>
  <si>
    <t>3550</t>
  </si>
  <si>
    <t>WM+ BNH Lê Quang Đạo, Từ Sơn</t>
  </si>
  <si>
    <t>Đường Lê Quang Đạo, Phường Đông Ngàn, Thị xã Từ Sơn, T. Bắc Ninh Việt Nam</t>
  </si>
  <si>
    <t>3552</t>
  </si>
  <si>
    <t>WM+ HNI TT7-7 KĐT mới Văn Phú</t>
  </si>
  <si>
    <t>TT7-7 Khu đô thị mới Văn Phú, Phường Phú La, Quận Hà Đông, TP. Hà Nội Việt Nam</t>
  </si>
  <si>
    <t>3553</t>
  </si>
  <si>
    <t>WM+ HNI 42 Vũ Xuân Thiều</t>
  </si>
  <si>
    <t>Số 42 Vũ Xuân Thiều, Phường Sài Đồng, Quận Long Biên, TP. Hà Nội Việt Nam</t>
  </si>
  <si>
    <t>3554</t>
  </si>
  <si>
    <t>WM+ HNI Đội 3 Lạc Thị, Ngọc Hồi</t>
  </si>
  <si>
    <t>Đội 3, thôn Lạc Thị, xã Ngọc Hồi, Huyện Thanh trì, TP. Hà Nội Việt Nam</t>
  </si>
  <si>
    <t>3555</t>
  </si>
  <si>
    <t>WM+ HNI Lô 4, TT19&amp;20 Xuân Phương</t>
  </si>
  <si>
    <t>Lô 4, TT19&amp;20 Khu nhà ở CBNV Văn phòng TW Đảng và, Báo Nhân Dân, Phường Xuân Phương, Quận Nam Từ Liêm, TP. Hà Nội Việt Nam</t>
  </si>
  <si>
    <t>3557</t>
  </si>
  <si>
    <t>WM+ QNH Ô 3&amp;4, khu 6A, Hồng Hải</t>
  </si>
  <si>
    <t>Ô số 3&amp;4 QH đất xen kẹp Nhà Văn Hóa khu 6A, Phường Hồng Hải, Thành phố Hạ Long, T. Quảng Ninh Việt Nam</t>
  </si>
  <si>
    <t>3569</t>
  </si>
  <si>
    <t>WM+ HNI 359 Lĩnh Nam</t>
  </si>
  <si>
    <t>Số 359 đường Lĩnh Nam,Phường Vĩnh Hưng, Quận Hoàng Mai, TP. Hà Nội Việt Nam</t>
  </si>
  <si>
    <t>3572</t>
  </si>
  <si>
    <t>WM+ HYN S1-01 Tòa Sky 1(B1) Ecopark</t>
  </si>
  <si>
    <t>Căn S1-01, tầng 1 tháp Sky 1(B1), Khu căn hộ Vịnh Thủy -, Ecopark, xã Xuân Quan, Huyện Văn Giang, T. Hưng Yên Việt Nam</t>
  </si>
  <si>
    <t>3573</t>
  </si>
  <si>
    <t>WM+ HNI 184 Bồ Đề</t>
  </si>
  <si>
    <t>Số 184 Phố Bồ Đề, tổ 12, Phường Bồ Đề, Quận Long Biên, TP. Hà Nội Việt Nam</t>
  </si>
  <si>
    <t>3585</t>
  </si>
  <si>
    <t>WM+ PTO Khu 6B, Nông Trang</t>
  </si>
  <si>
    <t>Khu 6B,Phường Nông Trang, (56 Vũ Duệ), Thành phố Việt Trì, T. Phú Thọ Việt Nam</t>
  </si>
  <si>
    <t>3588</t>
  </si>
  <si>
    <t>WM+ TBH 212 Lý Thường kiệt</t>
  </si>
  <si>
    <t>Số 212 Lý Thường Kiệt, tổ 7, Phường Kỳ Bá, Thành phố Thái Bình, T. Thái Bình Việt Nam</t>
  </si>
  <si>
    <t>3589</t>
  </si>
  <si>
    <t>WM+ THA 15&amp;16 Đông Bắc Ga</t>
  </si>
  <si>
    <t>Lô 15+16 MBQH TĐC Đông Bắc Ga, Thành phố Thanh Hóa, T. Thanh Hóa Việt Nam</t>
  </si>
  <si>
    <t>3597</t>
  </si>
  <si>
    <t>WM+ HPG 473 Bình Kiều 1</t>
  </si>
  <si>
    <t>Số 473 Bình Kiều 1, Phường Đông Hải 2, Quận Hải An, Quận Hải An, TP. Hải Phòng Việt Nam</t>
  </si>
  <si>
    <t>3598</t>
  </si>
  <si>
    <t>WM+ THA Tecco Tower</t>
  </si>
  <si>
    <t>Tầng 1, tòa 3,  Tecco Towers tại Lô CC2, KTĐC đường vành đai Đông Tây, P.Đông Vệ, Tp. Thanh Hóa, T. Thanh Hóa Việt Nam</t>
  </si>
  <si>
    <t>3599</t>
  </si>
  <si>
    <t>WM+ HNI Số 6 Phố Viên</t>
  </si>
  <si>
    <t>Số 6 Phố Viên, Phường Cổ Nhuế 2, Quận Bắc Từ Liêm, TP. Hà Nội Việt Nam</t>
  </si>
  <si>
    <t>3600</t>
  </si>
  <si>
    <t>WM+ THA 64 Đinh Chương Dương</t>
  </si>
  <si>
    <t>Số 64 Đinh Chương Dương, Phường Ba Đình, Thành phố Thanh Hóa, T. Thanh Hóa Việt Nam</t>
  </si>
  <si>
    <t>3601</t>
  </si>
  <si>
    <t>WM+ HNI Tòa nhà Sông Đà, 110 Trần P</t>
  </si>
  <si>
    <t>Tầng 1, tòa nhà Sông Đà-Hà Đông, số 110 đường, Trần Phú, P. Văn Quán, Quận Hà Đông, TP. Hà Nội Việt Nam</t>
  </si>
  <si>
    <t>3606</t>
  </si>
  <si>
    <t>WM+ HPG 80 Trường Chinh</t>
  </si>
  <si>
    <t>Số nhà 80, đường Trường Chinh, tổ 6, khu dân cư 08, Phường Lãm Hà, Quận Kiến An, TP. Hải Phòng Việt Nam</t>
  </si>
  <si>
    <t>3607</t>
  </si>
  <si>
    <t>WM+ THA 364 Lê Lai</t>
  </si>
  <si>
    <t>Số  364 Lê Lai, Phường Đông Sơn, Thành phố Thanh Hóa, T. Thanh Hóa Việt Nam</t>
  </si>
  <si>
    <t>3608</t>
  </si>
  <si>
    <t>WM+ HNI HongKong Tower</t>
  </si>
  <si>
    <t>Tầng 1, tháp B, HongKong Tower, 243A Đê La Thành, Phường Láng Thượng, Quận Đống Đa, TP. Hà Nội Việt Nam</t>
  </si>
  <si>
    <t>3609</t>
  </si>
  <si>
    <t>WM+ HNI 156 Phú Lãm</t>
  </si>
  <si>
    <t>Số  156, tổ 7, Phường Phú Lãm, Quận Hà Đông, TP. Hà Nội Việt Nam</t>
  </si>
  <si>
    <t>3614</t>
  </si>
  <si>
    <t>WM+ THA 106 Cao Sơn</t>
  </si>
  <si>
    <t>Số 106 Cao Sơn, Phường An Hoạch, Thành phố Thanh Hóa, T. Thanh Hóa Việt Nam</t>
  </si>
  <si>
    <t>3615</t>
  </si>
  <si>
    <t>WM+ HPG 51 Chu Văn An</t>
  </si>
  <si>
    <t>Số 51 Chu Văn An, Phường Lê Lợi, Quận Ngô Quyền, TP. Hải Phòng Việt Nam</t>
  </si>
  <si>
    <t>3617</t>
  </si>
  <si>
    <t>WM+ HNI Phố Vân Trì</t>
  </si>
  <si>
    <t>Phố Vân Trì, xã Vân Nội, Huyện Đông Anh, TP. Hà Nội Việt Nam</t>
  </si>
  <si>
    <t>3618</t>
  </si>
  <si>
    <t>WM+ HNI Khu nhà ở E4, KĐTM Yên Hòa</t>
  </si>
  <si>
    <t>Tầng 1, tòa CT1, khu nhà ở E4, khu đô thị mới Yên Hòa, Phường Yên Hòa, Quận Cầu Giấy, TP. Hà Nội Việt Nam</t>
  </si>
  <si>
    <t>3622</t>
  </si>
  <si>
    <t>WM+ HNI TDP Chợ, Đại Mỗ</t>
  </si>
  <si>
    <t>Tổ dân phố chợ, Phường Đại Mỗ, Quận Nam Từ Liêm, TP. Hà Nội Việt Nam</t>
  </si>
  <si>
    <t>3623</t>
  </si>
  <si>
    <t>WM+ HNI Khu Cầu Bươu, TDP 16</t>
  </si>
  <si>
    <t>Khu Cầu Bươu, Tổ dân phố 16, Phường Kiến Hưng, Quận Hà Đông, TP. Hà Nội Việt Nam</t>
  </si>
  <si>
    <t>3627</t>
  </si>
  <si>
    <t>WM+ PTO Khu 2A, Nông Trang</t>
  </si>
  <si>
    <t>Khu 2A, Phường Nông Trang, Thành phố Việt Trì, T. Phú Thọ Việt Nam</t>
  </si>
  <si>
    <t>3631</t>
  </si>
  <si>
    <t>WM+ BNH 53 Đấu Mã</t>
  </si>
  <si>
    <t>Số 53, đường Đấu Mã, Phường Thị Cầu, Thành Phố Bắc Ninh, T. Bắc Ninh Việt Nam</t>
  </si>
  <si>
    <t>3632</t>
  </si>
  <si>
    <t>WM+ TBH 277 Lý Bôn</t>
  </si>
  <si>
    <t>Số 277 Lý Bôn, Phường Tiền Phong, Thành phố Thái Bình, T. Thái Bình Việt Nam</t>
  </si>
  <si>
    <t>3633</t>
  </si>
  <si>
    <t>WM+ THA 291 Lý Nhân Tông</t>
  </si>
  <si>
    <t>Số 291 Lý Nhân Tông, Phường Đông Thọ, Thành phố Thanh Hóa, T. Thanh Hóa Việt Nam</t>
  </si>
  <si>
    <t>3637</t>
  </si>
  <si>
    <t>WM+ HPG 622B Thiên Lôi</t>
  </si>
  <si>
    <t>622B Thiên Lôi, Phường Vĩnh Niệm, Quận Lê Chân, TP. Hải Phòng Việt Nam</t>
  </si>
  <si>
    <t>3639</t>
  </si>
  <si>
    <t>WM+ HNI Tòa tháp TV-Tower</t>
  </si>
  <si>
    <t>Tầng 1 sàn dịch vụ công cộng, kinh doanh, siêu thị tại, Tòa tháp TV-Tower, Xã Đức Thượng, Huyện Hoài Đức, TP. Hà Nội Việt Nam</t>
  </si>
  <si>
    <t>3640</t>
  </si>
  <si>
    <t>WM+ BNH số 03 Dốc Cầu Gỗ</t>
  </si>
  <si>
    <t>Số 03 Dốc Cầu Gỗ, Phường Tiền An, Thành Phố Bắc Ninh, T. Bắc Ninh Việt Nam</t>
  </si>
  <si>
    <t>3641</t>
  </si>
  <si>
    <t>WM+ HNI 25 Lãng Yên</t>
  </si>
  <si>
    <t>Số 25 phố Lãng Yên, Phường Thanh Lương, Quận Hai Bà Trưng, TP. Hà Nội Việt Nam</t>
  </si>
  <si>
    <t>3642</t>
  </si>
  <si>
    <t>WM+ PTO Băng 1, Quang Trung</t>
  </si>
  <si>
    <t>Băng 1, đường Quang Trung, Phường Tân Dân, Thành phố Việt Trì, T. Phú Thọ Việt Nam</t>
  </si>
  <si>
    <t>3643</t>
  </si>
  <si>
    <t>WM+ PTO Khu Tân An, Tân Dân</t>
  </si>
  <si>
    <t>Khu Tân An, Phường Tân Dân, Thành phố Việt Trì, T. Phú Thọ Việt Nam</t>
  </si>
  <si>
    <t>3648</t>
  </si>
  <si>
    <t>WM+ HPG 239 Nguyễn Công Hòa</t>
  </si>
  <si>
    <t>239 Nguyễn Công Hòa, P. An Dương, Quận Lê Chân, TP. Hải Phòng Việt Nam</t>
  </si>
  <si>
    <t>3649</t>
  </si>
  <si>
    <t>WM+ HNI 36  Đức Thắng</t>
  </si>
  <si>
    <t>36 Đức Thắng, Phường Đức Thắng, Quận Bắc Từ Liêm, TP. Hà Nội Việt Nam</t>
  </si>
  <si>
    <t>3651</t>
  </si>
  <si>
    <t>WM+ HNI Số 1, Tổ 7 Phúc Lợi</t>
  </si>
  <si>
    <t>Số 1 tổ 7 Phúc Lợi, quận Long Biên, TP. Hà Nội Việt Nam</t>
  </si>
  <si>
    <t>3652</t>
  </si>
  <si>
    <t>WM+ HNI CT1 Thạch Bàn</t>
  </si>
  <si>
    <t>DV01 – Nhà chung cư CT1, Dự án khu nhà ở Thạch Bàn, Phường Thạch Bàn, Quận Long Biên, TP. Hà Nội Việt Nam</t>
  </si>
  <si>
    <t>3653</t>
  </si>
  <si>
    <t>WM+ HNI CT1 Mỹ Đình Plaza 2</t>
  </si>
  <si>
    <t>Tầng 1, CT1, Mỹ Đình Plaza 2, Phường Mỹ Đình 2, Quận Nam Từ Liêm, TP. Hà Nội Việt Nam</t>
  </si>
  <si>
    <t>3654</t>
  </si>
  <si>
    <t>WM+ TBH 792 Lý Bôn</t>
  </si>
  <si>
    <t>Số 792 Lý Bôn – Phường Trần Lãm, Thành phố Thái Bình, T. Thái Bình Việt Nam</t>
  </si>
  <si>
    <t>3656</t>
  </si>
  <si>
    <t>WM+ PTO Khu Tân Thịnh, Tân Dân</t>
  </si>
  <si>
    <t>Khu Tân Thịnh, Phường Tân Dân, Thành phố Việt Trì, T. Phú Thọ Việt Nam</t>
  </si>
  <si>
    <t>3659</t>
  </si>
  <si>
    <t>WM+ HNI Xóm 8, Ninh Hiệp</t>
  </si>
  <si>
    <t>Xóm 8, Ninh Hiệp, Huyện Gia Lâm, TP. Hà Nội Việt Nam</t>
  </si>
  <si>
    <t>3679</t>
  </si>
  <si>
    <t>WM+ HNI Kiot 60, 62 B1.4 KĐT Thanh</t>
  </si>
  <si>
    <t>Kiot 60, 62 Tầng 1, Tòa nhà B1.4 - HH01C – Khu đô, thị Thanh Hà – Cienco5, tại xã Cự Khê, Huyện Thanh Oai, TP. Hà Nội Việt Nam</t>
  </si>
  <si>
    <t>3681</t>
  </si>
  <si>
    <t>WM+ HDG 285-287 Thanh Niên</t>
  </si>
  <si>
    <t>285-287 Thanh Niên, Phường Hải Tân, Thành phố Hải Dương, T. Hải Dương Việt Nam</t>
  </si>
  <si>
    <t>3682</t>
  </si>
  <si>
    <t>WM+ HNI TT4&amp;TT5 Tăng Thiết Giáp</t>
  </si>
  <si>
    <t>Số TT4&amp;TT5- Khu nhà ở XH và TM, BTL, Tăng thiết giáp, Phường Mỹ Đình 1, Quận Nam Từ Liêm, TP. Hà Nội Việt Nam</t>
  </si>
  <si>
    <t>3683</t>
  </si>
  <si>
    <t>WM+ HNI 30 Việt Hưng</t>
  </si>
  <si>
    <t>Số 30 Việt Hưng, Phường Việt Hưng, Quận Long Biên, ., TP. Hà Nội Việt Nam</t>
  </si>
  <si>
    <t>3685</t>
  </si>
  <si>
    <t>WM+ PTO 1343 Hùng Vương</t>
  </si>
  <si>
    <t>Số 1343, Tổ 33, Đại Lộ Hùng Vương, Phường Tiên Cát, Thành phố Việt Trì, T. Phú Thọ Việt Nam</t>
  </si>
  <si>
    <t>3687</t>
  </si>
  <si>
    <t>WM+ THA Lô 265-266 MBQH 121, Đông V</t>
  </si>
  <si>
    <t>Lô 256, 266 chia lô 13, MBQH 121/UB-CN, Phường Đông Vệ, Thành phố Thanh Hóa, T. Thanh Hóa Việt Nam</t>
  </si>
  <si>
    <t>3688</t>
  </si>
  <si>
    <t>WM+ HPG 422 Lạch Tray</t>
  </si>
  <si>
    <t>Số 422 Lạch Tray, Phường Đằng Giang, Quận Ngô Quyền, TP. Hải Phòng Việt Nam</t>
  </si>
  <si>
    <t>3689</t>
  </si>
  <si>
    <t>WM+ QNH 42 Trần Phú</t>
  </si>
  <si>
    <t>42 Trần Phú, tổ 12B khu 4, Phường Quang Trung, TP Uông Bí, T. Quảng Ninh Việt Nam</t>
  </si>
  <si>
    <t>3690</t>
  </si>
  <si>
    <t>WM+ HNI Thôn Vân Lũng , An Khánh</t>
  </si>
  <si>
    <t>Thôn Vân Lũng, xã An Khánh, Huyện Hoài Đức, TP. Hà Nội Việt Nam</t>
  </si>
  <si>
    <t>3691</t>
  </si>
  <si>
    <t>WIN HNI Lô BT3- Ô 24 KDT Pháp Vân</t>
  </si>
  <si>
    <t>Lô BT3- ô số 24, KDT mới Pháp vân – Tứ Hiệp, Phường Hoàng Liệt, Quận Hoàng Mai, TP. Hà Nội Việt Nam</t>
  </si>
  <si>
    <t>3692</t>
  </si>
  <si>
    <t>WM+ HNI 283 Khương Trung</t>
  </si>
  <si>
    <t>Tầng 1- Tòa chung cư và dịch vụ Star Tower, 283 Khương Trung, Quận Thanh Xuân, TP. Hà Nội Việt Nam</t>
  </si>
  <si>
    <t>3700</t>
  </si>
  <si>
    <t>WM+ HNI 492 Xuân Đỉnh</t>
  </si>
  <si>
    <t>Số 492 Xuân Đỉnh, TDP 4 Cáo ĐỈnh Phường Xuân Đỉnh, Quận Bắc Từ Liêm, TP. Hà Nội Việt Nam</t>
  </si>
  <si>
    <t>3706</t>
  </si>
  <si>
    <t>WM+ THA 304 Trường Thi</t>
  </si>
  <si>
    <t>Số 304 Trường Thi, Phường Trường Thi, Thành phố Thanh Hóa, T. Thanh Hóa Việt Nam</t>
  </si>
  <si>
    <t>3708</t>
  </si>
  <si>
    <t>WM+ QNH số 9 LK1 khu Bao Biển</t>
  </si>
  <si>
    <t>Ô số 9 lô LK1 khu dân cư tự xây sau đường, bao biển LK1, LK2 Phường Hồng Hà, Thành phố Hạ Long, T. Quảng Ninh Việt Nam</t>
  </si>
  <si>
    <t>3710</t>
  </si>
  <si>
    <t>WM+ HPG 141 Miếu Hai Xã</t>
  </si>
  <si>
    <t>Số 141 Miếu Hai Xã, Phường Dư Hàng Kênh, Quận Lê Chân, TP. Hải Phòng Việt Nam</t>
  </si>
  <si>
    <t>3712</t>
  </si>
  <si>
    <t>WM+ HDG 90 Bình Minh</t>
  </si>
  <si>
    <t>Số 90 phố Bình Minh, Phường Phạm Ngũ Lão, Thành phố Hải Dương, T. Hải Dương Việt Nam</t>
  </si>
  <si>
    <t>3714</t>
  </si>
  <si>
    <t>WM+ HNI Vinhomes Thăng Long</t>
  </si>
  <si>
    <t>Đ. Long Cảnh - Vinhomes Thăng Long, KĐT mới Nam An Khánh X. An Khánh, H. Hoài Đức, TP. Hà Nội Việt Nam</t>
  </si>
  <si>
    <t>3715</t>
  </si>
  <si>
    <t>WM+ QNH 48 Tô Hiệu</t>
  </si>
  <si>
    <t>Số 48, đường Tô Hiệu, Phường Cẩm Trung, Thành phố Cẩm Phả, T. Quảng Ninh Việt Nam</t>
  </si>
  <si>
    <t>3716</t>
  </si>
  <si>
    <t>WM+ HNI CT2-105 KĐT Văn Khê</t>
  </si>
  <si>
    <t>Tầng 1 tòa nhà CT2-105, khu đô thị mới Văn Khê, Phường La Khê, Quận Hà Đông, TP. Hà Nội Việt Nam</t>
  </si>
  <si>
    <t>3717</t>
  </si>
  <si>
    <t>WM+ BNH 144 Hai Bà Trưng</t>
  </si>
  <si>
    <t>Số 144 Hai Bà Trưng, Phường Tiền An, Thành Phố Bắc Ninh, T. Bắc Ninh Việt Nam</t>
  </si>
  <si>
    <t>3720</t>
  </si>
  <si>
    <t>WM+ HPG 20 Chợ Lũng</t>
  </si>
  <si>
    <t>Số 20 Chợ Lũng, Phường Đằng Hải, Quận Hải An, TP. Hải Phòng Việt Nam</t>
  </si>
  <si>
    <t>3722</t>
  </si>
  <si>
    <t>WM+ HNI Khu TĐC Lai Xá, Kim Chung</t>
  </si>
  <si>
    <t>Khu Tái định cư Lai Xá – Xã Kim Chung, Huyện Hoài Đức, TP. Hà Nội Việt Nam</t>
  </si>
  <si>
    <t>3723</t>
  </si>
  <si>
    <t>WM+ HNI Đồng Phát Park View Tower</t>
  </si>
  <si>
    <t>Tầng 1, Tháp B, dự án Đồng Phát Park View Tower, C9-CN2, Phường Vĩnh Hưng, Quận Hoàng Mai, TP. Hà Nội Việt Nam</t>
  </si>
  <si>
    <t>3727</t>
  </si>
  <si>
    <t>WM+ HNI Số 63, TDP 1 Ngọc Trục</t>
  </si>
  <si>
    <t>Số 63, TDP 1 Ngọc Trục, xã Đại Mỗ, Quận Nam Từ Liêm, TP. Hà Nội Việt Nam</t>
  </si>
  <si>
    <t>3728</t>
  </si>
  <si>
    <t>WM+ HNI N0-26,LK15 Hà Trì</t>
  </si>
  <si>
    <t>NO – 26; LK15 Hà Trì, Phường Hà Cầu, Quận Hà Đông, TP. Hà Nội Việt Nam</t>
  </si>
  <si>
    <t>3729</t>
  </si>
  <si>
    <t>WM+ HNI Ngã tư Sơn Đồng</t>
  </si>
  <si>
    <t>Ngã tư Sơn Đồng, xã Sơn Đồng, Huyện Hoài Đức, TP. Hà Nội Việt Nam</t>
  </si>
  <si>
    <t>3730</t>
  </si>
  <si>
    <t>WM+ HNI Lô N2C khu TĐC X2A</t>
  </si>
  <si>
    <t>Lô N2C khu tái định cư X2A, Phường Yên Sở, Quận Hoàng Mai, TP. Hà Nội Việt Nam</t>
  </si>
  <si>
    <t>3731</t>
  </si>
  <si>
    <t>WM+ BNH 364 Thị Cầu</t>
  </si>
  <si>
    <t>364 Thị Cầu, Khu 6, Phường Thị Cầu, Thành Phố Bắc Ninh, T. Bắc Ninh Việt Nam</t>
  </si>
  <si>
    <t>3732</t>
  </si>
  <si>
    <t>WM+ QNH SH23, tòa C Newlife Tower</t>
  </si>
  <si>
    <t>số SH23 tại tầng 1 tòa C dự án Khu Chung Cư, Cao Tầng Cái Dăm – Newlife Tower, Phườn Bãi Cháy, TP.Hạ Long, T. Quảng Ninh Việt Nam</t>
  </si>
  <si>
    <t>3752</t>
  </si>
  <si>
    <t>WM+ HNI C36-TT9, Khu ĐT Văn Quán</t>
  </si>
  <si>
    <t>C36-TT9, Khu ĐT Văn Quán- Yên Phúc, Phường Văn Quán, Quận Hà Đông, TP. Hà Nội Việt Nam</t>
  </si>
  <si>
    <t>3754</t>
  </si>
  <si>
    <t>WM+ HNI Đội 7, Thôn Bầu</t>
  </si>
  <si>
    <t>Đội 7, Thôn Bầu, xã Kim Chung, Huyện Đông Anh, TP. Hà Nội Việt Nam</t>
  </si>
  <si>
    <t>3755</t>
  </si>
  <si>
    <t>WM+ HNI TTTM DVTH, Tứ Hiệp</t>
  </si>
  <si>
    <t>Tầng 1, TTTM Dịch Vụ Tổng hợp, xã Tứ Hiệp, Huyện Thanh Trì, TP. Hà Nội Việt Nam</t>
  </si>
  <si>
    <t>3761</t>
  </si>
  <si>
    <t>WM+ HNI 75 Yên Xá, Thanh Trì</t>
  </si>
  <si>
    <t>Số 75 đường Yên Xá, thôn Yên Xá, xã Tân Triều, Huyện Thanh Trì, TP. Hà Nội Việt Nam</t>
  </si>
  <si>
    <t>3762</t>
  </si>
  <si>
    <t>WM+ HPG 158 Quang Trung</t>
  </si>
  <si>
    <t>Số 158 phố Quang Trung, P. Phan Bội Châu, Quận Hồng Bàng, TP. Hải Phòng Việt Nam</t>
  </si>
  <si>
    <t>3763</t>
  </si>
  <si>
    <t>WM+ HPG 318 Đằng Hải</t>
  </si>
  <si>
    <t>số 318 Phường Đằng Hải, Quận Hải An, TP. Hải Phòng Việt Nam</t>
  </si>
  <si>
    <t>3765</t>
  </si>
  <si>
    <t>WM+ QNH PG 12A – 12B Vinhomes Drago</t>
  </si>
  <si>
    <t>PG – 12A, 12B Lô Phú Gia 4, Khu đô thị Vinhomes Hạ Long, Phường Hồng Gai, Thành phố Hạ Long, T. Quảng Ninh Việt Nam</t>
  </si>
  <si>
    <t>3776</t>
  </si>
  <si>
    <t>WM+ HNI 11 Dốc Vân, Mai Lâm</t>
  </si>
  <si>
    <t>11 Dốc Vân, Thôn Du Ngoại, xã Mai Lâm, Huyện Đông Anh, TP. Hà Nội Việt Nam</t>
  </si>
  <si>
    <t>3777</t>
  </si>
  <si>
    <t>WM+ HNI Lô U03-L01, KĐTM Dương Nội</t>
  </si>
  <si>
    <t>Lô U03-L01, Khu đô thị mới Dương Nội, Quận Hà Đông, TP. Hà Nội Việt Nam</t>
  </si>
  <si>
    <t>3779</t>
  </si>
  <si>
    <t>WM+ QNH Tổ 8 khu 2, Bãi Cháy Hạ Lon</t>
  </si>
  <si>
    <t>Tổ 8 khu 2 Phường Bãi Cháy, Thành phố Hạ Long, T. Quảng Ninh Việt Nam</t>
  </si>
  <si>
    <t>3787</t>
  </si>
  <si>
    <t>WM+ HPG Club House Imperia</t>
  </si>
  <si>
    <t>Đường số 17 Paris, KĐT Vinhomes Imperia, số 1 đường Hà Nội, P. Thượng Lý, Quận Hồng Bàng, TP. Hải Phòng Việt Nam</t>
  </si>
  <si>
    <t>3818</t>
  </si>
  <si>
    <t>WM+ BNH 36 Âu Cơ</t>
  </si>
  <si>
    <t>Số 36 đường Âu Cơ, Phường Kinh Bắc, Thành Phố Bắc Ninh, T. Bắc Ninh Việt Nam</t>
  </si>
  <si>
    <t>3823</t>
  </si>
  <si>
    <t>WM+ THA 88 Đinh Công Tráng</t>
  </si>
  <si>
    <t>88 Đinh Công Tráng, Phường Ba Đình, Thành phố Thanh Hóa, T. Thanh Hóa Việt Nam</t>
  </si>
  <si>
    <t>3824</t>
  </si>
  <si>
    <t>WM+ THA 376 Hải Thượng Lãn Ông</t>
  </si>
  <si>
    <t>376 Hải Thượng Lãn Ông, Xã Quảng Thắng, Thành phố Thanh Hóa, T. Thanh Hóa Việt Nam</t>
  </si>
  <si>
    <t>3825</t>
  </si>
  <si>
    <t>WM+THA 320 Quang Trung</t>
  </si>
  <si>
    <t>Số 320 Quang Trung 1, Phường Đông Vệ, Thành phố Thanh Hóa, T. Thanh Hóa Việt Nam</t>
  </si>
  <si>
    <t>3837</t>
  </si>
  <si>
    <t>WM+ HNI Thôn 7 Ninh Hiệp</t>
  </si>
  <si>
    <t>Thôn 7, Xã Ninh Hiệp, Huyện Gia Lâm, TP. Hà Nội Việt Nam</t>
  </si>
  <si>
    <t>3838</t>
  </si>
  <si>
    <t>WM+ QNH 372B Cao Thắng, Hạ Long</t>
  </si>
  <si>
    <t>Số 372B đường Cao Thắng, tổ 41, khu 4, Phường Cao Thắng, Thành phố Hạ Long, T. Quảng Ninh Việt Nam</t>
  </si>
  <si>
    <t>3839</t>
  </si>
  <si>
    <t>WM+ QNH 345 Giếng Đáy, Hạ Long</t>
  </si>
  <si>
    <t>Số 345 Giếng Đáy, tổ 8, khu 4, Phường Giếng Đáy, Thành phố Hạ Long, T. Quảng Ninh Việt Nam</t>
  </si>
  <si>
    <t>3840</t>
  </si>
  <si>
    <t>WM+ HNI 536A Minh Khai</t>
  </si>
  <si>
    <t>Tầng 1 – K1 Tòa nhà CT1, Dự án khu văn phòng và, nhà ở 536A Minh Khai, Phường Vĩnh Tuy, Quận Hai Bà Trưng, TP. Hà Nội Việt Nam</t>
  </si>
  <si>
    <t>3841</t>
  </si>
  <si>
    <t>WM+ HNI 32 Láng Trung</t>
  </si>
  <si>
    <t>Số 32 ngõ Láng Trung, Phường Láng Hạ, Quận Đống Đa, TP. Hà Nội Việt Nam</t>
  </si>
  <si>
    <t>3842</t>
  </si>
  <si>
    <t>WM+ QNH 43 Hoàng Quốc Việt</t>
  </si>
  <si>
    <t>Số 43 đường Hoàng Quốc Việt, Phường Thanh Sơn, thành phố Uông Bí, T. Quảng Ninh Việt Nam</t>
  </si>
  <si>
    <t>3851</t>
  </si>
  <si>
    <t>WM+ HNI The Legend, 109 Nguyễn Tuân</t>
  </si>
  <si>
    <t>Lô 1C, Tầng 1, Tòa nhà The Legend, 109 Phố Nguyễn Tuân, Phường Nhân Chính, Quận Thanh Xuân, TP. Hà Nội Việt Nam</t>
  </si>
  <si>
    <t>3857</t>
  </si>
  <si>
    <t>WM+ HNI TDP 18 Trung Văn (70 Đại Li</t>
  </si>
  <si>
    <t>TDP 18, Phường Trung Văn, quận Nam Từ Liêm, Thành phố (70 Đại Linh), TP. Hà Nội Việt Nam</t>
  </si>
  <si>
    <t>3858</t>
  </si>
  <si>
    <t>WM+ QNH Tổ 7, Khu 3 Hồng Gai, Hạ Lo</t>
  </si>
  <si>
    <t>Tổ 7 khu 3 – Phường Hồng Gai –, Thành phố Hạ Long, T. Quảng Ninh Việt Nam</t>
  </si>
  <si>
    <t>3862</t>
  </si>
  <si>
    <t>WM+ HNI CT15 Green Park Việt Hưng</t>
  </si>
  <si>
    <t>Tầng 1, tòa 18T2, CT15 Khu Đô Thị Mới Việt Hưng, Phường Giang Biên, Quận Long Biên, TP. Hà Nội Việt Nam</t>
  </si>
  <si>
    <t>3863</t>
  </si>
  <si>
    <t>WM+ HNI Số 2 Gamuda Gardens, Hoàng</t>
  </si>
  <si>
    <t>Shophouse CH02-20, Số 2 đường Gamuda Gardens 2-2, KĐT Gamuda Gardens, Phường Trần Phú, Quận Hoàng Mai, TP. Hà Nội Việt Nam</t>
  </si>
  <si>
    <t>3864</t>
  </si>
  <si>
    <t>WM+ QNH Ô 24 KĐT Cột 5-Cột 8 Hồng H</t>
  </si>
  <si>
    <t>Ô số 24 lô A4 khu đô thị Cột 5 –, Cột 8 Phường Hồng Hà, Thành phố Hạ Long, T. Quảng Ninh Việt Nam</t>
  </si>
  <si>
    <t>3865</t>
  </si>
  <si>
    <t>WM+ QNH 77 Bà Triệu, Cẩm Phả</t>
  </si>
  <si>
    <t>Số 77 Bà Triệu, Phường Cẩm Đông, Thành phố Cẩm Phả, T. Quảng Ninh Việt Nam</t>
  </si>
  <si>
    <t>3876</t>
  </si>
  <si>
    <t>WM+ HNI Thôn Đoài, Kim Nỗ</t>
  </si>
  <si>
    <t>Thôn Đoài, xã Kim Nỗ, Huyện Đông Anh, TP. Hà Nội Việt Nam</t>
  </si>
  <si>
    <t>3877</t>
  </si>
  <si>
    <t>WM+ HNI 74 Vĩnh Hưng</t>
  </si>
  <si>
    <t>Số 74, đường Vĩnh Hưng, Tổ 25 Phường Vĩnh Hưng, Quận Hoàng Mai, TP. Hà Nội Việt Nam</t>
  </si>
  <si>
    <t>3878</t>
  </si>
  <si>
    <t>WM+ QNH Tổ 2 khu 8 Hồng Hải</t>
  </si>
  <si>
    <t>Tổ 2 khu 8 Phường Hồng Hải, Thành phố Hạ Long, T. Quảng Ninh Việt Nam</t>
  </si>
  <si>
    <t>3883</t>
  </si>
  <si>
    <t>WM+ HNI Số 24, ngõ 476 Ngọc Thụy</t>
  </si>
  <si>
    <t>Số 24, ngõ 476 đường Ngọc Thụy, Phường Ngọc Thụy, Quận Long Biên, TP. Hà Nội Việt Nam</t>
  </si>
  <si>
    <t>3884</t>
  </si>
  <si>
    <t>WM+ TBH 142 Phan Bá Vành</t>
  </si>
  <si>
    <t>142 Phan Bá Vành, Phường Quang Trung, Thành phố Thái Bình, T. Thái Bình Việt Nam</t>
  </si>
  <si>
    <t>3890</t>
  </si>
  <si>
    <t>WM+ HNI 57 La Nội</t>
  </si>
  <si>
    <t>Số 57 đường La Nội, Phường Dương Nội, Quận Hà Đông, TP. Hà Nội Việt Nam</t>
  </si>
  <si>
    <t>3891</t>
  </si>
  <si>
    <t>WM+ HNI 79 Bát Khối</t>
  </si>
  <si>
    <t>Số 79, Đường Bát Khối, Phường Long Biên, Quận Long Biên, TP. Hà Nội Việt Nam</t>
  </si>
  <si>
    <t>3901</t>
  </si>
  <si>
    <t>WM+ HNI Rice City Sông Hồng</t>
  </si>
  <si>
    <t>Số 01+01A GA, Dự án Nhà phố Rice City Sông Hồng, 139 Gia Quất, Phường Thượng Thanh, Quận Long Biên, TP. Hà Nội Việt Nam</t>
  </si>
  <si>
    <t>3909</t>
  </si>
  <si>
    <t>WM+ HPG 24A An Đà</t>
  </si>
  <si>
    <t>Số 24A An Đà, Phường Lạch Tray, Quận Ngô Quyền, TP. Hải Phòng Việt Nam</t>
  </si>
  <si>
    <t>3910</t>
  </si>
  <si>
    <t>WM+ HNI 58 Liên Xã - Kim Chung</t>
  </si>
  <si>
    <t>Số 58, Đường Liên Xã, Thôn Nhuế, Kim Chung, Huyện Đông Anh, TP. Hà Nội Việt Nam</t>
  </si>
  <si>
    <t>3916</t>
  </si>
  <si>
    <t>WM+ HNI Vinaconex1, 289A Khuất Duy</t>
  </si>
  <si>
    <t>Tầng 1, khu Vinaconex 1, 289A Khuất Duy Tiến, Phường Trung Hòa, Quận Cầu Giấy, TP. Hà Nội Việt Nam</t>
  </si>
  <si>
    <t>3923</t>
  </si>
  <si>
    <t>WM+ THA Lô 17 KĐT Bắc Đại Lộ Lê Lợi</t>
  </si>
  <si>
    <t>Lô 17 khu đô thị Bắc Đại Lộ Lê Lợi, Phường Đông Hương, Thành phố Thanh Hóa, T. Thanh Hóa Việt Nam</t>
  </si>
  <si>
    <t>3925</t>
  </si>
  <si>
    <t>WM+ HNI 347 Vũ Tông Phan</t>
  </si>
  <si>
    <t>Số 347 Vũ Tông Phan - Phường Khương Đình, Quận Thanh Xuân, TP. Hà Nội Việt Nam</t>
  </si>
  <si>
    <t>3940</t>
  </si>
  <si>
    <t>WM+ THA Lô 23 Nơ 2 KĐTM Đông Bắc Ga</t>
  </si>
  <si>
    <t>Lô 23 Nơ 2 Khu đô thị mới Đông Bắc Ga, Phường Đông Thọ, Thành phố Thanh Hóa, T. Thanh Hóa Việt Nam</t>
  </si>
  <si>
    <t>3942</t>
  </si>
  <si>
    <t>WM+ THA 520 Nguyễn Trãi</t>
  </si>
  <si>
    <t>520 Nguyễn Trãi – Phường Phú Sơn, Thành phố Thanh Hóa, T. Thanh Hóa Việt Nam</t>
  </si>
  <si>
    <t>3943</t>
  </si>
  <si>
    <t>WM+ HPG 177 Trần Nhân Tông</t>
  </si>
  <si>
    <t>177 Trần Nhân Tông, Phường Quán Trữ, Quận Kiến An, TP. Hải Phòng Việt Nam</t>
  </si>
  <si>
    <t>3948</t>
  </si>
  <si>
    <t>WM+ HNI Số 86 ngõ 20 Mỹ Đình</t>
  </si>
  <si>
    <t>Số 86 ngõ 20 đường Mỹ Đình, Phường Mỹ Đình 2, Quận Nam Từ Liêm, TP. Hà Nội Việt Nam</t>
  </si>
  <si>
    <t>3949</t>
  </si>
  <si>
    <t>WM+ HNI Lô BT1-18 Phúc Lợi</t>
  </si>
  <si>
    <t>Lô BT1-18 Đường Phúc Lợi, Phường Phúc Lợi, Quận Long Biên, TP. Hà Nội Việt Nam</t>
  </si>
  <si>
    <t>3950</t>
  </si>
  <si>
    <t>WM+ QNH 14 Tuệ Tĩnh</t>
  </si>
  <si>
    <t>Số 14 Tuệ Tĩnh, Phường Thanh Sơn, Tp Uông Bí, T. Quảng Ninh Việt Nam</t>
  </si>
  <si>
    <t>3951</t>
  </si>
  <si>
    <t>WM+ HNI 41 Vũ Thạnh</t>
  </si>
  <si>
    <t>Số 41 Vũ Thạnh, Phường Ô Chợ Dừa, Quận Đống Đa, TP. Hà Nội Việt Nam</t>
  </si>
  <si>
    <t>3952</t>
  </si>
  <si>
    <t>WM+ THA 254 Đội Cung</t>
  </si>
  <si>
    <t>Số 254 Đội Cung, Phường Trường Thi, Thành phố Thanh Hóa, T. Thanh Hóa Việt Nam</t>
  </si>
  <si>
    <t>3954</t>
  </si>
  <si>
    <t>WM+ HDG 108 Vũ Hựu</t>
  </si>
  <si>
    <t>108 Vũ Hựu, P. Thanh Bình, Thàn phố Hải Dương, Thành phố Hải Dương, T. Hải Dương Việt Nam</t>
  </si>
  <si>
    <t>3955</t>
  </si>
  <si>
    <t>WM+ BNH 317 Ngô Gia Tự</t>
  </si>
  <si>
    <t>số 317 Ngô Gia Tự, Phường Suối Hoa, Thành Phố Bắc Ninh, T. Bắc Ninh Việt Nam</t>
  </si>
  <si>
    <t>3960</t>
  </si>
  <si>
    <t>WM+ HNI 173 Hà Huy Tập</t>
  </si>
  <si>
    <t>173 Hà Huy Tập, TT Yên Viên, Huyện Gia Lâm, TP. Hà Nội Việt Nam</t>
  </si>
  <si>
    <t>3961</t>
  </si>
  <si>
    <t>WM+ HNI 153-155 Đê La Thành</t>
  </si>
  <si>
    <t>Số 153-155 Đê La Thành, Phường Nam Đồng, Quận Đống Đa, TP. Hà Nội Việt Nam</t>
  </si>
  <si>
    <t>3962</t>
  </si>
  <si>
    <t>WM+ HNI Kiot 03,04 CT1 Trung Văn</t>
  </si>
  <si>
    <t>Kiot số 03 và số 04, tầng 1, nhà 23 tầng- CT1, khu nhà ở, Trung Văn, đường Cương Kiên, Phường, Trung Văn, Quận Nam Từ Liêm, TP. Hà Nội Việt Nam</t>
  </si>
  <si>
    <t>3967</t>
  </si>
  <si>
    <t>WM+ QNH 112 Thanh Niên</t>
  </si>
  <si>
    <t>Số 112 Thanh Niên, Phường Cẩm Thành, Thành phố Cẩm Phả, T. Quảng Ninh Việt Nam</t>
  </si>
  <si>
    <t>3968</t>
  </si>
  <si>
    <t>WM+ HPG 50 Phủ Thượng Đoạn</t>
  </si>
  <si>
    <t>Số 50 Phủ Thượng Đoạn, Phường Đông Hải 1, Quận Hải An, TP. Hải Phòng Việt Nam</t>
  </si>
  <si>
    <t>3969</t>
  </si>
  <si>
    <t>WM+ BNH 169 Ngọc Hân Công Chúa</t>
  </si>
  <si>
    <t>Số 169 Ngọc Hân Công Chúa, Phường Võ Cường, Thành Phố Bắc Ninh, T. Bắc Ninh Việt Nam</t>
  </si>
  <si>
    <t>3973</t>
  </si>
  <si>
    <t>WM+ HNI CC @Home, 987 Tam Trinh</t>
  </si>
  <si>
    <t>Kiot DV-17 tầng 1, Nhà Chung cư @Home, số 987 tam Trinh, Phường Yên Sở, Quận Hoàng Mai, TP. Hà Nội Việt Nam</t>
  </si>
  <si>
    <t>3979</t>
  </si>
  <si>
    <t>WM+ HNI Thôn 3 Vạn Phúc</t>
  </si>
  <si>
    <t>Thôn 3, xã Vạn Phúc, Huyện Thanh Trì, TP. Hà Nội Việt Nam</t>
  </si>
  <si>
    <t>3980</t>
  </si>
  <si>
    <t>WM+ HNI 39 Đỗ Xuân Hợp</t>
  </si>
  <si>
    <t>Số 39 đường Đỗ Xuân Hợp, Phường Mỹ Đình 1, Quận Nam Từ Liêm, TP. Hà Nội Việt Nam</t>
  </si>
  <si>
    <t>3989</t>
  </si>
  <si>
    <t>WM+ HPG LK03 – KĐT Golden Land</t>
  </si>
  <si>
    <t>LLô LK3, Ô đất số 30 thuộc dự án khu Đô Thị, Golden Land Xã An Đồng, Huyện An Dương, TP. Hải Phòng Việt Nam</t>
  </si>
  <si>
    <t>3990</t>
  </si>
  <si>
    <t>WM+ HNI Ngã Ba Lương Quy</t>
  </si>
  <si>
    <t>Thôn Lương Quy, Xã thư Lâm, Thành phố Hà Nội TP. Hà Nội Việt Nam</t>
  </si>
  <si>
    <t>3992</t>
  </si>
  <si>
    <t>WM+ BNH Số 3 Nguyễn Gia Thiều</t>
  </si>
  <si>
    <t>Số 3 Nguyễn Gia Thiều, Phường Suối Hoa, Thành Phố Bắc Ninh, T. Bắc Ninh Việt Nam</t>
  </si>
  <si>
    <t>3993</t>
  </si>
  <si>
    <t>WM+ PTO 66 Hàn Thuyên</t>
  </si>
  <si>
    <t>Số 66 đường Hàn Thuyên, tổ 1, phố Tân Bình, Phường Tân Dân, Thành phố Việt Trì, T. Phú Thọ Việt Nam</t>
  </si>
  <si>
    <t>3994</t>
  </si>
  <si>
    <t>WM+ HNI Phố Keo, Gia Lâm</t>
  </si>
  <si>
    <t>Phố Keo, xã Kim Sơn, Huyện Gia Lâm, TP. Hà Nội Việt Nam</t>
  </si>
  <si>
    <t>3995</t>
  </si>
  <si>
    <t>WM+ HNI Khu 6 Thụy Lôi</t>
  </si>
  <si>
    <t>Khu  6, Thụy Lôi, xã Thụy Lâm, Huyện Đông Anh, TP. Hà Nội Việt Nam</t>
  </si>
  <si>
    <t>3999</t>
  </si>
  <si>
    <t>WM+ HNI 17 K5 Trạm Trôi</t>
  </si>
  <si>
    <t>Số 17, Khu 5, TT. Trạm Trôi, Huyện Hoài Đức, TP. Hà Nội Việt Nam</t>
  </si>
  <si>
    <t>4000</t>
  </si>
  <si>
    <t>WM+ HNI Xóm Mới, Ngãi Cầu</t>
  </si>
  <si>
    <t>Khu vực Hồ Giềng (Xóm Mới), Ngãi Cầu, xã An Khánh, Huyện Hoài Đức, TP. Hà Nội Việt Nam</t>
  </si>
  <si>
    <t>4007</t>
  </si>
  <si>
    <t>WM+ HNI 4B Tràng Thi</t>
  </si>
  <si>
    <t>4B Tràng Thi, Phường Hàng Trống, Quận Hoàn Kiếm, TP. Hà Nội Việt Nam</t>
  </si>
  <si>
    <t>4009</t>
  </si>
  <si>
    <t>WM+ TBH 40-42 Minh Khai</t>
  </si>
  <si>
    <t>40-42 Minh Khai, Phường Bồ Xuyên, Thành phố Thái Bình, T. Thái Bình Việt Nam</t>
  </si>
  <si>
    <t>4010</t>
  </si>
  <si>
    <t>WM+ HPG 42 Trần Tất Văn</t>
  </si>
  <si>
    <t>42 Trần Tất Văn, Phường Trần, Thành Ngọ, Quận Kiến An, TP. Hải Phòng Việt Nam</t>
  </si>
  <si>
    <t>4011</t>
  </si>
  <si>
    <t>WM+ HNI 26 ngõ 58 Trần Bình</t>
  </si>
  <si>
    <t>Số 26 ngõ 58 Trần Bình, Phường Mai Dịch, Q. Cầu Giấy, TP. Hà Nội Việt Nam</t>
  </si>
  <si>
    <t>4020</t>
  </si>
  <si>
    <t>WM+ HNI Lô 21 BT 4-3 Khu nhà ở Trun</t>
  </si>
  <si>
    <t>Lô 21 khu BT4-3 Khu nhà ở Trung Văn, Phường Trung Văn, Quận Nam Từ Liêm, TP. Hà Nội Việt Nam</t>
  </si>
  <si>
    <t>4022</t>
  </si>
  <si>
    <t>WM+ BNH 23 Nguyễn Văn Trỗi</t>
  </si>
  <si>
    <t>Số 23 Nguyễn Văn Trỗi, Phường Đình Bảng, Thị xã Từ Sơn, T. Bắc Ninh Việt Nam</t>
  </si>
  <si>
    <t>4023</t>
  </si>
  <si>
    <t>WM+ HNI 42 Vĩnh Tuy</t>
  </si>
  <si>
    <t>42 Vĩnh Tuy, Phường Vĩnh Tuy, Quận Hai Bà Trưng, TP. Hà Nội Việt Nam</t>
  </si>
  <si>
    <t>4024</t>
  </si>
  <si>
    <t>WM+ HNI T1-30 Gemek Tower</t>
  </si>
  <si>
    <t>T1-30, tầng 1, Gemek Tower, KTĐM Lê Trọng Tấn - Geleximco, đường Lê Trọng Tấn, xã An Khánh, Huyện Hoài Đức, TP. Hà Nội Việt Nam</t>
  </si>
  <si>
    <t>4031</t>
  </si>
  <si>
    <t>WM+ HNI 60 Tứ Hiệp</t>
  </si>
  <si>
    <t>60 đường Tứ Hiệp, xã Tứ Hiệp, Huyện Thanh Trì, TP. Hà Nội Việt Nam</t>
  </si>
  <si>
    <t>4032</t>
  </si>
  <si>
    <t>WM+ HNI 86 Quan Nhân</t>
  </si>
  <si>
    <t>86 Quan Nhân, Phường Nhân Chính, Quận Thanh Xuân, TP. Hà Nội Việt Nam</t>
  </si>
  <si>
    <t>4033</t>
  </si>
  <si>
    <t>WM+ HNI 13A Ơ 2 Linh Đàm</t>
  </si>
  <si>
    <t>Ô số 13A, lô Ơ 2, khu nhà ở Bán đảo Linh Đàm, Phường Hoàng Liệt, Quận Hoàng Mai, TP. Hà Nội Việt Nam</t>
  </si>
  <si>
    <t>4038</t>
  </si>
  <si>
    <t>WM+ HDG TT2AB.11 KĐT Tuệ Tĩnh</t>
  </si>
  <si>
    <t>TT2AB.11 KĐT Tuệ Tĩnh, Phường Cẩm Thượng, Thành phố Hải Dương, T. Hải Dương Việt Nam</t>
  </si>
  <si>
    <t>4039</t>
  </si>
  <si>
    <t>WM+ HPG 85 Đình Đông</t>
  </si>
  <si>
    <t>85 Đình Đông, Phường Đông Hải, Quận Lê Chân, TP. Hải Phòng Việt Nam</t>
  </si>
  <si>
    <t>4040</t>
  </si>
  <si>
    <t>WM+ HNI 271 Nam Dư</t>
  </si>
  <si>
    <t>271 Nam Dư, Phường Lĩnh Nam, quận Hoàng Mai, TP. Hà Nội Việt Nam</t>
  </si>
  <si>
    <t>4041</t>
  </si>
  <si>
    <t>WM+ HNI CC Packexim 2</t>
  </si>
  <si>
    <t>Tầng 1, Chung cư Packexim 2, ngách 6 ngõ, 15 An Dương Vương, Phường Phú Thượng, Quận Tây Hồ, TP. Hà Nội Việt Nam</t>
  </si>
  <si>
    <t>4042</t>
  </si>
  <si>
    <t>WM+ QNH 62 Tô Hiệu</t>
  </si>
  <si>
    <t>62 Tô Hiệu, Phường Cẩm Trung, Thành phố Cẩm Phả, T. Quảng Ninh Việt Nam</t>
  </si>
  <si>
    <t>4048</t>
  </si>
  <si>
    <t>WM+ TBH Lô 7.03-7.04 KĐT Trần Lãm</t>
  </si>
  <si>
    <t>Lô 7.03-7.04 KĐT chất lượng cao Trần Lãm, Phường Trần Lãm, Thành phố Thái Bình, T. Thái Bình Việt Nam</t>
  </si>
  <si>
    <t>4049</t>
  </si>
  <si>
    <t>WM+ THA 27 Lê Hữu Lập</t>
  </si>
  <si>
    <t>27 Lê Hữu Lập, Phường Lam Sơn, Thành phố Thanh Hóa, T. Thanh Hóa Việt Nam</t>
  </si>
  <si>
    <t>4050</t>
  </si>
  <si>
    <t>WM+ HNI SH09 Emerald Mỹ Đình</t>
  </si>
  <si>
    <t>E4.1.9 (SH09), tầng 1, Tòa nhà E4, thuộc tòa CT2 KĐTM Mỹ, Đình - Mễ Trì (Dự án Emerald), đường, Đình Thôn, P. Mỹ Đình 1, Q. Nam Từ Liêm TP. Hà Nội Việt Nam</t>
  </si>
  <si>
    <t>4052</t>
  </si>
  <si>
    <t>WM+ HNI TT01-05 HD Mon</t>
  </si>
  <si>
    <t>TT01-05, Dự án Hải Đăng City tại Lô đất NO-CT1, đường Hàm Nghi, Phường Mỹ Đình 2, Quận Nam Từ Liêm, TP. Hà Nội Việt Nam</t>
  </si>
  <si>
    <t>4053</t>
  </si>
  <si>
    <t>WM+ HNI A3 Gardenia</t>
  </si>
  <si>
    <t>Gian hàng kinh doanh SO05A, tầng 1, Tòa nhà A3 (CT03), Khu, căn hộ Vinhomes Gardenia, đường Hàm Ngh phường Cầu Diễn, Quận Nam Từ Liêm, TP. Hà Nội Việt Nam</t>
  </si>
  <si>
    <t>4059</t>
  </si>
  <si>
    <t>WM+ HNI Vinhomes Green Bay</t>
  </si>
  <si>
    <t>Gian hàng kinh doanh số 115 tại tầng 1 thuộc nhà, chung cư số G2, Phường Mễ Trì, Quận Nam Từ Liêm, TP. Hà Nội Việt Nam</t>
  </si>
  <si>
    <t>4060</t>
  </si>
  <si>
    <t>WM+ HNI LK02-03 C14 Bắc Hà</t>
  </si>
  <si>
    <t>Căn LK02-03, khu C14 Bộ Công an, đường Trung Văn, Phường Trung Văn, Quận Nam Từ Liêm, TP. Hà Nội Việt Nam</t>
  </si>
  <si>
    <t>4064</t>
  </si>
  <si>
    <t>WM+ HYN 175 The Mariana</t>
  </si>
  <si>
    <t>175 Khu biệt thự thủy Nguyên (Marina Residences), xã Phụng Công, Huyện Văn Giang, T. Hưng Yên Việt Nam</t>
  </si>
  <si>
    <t>4065</t>
  </si>
  <si>
    <t>WIN HNI C4 Đỗ Nhuận</t>
  </si>
  <si>
    <t>Tầng 1, chung cư cao tầng, Lô C4, Phường Xuân Tảo, Quận Bắc Từ Liêm, TP. Hà Nội Việt Nam</t>
  </si>
  <si>
    <t>4066</t>
  </si>
  <si>
    <t>WM+ HNI 1 ngõ 206 Cổ Linh</t>
  </si>
  <si>
    <t>Số 1 ngõ 206 đường Cổ Linh, Phường Long Biên, Quận Long Biên, TP. Hà Nội Việt Nam</t>
  </si>
  <si>
    <t>4067</t>
  </si>
  <si>
    <t>WM+ HNI LK04 Lô TT02 622 Minh Khai</t>
  </si>
  <si>
    <t>4-TT2A, Khu nhà ở liền kề ngõ 622 Minh Khai, Phường Vĩnh Tuy, Quận Hai Bà Trưng, TP. Hà Nội Việt Nam</t>
  </si>
  <si>
    <t>4069</t>
  </si>
  <si>
    <t>WM+ QNH 01 Lô A3 Vựng Đâng</t>
  </si>
  <si>
    <t>Ô số 01 Lô A3 QH khu dân cư lấn biển Vựng Đâng, Phường Yết Kiêu, Thành phố Hạ Long, T. Quảng Ninh Việt Nam</t>
  </si>
  <si>
    <t>4070</t>
  </si>
  <si>
    <t>WM+ HPG 845 Thiên Lôi</t>
  </si>
  <si>
    <t>Số 845 Thiên Lôi, Phường Kênh Dương, Quận Lê Chân, TP. Hải Phòng Việt Nam</t>
  </si>
  <si>
    <t>4076</t>
  </si>
  <si>
    <t>WM+ HNI LK09 ngõ 38 Xuân La</t>
  </si>
  <si>
    <t>LK09 Khu nhà ở thấp tầng ngõ 38 Phường Xuân La, Quận Tây Hồ, TP. Hà Nội Việt Nam</t>
  </si>
  <si>
    <t>4077</t>
  </si>
  <si>
    <t>WM+ HNI TT18-50 KĐT Văn Phú</t>
  </si>
  <si>
    <t>Liền kề TT18-50 Khu đô thị mới Văn Phú, Phường Phú La, Quận Hà Đông, TP. Hà Nội Việt Nam</t>
  </si>
  <si>
    <t>4078</t>
  </si>
  <si>
    <t>WM+ HNI Đường mới Tứ Hiệp</t>
  </si>
  <si>
    <t>Đường mới Tứ Hiệp, Ngũ Hiệp, Tự Khoát, Ngũ Hiệp, Thanh Trì, TP. Hà Nội Việt Nam</t>
  </si>
  <si>
    <t>4085</t>
  </si>
  <si>
    <t>WM+ HNI 58A Nguyễn Khánh Toàn</t>
  </si>
  <si>
    <t>Số 58A đường Nguyễn Khánh Toàn, tổ 5, Phường Quan Hoa, Quận Cầu Giấy, TP. Hà Nội Việt Nam</t>
  </si>
  <si>
    <t>4088</t>
  </si>
  <si>
    <t>WM+ BNH 400 Phố Mới</t>
  </si>
  <si>
    <t>Số 400 Phố Mới, Phường Đồng Nguyên, Thị xã Từ Sơn, T. Bắc Ninh Việt Nam</t>
  </si>
  <si>
    <t>4093</t>
  </si>
  <si>
    <t>WM+ PTO Tổ 26A Hai Bà Trưng</t>
  </si>
  <si>
    <t>Tổ 26A phố Hai Bà Trưng, Phường Thọ Sơn, Thành phố Việt Trì, T. Phú Thọ Việt Nam</t>
  </si>
  <si>
    <t>4101</t>
  </si>
  <si>
    <t>WM+ HNI 5 ngõ 464 Âu Cơ</t>
  </si>
  <si>
    <t>Số 5 ngõ 464 Âu Cơ, P. Phú Thượng, Quận Tây Hồ, TP. Hà Nội Việt Nam</t>
  </si>
  <si>
    <t>4102</t>
  </si>
  <si>
    <t>WM+ HYN 209 Park River</t>
  </si>
  <si>
    <t>PRV - 209 Khu thấp tầng 2A (Park River) Khu đô thị, TM và DV Văn Giang (Ecopark), Huyện Văn Giang, T. Hưng Yên Việt Nam</t>
  </si>
  <si>
    <t>4104</t>
  </si>
  <si>
    <t>WM+ BNH Cao Nguyên 2</t>
  </si>
  <si>
    <t>Khu nhà ở xã hội Cao Nguyên 2, Phường Võ Cường, Thành Phố Bắc Ninh, T. Bắc Ninh Việt Nam</t>
  </si>
  <si>
    <t>4105</t>
  </si>
  <si>
    <t>WM+ BNH Phạm Sư Mạnh</t>
  </si>
  <si>
    <t>Phố Phạm Sư Mạnh, Phường Vũ Ninh, Thành Phố Bắc Ninh, T. Bắc Ninh Việt Nam</t>
  </si>
  <si>
    <t>4106</t>
  </si>
  <si>
    <t>WM+ PTO Khu 8 Nông Trang</t>
  </si>
  <si>
    <t>Khu 8 Phường Nông Trang, Thành phố Việt Trì, T. Phú Thọ Việt Nam</t>
  </si>
  <si>
    <t>4108</t>
  </si>
  <si>
    <t>WM+ HNI 30B Doãn Kế Thiện</t>
  </si>
  <si>
    <t>Số 01 nhà B1, khu tập thể Quân đội Mai Dịch, Phường Mai Dịch, Quận Cầu Giấy, TP. Hà Nội Việt Nam</t>
  </si>
  <si>
    <t>4109</t>
  </si>
  <si>
    <t>WM+ HNI 51 Phố Huyện</t>
  </si>
  <si>
    <t>Số 51 phố Huyện, thị trấn Quốc Oai, Huyện Quốc Oai, TP. Hà Nội Việt Nam</t>
  </si>
  <si>
    <t>4110</t>
  </si>
  <si>
    <t>WM+ HNI Thôn Phương Trạch</t>
  </si>
  <si>
    <t>Thôn Phương Trạch, xã Vĩnh Ngọc, Huyện Đông Anh, TP. Hà Nội Việt Nam</t>
  </si>
  <si>
    <t>4113</t>
  </si>
  <si>
    <t>WM+ HNI C3 Nguyễn Cơ Thạch</t>
  </si>
  <si>
    <t>Kiot số C3-2 Chung cư C3, Khu đô thị Mỹ Đình 1, đường Nguyễn Cơ Thạch, Phường Cầu Diễn, Quận Nam Từ Liêm, TP. Hà Nội Việt Nam</t>
  </si>
  <si>
    <t>4114</t>
  </si>
  <si>
    <t>WM+ HNI 284 Tựu Liệt</t>
  </si>
  <si>
    <t>284 Tựu Liệt, xã Tam Hiệp, Thanh Trì, TP. Hà Nội Việt Nam</t>
  </si>
  <si>
    <t>4115</t>
  </si>
  <si>
    <t>WM+ QNH 446 Nguyễn Văn Cừ</t>
  </si>
  <si>
    <t>Số 446 Nguyễn Văn Cừ, Phường Hồng Hải, Thành phố Hạ Long, T. Quảng Ninh Việt Nam</t>
  </si>
  <si>
    <t>4116</t>
  </si>
  <si>
    <t>WM+ HNI 30 ngách 33A ngõ 107 Lĩnh N</t>
  </si>
  <si>
    <t>30 ngách 33A ngõ 107 Lĩnh Nam, P. Vĩnh Hưng, Quận Hoàng Mai, TP. Hà Nội Việt Nam</t>
  </si>
  <si>
    <t>4118</t>
  </si>
  <si>
    <t>WM+ QNH Tổ 2 khu 2 Hồng Hà</t>
  </si>
  <si>
    <t>Tổ 2 khu 2 Phường Hồng Hà, Thành phố Hạ Long, T. Quảng Ninh Việt Nam</t>
  </si>
  <si>
    <t>4121</t>
  </si>
  <si>
    <t>WM+ HNI 61 Do Nha</t>
  </si>
  <si>
    <t>Số 61 đường Do Nha, Phường Tây Mỗ, Quận Nam Từ Liêm, TP. Hà Nội Việt Nam</t>
  </si>
  <si>
    <t>4122</t>
  </si>
  <si>
    <t>WM+ HNI Lỗ Khê</t>
  </si>
  <si>
    <t>Thôn Lỗ Khê, xã Liên Hà, Huyện Đông Anh, TP. Hà Nội Việt Nam</t>
  </si>
  <si>
    <t>4124</t>
  </si>
  <si>
    <t>WM+ HNI Đình Xuyên</t>
  </si>
  <si>
    <t>Thôn Công Đình, xã Đình Xuyên, Huyện Gia Lâm, TP. Hà Nội Việt Nam</t>
  </si>
  <si>
    <t>4125</t>
  </si>
  <si>
    <t>WM+ HNI CC Trung Ương Đảng</t>
  </si>
  <si>
    <t>Tòa chung cư văn phòng Trung ương Đảng, số 44 ngõ 260 Đội Cấn, Phường Liễu Giai Quận Ba Đình, TP. Hà Nội Việt Nam</t>
  </si>
  <si>
    <t>4129</t>
  </si>
  <si>
    <t>WM+ HNI 22 Hoàng Diệu</t>
  </si>
  <si>
    <t>Số 22 Phố Hoàng Diệu, Phường Quang Trung, thị xã Sơn Tây, TP. Hà Nội Việt Nam</t>
  </si>
  <si>
    <t>4135</t>
  </si>
  <si>
    <t>WM+ HNI 134 Lò Đúc</t>
  </si>
  <si>
    <t>Số 134 phố Lò Đúc, Phường Đông Mác, Quận Hai Bà Trưng, TP. Hà Nội Việt Nam</t>
  </si>
  <si>
    <t>4136</t>
  </si>
  <si>
    <t>WM+ HNI 30 Phạm Văn Đồng</t>
  </si>
  <si>
    <t>Tầng 1 Dự án Tổ hợp văn phòng, dịch vụ Thương mại và, nhà ở xã hội tại 30 Phạm Văn Đồng, phường Dịch Vọng, Quận Cầu Giấy, TP. Hà Nội Việt Nam</t>
  </si>
  <si>
    <t>4138</t>
  </si>
  <si>
    <t>WM+ HNI  Xóm 8 Thụy Khuê</t>
  </si>
  <si>
    <t>Xóm 8 thôn Thụy Khuê, xã Sài Sơn, Huyện Quốc Oai, TP. Hà Nội Việt Nam</t>
  </si>
  <si>
    <t>4140</t>
  </si>
  <si>
    <t>WM+ HNI 262 Lĩnh Nam</t>
  </si>
  <si>
    <t>Số 262 Lĩnh Nam, Phường Lĩnh Nam, Quận Hoàng Mai, TP. Hà Nội Việt Nam</t>
  </si>
  <si>
    <t>4141</t>
  </si>
  <si>
    <t>WM+ PTO Khu 3 Vân Phú</t>
  </si>
  <si>
    <t>Khu 3 Phường Vân Phú, Thành phố Việt Trì, T. Phú Thọ Việt Nam</t>
  </si>
  <si>
    <t>4142</t>
  </si>
  <si>
    <t>WM+ THA 14 Nguyễn Văn Cừ</t>
  </si>
  <si>
    <t>Số 14 Nguyễn Văn Cừ, Phường Ngọc Trạo, Thị xã Bỉm Sơn, T. Thanh Hóa Việt Nam</t>
  </si>
  <si>
    <t>4144</t>
  </si>
  <si>
    <t>WM+ HNI SH 43 The K-Park</t>
  </si>
  <si>
    <t>Kiot thương mại SH43-tầng 1 tòa K2, Khu nhà ở Hi Brand tại, Khu đô thị mới Văn Phú, Phường Phú La, Quận Hà Đông, TP. Hà Nội Việt Nam</t>
  </si>
  <si>
    <t>4166</t>
  </si>
  <si>
    <t>WM+ HNI R1 Royal City</t>
  </si>
  <si>
    <t>SO05 tầng 1 tòa R1 Royal City, 72A Nguyễn Trãi, P.Thượng Đình, Quận Thanh Xuân, TP. Hà Nội Việt Nam</t>
  </si>
  <si>
    <t>4167</t>
  </si>
  <si>
    <t>WM+ HNI Đồng Bụt</t>
  </si>
  <si>
    <t>Thôn Đồng Bụt, xã Ngọc Liệp, Huyện Quốc Oai, TP. Hà Nội Việt Nam</t>
  </si>
  <si>
    <t>4168</t>
  </si>
  <si>
    <t>WM+ HNI 103 An Bình</t>
  </si>
  <si>
    <t>Ô thương mại số 103 - tầng 1 Tòa nhà hỗn hợp An Bình 1, - khu đô thị mới Định Công, Phường Định Công, Quận Hoàng Mai, TP. Hà Nội Việt Nam</t>
  </si>
  <si>
    <t>4169</t>
  </si>
  <si>
    <t>WM+ HNI Thống Nhất Complex</t>
  </si>
  <si>
    <t>Khu DVTM Tầng 1 khối công trình TTTM và nhà ở cao tầng -, - Thống Nhất Complex, số 82 Nguyễn Tuân P. Thanh Xuân Trung, Q. Thanh Xuân, TP. Hà Nội Việt Nam</t>
  </si>
  <si>
    <t>4172</t>
  </si>
  <si>
    <t>WM+ HNI 10A6 An Bình</t>
  </si>
  <si>
    <t>Tầng 1, tầng 2 thuộc tòa nhà A6, dự án Bình City, Khu đô thị Thành phố Giao Lưu, Phường, Cổ Nhuế 2, Quận Bắc Từ Liêm, TP. Hà Nội Việt Nam</t>
  </si>
  <si>
    <t>4174</t>
  </si>
  <si>
    <t>WM+ HNI Tổ 6 Thanh Lãm</t>
  </si>
  <si>
    <t>Tổ 6 Thanh Lãm, Phường Phú Lãm, Quận Hà Đông, TP. Hà Nội Việt Nam</t>
  </si>
  <si>
    <t>4175</t>
  </si>
  <si>
    <t>WM+ THA 102 Lê Lai</t>
  </si>
  <si>
    <t>102 Lê Lai, Phường Đông Hương, Thành phố Thanh Hóa, T. Thanh Hóa Việt Nam</t>
  </si>
  <si>
    <t>4176</t>
  </si>
  <si>
    <t>WM+ THA Lô 99 MBQH 502 (16 Phú Thứ)</t>
  </si>
  <si>
    <t>Lô số 99 MBQH số 502/UBND-QLDT, Phường Phú Sơn, Thành phố Thanh Hóa, T. Thanh Hóa Việt Nam</t>
  </si>
  <si>
    <t>4177</t>
  </si>
  <si>
    <t>WM+ THA 532 Quang Trung</t>
  </si>
  <si>
    <t>SN 532 Quang Trung, Phường Đông Vệ, Thành phố Thanh Hóa, T. Thanh Hóa Việt Nam</t>
  </si>
  <si>
    <t>4179</t>
  </si>
  <si>
    <t>WM+ HNI 20 Văn Phú</t>
  </si>
  <si>
    <t>Số 20 phố Văn Phú, Phường Phú La, Quận Hà Đông, TP. Hà Nội Việt Nam</t>
  </si>
  <si>
    <t>4180</t>
  </si>
  <si>
    <t>WM+ HNI Phố Vác</t>
  </si>
  <si>
    <t>Phố Vác, xã Dân Hòa, Huyện Thanh Oai, TP. Hà Nội Việt Nam</t>
  </si>
  <si>
    <t>4190</t>
  </si>
  <si>
    <t>WM+ HNI 121 Phú Minh</t>
  </si>
  <si>
    <t>Số 121 Phú Minh, Huyện Sóc Sơn, TP. Hà Nội Việt Nam</t>
  </si>
  <si>
    <t>4191</t>
  </si>
  <si>
    <t>WM+ HNI 77 Tổ 6 Sóc Sơn</t>
  </si>
  <si>
    <t>Số 77, tổ 6, thị trấn Sóc Sơn, Huyện Sóc Sơn, TP. Hà Nội Việt Nam</t>
  </si>
  <si>
    <t>4192</t>
  </si>
  <si>
    <t>WM+ HNI Thôn 6 Ninh Hiệp</t>
  </si>
  <si>
    <t>Thôn 6 xã Ninh Hiệp, Huyện Gia Lâm, TP. Hà Nội Việt Nam</t>
  </si>
  <si>
    <t>4197</t>
  </si>
  <si>
    <t>WM+ HNI Mai Châu</t>
  </si>
  <si>
    <t>Thôn Mai Châu, xã Đại Mạch, Huyện Đông Anh, TP. Hà Nội Việt Nam</t>
  </si>
  <si>
    <t>4198</t>
  </si>
  <si>
    <t>WM+ HPG 26 Cát Bi</t>
  </si>
  <si>
    <t>Số 26 cũ đường Cát Bi, tổ dân phố C6 mới, Phường Cát Bi, Quận Hải An, TP. Hải Phòng Việt Nam</t>
  </si>
  <si>
    <t>4199</t>
  </si>
  <si>
    <t>WM+ HNI Lưu Phái</t>
  </si>
  <si>
    <t>Thôn Lưu Phái, xã Ngũ Hiệp, Huyện Thanh Trì, TP. Hà Nội Việt Nam</t>
  </si>
  <si>
    <t>4210</t>
  </si>
  <si>
    <t>WM+ HNI TDP 6 Quang Minh</t>
  </si>
  <si>
    <t>Tổ dân phố số 6, thị trấn Quang Minh, Huyện Mê Linh, TP. Hà Nội Việt Nam</t>
  </si>
  <si>
    <t>4211</t>
  </si>
  <si>
    <t>WM+ HNI 10A4 An Bình</t>
  </si>
  <si>
    <t>A4-10 Tầng 1, tầng 2 thuộc tòa nhà A4, dự án Bình City, Khu đô thị Thành phố Giao Lưu, Phường, Cổ Nhuế 2, Quận Bắc Từ Liêm, TP. Hà Nội Việt Nam</t>
  </si>
  <si>
    <t>4213</t>
  </si>
  <si>
    <t>WM+ BNH Thôn Thượng</t>
  </si>
  <si>
    <t>Thôn Thượng, xã Phù Khê, Thị xã Từ Sơn, T. Bắc Ninh Việt Nam</t>
  </si>
  <si>
    <t>4214</t>
  </si>
  <si>
    <t>WM+ THA 3 Lê Hồng Sơn</t>
  </si>
  <si>
    <t>Số 3 Lê Hồng Sơn, Phường Đông Thọ, Thành phố Thanh Hóa, T. Thanh Hóa Việt Nam</t>
  </si>
  <si>
    <t>4215</t>
  </si>
  <si>
    <t>WM+ PTO 44 Đại Nải</t>
  </si>
  <si>
    <t>Số 44 đường Đại Nải, Phường Nông Trang, Thành phố Việt Trì, T. Phú Thọ Việt Nam</t>
  </si>
  <si>
    <t>4216</t>
  </si>
  <si>
    <t>WIN HNI 2 Vương Thừa Vũ</t>
  </si>
  <si>
    <t>Số 2 Vương Thừa Vũ, Phường Khương Trung, Quận Thanh Xuân, TP. Hà Nội Việt Nam</t>
  </si>
  <si>
    <t>4217</t>
  </si>
  <si>
    <t>WM+ HNI 543 Thanh Lương</t>
  </si>
  <si>
    <t>Số 543 Thanh Lương, xã Bích Hòa, Huyện Thanh Oai, TP. Hà Nội Việt Nam</t>
  </si>
  <si>
    <t>4222</t>
  </si>
  <si>
    <t>WM+ HNI 429 Chùa Thông</t>
  </si>
  <si>
    <t>429 Chùa Thông, Phường Sơn Lộc, Thị xã Sơn Tây, TP. Hà Nội Việt Nam</t>
  </si>
  <si>
    <t>4233</t>
  </si>
  <si>
    <t>WM+ THA Liền kề L3-L5 FLC</t>
  </si>
  <si>
    <t>Liền kề L3 - L5 Khu công trình hỗn hợp và nhà ở, Phường Đông Vệ, Thành phố Thanh Hóa, T. Thanh Hóa Việt Nam</t>
  </si>
  <si>
    <t>4234</t>
  </si>
  <si>
    <t>WM+ QNH K3 GreenBay Premium</t>
  </si>
  <si>
    <t>K3, Tầng 1, thuộc Công trình Chung cư kết hợp, văn phòng dịch vụ Greenbay Premium, Phường Hùng Thắng, TP. Hạ Long, T. Quảng Ninh Việt Nam</t>
  </si>
  <si>
    <t>4236</t>
  </si>
  <si>
    <t>WM+ HNI Phố Nỷ</t>
  </si>
  <si>
    <t>Thôn Phố Nỷ, xã Trung Giã, Huyện Sóc Sơn, TP. Hà Nội Việt Nam</t>
  </si>
  <si>
    <t>4238</t>
  </si>
  <si>
    <t>WM+ BNH Giang Liễu</t>
  </si>
  <si>
    <t>Thôn Giang Liễu, xã Phương Liễu, Huyện Quế Võ, T. Bắc Ninh Việt Nam</t>
  </si>
  <si>
    <t>4243</t>
  </si>
  <si>
    <t>WM+ HNI 106 CT2 KĐT Văn Khê</t>
  </si>
  <si>
    <t>106 CT2 - KĐT Văn Khê, đường Tố Hữu, Phường La Khê, Quận Hà Đông, TP. Hà Nội Việt Nam</t>
  </si>
  <si>
    <t>4249</t>
  </si>
  <si>
    <t>WM+ HNI G9 Thanh Xuân Nam</t>
  </si>
  <si>
    <t>P110 nhà G9, 1 ngõ 495 Nguyễn Trãi, Phường Thanh Xuân Nam, Quận Thanh Xuân, TP. Hà Nội Việt Nam</t>
  </si>
  <si>
    <t>4255</t>
  </si>
  <si>
    <t>WM+ HNI 103 ngõ 4 Phương Mai</t>
  </si>
  <si>
    <t>103 ngõ 4 Phương Mai, P. Phương Mai, Quận Đống Đa, TP. Hà Nội Việt Nam</t>
  </si>
  <si>
    <t>4256</t>
  </si>
  <si>
    <t>WM+ HNI 02-03 N04A Ngoại Giao Đoàn</t>
  </si>
  <si>
    <t>Kiot 2-3, Tầng 1, Khu B, chung cư N04A-CC5, Khu Đoàn Ngoại Giao, P.Xuân Tảo, Q. Bắc Từ Liêm, TP. Hà Nội Việt Nam</t>
  </si>
  <si>
    <t>4259</t>
  </si>
  <si>
    <t>WM+ HNI N2-L1-04 Gold Season</t>
  </si>
  <si>
    <t>N2-L1-04, Tầng 1, Tòa NƠ2, Gold Season, 47 Nguyễn Tuân, P. Thanh Xuân Trung, Quận Thanh Xuân, TP. Hà Nội Việt Nam</t>
  </si>
  <si>
    <t>4260</t>
  </si>
  <si>
    <t>WM+ HNI 121 Ỷ La</t>
  </si>
  <si>
    <t>Số 121 Ỷ La, P.Dương Nội, Q. Hà Đông, TP. Hà Nội Việt Nam</t>
  </si>
  <si>
    <t>4262</t>
  </si>
  <si>
    <t>WM+ HNI 18 Dốc Lã</t>
  </si>
  <si>
    <t>18 Dốc Lã, Xã Yên Thường, Huyện Gia Lâm, TP. Hà Nội Việt Nam</t>
  </si>
  <si>
    <t>4263</t>
  </si>
  <si>
    <t>WM+ HNI 219 Trung Kính</t>
  </si>
  <si>
    <t>Tầng 1 Tháp B, Tòa nhà Central Point, 219 Trung Kính, Phường Yên Hòa, Quận Cầu Giấy, TP. Hà Nội Việt Nam</t>
  </si>
  <si>
    <t>4275</t>
  </si>
  <si>
    <t>WM+ HNI 38-40 HH03D Thanh Hà</t>
  </si>
  <si>
    <t>Ki ốt số 38-40, tầng 1 thuộc tòa nhà B2.1.HH03D, Khu đô thị Thanh Hà - Cienco5, xã Cự Khê, Huyện Thanh Oai, TP. Hà Nội Việt Nam</t>
  </si>
  <si>
    <t>4276</t>
  </si>
  <si>
    <t>WM+ HNI 48 Ngõ 99 Đức Giang</t>
  </si>
  <si>
    <t>48 ngõ 99 Đức Giang, P. Thượng Thanh, Quận Long Biên, TP. Hà Nội Việt Nam</t>
  </si>
  <si>
    <t>4277</t>
  </si>
  <si>
    <t>WM+ HNI 67 đường 2 khu 2 Phú Minh</t>
  </si>
  <si>
    <t>Số 67 Đường 2, khu 2 xã Phú Minh, Huyện Sóc Sơn, TP. Hà Nội Việt Nam</t>
  </si>
  <si>
    <t>4280</t>
  </si>
  <si>
    <t>WM+ HNI L1-08 HH3 FLC Đại Mỗ</t>
  </si>
  <si>
    <t>L1-08, tầng 1 tòa HH3 - Khu chức năng đô thị Đại Mỗ, (FLC Đại Mỗ), Phường Đại Mỗ, Quận Nam Từ Liêm, TP. Hà Nội Việt Nam</t>
  </si>
  <si>
    <t>4282</t>
  </si>
  <si>
    <t>WM+ HPG 137 Trung Lực</t>
  </si>
  <si>
    <t>137 Trung Lực, Phường Đằng Lâm, Quận Hải An, TP. Hải Phòng Việt Nam</t>
  </si>
  <si>
    <t>4283</t>
  </si>
  <si>
    <t>WM+ QNH Tổ 2 Khu 4 Giếng Đáy</t>
  </si>
  <si>
    <t>Tổ 2 Khu 4, Phường Giếng Đáy, Thành phố Hạ Long, T. Quảng Ninh Việt Nam</t>
  </si>
  <si>
    <t>4287</t>
  </si>
  <si>
    <t>WM+ HNI Xóm Tây, Vân Nội</t>
  </si>
  <si>
    <t>Xóm Tây, xã Vân Nội, Huyện Đông Anh, TP. Hà Nội Việt Nam</t>
  </si>
  <si>
    <t>4301</t>
  </si>
  <si>
    <t>WM+ HNI Cowa 199 Hồ Tùng Mậu</t>
  </si>
  <si>
    <t>Tầng 1 Tòa nhà Cowa Tower, 199 Hồ Tùng Mậu, Phường Cầu Diễn, Quận Nam Từ Liêm, TP. Hà Nội Việt Nam</t>
  </si>
  <si>
    <t>4302</t>
  </si>
  <si>
    <t>WIN HNI 01-CT3 Bộ Công an</t>
  </si>
  <si>
    <t>Lô 01, Tầng 1, Tòa CT3, Dự án nhà ở XH CBCS Bộ Công an, 170 ngõ 43 Cổ Nhuế, Phường Cổ Nhuế 2, Quận Bắc Từ Liêm, TP. Hà Nội Việt Nam</t>
  </si>
  <si>
    <t>4304</t>
  </si>
  <si>
    <t>WM+ QNH 27 Trần Nhật Duật</t>
  </si>
  <si>
    <t>Số 27 Trần Nhật Duật, Phường Trần Hưng Đạo, Thành phố Hạ Long, T. Quảng Ninh Việt Nam</t>
  </si>
  <si>
    <t>4305</t>
  </si>
  <si>
    <t>WM+ HNI Phong Lan 01-11</t>
  </si>
  <si>
    <t>PL01-11 Dự án Khu đô thị Vinhomes Riverside 2, khu Phong Lan 1, đường Nguyễn Lam, phường Phúc Đồng, Quận Long Biên, TP. Hà Nội Việt Nam</t>
  </si>
  <si>
    <t>4306</t>
  </si>
  <si>
    <t>WM+ HNI 35 ngõ 381 Nguyễn Khang</t>
  </si>
  <si>
    <t>Số 35 ngõ 381 Nguyễn Khang, Tổ 17, P. Yên Hòa, Q. Cầu Giấy, TP. Hà Nội Việt Nam</t>
  </si>
  <si>
    <t>4307</t>
  </si>
  <si>
    <t>WM+ HNI 54-56 HH02-2C Thanh Hà</t>
  </si>
  <si>
    <t>Kiốt 54-56, Tầng 1, Tòa nhà B1.4-HH02-2C, KĐT Thanh Hà – Cienco5, Xã Bình Minh, TP. Hà Nội Việt Nam</t>
  </si>
  <si>
    <t>4317</t>
  </si>
  <si>
    <t>WM+ HNI SH05 Starcity</t>
  </si>
  <si>
    <t>SH05- Tầng 1 – Khối Đế, Tòa Tháp A,B Starcity center, KĐT Đông Nam, Đường Trần Duy Hưng, Phường Trung hòa, Quận Cầu Giấy, TP. Hà Nội Việt Nam</t>
  </si>
  <si>
    <t>4326</t>
  </si>
  <si>
    <t>WM+ HNI Xóm Mới, Ngọc Than</t>
  </si>
  <si>
    <t>Xóm Mới, Ngọc Than, xã Ngọc Mỹ, Huyện Quốc Oai, TP. Hà Nội Việt Nam</t>
  </si>
  <si>
    <t>4327</t>
  </si>
  <si>
    <t>WM+ HNI 183 Nguyễn Ngọc Vũ</t>
  </si>
  <si>
    <t>Số 183 Đường Nguyễn Ngọc Vũ, Tổ 6, Phường Trung Hòa, Quận Cầu Giấy, TP. Hà Nội Việt Nam</t>
  </si>
  <si>
    <t>4328</t>
  </si>
  <si>
    <t>WM+ HNI MHDI - 60 Hoàng Quốc Việt</t>
  </si>
  <si>
    <t>Ô DVTM-04, tầng 1, khu B(361), tòa MHDI, ngõ 60 Hoàng Quốc Việt, P. Nghĩa Đô, Q. Cầu Giấy, TP. Hà Nội Việt Nam</t>
  </si>
  <si>
    <t>4329</t>
  </si>
  <si>
    <t>WM+ THA 2 Trần Hưng Đạo</t>
  </si>
  <si>
    <t>Số 2 Trần Hưng Đạo, Khối phố 4, Phường Bắc Sơn, Thị xã Bỉm Sơn, T. Thanh Hóa Việt Nam</t>
  </si>
  <si>
    <t>4331</t>
  </si>
  <si>
    <t>WM+ HNI 6/22 Phú Viên</t>
  </si>
  <si>
    <t>Số 6 ngõ 22 Phú Viên, P. Bồ Đề, Q. Long Biên, TP. Hà Nội Việt Nam</t>
  </si>
  <si>
    <t>4333</t>
  </si>
  <si>
    <t>WM+ QNH 86 Trần Phú</t>
  </si>
  <si>
    <t>Số 86 Đường Trần Phú, Phường Cẩm Tây, Thành phố Cẩm Phả, T. Quảng Ninh Việt Nam</t>
  </si>
  <si>
    <t>4355</t>
  </si>
  <si>
    <t>WM+ HPG 486 Mạc Đăng Doanh</t>
  </si>
  <si>
    <t>486 Mạc Đăng Doanh, P. Hưng Đạo, Quận Dương Kinh, TP. Hải Phòng Việt Nam</t>
  </si>
  <si>
    <t>4356</t>
  </si>
  <si>
    <t>WM+ HNI 103-105 Đa Phúc</t>
  </si>
  <si>
    <t>Số 103- 105 đường Đa Phúc, thôn Dược Thượng, xã Tiên Dược, Huyện Sóc Sơn, TP. Hà Nội Việt Nam</t>
  </si>
  <si>
    <t>4357</t>
  </si>
  <si>
    <t>WM+ HNI Xóm Tự, Thôn Phù Đổng</t>
  </si>
  <si>
    <t>Xóm Tự, Thôn Phù Đổng, Xã Phù Đổng, Huyện Gia Lâm, TP. Hà Nội Việt Nam</t>
  </si>
  <si>
    <t>4358</t>
  </si>
  <si>
    <t>WM+ QNH 590 Trần Phú</t>
  </si>
  <si>
    <t>Số 590 Trần Phú, Phường Cẩm Thủy, Thành phố Cẩm Phả, T. Quảng Ninh Việt Nam</t>
  </si>
  <si>
    <t>4360</t>
  </si>
  <si>
    <t>WM+ HNI Tổ 1, TT Quang Minh</t>
  </si>
  <si>
    <t>Tổ 1, TT Quang Minh, H. Mê Linh, TP. Hà Nội Việt Nam</t>
  </si>
  <si>
    <t>4362</t>
  </si>
  <si>
    <t>WM+ HPG 175 – 176/654 Ngô Gia Tự</t>
  </si>
  <si>
    <t>175 - 176 ngõ 654 Đường Ngô Gia Tự, Phường Thành Tô, Quận Hải An, TP. Hải Phòng Việt Nam</t>
  </si>
  <si>
    <t>4404</t>
  </si>
  <si>
    <t>WM+ HNI Kiot 82 HH3C Linh Đàm</t>
  </si>
  <si>
    <t>Kiot 82, tầng 1, tòa HH3C, Khu DV TH và nhà ở Hồ Linh Đàm, P. Hoàng Liệt, Q. Hoàng Mai, TP. Hà Nội Việt Nam</t>
  </si>
  <si>
    <t>4406</t>
  </si>
  <si>
    <t>WM+ THA 204B Hải Thượng Lãn Ông</t>
  </si>
  <si>
    <t>Số 204B Hải Thượng Lãn Ông, Phường Đông Vệ, Thành phố Thanh Hóa, T. Thanh Hóa Việt Nam</t>
  </si>
  <si>
    <t>4407</t>
  </si>
  <si>
    <t>WM+ THA 53 LK 20 Đông Sơn</t>
  </si>
  <si>
    <t>Lô 53 LK 20 khu ĐTM Đông Sơn, Phường An Hoạch, Thành phố Thanh Hóa, T. Thanh Hóa Việt Nam</t>
  </si>
  <si>
    <t>4408</t>
  </si>
  <si>
    <t>WM+ THA 522 Lê Lai</t>
  </si>
  <si>
    <t>Số 522 Lê Lai, P. Quảng Hưng, Thành phố Thanh Hóa, T. Thanh Hóa Việt Nam</t>
  </si>
  <si>
    <t>4409</t>
  </si>
  <si>
    <t>WM+ HNI Lô 6 CT1-AB Mễ Trì</t>
  </si>
  <si>
    <t>Lô số 06, tầng 1, tòa nhà CT1- AB, D.A đầu tư Khu nhà ở cao, tầng thuộc QH chi tiết Khu đất đài phát sóng phát thanh Mễ trì, Q.Nam Từ Liêm, TP. Hà Nội Việt Nam</t>
  </si>
  <si>
    <t>4411</t>
  </si>
  <si>
    <t>WM+ HNI CT-21B KĐTM Việt Hưng</t>
  </si>
  <si>
    <t>Tầng 1, Tòa A, Lô CT-21B, KĐTM Việt Hưng, Đào Văn Tập, Phường Giang Biên, TP. Hà Nội Việt Nam</t>
  </si>
  <si>
    <t>4414</t>
  </si>
  <si>
    <t>WM+ HNI 3A-HH2 Dương Nội</t>
  </si>
  <si>
    <t>Lô số 03A, Tòa nhà H thuộc Dự Án HH2, khu đô thị mới Dương Nội, Quận Hà Đông, TP. Hà Nội Việt Nam</t>
  </si>
  <si>
    <t>4417</t>
  </si>
  <si>
    <t>WM+ HNI Khu 7 Phố Yên</t>
  </si>
  <si>
    <t>Khu 7 - Phố Yên- Tiền Phong- Mê Linh, TP. Hà Nội Việt Nam</t>
  </si>
  <si>
    <t>4418</t>
  </si>
  <si>
    <t>WM+ HNI Lô 5-N01 New Horizon</t>
  </si>
  <si>
    <t>Lô 05, tầng 1, tòa N01, New Horizon city, 87 Lĩnh Nam, P.Mai Động, Q.Hoàng Mai, TP. Hà Nội Việt Nam</t>
  </si>
  <si>
    <t>4424</t>
  </si>
  <si>
    <t>WM+ HNI 153 - 155 Thanh Am</t>
  </si>
  <si>
    <t>Số 153 - 155 phố Thanh Am, Tổ 23, Phường Thượng Thanh, Quận Long Biên, TP. Hà Nội Việt Nam</t>
  </si>
  <si>
    <t>4425</t>
  </si>
  <si>
    <t>WM+ HNI 27 Trần Duy Hưng</t>
  </si>
  <si>
    <t>Tầng 1, Eurowindow Multicomplex, 27 Trần Duy Hưng, P. Trung Hòa, Q.Cầu Giấy, TP. Hà Nội Việt Nam</t>
  </si>
  <si>
    <t>4436</t>
  </si>
  <si>
    <t>WM+ HNI 56B Đinh Tiên Hoàng - Sơn T</t>
  </si>
  <si>
    <t>56B Đinh Tiên Hoàng, Phường Ngô Quyền, Thị xã Sơn Tây, TP. Hà Nội Việt Nam</t>
  </si>
  <si>
    <t>4437</t>
  </si>
  <si>
    <t>WM+ HNI 56 ngõ 43 Cổ Nhuế</t>
  </si>
  <si>
    <t>56 ngõ 43 Cổ Nhuế, Phường Cổ Nhuế 2, Quận Bắc Từ Liêm, TP. Hà Nội Việt Nam</t>
  </si>
  <si>
    <t>4442</t>
  </si>
  <si>
    <t>WM+ HNI Thôn Kiêu Kỵ, Gia Lâm</t>
  </si>
  <si>
    <t>Thôn Kiêu Kỵ, Xã Kiêu Kỵ, Huyện Gia Lâm, TP. Hà Nội Việt Nam</t>
  </si>
  <si>
    <t>4443</t>
  </si>
  <si>
    <t>WM+ HPG 182 Minh Đức</t>
  </si>
  <si>
    <t>Số 182 Minh Đức, thị trấn Tiên Lãng, Huyện Tiên Lãng, TP. Hải Phòng Việt Nam</t>
  </si>
  <si>
    <t>4444</t>
  </si>
  <si>
    <t>WM+ HNI 78 QL3 Phù Lỗ</t>
  </si>
  <si>
    <t>Số 78 đường quốc lộ 3, xã Phù Lỗ, Huyện Sóc Sơn, TP. Hà Nội Việt Nam</t>
  </si>
  <si>
    <t>4450</t>
  </si>
  <si>
    <t>WM+ HNI Hải Phát Plaza</t>
  </si>
  <si>
    <t>LK01-01 Dự án Tổ hợp TMDV và căn hộ cao cấp Hải Phát Plaza, Phường Đại Mỗ, Quận Nam Từ Liêm, TP. Hà Nội Việt Nam</t>
  </si>
  <si>
    <t>4451</t>
  </si>
  <si>
    <t>WM+ BNH Phong Khê</t>
  </si>
  <si>
    <t>Khu Dương Ổ, Phường Phong Khê, Thành Phố Bắc Ninh, T. Bắc Ninh Việt Nam</t>
  </si>
  <si>
    <t>4452</t>
  </si>
  <si>
    <t>WM+ THA 170 Lê Thánh Tông</t>
  </si>
  <si>
    <t>Số 170 Lê Thánh Tông, Phường Trung Sơn, Thành phố Sầm Sơn, T. Thanh Hóa Việt Nam</t>
  </si>
  <si>
    <t>4453</t>
  </si>
  <si>
    <t>WM+ THA Lô A7 LK Lê Lợi</t>
  </si>
  <si>
    <t>Lô A7, Khu dân cư tái định cư Khách sạn Sầm Sơn, đường Lê Lợi, Phường Trường Sơn, Thành phố Sầm Sơn, T. Thanh Hóa Việt Nam</t>
  </si>
  <si>
    <t>4456</t>
  </si>
  <si>
    <t>WM+ QNH Dự án KDC lấn biển cọc 6</t>
  </si>
  <si>
    <t>Dự án khu dân cư lấn biển cọc 6, Phường Cẩm Sơn, Thành phố Cẩm Phả, T. Quảng Ninh Việt Nam</t>
  </si>
  <si>
    <t>4457</t>
  </si>
  <si>
    <t>WM+ HPG 213 Đà Nẵng</t>
  </si>
  <si>
    <t>Số 213 Đà Nẵng, Phường Cầu Tre, Quận Ngô Quyền, TP. Hải Phòng Việt Nam</t>
  </si>
  <si>
    <t>4479</t>
  </si>
  <si>
    <t>WM+ HNI G1-116 Vinhomes Green Bay</t>
  </si>
  <si>
    <t>G116 – Tầng 1, Lô HH Chung cư G1, Vinhomes Greenbay, Đường Lương thế vinh kéo dài, Phường mễ trì, Quận Nam Từ Liêm, TP. Hà Nội Việt Nam</t>
  </si>
  <si>
    <t>4480</t>
  </si>
  <si>
    <t>WM+ VPC 134B Trần Phú</t>
  </si>
  <si>
    <t>134B Trần Phú, Phường Liên Bảo, thành phố Vĩnh Yên, T. Vĩnh Phúc Việt Nam</t>
  </si>
  <si>
    <t>4482</t>
  </si>
  <si>
    <t>WM+ VPC 150 Chùa Cấm</t>
  </si>
  <si>
    <t>150 Chùa Cấm, Trưng Nhị, Thành phố Phúc Yên, T. Vĩnh Phúc Việt Nam</t>
  </si>
  <si>
    <t>4483</t>
  </si>
  <si>
    <t>WM+ THA 104 Trần Phú</t>
  </si>
  <si>
    <t>104 Trần Phú, P.Ba Đình, Thị xã Bỉm Sơn, T. Thanh Hóa Việt Nam</t>
  </si>
  <si>
    <t>4484</t>
  </si>
  <si>
    <t>WM+ HNI Chợ Kim, Tổ 49 TT Đông Anh</t>
  </si>
  <si>
    <t>Khu Chợ Kim, Xã Xuân Nộn, Huyện Đông Anh, TP. Hà Nội Việt Nam</t>
  </si>
  <si>
    <t>4490</t>
  </si>
  <si>
    <t>WM+ THA 113 Trần Hưng Đạo</t>
  </si>
  <si>
    <t>113 Trần Hưng Đạo, p.Quảng Tiến, Thành phố Sầm Sơn, T. Thanh Hóa Việt Nam</t>
  </si>
  <si>
    <t>4491</t>
  </si>
  <si>
    <t>WM+ VPC 2 Nguyễn Văn Linh</t>
  </si>
  <si>
    <t>Số 2, đường Nguyễn Văn Linh, Phường Xuân Hòa, Thành phố Phúc Yên, T. Vĩnh Phúc Việt Nam</t>
  </si>
  <si>
    <t>4497</t>
  </si>
  <si>
    <t>WM+ VPC 84 Tôn Đức Thắng</t>
  </si>
  <si>
    <t>84 Tôn Đức Thắng, Khai Quang, thành phố Vĩnh Yên, T. Vĩnh Phúc Việt Nam</t>
  </si>
  <si>
    <t>4498</t>
  </si>
  <si>
    <t>WM+ VPC 291 Mê Linh</t>
  </si>
  <si>
    <t>291 Mê Linh, Phường Liên Bảo, thành phố Vĩnh Yên, T. Vĩnh Phúc Việt Nam</t>
  </si>
  <si>
    <t>4504</t>
  </si>
  <si>
    <t>WM+ HNI Xóm 4 Đông Dư</t>
  </si>
  <si>
    <t>Xóm 4, Xã Đông Dư, Huyện Gia Lâm, TP. Hà Nội Việt Nam</t>
  </si>
  <si>
    <t>4505</t>
  </si>
  <si>
    <t>WM+ VPC KHC 15 Nguyễn Tất Thành</t>
  </si>
  <si>
    <t>Khu hành chính 15, đường Nguyễn Tất Thành, Phường Liên Bảo, thành phố Vĩnh Yên, T. Vĩnh Phúc Việt Nam</t>
  </si>
  <si>
    <t>4507</t>
  </si>
  <si>
    <t>WM+ THA Lô 16 MBQH 2155 Đông Vệ</t>
  </si>
  <si>
    <t>Lô số 16 MBQH 2155/UBND-QLDT, Phường Đông Vệ, Thành phố Thanh Hóa, T. Thanh Hóa Việt Nam</t>
  </si>
  <si>
    <t>4511</t>
  </si>
  <si>
    <t>WM+ HNI 45 Thịnh Hào 1</t>
  </si>
  <si>
    <t>Số 45 Ngõ Thịnh Hào 1 Tôn Đức Thắng, Phường Hàng Bột, Quận Đống Đa, TP. Hà Nội Việt Nam</t>
  </si>
  <si>
    <t>4512</t>
  </si>
  <si>
    <t>WM+ HNI 10+11 Mỹ ĐÌnh Pearl</t>
  </si>
  <si>
    <t>Gian Hàng Thương Mại 10+ 11, Tầng 1, Tòa Nhà Pearl 1, số 01 đường Châu Văn Liêm, phường Phú Đô, Quận Nam Từ Liêm, TP. Hà Nội Việt Nam</t>
  </si>
  <si>
    <t>4514</t>
  </si>
  <si>
    <t>WM+ HPG 137 Chùa Hàng</t>
  </si>
  <si>
    <t>Số 137 Chùa Hàng, Phường Hồ Nam, Quận Lê Chân, TP. Hải Phòng Việt Nam</t>
  </si>
  <si>
    <t>4515</t>
  </si>
  <si>
    <t>WM+ HNI Golden Land, 275 Nguyễn Trã</t>
  </si>
  <si>
    <t>Gian hàng 110, tầng 1, Tòa nhà N01C Trung tâm TM và, DV Golden Land, số 275 Nguyễn Trãi, P. Thanh Xuân Trung, Q. Thanh Xuân, TP. Hà Nội Việt Nam</t>
  </si>
  <si>
    <t>4516</t>
  </si>
  <si>
    <t>WM+ VPC 141 Hùng Vương-Vĩnh Yên</t>
  </si>
  <si>
    <t>141 Hùng Vương, Tích Sơn, thành phố Vĩnh Yên, T. Vĩnh Phúc Việt Nam</t>
  </si>
  <si>
    <t>4517</t>
  </si>
  <si>
    <t>WM+ HNI 321 Lâm Du</t>
  </si>
  <si>
    <t>Số 321 Lâm Du, Phường Bồ Đề, Quận Long Biên, TP. Hà Nội Việt Nam</t>
  </si>
  <si>
    <t>4518</t>
  </si>
  <si>
    <t>WM+ QNH Tổ 100 Khu 8A Cẩm Phú</t>
  </si>
  <si>
    <t>Tổ 100 Khu 8A Cẩm Phú, Phường Cẩm Phú, Thành phố Cẩm Phả, T. Quảng Ninh Việt Nam</t>
  </si>
  <si>
    <t>4519</t>
  </si>
  <si>
    <t>WM+ QNH Tổ 69B Khu 6 Cao Xanh</t>
  </si>
  <si>
    <t>Tổ 69B khu 6 Phường Cao Xanh, Thành phố Hạ Long, T. Quảng Ninh Việt Nam</t>
  </si>
  <si>
    <t>4520</t>
  </si>
  <si>
    <t>WM+ HNI Ngãi Cầu, Hoài Đức</t>
  </si>
  <si>
    <t>Thôn Ngãi Cầu, xã An Khánh, Huyện Hoài Đức, TP. Hà Nội Việt Nam</t>
  </si>
  <si>
    <t>4521</t>
  </si>
  <si>
    <t>WM+ HNI Thôn 6, Song Phương</t>
  </si>
  <si>
    <t>Thôn 6, xã Song Phương, Huyện Hoài Đức, TP. Hà Nội Việt Nam</t>
  </si>
  <si>
    <t>4523</t>
  </si>
  <si>
    <t>WM+ VPC 38 Bà Triệu</t>
  </si>
  <si>
    <t>38 Bà Triệu, Liên Bảo, thành phố Vĩnh Yên, T. Vĩnh Phúc Việt Nam</t>
  </si>
  <si>
    <t>4524</t>
  </si>
  <si>
    <t>WM+ VPC 82 Lý Thường Kiệt</t>
  </si>
  <si>
    <t>82 Lý Thường Kiệt, Đồng Tâm, thành phố Vĩnh Yên, T. Vĩnh Phúc Việt Nam</t>
  </si>
  <si>
    <t>4525</t>
  </si>
  <si>
    <t>WM+ HNI Kiot 30-32 VP5 Bán Đảo Linh</t>
  </si>
  <si>
    <t>Kiot 30 -32, tầng 1 tòa nhà Văn phòng DVTM và nhà ở VP5, - Khu DVTH và nhà ở Hồ Linh Đàm, phường Hoàng Liệt, Quận Hoàng Mai, TP. Hà Nội Việt Nam</t>
  </si>
  <si>
    <t>4526</t>
  </si>
  <si>
    <t>WM+ HNI 65B Nguyễn Công Trứ</t>
  </si>
  <si>
    <t>Số 65B Nguyễn Công Trứ, Phường Đồng Nhân, Quận Hai Bà Trưng, TP. Hà Nội Việt Nam</t>
  </si>
  <si>
    <t>4531</t>
  </si>
  <si>
    <t>WM+ HNI 83 Quang Tiến</t>
  </si>
  <si>
    <t>83 Quang Tiến, Phường Đại Mỗ, Quận Nam Từ Liêm, TP. Hà Nội Việt Nam</t>
  </si>
  <si>
    <t>4532</t>
  </si>
  <si>
    <t>WM+ VPC Vinaconex Nguyễn Tất Thành</t>
  </si>
  <si>
    <t>SH 04 khu đô thị Vinaconex, đường Nguyễn Tất Thành, P. Liên Bảo, thành phố Vĩnh Yên, T. Vĩnh Phúc Việt Nam</t>
  </si>
  <si>
    <t>4533</t>
  </si>
  <si>
    <t>WM+ HPG 172 - 174 Trần Tất Văn</t>
  </si>
  <si>
    <t>172 - 174 đường Trần Tất Văn, TDP Gò Công 1, Phường Phù Liễn, Quận Kiến An, TP. Hải Phòng Việt Nam</t>
  </si>
  <si>
    <t>4534</t>
  </si>
  <si>
    <t>WM+ HNI 20 Tổ 3 Giang Biên</t>
  </si>
  <si>
    <t>Số 20 tổ 3, Phường Giang Biên, Quận Long Biên, TP. Hà Nội Việt Nam</t>
  </si>
  <si>
    <t>4535</t>
  </si>
  <si>
    <t>WM+ HNI 120 Phố Mã</t>
  </si>
  <si>
    <t>120 Phố Mã, Phù Linh, Sóc Sơn, TP. Hà Nội Việt Nam</t>
  </si>
  <si>
    <t>4537</t>
  </si>
  <si>
    <t>WM+ QNH Tổ 5 Khu 1 Yết Kiêu</t>
  </si>
  <si>
    <t>Tổ 5 khu 1 Phường Yết Kiêu, Thành phố Hạ Long, T. Quảng Ninh Việt Nam</t>
  </si>
  <si>
    <t>4538</t>
  </si>
  <si>
    <t>WM+ BNH 99 Nguyễn Trãi</t>
  </si>
  <si>
    <t>Số 99 Nguyễn Trãi, Phường Ninh Xá, Thành Phố Bắc Ninh, T. Bắc Ninh Việt Nam</t>
  </si>
  <si>
    <t>4539</t>
  </si>
  <si>
    <t>WM+ HNI A2 BT4 Việt Hưng</t>
  </si>
  <si>
    <t>Căn hộ A2 – Lô BT04 – Đô thị mới Việt Hưng, Phường Giang Biên, Quận Long Biên, TP. Hà Nội Việt Nam</t>
  </si>
  <si>
    <t>4540</t>
  </si>
  <si>
    <t>WM+ HNI 25 Phúc Tân</t>
  </si>
  <si>
    <t>Số 25 phố Phúc Tân, Phường Phúc Tân, Quận Hoàn Kiếm, TP. Hà Nội Việt Nam</t>
  </si>
  <si>
    <t>4553</t>
  </si>
  <si>
    <t>WM+ HNI Kiot 02 - 04 HH03B Thanh Hà</t>
  </si>
  <si>
    <t>Ki ốt số 02-04, tầng 1 thuộc tòa nhà B2.1.HH03B, KĐT Thanh Hà - Cienco5, xã Cự Khê, Huyện Thanh Oai, TP. Hà Nội Việt Nam</t>
  </si>
  <si>
    <t>4554</t>
  </si>
  <si>
    <t>WM+ HNI Đội 7 Ngọc Hồi</t>
  </si>
  <si>
    <t>Đội 7 Ngọc Hồi, Xã Ngọc Hồi, Huyện Thanh Trì, TP. Hà Nội Việt Nam</t>
  </si>
  <si>
    <t>4565</t>
  </si>
  <si>
    <t>WM+ HNI 48/467 Lĩnh Nam</t>
  </si>
  <si>
    <t>Số 48 ngõ 467 Lĩnh Nam, Phường Lĩnh Nam, Quận Hoàng Mai, TP. Hà Nội Việt Nam</t>
  </si>
  <si>
    <t>4566</t>
  </si>
  <si>
    <t>WM+ HNI Số 7 Hoa Viên</t>
  </si>
  <si>
    <t>BT4-B-1.3-7-Khu đô thị mới Đặng Xá II, Gia Lâm, TP. Hà Nội Việt Nam</t>
  </si>
  <si>
    <t>4570</t>
  </si>
  <si>
    <t>WM+ NAN 30 Phan Đình Phùng</t>
  </si>
  <si>
    <t>30 Phan Đình Phùng, Phường Cửa Nam, Thành phố Vinh, T. Nghệ An Việt Nam</t>
  </si>
  <si>
    <t>4571</t>
  </si>
  <si>
    <t>15A An Dương Vương, Phường Trường Thi, Thành phố Vinh, T. Nghệ An Việt Nam</t>
  </si>
  <si>
    <t>4579</t>
  </si>
  <si>
    <t>WM+ NAN 19 Kim Đồng</t>
  </si>
  <si>
    <t>19 Kim Đồng, Phường Hưng Bình, Thành phố Vinh, T. Nghệ An Việt Nam</t>
  </si>
  <si>
    <t>4580</t>
  </si>
  <si>
    <t>WM+ NAN 183 Phạm Đình Toái</t>
  </si>
  <si>
    <t>183 Phạm Đình Toái, Xóm 19, Xã Nghi Phú, Thành phố Vinh, T. Nghệ An Việt Nam</t>
  </si>
  <si>
    <t>4581</t>
  </si>
  <si>
    <t>WM+ NAN 117 Đặng Thái Thân</t>
  </si>
  <si>
    <t>117 Đặng Thái Thân, Phường Cửa Nam, Thành phố Vinh, T. Nghệ An Việt Nam</t>
  </si>
  <si>
    <t>4582</t>
  </si>
  <si>
    <t>WM+ NAN 72 Phan Đăng Lưu</t>
  </si>
  <si>
    <t>72 Phan Đăng Lưu, Phường Trường Thi, Thành phố Vinh, T. Nghệ An Việt Nam</t>
  </si>
  <si>
    <t>4583</t>
  </si>
  <si>
    <t>WM+ HNI 38 Ngô Quyền</t>
  </si>
  <si>
    <t>38 đường Ngô Quyền, Phường Ngô Quyền, Thị xã Sơn Tây, TP. Hà Nội Việt Nam</t>
  </si>
  <si>
    <t>4584</t>
  </si>
  <si>
    <t>WM+ HNI Việt Đức, 164 Khuất Duy Tiế</t>
  </si>
  <si>
    <t>Tầng 1, Khu A, tòa Viet Duc Complex, ngõ 164 Khuất Duy Tiến, phường Nhân Chính, Quận Thanh Xuân, TP. Hà Nội Việt Nam</t>
  </si>
  <si>
    <t>4586</t>
  </si>
  <si>
    <t>WM+ TQG Tổ 16 phường Tân Quang</t>
  </si>
  <si>
    <t>Tổ 16 Phường Tân Quang, Thành phố Tuyên Quang, T. Tuyên Quang Việt Nam</t>
  </si>
  <si>
    <t>4588</t>
  </si>
  <si>
    <t>WM+ HNI 161 Khu phố, Thị trấn Liên</t>
  </si>
  <si>
    <t>161 Khu Phố, Thị trấn Liên Quan, Huyện Thạch Thất, TP. Hà Nội Việt Nam</t>
  </si>
  <si>
    <t>4589</t>
  </si>
  <si>
    <t>WM+HNI Thôn 6 Thạch Xá</t>
  </si>
  <si>
    <t>Thôn 6, Xã Thạch Xá, Thạch Thất, TP. Hà Nội Việt Nam</t>
  </si>
  <si>
    <t>4594</t>
  </si>
  <si>
    <t>WIN HNI Ô 5 - tòa NewSkyline-Văn Qu</t>
  </si>
  <si>
    <t>Ô thương mại dịch vụ số 5 - tầng 01, Tòa nhà NewSkyline, Lô CC2 KĐT mới Văn Quán - Yên Phúc, Phường Văn Quán, Quận Hà Đông, TP. Hà Nội Việt Nam</t>
  </si>
  <si>
    <t>4595</t>
  </si>
  <si>
    <t>WM+ HPG 51 Hạ Đoạn 2</t>
  </si>
  <si>
    <t>Số 51 Hạ Đoạn 2, Phường Đông Hải 2, Quận Hải An, TP. Hải Phòng Việt Nam</t>
  </si>
  <si>
    <t>4596</t>
  </si>
  <si>
    <t>WM+ TQG 102 Phan Thiết</t>
  </si>
  <si>
    <t>102 Phan Thiết, P. Phan Thiết, Thành phố Tuyên Quang, T. Tuyên Quang Việt Nam</t>
  </si>
  <si>
    <t>4598</t>
  </si>
  <si>
    <t>WM+ HPG 1171 Trần Nhân Tông</t>
  </si>
  <si>
    <t>Số 1171 đường Trần Nhân Tông, tổ dân phố Nam Sơn 2, Phường Văn Đẩu, Quận Kiến An, TP. Hải Phòng Việt Nam</t>
  </si>
  <si>
    <t>4599</t>
  </si>
  <si>
    <t>WM+ NAN 259 Hà Huy Tập</t>
  </si>
  <si>
    <t>259 Hà Huy Tập, Phường Hà Huy Tập, Thành phố Vinh, T. Nghệ An Việt Nam</t>
  </si>
  <si>
    <t>4600</t>
  </si>
  <si>
    <t>WM+ QNH 683 Nguyễn Văn Cừ</t>
  </si>
  <si>
    <t>Số 683 Nguyễn Văn Cừ, Phường Hồng Hà, Thành phố Hạ Long, T. Quảng Ninh Việt Nam</t>
  </si>
  <si>
    <t>4601</t>
  </si>
  <si>
    <t>WM+ HNI Kiot 103 - CT13 KĐTM Tứ Hiệ</t>
  </si>
  <si>
    <t>Kiot 103, tầng 1 tòa nhà CT13 Khu Đô thị mới Tứ Hiệp, xã Tứ Hiệp, Huyện Thanh Trì, TP. Hà Nội Việt Nam</t>
  </si>
  <si>
    <t>4603</t>
  </si>
  <si>
    <t>WM+ HNI 31 Tùng Thiện</t>
  </si>
  <si>
    <t>Số 31 phố Tùng Thiện, Phường Trung Sơn Trầm, Thị xã Sơn Tây, TP. Hà Nội Việt Nam</t>
  </si>
  <si>
    <t>4604</t>
  </si>
  <si>
    <t>WM+ NAN 70B Hà Huy Tập</t>
  </si>
  <si>
    <t>70B Hà Huy Tập, P.Hà Huy Tập, Thành phố Vinh, T. Nghệ An Việt Nam</t>
  </si>
  <si>
    <t>4605</t>
  </si>
  <si>
    <t>WM+ NAN 70 Nguyễn Trãi</t>
  </si>
  <si>
    <t>70 Nguyễn Trãi, Phường Hà Huy Tập, Thành phố Vinh, T. Nghệ An Việt Nam</t>
  </si>
  <si>
    <t>4611</t>
  </si>
  <si>
    <t>WM+ HNI 72/56 Thạch Cầu</t>
  </si>
  <si>
    <t>Số 72 ngõ 56 Thạch Cầu, Quận Long Biên, TP. Hà Nội Việt Nam</t>
  </si>
  <si>
    <t>4626</t>
  </si>
  <si>
    <t>WM+ HYN 2111 Chung cư PH</t>
  </si>
  <si>
    <t>2111 tầng 1 Dự án nhà ở thu nhập thấp, đường Lê Thanh Nghị, Phường Hiến Nam, Thành phố Hưng Yên, T. Hưng Yên Việt Nam</t>
  </si>
  <si>
    <t>4627</t>
  </si>
  <si>
    <t>WM+ NAN 23 Lý Thường Kiệt</t>
  </si>
  <si>
    <t>23 Lý Thường Kiệt, Phường Lê Lợi, Thành phố Vinh, T. Nghệ An Việt Nam</t>
  </si>
  <si>
    <t>4631</t>
  </si>
  <si>
    <t>WM+ NAN 101A-202A CC Trường Thi</t>
  </si>
  <si>
    <t>Kios TM1.01A - TM2.02A CC Trường Thi -, 58 Võ Thị Sáu - P.Trường Thi, Thành phố Vinh, T. Nghệ An Việt Nam</t>
  </si>
  <si>
    <t>4632</t>
  </si>
  <si>
    <t>119 Phan Chu Trinh -, Phường Đội Cung, Thành phố Vinh, T. Nghệ An Việt Nam</t>
  </si>
  <si>
    <t>4633</t>
  </si>
  <si>
    <t>WM+ NAN 67 Nguyễn Phong Sắc</t>
  </si>
  <si>
    <t>Số 67 đường Nguyễn Phong Sắc, Phường Hưng Dũng, Thành phố Vinh, T. Nghệ An Việt Nam</t>
  </si>
  <si>
    <t>4634</t>
  </si>
  <si>
    <t>WM+ HNI 47 QL2 Phù Lỗ</t>
  </si>
  <si>
    <t>47 Quốc Lộ 2, khối 2, Phù Lỗ, Sóc Sơn, TP. Hà Nội Việt Nam</t>
  </si>
  <si>
    <t>4637</t>
  </si>
  <si>
    <t>79B Đốc Thiết - Phường Hưng Bình, Thành phố Vinh, T. Nghệ An Việt Nam</t>
  </si>
  <si>
    <t>4638</t>
  </si>
  <si>
    <t>16 Lê Lợi, Phường Hưng Bình, Thành phố Vinh, T. Nghệ An Việt Nam</t>
  </si>
  <si>
    <t>4639</t>
  </si>
  <si>
    <t>Số 50 Phố Tía, Xã Tô Hiệu, Huyện Thường Tín, TP. Hà Nội Việt Nam</t>
  </si>
  <si>
    <t>4640</t>
  </si>
  <si>
    <t>WM+ HNI Số 1 Yên Phúc</t>
  </si>
  <si>
    <t>Số 1 Yên Phúc, Phường Phúc La, Quận Hà Đông, TP. Hà Nội Việt Nam</t>
  </si>
  <si>
    <t>4641</t>
  </si>
  <si>
    <t>WM+ HNI Chân cầu Tự Khoát</t>
  </si>
  <si>
    <t>Chân cầu Tự Khoát, Xã Ngũ Hiệp, Huyện Thanh Trì, TP. Hà Nội Việt Nam</t>
  </si>
  <si>
    <t>4642</t>
  </si>
  <si>
    <t>WM+ BNH 28 TT Chờ</t>
  </si>
  <si>
    <t>Số 28 Thị trấn Chờ, Huyện Yên Phong, T. Bắc Ninh Việt Nam</t>
  </si>
  <si>
    <t>4643</t>
  </si>
  <si>
    <t>WM+ HPG 4 Cát Cụt</t>
  </si>
  <si>
    <t>Số 4 Cát Cụt, Phường An Biên, Quận Lê Chân, TP. Hải Phòng Việt Nam</t>
  </si>
  <si>
    <t>4644</t>
  </si>
  <si>
    <t>WM+ HPG 25 Điện Biên Phủ</t>
  </si>
  <si>
    <t>25 Điện Biên Phủ, Phường Máy Tơ, Quận Ngô Quyền, TP. Hải Phòng Việt Nam</t>
  </si>
  <si>
    <t>4645</t>
  </si>
  <si>
    <t>WM+ NBH 106 Đường 30/6</t>
  </si>
  <si>
    <t>Số 106 Đường 30/6, Phường Nam Thành, Thành phố Ninh Bình, T. Ninh Bình Việt Nam</t>
  </si>
  <si>
    <t>4646</t>
  </si>
  <si>
    <t>WM+ HPG 82 Trung Lăng</t>
  </si>
  <si>
    <t>Số 82 Trung Lăng, Thị trấn Tiên Lãng, Huyện Tiên Lãng, TP. Hải Phòng Việt Nam</t>
  </si>
  <si>
    <t>4650</t>
  </si>
  <si>
    <t>WM+ VPC 301 Trường Chinh</t>
  </si>
  <si>
    <t>301 Trường Chinh, Phường Đồng Xuân, Thành phố Phúc Yên, T. Vĩnh Phúc Việt Nam</t>
  </si>
  <si>
    <t>4654</t>
  </si>
  <si>
    <t>WM+ NAN 57A Nguyễn Thị Minh Khai</t>
  </si>
  <si>
    <t>57A Nguyễn Thị Minh Khai, Phường Lê Mao, Thành phố Vinh, T. Nghệ An Việt Nam</t>
  </si>
  <si>
    <t>4656</t>
  </si>
  <si>
    <t>WM+ HNI 126A Thanh Vị</t>
  </si>
  <si>
    <t>126A Thanh Vị, Phường Sơn Lộc, Thị xã Sơn Tây, TP. Hà Nội Việt Nam</t>
  </si>
  <si>
    <t>4657</t>
  </si>
  <si>
    <t>WM+ VPC 9 Hai Bà Trưng</t>
  </si>
  <si>
    <t>9 Hai Bà Trưng, Phường Hùng Vương, Thành phố Phúc Yên, T. Vĩnh Phúc Việt Nam</t>
  </si>
  <si>
    <t>4664</t>
  </si>
  <si>
    <t>WM+ NBH 126 Xuân Thành</t>
  </si>
  <si>
    <t>126 Xuân Thành, Phường Tân Thành, Thành phố Ninh Bình, T. Ninh Bình Việt Nam</t>
  </si>
  <si>
    <t>4666</t>
  </si>
  <si>
    <t>WM+ TQG 11 - 13 Trường Chinh</t>
  </si>
  <si>
    <t>Số 11 - 13 đường Trường Chinh, tổ 23, Phường Phan Thiết, Thành phố Tuyên Quang, T. Tuyên Quang Việt Nam</t>
  </si>
  <si>
    <t>4667</t>
  </si>
  <si>
    <t>WM+ HNI Ô 5 CT1 KĐT Gelexia</t>
  </si>
  <si>
    <t>DVTM-05, tầng 1+2 tòa nhà CT1 Khu đô thị Gelexia Riverside, 885 Tam Trinh, Phường Yên Sở, Quận Hoàng Mai, TP. Hà Nội Việt Nam</t>
  </si>
  <si>
    <t>4668</t>
  </si>
  <si>
    <t>WM+ BGG 545 Lê Lợi</t>
  </si>
  <si>
    <t>Số 545 Lê Lợi, Phường Hoàng Văn Thụ, Thành phố Bắc Giang, T. Bắc Giang Việt Nam</t>
  </si>
  <si>
    <t>4669</t>
  </si>
  <si>
    <t>WM+ BGG 713 Lê Lợi</t>
  </si>
  <si>
    <t>Số 713 đường Lê Lợi, Phường Dĩnh Kế, Thành phố Bắc Giang, T. Bắc Giang Việt Nam</t>
  </si>
  <si>
    <t>4670</t>
  </si>
  <si>
    <t>WM+ QNH 507 - 509 Lý Thường Kiệt</t>
  </si>
  <si>
    <t>Số 507 - 509 Lý Thường Kiệt, Phường Cửa Ông, Thành phố Cẩm Phả, T. Quảng Ninh Việt Nam</t>
  </si>
  <si>
    <t>4671</t>
  </si>
  <si>
    <t>WM+ HNI Thôn Tương Chúc</t>
  </si>
  <si>
    <t>Thôn Tương Chúc (Chân cầu Tự Khoát), Xã Ngũ Hiệp, Huyện Thanh Trì, TP. Hà Nội Việt Nam</t>
  </si>
  <si>
    <t>4680</t>
  </si>
  <si>
    <t>WM+ HNI Xóm 5 Văn Phú</t>
  </si>
  <si>
    <t>Xóm 5, xã Văn Phú, Huyện Thường Tín, TP. Hà Nội Việt Nam</t>
  </si>
  <si>
    <t>4681</t>
  </si>
  <si>
    <t>WM+ HNI Thôn Xâm Dương 3</t>
  </si>
  <si>
    <t>Thôn Xâm Dương 3, xã Ninh Sở, Huyện Thường Tín, TP. Hà Nội Việt Nam</t>
  </si>
  <si>
    <t>4682</t>
  </si>
  <si>
    <t>ố 146 Phai Vệ, Phường Đông Kinh, Thành phố Lạng Sơn, T. Lạng Sơn Việt Nam</t>
  </si>
  <si>
    <t>4690</t>
  </si>
  <si>
    <t>WM+ TQG Đức Hùng Plaza</t>
  </si>
  <si>
    <t>Trung tâm Thương mại, dịch vụ tổng, Thôn Trung Việt 2, xã An Tường, Thành phố Tuyên Quang, T. Tuyên Quang Việt Nam</t>
  </si>
  <si>
    <t>4691</t>
  </si>
  <si>
    <t>WM+ TNN 572 Cách Mạng Tháng Tám</t>
  </si>
  <si>
    <t>572 Cách Mạng Tháng Tám, Phường Gia Sàng, Thành phố Thái Nguyên, T. Thái Nguyên Việt Nam</t>
  </si>
  <si>
    <t>4692</t>
  </si>
  <si>
    <t>WM+ QNH Ô 6 T1 KA1 Newlife_KĐTM Cái</t>
  </si>
  <si>
    <t>Ô số 6,tầng 1, khu A1, tòa A, chung cư Newlife, thuộc Khu đô thị mới Cái Dăm, Phường Bãi Cháy, Tp Hạ Long, T. Quảng Ninh Việt Nam</t>
  </si>
  <si>
    <t>4697</t>
  </si>
  <si>
    <t>WM+ LSN 54 Lý Thường Kiệt</t>
  </si>
  <si>
    <t>Số 54 đường Lý Thường Kiệt, Phường Vĩnh Trại, Thành phố Lạng Sơn, T. Lạng Sơn Việt Nam</t>
  </si>
  <si>
    <t>4698</t>
  </si>
  <si>
    <t>WM+ LSN 02 Trần Phú</t>
  </si>
  <si>
    <t>Số 02 Trần Phú, Phường Hoàng Văn Thụ, Thành phố Lạng Sơn, T. Lạng Sơn Việt Nam</t>
  </si>
  <si>
    <t>4699</t>
  </si>
  <si>
    <t>WM+ HPG 37 Minh Đức</t>
  </si>
  <si>
    <t>Số 37 Minh Đức, Khu II, Thị trấn Tiên Lãng, Huyện Tiên Lãng, TP. Hải Phòng Việt Nam</t>
  </si>
  <si>
    <t>4702</t>
  </si>
  <si>
    <t>WM+ NBH 93 Đồng Giao</t>
  </si>
  <si>
    <t>Số 93 Đồng Giao, Phường Bắc Sơn, Thành phố Tam Điệp, T. Ninh Bình Việt Nam</t>
  </si>
  <si>
    <t>4703</t>
  </si>
  <si>
    <t>WM+ BGG 36 - 38 Nguyễn Nghĩa Lập</t>
  </si>
  <si>
    <t>Số 36 - 38 Nguyễn Nghĩa Lập, Phường Thọ Xương, Thành phố Bắc Giang, T. Bắc Giang Việt Nam</t>
  </si>
  <si>
    <t>4707</t>
  </si>
  <si>
    <t>WM+ BGG 273 Nguyễn Văn Cừ</t>
  </si>
  <si>
    <t>Số 273 Nguyễn Văn Cừ, Phường Hoàng Văn Thụ, Thành phố Bắc Giang, T. Bắc Giang Việt Nam</t>
  </si>
  <si>
    <t>4709</t>
  </si>
  <si>
    <t>Số 27 Nguyễn Du, Phường Vĩnh Trại, Thành phố Lạng Sơn, T. Lạng Sơn Việt Nam</t>
  </si>
  <si>
    <t>4710</t>
  </si>
  <si>
    <t>WM+ BGG 30 Nguyễn Thị Lưu</t>
  </si>
  <si>
    <t>Số 30, đường Nguyễn Thị Lưu, Phường Trần Phú, Thành phố Bắc Giang, T. Bắc Giang Việt Nam</t>
  </si>
  <si>
    <t>4711</t>
  </si>
  <si>
    <t>WM+ TQG Thôn 1 Đội Cấn</t>
  </si>
  <si>
    <t>Thôn 1, xã Đội Cấn, Thành phố Tuyên Quang, T. Tuyên Quang Việt Nam</t>
  </si>
  <si>
    <t>4712</t>
  </si>
  <si>
    <t>WM+ HYN Thôn Trai Trang</t>
  </si>
  <si>
    <t>Thôn Trai Trang, Thị trấn Yên Mỹ, Huyện Yên Mỹ T. Hưng Yên Việt Nam</t>
  </si>
  <si>
    <t>4713</t>
  </si>
  <si>
    <t>WM+ HYN Thôn Yên Lịch</t>
  </si>
  <si>
    <t>Thôn Yên Lịch, Xã Dân Tiến, Huyện Khoái Châu, T. Hưng Yên Việt Nam</t>
  </si>
  <si>
    <t>4714</t>
  </si>
  <si>
    <t>WM+ TNN 488 Phan Đình Phùng</t>
  </si>
  <si>
    <t>488 Phan Đình Phùng, Phường Đồng Quang, Thành phố Thái Nguyên, T. Thái Nguyên Việt Nam</t>
  </si>
  <si>
    <t>4720</t>
  </si>
  <si>
    <t>WM+ NAN 15 ngõ 77 Nguyễn Thái Học</t>
  </si>
  <si>
    <t>Số 15 ngõ 77 Nguyễn Thái Học, Phường Lê Lợi, Thành phố Vinh, T. Nghệ An Việt Nam</t>
  </si>
  <si>
    <t>4724</t>
  </si>
  <si>
    <t>WM+ HYN 38 Phố Dầu</t>
  </si>
  <si>
    <t>38 Phố Dầu, Xã Tân Quang, Huyện Văn Lâm, T. Hưng Yên Việt Nam</t>
  </si>
  <si>
    <t>4725</t>
  </si>
  <si>
    <t>WM+ NDH 186 Hùng Vương</t>
  </si>
  <si>
    <t>186 Hùng Vương, Phường Vị Xuyên, Thành phố Nam Định, T. Nam Định Việt Nam</t>
  </si>
  <si>
    <t>4736</t>
  </si>
  <si>
    <t>WM+ HPG 680 Trần Tất Văn</t>
  </si>
  <si>
    <t>680 Trần Tất Văn, Tổ Dân Phố Hạnh Phúc 2, Phường Tràng Minh, Quận Kiến An, TP. Hải Phòng Việt Nam</t>
  </si>
  <si>
    <t>4737</t>
  </si>
  <si>
    <t>WM+ HYN 71 Chợ Đường Cái</t>
  </si>
  <si>
    <t>71 Chợ Đường Cái, Thị Trung, Đình Dù, Văn Lâm, T. Hưng Yên Việt Nam</t>
  </si>
  <si>
    <t>4738</t>
  </si>
  <si>
    <t>WM+ NBH 832 Quang Trung</t>
  </si>
  <si>
    <t>832 Quang Trung, Phường Tây Sơn, Thành phố Tam Điệp, T. Ninh Bình Việt Nam</t>
  </si>
  <si>
    <t>4741</t>
  </si>
  <si>
    <t>WM+ NDH 308 Tổ 13 Đường Hoàng Văn T</t>
  </si>
  <si>
    <t>308 Tổ 13 Đường Hoàng Văn Thụ, Phường Quang Trung, Thành phố Nam Định, T. Nam Định Việt Nam</t>
  </si>
  <si>
    <t>4746</t>
  </si>
  <si>
    <t>WM+ BNH Thôn Đông Yên, Xã Đông Phon</t>
  </si>
  <si>
    <t>Thôn Đông Yên, xã Đông Phong, Huyện Yên Phong, T. Bắc Ninh Việt Nam</t>
  </si>
  <si>
    <t>4747</t>
  </si>
  <si>
    <t>WM+ LSN 584B Trần Đăng Ninh</t>
  </si>
  <si>
    <t>Số 584B Trần Đăng Ninh, thôn Vĩ Thượng, xã Hoàng Đồng, Thành phố Lạng Sơn, T. Lạng Sơn Việt Nam</t>
  </si>
  <si>
    <t>4750</t>
  </si>
  <si>
    <t>WM+ HNI Đội 2 Xã Tự Nhiên</t>
  </si>
  <si>
    <t>Đội 2, Xã Tự Nhiên, Huyện Thường Tín, TP. Hà Nội Việt Nam</t>
  </si>
  <si>
    <t>4758</t>
  </si>
  <si>
    <t>WM+ NDH 147 Nguyễn Công Trứ</t>
  </si>
  <si>
    <t>147 Nguyễn Công Trứ, Khu Đô Thị mới Hòa Vượng, Xã Lộc Hòa, Thành phố Nam Định, T. Nam Định Việt Nam</t>
  </si>
  <si>
    <t>4759</t>
  </si>
  <si>
    <t>WM+ NDH 577 Trường Chinh</t>
  </si>
  <si>
    <t>577 Trường Chinh, Phường Hạ Long, Thành phố Nam Định, T. Nam Định Việt Nam</t>
  </si>
  <si>
    <t>4764</t>
  </si>
  <si>
    <t>WM+ HNI Số 7 Xóm Đinh Tiên Hoàng, H</t>
  </si>
  <si>
    <t>Số 7 Xóm Đinh Tiên Hoàng, Xã Hà Hồi, Huyện Thường Tín, TP. Hà Nội Việt Nam</t>
  </si>
  <si>
    <t>4765</t>
  </si>
  <si>
    <t>WM+ HPG 69B Đông Thái</t>
  </si>
  <si>
    <t>69B Đông Thái, TT. Vĩnh Bảo, Huyện Vĩnh Bảo, TP. Hải Phòng Việt Nam</t>
  </si>
  <si>
    <t>4766</t>
  </si>
  <si>
    <t>WM+ HNI 78 Cầu Trì</t>
  </si>
  <si>
    <t>78 Cầu Trì, Phường Sơn Lộc, Thị xã Sơn Tây, TP. Hà Nội Việt Nam</t>
  </si>
  <si>
    <t>4767</t>
  </si>
  <si>
    <t>WM+ HNI 31-LK41 KĐT Vân Canh</t>
  </si>
  <si>
    <t>31-LK41 Khu Đô Thị Vân Canh, Xã Vân Canh, Huyện Hoài Đức, TP. Hà Nội Việt Nam</t>
  </si>
  <si>
    <t>4768</t>
  </si>
  <si>
    <t>WM+ TNN 386 Đường Ga</t>
  </si>
  <si>
    <t>386 Đường Ga, Phường Quang Trung, Thành phố Thái Nguyên, T. Thái Nguyên Việt Nam</t>
  </si>
  <si>
    <t>4770</t>
  </si>
  <si>
    <t>WM+ NBH 278 Hải Thượng Lãn Ông</t>
  </si>
  <si>
    <t>278 Hải Thượng Lãn Ông, Phường Phúc Thành, Thành phố Ninh Bình, T. Ninh Bình Việt Nam</t>
  </si>
  <si>
    <t>4771</t>
  </si>
  <si>
    <t>WM+ BGG 61 Trần Nguyên Hãn</t>
  </si>
  <si>
    <t>Số 61 Trần Nguyên Hãn, Phường Trần Nguyên Hãn, Thành phố Bắc Giang, T. Bắc Giang Việt Nam</t>
  </si>
  <si>
    <t>4776</t>
  </si>
  <si>
    <t>WM+ HNI 28 Hòe Thị</t>
  </si>
  <si>
    <t>28 Hòe Thị, Phường Phương Canh, Quận Nam Từ Liêm, TP. Hà Nội Việt Nam</t>
  </si>
  <si>
    <t>4777</t>
  </si>
  <si>
    <t>WM+ HNI 79 Ngọc Đại</t>
  </si>
  <si>
    <t>79 Ngọc Đại, Phường Đại Mỗ, Quận Nam Từ Liêm, TP. Hà Nội Việt Nam</t>
  </si>
  <si>
    <t>4780</t>
  </si>
  <si>
    <t>WM+ NDH 300 Giải Phóng</t>
  </si>
  <si>
    <t>300 Giải Phóng, Phúc Trọng, Xã Mỹ Xá, Thành phố Nam Định, T. Nam Định Việt Nam</t>
  </si>
  <si>
    <t>4781</t>
  </si>
  <si>
    <t>WM+ HNI 314 Trần Cung</t>
  </si>
  <si>
    <t>314 Trần Cung, Phường Cổ Nhuế 1, Quận Bắc Từ Liêm, TP. Hà Nội Việt Nam</t>
  </si>
  <si>
    <t>4792</t>
  </si>
  <si>
    <t>Số 61, đường Bến Bắc, Phường Tam, Thanh, Thành phố Lạng Sơn, T. Lạng Sơn Việt Nam</t>
  </si>
  <si>
    <t>4794</t>
  </si>
  <si>
    <t>WM+ HPG MĐ 352_Xóm 7 X.Thiên Hương</t>
  </si>
  <si>
    <t>Mặt đường 352 - Xóm 7, Xã Thiên Hương, Huyện Thủy Nguyên, TP. Hải Phòng Việt Nam</t>
  </si>
  <si>
    <t>4795</t>
  </si>
  <si>
    <t>WM+ HPG Thôn Đình X.Trung Hà</t>
  </si>
  <si>
    <t>Thôn Đình, Xã Trung Hà, Huyện Thủy Nguyên, TP. Hải Phòng Việt Nam</t>
  </si>
  <si>
    <t>4796</t>
  </si>
  <si>
    <t>WM+ BNH Thôn Quan Độ X.Văn Môn</t>
  </si>
  <si>
    <t>Thôn Quan Độ, xã Văn Môn, Huyện, Huyện Yên Phong, T. Bắc Ninh Việt Nam</t>
  </si>
  <si>
    <t>4798</t>
  </si>
  <si>
    <t>WM+ TQG 10 Lê Duẩn P.Phan Thiết</t>
  </si>
  <si>
    <t>Số 10 đường Lê Duẩn, Phường Phan, Thiết, Thành phố Tuyên Quang, T. Tuyên Quang Việt Nam</t>
  </si>
  <si>
    <t>4799</t>
  </si>
  <si>
    <t>WM+ HNI T1-Tòa Kinh Đô, 93 Lò Đúc</t>
  </si>
  <si>
    <t>Tầng 1 Tòa nhà Kinh Đô, số 93 Lò, Đúc, Phường Phạm Đình Hổ, Quận Hai Bà Trưng, TP. Hà Nội Việt Nam</t>
  </si>
  <si>
    <t>4800</t>
  </si>
  <si>
    <t>WM+ HNI 344 Ngọc Thụy</t>
  </si>
  <si>
    <t>344 Ngọc Thụy, Phường Ngọc Thụy, Quận Long Biên, TP. Hà Nội Việt Nam</t>
  </si>
  <si>
    <t>4801</t>
  </si>
  <si>
    <t>WM+ HNI Số 2 ngõ 239 Trâu Quỳ_An Đà</t>
  </si>
  <si>
    <t>Số 2 ngõ 239 đường Trâu Quỳ, TDP, An Đào, thị trấn Trâu Quỳ, Huyện Gia Lâm, TP. Hà Nội Việt Nam</t>
  </si>
  <si>
    <t>4809</t>
  </si>
  <si>
    <t>WM+ VPC 162 Trưng Trắc</t>
  </si>
  <si>
    <t>162 Trưng Trắc, Phường Trưng, Trắc, Thành phố Phúc Yên, T. Vĩnh Phúc Việt Nam</t>
  </si>
  <si>
    <t>4810</t>
  </si>
  <si>
    <t>WM+ HNI 106 Nguyễn Hiền</t>
  </si>
  <si>
    <t>106 Nguyễn Hiền, Phường Bách Khoa, Quận Hai Bà Trưng, TP. Hà Nội Việt Nam</t>
  </si>
  <si>
    <t>4814</t>
  </si>
  <si>
    <t>WM+ HPG 188 phố 3.2 TT Vĩnh Bảo</t>
  </si>
  <si>
    <t>188 phố 3.2 TT. Vĩnh Bảo, Huyện Vĩnh Bảo, TP. Hải Phòng Việt Nam</t>
  </si>
  <si>
    <t>4815</t>
  </si>
  <si>
    <t>WM+ TQG 288 đường 17/8</t>
  </si>
  <si>
    <t>288 đường 17/8, Phường Phan Thiết, Thành phố Tuyên Quang, T. Tuyên Quang Việt Nam</t>
  </si>
  <si>
    <t>4816</t>
  </si>
  <si>
    <t>WM+ HNI 04-CT1 Bộ Công An</t>
  </si>
  <si>
    <t>Lô 04, Tầng 1, nhà chung cư số CT1 (CT1-04.1) thuộc, Dự án nhà ở XH cho CBCS Bộ Công An, phường Cổ Nhuế 2, Quận Bắc Từ Liêm, TP. Hà Nội Việt Nam</t>
  </si>
  <si>
    <t>4817</t>
  </si>
  <si>
    <t>WM+ HPG 129-131 Chợ Hàng</t>
  </si>
  <si>
    <t>129 - 131 Chợ Hàng, Phường Dư Hàng Kênh, Quận Lê Chân, Quận Lê Chân, TP. Hải Phòng Việt Nam</t>
  </si>
  <si>
    <t>4826</t>
  </si>
  <si>
    <t>WM+ HNI 98 Miếu Thờ</t>
  </si>
  <si>
    <t>98 Miếu Thờ, Xã Tiên Dược, Huyện Sóc Sơn, TP. Hà Nội Việt Nam</t>
  </si>
  <si>
    <t>4828</t>
  </si>
  <si>
    <t>WM+ TNN 815 Dương Tự Minh</t>
  </si>
  <si>
    <t>815 Dương Tự Minh, Phường Quang Vinh, Thành phố Thái Nguyên, T. Thái Nguyên Việt Nam</t>
  </si>
  <si>
    <t>4829</t>
  </si>
  <si>
    <t>WM+ THA 69 Bà Triệu, Sầm Sơn</t>
  </si>
  <si>
    <t>69 Bà Triệu, Phường Bắc Sơn, Thành phố Sầm Sơn, T. Thanh Hóa Việt Nam</t>
  </si>
  <si>
    <t>4830</t>
  </si>
  <si>
    <t>WM+ NBH 73 Ngô Thì Nhậm</t>
  </si>
  <si>
    <t>73 Ngô Thì Nhậm, Phường Trung Sơn, Thành phố Tam Điệp, T. Ninh Bình Việt Nam</t>
  </si>
  <si>
    <t>4831</t>
  </si>
  <si>
    <t>WM+ HNI B12 Chợ Phú Cường</t>
  </si>
  <si>
    <t>B12 Chợ Phú Cường, Xã Phú Cường, Huyện Sóc Sơn, TP. Hà Nội Việt Nam</t>
  </si>
  <si>
    <t>4832</t>
  </si>
  <si>
    <t>WM+ HNI Khu 10 Chợ Phố Hạ</t>
  </si>
  <si>
    <t>Khu 10 Chợ Phố Hạ, Xã Mê Linh, Huyện Mê Linh, TP. Hà Nội Việt Nam</t>
  </si>
  <si>
    <t>4833</t>
  </si>
  <si>
    <t>WM+ NDH 156 Trần Thái Tông</t>
  </si>
  <si>
    <t>156 Trần Thái Tông, Phường Thống Nhất, Thành phố Nam Định, T. Nam Định Việt Nam</t>
  </si>
  <si>
    <t>4834</t>
  </si>
  <si>
    <t>WM+ NDH 114 Đặng Xuân Bảng</t>
  </si>
  <si>
    <t>114 Đặng Xuân Bảng, Phường Cửa Nam, Thành phố Nam Định, T. Nam Định Việt Nam</t>
  </si>
  <si>
    <t>4839</t>
  </si>
  <si>
    <t>WM+ HPG 149 Phố Cấm</t>
  </si>
  <si>
    <t>149 Phố Cấm, Phường Gia Viên, Quận Ngô Quyền, TP. Hải Phòng Việt Nam</t>
  </si>
  <si>
    <t>4840</t>
  </si>
  <si>
    <t>WM+ HPG 60H Kiều Sơn</t>
  </si>
  <si>
    <t>60H Kiều Sơn, Phường Đằng Lâm, Quận Hải An, TP. Hải Phòng Việt Nam</t>
  </si>
  <si>
    <t>4841</t>
  </si>
  <si>
    <t>WM+ LSN Số 6 Trần Hưng Đạo</t>
  </si>
  <si>
    <t>Số 6, đường Trần hưng Đạo, Khối Cửa Bắc, Phường Chi Lăng, Thành phố Lạng Sơn, T. Lạng Sơn Việt Nam</t>
  </si>
  <si>
    <t>4842</t>
  </si>
  <si>
    <t>WM+ QNH 125 Nguyễn Văn Trỗi</t>
  </si>
  <si>
    <t>125 Nguyễn Văn Trỗi, Phường Cẩm Thủy, Thành phố Cẩm Phả, T. Quảng Ninh Việt Nam</t>
  </si>
  <si>
    <t>4843</t>
  </si>
  <si>
    <t>WM+ BGG 76+78 Đường Lê Lợi</t>
  </si>
  <si>
    <t>76+78 đường Lê Lợi, Phường Lê Lợi, Thành phố Bắc Giang, T. Bắc Giang Việt Nam</t>
  </si>
  <si>
    <t>4847</t>
  </si>
  <si>
    <t>WM+ THA 321 Ngô Quyền</t>
  </si>
  <si>
    <t>321 Ngô Quyền, Phường Trung Sơn, Thành phố Sầm Sơn, T. Thanh Hóa Việt Nam</t>
  </si>
  <si>
    <t>4848</t>
  </si>
  <si>
    <t>WM+ TNN 91 Lương Ngọc Quyến</t>
  </si>
  <si>
    <t>91 Lương Ngọc Quyến, Phường Hoàng Văn Thụ, Thành phố Thái Nguyên, T. Thái Nguyên Việt Nam</t>
  </si>
  <si>
    <t>4851</t>
  </si>
  <si>
    <t>WM+ TNN 214 Quang Trung</t>
  </si>
  <si>
    <t>214 Quang Trung, Phường Quang Trung, Thành phố Thái Nguyên, T. Thái Nguyên Việt Nam</t>
  </si>
  <si>
    <t>4853</t>
  </si>
  <si>
    <t>WM+ HYN Thôn Liêu Trung</t>
  </si>
  <si>
    <t>Thôn Liêu Trung, Xã Liêu Xá, Huyện Yên Mỹ, T. Hưng Yên Việt Nam</t>
  </si>
  <si>
    <t>4855</t>
  </si>
  <si>
    <t>WM+ HYN 265 Điện Biên 2</t>
  </si>
  <si>
    <t>Số 265 Đường Điện Biên 2, Phường Quang Trung, Thành phố Hưng Yên, T. Hưng Yên Việt Nam</t>
  </si>
  <si>
    <t>4863</t>
  </si>
  <si>
    <t>WM+ HNI Khu A_KĐDV Do Lộ</t>
  </si>
  <si>
    <t>Khu A - Khu đất dịch vụ Do Lộ, Yên Nghĩa, Quận Hà Đông, TP. Hà Nội Việt Nam</t>
  </si>
  <si>
    <t>4864</t>
  </si>
  <si>
    <t>WM+ HYN 138-140 Văn Giang</t>
  </si>
  <si>
    <t>138-140 Thị Trấn Văn Giang, Huyện Văn Giang, T. Hưng Yên Việt Nam</t>
  </si>
  <si>
    <t>4865</t>
  </si>
  <si>
    <t>WM+ HYN Chợ Đầu</t>
  </si>
  <si>
    <t>Phố Chợ Đầu, xã Trung Nghĩa, Thành phố Hưng Yên, T. Hưng Yên Việt Nam</t>
  </si>
  <si>
    <t>4870</t>
  </si>
  <si>
    <t>WM+ HNI 14 Trần Quý Cáp</t>
  </si>
  <si>
    <t>14 Trần Quý Cáp, Phường Văn Miếu, Quận Đống Đa, TP. Hà Nội Việt Nam</t>
  </si>
  <si>
    <t>4873</t>
  </si>
  <si>
    <t>WM+ QBH 93 Tố Hữu</t>
  </si>
  <si>
    <t>93 Tố Hữu, Phường Nam Lý, Thành phố Đồng Hới, T. Quảng Bình Việt Nam</t>
  </si>
  <si>
    <t>4874</t>
  </si>
  <si>
    <t>WM+ NAN 307 Nguyễn Văn Cừ</t>
  </si>
  <si>
    <t>307 Nguyễn Văn Cừ, Phường Hưng Bình, Thành phố Vinh, T. Nghệ An Việt Nam</t>
  </si>
  <si>
    <t>4877</t>
  </si>
  <si>
    <t>WM+ BGG 97 Đào Sư Tích</t>
  </si>
  <si>
    <t>97 Đào Sư Tích, Phường Hoàng Văn Thụ, Thành phố Bắc Giang, T. Bắc Giang Việt Nam</t>
  </si>
  <si>
    <t>4887</t>
  </si>
  <si>
    <t>WM+ HNI Cụm 6 TT Phúc Thọ</t>
  </si>
  <si>
    <t>Cụm 6 Thị trấn Phúc Thọ, Huyện Phúc Thọ, TP. Hà Nội Việt Nam</t>
  </si>
  <si>
    <t>4890</t>
  </si>
  <si>
    <t>WM+ THA 410 Bà Triệu</t>
  </si>
  <si>
    <t>410 Bà Triệu, Phường Đông Thọ, Thành phố Thanh Hóa, T. Thanh Hóa Việt Nam</t>
  </si>
  <si>
    <t>4897</t>
  </si>
  <si>
    <t>WM+ TNN 111 Phan Đình Phùng</t>
  </si>
  <si>
    <t>111 Phan Đình Phùng, Phường Túc Duyên, Thành phố Thái Nguyên, T. Thái Nguyên Việt Nam</t>
  </si>
  <si>
    <t>4903</t>
  </si>
  <si>
    <t>WM+ YBI 142 Đinh Tiên Hoàng</t>
  </si>
  <si>
    <t>Số 142 Đinh Tiên Hoàng, Phường Đồng Tâm, Thành phố Yên Bái, T. Yên Bái Việt Nam</t>
  </si>
  <si>
    <t>4905</t>
  </si>
  <si>
    <t>WM+ LSN 509 Bà Triệu</t>
  </si>
  <si>
    <t>Số 509, Đường Bà Triệu, Khối 9, Phường Đông Kinh, Thành phố Lạng Sơn, T. Lạng Sơn Việt Nam</t>
  </si>
  <si>
    <t>4912</t>
  </si>
  <si>
    <t>WM+ HNI 186+188 Tư Đình</t>
  </si>
  <si>
    <t>186 và 188 Tư Đình, Phường Long Biên, Quận Long Biên, TP. Hà Nội Việt Nam</t>
  </si>
  <si>
    <t>4914</t>
  </si>
  <si>
    <t>WM+ HYN Thôn Như Phượng Thượng</t>
  </si>
  <si>
    <t>Thôn Như Phượng Thượng, Xã Long Hưng, Huyện Văn Giang, T. Hưng Yên Việt Nam</t>
  </si>
  <si>
    <t>4916</t>
  </si>
  <si>
    <t>WM+ YBI 12 Lê Hồng Phong</t>
  </si>
  <si>
    <t>Số 12 Đường Lê Hồng Phong, Phường Nguyễn Thái Học, Thành phố Yên Bái, T. Yên Bái Việt Nam</t>
  </si>
  <si>
    <t>4918</t>
  </si>
  <si>
    <t>WM+ HNI SH6B+SH7B-HH3 Eco Lakeview</t>
  </si>
  <si>
    <t>SH6B+SH7B, Tầng 1 Tòa nhà HH3 Eco Lakeview, Số 32 Phố Đại Từ, Phường Đại Kim, Quận Hoàng Mai, TP. Hà Nội Việt Nam</t>
  </si>
  <si>
    <t>4920</t>
  </si>
  <si>
    <t>WM+ NAN 99 Hermann Gmeiner</t>
  </si>
  <si>
    <t>99 Hermann Gmeiner, Phường Hưng Phúc, Thành phố Vinh, T. Nghệ An Việt Nam</t>
  </si>
  <si>
    <t>4923</t>
  </si>
  <si>
    <t>WM+ HNM 15 Đề Yêm</t>
  </si>
  <si>
    <t>15 Đề Yêm, Phường Lê Hồng Phong, Thành phố Phủ Lý, T. Hà Nam Việt Nam</t>
  </si>
  <si>
    <t>4924</t>
  </si>
  <si>
    <t>WM+ HNI Xóm Dền, Hoài Đức</t>
  </si>
  <si>
    <t>Xóm Dền, Xã Di Trạch, Huyện Hoài Đức, TP. Hà Nội Việt Nam</t>
  </si>
  <si>
    <t>4926</t>
  </si>
  <si>
    <t>WM+ TNN 151C Đường Z115</t>
  </si>
  <si>
    <t>151C Đường Z115, Phường Tân Thịnh, Thành phố Thái Nguyên, T. Thái Nguyên Việt Nam</t>
  </si>
  <si>
    <t>4927</t>
  </si>
  <si>
    <t>WM+ HNI Khu 10 Thôn Thường Lệ</t>
  </si>
  <si>
    <t>Khu 10 Thôn Thường Lệ, Xã Đại Thịnh, Huyện Mê Linh, TP. Hà Nội Việt Nam</t>
  </si>
  <si>
    <t>4928</t>
  </si>
  <si>
    <t>WM+ NAN 93 Tôn Thất Tùng</t>
  </si>
  <si>
    <t>93 Tôn Thất Tùng, Phường Hưng Dũng, Thành phố Vinh, T. Nghệ An Việt Nam</t>
  </si>
  <si>
    <t>4930</t>
  </si>
  <si>
    <t>WM+ QNH 1060-1062 Trần Phú</t>
  </si>
  <si>
    <t>Số 1060-1062 Đường Trần Phú, Phường Cẩm Thạch, Thành phố Cẩm Phả, T. Quảng Ninh Việt Nam</t>
  </si>
  <si>
    <t>4941</t>
  </si>
  <si>
    <t>WM+ LSN Số 11 Ngô Quyền-Vĩnh Trại</t>
  </si>
  <si>
    <t>Số 11, Đường Ngô Quyền, Khối 11, Phường Vĩnh Trại, Thành phố Lạng Sơn, T. Lạng Sơn Việt Nam</t>
  </si>
  <si>
    <t>4953</t>
  </si>
  <si>
    <t>WM+ QNH Tổ 10 Khu 2 Phường Hà Tu</t>
  </si>
  <si>
    <t>Tổ 10, Khu 2, Phường Hà Tu, Thành phố Hạ Long, T. Quảng Ninh Việt Nam</t>
  </si>
  <si>
    <t>4954</t>
  </si>
  <si>
    <t>WM+ HNM 173 Lê Công Thanh</t>
  </si>
  <si>
    <t>173 Lê Công Thanh, Phường Minh Khai, Thành phố Phủ Lý, T. Hà Nam Việt Nam</t>
  </si>
  <si>
    <t>4956</t>
  </si>
  <si>
    <t>WM+ NDH 111 Hàng Thao</t>
  </si>
  <si>
    <t>111 Hàng Thao, Phường Ngô Quyền, Thành phố Nam Định, T. Nam Định Việt Nam</t>
  </si>
  <si>
    <t>4957</t>
  </si>
  <si>
    <t>WM+ VPC 37 Chùa Hà</t>
  </si>
  <si>
    <t>37 Chùa Hà, Xã Định Trung, thành phố Vĩnh Yên, T. Vĩnh Phúc Việt Nam</t>
  </si>
  <si>
    <t>4958</t>
  </si>
  <si>
    <t>WM+ NAN 153 Nguyễn Du</t>
  </si>
  <si>
    <t>153 Nguyễn Du, Phường Trung Đô, Thành phố Vinh, T. Nghệ An Việt Nam</t>
  </si>
  <si>
    <t>4959</t>
  </si>
  <si>
    <t>WM+ HNI Kiot 03 CT4 KĐTM Thạch Bàn</t>
  </si>
  <si>
    <t>Kiot 03 - Tầng 01, chung cư CT4, KĐTM Thạch Bàn, Phường Thạch Bàn, Quận Long Biên, TP. Hà Nội Việt Nam</t>
  </si>
  <si>
    <t>4964</t>
  </si>
  <si>
    <t>WM+ BGG B3 B4 B5 Khu TMDV CC3</t>
  </si>
  <si>
    <t>B3, B4, B5 Khu TMDV CC3, Khu dân cư số 3, Phường Trần Nguyên Hãn, Thành phố Bắc Giang, T. Bắc Giang Việt Nam</t>
  </si>
  <si>
    <t>4965</t>
  </si>
  <si>
    <t>WM+ LCI 02-04 Võ Nguyên Giáp</t>
  </si>
  <si>
    <t>Số 02-04 Đường Võ Nguyên Giáp, Phường Bắc Cường, Thành phố Lào Cai, T. Lào Cai Việt Nam</t>
  </si>
  <si>
    <t>4966</t>
  </si>
  <si>
    <t>WM+ VPC 98 Nguyễn Trãi</t>
  </si>
  <si>
    <t>98 Nguyễn Trãi, Phường Hùng Vương, Thành phố Phúc Yên, T. Vĩnh Phúc Việt Nam</t>
  </si>
  <si>
    <t>4967</t>
  </si>
  <si>
    <t>WM+ HNI Golden West</t>
  </si>
  <si>
    <t>Tầng 1, Tòa nhà Golden West, Số 2 Lê Văn Thiêm, Phường Nhân Chính, Quận Thanh Xuân, TP. Hà Nội Việt Nam</t>
  </si>
  <si>
    <t>4968</t>
  </si>
  <si>
    <t>WM+ HNI QL3 Phố Lộc Hà</t>
  </si>
  <si>
    <t>QL3 Phố Lộc Hà, Xã Mai Lâm, Huyện Đông Anh, TP. Hà Nội Việt Nam</t>
  </si>
  <si>
    <t>4969</t>
  </si>
  <si>
    <t>WM+ HPG 194 Phan Đăng Lưu</t>
  </si>
  <si>
    <t>194 Phan Đăng Lưu, Tổ 3, Phường Trần Thành Ngọ, Quận Kiến An, TP. Hải Phòng Việt Nam</t>
  </si>
  <si>
    <t>4971</t>
  </si>
  <si>
    <t>WM+ NAN 37 Nguyễn Thái Học</t>
  </si>
  <si>
    <t>37 Nguyễn Thái Học, Phường Lê Lợi, Thành phố Vinh, T. Nghệ An Việt Nam</t>
  </si>
  <si>
    <t>4972</t>
  </si>
  <si>
    <t>WM+ HNI Ngã Ba Yên Tàng</t>
  </si>
  <si>
    <t>Ngã Ba Yên Tàng, Thôn Yên Tàng, Xã Bắc Phú, Huyện Sóc Sơn, TP. Hà Nội Việt Nam</t>
  </si>
  <si>
    <t>4973</t>
  </si>
  <si>
    <t>WM+ NBH 28 Hoàng Hoa Thám</t>
  </si>
  <si>
    <t>28 Hoàng Hoa Thám, Phường Thanh Bình, Thành phố Ninh Bình, T. Ninh Bình Việt Nam</t>
  </si>
  <si>
    <t>4977</t>
  </si>
  <si>
    <t>WM+ TNN 188 Thống Nhất</t>
  </si>
  <si>
    <t>188 Thống Nhất, Phường Đồng Quang, Thành phố Thái Nguyên, T. Thái Nguyên Việt Nam</t>
  </si>
  <si>
    <t>4978</t>
  </si>
  <si>
    <t>WM+ NDH 182 Song Hào</t>
  </si>
  <si>
    <t>182 Song Hào, Phường Văn Miếu, Thành phố Nam Định, T. Nam Định Việt Nam</t>
  </si>
  <si>
    <t>4979</t>
  </si>
  <si>
    <t>WM+ NAN 45 Nguyễn Sinh Sắc</t>
  </si>
  <si>
    <t>45 Nguyễn Sinh Sắc, Phường Cửa Nam, Thành phố Vinh, T. Nghệ An Việt Nam</t>
  </si>
  <si>
    <t>4982</t>
  </si>
  <si>
    <t>WM+ HNM 203 Đinh Tiên Hoàng</t>
  </si>
  <si>
    <t>203 Đinh Tiên Hoàng, Phường Trần Hưng Đạo, Thành phố Phủ Lý, T. Hà Nam Việt Nam</t>
  </si>
  <si>
    <t>4983</t>
  </si>
  <si>
    <t>WM+ HNI LK11-Lô 6 Phùng Khoang</t>
  </si>
  <si>
    <t>LK11-Lô 6, Dự án nhà ở Phùng Khoang, Phường Trung Văn, Quận Nam Từ Liêm, TP. Hà Nội Việt Nam</t>
  </si>
  <si>
    <t>4984</t>
  </si>
  <si>
    <t>WM+ QBH 31 Hoàng Diệu</t>
  </si>
  <si>
    <t>31 Hoàng Diệu, Phường Nam Lý, Thành phố Đồng Hới, T. Quảng Bình Việt Nam</t>
  </si>
  <si>
    <t>4985</t>
  </si>
  <si>
    <t>WM+ QBH 10 Lê Quý Đôn</t>
  </si>
  <si>
    <t>10 Lê Quý Đôn, Phường Đồng Hải, Thành phố Đồng Hới, T. Quảng Bình Việt Nam</t>
  </si>
  <si>
    <t>4987</t>
  </si>
  <si>
    <t>WM+ QNH Tổ 8 Khu 3B Cẩm Trung</t>
  </si>
  <si>
    <t>Tổ 8, Khu 3B, Phường Cẩm Trung, Thành phố Cẩm Phả, T. Quảng Ninh Việt Nam</t>
  </si>
  <si>
    <t>4988</t>
  </si>
  <si>
    <t>WM+ BNH Xóm Giữa-Khu Dương Ổ</t>
  </si>
  <si>
    <t>Xóm Giữa, Khu Dương Ổ, Phường Phong Khê, Thành Phố Bắc Ninh, T. Bắc Ninh Việt Nam</t>
  </si>
  <si>
    <t>4989</t>
  </si>
  <si>
    <t>WM+ HPG Thôn Bái Ngoài-Hoa Động</t>
  </si>
  <si>
    <t>Thôn Bái Ngoài, Xã Hoa Động, Huyện Thủy Nguyên, TP. Hải Phòng Việt Nam</t>
  </si>
  <si>
    <t>4990</t>
  </si>
  <si>
    <t>WM+ BNH Thôn An Ninh-Yên Phụ</t>
  </si>
  <si>
    <t>Thôn An Ninh, Xã Yên Phụ, Huyện Yên Phong, T. Bắc Ninh Việt Nam</t>
  </si>
  <si>
    <t>4991</t>
  </si>
  <si>
    <t>WM+ QNH Khu 1 TT Cái Rồng</t>
  </si>
  <si>
    <t>Khu 1, Thị trấn Cái Rồng, Huyện Vân Đồn, T. Quảng Ninh Việt Nam</t>
  </si>
  <si>
    <t>4992</t>
  </si>
  <si>
    <t>WM+ YBI 1132 Đinh Tiên Hoàng</t>
  </si>
  <si>
    <t>Số 1132 Đinh Tiên Hoàng, Thị trấn Yên Bình, Huyện Yên Bình, T. Yên Bái Việt Nam</t>
  </si>
  <si>
    <t>4993</t>
  </si>
  <si>
    <t>WM+ YBI 150A Đường Hoàng Hoa Thám</t>
  </si>
  <si>
    <t>Số 150A Đường Hoàng Hoa Thám, Phường Nguyễn Thái Học, Thành phố Yên Bái, T. Yên Bái Việt Nam</t>
  </si>
  <si>
    <t>4995</t>
  </si>
  <si>
    <t>WM+ HPG 57 Khu Cầu Đen TT Núi Đối</t>
  </si>
  <si>
    <t>57 Khu Cầu Đen, Thị trấn Núi Đối, Huyện Kiến Thụy, TP. Hải Phòng Việt Nam</t>
  </si>
  <si>
    <t>4997</t>
  </si>
  <si>
    <t>WM+ YBI 352 Đường Đại Đồng-Yên Bình</t>
  </si>
  <si>
    <t>Số 352 Đường Đại Đồng, Thị trấn Yên Bình, Huyện Yên Bình, T. Yên Bái Việt Nam</t>
  </si>
  <si>
    <t>4998</t>
  </si>
  <si>
    <t>WM+ HPG Thôn Phương Mỹ-Mỹ Đồng</t>
  </si>
  <si>
    <t>Thôn Phương Mỹ, Xã Mỹ Đồng, Huyện Thủy Nguyên, TP. Hải Phòng Việt Nam</t>
  </si>
  <si>
    <t>5000</t>
  </si>
  <si>
    <t>WM+ QNH Thôn Đông Sơn-Đông Xá</t>
  </si>
  <si>
    <t>Thôn Đông Sơn, Xã Đông Xá, Huyện Vân Đồn, T. Quảng Ninh Việt Nam</t>
  </si>
  <si>
    <t>5001</t>
  </si>
  <si>
    <t>WM+ LCI Số 489 Ngô Quyền</t>
  </si>
  <si>
    <t>Số 489 Ngô Quyền, Phường Kim Tân, Thành phố Lào Cai, T. Lào Cai Việt Nam</t>
  </si>
  <si>
    <t>5002</t>
  </si>
  <si>
    <t>WM+ BGG 338-340 Nguyễn Thị Lưu</t>
  </si>
  <si>
    <t>338-340 Nguyễn Thị Lưu, Phường Ngô Quyền, Thành phố Bắc Giang, T. Bắc Giang Việt Nam</t>
  </si>
  <si>
    <t>5003</t>
  </si>
  <si>
    <t>WM+ YBI Số 2 Quang Trung-Đồng Tâm</t>
  </si>
  <si>
    <t>Số 2 Quang Trung, Phường Đồng Tâm, Thành phố Yên Bái, T. Yên Bái Việt Nam</t>
  </si>
  <si>
    <t>5008</t>
  </si>
  <si>
    <t>WM+ HNI Thôn Quất Động</t>
  </si>
  <si>
    <t>Thôn Quất Động, Xã Quất Động, Huyện Thường Tín, TP. Hà Nội Việt Nam</t>
  </si>
  <si>
    <t>5009</t>
  </si>
  <si>
    <t>WM+ QNH 557 Trần Quốc Tảng</t>
  </si>
  <si>
    <t>557 Trần Quốc Tảng, Phường Cẩm Phú, Thành phố Cẩm Phả, T. Quảng Ninh Việt Nam</t>
  </si>
  <si>
    <t>5010</t>
  </si>
  <si>
    <t>WM+ QNH Khu 8 TT Cái Rồng</t>
  </si>
  <si>
    <t>Khu 8, Thị Trấn Cái Rồng, Huyện Vân Đồn, T. Quảng Ninh Việt Nam</t>
  </si>
  <si>
    <t>5015</t>
  </si>
  <si>
    <t>WM+ HNM 414 Lý Thường Kiệt</t>
  </si>
  <si>
    <t>414 Lý Thường Kiệt, Phường Lê Hồng Phong, Thành phố Phủ Lý, T. Hà Nam Việt Nam</t>
  </si>
  <si>
    <t>5020</t>
  </si>
  <si>
    <t>WM+ HNI Số 38 KTĐC Ngô Thì Nhậm</t>
  </si>
  <si>
    <t>ố 38 Khu Tái Định Cư Ngô Thì Nhậm, Đường Phan Đình Giót, Phường La Khê, Quận Hà Đông, TP. Hà Nội Việt Nam</t>
  </si>
  <si>
    <t>5021</t>
  </si>
  <si>
    <t>WM+ LSN Số 26 Đường Mỹ Sơn</t>
  </si>
  <si>
    <t>Số 26, Đường Mỹ Sơn, Khối 8, Phường Vĩnh Trại, Thành phố Lạng Sơn, T. Lạng Sơn Việt Nam</t>
  </si>
  <si>
    <t>5042</t>
  </si>
  <si>
    <t>WM+ VPC Khu 3 Thôn Đoài, Đường DT 3</t>
  </si>
  <si>
    <t>Khu 3 Thôn Đoài, Đường DT 305, Thị trấn Yên Lạc, Huyện Yên Lạc, T. Vĩnh Phúc Việt Nam</t>
  </si>
  <si>
    <t>5045</t>
  </si>
  <si>
    <t>WM+ HNI Thôn 9 Xã Phùng Xá</t>
  </si>
  <si>
    <t>Thôn 9, Xã Phùng Xá, Huyện Thạch Thất, TP. Hà Nội Việt Nam</t>
  </si>
  <si>
    <t>5054</t>
  </si>
  <si>
    <t>WM+ HNI BT25-C37 Bộ Công An</t>
  </si>
  <si>
    <t>BT25, Lô TT2, Khu nhà ở C37 BCA, KĐT mới Phùng Khoang, Phường Trung Văn, Quận Nam Từ Liêm, TP. Hà Nội Việt Nam</t>
  </si>
  <si>
    <t>5055</t>
  </si>
  <si>
    <t>WM+ HNI 67+69 Đường Ngô Đình Mẫn</t>
  </si>
  <si>
    <t>Số 67+69 Đường Ngô Đình Mẫn, Phường La Khê, Quận Hà Đông, TP. Hà Nội Việt Nam</t>
  </si>
  <si>
    <t>5056</t>
  </si>
  <si>
    <t>WM+ HPG 850 Trần Nhân Tông</t>
  </si>
  <si>
    <t>850 Trần Nhân Tông, Tổ dân phố Cận Sơn, Phường Văn Đẩu, Quận Kiến An, TP. Hải Phòng Việt Nam</t>
  </si>
  <si>
    <t>5057</t>
  </si>
  <si>
    <t>WM+ LCI 737 Lê Thanh</t>
  </si>
  <si>
    <t>737 Lê Thanh, Phường Bắc Cường, Thành phố Lào Cai, T. Lào Cai Việt Nam</t>
  </si>
  <si>
    <t>5062</t>
  </si>
  <si>
    <t>WM+ HNI Thôn Thọ Giáo, Tân Minh</t>
  </si>
  <si>
    <t>Thôn Thọ Giáo, Xã Tân Minh, Huyện, Thường Tín, TP. Hà Nội Việt Nam</t>
  </si>
  <si>
    <t>5063</t>
  </si>
  <si>
    <t>WM+ HNI Số 16 Hòa Sơn</t>
  </si>
  <si>
    <t>Số 16 Hòa Sơn, Thị trấn Chúc Sơn, Huyện Chương Mỹ, TP. Hà Nội Việt Nam</t>
  </si>
  <si>
    <t>5064</t>
  </si>
  <si>
    <t>WM+ LCI 085-086 Nhạc Sơn</t>
  </si>
  <si>
    <t>Số 085, 086 Nhạc Sơn, Phường, Duyên Hải, Thành phố Lào Cai, T. Lào Cai Việt Nam</t>
  </si>
  <si>
    <t>5067</t>
  </si>
  <si>
    <t>WM+ HYN Thôn Hoàng Nha, Văn Lâm</t>
  </si>
  <si>
    <t>Thôn Hoàng Nha, Xã Minh Hải, Huyện Văn Lâm, T. Hưng Yên Việt Nam</t>
  </si>
  <si>
    <t>5068</t>
  </si>
  <si>
    <t>WM+ HYN Thôn Đạo Khê, Yên Mỹ</t>
  </si>
  <si>
    <t>Thôn Đạo Khê, Xã Trung Hưng, Huyện Yên Mỹ, T. Hưng Yên Việt Nam</t>
  </si>
  <si>
    <t>5069</t>
  </si>
  <si>
    <t>WM+ HTH 261B Hải Thượng Lãn Ông</t>
  </si>
  <si>
    <t>261B Hải Thượng Lãn Ông, Phường, Tân Giang, Thành phố Hà Tĩnh, T. Hà Tĩnh Việt Nam</t>
  </si>
  <si>
    <t>5070</t>
  </si>
  <si>
    <t>WM+ QBH 55 Lê Thành Đồng</t>
  </si>
  <si>
    <t>55 Lê Thành Đồng, Phường Hải, Thành, Thành phố Đồng Hới, T. Quảng Bình Việt Nam</t>
  </si>
  <si>
    <t>5072</t>
  </si>
  <si>
    <t>WM+ NAN 46 Hải Thượng Lãn Ông</t>
  </si>
  <si>
    <t>46 Hải Thượng Lãn Ông, Phường Hà, Huy Tập, Thành phố Vinh, T. Nghệ An Việt Nam</t>
  </si>
  <si>
    <t>5075</t>
  </si>
  <si>
    <t>WM+ HNI Thôn Thái Hòa, Thạch Thất</t>
  </si>
  <si>
    <t>Thôn Thái Hòa, Xã Bình Phú, Huyện Thạch Thất, TP. Hà Nội Việt Nam</t>
  </si>
  <si>
    <t>5082</t>
  </si>
  <si>
    <t>WM+ QBH 183 Lý Thái Tổ</t>
  </si>
  <si>
    <t>183 Lý Thái Tổ, Phường Đồng Sơn, Thành phố Đồng Hới, T. Quảng Bình Việt Nam</t>
  </si>
  <si>
    <t>5088</t>
  </si>
  <si>
    <t>WM+ HNI Kiot 2 Tòa B, Dự án X2 Cầu</t>
  </si>
  <si>
    <t>Kiot dịch vụ số 2, Tầng 1, Tòa nhà B, Dự án X2, Phường Cầu Diễn, Nam Từ Liêm, TP. Hà Nội Việt Nam</t>
  </si>
  <si>
    <t>5089</t>
  </si>
  <si>
    <t>WM+ HNI 42 Nghĩa Lộ-Yên Nghĩa</t>
  </si>
  <si>
    <t>Số 42 Đường Nghĩa Lộ, Phường Yên Nghĩa, Quận Hà Đông, TP. Hà Nội Việt Nam</t>
  </si>
  <si>
    <t>5090</t>
  </si>
  <si>
    <t>WM+ HNI Số 83 Lại Đà, Đông Hội</t>
  </si>
  <si>
    <t>Số 83, Ngõ 384, Đường Đông Hội, Xã Đông Hội, Huyện Đông Anh, TP. Hà Nội Việt Nam</t>
  </si>
  <si>
    <t>5091</t>
  </si>
  <si>
    <t>WM+ HPG 251-253 Đào Nhuận</t>
  </si>
  <si>
    <t>251-253 Đào Nhuận, Phường Kênh Dương, Quận Lê Chân, TP. Hải Phòng Việt Nam</t>
  </si>
  <si>
    <t>5092</t>
  </si>
  <si>
    <t>WM+ HPG Số 46 Bãi Sậy-Trại Chuối</t>
  </si>
  <si>
    <t>Số 46, Phố Bãi Sậy, Phường Trại Chuối, Quận Hồng Bàng, TP. Hải Phòng Việt Nam</t>
  </si>
  <si>
    <t>5093</t>
  </si>
  <si>
    <t>WM+ QBH 55 Trường Chinh</t>
  </si>
  <si>
    <t>55 Trường Chinh, Phường Bắc Lý, Thành phố Đồng Hới, T. Quảng Bình Việt Nam</t>
  </si>
  <si>
    <t>5095</t>
  </si>
  <si>
    <t>WM+ NDH 40 Đông A</t>
  </si>
  <si>
    <t>40 Đông A, Phường Lộc Vượng, Thành phố Nam Định, T. Nam Định Việt Nam</t>
  </si>
  <si>
    <t>5097</t>
  </si>
  <si>
    <t>WM+ HNI 55 Cầu Cốc</t>
  </si>
  <si>
    <t>55 Cầu Cốc, Phường Tây Mỗ, Nam Từ Liêm, TP. Hà Nội Việt Nam</t>
  </si>
  <si>
    <t>5100</t>
  </si>
  <si>
    <t>WM+ YBI 102 Đại Lộ Nguyễn Thái Học</t>
  </si>
  <si>
    <t>Số 102 Đại lộ Nguyễn Thái Học, Phường Nguyễn Thái Học, Thành phố Yên Bái, T. Yên Bái Việt Nam</t>
  </si>
  <si>
    <t>5101</t>
  </si>
  <si>
    <t>WM+ HNI 168 Thôn Mới</t>
  </si>
  <si>
    <t>Số 168 Thôn Mới, Xã Cao Dương, Huyện Thanh Oai, TP. Hà Nội Việt Nam</t>
  </si>
  <si>
    <t>5108</t>
  </si>
  <si>
    <t>WM+ HPG Thôn Giữa, X. Quảng Thanh</t>
  </si>
  <si>
    <t>Thôn Giữa, Xã Quảng Thanh, Huyện Thủy Nguyên, TP. Hải Phòng Việt Nam</t>
  </si>
  <si>
    <t>5119</t>
  </si>
  <si>
    <t>WM+ HYN 62B-64 Điện Biên</t>
  </si>
  <si>
    <t>62B-64 Điện Biên, Phường Lê Lợi, Thành phố Hưng Yên, T. Hưng Yên Việt Nam</t>
  </si>
  <si>
    <t>5121</t>
  </si>
  <si>
    <t>WM+ THA 495 Nguyễn Trãi</t>
  </si>
  <si>
    <t>495 Nguyễn Trãi, Phường Phú Sơn, Thành phố Thanh Hóa, T. Thanh Hóa Việt Nam</t>
  </si>
  <si>
    <t>5128</t>
  </si>
  <si>
    <t>WM+ BNH Số 74 Đường Nguyễn Đăng Đạo</t>
  </si>
  <si>
    <t>Số 74, Đường Nguyễn Đăng Đạo, Thị Trấn Lim, Huyện Tiên Du, T. Bắc Ninh Việt Nam</t>
  </si>
  <si>
    <t>5131</t>
  </si>
  <si>
    <t>Khu 3 Thôn Đoài, Đường DT 303, Thị trấn Yên Lạc, Huyện Yên Lạc, T. Vĩnh Phúc Việt Nam</t>
  </si>
  <si>
    <t>5132</t>
  </si>
  <si>
    <t>WM+ HPG Khu 5,TT Tiên Lãng</t>
  </si>
  <si>
    <t>Khu 5, Thị trấn Tiên Lãng, Huyện Tiên Lãng, TP. Hải Phòng Việt Nam</t>
  </si>
  <si>
    <t>5133</t>
  </si>
  <si>
    <t>WM+ HGG Số 288 Trần Phú</t>
  </si>
  <si>
    <t>Số 288 Trần Phú, Tổ 5, Phường Trần Phú, Thành phố Hà Giang, T. Hà Giang Việt Nam</t>
  </si>
  <si>
    <t>5134</t>
  </si>
  <si>
    <t>WM+ HGG Số 65 Nguyễn Văn Linh</t>
  </si>
  <si>
    <t>Số 65 Nguyễn Văn Linh, Tổ 1, Phường Quang Trung, Thành phố Hà Giang, T. Hà Giang Việt Nam</t>
  </si>
  <si>
    <t>5135</t>
  </si>
  <si>
    <t>WM+ LCI Số 003 Soi Tiền</t>
  </si>
  <si>
    <t>Số 003 Soi Tiền, Phường Cốc Lếu, Thành phố Lào Cai, T. Lào Cai Việt Nam</t>
  </si>
  <si>
    <t>5143</t>
  </si>
  <si>
    <t>WM+ BNH 679 Xuân Ổ A</t>
  </si>
  <si>
    <t>Số 679 Xuân Ổ A, Phường Võ Cường, Thành Phố Bắc Ninh, T. Bắc Ninh Việt Nam</t>
  </si>
  <si>
    <t>5145</t>
  </si>
  <si>
    <t>WM+ BNH 628 Phố Ba Huyện</t>
  </si>
  <si>
    <t>Số 628 Phố Ba Huyện, Phường Khắc Niệm, Thành Phố Bắc Ninh, T. Bắc Ninh Việt Nam</t>
  </si>
  <si>
    <t>5146</t>
  </si>
  <si>
    <t>WM+ HYN Thôn Trương Xá</t>
  </si>
  <si>
    <t>Thôn Trương Xá, Xã Toàn Thắng, Huyện Kim Động, T. Hưng Yên Việt Nam</t>
  </si>
  <si>
    <t>5155</t>
  </si>
  <si>
    <t>WM+ HNI Thôn Yên Ngưu-Tam Hiệp</t>
  </si>
  <si>
    <t>Thôn Yên Ngưu, Xã Tam Hiệp, Huyện Thanh Trì, TP. Hà Nội Việt Nam</t>
  </si>
  <si>
    <t>5156</t>
  </si>
  <si>
    <t>WM+ QNH Tổ 7, Khu Minh Tiến A</t>
  </si>
  <si>
    <t>Tổ 7, Khu Minh Tiến A, Phường Cẩm Bình, Thành phố Cẩm Phả, T. Quảng Ninh Việt Nam</t>
  </si>
  <si>
    <t>5157</t>
  </si>
  <si>
    <t>WM+ QNH Tổ 1 khu 1 Giếng Đáy</t>
  </si>
  <si>
    <t>Tổ 1 khu 1 Phường Giếng Đáy, Thành phố Hạ Long, T. Quảng Ninh Việt Nam</t>
  </si>
  <si>
    <t>5158</t>
  </si>
  <si>
    <t>WM+ HPG Thôn 3 Xã Tú Sơn</t>
  </si>
  <si>
    <t>Thôn 3 Xã Tú Sơn, Huyện Kiến Thụy, TP. Hải Phòng Việt Nam</t>
  </si>
  <si>
    <t>5159</t>
  </si>
  <si>
    <t>WM+ HPG 67 Hoàng Quốc Việt</t>
  </si>
  <si>
    <t>67 Hoàng Quốc Việt, Phường Ngọc Sơn, Quận Kiến An, TP. Hải Phòng Việt Nam</t>
  </si>
  <si>
    <t>5160</t>
  </si>
  <si>
    <t>WM+ QNH Tổ 70 khu 7-Phường Hà Khẩu</t>
  </si>
  <si>
    <t>Tổ 70 khu 7, Phường Hà Khẩu, Thành phố Hạ Long, T. Quảng Ninh Việt Nam</t>
  </si>
  <si>
    <t>5161</t>
  </si>
  <si>
    <t>WM+ HNI 248 Chợ Chiều Chuông</t>
  </si>
  <si>
    <t>248 Chợ Chiều Chuông, Xã Phương Trung, Huyện Thanh Oai, TP. Hà Nội Việt Nam</t>
  </si>
  <si>
    <t>5162</t>
  </si>
  <si>
    <t>WM+ HNI 120 QL21 Thôn Tảo Dương</t>
  </si>
  <si>
    <t>Số 120 QL21, Thôn Tảo Dương, Xã Hồng Dương, Huyện Thanh Oai, TP. Hà Nội Việt Nam</t>
  </si>
  <si>
    <t>5173</t>
  </si>
  <si>
    <t>WM+ TNN 25-27 Hoàng Ngân</t>
  </si>
  <si>
    <t>25 - 27 Hoàng Ngân, Phường Phan Đình Phùng, Thành phố Thái Nguyên, T. Thái Nguyên Việt Nam</t>
  </si>
  <si>
    <t>5175</t>
  </si>
  <si>
    <t>WM+ HPG 623 Ngô Gia Tự</t>
  </si>
  <si>
    <t>623 Ngô Gia Tự, Phường Đằng Lâm, Quận Hải An, TP. Hải Phòng Việt Nam</t>
  </si>
  <si>
    <t>5176</t>
  </si>
  <si>
    <t>WM+ HNI Thôn Chằm-Bình Minh</t>
  </si>
  <si>
    <t>Thôn Chằm, Xã Bình Minh, Huyện Thanh Oai, TP. Hà Nội Việt Nam</t>
  </si>
  <si>
    <t>5177</t>
  </si>
  <si>
    <t>WM+ HNI Thôn Cổ Dương-Tiên Dương</t>
  </si>
  <si>
    <t>Thôn Cổ Dương, Xã Tiên Dương, Huyện Đông Anh, TP. Hà Nội Việt Nam</t>
  </si>
  <si>
    <t>5178</t>
  </si>
  <si>
    <t>WM+ HPG Thôn Đại Lộc 5</t>
  </si>
  <si>
    <t>Thôn Đại Lộc 5, Xã Đại Hợp, Huyện Kiến Thụy, TP. Hải Phòng Việt Nam</t>
  </si>
  <si>
    <t>5188</t>
  </si>
  <si>
    <t>WM+ HGG 469 Nguyễn Trãi</t>
  </si>
  <si>
    <t>Số 469, Nguyễn Trãi, Tổ 9, Phường Nguyễn Trãi, Thành phố Hà Giang, T. Hà Giang Việt Nam</t>
  </si>
  <si>
    <t>5190</t>
  </si>
  <si>
    <t>WM+ HNI Ngã tư Chợ Ngọc Chi</t>
  </si>
  <si>
    <t>Thôn Ngọc Chi ( Ngã tư Chợ Ngọc Chi), Xã Vĩnh Ngọc, Huyện Đông Anh, TP. Hà Nội Việt Nam</t>
  </si>
  <si>
    <t>5191</t>
  </si>
  <si>
    <t>WM+ HNI Số 9 Nam Dư P Lĩnh Nam</t>
  </si>
  <si>
    <t>Số 9 Nam Dư, Phường Lĩnh Nam, Quận Hoàng Mai, TP. Hà Nội Việt Nam</t>
  </si>
  <si>
    <t>5192</t>
  </si>
  <si>
    <t>WM+ NAN 25 Nguyễn Trung Ngạn</t>
  </si>
  <si>
    <t>25 Nguyễn Trung Ngạn, Khối 3, Phường Trường Thi, Thành phố Vinh, T. Nghệ An Việt Nam</t>
  </si>
  <si>
    <t>5205</t>
  </si>
  <si>
    <t>WM+ HGG 89 Nguyễn Thái Học</t>
  </si>
  <si>
    <t>Số 89, Đường Nguyễn Thái Học, Tổ 16, Phường Minh Khai, Thành phố Hà Giang, T. Hà Giang Việt Nam</t>
  </si>
  <si>
    <t>5206</t>
  </si>
  <si>
    <t>WM+ HGG 50 Trần Phú</t>
  </si>
  <si>
    <t>Số 50 Trần Phú, Tổ 5, Phường Minh Khai, Thành phố Hà Giang, T. Hà Giang Việt Nam</t>
  </si>
  <si>
    <t>5207</t>
  </si>
  <si>
    <t>WM+ HNI KDC Bắc Thăng Long</t>
  </si>
  <si>
    <t>Khu dân cư Bắc Thăng Long, Xã Hải Bối, Huyện Đông Anh, TP. Hà Nội Việt Nam</t>
  </si>
  <si>
    <t>5208</t>
  </si>
  <si>
    <t>WM+ HNI Thôn Bình An, Sóc Sơn</t>
  </si>
  <si>
    <t>Thôn Bình An, Xã Trung Giã, Huyện Sóc Sơn, TP. Hà Nội Việt Nam</t>
  </si>
  <si>
    <t>5209</t>
  </si>
  <si>
    <t>WM+ HPG 817 Mạc Đăng Doanh</t>
  </si>
  <si>
    <t>Số 817 Đường Mạc Đăng Doanh, Phường Đa Phúc, Quận Dương Kinh, TP. Hải Phòng Việt Nam</t>
  </si>
  <si>
    <t>5210</t>
  </si>
  <si>
    <t>WM+ QNH Tổ 52 khu 5 P Cửa Ông</t>
  </si>
  <si>
    <t>Tổ 52 khu 5, Phường Cửa Ông, Thành phố Cẩm Phả, T. Quảng Ninh Việt Nam</t>
  </si>
  <si>
    <t>5219</t>
  </si>
  <si>
    <t>WM+ HNI Số 1 Tập thể TCT Dược</t>
  </si>
  <si>
    <t>Số 1, TT Tổng Công ty Dược Việt Nam, tổ 1, Phường Quan Hoa, Quận Cầu Giấy, TP. Hà Nội Việt Nam</t>
  </si>
  <si>
    <t>5221</t>
  </si>
  <si>
    <t>WM+ NAN 47 Nguyễn Duy Trinh</t>
  </si>
  <si>
    <t>47 Nguyễn Duy Trinh, Phường Hưng Dũng, Thành phố Vinh, T. Nghệ An Việt Nam</t>
  </si>
  <si>
    <t>5222</t>
  </si>
  <si>
    <t>WM+ TBH 106 Bùi Sỹ Tiêm</t>
  </si>
  <si>
    <t>Số 106 Bùi Sỹ Tiêm, Tổ 15 Phường Tiền Phong, Thành phố Thái Bình, T. Thái Bình Việt Nam</t>
  </si>
  <si>
    <t>5223</t>
  </si>
  <si>
    <t>WM+ HGG 35 An Cư</t>
  </si>
  <si>
    <t>Số 35 An Cư, Tổ 6, Phường Trần Phú, Thành phố Hà Giang, T. Hà Giang Việt Nam</t>
  </si>
  <si>
    <t>5224</t>
  </si>
  <si>
    <t>WM+ HNI T1 Tòa Trung Yên Smile</t>
  </si>
  <si>
    <t>Tầng 1, Tòa Trung Yên Smile, Khu A, Lô 19.NO và 20.BT KĐTM, Bắc Đại Kim, Số 1 Nguyễn Cảnh Dị, Phường Định Công, Quận Hoàng Mai, TP. Hà Nội Việt Nam</t>
  </si>
  <si>
    <t>5226</t>
  </si>
  <si>
    <t>WM+ BNH Thôn Đại Thượng</t>
  </si>
  <si>
    <t>Thôn Đại Thượng, Xã Đại Đồng, Huyện Tiên Du, T. Bắc Ninh Việt Nam</t>
  </si>
  <si>
    <t>5227</t>
  </si>
  <si>
    <t>WM+ HPG Thôn 4 Xã Kiến Quốc</t>
  </si>
  <si>
    <t>Thôn 4, Xã Kiến Quốc, Huyện Kiến Thụy, TP. Hải Phòng Việt Nam</t>
  </si>
  <si>
    <t>5248</t>
  </si>
  <si>
    <t>WM+ NDH 274 Trần Huy Liệu</t>
  </si>
  <si>
    <t>274 Trần Huy Liệu, Phường Mỹ Xá, Thành phố Nam Định, T. Nam Định Việt Nam</t>
  </si>
  <si>
    <t>5249</t>
  </si>
  <si>
    <t>WM+ HPG 196 Tổ 3 TT An Dương</t>
  </si>
  <si>
    <t>196 Tổ 3, Thị trấn An Dương, Huyện An Dương, TP. Hải Phòng Việt Nam</t>
  </si>
  <si>
    <t>5256</t>
  </si>
  <si>
    <t>WM+ TNN 105 Tổ 1 Phường Chùa Hang</t>
  </si>
  <si>
    <t>Số 105 tổ 1 Phường Chùa Hang, Thành phố Thái Nguyên, T. Thái Nguyên Việt Nam</t>
  </si>
  <si>
    <t>5264</t>
  </si>
  <si>
    <t>WM+ HTH 36 Phan Đình Giót</t>
  </si>
  <si>
    <t>36 Phan Đình Giót, Phường Nam Hà, Thành phố Hà Tĩnh, T. Hà Tĩnh Việt Nam</t>
  </si>
  <si>
    <t>5266</t>
  </si>
  <si>
    <t>WM+ HNI Khu 14 Thôn Yên Nhân</t>
  </si>
  <si>
    <t>Khu 14 Thôn Yên Nhân, Xã Tiền Phong, Huyện Mê Linh, TP. Hà Nội Việt Nam</t>
  </si>
  <si>
    <t>5267</t>
  </si>
  <si>
    <t>WM+ HNI Khu 5 Thôn Do Hạ</t>
  </si>
  <si>
    <t>Khu 5 Thôn Do Hạ, Xã Tiền Phong, Huyện Mê Linh, TP. Hà Nội Việt Nam</t>
  </si>
  <si>
    <t>5268</t>
  </si>
  <si>
    <t>WM+ HNI 134 Hoàng Tăng Bí</t>
  </si>
  <si>
    <t>134 Hoàng Tăng Bí, TDP Tân Nhuệ, Thụy Phương, Quận Bắc Từ Liêm, TP. Hà Nội Việt Nam</t>
  </si>
  <si>
    <t>5272</t>
  </si>
  <si>
    <t>WM+ HNI Khu đấu giá Tổ 1 TT Sóc Sơn</t>
  </si>
  <si>
    <t>Khu đấu giá Tổ 1 Thị trấn Sóc Sơn, Huyện Sóc Sơn, TP. Hà Nội Việt Nam</t>
  </si>
  <si>
    <t>5282</t>
  </si>
  <si>
    <t>WM+ NAN 80 Lê Hồng Phong</t>
  </si>
  <si>
    <t>80 Lê Hồng Phong, Phường Hưng Bình, Thành phố Vinh, T. Nghệ An Việt Nam</t>
  </si>
  <si>
    <t>5283</t>
  </si>
  <si>
    <t>WM+ NAN 88 Lê Viết Thuật</t>
  </si>
  <si>
    <t>88 Lê Viết Thuật, Xã Hưng Lộc, Thành phố Vinh, T. Nghệ An Việt Nam</t>
  </si>
  <si>
    <t>5285</t>
  </si>
  <si>
    <t>WM+ HNI Thôn Lã Côi</t>
  </si>
  <si>
    <t>Thôn Lã Côi, Xã Yên Viên, Huyện Gia Lâm, TP. Hà Nội Việt Nam</t>
  </si>
  <si>
    <t>5286</t>
  </si>
  <si>
    <t>WM+ HNI 95 Ba Thá</t>
  </si>
  <si>
    <t>95 Ba Thá, Xã Viên An, Huyện Ứng Hòa, TP. Hà Nội Việt Nam</t>
  </si>
  <si>
    <t>5287</t>
  </si>
  <si>
    <t>WM+ HNI 85 Lê Lợi, TT Vân Đình</t>
  </si>
  <si>
    <t>85 Lê Lợi, Thị Trấn Vân Đình, Huyện Ứng Hòa, TP. Hà Nội Việt Nam</t>
  </si>
  <si>
    <t>5288</t>
  </si>
  <si>
    <t>WM+ HNI Tổ dân phố số 17</t>
  </si>
  <si>
    <t>Tổ dân phố số 17, Phường Thanh Trì, Quận Hoàng Mai, TP. Hà Nội Việt Nam</t>
  </si>
  <si>
    <t>5289</t>
  </si>
  <si>
    <t>WM+ SLA 186 Lê Đức Thọ</t>
  </si>
  <si>
    <t>Số 186 đường Lê Đức Thọ, Phường Quyết Thắng, Thành phố Sơn La, T. Sơn La Việt Nam</t>
  </si>
  <si>
    <t>5290</t>
  </si>
  <si>
    <t>WM+ HNI 71 Ngõ 180 Tây Mỗ</t>
  </si>
  <si>
    <t>71 Ngõ 180 Tây Mỗ, Quận Nam Từ Liêm, TP. Hà Nội Việt Nam</t>
  </si>
  <si>
    <t>5295</t>
  </si>
  <si>
    <t>WM+ HNI 158 Tiểu khu Phú Thịnh</t>
  </si>
  <si>
    <t>Số 158 Tiểu khu Phú Thịnh, Thị trấn Phú Minh, Huyện Phú Xuyên, TP. Hà Nội Việt Nam</t>
  </si>
  <si>
    <t>5296</t>
  </si>
  <si>
    <t>WM+ SLA 15 Lê Lợi</t>
  </si>
  <si>
    <t>Số 15 Đường Lê Lợi, Phường Quyết, Thắng, Thành phố Sơn La, T. Sơn La Việt Nam</t>
  </si>
  <si>
    <t>5303</t>
  </si>
  <si>
    <t>WM+ HNI 114 Ngõ Văn Chương 2</t>
  </si>
  <si>
    <t>114 Ngõ Văn Chương 2, Phường Văn Chương, Quận Đống Đa, TP. Hà Nội Việt Nam</t>
  </si>
  <si>
    <t>5304</t>
  </si>
  <si>
    <t>WM+ HNI UDIC Riverside 1</t>
  </si>
  <si>
    <t>Tầng 1, Tòa nhà UDIC Riverside 1, Ngõ 122 Vĩnh Tuy, Phường Vĩnh Tuy, Quận Hai Bà Trưng, TP. Hà Nội Việt Nam</t>
  </si>
  <si>
    <t>5305</t>
  </si>
  <si>
    <t>WM+ HNI Số 110 ngõ 553 Đường Giải P</t>
  </si>
  <si>
    <t>Số 110 ngõ 553 Đường Giải Phóng, Phường Giáp Bát, Quận Hoàng Mai, TP. Hà Nội Việt Nam</t>
  </si>
  <si>
    <t>5307</t>
  </si>
  <si>
    <t>WM+ HPG BH 03-11 KĐT Xi Măng HP</t>
  </si>
  <si>
    <t>Số BH 03-11 KĐT Xi Măng Hải Phòng, ( KĐT Vinhomes Imperia Hải Phòng), Phường Thượng Lý, Quận Hồng Bàng, TP. Hải Phòng Việt Nam</t>
  </si>
  <si>
    <t>5309</t>
  </si>
  <si>
    <t>WM+ QNH 125 Lý Thường Kiệt</t>
  </si>
  <si>
    <t>125 Lý Thường Kiệt, Phường Cửa Ông, Thành phố Cẩm Phả, T. Quảng Ninh Việt Nam</t>
  </si>
  <si>
    <t>5310</t>
  </si>
  <si>
    <t>WM+ QNH Tổ 1 khu 5 P Mông Dương</t>
  </si>
  <si>
    <t>Tổ 1 Khu 5, Phường Mông Dương, Thành phố Cẩm Phả, T. Quảng Ninh Việt Nam</t>
  </si>
  <si>
    <t>5311</t>
  </si>
  <si>
    <t>WM+ HBH 469 Hoàng Văn Thụ</t>
  </si>
  <si>
    <t>469 Hoàng Văn Thụ, Phường Hữu Nghị, Thành phố Hòa Bình, T. Hòa Bình Việt Nam</t>
  </si>
  <si>
    <t>5312</t>
  </si>
  <si>
    <t>WM+ SLA 274 Trường Chinh</t>
  </si>
  <si>
    <t>Số 274 Đường Trường Chinh, Phường Quyết Thắng, Thành phố Sơn La, T. Sơn La Việt Nam</t>
  </si>
  <si>
    <t>5313</t>
  </si>
  <si>
    <t>WM+ HNI 32 Sáp Mai</t>
  </si>
  <si>
    <t>32 Sáp Mai, Xã Võng La, Huyện Đông Anh, TP. Hà Nội Việt Nam</t>
  </si>
  <si>
    <t>5322</t>
  </si>
  <si>
    <t>WM+ HBH Tổ 8 Phường Hữu Nghị</t>
  </si>
  <si>
    <t>Tổ 8, Phường Hữu Nghị, P. Tân Thịnh, Thành phố Hòa Bình, T. Hòa Bình Việt Nam</t>
  </si>
  <si>
    <t>5323</t>
  </si>
  <si>
    <t>WM+ HNI Thôn 5 Cộng Hòa</t>
  </si>
  <si>
    <t>Thôn 5 Xã Cộng Hòa, Huyện Quốc Oai, TP. Hà Nội Việt Nam</t>
  </si>
  <si>
    <t>5325</t>
  </si>
  <si>
    <t>WM+ NAN 22A Nguyễn Văn Trỗi</t>
  </si>
  <si>
    <t>22A Nguyễn Văn Trỗi, Phường Bến Thủy, Thành phố Vinh, T. Nghệ An Việt Nam</t>
  </si>
  <si>
    <t>5327</t>
  </si>
  <si>
    <t>WM+ HNI Kiot TM02 Số 50 ngõ 28 Xuân</t>
  </si>
  <si>
    <t>Kiot TM02 - Tầng 1 của Dự án Khu nhà ở gia đình cán bộ quân, đội Dự án 4-678, số 50 ngõ 28 đường Xuâ La, Phường Xuân La, Quận Tây Hồ, TP. Hà Nội Việt Nam</t>
  </si>
  <si>
    <t>5328</t>
  </si>
  <si>
    <t>Kiot A01, A02, A03, B01, B02 Dự án chợ Thạch Hà, thị trấn Thạch Hà, Huyện Thạch Hà, T. Hà Tĩnh Việt Nam</t>
  </si>
  <si>
    <t>5340</t>
  </si>
  <si>
    <t>WM+ HNI 17 Ngõ 75 Hồ Tùng Mậu</t>
  </si>
  <si>
    <t>17 Ngõ 75 Hồ Tùng Mậu, Phường Mai Dịch, Quận Cầu Giấy, TP. Hà Nội Việt Nam</t>
  </si>
  <si>
    <t>5341</t>
  </si>
  <si>
    <t>WM+ HNI Thôn 3 Xã Phượng Cách</t>
  </si>
  <si>
    <t>Thôn 3 Xã Phượng Cách, Huyện Quốc Oai, TP. Hà Nội Việt Nam</t>
  </si>
  <si>
    <t>5342</t>
  </si>
  <si>
    <t>WM+ HNI 8 Trương Công Giai</t>
  </si>
  <si>
    <t>Số 8 Trương Công Giai, tổ 21, Phường Dịch Vọng, Quận Cầu Giấy, TP. Hà Nội Việt Nam</t>
  </si>
  <si>
    <t>5345</t>
  </si>
  <si>
    <t>WM+ SLA 514D Trần Đăng Ninh</t>
  </si>
  <si>
    <t>Số 514D đường Trần Đăng Ninh, Phường Quyết Tâm, Thành phố Sơn La, T. Sơn La Việt Nam</t>
  </si>
  <si>
    <t>5347</t>
  </si>
  <si>
    <t>WM+ HNI Khu Ao ông Sáu</t>
  </si>
  <si>
    <t>Khu Ao ông Sáu, Xã Trung Mầu, Huyện Gia Lâm, TP. Hà Nội Việt Nam</t>
  </si>
  <si>
    <t>5348</t>
  </si>
  <si>
    <t>WM+ HBH 490 Trần Hưng Đạo</t>
  </si>
  <si>
    <t>Số 490 Trần Hưng Đạo, Xã Sủ Ngòi, Thành phố Hòa Bình, T. Hòa Bình Việt Nam</t>
  </si>
  <si>
    <t>5349</t>
  </si>
  <si>
    <t>WM+ HBH 253 Phùng Hưng</t>
  </si>
  <si>
    <t>253 Phùng Hưng, Phường Hữu Nghị, Thành phố Hòa Bình, T. Hòa Bình Việt Nam</t>
  </si>
  <si>
    <t>5350</t>
  </si>
  <si>
    <t>WM+ SLA 437A Trần Đăng Ninh</t>
  </si>
  <si>
    <t>Số 437A Trần Đăng Ninh, Phường Quyết Tâm, Thành phố Sơn La, T. Sơn La Việt Nam</t>
  </si>
  <si>
    <t>5351</t>
  </si>
  <si>
    <t>WM+ HNI Lô 03C Tòa L KĐTM HH2 Dương</t>
  </si>
  <si>
    <t>Lô 03C, tầng 1 Tòa L, thuộc Dự án tòa K, L khu đô thị mới, HH2 Dương Nội, Phường Dương Nội, Quận Hà Đông, TP. Hà Nội Việt Nam</t>
  </si>
  <si>
    <t>5366</t>
  </si>
  <si>
    <t>WM+ HNI SH4-B4 Nam Trung Yên</t>
  </si>
  <si>
    <t>B (SH4), Ô đất B4, Khu đô thị mới Nam Trung Yên, Phường Yên Hòa, Quận Cầu Giấy, TP. Hà Nội Việt Nam</t>
  </si>
  <si>
    <t>5367</t>
  </si>
  <si>
    <t>WM+ TNN TNG Village Thái Nguyên</t>
  </si>
  <si>
    <t>Vị trí Shophouse 05 và 06, Tầng 1, dự án, Nhà ở thương mại TNG Village, Phường Phan Đình Phùng, TP. Thái Nguyên T. Thái Nguyên Việt Nam</t>
  </si>
  <si>
    <t>5368</t>
  </si>
  <si>
    <t>WM+ HNI Chợ Cầu Xây, Sóc Sơn</t>
  </si>
  <si>
    <t>Chợ Cầu Xây, thôn Thanh Vân, xã Tân Dân, Huyện Sóc Sơn, TP. Hà Nội Việt Nam</t>
  </si>
  <si>
    <t>5369</t>
  </si>
  <si>
    <t>WM+ HNI Khu Phố, TT Liên Quan</t>
  </si>
  <si>
    <t>Khu phố, thị trấn Liên Quan, Huyện Thạch Thất, TP. Hà Nội Việt Nam</t>
  </si>
  <si>
    <t>5370</t>
  </si>
  <si>
    <t>WM+ SLA 67 Trường Chinh</t>
  </si>
  <si>
    <t>Số 67 đường Trường Chinh, Phường Quyết Thắng, Thành phố Sơn La, T. Sơn La Việt Nam</t>
  </si>
  <si>
    <t>5371</t>
  </si>
  <si>
    <t>WM+ HGG 178 Đường Nguyễn Trãi</t>
  </si>
  <si>
    <t>178 Đường Nguyễn Trãi, Tổ 15, Phường Nguyễn Trãi, Thành phố Hà Giang, T. Hà Giang Việt Nam</t>
  </si>
  <si>
    <t>5372</t>
  </si>
  <si>
    <t>WM+ LSN Số 37-39 Lê Hồng Phong</t>
  </si>
  <si>
    <t>Số 37-39 Lê Hồng Phong, Khối 8, Phường Tam Thanh, Thành phố Lạng Sơn, T. Lạng Sơn Việt Nam</t>
  </si>
  <si>
    <t>5373</t>
  </si>
  <si>
    <t>WM+ HBH 444 Cù Chính Lan</t>
  </si>
  <si>
    <t>444 Cù Chính Lan, Phường Đồng Tiến, Thành phố Hòa Bình, T. Hòa Bình Việt Nam</t>
  </si>
  <si>
    <t>5374</t>
  </si>
  <si>
    <t>WM+ QNH Tổ 6 Khu 7 P Mông Dương</t>
  </si>
  <si>
    <t>Tổ 6 Khu 7, Phường Mông Dương, Thành phố Cẩm Phả, T. Quảng Ninh Việt Nam</t>
  </si>
  <si>
    <t>5376</t>
  </si>
  <si>
    <t>WM+ QNH Số 463 Tổ 66 Khu Diêm Thủy</t>
  </si>
  <si>
    <t>Số 463, Tổ 66, Khu Diêm Thủy, Phường Cẩm Đông, Thành phố Cẩm Phả, T. Quảng Ninh Việt Nam</t>
  </si>
  <si>
    <t>5378</t>
  </si>
  <si>
    <t>WM+ HNI T1 KCH Tecco Skyville Tower</t>
  </si>
  <si>
    <t>Tầng 1 Khu căn hộ Tecco Skyville Tower, Ô đất HH, Khu đấu giá quyền sử dụng đất, Xã Tứ Hiệp, Huyện Thanh Trì, TP. Hà Nội Việt Nam</t>
  </si>
  <si>
    <t>5380</t>
  </si>
  <si>
    <t>WM+ HNI 53 Hậu Dưỡng</t>
  </si>
  <si>
    <t>53 Hậu Dưỡng, Xã Kim Chung, Huyện Đông Anh, TP. Hà Nội Việt Nam</t>
  </si>
  <si>
    <t>5381</t>
  </si>
  <si>
    <t>WM+ LCI 114 Hàm Nghi</t>
  </si>
  <si>
    <t>114 Hàm Nghi, Phường Kim Tân, Thành phố Lào Cai, T. Lào Cai Việt Nam</t>
  </si>
  <si>
    <t>5382</t>
  </si>
  <si>
    <t>WM+ LCI 030 Quy Hóa</t>
  </si>
  <si>
    <t>030 Quy Hóa, Phường Kim Tân, Thành phố Lào Cai, T. Lào Cai Việt Nam</t>
  </si>
  <si>
    <t>5385</t>
  </si>
  <si>
    <t>WM+ HNI CT1B Nghĩa Đô</t>
  </si>
  <si>
    <t>Tầng 1, tòa nhà CT1 thuộc Dự án đầu tư, Khu đô thị mới Nghĩa Đô, phường Cổ Nhuế 1, Quận Bắc Từ Liêm, TP. Hà Nội Việt Nam</t>
  </si>
  <si>
    <t>5392</t>
  </si>
  <si>
    <t>WM+ BGG 2A Võ Nguyên Giáp</t>
  </si>
  <si>
    <t>Số nhà 2A, Đường Võ Nguyên Giáp, Xã Tân Mỹ, Thành phố Bắc Giang, T. Bắc Giang Việt Nam</t>
  </si>
  <si>
    <t>5394</t>
  </si>
  <si>
    <t>WM+ HNI Thôn Tằng My</t>
  </si>
  <si>
    <t>Thôn Tằng My, Xã Nam Hồng, Huyện Đông Anh, TP. Hà Nội Việt Nam</t>
  </si>
  <si>
    <t>5395</t>
  </si>
  <si>
    <t>WM+ QNH Dự án quỹ đất đường sắt</t>
  </si>
  <si>
    <t>Dự án quỹ đất dọc bên tuyến đường sắt, Tổ 3 Khu 2, Phường Cẩm Sơn, Thành phố Cẩm Phả, T. Quảng Ninh Việt Nam</t>
  </si>
  <si>
    <t>5396</t>
  </si>
  <si>
    <t>WM+ HPG 55 Đoàn Kết</t>
  </si>
  <si>
    <t>55 Đoàn Kết, Phường Đằng Hải, Quận Hải An, TP. Hải Phòng Việt Nam</t>
  </si>
  <si>
    <t>5397</t>
  </si>
  <si>
    <t>WM+ HDG 90 Bình Lộc</t>
  </si>
  <si>
    <t>Số 90 Bình Lộc, Khu 10, Phường Tân Bình, Thành phố Hải Dương, T. Hải Dương Việt Nam</t>
  </si>
  <si>
    <t>5400</t>
  </si>
  <si>
    <t>WM+ HPG 84 Nguyễn Văn Hới</t>
  </si>
  <si>
    <t>Số 84 Nguyễn Văn Hới, Phường Cát Bi, Quận Hải An, TP. Hải Phòng Việt Nam</t>
  </si>
  <si>
    <t>5401</t>
  </si>
  <si>
    <t>WM+ HPG 309 Trường Sơn</t>
  </si>
  <si>
    <t>309 Trường Sơn, Huyện An Lão, TP. Hải Phòng Việt Nam</t>
  </si>
  <si>
    <t>5407</t>
  </si>
  <si>
    <t>WM+ HDG 16 Nguyễn Thị Định</t>
  </si>
  <si>
    <t>Số 16 Nguyễn Thị Định, Khu 11, Phường Hải Tân, Thành phố Hải Dương, T. Hải Dương Việt Nam</t>
  </si>
  <si>
    <t>5408</t>
  </si>
  <si>
    <t>WM+ HNI Tòa B1 CC Ruby CT3 Phúc Lợi</t>
  </si>
  <si>
    <t>Lô góc tầng 1, Tòa B1, Chung cư Ruby CT3 Phúc Lợi, TP. Hà Nội Việt Nam</t>
  </si>
  <si>
    <t>5415</t>
  </si>
  <si>
    <t>WM+ HNI SH01-C2 Vinhomes D’Capitale</t>
  </si>
  <si>
    <t>Diện tích thương mại số 01, Tháp G (Tòa C2), KĐT Đông Nam đường Trần Duy Hưng, P. Trung Hòa, Q. Cầu Giấy, TP. Hà Nội Việt Nam</t>
  </si>
  <si>
    <t>5422</t>
  </si>
  <si>
    <t>WM+ HNI Thôn Đồng Lư, Quốc Oai</t>
  </si>
  <si>
    <t>Thôn Đồng Lư, xã Đồng Quang, Huyện Quốc Oai, TP. Hà Nội Việt Nam</t>
  </si>
  <si>
    <t>5423</t>
  </si>
  <si>
    <t>WM+ HNI Cụm 5 Xã Phụng Thượng</t>
  </si>
  <si>
    <t>Cụm 5, xã Phụng Thượng, Huyện Phúc Thọ, TP. Hà Nội Việt Nam</t>
  </si>
  <si>
    <t>5425</t>
  </si>
  <si>
    <t>WM+ HPG Thôn Phố X.Quảng Thanh</t>
  </si>
  <si>
    <t>Thôn Phố, Xã Quảng Thanh, Huyện Thủy Nguyên, TP. Hải Phòng Việt Nam</t>
  </si>
  <si>
    <t>5426</t>
  </si>
  <si>
    <t>WM+ LCI 050 Phan Đình Phùng</t>
  </si>
  <si>
    <t>050 Phan Đình Phùng, Phường Lào Cai, Thành phố Lào Cai, T. Lào Cai Việt Nam</t>
  </si>
  <si>
    <t>5428</t>
  </si>
  <si>
    <t>WM+ BGG 223 Hoàng Văn Thụ</t>
  </si>
  <si>
    <t>223 Hoàng Văn Thụ, Phường Xương Giang, Thành phố Bắc Giang, T. Bắc Giang Việt Nam</t>
  </si>
  <si>
    <t>5429</t>
  </si>
  <si>
    <t>WM+ HNI Xóm Cầu Thôn Hòa Mỹ</t>
  </si>
  <si>
    <t>Xóm Cầu, Thôn Hòa Mỹ, Xã Hồng Minh, Huyện Phú Xuyên, TP. Hà Nội Việt Nam</t>
  </si>
  <si>
    <t>5430</t>
  </si>
  <si>
    <t>WM+ HNI Tổ 10 P.Thạch Bàn</t>
  </si>
  <si>
    <t>Tổ 10, Phường Thạch Bàn, Quận Long Biên, TP. Hà Nội Việt Nam</t>
  </si>
  <si>
    <t>5431</t>
  </si>
  <si>
    <t>WM+ HNI BT1.SH-A(07) KĐTM Đặng Xá</t>
  </si>
  <si>
    <t>BT1.SH-A(07), Khu đô thị mới Đặng Xá, Xã Đặng Xá, Huyện Gia Lâm, TP. Hà Nội Việt Nam</t>
  </si>
  <si>
    <t>5432</t>
  </si>
  <si>
    <t>WM+ HPG 29B Trung Hành</t>
  </si>
  <si>
    <t>Số 29B Trung Hành, Phường Đằng Lâm, Quận Hải An, TP. Hải Phòng Việt Nam</t>
  </si>
  <si>
    <t>5433</t>
  </si>
  <si>
    <t>WM+ BNH Thôn Dương Húc</t>
  </si>
  <si>
    <t>Thôn Dương Húc, Xã Đại Đồng, Huyện Tiên Du, T. Bắc Ninh Việt Nam</t>
  </si>
  <si>
    <t>5434</t>
  </si>
  <si>
    <t>WM+ HNI 18 ngách 1 ngõ 119 Hồ Đắc D</t>
  </si>
  <si>
    <t>Số 18 ngách 1 ngõ 119 Hồ Đắc Di, Phường Nam Đồng, Quận Đống Đa, TP. Hà Nội Việt Nam</t>
  </si>
  <si>
    <t>5438</t>
  </si>
  <si>
    <t>WM+ HBH Tổ 09 Phường Tân Thịnh</t>
  </si>
  <si>
    <t>Tổ 09 Phường Tân Thịnh, Thành phố Hòa Bình, T. Hòa Bình Việt Nam</t>
  </si>
  <si>
    <t>5439</t>
  </si>
  <si>
    <t>WM+ HNI 17A ngõ 9 Nguyễn Tri Phương</t>
  </si>
  <si>
    <t>17A, Ngõ 9 Nguyễn Tri Phương, Phường Điện Biên, Quận Ba Đình, TP. Hà Nội Việt Nam</t>
  </si>
  <si>
    <t>5453</t>
  </si>
  <si>
    <t>WM+ HNI 48 Bích Câu</t>
  </si>
  <si>
    <t>48 Bích Câu, Phường Quốc Tử Giám, Quận Đống Đa, TP. Hà Nội Việt Nam</t>
  </si>
  <si>
    <t>5454</t>
  </si>
  <si>
    <t>WM+ HNI Ngã tư Cổ Đông</t>
  </si>
  <si>
    <t>Ngã tư Cổ Đông, Xóm 10, Thôn Đoàn Kết, Xã Cổ Đông, Thị xã Sơn Tây, TP. Hà Nội Việt Nam</t>
  </si>
  <si>
    <t>5456</t>
  </si>
  <si>
    <t>WM+ HNI Đội 2 Thôn Xuân Bách</t>
  </si>
  <si>
    <t>Đội 2, thôn Xuân Bách, xã Quang Tiến, Huyện Sóc Sơn, TP. Hà Nội Việt Nam</t>
  </si>
  <si>
    <t>5457</t>
  </si>
  <si>
    <t>WM+ HNM Thôn 1 Xã Phù Vân</t>
  </si>
  <si>
    <t>Thôn 1, Xã Phù Vân, Thành phố Phủ Lý, T. Hà Nam Việt Nam</t>
  </si>
  <si>
    <t>5465</t>
  </si>
  <si>
    <t>WM+ HNI Lô A1.2 Imperia Garden</t>
  </si>
  <si>
    <t>Lô A1.2, tầng 1 tòa nhà A, tổ hợp HBI, Số 203, Nguyễn Huy Tưởng, P. Thanh Xuân Trung, Quận Thanh Xuân, TP. Hà Nội Việt Nam</t>
  </si>
  <si>
    <t>5467</t>
  </si>
  <si>
    <t>WM+ HNI 12 ngõ 4D Đặng Văn Ngữ</t>
  </si>
  <si>
    <t>Số 12 ngõ 4D Đặng Văn Ngữ, Phường Trung Tự, Quận Đống Đa, TP. Hà Nội Việt Nam</t>
  </si>
  <si>
    <t>5468</t>
  </si>
  <si>
    <t>WM+ HNI 33-35 Ngõ Quan Thổ 1</t>
  </si>
  <si>
    <t>33-35 Ngõ Quan Thổ 1, Phố Tôn Đức Thắng, Phường Hàng Bột, Quận Đống Đa, TP. Hà Nội Việt Nam</t>
  </si>
  <si>
    <t>5470</t>
  </si>
  <si>
    <t>WM+ HNI Thôn Vài Xã Hợp Thanh</t>
  </si>
  <si>
    <t>Thôn Vài, Xã Hợp Thanh, Huyện Mỹ Đức, TP. Hà Nội Việt Nam</t>
  </si>
  <si>
    <t>5471</t>
  </si>
  <si>
    <t>WM+ HGG 43-45 Đường 20-8</t>
  </si>
  <si>
    <t>Số 43-45 Đường 20-8, Tổ 7, Phường Nguyễn Trãi, Thành phố Hà Giang, T. Hà Giang Việt Nam</t>
  </si>
  <si>
    <t>5472</t>
  </si>
  <si>
    <t>WM+ HNI 87 ngõ 322 Mỹ Đình</t>
  </si>
  <si>
    <t>Số 87 Ngõ 322 Mỹ Đình, Phường Mỹ Đình 1, Quận Nam Từ Liêm, TP. Hà Nội Việt Nam</t>
  </si>
  <si>
    <t>5473</t>
  </si>
  <si>
    <t>WM+ HNI 33 Võng Thị</t>
  </si>
  <si>
    <t>33 Võng Thị, Phường Bưởi, Quận Tây Hồ, TP. Hà Nội Việt Nam</t>
  </si>
  <si>
    <t>5474</t>
  </si>
  <si>
    <t>WM+ HNI CT1B Hateco Apolo</t>
  </si>
  <si>
    <t>Tầng 1, tòa nhà CT1B Hateco Apolo, Phường Phương Canh, Quận Nam Từ Liêm, TP. Hà Nội Việt Nam</t>
  </si>
  <si>
    <t>5484</t>
  </si>
  <si>
    <t>WM+ HNI Thôn An Duyên</t>
  </si>
  <si>
    <t>Thôn An Duyên, Xã Tô Hiệu, Huyện Thường Tín, TP. Hà Nội Việt Nam</t>
  </si>
  <si>
    <t>5485</t>
  </si>
  <si>
    <t>WM+ SLA 223 Chu Văn Thịnh</t>
  </si>
  <si>
    <t>Số 223 Đường Chu Văn Thịnh, Phường Tô Hiệu, Thành phố Sơn La, T. Sơn La Việt Nam</t>
  </si>
  <si>
    <t>5486</t>
  </si>
  <si>
    <t>WM+ HPG 379 Miếu Hai Xã</t>
  </si>
  <si>
    <t>379 Miếu Hai Xã, Phường Dư Hàng Kênh, Quận Lê Chân, TP. Hải Phòng Việt Nam</t>
  </si>
  <si>
    <t>5487</t>
  </si>
  <si>
    <t>WM+ HNI 155 Xóm Đậu</t>
  </si>
  <si>
    <t>Số 155 Xóm Đậu, Thôn Vỹ, Xã Cao Viên, Huyện Thanh Oai, TP. Hà Nội Việt Nam</t>
  </si>
  <si>
    <t>5489</t>
  </si>
  <si>
    <t>WM+ HNI T1 Ô I-HH Dự án Green Pearl</t>
  </si>
  <si>
    <t>Tầng 1, Ô I-HH, Dự án Green Pearl, 378 Minh Khai, Phường Vĩnh Tuy, Quận Hai Bà Trưng, TP. Hà Nội Việt Nam</t>
  </si>
  <si>
    <t>5490</t>
  </si>
  <si>
    <t>WM+ HNI 94 Phố Kim Bài</t>
  </si>
  <si>
    <t>Số 94 Phố Kim Bài, Thị trấn Kim Bài, Huyện Thanh Oai, TP. Hà Nội Việt Nam</t>
  </si>
  <si>
    <t>5491</t>
  </si>
  <si>
    <t>WM+ SLA 17 Đường Lò Văn Giá</t>
  </si>
  <si>
    <t>Số 17 Đường Lò Văn Giá, Phường Chiềng Lề, Thành phố Sơn La, T. Sơn La Việt Nam</t>
  </si>
  <si>
    <t>5495</t>
  </si>
  <si>
    <t>WM+ HNI Kiot 03A+03B+04 CT6 KĐTM Tứ</t>
  </si>
  <si>
    <t>Kiot 03A+03B+04, Tầng 1 Tòa nhà chung cư CT6, Ô đất N04 Khu Đô thị mới Tứ Hiệp, Xã Tứ Hiệp, Huyện Thanh Trì, TP. Hà Nội Việt Nam</t>
  </si>
  <si>
    <t>5497</t>
  </si>
  <si>
    <t>WM+ HBH 665 Cù Chính Lan</t>
  </si>
  <si>
    <t>665 Cù Chính Lan, Phường Phương Lâm, Thành phố Hòa Bình, T. Hòa Bình Việt Nam</t>
  </si>
  <si>
    <t>5501</t>
  </si>
  <si>
    <t>WM+ HNI Thôn Thiết Úng</t>
  </si>
  <si>
    <t>Thôn Thiết Úng, Xã Vân Hà, Huyện Đông Anh, TP. Hà Nội Việt Nam</t>
  </si>
  <si>
    <t>5502</t>
  </si>
  <si>
    <t>WM+ QNH 15 Lý Bôn</t>
  </si>
  <si>
    <t>15 Lý Bôn, Phường Cẩm Đông, Thành phố Cẩm Phả, T. Quảng Ninh Việt Nam</t>
  </si>
  <si>
    <t>5504</t>
  </si>
  <si>
    <t>WM+ HNI 105 Thành Công</t>
  </si>
  <si>
    <t>105 Thành Công, Phường Thành Công, Quận Ba Đình, TP. Hà Nội Việt Nam</t>
  </si>
  <si>
    <t>5505</t>
  </si>
  <si>
    <t>WM+ HNI 106 Dốc Chợ Thành Công</t>
  </si>
  <si>
    <t>106 Dốc Chợ Thành Công, Phường Thành Công, Quận Ba Đình, TP. Hà Nội Việt Nam</t>
  </si>
  <si>
    <t>5508</t>
  </si>
  <si>
    <t>WM+ THA Lô 01-05 MBQH 1087 Ngọc Trạ</t>
  </si>
  <si>
    <t>Lô 01-05 MBQH số 1087 Phường Ngọc Trạo, Thành phố Thanh Hóa, T. Thanh Hóa Việt Nam</t>
  </si>
  <si>
    <t>5509</t>
  </si>
  <si>
    <t>WM+ HNI Thôn 4 Xã Cát Quế</t>
  </si>
  <si>
    <t>Thôn 4 Xã Cát Quế, Huyện Hoài Đức, TP. Hà Nội Việt Nam</t>
  </si>
  <si>
    <t>5511</t>
  </si>
  <si>
    <t>WM+ HNI Tầng 1 Tòa C2 Xuân Đỉnh</t>
  </si>
  <si>
    <t>Tầng 1, tòa nhà C2 thuộc Dự án Khu nhà ở Xuân Đỉnh, Phường Xuân Đỉnh, Quận Bắc Từ Liêm, TP. Hà Nội Việt Nam</t>
  </si>
  <si>
    <t>5513</t>
  </si>
  <si>
    <t>WM+ HNI Đội 7 Thôn Đỗ Xá</t>
  </si>
  <si>
    <t>Đội 7, Thôn Đỗ Xá, Xã Vạn Điểm, Huyện Thường Tín, TP. Hà Nội Việt Nam</t>
  </si>
  <si>
    <t>5514</t>
  </si>
  <si>
    <t>WM+ QNH 07,08 Khu Sân Vườn Cái Dăm</t>
  </si>
  <si>
    <t>Số 07,08 Khu Sân Vườn Cái Dăm, Phường Bãi Cháy, Thành phố Hạ Long, T. Quảng Ninh Việt Nam</t>
  </si>
  <si>
    <t>5516</t>
  </si>
  <si>
    <t>WM+ HPG 102-104 Tô Vũ/ 193 Văn Cao</t>
  </si>
  <si>
    <t>Số 102-104 Tô Vũ/ 193 Văn Cao, Phường Đằng Lâm, Quận Hải An, TP. Hải Phòng Việt Nam</t>
  </si>
  <si>
    <t>5522</t>
  </si>
  <si>
    <t>WM+ HPG Số 4 Đình Đoài</t>
  </si>
  <si>
    <t>Số 4 Đình Đoài, TDP Đình Công, Phường Hải Sơn, Quận Đồ Sơn, TP. Hải Phòng Việt Nam</t>
  </si>
  <si>
    <t>5524</t>
  </si>
  <si>
    <t>WM+ HNI Số 79 ngõ 94 Thượng Thanh</t>
  </si>
  <si>
    <t>Số 79 ngõ 94 Thượng Thanh, Tổ 14, Phường Thượng Thanh, Quận Long Biên, TP. Hà Nội Việt Nam</t>
  </si>
  <si>
    <t>5526</t>
  </si>
  <si>
    <t>WM+ HYN Nhà A CC Phúc Hưng II</t>
  </si>
  <si>
    <t>Tầng 1, nhà A, chung cư Phúc Hưng II, Phường Bần Yên Nhân, Thị xã Mỹ Hào, T. Hưng Yên Việt Nam</t>
  </si>
  <si>
    <t>5535</t>
  </si>
  <si>
    <t>WM+ HNI 174 – 176 Hạ Hội</t>
  </si>
  <si>
    <t>174 – 176 Hạ Hội, Xã Tân Lập, Huyện Đan Phượng, TP. Hà Nội Việt Nam</t>
  </si>
  <si>
    <t>5536</t>
  </si>
  <si>
    <t>WM+ HDG Số 1 Đồng Niên</t>
  </si>
  <si>
    <t>Số 1, Đồng Niên, Phường Việt Hòa, Thành phố Hải Dương, T. Hải Dương Việt Nam</t>
  </si>
  <si>
    <t>5538</t>
  </si>
  <si>
    <t>WM+ HDG Số 111 Chi Lăng</t>
  </si>
  <si>
    <t>Số 111 Chi Lăng, Phường Nguyễn Trãi, Thành phố Hải Dương, T. Hải Dương Việt Nam</t>
  </si>
  <si>
    <t>5539</t>
  </si>
  <si>
    <t>WM+ HNI 124 Thanh Ấm</t>
  </si>
  <si>
    <t>124 Thanh Ấm, Thị trấn Vân Đình, Huyện Ứng Hòa, TP. Hà Nội Việt Nam</t>
  </si>
  <si>
    <t>5540</t>
  </si>
  <si>
    <t>WM+ NAN 243 Phùng Chí Kiên</t>
  </si>
  <si>
    <t>243 Phùng Chí Kiên, P.Hà Huy Tập, Thành phố Vinh, T. Nghệ An Việt Nam</t>
  </si>
  <si>
    <t>5542</t>
  </si>
  <si>
    <t>WM+ HNI 324 phố Đồng Dinh</t>
  </si>
  <si>
    <t>Số 324 phố Đồng Dinh,Tổ 13, Phường Thạch Bàn, Quận Long Biên, TP. Hà Nội Việt Nam</t>
  </si>
  <si>
    <t>5543</t>
  </si>
  <si>
    <t>WM+ QNH 154 Đặng Châu Tuệ</t>
  </si>
  <si>
    <t>Số 154 Đặng Châu Tuệ, Phường Quang Hanh, Thành phố Cẩm Phả, T. Quảng Ninh Việt Nam</t>
  </si>
  <si>
    <t>5546</t>
  </si>
  <si>
    <t>WM+ HNI Xóm 6 Thôn 3 Xã Thạch Thán</t>
  </si>
  <si>
    <t>Xóm 6,Thôn 3 Xã Thạch Thán, Huyện Quốc Oai, TP. Hà Nội Việt Nam</t>
  </si>
  <si>
    <t>5553</t>
  </si>
  <si>
    <t>WM+ HNI 32 Phan Đình Giót</t>
  </si>
  <si>
    <t>32 Phan Đình Giót, Phường Phương Liệt, Quận Thanh Xuân, TP. Hà Nội Việt Nam</t>
  </si>
  <si>
    <t>5554</t>
  </si>
  <si>
    <t>WM+ HNI B12A Tòa B Imperia Sky Gard</t>
  </si>
  <si>
    <t>B12A, tầng 1, Tòa B, Tổ hợp công trình hỗn hợp TMDV, văn, phòng, nhà ở, nhà trẻ, trường học, 423, Minh Khai, P. Vĩnh Tuy, Q. Hai Bà Trưng TP. Hà Nội Việt Nam</t>
  </si>
  <si>
    <t>5555</t>
  </si>
  <si>
    <t>WIN HNI CT2B Nghĩa Đô</t>
  </si>
  <si>
    <t>Tầng 1, tòa nhà CT2B thuộc Dự án đầu tư Khu đô, thị mới Nghĩa Đô, Phường Cổ Nhuế 1, Quận Bắc Từ Liêm, TP. Hà Nội Việt Nam</t>
  </si>
  <si>
    <t>5562</t>
  </si>
  <si>
    <t>WM+ TBH 341 Lý Thường Kiệt</t>
  </si>
  <si>
    <t>341 Lý Thường Kiệt, Phường Trần Lãm, TP Thái Bình, T. Thái Bình Việt Nam</t>
  </si>
  <si>
    <t>5564</t>
  </si>
  <si>
    <t>WM+ THA 150-152 Trần Hưng Đạo</t>
  </si>
  <si>
    <t>Số 150-152 Trần Hưng Đạo, Phường Nam Ngạn, TP. Thanh Hóa, T. Thanh Hóa Việt Nam</t>
  </si>
  <si>
    <t>5567</t>
  </si>
  <si>
    <t>WM+ HNI 265 Bạch Đằng</t>
  </si>
  <si>
    <t>265 Bạch Đằng, Phường Chương Dương, Quận Hoàn Kiếm, TP. Hà Nội Việt Nam</t>
  </si>
  <si>
    <t>5568</t>
  </si>
  <si>
    <t>WM+ THA 10 Lê Hoàn</t>
  </si>
  <si>
    <t>10 Lê Hoàn, Phường Điện Biên, TP. Thanh Hóa, T. Thanh Hóa Việt Nam</t>
  </si>
  <si>
    <t>5569</t>
  </si>
  <si>
    <t>WM+ HNI Khu Thá, Sóc Sơn</t>
  </si>
  <si>
    <t>Khu Thá, xã Xuân Giang, huyện Sóc Sơn, Hà Nội Việt Nam</t>
  </si>
  <si>
    <t>5570</t>
  </si>
  <si>
    <t>WM+ HNI 125 Đông Mỹ</t>
  </si>
  <si>
    <t>125 đường Đông Mỹ, Xã Đông Mỹ, Huyện Thanh Trì, Hà Nội Việt Nam</t>
  </si>
  <si>
    <t>5572</t>
  </si>
  <si>
    <t>WM+ HNI Kim Thượng, Kim Lũ</t>
  </si>
  <si>
    <t>Thôn Kim Thượng, Xã Kim Lũ, huyện Sóc Sơn, Hà Nội Việt Nam</t>
  </si>
  <si>
    <t>5573</t>
  </si>
  <si>
    <t>WM+ HNI 36 Đình Thôn</t>
  </si>
  <si>
    <t>Số 36 Đình Thôn, Phường Mỹ Đình 1, Quận Nam Từ Liêm, Hà Nội Việt Nam</t>
  </si>
  <si>
    <t>5574</t>
  </si>
  <si>
    <t>WM+ HNI 2 Kỳ Vũ</t>
  </si>
  <si>
    <t>Số 2 Kỳ Vũ, Phường Thượng Cát, Quận Bắc Từ Liêm, Hà Nội Việt Nam</t>
  </si>
  <si>
    <t>5575</t>
  </si>
  <si>
    <t>WM+ NAN 1 Lê Mao</t>
  </si>
  <si>
    <t>Số 01 Lê Mao kéo dài, P.Hồng Sơn, TP.Vinh, Nghệ An Việt Nam</t>
  </si>
  <si>
    <t>5576</t>
  </si>
  <si>
    <t>WM+ HNI 15 Dịch Vọng Hậu</t>
  </si>
  <si>
    <t>Số 15 Dịch Vọng Hậu, phường Dịch Vọng Hậu, quận Cầu Giấy, Hà Nội Việt Nam</t>
  </si>
  <si>
    <t>5577</t>
  </si>
  <si>
    <t>WM+ HNI TDP 2 Mễ Trì Thượng</t>
  </si>
  <si>
    <t>TDP 2 Mễ Trì Thượng, phường Mễ Trì, quận Nam Từ Liêm, Hà Nội Việt Nam</t>
  </si>
  <si>
    <t>5578</t>
  </si>
  <si>
    <t>WM+ HNI Lô 1-3/E-F, MD Complex Towe</t>
  </si>
  <si>
    <t>Lô 1-3/E-F, Tòa nhà MD Complex Tower, 68 Nguyễn Cơ Thạch, P. Cầu Diễn, Q. Nam Từ Liêm, Hà Nội Việt Nam</t>
  </si>
  <si>
    <t>5579</t>
  </si>
  <si>
    <t>WM+ HNI 43-45 Phan Xích</t>
  </si>
  <si>
    <t>43-45 Phan Xích, Xã Tân Hội, Huyện Đan Phương, Hà Nội Việt Nam</t>
  </si>
  <si>
    <t>5580</t>
  </si>
  <si>
    <t>WM+ HNI Dốc Đa Tốn</t>
  </si>
  <si>
    <t>Thôn Thuận Tốn, Xã Đa Tốn, Huyện Gia Lâm, Hà Nội Việt Nam</t>
  </si>
  <si>
    <t>5581</t>
  </si>
  <si>
    <t>WM+ HNI Đức Hòa, Sóc Sơn</t>
  </si>
  <si>
    <t>Xóm Mới, thôn Đức Hậu, xã Đức Hòa, huyện Sóc Sơn, Hà Nội Việt Nam</t>
  </si>
  <si>
    <t>5582</t>
  </si>
  <si>
    <t>WM+ HNI S2.06 Ocean Park</t>
  </si>
  <si>
    <t>1S5A, Tầng 1 Tòa nhà số P06, Dự án Vinhomes Ocean Park, Thị trấn Trâu Quỳ, Huyện Gia Lâm, Hà Nội Việt Nam</t>
  </si>
  <si>
    <t>5584</t>
  </si>
  <si>
    <t>WM+ HNI 50 Thúy Lĩnh</t>
  </si>
  <si>
    <t>50 Thuý Lĩnh, phường Lĩnh Nam, quận Hoàng Mai, Hà Nội Việt Nam</t>
  </si>
  <si>
    <t>5585</t>
  </si>
  <si>
    <t>WM+ HNI Tòa D Việt Đức Complex</t>
  </si>
  <si>
    <t>Lô DTM01, Tầng 1, Tòa D Viet Duc Complex, ngõ 164 Khuất Duy Tiến, P. Nhân Chính, Q. Thanh Xuân, Hà Nội Việt Nam</t>
  </si>
  <si>
    <t>5586</t>
  </si>
  <si>
    <t>WM+ HNI Thôn 2 Xã Lại Yên</t>
  </si>
  <si>
    <t>Thôn 2, Xã Lại Yên, Huyện Hoài Đức, Hà Nội Việt Nam</t>
  </si>
  <si>
    <t>5587</t>
  </si>
  <si>
    <t>WM+ BNH 46 Thanh Bình</t>
  </si>
  <si>
    <t>46 phố Thanh Bình, phường Đồng Kỵ, thị xã Từ Sơn, Bắc Ninh Việt Nam</t>
  </si>
  <si>
    <t>5589</t>
  </si>
  <si>
    <t>WM+ HNI 102 Hoàng Đạo Thành</t>
  </si>
  <si>
    <t>Số 102 Hoàng Đạo Thành, Phường Kim Giang, Thanh Xuân, Hà Nội Việt Nam</t>
  </si>
  <si>
    <t>5590</t>
  </si>
  <si>
    <t>WM+ HDG 28A Tam Giang</t>
  </si>
  <si>
    <t>28A Tam Giang, phường Trần Hưng Đạo, thành phố Hải Dương, Hải Dương Việt Nam</t>
  </si>
  <si>
    <t>5592</t>
  </si>
  <si>
    <t>WM+ HYN 9 Nguyễn Thiện Thuật</t>
  </si>
  <si>
    <t>09 Nguyễn Thiện Thuật, phường Lê Lợi, TP Hưng Yên, Hưng Yên Việt Nam</t>
  </si>
  <si>
    <t>5593</t>
  </si>
  <si>
    <t>WM+ QNH 70 Giếng Đồn</t>
  </si>
  <si>
    <t>70 Giếng Đồn, phường Trần Hưng Đạo, TP Hạ Long, Quảng Ninh Việt Nam</t>
  </si>
  <si>
    <t>5594</t>
  </si>
  <si>
    <t>WM+ HDG 37 Phạm Văn Đồng</t>
  </si>
  <si>
    <t>37 Phạm Văn Đồng, Phường Thanh Bình, TP.Hải Dương, Hải Dương Việt Nam</t>
  </si>
  <si>
    <t>5595</t>
  </si>
  <si>
    <t>WM+ HNI 200 Hoàng Hoa Thám</t>
  </si>
  <si>
    <t>200 Hoàng Hoa Thám, phường Thụy Khuê , Quận Tây Hồ, , TP. Hà Nội, Việt Nam</t>
  </si>
  <si>
    <t>5596</t>
  </si>
  <si>
    <t>WM+ TNN 379/1 Cách Mạng Tháng Tám</t>
  </si>
  <si>
    <t>379/1 Đường Cách Mạng Tháng Tám, Phường Hương Sơn, TP Thái Nguyên, Thái Nguyên Việt Nam</t>
  </si>
  <si>
    <t>5597</t>
  </si>
  <si>
    <t>WM+ TQG Tổ 4 Phường Nông Tiến</t>
  </si>
  <si>
    <t>Tổ 4, Phường Nông Tiến, Thành phố Tuyên Quang, Tuyên Quang Việt Nam</t>
  </si>
  <si>
    <t>5598</t>
  </si>
  <si>
    <t>WM+ TQG Xóm 8 xã Trung Môn</t>
  </si>
  <si>
    <t>Xóm 8, Xã Trung Môn, Huyện Yên Sơn, Tuyên Quang Việt Nam</t>
  </si>
  <si>
    <t>5601</t>
  </si>
  <si>
    <t>WM+ NAN 62 Phạm Hồng Thái</t>
  </si>
  <si>
    <t>62 Phạm Hồng Thái, Phường Vinh Tân, TP Vinh, Nghệ An Việt Nam</t>
  </si>
  <si>
    <t>5602</t>
  </si>
  <si>
    <t>WM+ HNI 88 Kim Giang</t>
  </si>
  <si>
    <t>Số 88, 90 đường Kim Giang, tổ 33, phường Đại Kim, Quận Hoàng Mai, Hà Nội Việt Nam</t>
  </si>
  <si>
    <t>5603</t>
  </si>
  <si>
    <t>WM+ THA 593 Trần Phú</t>
  </si>
  <si>
    <t>593 Trần Phú, Phường Lam Sơn, Thị xã Bỉm Sơn, Thanh Hóa Việt Nam</t>
  </si>
  <si>
    <t>5604</t>
  </si>
  <si>
    <t>WM+ HNI 101 Ngõ 52 Lương Thế Vinh</t>
  </si>
  <si>
    <t>Số 101 Ngõ 52 Lương Thế Vinh, Phường Thanh Xuân Bắc, Quận Thanh Xuân, Hà Nội Việt Nam</t>
  </si>
  <si>
    <t>5605</t>
  </si>
  <si>
    <t>WM+ HNI S2.09 Ocean Park</t>
  </si>
  <si>
    <t>1S09, Tầng 1 Tòa nhà số S2.09, Dự án Vinhomes Ocean Park, Xã Đa Tốn, Huyện Gia Lâm, TP. Hà Nội Việt Nam</t>
  </si>
  <si>
    <t>5609</t>
  </si>
  <si>
    <t>WM+ HNI S2.16 Ocean Park</t>
  </si>
  <si>
    <t>1S5A, Tầng 1 Tòa nhà số S2.16, Dự án Vinhomes Ocean Park, Xã Đa Tốn, Huyện Gia Lâm, Hà Nội Việt Nam</t>
  </si>
  <si>
    <t>5610</t>
  </si>
  <si>
    <t>WM+ HTH 08 Đường 3/2 Hồng Lĩnh</t>
  </si>
  <si>
    <t>Số 8 đường 3/2, phường Bắc Hồng, thị xã Hồng Lĩnh, Hà Tĩnh Việt Nam</t>
  </si>
  <si>
    <t>5612</t>
  </si>
  <si>
    <t>WM+ HNI D10-D11 Imperia Sky Garden</t>
  </si>
  <si>
    <t>D10+D11 Tầng 1 Khối nhà A, Tổ hợp công trình hỗn hợp TMDV VP và nhà ở, Số 423 Minh Khai, Phường Vĩnh Tuy, Quận Hai Bà Trưng, TP. Hà Nội Việt Nam</t>
  </si>
  <si>
    <t>5613</t>
  </si>
  <si>
    <t>WM+ HNI 291 Xuân Phương</t>
  </si>
  <si>
    <t>Số 291, TDP số 5 phường Xuân Phương, quận Nam Từ Liêm, TP. Hà Nội Việt Nam</t>
  </si>
  <si>
    <t>5614</t>
  </si>
  <si>
    <t>WM+ HNI 78 ngõ 189 Hoàng Hoa Thám</t>
  </si>
  <si>
    <t>Số 78 ngõ 189 đường Hoàng Hoa Thám, phường Liễu Giai, Quận Ba Đình, TP. Hà Nội Việt Nam</t>
  </si>
  <si>
    <t>5616</t>
  </si>
  <si>
    <t>WM+ HNI S2.03 Ocean Park</t>
  </si>
  <si>
    <t>1S02, Tầng 1 Tòa nhà số S2.03, Dự án Vinhomes Ocean Park, Xã Đa Tốn, Huyện Gia Lâm, TP. Hà Nội Việt Nam</t>
  </si>
  <si>
    <t>5618</t>
  </si>
  <si>
    <t>WM+ HNI TMDV-1B Kosmo Tây Hồ</t>
  </si>
  <si>
    <t>Khu Thương Mại Dịch Vụ TMDV-1B, Tầng 1, Dự án Newtatco – Kosmo Tây Hồ, 161 Xuân La, P. Xuân Tảo, Q.Bắc Từ Liêm TP Hà Nội Việt Nam</t>
  </si>
  <si>
    <t>5619</t>
  </si>
  <si>
    <t>WM+ HNI 07-09 Cổ Vân</t>
  </si>
  <si>
    <t>Số nhà 07-09 đường Cổ Vân, thôn Dục Nội, xã Việt Hùng, huyện Đông Anh TP. Hà Nội Việt Nam</t>
  </si>
  <si>
    <t>5621</t>
  </si>
  <si>
    <t>WM+ HNI S2.10 Ocean Park</t>
  </si>
  <si>
    <t>1S17, Tầng 1 Tòa nhà số S2.10, Dự án Vinhomes Ocean Park, Xã Đa Tốn, Huyện Gia Lâm, Thành phố Hà Nội Việt Nam</t>
  </si>
  <si>
    <t>5622</t>
  </si>
  <si>
    <t>WM+ HNI S1.11 Ocean Park</t>
  </si>
  <si>
    <t>1S02, Tầng 1 Tòa nhà số S1.11, Dự án Vinhomes Ocean Park, Xã Đa Tốn, Huyện Gia Lâm, Thành phố Hà Nội Việt Nam</t>
  </si>
  <si>
    <t>5623</t>
  </si>
  <si>
    <t>WM+ QNH 01 Hậu Cần</t>
  </si>
  <si>
    <t>Số 01 Đường Hậu Cần, Phường Bãi Cháy, Thành phố Hạ Long, Tỉnh Quảng Ninh Việt Nam</t>
  </si>
  <si>
    <t>5625</t>
  </si>
  <si>
    <t>WM+ QNH 283 Trần Quốc Tảng</t>
  </si>
  <si>
    <t>Số 283 Trần Quốc Tảng, phường Cẩm Thịnh, TP Cẩm Phả, T. Quảng Ninh Việt Nam</t>
  </si>
  <si>
    <t>5629</t>
  </si>
  <si>
    <t>WM+ HNI S3.S05 VinHomes Symphony</t>
  </si>
  <si>
    <t>Ô 1S05 Tầng 1 Tòa Nhà Số S3, VinHomes Symphony, đường Hoa Phượng, Phường Phúc Lợi Quận Long Biên, Thành phố Hà Nội TP. Hà Nội Việt Nam</t>
  </si>
  <si>
    <t>5630</t>
  </si>
  <si>
    <t>WM+ QBH 161 Hai Bà Trưng</t>
  </si>
  <si>
    <t>Số 161 Hai Bà Trưng, phường Đồng Phú, TP. Đồng Hới, Tỉnh Quảng Bình. Việt Nam</t>
  </si>
  <si>
    <t>5634</t>
  </si>
  <si>
    <t>WM+ HNI 167 Phú Diễn</t>
  </si>
  <si>
    <t>Số 167 Phú Diễn, tổ 13, phường Phú Diễn, quận Bắc Từ Liêm, Thành phố Hà Nội Việt Nam</t>
  </si>
  <si>
    <t>5635</t>
  </si>
  <si>
    <t>WM+ HNI S1.05 Ocean Park</t>
  </si>
  <si>
    <t>1S12, Tầng 1 Tòa nhà số S1.05, Dự án Vinhomes Ocean Park, Xã Đa Tốn, Huyện Gia Lâm, Thành phố Hà Nội Việt Nam</t>
  </si>
  <si>
    <t>5636</t>
  </si>
  <si>
    <t>WM+ HNI S1.09 Ocean Park</t>
  </si>
  <si>
    <t>1S18, Tầng 1 Tòa nhà số S1.09, Dự án Vinhomes Ocean Park, Xã Đa Tốn, Huyện Gia Lâm, Thành phố Hà Nội Việt Nam</t>
  </si>
  <si>
    <t>5638</t>
  </si>
  <si>
    <t>WM+ HYN CT2 KĐT Lạc Hồng Phúc</t>
  </si>
  <si>
    <t>Căn hộ số 102-103, Toà nhà đơn nguyên CT2, KĐT Lạc Hồng Phúc, Đ. Nguyễn Bình, P. Nhân Hoà, Thị xã Mỹ Hào, Tỉnh Hưng Yên Việt Nam</t>
  </si>
  <si>
    <t>5640</t>
  </si>
  <si>
    <t>WM+ HNI N01 T8 Ngoại Giao Đoàn</t>
  </si>
  <si>
    <t>Ô TM 2 (X4-X8/Y8-Y9) Tầng trệt Nhà ở cao tầng N01-T8 Khu Ngoại Giao Đoàn, P. Xuân Tảo, Q. Bắc Từ Liêm TP. Hà Nội Việt Nam</t>
  </si>
  <si>
    <t>5642</t>
  </si>
  <si>
    <t>WM+ NAN 243 Lê Viết Thuật</t>
  </si>
  <si>
    <t>Số 243 Lê Viết Thuật, P. Hưng Lộc, Tp. Vinh, T. Nghệ An Việt Nam</t>
  </si>
  <si>
    <t>5643</t>
  </si>
  <si>
    <t>WM+ HNI 77 Trần Quốc Vượng</t>
  </si>
  <si>
    <t>Số 77 Trần Quốc Vượng, phường Dịch Vọng Hậu, quận Cầu Giấy, TP. Hà Nội Việt Nam</t>
  </si>
  <si>
    <t>5644</t>
  </si>
  <si>
    <t>WM+ HNI Số 1 B5 Giảng Võ (8 Núi Trú</t>
  </si>
  <si>
    <t>Số 8 Núi Trúc, Phường Giảng Võ, Quận Ba Đình, TP. Hà Nội Việt Nam</t>
  </si>
  <si>
    <t>5646</t>
  </si>
  <si>
    <t>WM+ BNH 69 Hồ Ngọc Lân</t>
  </si>
  <si>
    <t>69 Hồ Ngọc Lân, phường Kinh Bắc, TP Bắc Ninh, Tỉnh Bắc Ninh Việt Nam</t>
  </si>
  <si>
    <t>5653</t>
  </si>
  <si>
    <t>WM+ QNH 81 Đường 334 TT Cái Rồng</t>
  </si>
  <si>
    <t>Số 81 Đường 334 Thị trấn Cái Rồng, Huyện Vân Đồn, Tỉnh Quảng Ninh Việt Nam</t>
  </si>
  <si>
    <t>5654</t>
  </si>
  <si>
    <t>WM+ HNI 132 Trần Phú, Thường Tín</t>
  </si>
  <si>
    <t>132 Trần Phú, Thị trấn Thường Tín, Huyện Thường Tín, Thành phố Hà Nội Việt Nam</t>
  </si>
  <si>
    <t>5656</t>
  </si>
  <si>
    <t>WM+ VPC 50 Nguyễn Văn Linh</t>
  </si>
  <si>
    <t>50 Nguyễn Văn Linh, Phường Xuân Hòa, TP. Phúc Yên Vĩnh Phúc Việt Nam</t>
  </si>
  <si>
    <t>5658</t>
  </si>
  <si>
    <t>WM+ BNH Thôn Đồng Xép</t>
  </si>
  <si>
    <t>Ngã 3 cây xăng Thôn Đồng Xép, x. Hoàn Sơn, h. Tiên Du, T. Bắc Ninh Việt Nam</t>
  </si>
  <si>
    <t>5659</t>
  </si>
  <si>
    <t>WM+ HNI 92 Tô Vĩnh Diện</t>
  </si>
  <si>
    <t>Số 92 Tô Vĩnh Diện,P. Khương Trung, Quận Thanh Xuân TP. Hà Nội Việt Nam</t>
  </si>
  <si>
    <t>5660</t>
  </si>
  <si>
    <t>WM+ HYN 463 TT Văn Giang</t>
  </si>
  <si>
    <t>Số 463 Thị trấn Văn Giang, Huyện Văn Giang, Tỉnh Hưng Yên Việt Nam</t>
  </si>
  <si>
    <t>5662</t>
  </si>
  <si>
    <t>WM+ HNI Tản Lĩnh, Ba Vì</t>
  </si>
  <si>
    <t>Thôn Đức Thịnh, xã Tản Lĩnh, huyện Ba Vì, TP. Hà Nội Việt Nam</t>
  </si>
  <si>
    <t>5663</t>
  </si>
  <si>
    <t>WM+ THA 66B Phố Thiều</t>
  </si>
  <si>
    <t>Số 66B Phố Thiều, xã Dân Lý, huyện Triệu Sơn, tỉnh Thanh Hóa Việt Nam</t>
  </si>
  <si>
    <t>5664</t>
  </si>
  <si>
    <t>WM+ HNI 117-119 Yên Phụ</t>
  </si>
  <si>
    <t>Số 117 – 119 Yên Phụ, phường Yên Phụ, quận Tây Hồ, TP. Hà Nội Việt Nam</t>
  </si>
  <si>
    <t>5665</t>
  </si>
  <si>
    <t>WM+ HNI 256 Giang Cao, Bát Tràng</t>
  </si>
  <si>
    <t>Số 256 Giang Cao, Xã Bát Tràng, Huyện Gia Lâm, TP. Hà Nội Việt Nam</t>
  </si>
  <si>
    <t>5666</t>
  </si>
  <si>
    <t>WM+ HNI Thôn Dương Đá, Gia Lâm</t>
  </si>
  <si>
    <t>Thôn Dương Đá, Xã Dương Xá, Huyện Gia Lâm, TP. Hà Nội Việt Nam</t>
  </si>
  <si>
    <t>5667</t>
  </si>
  <si>
    <t>WM+ HNI Thôn Trùng Quán, Gia Lâm</t>
  </si>
  <si>
    <t>Thôn Trùng Quán, Xã Yên Thường, Huyện Gia Lâm, TP. Hà Nội Việt Nam</t>
  </si>
  <si>
    <t>5669</t>
  </si>
  <si>
    <t>WM+ HNI 15 Xóm Chợ Yêm, Sóc Sơn</t>
  </si>
  <si>
    <t>Số nhà 15 Xóm chợ Yêm, Xã Đông Xuân, Huyện Sóc Sơn, TP. Hà Nội Việt Nam</t>
  </si>
  <si>
    <t>5670</t>
  </si>
  <si>
    <t>WM+ BGG 08 Lý Thường Kiệt</t>
  </si>
  <si>
    <t>Số 8, đường Lý Thường Kiệt, thị trấn Thắng, huyện Hiệp Hòa, Bắc Giang Việt Nam</t>
  </si>
  <si>
    <t>5671</t>
  </si>
  <si>
    <t>WM+ TBH 147-149 Trần Phú</t>
  </si>
  <si>
    <t>Số 147-149 đường Trần Phú, phường Trần Hưng Đạo, T. Thái Bình Việt Nam</t>
  </si>
  <si>
    <t>5674</t>
  </si>
  <si>
    <t>WM+ HNI Xóm 8 Thôn 2 Chợ Thạch Đà</t>
  </si>
  <si>
    <t>Xóm 8, Thôn 2 Chợ Thạch Đà, Thạch Đà, Mê Linh, TP. Hà Nội Việt Nam</t>
  </si>
  <si>
    <t>5675</t>
  </si>
  <si>
    <t>WM+ HNI S1.01 VinHomes Tây Mỗ</t>
  </si>
  <si>
    <t>Căn 01-02 SH12, tầng 1 + tầng 2 tòa nhà S1.01(Z34.2) lô F1-Ch01, thuộc dự án KĐTM Tây Mỗ Đại Mỗ - Vinhomes Park, Q. Nam Từ Liêm TP. Hà Nội Việt Nam</t>
  </si>
  <si>
    <t>5676</t>
  </si>
  <si>
    <t>WM+ BNH 112B-112C Phố Hạ, Từ Sơn</t>
  </si>
  <si>
    <t>112B - 112C phố Hạ, Đình Bảng, Thị xã Từ Sơn, Bắc Ninh Việt Nam</t>
  </si>
  <si>
    <t>5677</t>
  </si>
  <si>
    <t>WM+ HNI Ki ốt 05-06 OCT5 Resco Cổ N</t>
  </si>
  <si>
    <t>Ki ốt 05-06, Ô đất OCT5, Khu đô thị mới Cổ Nhuế - Xuân Đỉnh, phường Cổ Nhuế 2, quận Bắc Từ Liêm, TP. Hà Nội Việt Nam</t>
  </si>
  <si>
    <t>5678</t>
  </si>
  <si>
    <t>WM+ HDG 63 Lê Thanh Nghị, Gia Lộc</t>
  </si>
  <si>
    <t>63 đường Lê Thanh Nghị, Thị trấn Gia Lộc, Huyện Gia Lộc, Tỉnh Hải Dương Việt Nam</t>
  </si>
  <si>
    <t>5679</t>
  </si>
  <si>
    <t>WM+ VPC Ngã 5 Tam Hồng, Yên Lạc</t>
  </si>
  <si>
    <t>Thôn Phù Lưu, xã Tam Hồng, huyện Yên Lạc, Tỉnh Vĩnh Phúc Việt Nam</t>
  </si>
  <si>
    <t>5680</t>
  </si>
  <si>
    <t>WM+ HNI 55/159/354 Trường Chinh</t>
  </si>
  <si>
    <t>Số 55 ngách 159 ngõ 354 Trường Chinh, p. Khương Thượng, Q. Đống Đa, Hà Nội TP. Hà Nội Việt Nam</t>
  </si>
  <si>
    <t>5681</t>
  </si>
  <si>
    <t>WM+ HNI 73 Vũ Ngọc Phan</t>
  </si>
  <si>
    <t>73 Vũ Ngọc Phan, phường Láng Hạ, quận Đống Đa, TP. Hà Nội Việt Nam</t>
  </si>
  <si>
    <t>5682</t>
  </si>
  <si>
    <t>WM+ QNH 590 Nguyễn Đức Cảnh</t>
  </si>
  <si>
    <t>số 590 đường Nguyễn Đức Cảnh, P Quang Hanh, TP Cẩm Phả, T. Quảng Ninh Việt Nam</t>
  </si>
  <si>
    <t>5683</t>
  </si>
  <si>
    <t>WM+ BGG 61 Đường 19/5, Hiệp Hòa</t>
  </si>
  <si>
    <t>Số 61, Đường 19/5, Thị trấn Thắng, Huyện Hiệp Hòa, T. Bắc Giang Việt Nam</t>
  </si>
  <si>
    <t>5684</t>
  </si>
  <si>
    <t>WM+ VPC TDP Quang Vinh, Bình Xuyên</t>
  </si>
  <si>
    <t>Tổ dân phố Quang Vinh, thị trấn Bá Hiến huyện Bình Xuyên, Tỉnh Vĩnh Phúc Việt Nam</t>
  </si>
  <si>
    <t>5685</t>
  </si>
  <si>
    <t>WM+ HNI Thôn 4 Canh Nậu, Thạch Thất</t>
  </si>
  <si>
    <t>Thôn 4, Xã Canh Nậu, Huyện Thạch Thất, TP. Hà Nội Việt Nam</t>
  </si>
  <si>
    <t>5686</t>
  </si>
  <si>
    <t>WM+ HNI Xóm 4 Đoan Nữ, Mỹ Đức</t>
  </si>
  <si>
    <t>Xóm 4, Thôn Đoan Nữ, Xã An Mỹ, Huyện Mỹ Đức, TP. Hà Nội Việt Nam</t>
  </si>
  <si>
    <t>5688</t>
  </si>
  <si>
    <t>WM+ HGG 504 Lý Thường Kiệt</t>
  </si>
  <si>
    <t>Số 504 Lý Thường Kiệt, Phường Ngọc Hà, Thành phố Hà Giang, Tỉnh Hà Giang Việt Nam</t>
  </si>
  <si>
    <t>5689</t>
  </si>
  <si>
    <t>WM+ PTO 188 Đường Nam, Phù Ninh</t>
  </si>
  <si>
    <t>Số 188 Đường Nam, Thị trấn Phong Châu, Huyện Phù Ninh, T. Phú Thọ Việt Nam</t>
  </si>
  <si>
    <t>5690</t>
  </si>
  <si>
    <t>WM+ HNI Thôn Tri Lễ, Phú Xuyên</t>
  </si>
  <si>
    <t>Thôn Tri Lễ, Xã Quang Trung, Huyện Phú Xuyên, TP. Hà Nội Việt Nam</t>
  </si>
  <si>
    <t>5692</t>
  </si>
  <si>
    <t>WM+ NAN Xóm 9 Diễn Thành, Diễn Châu</t>
  </si>
  <si>
    <t>Xóm 9, Xã Diễn Thành, Huyện Diễn Châu, T. Nghệ An Việt Nam</t>
  </si>
  <si>
    <t>5693</t>
  </si>
  <si>
    <t>WM+ HDG 29 Nguyễn Đăng Lành, Nam Sá</t>
  </si>
  <si>
    <t>Số 29 Nguyễn Đăng Lành, Thị trấn Nam Sách, Huyện Nam Sách, T. Hải Dương Việt Nam</t>
  </si>
  <si>
    <t>5694</t>
  </si>
  <si>
    <t>WM+ HDG 40 Trần Hưng Đạo, Nam Sách</t>
  </si>
  <si>
    <t>Số 40, đường Trần Hưng Đạo, Thị trấn Nam Sách, Huyện Nam Sách, T. Hải Dương Việt Nam</t>
  </si>
  <si>
    <t>5695</t>
  </si>
  <si>
    <t>WM+ BNH 567-569 Hoàng Quốc Việt</t>
  </si>
  <si>
    <t>567 – 569 Hoàng Quốc Việt, phường Thị Cầu, thành phố Bắc Ninh T. Bắc Ninh Việt Nam</t>
  </si>
  <si>
    <t>5696</t>
  </si>
  <si>
    <t>WM+ QNH Tổ 5 Khu 9A Bãi Cháy</t>
  </si>
  <si>
    <t>Tổ 5 khu 9A phường Bãi Cháy, Tp Hạ Long, T. Quảng Ninh Việt Nam</t>
  </si>
  <si>
    <t>5698</t>
  </si>
  <si>
    <t>WM+ HNI 242 Mỹ Đình</t>
  </si>
  <si>
    <t>Số 242 Đường Mỹ Đình, phường Mỹ Đình 2 Q. Nam Từ Liêm Việt Nam</t>
  </si>
  <si>
    <t>5699</t>
  </si>
  <si>
    <t>WM+ TBH 345 Trần Hưng Đạo</t>
  </si>
  <si>
    <t>Số 345 Trần Hưng Đạo, tổ 11, phường Trần Hưng Đạo, thành phố Thái Bình, T. Thái Bình Việt Nam</t>
  </si>
  <si>
    <t>5700</t>
  </si>
  <si>
    <t>WM+ HDG TT Phủ, Bình Giang</t>
  </si>
  <si>
    <t>Thị trấn Phủ, Xã Thái Học, Huyện Bình Giang, T. Hải Dương Việt Nam</t>
  </si>
  <si>
    <t>5701</t>
  </si>
  <si>
    <t>WM+ HGG 395 Nguyễn Thái Học</t>
  </si>
  <si>
    <t>Số 395 Nguyễn Thái Học, Phường Trần Phú, Thành phố Hà Giang, T. Hà Giang Việt Nam</t>
  </si>
  <si>
    <t>5706</t>
  </si>
  <si>
    <t>WM+ HYN Ngã Tư Bô Thời, Khoái Châu</t>
  </si>
  <si>
    <t>Thị Tứ Bô Thời, Xã Hồng Tiến, Huyện Khoái Châu, Tỉnh Hưng Yên Việt Nam</t>
  </si>
  <si>
    <t>5708</t>
  </si>
  <si>
    <t>WM+ HGG 857A Trường Chinh, Bắc Quan</t>
  </si>
  <si>
    <t>Số 857A Trường Chinh, tổ 7, Thị trấn Việt Quang, H. Bắc Quang T. Hà Giang Việt Nam</t>
  </si>
  <si>
    <t>5709</t>
  </si>
  <si>
    <t>WM+ NBH 518 Nguyễn Công Trứ</t>
  </si>
  <si>
    <t>Số 518, đ. Nguyễn Công Trứ, P. Ninh Sơn Thành phố Ninh Bình, Tỉnh Ninh Bình Việt Nam</t>
  </si>
  <si>
    <t>5710</t>
  </si>
  <si>
    <t>WM+ HNI L1-07 FLC Phạm Hùng</t>
  </si>
  <si>
    <t>L1 - 07, Tòa nhà FLC COMPLEX, Số 36 đường Phạm Hùng, phường Mỹ Đình 2, quận Nam Từ Liêm, TP. Hà Nội Việt Nam</t>
  </si>
  <si>
    <t>5711</t>
  </si>
  <si>
    <t>WM+ QNH 28 Lý Anh Tông, TT Cái Rồng</t>
  </si>
  <si>
    <t>28 Lý Anh Tông, Thị Trấn Cái Rồng, huyện Vân Đồn, T. Quảng Ninh Việt Nam</t>
  </si>
  <si>
    <t>5713</t>
  </si>
  <si>
    <t>WM+ BNH 167 Chợ Sơn, Tiên Du</t>
  </si>
  <si>
    <t>Số 167 Chợ Sơn, xã Việt Đoàn, huyện Tiên Du, tỉnh Bắc Ninh Việt Nam</t>
  </si>
  <si>
    <t>5714</t>
  </si>
  <si>
    <t>WM+ HNI 25 Ngõ 173/24 Hoàng Hoa Thá</t>
  </si>
  <si>
    <t>Số 25 ngách 173/24 đường Hoàng Hoa Thám, phường Ngọc Hà, Quận Ba Đình, TP. Hà Nội Việt Nam</t>
  </si>
  <si>
    <t>5715</t>
  </si>
  <si>
    <t>WM+ NDH 167 Phù Nghĩa</t>
  </si>
  <si>
    <t>167 Phù Nghĩa, phường Hạ Long, TP. Nam Định, tỉnh Nam Định T. Nam Định Việt Nam</t>
  </si>
  <si>
    <t>5716</t>
  </si>
  <si>
    <t>WM+ QNH 41 Nguyễn Trãi</t>
  </si>
  <si>
    <t>Số 41 đường Nguyễn Trãi, Khu Trới 10, Phường Hoành Bồ, Tp Hạ Long, T. Quảng Ninh Việt Nam</t>
  </si>
  <si>
    <t>5720</t>
  </si>
  <si>
    <t>WM+ HNI 414 Khương Đình</t>
  </si>
  <si>
    <t>Số 414 Đường Khương Đình, Phường Hạ Đình, Quận Thanh Xuân Thành phố Hà Nội Việt Nam</t>
  </si>
  <si>
    <t>5721</t>
  </si>
  <si>
    <t>WM+ HNI Kiot 25 CT2B Homeland Thượn</t>
  </si>
  <si>
    <t>Kiot 25, Tầng 1, Tòa CT2B, DANOCT để bán tại lô đất No23 dọc trục đường 5 kéo dài, P.Thượng Thanh Q. Long Biên Thành phố Hà Nội Việt Nam</t>
  </si>
  <si>
    <t>5722</t>
  </si>
  <si>
    <t>WM+ HNI Thôn 6 Tam Hiệp, Phúc Thọ</t>
  </si>
  <si>
    <t>Thôn 6 xã Tam Hiệp, huyện Phúc Thọ Thành phố Hà Nội Việt Nam</t>
  </si>
  <si>
    <t>5723</t>
  </si>
  <si>
    <t>Số 234 đường Xô Viết Nghệ Tĩnh, Thị trấn Nghèn, Huyện Can Lộc, Tỉnh Hà Tĩnh. Việt Nam</t>
  </si>
  <si>
    <t>5724</t>
  </si>
  <si>
    <t>WM+ NDH 5 Phan Đình Phùng</t>
  </si>
  <si>
    <t>Số 5 đường Phan Đình Phùng, phường Trần Hưng Đạo, TP Nam Định, Tỉnh Nam Định Việt Nam</t>
  </si>
  <si>
    <t>5726</t>
  </si>
  <si>
    <t>WM+ YBI 525 Đại Lộ Nguyễn Thái Học</t>
  </si>
  <si>
    <t>Số 525 Đại Lộ Nguyễn Thái Học, phường Hồng Hà, T. Yên Bái Việt Nam</t>
  </si>
  <si>
    <t>5727</t>
  </si>
  <si>
    <t>WM+ HNI 96 Trần Bình</t>
  </si>
  <si>
    <t>96 Trần Bình, Phường Mai Dịch, Quận Cầu Giấy, Thành phố Hà Nội Việt Nam</t>
  </si>
  <si>
    <t>5728</t>
  </si>
  <si>
    <t>WM+ YBI 1016 Yên Ninh</t>
  </si>
  <si>
    <t>Số 1016 đường Yên Ninh, phường Minh Tân, Thành Phố Yên Bái, Tỉnh Yên Bái Việt Nam</t>
  </si>
  <si>
    <t>5729</t>
  </si>
  <si>
    <t>WM+ NAN Chợ Cầu Giát</t>
  </si>
  <si>
    <t>Khối 6, Thị trấn Cầu Giát, Huyện Quỳnh Lưu, Tỉnh Nghệ An T. Nghệ An Việt Nam</t>
  </si>
  <si>
    <t>5730</t>
  </si>
  <si>
    <t>WM+ THA 210 Phố Môi</t>
  </si>
  <si>
    <t>Số 210 Phố Môi, xã Quảng Tâm, Tp. Thanh Hóa, tỉnh Thanh Hóa Việt Nam</t>
  </si>
  <si>
    <t>5731</t>
  </si>
  <si>
    <t>WM+ THA 04 Đường Thanh Niên</t>
  </si>
  <si>
    <t>Số 04 đường Thanh Niên, thị trấn Tân Phong, huyện Quảng Xương, Tỉnh Thanh Hóa Việt Nam</t>
  </si>
  <si>
    <t>5735</t>
  </si>
  <si>
    <t>WM+ HGG 159 Trường Chinh, Bắc Quang</t>
  </si>
  <si>
    <t>Số 159 Trường Chinh, Thị trấn Việt Quang, Huyện Bắc Quang, T. Hà Giang Việt Nam</t>
  </si>
  <si>
    <t>5737</t>
  </si>
  <si>
    <t>Số 9 đường Nguyễn Thiếp, Thị trấn Nghèn, Huyện Can Lộc, Tỉnh Hà Tĩnh Việt Nam</t>
  </si>
  <si>
    <t>5738</t>
  </si>
  <si>
    <t>WM+ THA 17 Hai Bà Trưng</t>
  </si>
  <si>
    <t>17 đường Hai Bà Trưng, phường Ngọc Trạo, thị xã Bỉm Sơn, tỉnh Thanh Hóa Việt Nam</t>
  </si>
  <si>
    <t>5739</t>
  </si>
  <si>
    <t>WM+ HPG 144A Đằng Hải</t>
  </si>
  <si>
    <t>Số 144A đ. Đằng Hải, TDP số 8, P. Đằng Hải, Q. Hải An TP. Hải Phòng Việt Nam</t>
  </si>
  <si>
    <t>5740</t>
  </si>
  <si>
    <t>WM+ HNI TM17-H1 Hope Residences, Ph</t>
  </si>
  <si>
    <t>M17, Tầng 1+2 Tòa H1, Khu nhà ở xã hội tại Ô đất B8. NXH khu công viên công nghệ phần mềm Hà Nội, p. Phúc Đồng, q. Long Biên, TP. Hà Nội Việt Nam</t>
  </si>
  <si>
    <t>5741</t>
  </si>
  <si>
    <t>WM+ HNI 329 Phố Mới, Ba Vì</t>
  </si>
  <si>
    <t>Số 329 Phố Mới, thôn Vĩnh Phệ, xã Chu Minh, huyện Ba Vì, TP. Hà Nội Việt Nam</t>
  </si>
  <si>
    <t>5742</t>
  </si>
  <si>
    <t>WM+ HDG 22 Phố Cuối, Gia Lộc</t>
  </si>
  <si>
    <t>Số 22 Phố Cuối, Thị trấn Gia Lộc, Huyện Gia Lộc, T. Hải Dương Việt Nam</t>
  </si>
  <si>
    <t>5743</t>
  </si>
  <si>
    <t>WM+ HDG 99 Tuệ Tĩnh, Thanh Miện</t>
  </si>
  <si>
    <t>Số 99 Đường Tuệ Tĩnh, Thị trấn Thanh Miện, Huyện Thanh Miện Tỉnh Hải Dương Việt Nam</t>
  </si>
  <si>
    <t>5744</t>
  </si>
  <si>
    <t>WM+ THA 167 Tiểu khu 3, Thiệu Hóa</t>
  </si>
  <si>
    <t>167 Tiểu khu 3, TT. Thiệu Hóa, H. Thiệu Hóa Tỉnh Thanh Hóa Việt Nam</t>
  </si>
  <si>
    <t>5747</t>
  </si>
  <si>
    <t>WM+ THA 28 Tân Phong, Triệu Sơn</t>
  </si>
  <si>
    <t>Số 28 Tân Phong, Thị trấn Triệu Sơn, huyện Triệu Sơn, T. Thanh Hóa Việt Nam</t>
  </si>
  <si>
    <t>5748</t>
  </si>
  <si>
    <t>WM+ HPG 136 Hồ Sen</t>
  </si>
  <si>
    <t>Số 136 Hồ Sen, Phường Dư Hàng, Quận Lê Chân TP. Hải Phòng Việt Nam</t>
  </si>
  <si>
    <t>5749</t>
  </si>
  <si>
    <t>WM+ HNI Lô D1.1 Imperia Garden</t>
  </si>
  <si>
    <t>Sàn TM D1.1, Khối nhà B, Tổ hợp VP, nhà ở cao cấp kết hợp DVTM HBI, Số203 Nguyễn Huy Tưởng P.Thanh Xuân Trung, Q. Thanh Xuân, TP. Hà Nội Việt Nam</t>
  </si>
  <si>
    <t>5750</t>
  </si>
  <si>
    <t>WM+ HNI 65 Đường Cổ Điển, Thanh Trì</t>
  </si>
  <si>
    <t>Số 65 Đường Cổ Điển, Thị trấn Văn Điển, Huyện Thanh Trì TP. Hà Nội Việt Nam</t>
  </si>
  <si>
    <t>5751</t>
  </si>
  <si>
    <t>WM+ HPG Thôn Vĩnh Khê, An Dương</t>
  </si>
  <si>
    <t>Thôn Vĩnh Khê, Xã An Đồng, Huyện An Dương, TP. Hải Phòng Việt Nam</t>
  </si>
  <si>
    <t>5752</t>
  </si>
  <si>
    <t>WM+ HNI Bắc Sơn, Sóc Sơn</t>
  </si>
  <si>
    <t>Thôn Nam Lý, xã Bắc Sơn, huyện Sóc Sơn, TP. Hà Nội Việt Nam</t>
  </si>
  <si>
    <t>5754</t>
  </si>
  <si>
    <t>WM+ HGG Tổ 1 Đường Nguyễn Trãi, TT</t>
  </si>
  <si>
    <t>Đường Nguyễn Trãi, Tổ 1, Thị trấn Vị Xuyên, Vị Xuyên, T. Hà Giang Việt Nam</t>
  </si>
  <si>
    <t>5757</t>
  </si>
  <si>
    <t>WM+ QNH Tổ 3 Khu 3 Trần Hưng Đạo</t>
  </si>
  <si>
    <t>Tổ 3 Khu 3 Phường Trần Hưng Đạo, Tp Hạ Long T. Quảng Ninh Việt Nam</t>
  </si>
  <si>
    <t>5758</t>
  </si>
  <si>
    <t>WM+ NDH 33 Trần Huy Liệu</t>
  </si>
  <si>
    <t>Số 33, đường Trần Huy Liệu, phường Năng Tĩnh, TP Nam Định T. Nam Định Việt Nam</t>
  </si>
  <si>
    <t>5759</t>
  </si>
  <si>
    <t>WM+ TNN 150 Phan Đình Phùng</t>
  </si>
  <si>
    <t>Số 150 đường Phan Đình Phùng (thuộc tổ 5 p. Phan Đình Phùng thành phố Thái Nguyên T. Thái Nguyên Việt Nam</t>
  </si>
  <si>
    <t>5760</t>
  </si>
  <si>
    <t>WM+ TNN 350 Cách Mạng Tháng Tám</t>
  </si>
  <si>
    <t>Số 350 đường Cách Mạng Tháng 8, tổ Hợp Thành, p. Thắng Lợi, TP. Sông Công T. Thái Nguyên Việt Nam</t>
  </si>
  <si>
    <t>5761</t>
  </si>
  <si>
    <t>WM+ HYN Đông Tảo, Khoái Châu</t>
  </si>
  <si>
    <t>Thôn Đông Tảo Đông, Xã Đông Tảo, Huyện Khoái Châu, T. Hưng Yên Việt Nam</t>
  </si>
  <si>
    <t>5762</t>
  </si>
  <si>
    <t>WM+ HYN Liên Nghĩa, Văn Giang</t>
  </si>
  <si>
    <t>Thôn Đan Kim, Xã Liên Nghĩa, Huyện Văn Giang, Tỉnh Hưng Yên T. Hưng Yên Việt Nam</t>
  </si>
  <si>
    <t>5764</t>
  </si>
  <si>
    <t>WM+ TBH 234 Nguyễn Văn Năng</t>
  </si>
  <si>
    <t>Số 234 Nguyễn Văn Năng, tổ 22, P5763 TP. Thái Bình T. Thái Bình Việt Nam</t>
  </si>
  <si>
    <t>5765</t>
  </si>
  <si>
    <t>WM+ HNI Xuân Giang, Sóc Sơn</t>
  </si>
  <si>
    <t>Thôn Xuân Tảo, xã Xuân Giang, huyện Sóc Sơn TP. Hà Nội Việt Nam</t>
  </si>
  <si>
    <t>5768</t>
  </si>
  <si>
    <t>WM+ HNI DVTM-15 N05 Ecohome 3</t>
  </si>
  <si>
    <t>DVTM-15, tầng 1 đến tầng 2 thuộc Tò tại Ô đất B11-HH2, Bắc Cổ Nhuế-Chèm P. Đông Ngạc, Q. Bắc Từ Liêm TP. Hà Nội Việt Nam</t>
  </si>
  <si>
    <t>5770</t>
  </si>
  <si>
    <t>WM+ CBG 39 Phố Cũ</t>
  </si>
  <si>
    <t>Số 39 Phố Cũ, Phường Hợp Giang, Thà T. Cao Bằng Việt Nam</t>
  </si>
  <si>
    <t>5771</t>
  </si>
  <si>
    <t>WM+ CBG 17 Tổ 7 Phường Sông Hiến</t>
  </si>
  <si>
    <t>Số 17 Tổ 7 Phường Sông Hiến, Thành T. Cao Bằng Việt Nam</t>
  </si>
  <si>
    <t>5772</t>
  </si>
  <si>
    <t>WIN HNI SH1-CT4 Iris Garden</t>
  </si>
  <si>
    <t>Ô SH1- t1 tòa nhà CT4, ANTHTM, VP v đ.K2, p. Cầu Diễn, q. Nam Từ Liêm TP. Hà Nội Việt Nam</t>
  </si>
  <si>
    <t>5773</t>
  </si>
  <si>
    <t>WM+ QNH 334 Bạch Đằng, Nam Sơn</t>
  </si>
  <si>
    <t>số 334 Bạch Đằng, Khu Nam Sơn Phường Nam Khê, TP Uông Bí, Quảng Ninh T. Quảng Ninh Việt Nam</t>
  </si>
  <si>
    <t>5774</t>
  </si>
  <si>
    <t>WM+ QNH 715 Khu Vĩnh Hòa</t>
  </si>
  <si>
    <t>Số 715 khu Vĩnh Hòa, Phường Mạo T. Quảng Ninh Việt Nam</t>
  </si>
  <si>
    <t>5777</t>
  </si>
  <si>
    <t>WM+ HNI Duyên Thái, Thường Tín</t>
  </si>
  <si>
    <t>Chợ Giường, Xóm Gốc Gạo, Thôn Duyên Trường, Xã Duyên Thái, Huyện Thường Tín TP. Hà Nội Việt Nam</t>
  </si>
  <si>
    <t>5778</t>
  </si>
  <si>
    <t>WM+ LCI 750 Hoàng Quốc Việt</t>
  </si>
  <si>
    <t>Số 750 Đường Hoàng Quốc Việt, Phường Pom Hán, TP Lào Cai T. Lào Cai Việt Nam</t>
  </si>
  <si>
    <t>5782</t>
  </si>
  <si>
    <t>WM+ TQG TDP Tân Cương, Hàm Yên</t>
  </si>
  <si>
    <t>Tổ nhân dân Tân Cương, thị trấn Tân Yên, h. Hàm Yên T. Tuyên Quang Việt Nam</t>
  </si>
  <si>
    <t>5784</t>
  </si>
  <si>
    <t>Số 150 đường Nguyễn Du, Thị trấn Tiên Điền, Huyện Nghi Xuân, T. Hà Tĩnh Việt Nam</t>
  </si>
  <si>
    <t>5787</t>
  </si>
  <si>
    <t>WM+ HPG Lô C02 Pearl River 2</t>
  </si>
  <si>
    <t>KS Pearl River 2, Lô C02, dự án xây dựng nhà ở Anh Dũng phường Anh Dũng, quận Dương Kinh, TP. Hải Phòng Việt Nam</t>
  </si>
  <si>
    <t>5788</t>
  </si>
  <si>
    <t>Thôn Cả, Xã Đông Xuân, Huyện Sóc Sơn, Thành phố Hà Nội   TP. Hà Nội Việt Nam</t>
  </si>
  <si>
    <t>5790</t>
  </si>
  <si>
    <t>WM+ TBH 165 TDP Cộng Hòa, Kiến Xươn</t>
  </si>
  <si>
    <t>Số 165 tổ dân phố Cộng Hòa, Thị trấn Kiến Xương, Huyện Kiến Xương, T. Thái Bình Việt Nam</t>
  </si>
  <si>
    <t>5792</t>
  </si>
  <si>
    <t>WM+ HNI 107 Tổ 8 TT Đông Anh</t>
  </si>
  <si>
    <t>Số 107, tổ 8, Thị trấn Đông Anh, Huyện Đông Anh, TP. Hà Nội Việt Nam</t>
  </si>
  <si>
    <t>5797</t>
  </si>
  <si>
    <t>WM+ TQG 292 TDP Tân Tiến, Tân Yên</t>
  </si>
  <si>
    <t>292 TDP Tân Tiến, thị trấn Tân Yên, huyện Hàm Yên, T. Tuyên Quang Việt Nam</t>
  </si>
  <si>
    <t>5800</t>
  </si>
  <si>
    <t>WM+ HNI S2.03 Vinhomes Tây Mỗ</t>
  </si>
  <si>
    <t>01SH01-02 SH01, Tòa S2.03 – Z34.1(F1-CH03-1) Vinhomes Smart City, P. Tây Mỗ, Q. Nam Từ Liêm TP. Hà Nội Việt Nam</t>
  </si>
  <si>
    <t>5801</t>
  </si>
  <si>
    <t>WM+ HPG 154 Lương Khánh Thiện</t>
  </si>
  <si>
    <t>154 Lương Khánh Thiện, Phường Cầu Đất, Quận Ngô Quyền, TP. Hải Phòng Việt Nam</t>
  </si>
  <si>
    <t>5802</t>
  </si>
  <si>
    <t>WM+ HPG Lạch Sẽ, Thủy Nguyên</t>
  </si>
  <si>
    <t>Thôn Lạch Sẽ, Xã Lập Lễ, Huyện Thủy Nguyên, TP. Hải Phòng Việt Nam</t>
  </si>
  <si>
    <t>5803</t>
  </si>
  <si>
    <t>WM+ HNI Thôn Yên Trường 2, Chương M</t>
  </si>
  <si>
    <t>Xóm Tân Minh, Thôn Yên Trường 2, Xã Trường Yên, Huyện Chương Mỹ, TP. Hà Nội Việt Nam</t>
  </si>
  <si>
    <t>5804</t>
  </si>
  <si>
    <t>WM+ HNI Tân Dân, Phú Xuyên</t>
  </si>
  <si>
    <t>Thôn Đại Nghiệp, Xã Tân Dân, Huyện Phú Xuyên, TP. Hà Nội Việt Nam</t>
  </si>
  <si>
    <t>5805</t>
  </si>
  <si>
    <t>WM+ HNI 55 Bùi Huy Bích</t>
  </si>
  <si>
    <t>Số 55 Bùi Huy Bích, Phường Hoàng Liệt, Quận Hoàng Mai, TP. Hà Nội Việt Nam</t>
  </si>
  <si>
    <t>5806</t>
  </si>
  <si>
    <t>WM+ QNH 218 Trần Nhân Tông</t>
  </si>
  <si>
    <t>số 218 Trần Nhân Tông, Khu Yên Lâm 4, P. Đức Chính, Thị xã Đông Triều, T. Quảng Ninh Việt Nam</t>
  </si>
  <si>
    <t>5807</t>
  </si>
  <si>
    <t>WM+ HNI Minh Trí, Sóc Sơn</t>
  </si>
  <si>
    <t>Thôn Thắng Trí, xã Minh Trí, huyện Sóc Sơn, TP. Hà Nội Việt Nam</t>
  </si>
  <si>
    <t>5810</t>
  </si>
  <si>
    <t>WM+ HPG 158 Nguyễn Văn Trỗi</t>
  </si>
  <si>
    <t>158 Nguyễn Văn Trỗi, Khu Quyết Thắng, Thị trấn An Lão, Huyện An Lão, TP. Hải Phòng Việt Nam</t>
  </si>
  <si>
    <t>5812</t>
  </si>
  <si>
    <t>Số nhà 211 Thôn 3 Giang Cao, Xã Bát Tràng, Huyện Gia Lâm, TP. Hà Nội Việt Nam</t>
  </si>
  <si>
    <t>5813</t>
  </si>
  <si>
    <t>WM+ HNI Nội Phật, Sóc Sơn</t>
  </si>
  <si>
    <t>Thôn Nội Phật, xã Mai Đình, huyện Sóc Sơn, TP. Hà Nội Việt Nam</t>
  </si>
  <si>
    <t>5814</t>
  </si>
  <si>
    <t>Đường Đinh Tiên Hoàng, số 25 tổ 10 phố Tân An, phường Hùng Vương, thị xã Phú Thọ, T. Phú Thọ Việt Nam</t>
  </si>
  <si>
    <t>5815</t>
  </si>
  <si>
    <t>WM+ HNI Xóm Bùng, Thường Tín</t>
  </si>
  <si>
    <t>Xóm Bùng, Xã Dũng Tiến, Huyện Thường Tín, TP. Hà Nội Việt Nam</t>
  </si>
  <si>
    <t>5816</t>
  </si>
  <si>
    <t>WM+ NDH 71 Quán Chiền</t>
  </si>
  <si>
    <t>Số 71 Quán Chiền, xã Nam Dương, huyện Nam Trực, T. Nam Định Việt Nam</t>
  </si>
  <si>
    <t>5817</t>
  </si>
  <si>
    <t>WM+ HNI Thôn Xuân Trung, Chương Mỹ</t>
  </si>
  <si>
    <t>Thôn Xuân Trung, Xã Thủy Xuân Tiên, Huyện Chương Mỹ, TP. Hà Nội Việt Nam</t>
  </si>
  <si>
    <t>5818</t>
  </si>
  <si>
    <t>WM+ HNI Tân Trại, Phú Cường, Sóc Sơ</t>
  </si>
  <si>
    <t>Thôn Tân Trại, xã Phú Cường, huyện Sóc Sơn, TP. Hà Nội Việt Nam</t>
  </si>
  <si>
    <t>5819</t>
  </si>
  <si>
    <t>WM+ HNI Vinhomes West Point</t>
  </si>
  <si>
    <t>W201S05 Tòa Shop và TMDV Vinhomes West Point, Đường Phạm Hùng, P. Mễ Trì, Q. Nam Từ Liêm, TP. Hà Nội Việt Nam</t>
  </si>
  <si>
    <t>5820</t>
  </si>
  <si>
    <t>WM+ QNH 1 Trần Quang Triều</t>
  </si>
  <si>
    <t>Số 1 đường Trần Quang Triều, Khu Yên Lâm 3, P. Đức Chính, thị xã Đông Triều, T. Quảng Ninh Việt Nam</t>
  </si>
  <si>
    <t>5821</t>
  </si>
  <si>
    <t>WM+ QNH 438 Đặng Châu Tuệ</t>
  </si>
  <si>
    <t>Số 438 Đặng Châu Tuệ, phường Quang Hanh, Tp Cẩm Phả, T. Quảng Ninh Việt Nam</t>
  </si>
  <si>
    <t>5828</t>
  </si>
  <si>
    <t>WM+ HGG Tổ 8 Vị Xuyên</t>
  </si>
  <si>
    <t>Tổ 8, Thị trấn Vị Xuyên, Huyện Vị Xuyên, T. Hà Giang Việt Nam</t>
  </si>
  <si>
    <t>5829</t>
  </si>
  <si>
    <t>WM+ HGG 1157 Trường Chinh</t>
  </si>
  <si>
    <t>1157 Trường Chinh, Thị trấn Việt Quang, Huyện Bắc Quang, T. Hà Giang Việt Nam</t>
  </si>
  <si>
    <t>5830</t>
  </si>
  <si>
    <t>Tổ dân phố Độc Lập, xã Thanh Lãng, huyện Bình Xuyên, T. Vĩnh Phúc Việt Nam</t>
  </si>
  <si>
    <t>5831</t>
  </si>
  <si>
    <t>WM+ HNI Đường 3, Phù Lỗ</t>
  </si>
  <si>
    <t>Thôn đường 3, xã Phù Lỗ, Huyện Sóc Sơn, TP. Hà Nội Việt Nam</t>
  </si>
  <si>
    <t>5832</t>
  </si>
  <si>
    <t>WM+ HNI SH A7 Anland Premium</t>
  </si>
  <si>
    <t>SH A7, Tòa A, Anland Premium Khu ĐTM Dương Nội, Lê Văn Lương kéo dài, P.La Khê, Q.Hà Đông, TP. Hà Nội Việt Nam</t>
  </si>
  <si>
    <t>5835</t>
  </si>
  <si>
    <t>WM+ HNI Chợ Hiền Ninh, Sóc Sơn</t>
  </si>
  <si>
    <t>Khu Chợ, xã Hiền Ninh, huyện Sóc Sơn, TP. Hà Nội Việt Nam</t>
  </si>
  <si>
    <t>5836</t>
  </si>
  <si>
    <t>WM+ VPC Ngõ 14 Ngô Miễn, Phúc Yên</t>
  </si>
  <si>
    <t>Ngõ 14, đường Ngô Miễn, Xuân Mai 3, Phường Phúc Thắng, Thành phố Phúc Yên, T. Vĩnh Phúc Việt Nam</t>
  </si>
  <si>
    <t>5837</t>
  </si>
  <si>
    <t>WM+ HNI R2.119 Florence</t>
  </si>
  <si>
    <t>R2.119, số 28 lô X3 đường Trần Hữu Dực, phường Cầu Diễn, quận Nam Từ Liêm, TP. Hà Nội Việt Nam</t>
  </si>
  <si>
    <t>5838</t>
  </si>
  <si>
    <t>WM+ TQG TDP Đoàn Kết, Sơn Dương</t>
  </si>
  <si>
    <t>TDP Đoàn Kết, TT Sơn Dương, Sơn Dương, T. Tuyên Quang Việt Nam</t>
  </si>
  <si>
    <t>5842</t>
  </si>
  <si>
    <t>WM+ HDG Thôn Cậy, Bình Giang</t>
  </si>
  <si>
    <t>Thôn Cậy, Xã Long Xuyên, Huyện Bình Giang, T. Hải Dương Việt Nam</t>
  </si>
  <si>
    <t>5843</t>
  </si>
  <si>
    <t>WM+ HNM 109 Quang Trung</t>
  </si>
  <si>
    <t>Số 109 đường Quang Trung, Thị trấn Quế, Huyện Kim Bảng, T. Hà Nam Việt Nam</t>
  </si>
  <si>
    <t>5844</t>
  </si>
  <si>
    <t>WM+ TBH 138 Hùng Thắng</t>
  </si>
  <si>
    <t>Số 138 phố Hùng Thắng, thị trấn Tiền Hải, huyện Tiền Hải, T. Thái Bình Việt Nam</t>
  </si>
  <si>
    <t>5845</t>
  </si>
  <si>
    <t>WM+ TBH 14 Tiểu Hoàng</t>
  </si>
  <si>
    <t>Số 14 phố Tiểu Hoàng, Thị trấn Tiền Hải, Huyện Tiền Hải, T. Thái Bình Việt Nam</t>
  </si>
  <si>
    <t>5846</t>
  </si>
  <si>
    <t>75 Cao Bang, khu Cao Bang, xã Thanh Minh, thị xã Phú Thọ, T. Phú Thọ Việt Nam</t>
  </si>
  <si>
    <t>5847</t>
  </si>
  <si>
    <t>Số 191 Phố Cao Du, Phường Âu Cơ, Thị xã Phú Thọ, T. Phú Thọ Việt Nam</t>
  </si>
  <si>
    <t>5848</t>
  </si>
  <si>
    <t>WM+ TQG Thôn 31, Hàm Yên</t>
  </si>
  <si>
    <t>Thôn 31, xã Thái Sơn, huyện Hàm Yên, T. Tuyên Quang Việt Nam</t>
  </si>
  <si>
    <t>5849</t>
  </si>
  <si>
    <t>WM+ HYN Ngã tư Phú Thị, Mễ Sở</t>
  </si>
  <si>
    <t>Thôn Phú Thị, Xã Mễ Sở, Huyện Văn Giang, T. Hưng Yên Việt Nam</t>
  </si>
  <si>
    <t>5851</t>
  </si>
  <si>
    <t>WM+ HYN 14 Tuệ Tĩnh, An Tảo</t>
  </si>
  <si>
    <t>Phường An Tảo, Thành phố Hưng Yên, T. Hưng Yên Việt Nam</t>
  </si>
  <si>
    <t>5852</t>
  </si>
  <si>
    <t>WM+ HYN Lạc Hồng</t>
  </si>
  <si>
    <t>Thôn Bình Minh, Xã Lạc Hồng, Huyện Văn Lâm, T. Hưng Yên Việt Nam</t>
  </si>
  <si>
    <t>5853</t>
  </si>
  <si>
    <t>WM+ QNH Tổ 4 Khu 2 Mông Dương</t>
  </si>
  <si>
    <t>Tổ 4 Khu 2 Phường Mông Dương, Tp Cẩm Phả, T. Quảng Ninh Việt Nam</t>
  </si>
  <si>
    <t>5855</t>
  </si>
  <si>
    <t>WM+ HNI Rose Town Ngọc Hồi</t>
  </si>
  <si>
    <t>Lô 01, Tầng 1 Tòa NO-DV02 CC Rose Town, Km 9 Ngọc Hồi, Phường Hoàng Liệt, quận Hoàng Mai, TP. Hà Nội Việt Nam</t>
  </si>
  <si>
    <t>5856</t>
  </si>
  <si>
    <t>WM+ HNI 92 Lạc Trung</t>
  </si>
  <si>
    <t>92 Lạc Trung, Phường Vĩnh Tuy, Quận Hai Bà Trưng, TP. Hà Nội Việt Nam</t>
  </si>
  <si>
    <t>5857</t>
  </si>
  <si>
    <t>WM+ HNI Tổ 13 Phú Lương</t>
  </si>
  <si>
    <t>Tổ 13 phường Phú Lương, Quận Hà Đông, TP. Hà Nội Việt Nam</t>
  </si>
  <si>
    <t>5858</t>
  </si>
  <si>
    <t>Số 349 đường Trần Hưng Đạo, Phường Sao Đỏ, Thành phố Chí Linh, T. Hải Dương Việt Nam</t>
  </si>
  <si>
    <t>5859</t>
  </si>
  <si>
    <t>WM+ HNI P2 Eurowindow Đông Hội</t>
  </si>
  <si>
    <t>SH P2-07, Tòa nhà Park 2 Khu Tái Định Cư Đông Hội, xã Đông Hội, huyện Đông Anh, TP. Hà Nội Việt Nam</t>
  </si>
  <si>
    <t>5863</t>
  </si>
  <si>
    <t>WM+ VPC Chợ Hợp Châu, Tam Đảo</t>
  </si>
  <si>
    <t>Thôn Đồi Thông, xã Hợp Châu, huyện Tam Đảo, T. Vĩnh Phúc Việt Nam</t>
  </si>
  <si>
    <t>5865</t>
  </si>
  <si>
    <t>WM+ HNI 79 Quán Chè</t>
  </si>
  <si>
    <t>Số 79 Phố Quán Chè, Thôn Khoái Nội, Xã Thắng Lợi, Huyện Thường Tín, TP. Hà Nội Việt Nam</t>
  </si>
  <si>
    <t>5866</t>
  </si>
  <si>
    <t>WM+ TNN 109 Cách Mạng Tháng Tám</t>
  </si>
  <si>
    <t>109 Đường Cách mạng tháng tám, phường Thắng Lợi, thành phố Sông Công, T. Thái Nguyên Việt Nam</t>
  </si>
  <si>
    <t>5867</t>
  </si>
  <si>
    <t>WM+ HDG 206 Vũ Mạnh Hùng</t>
  </si>
  <si>
    <t>206 Vũ Mạnh Hùng, Phường Phú Thứ Thị xã Kinh Môn, T. Hải Dương Việt Nam</t>
  </si>
  <si>
    <t>5868</t>
  </si>
  <si>
    <t>WM+ TNN 602 Dương Tự Minh</t>
  </si>
  <si>
    <t>602 Dương Tự Minh, phường Quan Triều, Tp.Thái Nguyên, T. Thái Nguyên Việt Nam</t>
  </si>
  <si>
    <t>5869</t>
  </si>
  <si>
    <t>WM+ LSN 175 Nguyễn Đình Lộc</t>
  </si>
  <si>
    <t>175 Nguyễn Đình Lộc, TT.Đồng Đăng, Huyện Cao Lộc, T. Lạng Sơn Việt Nam</t>
  </si>
  <si>
    <t>5871</t>
  </si>
  <si>
    <t>WM+ BNH Khu 1 Phố Mới</t>
  </si>
  <si>
    <t>Số 5, Khu 1, Thị Trấn Phố Mới, huyện Quế Võ, T. Bắc Ninh Việt Nam</t>
  </si>
  <si>
    <t>5872</t>
  </si>
  <si>
    <t>WM+ QNH Đông Trung, Đông Xá</t>
  </si>
  <si>
    <t>Thôn Đông Trung, xã Đông Xá, huyện Vân Đồn, T. Quảng Ninh Việt Nam</t>
  </si>
  <si>
    <t>5874</t>
  </si>
  <si>
    <t>WM+ HNI 99 Đại Nghĩa</t>
  </si>
  <si>
    <t>Số 99 Đường Đại Nghĩa, Thị Trấn Đại Nghĩa, Huyện Mỹ Đức, TP. Hà Nội Việt Nam</t>
  </si>
  <si>
    <t>5875</t>
  </si>
  <si>
    <t>WM+ VPC Hoa Lư, Lập Thạch</t>
  </si>
  <si>
    <t>Phố Hoa Lư, Thị trấn Hoa Sơn, huyện Lập Thạch, T. Vĩnh Phúc Việt Nam</t>
  </si>
  <si>
    <t>5876</t>
  </si>
  <si>
    <t>WM+ HPG Phong Cầu, Đại Đồng</t>
  </si>
  <si>
    <t>Thôn Phong Cầu, Xã Đại Đồng, Huyện Kiến Thụy, TP. Hải Phòng Việt Nam</t>
  </si>
  <si>
    <t>5877</t>
  </si>
  <si>
    <t>WM+ HNI 77 Bùi Xương Trạch</t>
  </si>
  <si>
    <t>Số 77, Phố Bùi Xương Trạch, Phường Khương Đình, Quận Thanh Xuân, TP. Hà Nội Việt Nam</t>
  </si>
  <si>
    <t>5878</t>
  </si>
  <si>
    <t>WM+ HNI Khoang Sau, Sơn Đông</t>
  </si>
  <si>
    <t>Thôn Khoang Sau, xã Sơn Đông, th xã Sơn Tây, TP. Hà Nội Việt Nam</t>
  </si>
  <si>
    <t>5879</t>
  </si>
  <si>
    <t>WM+ HNI 14 Ngõ 59 Dương Khuê</t>
  </si>
  <si>
    <t>Số 14 Ngõ 59 Dương Khuê, Dịch Vọng, Cầu Giấy, TP. Hà Nội Việt Nam</t>
  </si>
  <si>
    <t>5880</t>
  </si>
  <si>
    <t>WM+ BNH Khu Thái Bảo, Nam Sơn</t>
  </si>
  <si>
    <t>Khu Thái Bảo, phường Nam Sơn, TP Bắc Ninh, T. Bắc Ninh Việt Nam</t>
  </si>
  <si>
    <t>5881</t>
  </si>
  <si>
    <t>WM+ QNH 415 Đường 334 Hạ Long</t>
  </si>
  <si>
    <t>Số 415 đường 334 xã Hạ Long, huyện Vân Đồn, T. Quảng Ninh Việt Nam</t>
  </si>
  <si>
    <t>5882</t>
  </si>
  <si>
    <t>WM+ HPG Thôn 4 Xã Phả Lễ, Thủy Nguy</t>
  </si>
  <si>
    <t>Thôn 4, Xã Phả Lễ , Huyện Thủy Nguyên Thành phố Hải Phòng Việt Nam</t>
  </si>
  <si>
    <t>5884</t>
  </si>
  <si>
    <t>WM+ QNH 58B Trần Nhật Duật</t>
  </si>
  <si>
    <t>Số 58B Trần Nhật Duật, phường Quang Trung, TP Uông Bí, T. Quảng Ninh Việt Nam</t>
  </si>
  <si>
    <t>5885</t>
  </si>
  <si>
    <t>WM+ QNH 221 Nguyễn Bình</t>
  </si>
  <si>
    <t>Số 221 Nguyễn Bình, K2 phường Đông Triều, Thị xã Đông Triều, T. Quảng Ninh Việt Nam</t>
  </si>
  <si>
    <t>5887</t>
  </si>
  <si>
    <t>WM+ HPG Lôi Trạch, Vĩnh Bảo</t>
  </si>
  <si>
    <t>Thôn Lôi Trạch, Xã Hòa Bình, Huyện Vĩnh Bảo, TP. Hải Phòng Việt Nam</t>
  </si>
  <si>
    <t>5888</t>
  </si>
  <si>
    <t>WM+ HPG Xuân Tiến, Tiên Lãng</t>
  </si>
  <si>
    <t>Thôn Xuân Tiến, Xã Bắc Hưng, Huyện Tiên Lãng, TP. Hải Phòng Việt Nam</t>
  </si>
  <si>
    <t>5889</t>
  </si>
  <si>
    <t>WM+ CBG 56 Tổ 4 Đề Thám</t>
  </si>
  <si>
    <t>56 Tổ 4, Phường Đề Thám, Thành phố Cao Bằng, T. Cao Bằng Việt Nam</t>
  </si>
  <si>
    <t>5890</t>
  </si>
  <si>
    <t>WM+ HDG Chợ Mũ, Tứ Kỳ</t>
  </si>
  <si>
    <t>Chợ Mũ, Xã Hưng Đạo, Huyện Tứ Kỳ, T. Hải Dương Việt Nam</t>
  </si>
  <si>
    <t>5891</t>
  </si>
  <si>
    <t>WM+ PTO Khu 23 Vạn Xuân</t>
  </si>
  <si>
    <t>Khu 23, xã Vạn Xuân, huyện Tam Nông, T. Phú Thọ Việt Nam</t>
  </si>
  <si>
    <t>5892</t>
  </si>
  <si>
    <t>WM+ HPG 29 Trang Quan</t>
  </si>
  <si>
    <t>29 Trang Quan, xã An Đồng, huyện An Dương, TP. Hải Phòng Việt Nam</t>
  </si>
  <si>
    <t>5894</t>
  </si>
  <si>
    <t>WM+ HDG 263 Minh Tân</t>
  </si>
  <si>
    <t>263 Đường Minh Tân, Phường Minh Tân, Thị xã Kinh Môn, T. Hải Dương Việt Nam</t>
  </si>
  <si>
    <t>5895</t>
  </si>
  <si>
    <t>WM+ HNI 80 Trần Quốc Vượng</t>
  </si>
  <si>
    <t>Số 80 Trần Quốc Vượng, phường Dịch Vọng Hậu, quận Cầu Giấy, TP. Hà Nội Việt Nam</t>
  </si>
  <si>
    <t>5896</t>
  </si>
  <si>
    <t>WM+ HNI Giẽ Thượng, Phú Xuyên</t>
  </si>
  <si>
    <t>Thôn Giẽ Thượng, Xã Phú Yên, Huyện Phú Xuyên, TP. Hà Nội Việt Nam</t>
  </si>
  <si>
    <t>5897</t>
  </si>
  <si>
    <t>WM+ HDG Bến Tắm</t>
  </si>
  <si>
    <t>Khu dân cư Bến Tắm, Phường Hoàng Tân, TP Chí Linh, T. Hải Dương Việt Nam</t>
  </si>
  <si>
    <t>5898</t>
  </si>
  <si>
    <t>WM+ YBI 326 Điện Biên</t>
  </si>
  <si>
    <t>Số 326 đường Điện Biên, phường Yên Ninh, thành Phố Yên Bái, T. Yên Bái Việt Nam</t>
  </si>
  <si>
    <t>5899</t>
  </si>
  <si>
    <t>WM+ QNH Tổ 37 Khu 3 Bạch Đằng</t>
  </si>
  <si>
    <t>Tổ 37 Khu 3, Phường Bạch Đằng, Thành phố Hạ Long, T. Quảng Ninh Việt Nam</t>
  </si>
  <si>
    <t>5900</t>
  </si>
  <si>
    <t>WM+ QNH Tổ 7A Khu 2 Hùng Thắng</t>
  </si>
  <si>
    <t>Số 221 Tổ 7A Khu 2, Phường Hùng Thắng, Thành phố Hạ Long, T. Quảng Ninh Việt Nam</t>
  </si>
  <si>
    <t>5901</t>
  </si>
  <si>
    <t>WM+ HDG Đoàn Tùng, Thanh Miện</t>
  </si>
  <si>
    <t>Khu dân cư số 1, Xã Đoàn Tùng, Huyện Thanh Miện, T. Hải Dương Việt Nam</t>
  </si>
  <si>
    <t>5903</t>
  </si>
  <si>
    <t>WM+ HDG 394 TT Phủ, Bình Giang</t>
  </si>
  <si>
    <t>Đường 394, thị trấn Phủ, xã Thái Học, huyện Bình Giang, T. Hải Dương Việt Nam</t>
  </si>
  <si>
    <t>5905</t>
  </si>
  <si>
    <t>WM+ PTO 26 Âu Cơ</t>
  </si>
  <si>
    <t>26 Âu Cơ, Khu Tân Sơn, Thị trấn Lâm Thao, Huyện Lâm Thao, T. Phú Thọ Việt Nam</t>
  </si>
  <si>
    <t>5906</t>
  </si>
  <si>
    <t>WM+ HNI 15 Tổ 4 Đông Anh</t>
  </si>
  <si>
    <t>Số 15, Tổ 4, Thị trấn Đông Anh, Huyện Đông Anh, TP. Hà Nội Việt Nam</t>
  </si>
  <si>
    <t>5907</t>
  </si>
  <si>
    <t>WM+ HNI 462 Ngô Gia Tự</t>
  </si>
  <si>
    <t>Số 462 Ngô Gia Tự, phường Đức Giang, quận Long Biên, TP. Hà Nội Việt Nam</t>
  </si>
  <si>
    <t>5908</t>
  </si>
  <si>
    <t>WM+ NAN 241 Nguyễn Trãi</t>
  </si>
  <si>
    <t>Số 241 Nguyễn Trãi, Phường Quán Bàu, Thành phố Vinh, T. Nghệ An Việt Nam</t>
  </si>
  <si>
    <t>5909</t>
  </si>
  <si>
    <t>WM+ HPG Tân Hòa, Vĩnh Bảo</t>
  </si>
  <si>
    <t>Khu phố Tân Hòa, thị trấn Vĩnh Bảo, huyện Vĩnh Bảo, TP. Hải Phòng Việt Nam</t>
  </si>
  <si>
    <t>5910</t>
  </si>
  <si>
    <t>WM+ HNM 180 Nguyễn Văn Trỗi</t>
  </si>
  <si>
    <t>Số 180 đường Nguyễn Văn Trỗi, Phường Hai Bà Trưng, Thành phố Phủ Lý, T. Hà Nam Việt Nam</t>
  </si>
  <si>
    <t>5911</t>
  </si>
  <si>
    <t>WM+ HPG 393 Nguyễn Lương Bằng</t>
  </si>
  <si>
    <t>Số 393 Nguyễn Lương Bằng, Phường Văn Đẩu, Quận Kiến An, TP. Hải Phòng Việt Nam</t>
  </si>
  <si>
    <t>5912</t>
  </si>
  <si>
    <t>Xóm 5, Xã Nga Yên, Huyện Nga Sơn, T. Thanh Hóa Việt Nam</t>
  </si>
  <si>
    <t>5914</t>
  </si>
  <si>
    <t>WM+ THA 474 Vinh Sơn</t>
  </si>
  <si>
    <t>474 Phố Vinh Sơn, Thị trấn Bút Sơn, huyện Hoằng Hóa, T. Thanh Hóa Việt Nam</t>
  </si>
  <si>
    <t>5915</t>
  </si>
  <si>
    <t>WM+ TBH Phù Lôi, Vũ Thư</t>
  </si>
  <si>
    <t>Thôn Phù Lôi, xã Minh Lãng, huyện Vũ Thư T. Thái Bình Việt Nam</t>
  </si>
  <si>
    <t>5916</t>
  </si>
  <si>
    <t>WM+ TBH Tú Linh, Tân Bình</t>
  </si>
  <si>
    <t>Thôn Tú Linh, xã Tân Bình, TP Thái Bình T. Thái Bình Việt Nam</t>
  </si>
  <si>
    <t>5917</t>
  </si>
  <si>
    <t>WM+ NDH 109 Phố Đoài</t>
  </si>
  <si>
    <t>Số 109 Phố Đoài, thị trấn Liễu Đề, huyện Nghĩa Hưng T. Nam Định Việt Nam</t>
  </si>
  <si>
    <t>5918</t>
  </si>
  <si>
    <t>WM+ PTO Khu 12 Phú Hộ</t>
  </si>
  <si>
    <t>Khu 12 Xã Phú Hộ, Thị Xã Phú Thọ, T. Phú Thọ Việt Nam</t>
  </si>
  <si>
    <t>5919</t>
  </si>
  <si>
    <t>WM+ HDG 281 - 283 Nguyễn Thái Học</t>
  </si>
  <si>
    <t>Số 281 - 283 Nguyễn Thái Học, Phường Sao Đỏ, T. Hải Dương Việt Nam</t>
  </si>
  <si>
    <t>5921</t>
  </si>
  <si>
    <t>WM+ HDG Chợ Rồng, Nam Sách</t>
  </si>
  <si>
    <t>Chợ Rồng, Xã Thanh Quang, Huyện Nam Sách T. Hải Dương Việt Nam</t>
  </si>
  <si>
    <t>5922</t>
  </si>
  <si>
    <t>WM+ HDG 25/5 TT Thanh Hà</t>
  </si>
  <si>
    <t>Số 80 - 82 đường 25/5, thị trấn Thanh Hà, huyện Thanh Hà, T. Hải Dương Việt Nam</t>
  </si>
  <si>
    <t>5923</t>
  </si>
  <si>
    <t>WM+ HDG Chợ La, Nam Sách</t>
  </si>
  <si>
    <t>Chợ La, xã Nam Chính, huyện Nam Sách, T. Hải Dương Việt Nam</t>
  </si>
  <si>
    <t>5925</t>
  </si>
  <si>
    <t>WM+ HNI Yên Thường, Gia Lâm</t>
  </si>
  <si>
    <t>Thôn Yên Thường, xã Yên Thường, huyện Gia Lâm, TP. Hà Nội Việt Nam</t>
  </si>
  <si>
    <t>5926</t>
  </si>
  <si>
    <t>WM+ QNH 162 Nguyễn Văn Trỗi</t>
  </si>
  <si>
    <t>Số 162 Nguyễn Văn Trỗi, phường Hồng Hà, Tp Hạ Long, T. Quảng Ninh Việt Nam</t>
  </si>
  <si>
    <t>5928</t>
  </si>
  <si>
    <t>WM+ BNH 48 Lý Anh Tông</t>
  </si>
  <si>
    <t>Số 48 Đường Lý Anh Tông, Phường Võ Cường, Thành Phố Bắc Ninh, T. Bắc Ninh Việt Nam</t>
  </si>
  <si>
    <t>5929</t>
  </si>
  <si>
    <t>WM+ HNI A8 An Bình</t>
  </si>
  <si>
    <t>A8-09 Tòa nhà A8 chung cư An Bình City, KĐT Thành phố Giao Lưu, P.Cổ Nhuế 1, Q.Bắc Từ Liêm, TP. Hà Nội Việt Nam</t>
  </si>
  <si>
    <t>5930</t>
  </si>
  <si>
    <t>WM+ LSN 16 Cách Mạng Tháng 8</t>
  </si>
  <si>
    <t>Số 16 đường Cách Mạng Tháng 8, thị trấn Lộc Bình, huyện Lộc Bình, T. Lạng Sơn Việt Nam</t>
  </si>
  <si>
    <t>5931</t>
  </si>
  <si>
    <t>WM+ HNM Lô 79 Nguyễn Viết Xuân</t>
  </si>
  <si>
    <t>Lô 79 tờ bàn đồ số PL7, đường Nguyễn Viết Xuân, Phường Liêm Chính, Thành phố Phủ Lý, T. Hà Nam Việt Nam</t>
  </si>
  <si>
    <t>5933</t>
  </si>
  <si>
    <t>Phố II, Phường Mạo Khê, TX Đông Triều, T. Quảng Ninh Việt Nam</t>
  </si>
  <si>
    <t>5935</t>
  </si>
  <si>
    <t>WM+ HPG Khôi Vĩ Hạ, Tiên Lãng</t>
  </si>
  <si>
    <t>Thôn Khôi Vĩ Hạ, Xã Quang Phục, Huyện Tiên Lãng, TP. Hải Phòng Việt Nam</t>
  </si>
  <si>
    <t>5936</t>
  </si>
  <si>
    <t>WM+ HNI Tầm Xá, Đông Anh</t>
  </si>
  <si>
    <t>Thôn Đông, Xã Tầm Xá, Huyện Đông Anh, TP. Hà Nội Việt Nam</t>
  </si>
  <si>
    <t>5937</t>
  </si>
  <si>
    <t>WM+ QNH 92 Hữu Nghị</t>
  </si>
  <si>
    <t>Số 92 đường Hữu Nghị Tổ 3 Khu Trới 1, phường Hoành Bồ, Tp Hạ Long, T. Quảng Ninh Việt Nam</t>
  </si>
  <si>
    <t>5938</t>
  </si>
  <si>
    <t>WM+ HPG Đại Hoàng 1, An Lão</t>
  </si>
  <si>
    <t>Thôn Đại Hoàng 1, Xã Tân Dân, Huyện An Lão, TP. Hải Phòng Việt Nam</t>
  </si>
  <si>
    <t>5940</t>
  </si>
  <si>
    <t>WM+ HDG Cầu Ràm, Ninh Giang</t>
  </si>
  <si>
    <t>Cầu Ràm, xã Tân Hương, huyện Ninh Giang, T. Hải Dương Việt Nam</t>
  </si>
  <si>
    <t>5941</t>
  </si>
  <si>
    <t>WM+ HPG Khu Phố 1, An Dương</t>
  </si>
  <si>
    <t>Khu Phố 1, Thị trấn An Dương, huyện An Dương, TP. Hải Phòng Việt Nam</t>
  </si>
  <si>
    <t>5942</t>
  </si>
  <si>
    <t>WM+ HPG Câu Trung, An Lão</t>
  </si>
  <si>
    <t>Thôn Câu Trung, xã Quang Hưng, huyện An Lão, TP. Hải Phòng Việt Nam</t>
  </si>
  <si>
    <t>5943</t>
  </si>
  <si>
    <t>WM+ PTO 574 Tân Tiến</t>
  </si>
  <si>
    <t>574 Tân Tiến, Thị Trấn Đoan Hùng, Huyện Đoan Hùng, T. Phú Thọ Việt Nam</t>
  </si>
  <si>
    <t>5944</t>
  </si>
  <si>
    <t>WM+ PTO 12 Hàn Thuyên</t>
  </si>
  <si>
    <t>12 Hàn Thuyên, Thị Trấn Thanh Ba, Huyện Thanh Ba, T. Phú Thọ Việt Nam</t>
  </si>
  <si>
    <t>5946</t>
  </si>
  <si>
    <t>WM+ HGG 02 Kim Đồng</t>
  </si>
  <si>
    <t>Số 02 Kim Đồng, Tổ 18, phường Minh Khai, thành phố Hà Giang, T. Hà Giang Việt Nam</t>
  </si>
  <si>
    <t>5947</t>
  </si>
  <si>
    <t>WM+ PTO Khu 8 Thanh Ba</t>
  </si>
  <si>
    <t>Khu 8, Thị Trấn Thanh Ba, Huyện Thanh Ba, T. Phú Thọ Việt Nam</t>
  </si>
  <si>
    <t>5949</t>
  </si>
  <si>
    <t>WM+ HDG Hiến Thành, Kinh Môn</t>
  </si>
  <si>
    <t>Khu dân cư Đông Nam, phường Hiến Thành, thị xã Kinh Môn, T. Hải Dương Việt Nam</t>
  </si>
  <si>
    <t>5950</t>
  </si>
  <si>
    <t>WM+ HNI 41 Ngõ 203 Tôn Đức Thắng</t>
  </si>
  <si>
    <t>Số 41 ngõ 203 Tôn Đức Thắng, Phường Hàng Bột, quận Đống Đa, TP. Hà Nội Việt Nam</t>
  </si>
  <si>
    <t>5951</t>
  </si>
  <si>
    <t>WM+ HDG Tiêu Sơn, Thanh Miện</t>
  </si>
  <si>
    <t>Thôn Tiêu Sơn, Xã Thanh Giang, Huyện Thanh Miện, T. Hải Dương Việt Nam</t>
  </si>
  <si>
    <t>5952</t>
  </si>
  <si>
    <t>WM+ HNI Phú Sơn, Ba Vì</t>
  </si>
  <si>
    <t>Thôn Nhông Nương Tụ, Xã Phú Sơn, Huyện Ba Vì, TP. Hà Nội Việt Nam</t>
  </si>
  <si>
    <t>5953</t>
  </si>
  <si>
    <t>WM+ TBH 560 Lê Quý Đôn</t>
  </si>
  <si>
    <t>Số 560 đường Lê Quý Đôn, tổ 21, phường Trần Lãm, TP Thái Bình, T. Thái Bình Việt Nam</t>
  </si>
  <si>
    <t>5954</t>
  </si>
  <si>
    <t>WM+ HDG 169 Đường 391 An Nhân</t>
  </si>
  <si>
    <t>169 đường 391 An Nhân, thị trấn Tứ Kỳ, huyện Tứ Kỳ, T. Hải Dương Việt Nam</t>
  </si>
  <si>
    <t>5955</t>
  </si>
  <si>
    <t>WM+ HDG 110 Nguyễn Hải Thanh</t>
  </si>
  <si>
    <t>Số 110 Nguyễn Hải Thanh, thị trấn Thanh Hà, huyện Thanh Hà, T. Hải Dương Việt Nam</t>
  </si>
  <si>
    <t>5957</t>
  </si>
  <si>
    <t>WM+ HDG 146 Lạc Long Quân</t>
  </si>
  <si>
    <t>Số 146, Đường Lạc Long Quân, Thị Trấn Kẻ Sặt, Xã Tráng Liệt, Huyện Bình Giang, T. Hải Dương Việt Nam</t>
  </si>
  <si>
    <t>5958</t>
  </si>
  <si>
    <t>WM+ QNH Khu 7, Nam Hòa</t>
  </si>
  <si>
    <t>Khu phố 7, phường Nam Hòa, thị Xã Quảng Yên, T. Quảng Ninh Việt Nam</t>
  </si>
  <si>
    <t>5959</t>
  </si>
  <si>
    <t>WM+ HNI 69 Hạ Đình</t>
  </si>
  <si>
    <t>69 Phố Hạ Đình, Phường Thanh Xuân Trung, Quận Thanh Xuân, TP. Hà Nội Việt Nam</t>
  </si>
  <si>
    <t>5960</t>
  </si>
  <si>
    <t>WM+ VPC Trần Nguyên Hãn</t>
  </si>
  <si>
    <t>Đường Trần Nguyên Hãn, Tổ dân phố Phương Viên, Thị trấn Thổ Tang, huyện Vĩnh Tường, Việt Nam</t>
  </si>
  <si>
    <t>5961</t>
  </si>
  <si>
    <t>WM+ HDG Nam Đông, Cổ Thành</t>
  </si>
  <si>
    <t>Khu dân cư Nam Đông, phường Cổ Thành, thành phố Chí Linh, T. Hải Dương Việt Nam</t>
  </si>
  <si>
    <t>5963</t>
  </si>
  <si>
    <t>WM+ HDG Tiền Phong, Quyết Thắng</t>
  </si>
  <si>
    <t>Đội 8, xóm Tiền Phong, Xã Quyết Thắng, TP Hải Dương, T. Hải Dương Việt Nam</t>
  </si>
  <si>
    <t>5964</t>
  </si>
  <si>
    <t>WM+ HDG 91 Thanh Xuân</t>
  </si>
  <si>
    <t>Số 91 Thanh Xuân, phường Phả Lại, thành phố Chí Linh, T. Hải Dương Việt Nam</t>
  </si>
  <si>
    <t>5965</t>
  </si>
  <si>
    <t>WM+ HDG An Nghiệp, Thanh Miện</t>
  </si>
  <si>
    <t>Thôn An Nghiệp, xã Tứ Cường, huyện Thanh Miện, T. Hải Dương Việt Nam</t>
  </si>
  <si>
    <t>5967</t>
  </si>
  <si>
    <t>WM+ HDG 470 Đường 391 Tứ Kỳ</t>
  </si>
  <si>
    <t>Số 470 Đường 391 thị trấn Tứ Kỳ, huyện Tứ Kỳ, T. Hải Dương Việt Nam</t>
  </si>
  <si>
    <t>5968</t>
  </si>
  <si>
    <t>WM+ HNI 44 Phúc Diễn</t>
  </si>
  <si>
    <t>Số 44 Phúc Diễn, phường Phúc Diễn, quận Bắc Từ Liêm, TP. Hà Nội Việt Nam</t>
  </si>
  <si>
    <t>5969</t>
  </si>
  <si>
    <t>WM+ HDG Ngã ba Lai Khê, Kim Thành</t>
  </si>
  <si>
    <t>Ngã ba Lai Khê, xã Cộng Hòa, huyện Kim Thành, T. Hải Dương Việt Nam</t>
  </si>
  <si>
    <t>5974</t>
  </si>
  <si>
    <t>WM+ TBH 212 Nguyễn Đức Cảnh</t>
  </si>
  <si>
    <t>Số 212 đường Nguyễn Đức Cảnh, phường Hoàng Diệu, TP Thái Bình, T. Thái Bình Việt Nam</t>
  </si>
  <si>
    <t>5976</t>
  </si>
  <si>
    <t>WM+ HNI Thanh Trí, Sóc Sơn</t>
  </si>
  <si>
    <t>Thôn Thanh Trí, xã Minh Phú, huyện Sóc Sơn, Việt Nam</t>
  </si>
  <si>
    <t>5977</t>
  </si>
  <si>
    <t>WM+ HYN Thanh Xá, Yên Mỹ</t>
  </si>
  <si>
    <t>Thôn Thanh Xá, Xã Nghĩa Hiệp, Huyện Yên Mỹ, T. Hưng Yên Việt Nam</t>
  </si>
  <si>
    <t>5981</t>
  </si>
  <si>
    <t>WM+ TQG Thôn 4, Lưỡng Vượng</t>
  </si>
  <si>
    <t>Thôn 4, Xã Lưỡng Vượng, TP. Tuyên Quang, T. Tuyên Quang Việt Nam</t>
  </si>
  <si>
    <t>5982</t>
  </si>
  <si>
    <t>WM+ TQG Ấm Thắng, Sơn Dương</t>
  </si>
  <si>
    <t>Thôn Ấm Thắng, Xã Thượng Ấm, Huyện Sơn Dương, T. Tuyên Quang Việt Nam</t>
  </si>
  <si>
    <t>5985</t>
  </si>
  <si>
    <t>WM+ BNH 380 - 382 Âu Cơ</t>
  </si>
  <si>
    <t>Số 380-382 Đường Âu Cơ, TT Hồ, Huyện Thuận Thành, T. Bắc Ninh Việt Nam</t>
  </si>
  <si>
    <t>5986</t>
  </si>
  <si>
    <t>WM+ BNH Nghiêm Xá, Yên Phong</t>
  </si>
  <si>
    <t>Số 565, đường tỉnh lộ 295, thôn Nghiêm Xá, Thị Trấn Chờ, Huyện Yên Phong, T. Bắc Ninh Việt Nam</t>
  </si>
  <si>
    <t>5987</t>
  </si>
  <si>
    <t>WM+ HNI 102 Hoàng Ngọc Phách</t>
  </si>
  <si>
    <t>102 Hoàng Ngọc Phách, Phường Láng Hạ, Quận Đống Đa, TP. Hà Nội Việt Nam</t>
  </si>
  <si>
    <t>5988</t>
  </si>
  <si>
    <t>WM+ HPG HD 78 Vinhomes Marina</t>
  </si>
  <si>
    <t>Số HD 78 Khu đô thị Vinhomes Marina, Phường Vĩnh Niệm, Quận Lê Chân, TP. Hải Phòng Việt Nam</t>
  </si>
  <si>
    <t>5989</t>
  </si>
  <si>
    <t>WM+ HPG Hà Đới, Tiên Lãng</t>
  </si>
  <si>
    <t>Thôn Hà Đới, xã Tiên Thanh, Huyện Tiên Lãng, TP. Hải Phòng Việt Nam</t>
  </si>
  <si>
    <t>5990</t>
  </si>
  <si>
    <t>WM+ BGG Đức Nghiêm, Hiệp Hòa</t>
  </si>
  <si>
    <t>Thôn Đức Nghiêm, Xã Ngọc Sơn, Huyện Hiệp Hòa, T. Bắc Giang Việt Nam</t>
  </si>
  <si>
    <t>5992</t>
  </si>
  <si>
    <t>WM+ BGG Phố Hoa, Trung Tâm</t>
  </si>
  <si>
    <t>Phố Hoa, Thôn Trung Tâm, Xã Bắc Lý, Huyện Hiệp Hòa, T. Bắc Giang Việt Nam</t>
  </si>
  <si>
    <t>5993</t>
  </si>
  <si>
    <t>WM+ HNI Thống Nhất, Sóc Sơn</t>
  </si>
  <si>
    <t>Thôn Thống Nhất, xã Trung Giã, huyện Sóc Sơn, TP. Hà Nội Việt Nam</t>
  </si>
  <si>
    <t>5994</t>
  </si>
  <si>
    <t>WM+ VPC Giã Bàng, Yên Lạc</t>
  </si>
  <si>
    <t>Khu 2, thôn Giã Bàng, xã Tề Lỗ, huyện Yên Lạc, T. Vĩnh Phúc Việt Nam</t>
  </si>
  <si>
    <t>5995</t>
  </si>
  <si>
    <t>WM+ BGG 98 - 100 Nguyễn Xuân Lan</t>
  </si>
  <si>
    <t>Số 98-100 Nguyễn Xuân Lan, Thị trấn Vôi, huyện Lạng Giang, T. Bắc Giang Việt Nam</t>
  </si>
  <si>
    <t>5996</t>
  </si>
  <si>
    <t>WM+ HDG 27 Mạc Đĩnh Chi</t>
  </si>
  <si>
    <t>Số 27 Mạc Đĩnh Chi, Thị trấn Nam Sách, huyện Nam Sách, T. Hải Dương Việt Nam</t>
  </si>
  <si>
    <t>5997</t>
  </si>
  <si>
    <t>WM+ HDG 02 Thanh Niên</t>
  </si>
  <si>
    <t>Số 2 đường Thanh Niên, Phường An Lưu, Thị xã Kinh Môn, T. Hải Dương Việt Nam</t>
  </si>
  <si>
    <t>6006</t>
  </si>
  <si>
    <t>WM+ TQG 11/9 Vĩnh Lộc, Chiêm Hóa</t>
  </si>
  <si>
    <t>Tổ 11/9, Thị trấn Vĩnh Lộc, Huyện Chiêm Hóa, T. Tuyên Quang Việt Nam</t>
  </si>
  <si>
    <t>6007</t>
  </si>
  <si>
    <t>WM+ HDG Phố Hóp, Nam Sách</t>
  </si>
  <si>
    <t>Xóm 5, Phố Hóp, xã Nam Hồng, huyện Nam Sách, T. Hải Dương Việt Nam</t>
  </si>
  <si>
    <t>6012</t>
  </si>
  <si>
    <t>WM+ TQG Làng Mãn 1, Hàm Yên</t>
  </si>
  <si>
    <t>Thôn làng Mãn 1, xã Thái Hòa, Huyện Hàm Yên, T. Tuyên Quang Việt Nam</t>
  </si>
  <si>
    <t>6013</t>
  </si>
  <si>
    <t>WM+ HYN Đặng Đinh, Ân Thi</t>
  </si>
  <si>
    <t>Thôn Đặng Đinh, Xã Đặng Lễ, Huyện Ân Thi, T. Hưng Yên Việt Nam</t>
  </si>
  <si>
    <t>6014</t>
  </si>
  <si>
    <t>WM+ HNI 34 Mạc Xá</t>
  </si>
  <si>
    <t>Số nhà 34 Phố Mạc Xá, phường Liên Mạc, quận Bắc Từ Liêm, TP. Hà Nội Việt Nam</t>
  </si>
  <si>
    <t>6015</t>
  </si>
  <si>
    <t>WM+ HDG Chợ Vé, Ninh Giang</t>
  </si>
  <si>
    <t>Chợ Vé, xã Đồng Tâm, huyện Ninh Giang, T. Hải Dương Việt Nam</t>
  </si>
  <si>
    <t>6016</t>
  </si>
  <si>
    <t>WM+ HNI Đan Tảo, Sóc Sơn</t>
  </si>
  <si>
    <t>Thôn Đan Tảo, xã Tân Minh, huyện Sóc Sơn, TP. Hà Nội Việt Nam</t>
  </si>
  <si>
    <t>6017</t>
  </si>
  <si>
    <t>WM+ HNI M7-108 Mipec City View</t>
  </si>
  <si>
    <t>Shophouse M7-108, tòa M7 Mipec City View , đường Hoàng Công, P. Kiến Hưng, Q. Hà Đông, TP. Hà Nội Việt Nam</t>
  </si>
  <si>
    <t>6018</t>
  </si>
  <si>
    <t>WM+ VPC Bắc Cường, Vĩnh Tường</t>
  </si>
  <si>
    <t>Thôn Bắc Cường, Thị trấn Thổ Tang, Huyện Vĩnh Tường, T. Vĩnh Phúc Việt Nam</t>
  </si>
  <si>
    <t>6019</t>
  </si>
  <si>
    <t>WM+ HPG Tân Lập, Tiên Lãng</t>
  </si>
  <si>
    <t>Thôn Tân Lập, Xã Đoàn Lập, Huyện Tiên Lãng, TP. Hải Phòng Việt Nam</t>
  </si>
  <si>
    <t>6022</t>
  </si>
  <si>
    <t>WM+ HPG Tiến Lập, An Lão</t>
  </si>
  <si>
    <t>Thôn Tiến Lập, xã Mỹ Đức, huyện An Lão, TP. Hải Phòng Việt Nam</t>
  </si>
  <si>
    <t>6023</t>
  </si>
  <si>
    <t>WM+ QNH Kim Sơn, Đông Triều</t>
  </si>
  <si>
    <t>Khu Đô Thị Kim Sơn, phường Kim Sơn, Thị Xã Đông Triều, T. Quảng Ninh Việt Nam</t>
  </si>
  <si>
    <t>6024</t>
  </si>
  <si>
    <t>WM+ HDG Thái Mông, Kinh Môn</t>
  </si>
  <si>
    <t>Thôn Thái Mông, xã Quang Thành, thị xã Kinh Môn, T. Hải Dương Việt Nam</t>
  </si>
  <si>
    <t>6025</t>
  </si>
  <si>
    <t>WM+ HPG Xuân Đài 2, An Lão</t>
  </si>
  <si>
    <t>Thôn Xuân Đài 2, xã Trường Thọ, huyện An Lão, TP. Hải Phòng Việt Nam</t>
  </si>
  <si>
    <t>6026</t>
  </si>
  <si>
    <t>WM+ HPG Thôn 2, Vĩnh Bảo</t>
  </si>
  <si>
    <t>Thôn 2, xã Trung Lập, huyện Vĩnh Bảo, TP. Hải Phòng Việt Nam</t>
  </si>
  <si>
    <t>6028</t>
  </si>
  <si>
    <t>WM+ TQG 218 Lê Duẩn</t>
  </si>
  <si>
    <t>Số 218 Lê Duẩn, tổ 5, phường Tân Hà, thành phố Tuyên Quang, T. Tuyên Quang Việt Nam</t>
  </si>
  <si>
    <t>6038</t>
  </si>
  <si>
    <t>WM+ HPG Hợp Thành, Thủy Nguyên</t>
  </si>
  <si>
    <t>Xóm 7, xã Hợp Thành, huyện Thủy Nguyên, TP. Hải Phòng Việt Nam</t>
  </si>
  <si>
    <t>6040</t>
  </si>
  <si>
    <t>WM+ BGG 182 Trường Chinh</t>
  </si>
  <si>
    <t>Số 182 Trường Chinh, TDP 1, Thị trấn Thắng, huyện Hiệp Hòa, T. Bắc Giang Việt Nam</t>
  </si>
  <si>
    <t>6041</t>
  </si>
  <si>
    <t>VM+ YBI 486 Đinh Tiên Hoàng</t>
  </si>
  <si>
    <t>Số 486 Đường Đinh Tiên Hoàng, Phường Yên Thịnh, Thành Phố Yên Bái, T. Yên Bái Việt Nam</t>
  </si>
  <si>
    <t>6042</t>
  </si>
  <si>
    <t>WM+ HYN Tử Đông, Yên Mỹ</t>
  </si>
  <si>
    <t>Thôn Tử Đông, Xã Lý Thường Kiệt, Huyện Yên Mỹ, T. Hưng Yên Việt Nam</t>
  </si>
  <si>
    <t>6043</t>
  </si>
  <si>
    <t>WM+ HDG Chi Đoan, Nam Sách</t>
  </si>
  <si>
    <t>Thôn Chi Đoan, xã Cộng Hòa, huyện Nam Sách, T. Hải Dương Việt Nam</t>
  </si>
  <si>
    <t>6044</t>
  </si>
  <si>
    <t>WM+ HNI 27 Phùng Chí Kiên</t>
  </si>
  <si>
    <t>Số 27 phố Phùng Chí Kiên, phường Nghĩa Đô, quận Cầu Giấy, TP. Hà Nội Việt Nam</t>
  </si>
  <si>
    <t>6045</t>
  </si>
  <si>
    <t>WM+ PTO 476 Phong Châu</t>
  </si>
  <si>
    <t>476 Phong Châu, Khu 22, phường Gia Cẩm, thành phố Việt Trì, T. Phú Thọ Việt Nam</t>
  </si>
  <si>
    <t>6048</t>
  </si>
  <si>
    <t>WM+ TBH Minh Tân 2</t>
  </si>
  <si>
    <t>Đường Minh Tân 2, Thị trấn Vũ Thư, Huyện Vũ Thư, T. Thái Bình Việt Nam</t>
  </si>
  <si>
    <t>6049</t>
  </si>
  <si>
    <t>WM+ VPC Phố Lồ, Yên Lạc</t>
  </si>
  <si>
    <t>Phố Lồ, Xã Nguyệt Đức, Huyện Yên Lạc, T. Vĩnh Phúc Việt Nam</t>
  </si>
  <si>
    <t>6050</t>
  </si>
  <si>
    <t>WM+ HNI 188 Quảng Oai</t>
  </si>
  <si>
    <t>Số nhà 188 đường Quảng Oai, Thị trấn Tây Đằng, Huyện Ba Vì, TP. Hà Nội Việt Nam</t>
  </si>
  <si>
    <t>6052</t>
  </si>
  <si>
    <t>WM+ PTO Khu 5 Nông Trang</t>
  </si>
  <si>
    <t>Đường Nguyễn Du kéo dài, Khu 5 Phường Nông Trang, Thành phố Việt Trì, T. Phú Thọ Việt Nam</t>
  </si>
  <si>
    <t>6053</t>
  </si>
  <si>
    <t>WM+ TQG TDP Lang Quán, Yên Sơn</t>
  </si>
  <si>
    <t>Tổ dân phố Lang Quán, thị trấn Yên Sơn, huyện Yên Sơn, T. Tuyên Quang Việt Nam</t>
  </si>
  <si>
    <t>6054</t>
  </si>
  <si>
    <t>WM+ HNI 8 Ngõ 62 Thụy Ứng</t>
  </si>
  <si>
    <t>Số 8, ngõ 62, phố Thụy Ứng, Thị trấn Phùng, Huyện Đan Phượng, TP. Hà Nội Việt Nam</t>
  </si>
  <si>
    <t>6061</t>
  </si>
  <si>
    <t>WM+ TBH Tây Giang, Tiền Hải</t>
  </si>
  <si>
    <t>Xã Tây Giang, huyện Tiền Hải, T. Thái Bình Việt Nam</t>
  </si>
  <si>
    <t>6062</t>
  </si>
  <si>
    <t>WM+ HDG 83B-83C Độc Lập</t>
  </si>
  <si>
    <t>Số 83B-83C đường Độc Lập, TT.Cẩm Giàng, huyện Cẩm Giàng, T. Hải Dương Việt Nam</t>
  </si>
  <si>
    <t>6063</t>
  </si>
  <si>
    <t>WM+ HNI 51 Kim Quan</t>
  </si>
  <si>
    <t>Số 51, Kim Quan, TL84, huyện Thạch Thất, TP. Hà Nội Việt Nam</t>
  </si>
  <si>
    <t>6064</t>
  </si>
  <si>
    <t>WM+ HPG Đại Trà, Kiến Thụy</t>
  </si>
  <si>
    <t>Thôn Đại Trà, xã Đông Phương, huyện Kiến Thụy, TP. Hải Phòng Việt Nam</t>
  </si>
  <si>
    <t>6071</t>
  </si>
  <si>
    <t>WM+ HPG Lộc Trù, Tiên Lãng</t>
  </si>
  <si>
    <t>Thôn Lộc Trù, Xã Tiên Thắng, Huyện Tiên Lãng, TP. Hải Phòng Việt Nam</t>
  </si>
  <si>
    <t>6072</t>
  </si>
  <si>
    <t>WM+ HNI Chợ Mơ, Ba Vì</t>
  </si>
  <si>
    <t>Thôn Chợ Mơ, Xã Vạn Thắng, Huyện Ba Vì, TP. Hà Nội Việt Nam</t>
  </si>
  <si>
    <t>6073</t>
  </si>
  <si>
    <t>WM+ HPG Thôn Sỏ, Thuỷ Nguyên</t>
  </si>
  <si>
    <t>Thôn Sỏ, Xã Phục Lễ, Huyện Thuỷ Nguyên, TP. Hải Phòng Việt Nam</t>
  </si>
  <si>
    <t>6074</t>
  </si>
  <si>
    <t>WM+ HNI 41 Long Biên 1</t>
  </si>
  <si>
    <t>41 Long Biên 1, Phường Ngọc Lâm, Quận Long Biên, TP. Hà Nội Việt Nam</t>
  </si>
  <si>
    <t>6075</t>
  </si>
  <si>
    <t>WM+ HNI 74 Yên Vĩnh</t>
  </si>
  <si>
    <t>Số 74 Thôn Yên Vĩnh, Xã Kim Chung, Huyện Hoài Đức, TP. Hà Nội Việt Nam</t>
  </si>
  <si>
    <t>6076</t>
  </si>
  <si>
    <t>WM+ HNI Liên Minh, Ba Vì</t>
  </si>
  <si>
    <t>Thôn Liên Minh, Xã Thụy An, Huyện Ba Vì, TP. Hà Nội Việt Nam</t>
  </si>
  <si>
    <t>6077</t>
  </si>
  <si>
    <t>WM+ QNH 175 Nguyễn Trãi</t>
  </si>
  <si>
    <t>Số 175 Nguyễn Trãi, Tổ 4 Khu Trới 3, Phường Hoành Bồ, TP. Hạ Long, T. Quảng Ninh Việt Nam</t>
  </si>
  <si>
    <t>6078</t>
  </si>
  <si>
    <t>WM+ VPC Khu Phố 1, Hương Canh</t>
  </si>
  <si>
    <t>Khu Phố 1, Thị Trấn Hương Canh, Huyện Bình Xuyên, T. Vĩnh Phúc Việt Nam</t>
  </si>
  <si>
    <t>6081</t>
  </si>
  <si>
    <t>WM+ HNI 138 Tổ 8 Phú Lãm</t>
  </si>
  <si>
    <t>Số 138, tổ 8 Phường Phú Lãm, Quận Hà Đông, TP. Hà Nội Việt Nam</t>
  </si>
  <si>
    <t>6082</t>
  </si>
  <si>
    <t>WM+ QNH Tổ 17 Khu 2 Hà Trung</t>
  </si>
  <si>
    <t>Tổ 17 Khu 2, Phường Hà Trung, TP Hạ Long, T. Quảng Ninh Việt Nam</t>
  </si>
  <si>
    <t>6083</t>
  </si>
  <si>
    <t>WM+ HPG 5/4 Quán Toan</t>
  </si>
  <si>
    <t>Tổ đường 5/4, Phường Quán Toan, Quận Hồng Bàng, TP. Hải Phòng Việt Nam</t>
  </si>
  <si>
    <t>6085</t>
  </si>
  <si>
    <t>WM+ HPG Bấc Vang, Thuỷ Nguyên</t>
  </si>
  <si>
    <t>Thôn Bấc Vang, xã Dương Quan, huyện Thuỷ Nguyên, TP. Hải Phòng Việt Nam</t>
  </si>
  <si>
    <t>6090</t>
  </si>
  <si>
    <t>WM+ PTO 191B Ba Mỏ</t>
  </si>
  <si>
    <t>Số 191B Phố Ba Mỏ, TT Thanh Sơn, Huyện Thanh Sơn, T. Phú Thọ Việt Nam</t>
  </si>
  <si>
    <t>6091</t>
  </si>
  <si>
    <t>WM+ HNI 102E Lê Thanh Nghị</t>
  </si>
  <si>
    <t>102E Lê Thanh Nghị, Phường Bách Khoa, Quận Hai Bà Trưng, TP. Hà Nội Việt Nam</t>
  </si>
  <si>
    <t>6092</t>
  </si>
  <si>
    <t>WM+ SLA 545 Tiểu Khu 19</t>
  </si>
  <si>
    <t>Số nhà 545, Tiểu khu 19, Thị Trấn Hát Lót, Huyện Mai Sơn, T. Sơn La Việt Nam</t>
  </si>
  <si>
    <t>6093</t>
  </si>
  <si>
    <t>WM+ HDG Quán Tranh, Ninh Giang</t>
  </si>
  <si>
    <t>Thôn Quán Tranh, Xã Đồng Tâm, Huyện Ninh Giang, T. Hải Dương Việt Nam</t>
  </si>
  <si>
    <t>6095</t>
  </si>
  <si>
    <t>WM+ HNI S3.03 Vinhomes Tây Mỗ</t>
  </si>
  <si>
    <t>01SH02-02SH02, Tòa S3.03 – DA KĐT mới Tây Mỗ, Đại Mỗ - Vinhomes Park,  P. Tây Mỗ, Q. Nam Từ Liêm, TP. Hà Nội Việt Nam</t>
  </si>
  <si>
    <t>6099</t>
  </si>
  <si>
    <t>WM+ SLA Lê Thanh Nghị</t>
  </si>
  <si>
    <t>Đường Lê Thanh Nghị, Tiểu Khu Cơ Quan, thị trấn Nông Trường Mộc Châu, Huyện Mộc Châu, T. Sơn La Việt Nam</t>
  </si>
  <si>
    <t>6100</t>
  </si>
  <si>
    <t>WM+ HPG 269 Lý Thánh Tông</t>
  </si>
  <si>
    <t>Số 269 Lý Thánh Tông, Tổ Dân Phố Cầu Tre, Phường Ngọc Xuyên, Quận Đồ Sơn, TP. Hải Phòng Việt Nam</t>
  </si>
  <si>
    <t>6101</t>
  </si>
  <si>
    <t>WM+ HNI 8 Ngõ 63 Lê Đức Thọ</t>
  </si>
  <si>
    <t>Số 8 ngõ 63 Lê Đức Thọ, Phường Mỹ Đình 2, Quận Nam Từ Liêm, TP. Hà Nội Việt Nam</t>
  </si>
  <si>
    <t>6108</t>
  </si>
  <si>
    <t>WM+ HNI Phú Mỹ, Quốc Oai</t>
  </si>
  <si>
    <t>Xóm Đông, Thôn Phú Mỹ, Xã Ngọc Mỹ, H.Quốc Oai, TP. Hà Nội Việt Nam</t>
  </si>
  <si>
    <t>6109</t>
  </si>
  <si>
    <t>WM+ VPC Ngọc Động, Vĩnh Tường</t>
  </si>
  <si>
    <t>Thôn Ngọc Động, xã Bình Dương, huyện Vĩnh Tường, T. Vĩnh Phúc Việt Nam</t>
  </si>
  <si>
    <t>6110</t>
  </si>
  <si>
    <t>Gian hàng TM1, Tầng 1 chung cư CT1B thuộc dự án cải tạo khu C, Chung cư Quang Trung, Phường Thành Vinh, Tỉnh Nghệ An T. Nghệ An Việt Nam</t>
  </si>
  <si>
    <t>6112</t>
  </si>
  <si>
    <t>WM+ NAN 78 Lê Nin</t>
  </si>
  <si>
    <t>Số 78 Đường Lê Nin, Khối Tân Hòa, Phường Hà Huy Tập, Thành phố Vinh, T. Nghệ An Việt Nam</t>
  </si>
  <si>
    <t>6116</t>
  </si>
  <si>
    <t>WM+ HNI S1.06 Vinhomes Tây Mỗ</t>
  </si>
  <si>
    <t>01 SH02 - 02 SH02, Tòa S1.06 (Z34M.1) - Vinhomes Park, P. Tây Mỗ, Q. Nam Từ Liêm, TP. Hà Nội Việt Nam</t>
  </si>
  <si>
    <t>6117</t>
  </si>
  <si>
    <t>WM+ PTO 167-169 Nguyễn Trãi</t>
  </si>
  <si>
    <t>167-169 Nguyễn Trãi, P. Minh Phương, TP. Việt Trì, T. Phú Thọ Việt Nam</t>
  </si>
  <si>
    <t>6119</t>
  </si>
  <si>
    <t>WM+ HNI D04-L16 Khu A Dương Nội</t>
  </si>
  <si>
    <t>D04-L16 khu A khu ĐTM Dương Nội, P. Dương Nội, Q. Hà Đông, TP. Hà Nội Việt Nam</t>
  </si>
  <si>
    <t>6125</t>
  </si>
  <si>
    <t>WM+ HBH Toà Ann House, Tân Thịnh</t>
  </si>
  <si>
    <t>Trung tâm thương mại - Dịch vụ Bờ Trái Sông Đà, Phường Tân Thịnh, Thành Phố Hòa Bình, T. Hòa Bình Việt Nam</t>
  </si>
  <si>
    <t>6127</t>
  </si>
  <si>
    <t>WM+ NDH Đề Thám, Trực Ninh</t>
  </si>
  <si>
    <t>Xóm Đề Thám, Xã Trực Cường, Huyện Trực Ninh, T. Nam Định Việt Nam</t>
  </si>
  <si>
    <t>6128</t>
  </si>
  <si>
    <t>WM+ HNI Mạch Lũng, Đông Anh</t>
  </si>
  <si>
    <t>Thôn Mạch Lũng, Xã Đại Mạch, Huyện Đông Anh, TP. Hà Nội Việt Nam</t>
  </si>
  <si>
    <t>6129</t>
  </si>
  <si>
    <t>WM+ HPG Chợ Tổng, Thủy Nguyên</t>
  </si>
  <si>
    <t>Chợ Tổng, Xã Lưu Kiếm, Huyện Thuỷ Nguyên, TP. Hải Phòng Việt Nam</t>
  </si>
  <si>
    <t>6130</t>
  </si>
  <si>
    <t>WM+ QNH 708 Khu Mễ Xá 2</t>
  </si>
  <si>
    <t>708 Khu Mễ Xá 2, Phường Hưng Đạo, TX Đông Triều, T. Quảng Ninh Việt Nam</t>
  </si>
  <si>
    <t>6131</t>
  </si>
  <si>
    <t>WM+ HNI Phượng Đồng, Chương Mỹ</t>
  </si>
  <si>
    <t>Thôn Phượng Đồng, xã Phụng Châu, huyện Chương Mỹ, TP. Hà Nội Việt Nam</t>
  </si>
  <si>
    <t>6136</t>
  </si>
  <si>
    <t>WM+ HNI 157 Đình Thôn</t>
  </si>
  <si>
    <t>157 Đường Đình Thôn, Phường Mỹ Đình 1, Quận Nam Từ Liêm, TP. Hà Nội Việt Nam</t>
  </si>
  <si>
    <t>6137</t>
  </si>
  <si>
    <t>WM+ THA Nam Sơn, Đông Sơn</t>
  </si>
  <si>
    <t>Khu phố Nam Sơn, Thị trấn Rừng Thông, Huyện Đông Sơn, T. Thanh Hóa Việt Nam</t>
  </si>
  <si>
    <t>6141</t>
  </si>
  <si>
    <t>WM+ VPC TDP Tân Chiền, Lập Thạch</t>
  </si>
  <si>
    <t>TDP Tân Chiền, Thị trấn Lập Thạch, Huyện Lập Thạch, T. Vĩnh Phúc Việt Nam</t>
  </si>
  <si>
    <t>6142</t>
  </si>
  <si>
    <t>WM+ HNI 12 Cổ Bản</t>
  </si>
  <si>
    <t>Số 12 đường Cổ Bản - Nhân Sơn,Tổ 1, P. Đồng Mai, Q. Hà Đông, TP. Hà Nội Việt Nam</t>
  </si>
  <si>
    <t>6146</t>
  </si>
  <si>
    <t>WM+ VPC Phố Me, Tam Dương</t>
  </si>
  <si>
    <t>Phố Me, TT Hợp Hòa, Huyện Tam Dương, T. Vĩnh Phúc Việt Nam</t>
  </si>
  <si>
    <t>6147</t>
  </si>
  <si>
    <t>WM+ HNI 19T1 Kiến Hưng</t>
  </si>
  <si>
    <t>Kiot 29-30, Tầng 1 chung cư 19T1 Khu Đô Thị Kiến Hưng, Phường Kiến Hưng, Quận Hà Đông, TP. Hà Nội Việt Nam</t>
  </si>
  <si>
    <t>6148</t>
  </si>
  <si>
    <t>WM+ HNI 28 Cửa Nam</t>
  </si>
  <si>
    <t>28A + 28B Cửa Nam, Phường Cửa Nam, Quận Hoàn Kiếm, TP. Hà Nội Việt Nam</t>
  </si>
  <si>
    <t>6149</t>
  </si>
  <si>
    <t>WM+ BNH Mao Dộc, Quế Võ</t>
  </si>
  <si>
    <t>Mao Dộc, Xã Phượng Mao, Huyện Quế Võ, Tỉnh Bắc Ninh T. Bắc Ninh Việt Nam</t>
  </si>
  <si>
    <t>6152</t>
  </si>
  <si>
    <t>WM+ HNI 17T4 Trung Hòa - Nhân Chính</t>
  </si>
  <si>
    <t>Ô B, Tầng 1, Tòa 17T4 Khu đô thị Trung Hòa – Nhân Chính, Phường Nhân Chính, Quận Thanh Xuân, TP. Hà Nội Việt Nam</t>
  </si>
  <si>
    <t>6153</t>
  </si>
  <si>
    <t>WM+ HNI Dục Tú, Đông Anh</t>
  </si>
  <si>
    <t>Thôn Dục Tú, Xã Dục Tú, Huyện Đông Anh, TP. Hà Nội Việt Nam</t>
  </si>
  <si>
    <t>6154</t>
  </si>
  <si>
    <t>WM+ SLA 131 Tiểu khu Bệnh Viện</t>
  </si>
  <si>
    <t>131 Tiểu khu Bệnh Viện, Thị trấn Nông Trường Mộc Châu, Huyện Mộc Châu, T. Sơn La Việt Nam</t>
  </si>
  <si>
    <t>6155</t>
  </si>
  <si>
    <t>WM+ NAN 38 Nguyễn Xí</t>
  </si>
  <si>
    <t>Số 38 Nguyễn Xí, Phường Nghi Thủy, Thị xã Cửa Lò, T. Nghệ An Việt Nam</t>
  </si>
  <si>
    <t>6156</t>
  </si>
  <si>
    <t>WM+ HNI 16 Ngõ 80 Chùa Láng</t>
  </si>
  <si>
    <t>Số 16, ngõ 80, Chùa Láng, Phường Láng Thượng, Quận Đống Đa, TP. Hà Nội Việt Nam</t>
  </si>
  <si>
    <t>6157</t>
  </si>
  <si>
    <t>WM+ HNI 15 Yên Sơn, Chương Mỹ</t>
  </si>
  <si>
    <t>Số 15 Yên Sơn, Thị Trấn Chúc Sơn, Huyện Chương Mỹ, TP. Hà Nội Việt Nam</t>
  </si>
  <si>
    <t>6162</t>
  </si>
  <si>
    <t>WM+ NAN 82 Lý Tự Trọng</t>
  </si>
  <si>
    <t>Số 82 Lý Tự Trọng, Phường Hà Huy Tập, Thành Phố Vinh, T. Nghệ An Việt Nam</t>
  </si>
  <si>
    <t>6163</t>
  </si>
  <si>
    <t>WM+ HNI Đông Nhân, Hoài Đức</t>
  </si>
  <si>
    <t>Xóm 1, Thôn Đông Nhân, xã Đông La, huyện Hoài Đức, TP. Hà Nội Việt Nam</t>
  </si>
  <si>
    <t>6165</t>
  </si>
  <si>
    <t>WM+ HNI 19T4 Kiến Hưng</t>
  </si>
  <si>
    <t>Kiot 02,Tòa 19T4, Khu đô thị Kiến Hưng, Phường Kiến Hưng, Q. Hà Đông, TP. Hà Nội Việt Nam</t>
  </si>
  <si>
    <t>6166</t>
  </si>
  <si>
    <t>WM+ QNH 141 Nguyễn Văn Cừ</t>
  </si>
  <si>
    <t>141 Nguyễn Văn Cừ, Phường Vàng Danh, Thành Phố Uông Bí, T. Quảng Ninh Việt Nam</t>
  </si>
  <si>
    <t>6167</t>
  </si>
  <si>
    <t>WM+ THA Chợ Đông Vệ</t>
  </si>
  <si>
    <t>LK21-22 NƠ 01 Khu Đô Thị Nam Thành Phố, Đường Âu Cơ, Phường Đông Vệ, TP Thanh Hoá, T. Thanh Hóa Việt Nam</t>
  </si>
  <si>
    <t>6169</t>
  </si>
  <si>
    <t>WM+ NDH 57A TT Lâm, Ý Yên</t>
  </si>
  <si>
    <t>Khu A, đường 57A Thị Trấn Lâm, Huyện Ý Yên, T. Nam Định Việt Nam</t>
  </si>
  <si>
    <t>6171</t>
  </si>
  <si>
    <t>WM+ HNI BT12 KĐT Xa La</t>
  </si>
  <si>
    <t>BT12-VT9 và BT12-VT10 khu đô thị Xa La, P. Phúc La, Q. Hà Đông, TP. Hà Nội Việt Nam</t>
  </si>
  <si>
    <t>6172</t>
  </si>
  <si>
    <t>WM+ HPG Kiền Bái, Thuỷ Nguyên</t>
  </si>
  <si>
    <t>Thôn 6, Xã Kiền Bái, Huyện Thuỷ Nguyên, TP. Hải Phòng Việt Nam</t>
  </si>
  <si>
    <t>6173</t>
  </si>
  <si>
    <t>WM+ HNI 13 Tổ 3 Tân Xuân</t>
  </si>
  <si>
    <t>Số 13, Tổ 3 Tân Xuân, TT Xuân Mai, Huyện Chương Mỹ, TP. Hà Nội Việt Nam</t>
  </si>
  <si>
    <t>6174</t>
  </si>
  <si>
    <t>WM+ HNI Phù Mã, Sóc Sơn</t>
  </si>
  <si>
    <t>Phù Mã, Xã Phù Linh, Huyện Sóc Sơn, TP. Hà Nội Việt Nam</t>
  </si>
  <si>
    <t>6175</t>
  </si>
  <si>
    <t>Thôn 7, Xã Diễn Kỷ, Huyện Diễn Châu, T. Nghệ An Việt Nam</t>
  </si>
  <si>
    <t>6176</t>
  </si>
  <si>
    <t>WM+ TNN 84 Bắc Sơn</t>
  </si>
  <si>
    <t>Đường Bắc Sơn, phường Hoàng Văn Thụ, Thành phố Thái Nguyên, T. Thái Nguyên Việt Nam</t>
  </si>
  <si>
    <t>6177</t>
  </si>
  <si>
    <t>WM+ NAN 52 Nguyễn Trường Tộ</t>
  </si>
  <si>
    <t>52 Nguyễn Trường Tộ, Phường Đông Vĩnh, Thành phố Vinh, T. Nghệ An Việt Nam</t>
  </si>
  <si>
    <t>6178</t>
  </si>
  <si>
    <t>WM+ PTO Khu 22 Hoàng Xá</t>
  </si>
  <si>
    <t>Khu 22, Xã Hoàng Xá, Huyện Thanh Thủy, T. Phú Thọ Việt Nam</t>
  </si>
  <si>
    <t>6179</t>
  </si>
  <si>
    <t>WM+ TQG 76 TDP Vĩnh Lim</t>
  </si>
  <si>
    <t>Số nhà 76 TDP Vĩnh Lim, Thị trấn Vĩnh Lộc, Huyện Chiêm Hóa, T. Tuyên Quang Việt Nam</t>
  </si>
  <si>
    <t>6180</t>
  </si>
  <si>
    <t>WM+ HNI 8B7 Ngõ 64 Lưu Hữu Phước</t>
  </si>
  <si>
    <t>8B7 Ngõ 64 Lưu Hữu Phước, Phường Mỹ Đình 1, Quận Nam Từ Liêm, TP. Hà Nội Việt Nam</t>
  </si>
  <si>
    <t>6181</t>
  </si>
  <si>
    <t>WM+ HYN Mễ Hạ, Yên Mỹ</t>
  </si>
  <si>
    <t>Thôn Mễ Hạ, Xã Yên Phú, Huyện Yên Mỹ, T. Hưng Yên Việt Nam</t>
  </si>
  <si>
    <t>6182</t>
  </si>
  <si>
    <t>WM+ VPC 19 Lê Xoay</t>
  </si>
  <si>
    <t>19 Lê Xoay, Phường Ngô Quyền, TP. Vĩnh Yên, T. Vĩnh Phúc Việt Nam</t>
  </si>
  <si>
    <t>6184</t>
  </si>
  <si>
    <t>Xóm Bến, Xã Tốt Động, Huyện Chương Mỹ, TP. Hà Nội Việt Nam</t>
  </si>
  <si>
    <t>6194</t>
  </si>
  <si>
    <t>WM+ NAN Khối 3 TT Quán Hành</t>
  </si>
  <si>
    <t>Khối 3, Thị Trấn Quán Hành, Huyện Nghi Lộc, T. Nghệ An Việt Nam</t>
  </si>
  <si>
    <t>6195</t>
  </si>
  <si>
    <t>WM+ QNH 277 Cầu Sến</t>
  </si>
  <si>
    <t>277 Đường Cầu Sến, Khu Bí Trung 2, P. Phương Đông, TP. Uông Bí, T. Quảng Ninh Việt Nam</t>
  </si>
  <si>
    <t>6201</t>
  </si>
  <si>
    <t>WM+ TBH Lô 8-9 LK 23 KĐT Kỳ Đồng</t>
  </si>
  <si>
    <t>Lô 8-9 LK 23 KĐT DA phát triển nhà ở hai bên đường Kỳ Đồng kéo dài, xã Phú Xuân, TP Thái Bình, T. Thái Bình Việt Nam</t>
  </si>
  <si>
    <t>6202</t>
  </si>
  <si>
    <t>Số 809 Lam Sơn, Thị trấn Nông Cống, Huyện Nông Cống, T. Thanh Hóa Việt Nam</t>
  </si>
  <si>
    <t>6205</t>
  </si>
  <si>
    <t>WM+ HTH 12 Yên Trung</t>
  </si>
  <si>
    <t>Số nhà 12 đường Yên Trung, Tổ dân phố 5, Thị trấn Đức Thọ, Huyện Đức Thọ, T. Hà Tĩnh Việt Nam</t>
  </si>
  <si>
    <t>6207</t>
  </si>
  <si>
    <t>WM+ NAN 97 Kim Liên</t>
  </si>
  <si>
    <t>Số 97 đường Kim Liên, Xóm 4, Xã Hưng Chính, TP. Vinh, T. Nghệ An Việt Nam</t>
  </si>
  <si>
    <t>6208</t>
  </si>
  <si>
    <t>WM+ HYN Tiền Thắng, Bảo Khê</t>
  </si>
  <si>
    <t>Thôn Tiền Thắng, Xã Bảo Khê, Thành phố Hưng Yên, T. Hưng Yên Việt Nam</t>
  </si>
  <si>
    <t>6215</t>
  </si>
  <si>
    <t>WM+ SLA 100-102 Tiểu Khu 12</t>
  </si>
  <si>
    <t>Số nhà 100-102, Đường 20/11, Tiểu Khu 12, TT Mộc Châu, Huyện Mộc Châu, T. Sơn La Việt Nam</t>
  </si>
  <si>
    <t>6217</t>
  </si>
  <si>
    <t>WM+ HNI 57 Đại Đồng</t>
  </si>
  <si>
    <t>Số 57 Đại Đồng, Xã Đại Đồng, Huyện Thạch Thất, TP. Hà Nội Việt Nam</t>
  </si>
  <si>
    <t>6218</t>
  </si>
  <si>
    <t>WM+ TQG 03 TDP Tân Bắc, Sơn Dương</t>
  </si>
  <si>
    <t>Số nhà 03, TDP Tân Bắc, Thị trấn Sơn Dương, Huyện Sơn Dương, T. Tuyên Quang Việt Nam</t>
  </si>
  <si>
    <t>6219</t>
  </si>
  <si>
    <t>WM+ HNI S4.02 Goldmark City</t>
  </si>
  <si>
    <t>S4-02 Tòa Saphire 4, Tổ hợp Goldmark City, Số 136, Hồ Tùng Mậu, P. Phú Diễn, Q. Bắc Từ Liêm, TP. Hà Nội Việt Nam</t>
  </si>
  <si>
    <t>6221</t>
  </si>
  <si>
    <t>WM+ HNI 271 Vũ Tông Phan</t>
  </si>
  <si>
    <t>Số 271 Vũ Tông Phan, Phường Khương Trung, Quận Thanh Xuân, TP. Hà Nội Việt Nam</t>
  </si>
  <si>
    <t>6222</t>
  </si>
  <si>
    <t>WM+ HNI 36 HH1C Linh Đàm</t>
  </si>
  <si>
    <t>Ki ốt 36, Chung cư HH1C Linh Đàm, Đường Nguyễn Phan Chánh, Phường Hoàng Liệt, Quận Hoàng Mai, TP. Hà Nội Việt Nam</t>
  </si>
  <si>
    <t>6224</t>
  </si>
  <si>
    <t>WM+ HPG 415-416 Lô 22C Lê Hồng Phon</t>
  </si>
  <si>
    <t>Số 415- 416, Lô 22C, KĐTM Ngã 5 sân bay Cát Bi, Phường Đông Khê, Quận Ngô Quyền, TP. Hải Phòng Việt Nam</t>
  </si>
  <si>
    <t>6225</t>
  </si>
  <si>
    <t>WM+ HNI TDP Toàn Thắng, Gia Lâm</t>
  </si>
  <si>
    <t>TDP Toàn Thắng, Xã Lệ Chi, Huyện Gia Lâm, TP. Hà Nội Việt Nam</t>
  </si>
  <si>
    <t>6226</t>
  </si>
  <si>
    <t>WM+ HNI Kim Lan, Gia Lâm</t>
  </si>
  <si>
    <t>Thôn 3, Xã Kim Lan, Huyện Gia Lâm, TP. Hà Nội Việt Nam</t>
  </si>
  <si>
    <t>6231</t>
  </si>
  <si>
    <t>WM+ BNH 85 N22 KĐT Lê Thái Tổ</t>
  </si>
  <si>
    <t>85 N22, Khu Đô Thị Mới đường Lê Thái Tổ, Phường Võ Cường, Thành Phố Bắc Ninh, T. Bắc Ninh Việt Nam</t>
  </si>
  <si>
    <t>6232</t>
  </si>
  <si>
    <t>WM+ HPG 100-102 Cát Bi</t>
  </si>
  <si>
    <t>100-102 Cát Bi, Phường Cát Bi, Quận Hải An, TP. Hải Phòng Việt Nam</t>
  </si>
  <si>
    <t>6233</t>
  </si>
  <si>
    <t>WM+ HBH Tiểu Khu 6 TT Lương Sơn</t>
  </si>
  <si>
    <t>Tiểu Khu 6, Thị Trấn Lương Sơn, Huyện Lương Sơn T. Hòa Bình Việt Nam</t>
  </si>
  <si>
    <t>6236</t>
  </si>
  <si>
    <t>WM+ HNI Tân Hòa, Quốc Oai</t>
  </si>
  <si>
    <t>Thôn 2, Xã Tân Hòa, Huyện Quốc Oai, TP. Hà Nội Việt Nam</t>
  </si>
  <si>
    <t>6237</t>
  </si>
  <si>
    <t>WM+ HGG 16B Tổ 12 TT Việt Quang</t>
  </si>
  <si>
    <t>Số nhà 16B, Tổ 12 Thị trấn Việt Quang, Huyện Bắc Quang, T. Hà Giang Việt Nam</t>
  </si>
  <si>
    <t>6240</t>
  </si>
  <si>
    <t>WM+ PTO Hùng Nhĩ, Thanh Sơn</t>
  </si>
  <si>
    <t>Khu Hùng Nhĩ, Thị trấn Thanh Sơn, Huyện Thanh Sơn, T. Phú Thọ Việt Nam</t>
  </si>
  <si>
    <t>6243</t>
  </si>
  <si>
    <t>WM+ NAN 238 Vạn Lộc</t>
  </si>
  <si>
    <t>Số 238 Đường Vạn Lộc, Khối 7, Phường Nghi Tân, Thị Xã Cửa Lò, Tỉnh Nghệ An Việt Nam</t>
  </si>
  <si>
    <t>6244</t>
  </si>
  <si>
    <t>WM+ HBH Khu Thống Nhất, TT Bo</t>
  </si>
  <si>
    <t>Khu Thống Nhất, Thị trấn Bo, Huyện Kim Bôi, T. Hòa Bình Việt Nam</t>
  </si>
  <si>
    <t>6247</t>
  </si>
  <si>
    <t>WM+ HNI 68-70 Quảng Bị</t>
  </si>
  <si>
    <t>Số 68-70, Thôn 1, Xã Quảng Bị, Huyện Chương Mỹ, TP. Hà Nội Việt Nam</t>
  </si>
  <si>
    <t>6248</t>
  </si>
  <si>
    <t>WM+ TNN 382 Lương Ngọc Quyến</t>
  </si>
  <si>
    <t>Số 382 Lương Ngọc Quyến, Phường Đồng Quang, Thành phố Thái Nguyên Tỉnh Thái Nguyên Việt Nam</t>
  </si>
  <si>
    <t>6251</t>
  </si>
  <si>
    <t>WM+ NAN 34 Hồng Bàng</t>
  </si>
  <si>
    <t>Số 34 Đường Hồng Bàng, Phường Lê Mao, Thành Phố Vinh Tỉnh Nghệ An Việt Nam</t>
  </si>
  <si>
    <t>6252</t>
  </si>
  <si>
    <t>WM+ TQG 24 TDP Quyết Tiến, Sơn Dươn</t>
  </si>
  <si>
    <t>Số 24 TDP Quyết Tiến, Thị Trấn Sơn Dương, Huyện Sơn Dương, Tỉnh Tuyên Quang Việt Nam</t>
  </si>
  <si>
    <t>6253</t>
  </si>
  <si>
    <t>WM+ HNI 19 Ngõ 12 Láng Hạ</t>
  </si>
  <si>
    <t>Số 19 Ngõ 12 Láng Hạ, P. Thành Công, Q. Ba Đình, TP. Hà Nội Việt Nam</t>
  </si>
  <si>
    <t>6255</t>
  </si>
  <si>
    <t>WM+ HNI 128 Nguyễn Đổng Chi</t>
  </si>
  <si>
    <t>Số 128 Nguyễn Đổng Chi, Phường Cầu Diễn, Quận Nam Từ Liêm, TP. Hà Nội Việt Nam</t>
  </si>
  <si>
    <t>6257</t>
  </si>
  <si>
    <t>WM+ HTH 590 Nguyễn Nghiễm</t>
  </si>
  <si>
    <t>Số 590 đường Nguyễn Nghiễm, Khối 3, Thị Trấn Xuân An, Huyện Nghi Xuân, Tỉnh Hà Tĩnh T. Hà Tĩnh Việt Nam</t>
  </si>
  <si>
    <t>6258</t>
  </si>
  <si>
    <t>Thôn 1, Xã Đại Đồng, Huyện Vĩnh Tường, Tỉnh Vĩnh Phúc Việt Nam</t>
  </si>
  <si>
    <t>6261</t>
  </si>
  <si>
    <t>WM+ NDH Khu Cao An, TT Cồn</t>
  </si>
  <si>
    <t>Khu Cao An, Thị Trấn Cồn, Huyện Hải Hậu, Tỉnh Nam Định T. Nam Định Việt Nam</t>
  </si>
  <si>
    <t>6262</t>
  </si>
  <si>
    <t>WM+ HNI Xa Mạc, Mê Linh</t>
  </si>
  <si>
    <t>Thôn Xa Mạc, Xã Liên Mạc, Huyện Mê Linh, TP. Hà Nội Việt Nam</t>
  </si>
  <si>
    <t>6263</t>
  </si>
  <si>
    <t>WM+ BNH Khương Tự, Thuận Thành</t>
  </si>
  <si>
    <t>Thôn Khương Tự, Xã Thanh Khương, Huyện Thuận Thành, T. Bắc Ninh Việt Nam</t>
  </si>
  <si>
    <t>6264</t>
  </si>
  <si>
    <t>WM+ PTO Khu Ngọc Chúc 3, Đoan Hùng</t>
  </si>
  <si>
    <t>Khu Ngọc Chúc 3, Xã Chí Đám, Huyện Đoan Hùng, T. Phú Thọ Việt Nam</t>
  </si>
  <si>
    <t>6265</t>
  </si>
  <si>
    <t>WM+ VPC TDP Cổ Độ, Bình Xuyên</t>
  </si>
  <si>
    <t>TDP Cổ Độ, Thị Trấn Gia Khánh, Huyện Bình Xuyên, T. Vĩnh Phúc Việt Nam</t>
  </si>
  <si>
    <t>6269</t>
  </si>
  <si>
    <t>WM+ TNN 319-320 Chiến Thắng</t>
  </si>
  <si>
    <t>Số 319-320 Đường Chiến Thắng, Phường Chùa Hang, Thành phố Thái Nguyên, T. Thái Nguyên Việt Nam</t>
  </si>
  <si>
    <t>6270</t>
  </si>
  <si>
    <t>WM+ PTO Phú Lộc, Phù Ninh</t>
  </si>
  <si>
    <t>Khu 5, Xã Phú Lộc, Huyện Phù Ninh, Tỉnh Phú Thọ T. Phú Thọ Việt Nam</t>
  </si>
  <si>
    <t>6271</t>
  </si>
  <si>
    <t>WM+ BGG Nham Biền, Yên Dũng</t>
  </si>
  <si>
    <t>Tổ Dân Phố 4, Thị Trấn Nham Biền, Huyện Yên Dũng, T. Bắc Giang Việt Nam</t>
  </si>
  <si>
    <t>6274</t>
  </si>
  <si>
    <t>WM+ TNN 190 Dương Tự Minh</t>
  </si>
  <si>
    <t>Số 190 Dương Tự Minh, Phường Tân Long, Thành phố Thái Nguyên T. Thái Nguyên Việt Nam</t>
  </si>
  <si>
    <t>6281</t>
  </si>
  <si>
    <t>WM+ PTO 425-427 Lạc Long Quân</t>
  </si>
  <si>
    <t>Số 425-427 Lạc Long Quân, Khu 8, Thị Trấn Hạ Hòa, Huyện Hạ Hòa T. Phú Thọ Việt Nam</t>
  </si>
  <si>
    <t>6282</t>
  </si>
  <si>
    <t>WM+ TNN 879 Hoàng Quốc Việt</t>
  </si>
  <si>
    <t>Số nhà 879 Đ. Hoàng Quốc Việt, X. T TP. Phổ Yên, T. Thái Nguyên Việt Nam</t>
  </si>
  <si>
    <t>6287</t>
  </si>
  <si>
    <t>WM+ DBN 310 Trường Chinh</t>
  </si>
  <si>
    <t>Số nhà 310 Trường Chinh, TDP. 06, P. Mường Thanh, TP. Điện Biên Phủ, T. Điện Biên T. Điện Biên Việt Nam</t>
  </si>
  <si>
    <t>6288</t>
  </si>
  <si>
    <t>WM+ VPC Bồ Sao, Vĩnh Tường</t>
  </si>
  <si>
    <t>Cổng Chợ Bồ Sao, Thôn Chùa, Xã Bồ Sao, Huyện Vĩnh Tường, T. Vĩnh Phúc Việt Nam</t>
  </si>
  <si>
    <t>6289</t>
  </si>
  <si>
    <t>WM+ HNI Thăng Long Tower</t>
  </si>
  <si>
    <t>Tầng 1, Chân đế chung cư Thăng Long Tower đường Mạc Thái Tổ, Tổ 50, Phường Yên Hòa, Quận Cầu Giấy, TP. Hà Nội Việt Nam</t>
  </si>
  <si>
    <t>6291</t>
  </si>
  <si>
    <t>WM+ PTO Hoa Khê, Cẩm Khê</t>
  </si>
  <si>
    <t>Đường Hoa Khê, Thị trấn Cẩm Khê, huyện Cẩm Khê, T. Phú Thọ Việt Nam</t>
  </si>
  <si>
    <t>6292</t>
  </si>
  <si>
    <t>WM+ DBN Tổ 6 Noong Bua</t>
  </si>
  <si>
    <t>Tổ 6, Phường Noong Bua, Thành Phố Điện Biên Phủ, T. Điện Biên Việt Nam</t>
  </si>
  <si>
    <t>6293</t>
  </si>
  <si>
    <t>WM+ HNI Tân Phú Mỹ, Ba Vì</t>
  </si>
  <si>
    <t>Thôn Tân Phú Mỹ, Xã Vật Lại, Huyện Ba Vì Việt Nam</t>
  </si>
  <si>
    <t>6294</t>
  </si>
  <si>
    <t>WM+ DBN Thôn 24 Noong Hẹt</t>
  </si>
  <si>
    <t>Thôn 24, X. Noọng Hẹt, Huyện Điện Biên, Tỉnh Điện Biên T. Điện Biên Việt Nam</t>
  </si>
  <si>
    <t>6296</t>
  </si>
  <si>
    <t>WM+ DBN Tổ 7 Nam Thanh</t>
  </si>
  <si>
    <t>Số 61 – 63, Tổ 7, P. Nam Thanh, TP. Điện Biên Phủ T. Điện Biên Việt Nam</t>
  </si>
  <si>
    <t>6297</t>
  </si>
  <si>
    <t>WM+ YBI 28 Tuệ Tĩnh</t>
  </si>
  <si>
    <t>Số nhà 28, Đường Tuệ Tĩnh, Thị Trấn Mậu A, Huyện Văn Yên T. Yên Bái Việt Nam</t>
  </si>
  <si>
    <t>6298</t>
  </si>
  <si>
    <t>WM+ DBN 27 Trường Chinh</t>
  </si>
  <si>
    <t>Số 27 Trường Chinh, P. Tân Thanh, TP. Điện Biên Phủ, Tỉnh Điện Biên Việt Nam</t>
  </si>
  <si>
    <t>6306</t>
  </si>
  <si>
    <t>WM+ THA 478 Ngô Quyền</t>
  </si>
  <si>
    <t>Số 478 Ngô Quyền, Phường Trung Sơn, Thành phố Sầm Sơn, T. Thanh Hóa Việt Nam</t>
  </si>
  <si>
    <t>6308</t>
  </si>
  <si>
    <t>WM+ NDH Hải Anh, Hải Hậu</t>
  </si>
  <si>
    <t>Xóm 16, Xã Hải Anh, Huyện Hải Hậu, T. Nam Định Việt Nam</t>
  </si>
  <si>
    <t>6309</t>
  </si>
  <si>
    <t>WM+ TBH 159 Doãn Khuê</t>
  </si>
  <si>
    <t>Số 159 Đường Doãn Khuê, Thôn Phú Khánh, Xã Vũ Phúc, TP. Thái Bình T. Thái Bình Việt Nam</t>
  </si>
  <si>
    <t>6310</t>
  </si>
  <si>
    <t>WM+ DBN 310 Tổ 9 Him Lam</t>
  </si>
  <si>
    <t>Số 310 Tổ 9, Phường Him Lam, Thành Phố Điện Biên Phủ, T. Điện Biên Việt Nam</t>
  </si>
  <si>
    <t>6311</t>
  </si>
  <si>
    <t>WM+ HPG Kiều Đông, An Dương</t>
  </si>
  <si>
    <t>Thôn Kiều Đông, Xã Hồng Thái, Huyện An Dương, TP. Hải Phòng Việt Nam</t>
  </si>
  <si>
    <t>6312</t>
  </si>
  <si>
    <t>WM+ HNI Thiết Bình, Đông Anh</t>
  </si>
  <si>
    <t>Thôn Thiết Bình, Xã Vân Hà, H. Đông Anh TP. Hà Nội Việt Nam</t>
  </si>
  <si>
    <t>6313</t>
  </si>
  <si>
    <t>WM+ LCI 46 Đường 19-5, TT Phố Lu</t>
  </si>
  <si>
    <t>Số nhà 46 Đường 19-5, Thị Trấn Phố Lu, Huyện Bảo Thắng, T. Lào Cai Việt Nam</t>
  </si>
  <si>
    <t>6314</t>
  </si>
  <si>
    <t>WM+ HNI 103 Sài Đồng</t>
  </si>
  <si>
    <t>103 Sài Đồng, Phường Sài Đồng, Quận Long Biên, TP. Hà Nội Việt Nam</t>
  </si>
  <si>
    <t>6315</t>
  </si>
  <si>
    <t>WM+ HNI Quỳnh Đô, Thanh Trì</t>
  </si>
  <si>
    <t>Thôn Quỳnh Đô, Xã Vĩnh Quỳnh, Huyện Thanh Trì, TP. Hà Nội Việt Nam</t>
  </si>
  <si>
    <t>6320</t>
  </si>
  <si>
    <t>WM+ LCI 088 Nhạc Sơn</t>
  </si>
  <si>
    <t>Số nhà 088 đường Nhạc Sơn, Phường Kim Tân, Thành Phố Lào Cai, T. Lào Cai Việt Nam</t>
  </si>
  <si>
    <t>6321</t>
  </si>
  <si>
    <t>WM+ HNI 118 Hòa Sơn</t>
  </si>
  <si>
    <t>Số 118 Hòa Sơn, Thị Trấn Chúc Sơn, Huyện Chương Mỹ, TP. Hà Nội Việt Nam</t>
  </si>
  <si>
    <t>6322</t>
  </si>
  <si>
    <t>WM+ HNI 98 Đồng Hương</t>
  </si>
  <si>
    <t>98 Đồng Hương, Thị trấn Quốc Oai, Huyện Quốc Oai, TP. Hà Nội Việt Nam</t>
  </si>
  <si>
    <t>6323</t>
  </si>
  <si>
    <t>WM+ HNI 176 Ngõ 193 Phú Diễn</t>
  </si>
  <si>
    <t>Số 176 Ngõ 193 Phú Diễn, Phường Phú Diễn, Quận Bắc Từ Liêm, TP. Hà Nội Việt Nam</t>
  </si>
  <si>
    <t>6325</t>
  </si>
  <si>
    <t>WM+ QNH Số 7 Hùng Vương</t>
  </si>
  <si>
    <t>Số 7 Đường Hùng Vương, Phường Trần Phú, Thành phố Móng Cái, T. Quảng Ninh Việt Nam</t>
  </si>
  <si>
    <t>6326</t>
  </si>
  <si>
    <t>WM+ THA 155 Minh Thịnh</t>
  </si>
  <si>
    <t>155 Thôn Minh Thịnh, Xã Minh Lộc Huyện Hậu Lộc, T. Thanh Hóa Việt Nam</t>
  </si>
  <si>
    <t>6327</t>
  </si>
  <si>
    <t>WM+ HNI 613 Phố Mía</t>
  </si>
  <si>
    <t>613 Phố Mía, Xã Đường Lâm, Thị xã Sơn Tây, TP. Hà Nội Việt Nam</t>
  </si>
  <si>
    <t>6328</t>
  </si>
  <si>
    <t>WM+ THA Tiên Trang, Quảng Xương</t>
  </si>
  <si>
    <t>Thôn Tiên Trang, Xã Tiên Trang, H. Quảng Xương T. Thanh Hóa Việt Nam</t>
  </si>
  <si>
    <t>6329</t>
  </si>
  <si>
    <t>WM+ THA 121 QL45 Định Liên</t>
  </si>
  <si>
    <t>121 QL45 Định Liên, Xã Định Liên, H. Yên Định T. Thanh Hóa Việt Nam</t>
  </si>
  <si>
    <t>6330</t>
  </si>
  <si>
    <t>WM+ BNH Thôn Đông, Tiên Du</t>
  </si>
  <si>
    <t>Thôn Đông, Xã Hoàn Sơn, H. Tiên Du T. Bắc Ninh Việt Nam</t>
  </si>
  <si>
    <t>6331</t>
  </si>
  <si>
    <t>WM+ HPG Kinh Giao, An Dương</t>
  </si>
  <si>
    <t>Thôn Kinh Giao, Xã Tân Tiến, Huyện An Dương, TP. Hải Phòng Việt Nam</t>
  </si>
  <si>
    <t>6332</t>
  </si>
  <si>
    <t>WM+ HNI 41 Văn Tiến Dũng</t>
  </si>
  <si>
    <t>Số 41 Đường Văn Tiến Dũng, P. Phúc Diễn, Q. Bắc Từ Liêm TP. Hà Nội Việt Nam</t>
  </si>
  <si>
    <t>6333</t>
  </si>
  <si>
    <t>WM+ VPC Vọng Sơn, Lập Thạch</t>
  </si>
  <si>
    <t>Thôn Vọng Sơn, Xã Triệu Đề, Huyện Lập Thạch, T. Vĩnh Phúc Việt Nam</t>
  </si>
  <si>
    <t>6335</t>
  </si>
  <si>
    <t>WM+ TQG 347 Phạm Văn Đồng</t>
  </si>
  <si>
    <t>Số 347 đ. Phạm Văn Đồng, P. Hưng Thành, TP. Tuyên Quang, T. Tuyên Quang Việt Nam</t>
  </si>
  <si>
    <t>6336</t>
  </si>
  <si>
    <t>WM+ QNH 262B Hùng Vương</t>
  </si>
  <si>
    <t>Số 262B Đường Hùng Vương, P. Ka Long, TP. Móng Cái, T. Quảng Ninh Việt Nam</t>
  </si>
  <si>
    <t>6337</t>
  </si>
  <si>
    <t>WM+ BNH 12-14 Tân Dân</t>
  </si>
  <si>
    <t>Số 12-14 Tân Dân, Thị trấn Thứa, Huyện Lương Tài, T. Bắc Ninh Việt Nam</t>
  </si>
  <si>
    <t>6338</t>
  </si>
  <si>
    <t>WM+ PTO Cao Xá, Lâm Thao</t>
  </si>
  <si>
    <t>Khu Ao chợ Phong Vân, Xã Cao Xá, Huyện Lâm Thao T. Phú Thọ Việt Nam</t>
  </si>
  <si>
    <t>6342</t>
  </si>
  <si>
    <t>WM+ HTH 204 Lê Lợi</t>
  </si>
  <si>
    <t>Số nhà 204 Lê Lợi, TDP 6, TT. Phố Châu, H. Hương Sơn, T. Hà Tĩnh Việt Nam</t>
  </si>
  <si>
    <t>6346</t>
  </si>
  <si>
    <t>WM+ HDG 60 Trương Mỹ</t>
  </si>
  <si>
    <t>Số 60 Đ. Trương Mỹ, P. Trần Phú, TP. Hải Dương, T. Hải Dương Việt Nam</t>
  </si>
  <si>
    <t>6347</t>
  </si>
  <si>
    <t>WM+ VPC 41 Trần Hưng Đạo</t>
  </si>
  <si>
    <t>Số 41 Đường Trần Hưng Đạo, Phường Hùng Vương , Thành phố Phúc Yên, T. Vĩnh Phúc Việt Nam</t>
  </si>
  <si>
    <t>6348</t>
  </si>
  <si>
    <t>WM+ VPC Thọ Khánh, Tam Dương</t>
  </si>
  <si>
    <t>Khu Thọ Khánh, Xã Hợp Thịnh, Huyện Tam Dương, T. Vĩnh Phúc Việt Nam</t>
  </si>
  <si>
    <t>6353</t>
  </si>
  <si>
    <t>WM+ VPC Hoàng Xá Đình, Vĩnh Tường</t>
  </si>
  <si>
    <t>Thôn Hoàng Xá Đình, Xã Vĩnh Thịnh, Huyện Vĩnh Tường, T. Vĩnh Phúc Việt Nam</t>
  </si>
  <si>
    <t>6362</t>
  </si>
  <si>
    <t>WM+ HPG 42 Trương Văn Lực</t>
  </si>
  <si>
    <t>Số 42 Đường Trương Văn Lực, P. Hùng Vương, Q.Hồng Bàng, TP. Hải Phòng Việt Nam</t>
  </si>
  <si>
    <t>6363</t>
  </si>
  <si>
    <t>WM+ YBI 93 Nguyễn Thái Học</t>
  </si>
  <si>
    <t>Số 93 Đ. Nguyễn Thái Học, P. Pú Trạng, tx. Nghĩa Lộ, T. Yên Bái Việt Nam</t>
  </si>
  <si>
    <t>6364</t>
  </si>
  <si>
    <t>WM+ PTO Tân An 4, Yên Lập</t>
  </si>
  <si>
    <t>Số nhà 150, Khu Tân An 4, thị trấn Yên Lập, huyện Yên Lập, T. Phú Thọ Việt Nam</t>
  </si>
  <si>
    <t>6366</t>
  </si>
  <si>
    <t>WM+ THA 149 Khu 1, TT Kim Tân</t>
  </si>
  <si>
    <t>Số nhà 149 khu 1, TT Kim Tân, H.Thạch Thành, T. Thanh Hóa Việt Nam</t>
  </si>
  <si>
    <t>6367</t>
  </si>
  <si>
    <t>WM+ THA 123-125 Phố Kiểu</t>
  </si>
  <si>
    <t>Số 123-125 Phố Kiểu, X. Yên Trường, H. Yên Định, T. Thanh Hóa Việt Nam</t>
  </si>
  <si>
    <t>6368</t>
  </si>
  <si>
    <t>WM+ HNI Chẩn Kỳ, Ứng Hòa</t>
  </si>
  <si>
    <t>Thôn Chẩn Kỳ, X. Trung Tú, H. Ứng Hòa, TP. Hà Nội Việt Nam</t>
  </si>
  <si>
    <t>6369</t>
  </si>
  <si>
    <t>WM+ NAN 151 Phong Định Cảng</t>
  </si>
  <si>
    <t>Số 151 Phong Định Cảng, P. Trường Thi, TP. Vinh, T. Nghệ An Việt Nam</t>
  </si>
  <si>
    <t>6371</t>
  </si>
  <si>
    <t>WM+ NBH 105 Trần Phú</t>
  </si>
  <si>
    <t>Số 105 Trần Phú, Tổ 7, P. Bắc Sơn, TP. Tam Điệp, T. Ninh Bình Việt Nam</t>
  </si>
  <si>
    <t>6372</t>
  </si>
  <si>
    <t>WM+ HYN Trung Hòa, Yên Mỹ</t>
  </si>
  <si>
    <t>Thôn Trung Hòa, X. Trung Hòa, H. Yên Mỹ, T. Hưng Yên Việt Nam</t>
  </si>
  <si>
    <t>6374</t>
  </si>
  <si>
    <t>WM+ NAN 165 Nguyễn Trãi</t>
  </si>
  <si>
    <t>Số 165 Đường Nguyễn Trãi, Khối Kim Tân, Phường Hòa Hiếu, Thị xã Thái Hòa, T. Nghệ An Việt Nam</t>
  </si>
  <si>
    <t>6375</t>
  </si>
  <si>
    <t>WM+ NAN Chợ Nghĩa Hội</t>
  </si>
  <si>
    <t>Xóm Bình Thành, Xã Nghĩa Bình, Huyện Nghĩa Đàn, T. Nghệ An Việt Nam</t>
  </si>
  <si>
    <t>6376</t>
  </si>
  <si>
    <t>WM+ HNI 136 Yên Phúc</t>
  </si>
  <si>
    <t>Số 136 Yên Phúc, P. Phúc La, Q. Hà Đông, TP. Hà Nội Việt Nam</t>
  </si>
  <si>
    <t>6377</t>
  </si>
  <si>
    <t>WM+ TNN 610 Thống Nhất</t>
  </si>
  <si>
    <t>Số 610 Đường Thống Nhất, Phường Tân Thịnh, Thành phố Thái Ng T. Thái Nguyên Việt Nam</t>
  </si>
  <si>
    <t>6378</t>
  </si>
  <si>
    <t>WM+ THA 53 Trần Phú</t>
  </si>
  <si>
    <t>Số 53 Trần Phú, P. Ba Đình, TX.Bỉm Sơn T. Thanh Hóa Việt Nam</t>
  </si>
  <si>
    <t>6379</t>
  </si>
  <si>
    <t>WIN HNI SHA-110, Tòa A2 KĐT Ciputra</t>
  </si>
  <si>
    <t>SHA-110 Tầng 1 Tòa nhà A2 Dự án Cụm công trình nhà ở IA20 Khu đô thị Nam Thăng Long, Phường Đông Ngạc, Quận Bắc Từ Liêm, TP. Hà Nội Việt Nam</t>
  </si>
  <si>
    <t>6380</t>
  </si>
  <si>
    <t>WM+ HNI 29 Đường Thành</t>
  </si>
  <si>
    <t>Số 29 Đường Thành, Phường Cửa Đông, Quận Hoàn Kiếm, TP. Hà Nội Việt Nam</t>
  </si>
  <si>
    <t>6381</t>
  </si>
  <si>
    <t>WM+ HTH 259 Trần Phú</t>
  </si>
  <si>
    <t>259 Trần Phú, Thị trấn Hương Khê, Huyện Hương Khê, T. Hà Tĩnh Việt Nam</t>
  </si>
  <si>
    <t>6384</t>
  </si>
  <si>
    <t>WM+ CBG 075 Vườn Cam</t>
  </si>
  <si>
    <t>Số 075, Đường Vườn Cam, Phường Hợp Giang, Thành phố Cao Bằng, T. Cao Bằng Việt Nam</t>
  </si>
  <si>
    <t>6385</t>
  </si>
  <si>
    <t>Số 496 Đường Bà Triệu, Thị trấn Hậu Lộc, Huyện Hậu Lộc, T. Thanh Hóa Việt Nam</t>
  </si>
  <si>
    <t>6386</t>
  </si>
  <si>
    <t>WM+ BNH Ấp Đông Côi, TT Hồ</t>
  </si>
  <si>
    <t>Ấp Đông Côi, Thị trấn Hồ, Huyện Thuận Thành, Tỉnh Bắc Ninh T. Bắc Ninh Việt Nam</t>
  </si>
  <si>
    <t>6387</t>
  </si>
  <si>
    <t>WM+ HNI 36C Lý Nam Đế</t>
  </si>
  <si>
    <t>Số 36C Lý Nam Đế, Phường Cửa Đông, Quận Hoàn Kiếm, TP. Hà Nội Việt Nam</t>
  </si>
  <si>
    <t>6388</t>
  </si>
  <si>
    <t>WM+ HPG 441 Phạm Văn Đồng</t>
  </si>
  <si>
    <t>Số 441 Đ. Phạm Văn Đồng, P. Hải Thành, Q. Dương Kinh, TP. Hải Phòng Việt Nam</t>
  </si>
  <si>
    <t>6392</t>
  </si>
  <si>
    <t>WM+ HDG 126-128 Trần Hưng Đạo</t>
  </si>
  <si>
    <t>Số 126-128 Trần Hưng Đạo, TT. Ninh Giang, H. Ninh Giang, T. Hải Dương Việt Nam</t>
  </si>
  <si>
    <t>6393</t>
  </si>
  <si>
    <t>WM+ NAN Khối 3, TT Qùy Hợp</t>
  </si>
  <si>
    <t>Khối 3, Thị trấn Qùy Hợp, Huyện Quỳ Hợp, T. Nghệ An Việt Nam</t>
  </si>
  <si>
    <t>6394</t>
  </si>
  <si>
    <t>WM+ HNI BT01-6 Hoàng Thành City</t>
  </si>
  <si>
    <t>BT01-6 Khu nhà ở thấp tầng thuộc Dự án Khu CCQT Hoàng Thành City, Khu Cổ Ngựa, KĐT Mỗ Lao, P. Mộ Lao, TP. Hà Nội Việt Nam</t>
  </si>
  <si>
    <t>6395</t>
  </si>
  <si>
    <t>WM+ QBH 43 Phan Đình Phùng</t>
  </si>
  <si>
    <t>43 Phan Đình Phùng, P. Bắc Lý, TP. Đồng Hới, T. Quảng Bình Việt Nam</t>
  </si>
  <si>
    <t>6396</t>
  </si>
  <si>
    <t>Số 35 Thiên Cầm, TT. Cẩm Xuyên, H. Cẩm Xuyên, T. Hà Tĩnh Việt Nam</t>
  </si>
  <si>
    <t>6397</t>
  </si>
  <si>
    <t>WM+ SLA Tông Lạnh, Thuận Châu</t>
  </si>
  <si>
    <t>Thôn 2, Xã Tông Lạnh, Huyện Thuận Châu, T. Sơn La Việt Nam</t>
  </si>
  <si>
    <t>6399</t>
  </si>
  <si>
    <t>WM+ PTO Khu 3 Hùng Lô, Việt Trì</t>
  </si>
  <si>
    <t>Khu 3, Xã Hùng Lô, Thành phố Việt Trì, T. Phú Thọ Việt Nam</t>
  </si>
  <si>
    <t>6400</t>
  </si>
  <si>
    <t>WM+ HNI Cổ Loa, Đông Anh</t>
  </si>
  <si>
    <t>Xóm Chợ, Xã Cổ Loa, Huyện Đông Anh, TP. Hà Nội Việt Nam</t>
  </si>
  <si>
    <t>6401</t>
  </si>
  <si>
    <t>WM+ HYN Phùng Chí Kiên, Mỹ Hào</t>
  </si>
  <si>
    <t>Số 189, P. Phùng Chí Kiên, TX. Mỹ Hào, T. Hưng Yên Việt Nam</t>
  </si>
  <si>
    <t>6402</t>
  </si>
  <si>
    <t>WM+ HNI Yến Vỹ, Mỹ Đức</t>
  </si>
  <si>
    <t>Thôn Yến Vỹ, X. Hương Sơn, H. Mỹ Đức, TP. Hà Nội Việt Nam</t>
  </si>
  <si>
    <t>6403</t>
  </si>
  <si>
    <t>WM+ HNI Đông Viên, Chương Mỹ</t>
  </si>
  <si>
    <t>Thôn Đông Viên, X. Hữu Văn, H. Chương Mỹ, TP. Hà Nội Việt Nam</t>
  </si>
  <si>
    <t>6405</t>
  </si>
  <si>
    <t>WM+ HNI 40 Cao Trung, Hoài Đức</t>
  </si>
  <si>
    <t>Số 40 Thôn Cao Trung, X. Đức Giang, H.Hoài Đức, TP. Hà Nội Việt Nam</t>
  </si>
  <si>
    <t>6414</t>
  </si>
  <si>
    <t>WM+ QBH 204 Quang Trung</t>
  </si>
  <si>
    <t>Số 204 Quang Trung, Phường Quảng Thọ, Thị xã Ba Đồn, T. Quảng Bình Việt Nam</t>
  </si>
  <si>
    <t>6417</t>
  </si>
  <si>
    <t>WM+ BNH 695 Thiên Đức</t>
  </si>
  <si>
    <t>Số 695, Đ. Thiên Đức, P. Vạn An, TP. Bắc Ninh, T. Bắc Ninh Việt Nam</t>
  </si>
  <si>
    <t>6418</t>
  </si>
  <si>
    <t>WM+ NDH 107 Tổ 10, TT Nam Giang</t>
  </si>
  <si>
    <t>Số 107 Tổ 10, Thị trấn Nam Giang, Huyện Nam Trực, T. Nam Định Việt Nam</t>
  </si>
  <si>
    <t>6419</t>
  </si>
  <si>
    <t>WM+ HYN Cống Tráng, Yên Mỹ</t>
  </si>
  <si>
    <t>Khu Phố Cống Tráng, Xã Tân Việt, Huyện Yên Mỹ, T. Hưng Yên Việt Nam</t>
  </si>
  <si>
    <t>6423</t>
  </si>
  <si>
    <t>WM+ HNI Tam Hưng, Thanh Oai</t>
  </si>
  <si>
    <t>Chợ Tam Hưng, Thôn Song Khê, x. Tam Hưng, h. Thanh Oai, TP. Hà Nội Việt Nam</t>
  </si>
  <si>
    <t>6424</t>
  </si>
  <si>
    <t>WM+ HNI Hạ Bằng, Thạch Thất</t>
  </si>
  <si>
    <t>Thôn 4, Xã Hạ Bằng, Huyện Thạch Thất, TP. Hà Nội Việt Nam</t>
  </si>
  <si>
    <t>6430</t>
  </si>
  <si>
    <t>WM+ HNI Vệ Sơn Đông, Sóc Sơn</t>
  </si>
  <si>
    <t>Thôn Vệ Sơn Đông, Xã Tân Minh, Huyện Sóc Sơn, TP. Hà Nội Việt Nam</t>
  </si>
  <si>
    <t>6432</t>
  </si>
  <si>
    <t>WM+ PTO Vũ Duệ, Việt Trì</t>
  </si>
  <si>
    <t>Đường Vũ Duệ, Phường Nông Trang, Thành Phố Việt Trì, T. Phú Thọ Việt Nam</t>
  </si>
  <si>
    <t>6433</t>
  </si>
  <si>
    <t>WM+ BNH Mão Điền, Thuận Thành</t>
  </si>
  <si>
    <t>Xóm Ba, Xã Mão Điền, Huyện Thuận Thành, T. Bắc Ninh Việt Nam</t>
  </si>
  <si>
    <t>6434</t>
  </si>
  <si>
    <t>WM+ PTO 107 Bạch Hạc</t>
  </si>
  <si>
    <t>Số nhà 107 P. Bạch Hạc, P. Bạch Hạc, TP. Việt Trì, T. Phú Thọ Việt Nam</t>
  </si>
  <si>
    <t>6435</t>
  </si>
  <si>
    <t>WM+ HNI 343 Thanh Cao</t>
  </si>
  <si>
    <t>343 Đường Xã Thanh Cao, Thôn Thanh Thần, Xã Thanh Cao, H. Thanh Oai TP. Hà Nội Việt Nam</t>
  </si>
  <si>
    <t>6436</t>
  </si>
  <si>
    <t>WM+ NAN Đà Sơn, Đô Lương</t>
  </si>
  <si>
    <t>Xóm 4, Xã Đà Sơn, Huyện Đô Lương, T. Nghệ An Việt Nam</t>
  </si>
  <si>
    <t>6438</t>
  </si>
  <si>
    <t>WM+ NDH Giao Yến, Giao Thủy</t>
  </si>
  <si>
    <t>Xóm 5, Xã Giao Yến, Huyện Giao Thủy, T. Nam Định Việt Nam</t>
  </si>
  <si>
    <t>6439</t>
  </si>
  <si>
    <t>WM+ THA Hiền Tây, Quảng Xương</t>
  </si>
  <si>
    <t>Thôn Hiền Tây, Xã Quảng Lưu, Huyện Quảng Xương, T. Thanh Hóa Việt Nam</t>
  </si>
  <si>
    <t>6440</t>
  </si>
  <si>
    <t>WM+ HNI 288 Xuân Khanh</t>
  </si>
  <si>
    <t>288 Đường Xuân Khanh, Phường Xuân Khanh, Thị xã Sơn Tây, TP. Hà Nội Việt Nam</t>
  </si>
  <si>
    <t>6441</t>
  </si>
  <si>
    <t>WM+ HNI Yên Nội, Quốc Oai</t>
  </si>
  <si>
    <t>Xóm 3, Thôn Yên Nội, Xã Đồng Quang, Huyện Quốc Oai, TP. Hà Nội Việt Nam</t>
  </si>
  <si>
    <t>6442</t>
  </si>
  <si>
    <t>WM+ HBH Tiểu khu 3, TT Mai Châu</t>
  </si>
  <si>
    <t>Tiểu khu 3, Thị trấn Mai Châu, Huyện Mai Châu, T. Hòa Bình Việt Nam</t>
  </si>
  <si>
    <t>6444</t>
  </si>
  <si>
    <t>Thôn Trung, Xã Thượng Lâm, Huyện Mỹ Đức, TP. Hà Nội Việt Nam</t>
  </si>
  <si>
    <t>6448</t>
  </si>
  <si>
    <t>WM+ HTH TDP Phú Xuân, Lộc Hà</t>
  </si>
  <si>
    <t>Tổ dân phố Phú Xuân, Thị trấn Lộc Hà, Huyện Lộc Hà, T. Hà Tĩnh Việt Nam</t>
  </si>
  <si>
    <t>6449</t>
  </si>
  <si>
    <t>WM+ NAN Khối 2A Thanh Chương</t>
  </si>
  <si>
    <t>Khối 2A, Thị trấn Thanh Chương , Huyện Thanh Chương, T. Nghệ An Việt Nam</t>
  </si>
  <si>
    <t>6450</t>
  </si>
  <si>
    <t>WM+ THA Cầu Quan</t>
  </si>
  <si>
    <t>Thôn Bi Kiều, Xã Trung Chính, Huyện Nông Cống, T. Thanh Hóa Việt Nam</t>
  </si>
  <si>
    <t>6451</t>
  </si>
  <si>
    <t>WM+ HPG 158 Vũ Chí Thắng</t>
  </si>
  <si>
    <t>Số 158 Vũ Chí Thắng, Phường Nghĩa Xá, Quận Lê Chân, TP. Hải Phòng Việt Nam</t>
  </si>
  <si>
    <t>6452</t>
  </si>
  <si>
    <t>WM+ THA Tiểu khu Yên Hạnh 2, Nga Sơ</t>
  </si>
  <si>
    <t>Tiểu khu Yên Hạnh 2, Thị trấn Nga Sơn, Huyện Nga Sơn, T. Thanh Hóa Việt Nam</t>
  </si>
  <si>
    <t>6453</t>
  </si>
  <si>
    <t>WM+ HNI Villa 2-14 Hà Cầu</t>
  </si>
  <si>
    <t>Villa II-14, Dự án khu nhà ở và trung tâm Thương mại, P. Hà Cầu, Q. Hà Đông, TP. Hà Nội Việt Nam</t>
  </si>
  <si>
    <t>6455</t>
  </si>
  <si>
    <t>WM+ HNI 136 Phố Hát</t>
  </si>
  <si>
    <t>136 Phố Hát, Xã Hát Môn, Huyện Phúc Thọ, TP. Hà Nội Việt Nam</t>
  </si>
  <si>
    <t>6456</t>
  </si>
  <si>
    <t>WM+ HNI 116 C2 Trung Tự</t>
  </si>
  <si>
    <t>116 C2 Trung Tự, Đ. Phạm Ngọc Thạch, P. Kim Liên, Q. Đống TP. Hà Nội Việt Nam</t>
  </si>
  <si>
    <t>6460</t>
  </si>
  <si>
    <t>WM+ PTO Đồng Gia, Việt Trì</t>
  </si>
  <si>
    <t>Khu Tái định cư Đồng Gia, P. Minh Nông, TP. Việt Trì, T. Phú Thọ Việt Nam</t>
  </si>
  <si>
    <t>6462</t>
  </si>
  <si>
    <t>WM+ HNI Khê Ngoại 1, Mê Linh</t>
  </si>
  <si>
    <t>Thôn Khê Ngoại 1, Xã Văn Khê, Huyện Mê Linh, TP. Hà Nội Việt Nam</t>
  </si>
  <si>
    <t>6464</t>
  </si>
  <si>
    <t>WM+ LCU 56 Đường 30/04, Đông Phong</t>
  </si>
  <si>
    <t>Số 56 Đường 30/04, Tổ 22, Phường Đông Phong, TP. Lai Châu T. Lai Châu Việt Nam</t>
  </si>
  <si>
    <t>6465</t>
  </si>
  <si>
    <t>WM+ HNI Cụm 11 Võng Xuyên</t>
  </si>
  <si>
    <t>Cụm 11, Xã Võng Xuyên, H.Phúc Thọ, TP. Hà Nội Việt Nam</t>
  </si>
  <si>
    <t>6466</t>
  </si>
  <si>
    <t>WM+ HNI Đại Thành, Quốc Oai</t>
  </si>
  <si>
    <t>Xóm 4 Tình Lam, Xã Đại Thành, Huyện Quốc Oai, TP. Hà Nội Việt Nam</t>
  </si>
  <si>
    <t>6467</t>
  </si>
  <si>
    <t>WM+ QNH 93A Minh Khai</t>
  </si>
  <si>
    <t>Số 93A Phố Minh Khai, Thị trấn Đầm Hà, Huyện Đầm Hà, T. Quảng Ninh Việt Nam</t>
  </si>
  <si>
    <t>6470</t>
  </si>
  <si>
    <t>WM+ VPC Hoàng Đan, Tam Dương</t>
  </si>
  <si>
    <t>Thôn Vàng, Xã Hoàng Đan, Huyện Tam Dương, T. Vĩnh Phúc Việt Nam</t>
  </si>
  <si>
    <t>6471</t>
  </si>
  <si>
    <t>WM+ YBI TDP. Trung Tâm, Văn Chấn</t>
  </si>
  <si>
    <t>TDP. Trung Tâm, TT. Sơn Thịnh, H. Văn Chấn, T. Yên Bái Việt Nam</t>
  </si>
  <si>
    <t>6476</t>
  </si>
  <si>
    <t>WM+ HNI Bạch Trữ, Mê Linh</t>
  </si>
  <si>
    <t>Thôn Bạch Trữ, Xã Tiến Thắng, Huyện Mê Linh, TP. Hà Nội Việt Nam</t>
  </si>
  <si>
    <t>6477</t>
  </si>
  <si>
    <t>WM+ HNI Đinh Xuyên, Ứng Hòa</t>
  </si>
  <si>
    <t>Xóm 4, Thôn Đinh Xuyên, Xã Hòa Nam, Huyện Ứng Hòa, TP. Hà Nội Việt Nam</t>
  </si>
  <si>
    <t>6480</t>
  </si>
  <si>
    <t>WM+ VPC Khu 4 TT Tứ Trưng</t>
  </si>
  <si>
    <t>Khu 4 Thị trấn Tứ Trưng, Huyện Vĩnh Tường, Tỉnh Vĩnh Phúc T. Vĩnh Phúc Việt Nam</t>
  </si>
  <si>
    <t>6481</t>
  </si>
  <si>
    <t>WM+ HNI 42 Trung Tâm, Đan Phượng</t>
  </si>
  <si>
    <t>42 Đường Trung Tâm, Xã Thọ An, Huyện Đan Phượng, Việt Nam</t>
  </si>
  <si>
    <t>6482</t>
  </si>
  <si>
    <t>WM+ HNI Chợ Cấn Thượng, Quốc Oai</t>
  </si>
  <si>
    <t>Chợ Cấn Thượng, Xã Cấn Hữu, Huyện Quốc Oai, TP. Hà Nội Việt Nam</t>
  </si>
  <si>
    <t>6484</t>
  </si>
  <si>
    <t>WM+ LCU 91 Trần Phú</t>
  </si>
  <si>
    <t>Số 91 Trần Phú, Phường Tân Phong, Thành phố Lai Châu, T. Lai Châu Việt Nam</t>
  </si>
  <si>
    <t>6485</t>
  </si>
  <si>
    <t>WM+ HNI 95 Giang Cao</t>
  </si>
  <si>
    <t>Số 95 Giang Cao, Xã Bát Tràng, Huyện Gia Lâm, TP. Hà Nội Việt Nam</t>
  </si>
  <si>
    <t>6486</t>
  </si>
  <si>
    <t>WM+ HNI 165 Hồng Hà, Đan Phượng</t>
  </si>
  <si>
    <t>Số 165 Đường Hồng Hà, Xã Hồng Hà, Huyện Đan Phượng, TP. Hà Nội Việt Nam</t>
  </si>
  <si>
    <t>6489</t>
  </si>
  <si>
    <t>WM+ HNI Hồng Kỳ, Sóc Sơn</t>
  </si>
  <si>
    <t>Xóm Đồng Thố, Thôn 4, Xã Hồng Kỳ, Huyện Sóc Sơn, TP. Hà Nội Việt Nam</t>
  </si>
  <si>
    <t>6491</t>
  </si>
  <si>
    <t>WM+ LCU 306 Trần Hưng Đạo</t>
  </si>
  <si>
    <t>306 Trần Hưng Đạo, Phường Đoàn Kết, Thành phố Lai Châu, T. Lai Châu Việt Nam</t>
  </si>
  <si>
    <t>6492</t>
  </si>
  <si>
    <t>WM+ QBH 169 Lý Thánh Tông</t>
  </si>
  <si>
    <t>Số 169 Đường Lý Thánh Tông, Xã Lộc Ninh, Thành phố Đồng Hới, T. Quảng Bình Việt Nam</t>
  </si>
  <si>
    <t>6493</t>
  </si>
  <si>
    <t>WM+ NAN Khối 3, TT Diễn Châu</t>
  </si>
  <si>
    <t>Khối 3, Thị Trấn Diễn Châu, Huyện Diễn Châu, T. Nghệ An Việt Nam</t>
  </si>
  <si>
    <t>6495</t>
  </si>
  <si>
    <t>WM+ THA Nhật Quả, Triệu Sơn</t>
  </si>
  <si>
    <t>Thôn Nhật Quả, Xã Thọ Dân, Huyện Triệu Sơn, T. Thanh Hóa Việt Nam</t>
  </si>
  <si>
    <t>6496</t>
  </si>
  <si>
    <t>WM+ VPC 45 Nguyễn Tất Thành</t>
  </si>
  <si>
    <t>Số 45 Đường Nguyễn Tất Thành, Phường Khai Quang, Thành phố Vĩnh Yên, T. Vĩnh Phúc Việt Nam</t>
  </si>
  <si>
    <t>6501</t>
  </si>
  <si>
    <t>Khối 7, Thị Trấn Đô Lương, Huyện Đô Lương, T. Nghệ An Việt Nam</t>
  </si>
  <si>
    <t>6502</t>
  </si>
  <si>
    <t>WM+ HNI IEC Residences Tứ Hiệp</t>
  </si>
  <si>
    <t>Shophouse CT3DV-TM24,25 IEC Residences, Xã Tứ Hiệp, Huyện Thanh Trì, TP. Hà Nội Việt Nam</t>
  </si>
  <si>
    <t>6510</t>
  </si>
  <si>
    <t>WM+ NAN Khối 1, TT Yên Thành</t>
  </si>
  <si>
    <t>Khối 1, Thị Trấn Yên Thành, Huyện Yên Thành, T. Nghệ An Việt Nam</t>
  </si>
  <si>
    <t>6511</t>
  </si>
  <si>
    <t>WM+ THA Minh Thành 2, Thọ Xuân</t>
  </si>
  <si>
    <t>Thôn Minh Thành 2, Xã Xuân Bái, Huyện Thọ Xuân, T. Thanh Hóa Việt Nam</t>
  </si>
  <si>
    <t>6512</t>
  </si>
  <si>
    <t>WM+ NAN Diễn Hồng, Diễn Châu</t>
  </si>
  <si>
    <t>Xóm Khối Nam, Xã Diễn Hồng, Huyện Diễn Châu, T. Nghệ An Việt Nam</t>
  </si>
  <si>
    <t>6513</t>
  </si>
  <si>
    <t>WM+ PTO 12 Tổ 5 Trần Phú</t>
  </si>
  <si>
    <t>Số nhà 12, Tổ 5, Đ. Trần Phú, Khu Tân Phú, P. Tân Dân, TP. Việt Trì T. Phú Thọ Việt Nam</t>
  </si>
  <si>
    <t>6516</t>
  </si>
  <si>
    <t>WM+ NAN Số 29 Nguyễn Sinh Cung</t>
  </si>
  <si>
    <t>Số 29 Nguyễn Sinh Cung, Phường Cửa Lò, Tỉnh Nghệ An T. Nghệ An Việt Nam</t>
  </si>
  <si>
    <t>6520</t>
  </si>
  <si>
    <t>WM+ HPG LK02 06 – 08 Pruksa Town</t>
  </si>
  <si>
    <t>LK02 06 – 08 Khu Đô Thị Pruksa Town, Xã An Đồng, H. An Dương TP. Hải Phòng Việt Nam</t>
  </si>
  <si>
    <t>6521</t>
  </si>
  <si>
    <t>Thôn Quang Phú, Xã Thạch Châu, Huyện Lộc Hà, T. Hà Tĩnh Việt Nam</t>
  </si>
  <si>
    <t>6522</t>
  </si>
  <si>
    <t>WM+ HYN Trúc Đình, Ân Thi</t>
  </si>
  <si>
    <t>Thôn Trúc Đình, Xã Xuân Trúc, Huyện Ân Thi, T. Hưng Yên Việt Nam</t>
  </si>
  <si>
    <t>6523</t>
  </si>
  <si>
    <t>WM+ YBI 55 Điện Biên</t>
  </si>
  <si>
    <t>Số 55 Đường Điện Biên, Tổ 5, Phường Cầu Thia, TX. Nghĩa Lộ T. Yên Bái Việt Nam</t>
  </si>
  <si>
    <t>6524</t>
  </si>
  <si>
    <t>WM+ VPC Thôn Chùa, Vĩnh Tường</t>
  </si>
  <si>
    <t>WM+ VPC Thôn Chùa, Vĩnh Tường T. Vĩnh Phúc Việt Nam</t>
  </si>
  <si>
    <t>6525</t>
  </si>
  <si>
    <t>WM+ HPG Chính Mỹ, Thủy Nguyên</t>
  </si>
  <si>
    <t>Thôn 1, Xã Chính Mỹ, Huyện Thủy Nguyên, TP. Hải Phòng Việt Nam</t>
  </si>
  <si>
    <t>6526</t>
  </si>
  <si>
    <t>WM+ NAN Diễn Yên, Diễn Châu</t>
  </si>
  <si>
    <t>Xóm 11, Xã Diễn Yên, Huyện Diễn Châu, T. Nghệ An Việt Nam</t>
  </si>
  <si>
    <t>6527</t>
  </si>
  <si>
    <t>WM+ SLA Tổ 8 Chiềng Sinh</t>
  </si>
  <si>
    <t>Tổ 8, Phường Chiềng Sinh, Thành phố Sơn La, T. Sơn La Việt Nam</t>
  </si>
  <si>
    <t>6529</t>
  </si>
  <si>
    <t>WM+ PTO 545 Trần Phú</t>
  </si>
  <si>
    <t>Số nhà 545, Đường Trần Phú, Phường Dữu Lâu, Thành phố Việt Trì, T. Phú Thọ Việt Nam</t>
  </si>
  <si>
    <t>6532</t>
  </si>
  <si>
    <t>WM+ HTH 124 Lê Đại Hành</t>
  </si>
  <si>
    <t>Số 124 Lê Đại Hành, Phường Hưng Trí, Thị xã Kỳ Anh, T. Hà Tĩnh Việt Nam</t>
  </si>
  <si>
    <t>6533</t>
  </si>
  <si>
    <t>WM+ THA Khu 3 TT Lam Sơn</t>
  </si>
  <si>
    <t>Khu 3 Thị trấn Lam Sơn, Huyện Thọ Xuân, T. Thanh Hóa Việt Nam</t>
  </si>
  <si>
    <t>6538</t>
  </si>
  <si>
    <t>WM+ CBG Tổ 1 Hoằng Bó, TT Nước Hai</t>
  </si>
  <si>
    <t>DT203, Tổ 1 Hoằng Bó, Thị trấn Nước Hai, Huyện Hòa An, T. Cao Bằng Việt Nam</t>
  </si>
  <si>
    <t>6539</t>
  </si>
  <si>
    <t>WM+ QNH 44 – 46 Nguyễn Du</t>
  </si>
  <si>
    <t>Số 44 – 46 khu Nguyễn Du, Thị trấn Quảng Hà, Huyện Hải Hà, T. Quảng Ninh Việt Nam</t>
  </si>
  <si>
    <t>6540</t>
  </si>
  <si>
    <t>Số 402, Khu 12, Thị trấn Lâm Thao, Huyện Lâm Thao, T. Phú Thọ Việt Nam</t>
  </si>
  <si>
    <t>6541</t>
  </si>
  <si>
    <t>WM+ HYN 251 TT Yên Mỹ</t>
  </si>
  <si>
    <t>Thôn Ông Tố, Thị Trấn Yên Mỹ, Huyện Yên Mỹ, T. Hưng Yên Việt Nam</t>
  </si>
  <si>
    <t>6542</t>
  </si>
  <si>
    <t>WM+ HNI IA20, Tòa B KĐT Ciputra</t>
  </si>
  <si>
    <t>Ô 05 tầng 1 tòa nhà B Dự án Cụm công trình nhà ở IA20 khu đô thị Nam Thăng Long, Phường Đông Ngạc TP. Hà Nội Việt Nam</t>
  </si>
  <si>
    <t>6543</t>
  </si>
  <si>
    <t>WM+ HNI Vân Phúc, Phúc Thọ</t>
  </si>
  <si>
    <t>Thôn 5, Xã Vân Phúc, Huyện Phúc Thọ, TP. Hà Nội Việt Nam</t>
  </si>
  <si>
    <t>6546</t>
  </si>
  <si>
    <t>WM+ HNI 200 Quyết Thắng</t>
  </si>
  <si>
    <t>200 Quyết Thắng, Tổ 8, Phường Yên Nghĩa, Quận Hà Đông, TP. Hà Nội Việt Nam</t>
  </si>
  <si>
    <t>6548</t>
  </si>
  <si>
    <t>WM+ HNI 366 Liên Kết, Cao Viên</t>
  </si>
  <si>
    <t>Số nhà 366, Xóm Liên Kết, Thôn Trung, Xã Cao Viên, TP. Hà Nội Việt Nam</t>
  </si>
  <si>
    <t>6551</t>
  </si>
  <si>
    <t>WM+ NAN Trung Thành, Yên Thành</t>
  </si>
  <si>
    <t>Xóm 5, Xã Trung Thành, Huyện Yên Thành, T. Nghệ An Việt Nam</t>
  </si>
  <si>
    <t>6552</t>
  </si>
  <si>
    <t>WM+ QBH Phúc Tự Đông, Bố Trạch</t>
  </si>
  <si>
    <t>Phúc Tự Đông, Xã Đại Trạch, Huyện Bố Trạch, T. Quảng Bình Việt Nam</t>
  </si>
  <si>
    <t>6557</t>
  </si>
  <si>
    <t>WM+ YBI 111 Nguyễn Tất Thành</t>
  </si>
  <si>
    <t>Số 111, Đường Nguyễn Tất Thành, Phường Yên Thịnh, Thành Phố T. Yên Bái Việt Nam</t>
  </si>
  <si>
    <t>6559</t>
  </si>
  <si>
    <t>WM+ HTH 314 Nguyễn Nghiễm</t>
  </si>
  <si>
    <t>Số nhà 314 Nguyễn Nghiễm, Tổ dân phố 8A, Thị trấn Xuân An, H T. Hà Tĩnh Việt Nam</t>
  </si>
  <si>
    <t>6560</t>
  </si>
  <si>
    <t>WM+ HTH 392 Trần Phú</t>
  </si>
  <si>
    <t>Số nhà 392 Đường Trần Phú, Thị trấn Hương Khê, Huyện Hương K T. Hà Tĩnh Việt Nam</t>
  </si>
  <si>
    <t>6561</t>
  </si>
  <si>
    <t>Thôn Phúc Điền, Xã Thạch Xuân, Tỉnh Hà Tĩnh T. Hà Tĩnh Việt Nam</t>
  </si>
  <si>
    <t>6562</t>
  </si>
  <si>
    <t>WM+ PTO 235-235B TT Hùng Sơn</t>
  </si>
  <si>
    <t>Số nhà 235-235B, Khu 06, Thị trấn Hùng Sơn, Huyện Lâm Thao, T. Phú Thọ Việt Nam</t>
  </si>
  <si>
    <t>6563</t>
  </si>
  <si>
    <t>WM+ VPC Khu Phố 2, Hương Canh</t>
  </si>
  <si>
    <t>Khu Phố 2, Thị trấn Hương Canh, Huyện Bình Xuyên, T. Vĩnh Phúc Việt Nam</t>
  </si>
  <si>
    <t>6564</t>
  </si>
  <si>
    <t>WM+ THA 432 Khu phố 3, TT Bến Sung</t>
  </si>
  <si>
    <t>Số 432 Khu phố 3, Thị trấn Bến Sung, Huyện Như Thanh, T. Thanh Hóa Việt Nam</t>
  </si>
  <si>
    <t>6568</t>
  </si>
  <si>
    <t>WM+ BNH Chính Trung, Yên Phong</t>
  </si>
  <si>
    <t>Thôn Chính Trung, Xã Yên Trung, Huyện Yên Phong, T. Bắc Ninh Việt Nam</t>
  </si>
  <si>
    <t>6569</t>
  </si>
  <si>
    <t>WM+ HNI Nội Đồng, Mê Linh</t>
  </si>
  <si>
    <t>Thôn Nội Đồng, Xã Đại Thịnh, Huyện Mê Linh, TP. Hà Nội Việt Nam</t>
  </si>
  <si>
    <t>6570</t>
  </si>
  <si>
    <t>WM+ HNI Động Phí, Ứng Hòa</t>
  </si>
  <si>
    <t>Thôn Động Phí, Xã Phương Tú, Huyện Ứng Hòa, TP. Hà Nội Việt Nam</t>
  </si>
  <si>
    <t>6574</t>
  </si>
  <si>
    <t>WM+ QBH 97 Hùng Vương</t>
  </si>
  <si>
    <t>Số 97 Hùng Vương, Phường Ba Đồn, Thị xã Ba Đồn, T. Quảng Bình Việt Nam</t>
  </si>
  <si>
    <t>6575</t>
  </si>
  <si>
    <t>Xóm 2, Xã Quỳnh Lương, Huyện Quỳnh Lưu, T. Nghệ An Việt Nam</t>
  </si>
  <si>
    <t>6576</t>
  </si>
  <si>
    <t>WM+ QNH 268 Trần Khánh Dư</t>
  </si>
  <si>
    <t>Số 268 Trần Khánh Dư, Phường Quảng Yên, Thị xã Quảng Yên, T. Quảng Ninh Việt Nam</t>
  </si>
  <si>
    <t>6577</t>
  </si>
  <si>
    <t>WM+ TNN TDP Chợ 1, Đại Từ</t>
  </si>
  <si>
    <t>Tổ dân phố Chợ 1, Thị trấn Hùng Sơn, Huyện Đại Từ, T. Thái Nguyên Việt Nam</t>
  </si>
  <si>
    <t>6578</t>
  </si>
  <si>
    <t>WM+ DBN 336 Tổ 7, Thanh Bình</t>
  </si>
  <si>
    <t>Số nhà 336, Tổ 7, phường Thanh Bình, thành phố Điện Biên Phủ T. Điện Biên Việt Nam</t>
  </si>
  <si>
    <t>6579</t>
  </si>
  <si>
    <t>WM+ NBH 263 Trần Hưng Đạo</t>
  </si>
  <si>
    <t>Số 263 Trần Hưng Đạo, Phường Ninh Khánh, Thành phố Ninh T. Ninh Bình Việt Nam</t>
  </si>
  <si>
    <t>6580</t>
  </si>
  <si>
    <t>WM+ HYN TDP Thịnh Vạn, Mỹ Hào</t>
  </si>
  <si>
    <t>Tổ dân phố Thịnh Vạn, Phường Minh Đức, Thị xã Mỹ Hào, T. Hưng Yên Việt Nam</t>
  </si>
  <si>
    <t>6584</t>
  </si>
  <si>
    <t>WM+ HBH Tiểu khu Thạch Lý, Đà Bắc</t>
  </si>
  <si>
    <t>Tổ 5, Tiểu khu Thạch Lý, Thị trấn Đà Bắc, Huyện Đà Bắc, T. Hòa Bình Việt Nam</t>
  </si>
  <si>
    <t>6585</t>
  </si>
  <si>
    <t>WM+ HNI Nhồi Dưới, Đông Anh</t>
  </si>
  <si>
    <t>Thôn Nhồi Dưới, Xã Cổ Loa, Huyện Đông Anh, TP. Hà Nội Việt Nam</t>
  </si>
  <si>
    <t>6586</t>
  </si>
  <si>
    <t>WM+ NBH Phố Me, Gia Viễn</t>
  </si>
  <si>
    <t>Phố Me, Thị trấn Me, huyện Gia Viễn, T. Ninh Bình Việt Nam</t>
  </si>
  <si>
    <t>6592</t>
  </si>
  <si>
    <t>WM+ BNH Khu Đa Cấu, Nam Sơn</t>
  </si>
  <si>
    <t>Khu Đa Cấu, Phường Nam Sơn, Thành phố Bắc Ninh, T. Bắc Ninh Việt Nam</t>
  </si>
  <si>
    <t>6595</t>
  </si>
  <si>
    <t>WM+ VPC 81 Quang Trung</t>
  </si>
  <si>
    <t>81 Quang Trung, Phường Hội Hợp, Thành phố Vĩnh Yên, T. Vĩnh Phúc Việt Nam</t>
  </si>
  <si>
    <t>6600</t>
  </si>
  <si>
    <t>Số 12 Phạm Bành, Khu 1, Thị trấn Hậu Lộc, Huyện Hậu Lộc, T. Thanh Hóa Việt Nam</t>
  </si>
  <si>
    <t>6602</t>
  </si>
  <si>
    <t>WM+ HNM 58 Đinh Tiên Hoàng</t>
  </si>
  <si>
    <t>Số 58 Đinh Tiên Hoàng, Phường Thanh Châu, Thành phố Phủ Lý, T. Hà Nam Việt Nam</t>
  </si>
  <si>
    <t>6603</t>
  </si>
  <si>
    <t>WM+ NBH Phố 3, TT Yên Ninh</t>
  </si>
  <si>
    <t>Phố 3, Thị trấn Yên Ninh, Huyện Yên Khánh, T. Ninh Bình Việt Nam</t>
  </si>
  <si>
    <t>6604</t>
  </si>
  <si>
    <t>WM+ BNH Nguyễn Cao, Võ Cường</t>
  </si>
  <si>
    <t>Đường Nguyễn Cao, Phường Võ Cường, Thành phố Bắc Ninh, T. Bắc Ninh Việt Nam</t>
  </si>
  <si>
    <t>6605</t>
  </si>
  <si>
    <t>WM+ BNH Phong Xá, Yên Phong</t>
  </si>
  <si>
    <t>Thôn Phong Xá, Xã Đông Phong, Huyện Yên Phong, T. Bắc Ninh Việt Nam</t>
  </si>
  <si>
    <t>6610</t>
  </si>
  <si>
    <t>WM+ HNI Tuy Lai, Mỹ Đức</t>
  </si>
  <si>
    <t>Thôn Bờ Thồng, Xã Tuy Lai, Huyện Mỹ Đức, TP. Hà Nội Việt Nam</t>
  </si>
  <si>
    <t>6611</t>
  </si>
  <si>
    <t>WM+ NAN Khối 9, TT Hưng Nguyên</t>
  </si>
  <si>
    <t>Khối 9, Thị Trấn Hưng Nguyên, Huyện Hưng Nguyên, T. Nghệ An Việt Nam</t>
  </si>
  <si>
    <t>6612</t>
  </si>
  <si>
    <t>WM+ TNN 246 Vó Ngựa</t>
  </si>
  <si>
    <t>Số nhà 246, Đường Vó Ngựa, Phường Tân Thành, Thành phố Thái Nguyên T. Thái Nguyên Việt Nam</t>
  </si>
  <si>
    <t>6613</t>
  </si>
  <si>
    <t>WM+ HNI 35 Đông Khê</t>
  </si>
  <si>
    <t>Số 35 Đông Khê, Cụm 3, Xã Đan Phượng, Huyện Đan Phượng, TP. Hà Nội Việt Nam</t>
  </si>
  <si>
    <t>6614</t>
  </si>
  <si>
    <t>WM+ HNI Liên Bạt, Ứng Hòa</t>
  </si>
  <si>
    <t>Thôn Bặt Ngõ, Xã Liên Bạt, Huyện Ứng Hòa, TP. Hà Nội Việt Nam</t>
  </si>
  <si>
    <t>6620</t>
  </si>
  <si>
    <t>WM+ LCU 31 Hoàng Văn Thái</t>
  </si>
  <si>
    <t>Số 31 Hoàng Văn Thái, Phường Tân Phong, TP Lai Châu, T. Lai Châu Việt Nam</t>
  </si>
  <si>
    <t>6621</t>
  </si>
  <si>
    <t>WM+ VPC Phố Kiệu, Vĩnh Tường</t>
  </si>
  <si>
    <t>Phố Kiệu, Xã Chấn Hưng, Huyện Vĩnh Tường, T. Vĩnh Phúc Việt Nam</t>
  </si>
  <si>
    <t>6622</t>
  </si>
  <si>
    <t>WM+ BNH Đông Ngoại, Thuận Thành</t>
  </si>
  <si>
    <t>Thôn Đông Ngoại, Xã Nghĩa Đạo, Huyện Thuận Thành, T. Bắc Ninh Việt Nam</t>
  </si>
  <si>
    <t>6624</t>
  </si>
  <si>
    <t>WM+ NBH Phú Lộc, Nho Quan</t>
  </si>
  <si>
    <t>Ngã 3 Rịa, Xã Phú Lộc, Huyện Nho Qu T. Ninh Bình Việt Nam</t>
  </si>
  <si>
    <t>6625</t>
  </si>
  <si>
    <t>Xóm Mỹ Thượng, Xã Diễn Mỹ, H. Diễn Châu T. Nghệ An Việt Nam</t>
  </si>
  <si>
    <t>6627</t>
  </si>
  <si>
    <t>WM+ NAN Khối 13, TT Qùy Hợp</t>
  </si>
  <si>
    <t>Khối 13, Thị Trấn Qùy Hợp, Huyện Qùy Hợp, T. Nghệ An Việt Nam</t>
  </si>
  <si>
    <t>6628</t>
  </si>
  <si>
    <t>WM+ NAN Dinh Phượng, Qùy Hợp</t>
  </si>
  <si>
    <t>Xóm Dinh Phượng, Xã Nghĩa Xuân, Huyện Qùy Hợp, T. Nghệ An Việt Nam</t>
  </si>
  <si>
    <t>6629</t>
  </si>
  <si>
    <t>WM+ HNI Ấp Tó, Đông Anh</t>
  </si>
  <si>
    <t>Thôn Ấp Tó, Xã Uy Nỗ, Huyện Đông Anh, TP. Hà Nội Việt Nam</t>
  </si>
  <si>
    <t>6630</t>
  </si>
  <si>
    <t>WM+ HYN Đình Dù, Văn Lâm</t>
  </si>
  <si>
    <t>Thôn Đình Dù, Xã Đình Dù, Huyện Văn Lâm, T. Hưng Yên Việt Nam</t>
  </si>
  <si>
    <t>6632</t>
  </si>
  <si>
    <t>WM+ QBH 01 Lý Thường Kiệt</t>
  </si>
  <si>
    <t>Số 01 Lý Thường Kiệt, Tổ dân phố Xuân Giang, Thị Trấn Kiến G T. Quảng Bình Việt Nam</t>
  </si>
  <si>
    <t>6633</t>
  </si>
  <si>
    <t>WM+ TNN 127 Đường Gang Thép</t>
  </si>
  <si>
    <t>Số nhà 127 Đường Gang Thép, Tổ 3, Phường Trung Thành, Thành T. Thái Nguyên Việt Nam</t>
  </si>
  <si>
    <t>6634</t>
  </si>
  <si>
    <t>WM+ HNI V3–B01, KĐT An Hưng</t>
  </si>
  <si>
    <t>V3–B01, Khu đô thị mới An Hưng, Phường La Khê, Quận Hà Đông, TP. Hà Nội Việt Nam</t>
  </si>
  <si>
    <t>6635</t>
  </si>
  <si>
    <t>WM+ TBH Đông Hồ, Thái Thụy</t>
  </si>
  <si>
    <t>Thôn Đông Hồ, Xã Thụy Phong, Huyện Thái Thụy, T. Thái Bình Việt Nam</t>
  </si>
  <si>
    <t>6636</t>
  </si>
  <si>
    <t>WM+ TBH Thượng Phúc, Thái Thụy</t>
  </si>
  <si>
    <t>Thôn Thượng Phúc, Xã Thụy Sơn, Huyện Thái Thụy, T. Thái Bình Việt Nam</t>
  </si>
  <si>
    <t>6639</t>
  </si>
  <si>
    <t>WM+ HNI 114 Ngõ 14 Quỳnh Lôi</t>
  </si>
  <si>
    <t>114 Ngõ 14 Quỳnh Lôi, Phường Quỳnh Mai, Quận Hai Bà Trưng, TP. Hà Nội Việt Nam</t>
  </si>
  <si>
    <t>6641</t>
  </si>
  <si>
    <t>WM+ THA TDP Hòa Bình, Nghi Sơn</t>
  </si>
  <si>
    <t>Tổ dân phố Hòa Bình, Phường Hải Châu, Thị Xã Nghi Sơn, T. Thanh Hóa Việt Nam</t>
  </si>
  <si>
    <t>6642</t>
  </si>
  <si>
    <t>WM+ QBH Dy Lộc, Quảng Trạch</t>
  </si>
  <si>
    <t>Thôn Dy Lộc, Xã Quảng Tùng, Huyện Quảng Trạch, T. Quảng Bình Việt Nam</t>
  </si>
  <si>
    <t>6643</t>
  </si>
  <si>
    <t>Tổ dân phố Liên Hải, Phường Hải Thượng, Thị xã Nghi Sơn, T. Thanh Hóa Việt Nam</t>
  </si>
  <si>
    <t>6644</t>
  </si>
  <si>
    <t>WM+ TNN Đình Cả, Võ Nhai</t>
  </si>
  <si>
    <t>Ngã tư thị trấn Đình Cả, Thị trấn Đình Cả, Huyện Võ Nhai T. Thái Nguyên Việt Nam</t>
  </si>
  <si>
    <t>6646</t>
  </si>
  <si>
    <t>WM+ HNI 60 Lê Trọng Tấn</t>
  </si>
  <si>
    <t>Số 60 Lê Trọng Tấn, Phường Khương Mai, Quận Thanh Xuân, TP. Hà Nội Việt Nam</t>
  </si>
  <si>
    <t>6647</t>
  </si>
  <si>
    <t>WM+ YBI 64 Phạm Văn Đồng</t>
  </si>
  <si>
    <t>Số 64 Đường Phạm Văn Đồng, Thị trấn Cổ Phúc, Huyện Trấn Yên, T. Yên Bái Việt Nam</t>
  </si>
  <si>
    <t>6659</t>
  </si>
  <si>
    <t>WM+ THA 107 Bà Triệu</t>
  </si>
  <si>
    <t>Số 107 Bà Triệu, Tiểu khu Thái Hòa, Thị trấn Nông Cống, Huyệ T. Thanh Hóa Việt Nam</t>
  </si>
  <si>
    <t>6660</t>
  </si>
  <si>
    <t>WM+ BNH 150 Lý Thường Kiệt</t>
  </si>
  <si>
    <t>Số 150 Lý Thường Kiệt, Khu phố Trịnh Xá, Phường Châu Khê, T. Bắc Ninh Việt Nam</t>
  </si>
  <si>
    <t>6663</t>
  </si>
  <si>
    <t>WM+ HNI SH B4 Anland LakeView</t>
  </si>
  <si>
    <t>SH B4 tòa CT6B, Khu đô thị mới Dương Nội, Phường Dương Nội, Quận Hà Đông, TP. Hà Nội Việt Nam</t>
  </si>
  <si>
    <t>6664</t>
  </si>
  <si>
    <t>WM+ HNI Hòa Bình, Chương Mỹ</t>
  </si>
  <si>
    <t>Thôn Hòa Bình, Xã Hoàng Văn Thụ, Huyện Chương Mỹ, TP. Hà Nội Việt Nam</t>
  </si>
  <si>
    <t>6665</t>
  </si>
  <si>
    <t>WM+ VPC Duy Phiên, Tam Dương</t>
  </si>
  <si>
    <t>Thôn Thượng, Xã Duy Phiên, Huyện Tam Dương, T. Vĩnh Phúc Việt Nam</t>
  </si>
  <si>
    <t>6666</t>
  </si>
  <si>
    <t>Thôn Phố Neo, Xã Nam Giang, Huyện Thọ Xuân, T. Thanh Hóa Việt Nam</t>
  </si>
  <si>
    <t>6667</t>
  </si>
  <si>
    <t>Tổ dân phố 9, Xã Can Lộc, Tỉnh Hà Tĩnh T. Hà Tĩnh Việt Nam</t>
  </si>
  <si>
    <t>6668</t>
  </si>
  <si>
    <t>WM+ HNI Dũng Tiến, Thanh Oai</t>
  </si>
  <si>
    <t>Số 94, Thôn Dũng Tiến, Xã Kim Thư, Huyện Thanh Oai TP. Hà Nội Việt Nam</t>
  </si>
  <si>
    <t>6671</t>
  </si>
  <si>
    <t>WM+ HNI 150 Kim Anh</t>
  </si>
  <si>
    <t>Số 150 Phố Kim Anh, Xã Thanh Xuân, Huyện Sóc Sơn, TP. Hà Nội Việt Nam</t>
  </si>
  <si>
    <t>6676</t>
  </si>
  <si>
    <t>WM+ HNI Yên Thành, Ba Vì</t>
  </si>
  <si>
    <t>Thôn Yên Thành, Xã Tản Lĩnh, Huyện Ba Vì, TP. Hà Nội Việt Nam</t>
  </si>
  <si>
    <t>6677</t>
  </si>
  <si>
    <t>WM+ HNI Yên Lạc 1, Thạch Thất</t>
  </si>
  <si>
    <t>Thôn Yên Lạc 1, Xã Cần Kiệm, Huyện Thạch Thất, TP. Hà Nội Việt Nam</t>
  </si>
  <si>
    <t>6680</t>
  </si>
  <si>
    <t>WM+ PTO Minh Tân, Cẩm Khê</t>
  </si>
  <si>
    <t>Khu Minh Tân, Xã Minh Tân, Huyện Cẩm Khê, T. Phú Thọ Việt Nam</t>
  </si>
  <si>
    <t>6681</t>
  </si>
  <si>
    <t>Số 119 Khu Công Nông, Phường Mạo Khê, Thị xã Đông Triều, T. Quảng Ninh Việt Nam</t>
  </si>
  <si>
    <t>6683</t>
  </si>
  <si>
    <t>WM+ HNI Ứng Hòa, Chương Mỹ</t>
  </si>
  <si>
    <t>Thôn Ứng Hòa, Xã Lam Điền, Huyện Chương Mỹ, TP. Hà Nội Việt Nam</t>
  </si>
  <si>
    <t>6684</t>
  </si>
  <si>
    <t>WM+ HNI 4 Ngõ 167 Phương Mai</t>
  </si>
  <si>
    <t>Số 4 Ngõ 167 Phương Mai, Phường Phương Mai, Quận Đống Đa, TP. Hà Nội Việt Nam</t>
  </si>
  <si>
    <t>6686</t>
  </si>
  <si>
    <t>WM+ HTH 46 Nguyễn Trãi, TT Phố Châu</t>
  </si>
  <si>
    <t>46 Nguyễn Trãi, Tổ dân phố 4, Thị trấn Phố Châu, Huyện Hương T. Hà Tĩnh Việt Nam</t>
  </si>
  <si>
    <t>6689</t>
  </si>
  <si>
    <t>WM+ HNI LK9-39 KĐT Văn Phú</t>
  </si>
  <si>
    <t>LK9-39 Khu Đô Thị mới Văn Phú, Phường Phú La, Quận Hà Đông, TP. Hà Nội Việt Nam</t>
  </si>
  <si>
    <t>6690</t>
  </si>
  <si>
    <t>WM+ THA Ngã 3 Chợ Kho, Nghi Sơn</t>
  </si>
  <si>
    <t>Tổ dân phố Hạnh Phúc, Phường Hải Ninh, Thị Xã Nghi Sơn, T. Thanh Hóa Việt Nam</t>
  </si>
  <si>
    <t>6695</t>
  </si>
  <si>
    <t>WM+ THA 163 - 165 Trần Hưng Đạo, Sầ</t>
  </si>
  <si>
    <t>Khu phố Phúc Đức, Phường Quảng Tiến, Thành phố Sầm Sơn T. Thanh Hóa Việt Nam</t>
  </si>
  <si>
    <t>6696</t>
  </si>
  <si>
    <t>WM+ NAN Công Thành, Yên Thành</t>
  </si>
  <si>
    <t>Xóm Ngã Tư, Xã Công Thành, Huyện Yên Thành, T. Nghệ An Việt Nam</t>
  </si>
  <si>
    <t>6697</t>
  </si>
  <si>
    <t>WM+ HNI 18 Hàng Than</t>
  </si>
  <si>
    <t>18 Hàng Than, Phường Nguyễn Trung Trực, Quận Ba Đình, TP. Hà Nội Việt Nam</t>
  </si>
  <si>
    <t>6698</t>
  </si>
  <si>
    <t>WM+ NAN 108 TDP 4, TT Anh Sơn</t>
  </si>
  <si>
    <t>Số 108, Tổ Dân Phố 4, Thị Trấn Anh Sơn, Huyện Anh Sơn, T. Nghệ An Việt Nam</t>
  </si>
  <si>
    <t>6706</t>
  </si>
  <si>
    <t>WM+ HDG Mỹ Ngọc, Cẩm Giàng</t>
  </si>
  <si>
    <t>Thôn Mỹ Ngọc, Xã Ngọc Liên, Huyện Cẩm Giàng, T. Hải Dương Việt Nam</t>
  </si>
  <si>
    <t>6708</t>
  </si>
  <si>
    <t>WM+ QNH 103 Hoàng Hoa Thám</t>
  </si>
  <si>
    <t>103 Hoàng Hoa Thám, Phường Mạo Khê, Thị xã Đông Triều, T. Quảng Ninh Việt Nam</t>
  </si>
  <si>
    <t>6712</t>
  </si>
  <si>
    <t>Khối 4, Thị Trấn Con Cuông, Huyện Con Cuông T. Nghệ An Việt Nam</t>
  </si>
  <si>
    <t>6713</t>
  </si>
  <si>
    <t>WIN HNI CT1B Homeland Thượng Thanh</t>
  </si>
  <si>
    <t>Kiot 01,02,25,26, Tầng 1 - Tòa CT1B, Dự án Nhà ở cao tầng để bán tại lô đất NO23 dọc trục đường 5 kéo dài, Phường Thượng Thanh, Quận Long Biên TP. Hà Nội Việt Nam</t>
  </si>
  <si>
    <t>6714</t>
  </si>
  <si>
    <t>WM+ BNH Hương Mạc, Từ Sơn</t>
  </si>
  <si>
    <t>Khu phố Hương Mạc, Phường Hương Mạc, Thành phố Từ Sơn T. Bắc Ninh Việt Nam</t>
  </si>
  <si>
    <t>6717</t>
  </si>
  <si>
    <t>WM+ VPC 117 Đầm Vạc</t>
  </si>
  <si>
    <t>Số 117 Đường Đầm Vạc, Phường Đống Đa, Thành phố Vĩnh Yên T. Vĩnh Phúc Việt Nam</t>
  </si>
  <si>
    <t>6721</t>
  </si>
  <si>
    <t>WM+ TBH Ái Quốc, Tiền Hải</t>
  </si>
  <si>
    <t>Thôn Ái Quốc, Xã Nam Thanh, Huyện Tiền Hải T. Thái Bình Việt Nam</t>
  </si>
  <si>
    <t>6722</t>
  </si>
  <si>
    <t>WM+ HNI B3-TT1 Bộ Tư lệnh Thủ Đô</t>
  </si>
  <si>
    <t>Nhà thấp tầng số B3-Lô B-TT1, Khu nhà ở Bộ Tư lệnh Thủ Đô Hà Nội, Phường Yên Nghĩa, Quận Hà Đông TP. Hà Nội Việt Nam</t>
  </si>
  <si>
    <t>6723</t>
  </si>
  <si>
    <t>WM+ QBH 17 Trần Hưng Đạo</t>
  </si>
  <si>
    <t>Số 17 Trần Hưng Đạo, Thị trấn Hoàn Lão, Huyện Bố Trạch T. Quảng Bình Việt Nam</t>
  </si>
  <si>
    <t>6724</t>
  </si>
  <si>
    <t>WM+ DBN Tân Thủy, Tuần Giáo</t>
  </si>
  <si>
    <t>Số nhà 39, Khối Tân Thủy, Thị trấn Tuần Giáo, Huyện Tuần Giáo T. Điện Biên Việt Nam</t>
  </si>
  <si>
    <t>6725</t>
  </si>
  <si>
    <t>Xóm Nam Xuân, Xã Diễn Xuân, Huyện Diễn Châu T. Nghệ An Việt Nam</t>
  </si>
  <si>
    <t>6726</t>
  </si>
  <si>
    <t>WM+ QBH 50 Hùng Vương</t>
  </si>
  <si>
    <t>Số 50 Hùng Vương, Thị trấn Đồng Lê, Huyện Tuyên Hóa T. Quảng Bình Việt Nam</t>
  </si>
  <si>
    <t>6727</t>
  </si>
  <si>
    <t>WM+ HPG Tuy Lạc, Thủy Nguyên</t>
  </si>
  <si>
    <t>Xóm 3, Thôn Tuy Lạc, Xã Thủy Triều, Huyện Thủy Nguyên TP. Hải Phòng Việt Nam</t>
  </si>
  <si>
    <t>6728</t>
  </si>
  <si>
    <t>WM+ HNI 55 Đường 422 Tân Lập</t>
  </si>
  <si>
    <t>Số 55 Đường 422 Xã Tân Lập, Huyện Đan Phượng TP. Hà Nội Việt Nam</t>
  </si>
  <si>
    <t>6737</t>
  </si>
  <si>
    <t>WM+ THA Yên Doãn, Đông Sơn</t>
  </si>
  <si>
    <t>Thôn Yên Doãn, Xã Đông Yên, Huyện Đông Sơn T. Thanh Hóa Việt Nam</t>
  </si>
  <si>
    <t>6738</t>
  </si>
  <si>
    <t>WM+ HNI TDP Nguyên Xá 1</t>
  </si>
  <si>
    <t>TDP Nguyên Xá 1, Phường Minh Khai, Quận Bắc Từ Liêm TP. Hà Nội Việt Nam</t>
  </si>
  <si>
    <t>6739</t>
  </si>
  <si>
    <t>WM+ HNI Chợ Đầu Đê, Mê Linh</t>
  </si>
  <si>
    <t>Chợ Đầu Đê, Xã Tiến Thịnh, Huyện Mê Linh TP. Hà Nội Việt Nam</t>
  </si>
  <si>
    <t>6740</t>
  </si>
  <si>
    <t>WM+ NAN Vạn An, Nam Đàn</t>
  </si>
  <si>
    <t>Khối Vạn An, Thị Trấn Nam Đàn, Huyện Nam Đàn T. Nghệ An Việt Nam</t>
  </si>
  <si>
    <t>6741</t>
  </si>
  <si>
    <t>WM+ BNH Phú Mẫn, Yên Phong</t>
  </si>
  <si>
    <t>Thôn Phú Mẫn, Thị trấn Chờ, Huyện Yên Phong T. Bắc Ninh Việt Nam</t>
  </si>
  <si>
    <t>6743</t>
  </si>
  <si>
    <t>WIN HNI T4 Thăng Long Capital</t>
  </si>
  <si>
    <t>Ô thương mại dịch vụ 4 ( Tầng 1) Thuộc tòa nhà T4 Thăng Long TP. Hà Nội Việt Nam</t>
  </si>
  <si>
    <t>6747</t>
  </si>
  <si>
    <t>WM+ BNH 429 Lý Thường Kiệt</t>
  </si>
  <si>
    <t>Số 429 Đường Lý Thường Kiệt, Khu Phố Đa Hội, Phường Châu Khê T. Bắc Ninh Việt Nam</t>
  </si>
  <si>
    <t>6750</t>
  </si>
  <si>
    <t>WM+ PTO Bình Phú, Phù Ninh</t>
  </si>
  <si>
    <t>Khu 1, Xã Bình Phú, Huyện Phù Ninh T. Phú Thọ Việt Nam</t>
  </si>
  <si>
    <t>6751</t>
  </si>
  <si>
    <t>WM+ BNH Khu Sơn, Hạp Lĩnh</t>
  </si>
  <si>
    <t>Khu Sơn, Phường Hạp Lĩnh, Thành phố Bắc Ninh T. Bắc Ninh Việt Nam</t>
  </si>
  <si>
    <t>6752</t>
  </si>
  <si>
    <t>WM+ QBH 11A Lý Thường Kiệt</t>
  </si>
  <si>
    <t>Số 11A Lý Thường Kiệt, Thị trấn Quy Đạt, Huyện Minh Hóa T. Quảng Bình Việt Nam</t>
  </si>
  <si>
    <t>6753</t>
  </si>
  <si>
    <t>WM+ NAN Bảo Thành, Yên Thành</t>
  </si>
  <si>
    <t>Xóm 6, Xã Bảo Thành, Huyện Yên Thành T. Nghệ An Việt Nam</t>
  </si>
  <si>
    <t>6754</t>
  </si>
  <si>
    <t>WIN HNI S6.S5A Vinhomes Symphony</t>
  </si>
  <si>
    <t>Gian hàng thương mại số 01S5A, Khối nhà S6 (S6.1+ S6.2), Khu Vinhomes Symphony, Lô đất G4*-HH16, Phường Phúc Lợi, Quận Long Biên TP. Hà Nội Việt Nam</t>
  </si>
  <si>
    <t>6755</t>
  </si>
  <si>
    <t>WM+ HBH Khu 5, TT Cao Phong</t>
  </si>
  <si>
    <t>Khu 5, Thị trấn Cao Phong, Huyện Cao Phong T. Hòa Bình Việt Nam</t>
  </si>
  <si>
    <t>6758</t>
  </si>
  <si>
    <t>WM+ HNM TDP Non, Thanh Liêm</t>
  </si>
  <si>
    <t>Tổ dân phố Non, Thị trấn Tân Thanh, Huyện Thanh Liêm T. Hà Nam Việt Nam</t>
  </si>
  <si>
    <t>6760</t>
  </si>
  <si>
    <t>WM+ HNI 164 Đường 72, Phương Quan</t>
  </si>
  <si>
    <t>Số 164 đường 72, Phương Quan, Xã Vân Côn, Huyện Hoài Đức TP. Hà Nội Việt Nam</t>
  </si>
  <si>
    <t>6761</t>
  </si>
  <si>
    <t>WM+ HPG Phương Chử Tây, An Lão</t>
  </si>
  <si>
    <t>Thôn Phương Chử Tây, Xã Trường Thành, Huyện An Lão, TP. Hải Phòng Việt Nam</t>
  </si>
  <si>
    <t>6762</t>
  </si>
  <si>
    <t>WM+ TNN 425 Bãi Á , TT Chợ Chu</t>
  </si>
  <si>
    <t>425 Bãi Á , Thị Trấn Chợ Chu, Huyện Định Hóa T. Thái Nguyên Việt Nam</t>
  </si>
  <si>
    <t>6763</t>
  </si>
  <si>
    <t>WM+ TNN TDP Trung Kiên, TT Chợ Chu</t>
  </si>
  <si>
    <t>TDP Trung Kiên, Thị Trấn Chợ Chu, Huyện Định Hóa T. Thái Nguyên Việt Nam</t>
  </si>
  <si>
    <t>6764</t>
  </si>
  <si>
    <t>WM+ BNH Núi Móng, Tiên Du</t>
  </si>
  <si>
    <t>Thôn Núi Móng, Xã Hoàn Sơn, Huyện Tiên Du T. Bắc Ninh Việt Nam</t>
  </si>
  <si>
    <t>6765</t>
  </si>
  <si>
    <t>WM+ HNM Thi Sơn, Kim Bảng</t>
  </si>
  <si>
    <t>Xóm 7, Xã Thi Sơn, Huyện Kim Bảng T. Hà Nam Việt Nam</t>
  </si>
  <si>
    <t>6766</t>
  </si>
  <si>
    <t>WM+ THA Diễn Ngoại, Triệu Sơn</t>
  </si>
  <si>
    <t>Thôn Diễn Ngoại, Xã Hợp Thành, Huyện Triệu Sơn T. Thanh Hóa Việt Nam</t>
  </si>
  <si>
    <t>6767</t>
  </si>
  <si>
    <t>WM+ THA Trường Sơn, Nông Cống</t>
  </si>
  <si>
    <t>Thôn Kim Phú, Xã Trường Sơn, Huyện Nông Cống, T. Thanh Hóa Việt Nam</t>
  </si>
  <si>
    <t>6768</t>
  </si>
  <si>
    <t>332 Lũng Kênh, Xã Đức Giang , Huyện Hoài Đức , TP. Hà Nội Việt Nam</t>
  </si>
  <si>
    <t>6769</t>
  </si>
  <si>
    <t>WM+ NDH Thịnh Long, Hải Hậu</t>
  </si>
  <si>
    <t>Tổ dân phố số 9, Thị trấn Thịnh Long, Huyện Hải Hậu, T. Nam Định Việt Nam</t>
  </si>
  <si>
    <t>6770</t>
  </si>
  <si>
    <t>WM+ HNI B07 Tecco Diamond</t>
  </si>
  <si>
    <t>Kiot TMDV – B07 Tecco Diamond, KĐT Tứ Hiệp, Xã Tứ Hiệp, Huyện Thanh Trì TP. Hà Nội Việt Nam</t>
  </si>
  <si>
    <t>6774</t>
  </si>
  <si>
    <t>WM+ HNI 28 Yên Hòa</t>
  </si>
  <si>
    <t>Số 28 Yên Hòa, Tổ 14 Yên Nghĩa, Phường Yên Nghĩa, Q. Hà Đông TP. Hà Nội Việt Nam</t>
  </si>
  <si>
    <t>6775</t>
  </si>
  <si>
    <t>WM+ BNH Hoài Thượng, Tiên Du</t>
  </si>
  <si>
    <t>Thôn Hoài Thượng, Xã Liên Bão, Huyện Tiên Du T. Bắc Ninh Việt Nam</t>
  </si>
  <si>
    <t>6776</t>
  </si>
  <si>
    <t>WM+ HNI H3 Hope Residences</t>
  </si>
  <si>
    <t>TM10,11 Tầng 1+2 Tòa H3, Khu nhà ở xã hội tại Ô đất B8, NXH khu công viên công nghệ phần mềm Hà Nội, Phường Phúc Đồng, Quận Long Biên TP. Hà Nội Việt Nam</t>
  </si>
  <si>
    <t>6777</t>
  </si>
  <si>
    <t>WM+ HNI 39 Ngõ 192 Lê Trọng Tấn</t>
  </si>
  <si>
    <t>Số nhà 39 Ngõ 192 Phố Lê Trọng Tấn, Phường Định Công, Quận Thanh Xuân TP. Hà Nội Việt Nam</t>
  </si>
  <si>
    <t>6779</t>
  </si>
  <si>
    <t>WM+ THA 09 Quyết Thắng</t>
  </si>
  <si>
    <t>09 Quyết Thắng, Thị trấn Lang Chánh, Huyện Lang Chánh T. Thanh Hóa Việt Nam</t>
  </si>
  <si>
    <t>6780</t>
  </si>
  <si>
    <t>WM+ HTH 385 Lê Đại Hành</t>
  </si>
  <si>
    <t>Số nhà 385 Lê Đại Hành, Phường Hưng Trí, Thị xã Kỳ Anh T. Hà Tĩnh Việt Nam</t>
  </si>
  <si>
    <t>6783</t>
  </si>
  <si>
    <t>WM+ THA Vĩnh Thịnh, Vĩnh Lộc</t>
  </si>
  <si>
    <t>Thôn 6, Xã Vĩnh Thịnh, Huyện Vĩnh Lộc T. Thanh Hóa Việt Nam</t>
  </si>
  <si>
    <t>6787</t>
  </si>
  <si>
    <t>WM+ QNH 998 Khu Đường Ngang</t>
  </si>
  <si>
    <t>Số 998 Khu Đường Ngang, Phường Minh Thành, Thị xã Quảng Yên T. Quảng Ninh Việt Nam</t>
  </si>
  <si>
    <t>6788</t>
  </si>
  <si>
    <t>WM+ HNI CT1 ICID Complex</t>
  </si>
  <si>
    <t>Lô 37-TTTM1, Khu đô thị mới hai bên đường Lê Trọng Tấn, Phường Dương Nội, Quận Hà Đông TP. Hà Nội Việt Nam</t>
  </si>
  <si>
    <t>6789</t>
  </si>
  <si>
    <t>WM+ THA Lô 01A35 Lê Lợi</t>
  </si>
  <si>
    <t>Lô 01A35 Lê Lợi, Phường Đông Hương, Thành phố Thanh Hóa T. Thanh Hóa Việt Nam</t>
  </si>
  <si>
    <t>6790</t>
  </si>
  <si>
    <t>WM+ BNH Chi Hồ, Tiên Du</t>
  </si>
  <si>
    <t>Thôn Chi Hồ, Xã Tân Chi, Huyện Tiên Du T. Bắc Ninh Việt Nam</t>
  </si>
  <si>
    <t>6791</t>
  </si>
  <si>
    <t>WM+ VPC 195 Nguyễn Viết Xuân</t>
  </si>
  <si>
    <t>Số nhà 195 Đường Nguyễn Viết Xuân, Phường Đống Đa, Thành phố Vĩnh Yên T. Vĩnh Phúc Việt Nam</t>
  </si>
  <si>
    <t>6792</t>
  </si>
  <si>
    <t>WM+ THA 678 Phố Cống</t>
  </si>
  <si>
    <t>Số 678 Đường Phố Cống, Phố Lê Thánh Tông, Thị trấn Ngọc Lặc T. Thanh Hóa Việt Nam</t>
  </si>
  <si>
    <t>6793</t>
  </si>
  <si>
    <t>WM+ NAN Chợ Yên Sơn, Đô Lương</t>
  </si>
  <si>
    <t>Xóm Khánh Thế, Xã Yên Sơn, Huyện Đô Lương T. Nghệ An Việt Nam</t>
  </si>
  <si>
    <t>6804</t>
  </si>
  <si>
    <t>Số 253 Lê Lợi, Thị trấn Thường Xuân, Huyện Thường Xuân T. Thanh Hóa Việt Nam</t>
  </si>
  <si>
    <t>6805</t>
  </si>
  <si>
    <t>WM+ QNH 163 Độc Lập</t>
  </si>
  <si>
    <t>Số 163 Phố Độc Lập, Tổ 4 khu Tây Sơn 1, Phường Cẩm Sơn, TP. Cẩm Phả T. Quảng Ninh Việt Nam</t>
  </si>
  <si>
    <t>6806</t>
  </si>
  <si>
    <t>WM+ HPG Hoàng Lâu, An Dương</t>
  </si>
  <si>
    <t>Thôn Hoàng Lâu, Xã Hồng Phong, Huyện An Dương TP. Hải Phòng Việt Nam</t>
  </si>
  <si>
    <t>6807</t>
  </si>
  <si>
    <t>WM+ HNI 268A Đội Cấn</t>
  </si>
  <si>
    <t>Số 268A Phố Đội Cấn, Phường Cống Vị, Quận Ba Đình TP. Hà Nội Việt Nam</t>
  </si>
  <si>
    <t>6808</t>
  </si>
  <si>
    <t>WM+ HYN Cao Xá, Phù Cừ</t>
  </si>
  <si>
    <t>Thôn Cao Xá, Thị trấn Trần Cao, Huyện Phù Cừ T. Hưng Yên Việt Nam</t>
  </si>
  <si>
    <t>6809</t>
  </si>
  <si>
    <t>WM+ NDH Bắc Cường, Trực Ninh</t>
  </si>
  <si>
    <t>Xóm Bắc Cường, Xã Trực Thái, Huyện Trực Ninh T. Nam Định Việt Nam</t>
  </si>
  <si>
    <t>6812</t>
  </si>
  <si>
    <t>WM+ QNH 73 Kênh Liêm</t>
  </si>
  <si>
    <t>Số 73 Đường Kênh Liêm, Phường Bạch Đằng, Thành Phố Hạ Long T. Quảng Ninh Việt Nam</t>
  </si>
  <si>
    <t>6813</t>
  </si>
  <si>
    <t>WM+ BNH Phù Khê Đông, Từ Sơn</t>
  </si>
  <si>
    <t>Khu phố Phù Khê Đông, Phường Phù Khê, Thành Phố Từ Sơn T. Bắc Ninh Việt Nam</t>
  </si>
  <si>
    <t>6819</t>
  </si>
  <si>
    <t>WM+ TQG 328 Trường Chinh</t>
  </si>
  <si>
    <t>Số 328 Trường Chinh, Phường Tân Hà, Thành phố Tuyên Quang T. Tuyên Quang Việt Nam</t>
  </si>
  <si>
    <t>6821</t>
  </si>
  <si>
    <t>WM+ HDG 298 Ngô Quyền</t>
  </si>
  <si>
    <t>Số 298 Ngô Quyền, Phường Tân Bình, Thành phố Hải Dương T. Hải Dương Việt Nam</t>
  </si>
  <si>
    <t>6822</t>
  </si>
  <si>
    <t>WM+ HPG Cẩm La, Kiến Thụy</t>
  </si>
  <si>
    <t>Thôn Cẩm La, Xã Thanh Sơn, Huyện Kiến Thụy TP. Hải Phòng Việt Nam</t>
  </si>
  <si>
    <t>6836</t>
  </si>
  <si>
    <t>WM+ NAN Khối 6, TT Tân Kỳ</t>
  </si>
  <si>
    <t>Khối 6, Thị Trấn Tân Kỳ, Huyện Tân Kỳ T. Nghệ An Việt Nam</t>
  </si>
  <si>
    <t>6837</t>
  </si>
  <si>
    <t>WM+ HYN SH16 Sky Oasis Residences</t>
  </si>
  <si>
    <t>S101SH16, S102SH16 Khu Căn hộ Vịnh Đảo (Sky Oasis Residences), Khu đô thị TM và DL Văn Giang (Ecopark), Xã Xuân Quan, T. Hưng Yên Việt Nam</t>
  </si>
  <si>
    <t>6847</t>
  </si>
  <si>
    <t>WM+ HNI 158 Nguyễn Thái Học</t>
  </si>
  <si>
    <t>158 Nguyễn Thái Học, Thị trấn Phùng, Huyện Đan Phượng TP. Hà Nội Việt Nam</t>
  </si>
  <si>
    <t>6848</t>
  </si>
  <si>
    <t>WM+ HNI 7 Ngõ 12 Phú Minh</t>
  </si>
  <si>
    <t>Số 7 Ngõ 12 Đường Phú Minh, Phường Minh Khai, Quận Bắc Từ Liêm TP. Hà Nội Việt Nam</t>
  </si>
  <si>
    <t>6849</t>
  </si>
  <si>
    <t>WM+ HNI Ba Trại, Ba Vì</t>
  </si>
  <si>
    <t>Thôn 5, Xã Ba Trại, Huyện Ba Vì TP. Hà Nội Việt Nam</t>
  </si>
  <si>
    <t>6850</t>
  </si>
  <si>
    <t>WM+ CBG 37 Tổ 12 Sông Hiến</t>
  </si>
  <si>
    <t>Số nhà 37 Tổ 12, Phường Sông Hiến, Thành phố Cao Bằng T. Cao Bằng Việt Nam</t>
  </si>
  <si>
    <t>6852</t>
  </si>
  <si>
    <t>WM+ HNI 23 Ngõ 214 Nguyễn Xiển</t>
  </si>
  <si>
    <t>Số 23 Ngõ 214 Nguyễn Xiển, Phường Hạ Đình, Quận Thanh Xuân TP. Hà Nội Việt Nam</t>
  </si>
  <si>
    <t>6853</t>
  </si>
  <si>
    <t>WM+ BGG 103 Phố Kim</t>
  </si>
  <si>
    <t>Số 103 Phố Kim, Xã Phượng Sơn, Huyện Lục Ngạn T. Bắc Giang Việt Nam</t>
  </si>
  <si>
    <t>6854</t>
  </si>
  <si>
    <t>WM+ THA Định Long, Yên Định</t>
  </si>
  <si>
    <t>Thôn 5, Xã Định Long, Huyện Yên Định T. Thanh Hóa Việt Nam</t>
  </si>
  <si>
    <t>6855</t>
  </si>
  <si>
    <t>WM+ HYN SH08A Sky Oasis Residences</t>
  </si>
  <si>
    <t>S101SH08A Khu Căn hộ Vịnh Đảo (Sky Oasis Residences),vbdhbvd KĐT Thương mại và Du lịch Văn Giang (Ecopark), Xã Xuân Quan, H. Văn Giang T. Hưng Yên Việt Nam</t>
  </si>
  <si>
    <t>6856</t>
  </si>
  <si>
    <t>WM+ HNI Hội Xá, Mỹ Đức</t>
  </si>
  <si>
    <t>Xóm 3, Thôn Hội Xá, Xã Hương Sơn, Huyện Mỹ Đức TP. Hà Nội Việt Nam</t>
  </si>
  <si>
    <t>6857</t>
  </si>
  <si>
    <t>WM+ HNI Bích Hòa, Thanh Oai</t>
  </si>
  <si>
    <t>Thôn Thượng, Xã Bích Hòa, Huyện Thanh Oai TP. Hà Nội Việt Nam</t>
  </si>
  <si>
    <t>6858</t>
  </si>
  <si>
    <t>WM+ HNI Yên Sơn, Quốc Oai</t>
  </si>
  <si>
    <t>Đội 6 Quảng Yên, Xã Yên Sơn, Huyện Quốc Oai TP. Hà Nội Việt Nam</t>
  </si>
  <si>
    <t>6861</t>
  </si>
  <si>
    <t>WM+ BGG 287 Minh Khai</t>
  </si>
  <si>
    <t>Số 287 Minh Khai, Thị trấn Chũ, Huyện Lục Ngạn T. Bắc Giang Việt Nam</t>
  </si>
  <si>
    <t>6862</t>
  </si>
  <si>
    <t>WM+ HPG Giang Biên, Vĩnh Bảo</t>
  </si>
  <si>
    <t>Thôn Dâu, Xã Giang Biên, Huyện Vĩnh Bảo TP. Hải Phòng Việt Nam</t>
  </si>
  <si>
    <t>6864</t>
  </si>
  <si>
    <t>WM+ HGG Vinh Quang, Bắc Quang</t>
  </si>
  <si>
    <t>QL2, Thôn Vinh Quang, Xã Tân Quang, Huyện Bắc Quang T. Hà Giang Việt Nam</t>
  </si>
  <si>
    <t>6865</t>
  </si>
  <si>
    <t>WM+ NDH Nguyễn Hoằng, Hải Hậu</t>
  </si>
  <si>
    <t>Xóm Nguyễn Hoằng, Xã Hải Thanh, Huyện Hải Hậu T. Nam Định Việt Nam</t>
  </si>
  <si>
    <t>6866</t>
  </si>
  <si>
    <t>WM+ HNI Ngọc Nhị, Ba Vì</t>
  </si>
  <si>
    <t>Thôn Ngọc Nhị, Xã Cẩm Lĩnh, Huyện Ba Vì TP. Hà Nội Việt Nam</t>
  </si>
  <si>
    <t>6867</t>
  </si>
  <si>
    <t>WM+ QBH 11 Nguyễn Tất Thành</t>
  </si>
  <si>
    <t>Số 11 Nguyễn Tất Thành, Thị trấn Kiến Giang, Huyện Lệ Thủy T. Quảng Bình Việt Nam</t>
  </si>
  <si>
    <t>6868</t>
  </si>
  <si>
    <t>TDP Quang Trung, Thị trấn Chũ, Huyện Lục Ngạn T. Bắc Giang Việt Nam</t>
  </si>
  <si>
    <t>6870</t>
  </si>
  <si>
    <t>WM+ CBG 46-48 Đường 03/10</t>
  </si>
  <si>
    <t>Số nhà 46-48 Đường 03/10, Phường Sông Bằng, Thành phố Cao Bằng T. Cao Bằng Việt Nam</t>
  </si>
  <si>
    <t>6871</t>
  </si>
  <si>
    <t>WM+ PTO TT Hưng Hóa, Tam Nông</t>
  </si>
  <si>
    <t>Số nhà 58 Đường Hồ Thiên Hương, Thị trấn Hưng Hóa, Huyện Tam Nông T. Phú Thọ Việt Nam</t>
  </si>
  <si>
    <t>6872</t>
  </si>
  <si>
    <t>WM+ HNI HH2 Bắc Hà</t>
  </si>
  <si>
    <t>Tầng 1, Tòa nhà HH2 Bắc Hà, Phố Tố Hữu, Phường Nhân Chính, Quận Thanh Xuân TP. Hà Nội Việt Nam</t>
  </si>
  <si>
    <t>6873</t>
  </si>
  <si>
    <t>WIN HNI TM1-C1 Thành Công</t>
  </si>
  <si>
    <t>TM1 – Chung cư C1 Thành Công, Phường Thành Công, Quận Ba Đình TP. Hà Nội Việt Nam</t>
  </si>
  <si>
    <t>6876</t>
  </si>
  <si>
    <t>WM+ THA 99 Lê Lợi</t>
  </si>
  <si>
    <t>Số 99 Lê Lợi, Khu 1, Thị trấn Thọ Xuân, Huyện Thọ Xuân T. Thanh Hóa Việt Nam</t>
  </si>
  <si>
    <t>6877</t>
  </si>
  <si>
    <t>Số 71, Khu phố 2, Thị trấn Cành Nàng, Huyện Bá Thước T. Thanh Hóa Việt Nam</t>
  </si>
  <si>
    <t>6878</t>
  </si>
  <si>
    <t>WM+ NAN Hợp Thành, Yên Thành</t>
  </si>
  <si>
    <t>Xóm 5, Xã Hợp Thành, Huyện Yên Thành T. Nghệ An Việt Nam</t>
  </si>
  <si>
    <t>6880</t>
  </si>
  <si>
    <t>WM+ HNI Phúc Lâm, Mỹ Đức</t>
  </si>
  <si>
    <t>Xóm 6, Xã Phúc Lâm, Huyện Mỹ Đức TP. Hà Nội Việt Nam</t>
  </si>
  <si>
    <t>6881</t>
  </si>
  <si>
    <t>WM+ THA Yên Cát, Như Xuân</t>
  </si>
  <si>
    <t>Số 73 , Khu phố 1, Thị trấn Yên Cát, Huyện Như Xuân T. Thanh Hóa Việt Nam</t>
  </si>
  <si>
    <t>6882</t>
  </si>
  <si>
    <t>WM+ HNI S06 Kosmo Tây Hồ</t>
  </si>
  <si>
    <t>S06 Tháp CENTRO, Tổ Hợp Chung Cư, VP kết hợp DVTM Newtatco Kosmo Tây Hồ, P.Xuân Tảo, Q. Bắc Từ Liêm TP. Hà Nội Việt Nam</t>
  </si>
  <si>
    <t>6883</t>
  </si>
  <si>
    <t>WM+ HNI 161 Phú Nhi, Sơn Tây</t>
  </si>
  <si>
    <t>161 Phố Phú Nhi 2, Phường Phú Thịnh, Thị xã Sơn Tây TP. Hà Nội Việt Nam</t>
  </si>
  <si>
    <t>6884</t>
  </si>
  <si>
    <t>WM+ THA Chợ Vực, Hoằng Ngọc, Hoằng</t>
  </si>
  <si>
    <t>Số 11 Đường ĐT 510B, Thôn 6, Xã Hoằng Ngọc, Huyện Hoằng Hóa T. Thanh Hóa Việt Nam</t>
  </si>
  <si>
    <t>6888</t>
  </si>
  <si>
    <t>WM+ HNI Vị Thuỷ, Sơn Tây</t>
  </si>
  <si>
    <t>Thôn Vị Thuỷ, Xã Thanh Mỹ, Thị xã Sơn Tây TP. Hà Nội Việt Nam</t>
  </si>
  <si>
    <t>6890</t>
  </si>
  <si>
    <t>WM+ NDH Nghĩa Thái, Nghĩa Hưng</t>
  </si>
  <si>
    <t>Xóm 10, Xã Nghĩa Thái, Huyện Nghĩa Hưng T. Nam Định Việt Nam</t>
  </si>
  <si>
    <t>6891</t>
  </si>
  <si>
    <t>WM+ HNI Phương Đình, Đan Phượng</t>
  </si>
  <si>
    <t>Số 42 Nguyễn Đăng Phi, Thôn La Thạch, Xã Phương Đình, H. Đan Phượng TP. Hà Nội Việt Nam</t>
  </si>
  <si>
    <t>6892</t>
  </si>
  <si>
    <t>WM+ HNI Hạ Sở, Mỹ Đức</t>
  </si>
  <si>
    <t>Thôn Hạ Sở, Xã Hồng Sơn, Huyện Mỹ Đức TP. Hà Nội Việt Nam</t>
  </si>
  <si>
    <t>6893</t>
  </si>
  <si>
    <t>WM+ THA TDP Đại Đồng, Cẩm Thủy</t>
  </si>
  <si>
    <t>TDP Đại Đồng, Thị trấn Phong Sơn, Huyện Cẩm Thủy T. Thanh Hóa Việt Nam</t>
  </si>
  <si>
    <t>6894</t>
  </si>
  <si>
    <t>WM+ HTH 06 Nguyễn Đình Liễn</t>
  </si>
  <si>
    <t>Số nhà 06 Nguyễn Đình Liễn, Thị trấn Cẩm Xuyên, Huyện Cẩm Xuyên T. Hà Tĩnh Việt Nam</t>
  </si>
  <si>
    <t>6895</t>
  </si>
  <si>
    <t>WM+ HNI SH2A-HH02 Eco Lakeview</t>
  </si>
  <si>
    <t>SH2A, Tầng 1, Tòa nhà HH02 thuộc công trình Nhà ở cao tầng kết hợp DV TM Eco Lakeview, Số 32 Phố Đại Từ, P. Đại Kim, Q. Hoàng Mai TP. Hà Nội Việt Nam</t>
  </si>
  <si>
    <t>6898</t>
  </si>
  <si>
    <t>WM+ QNH 290 Nguyễn Đức Cảnh</t>
  </si>
  <si>
    <t>290 Nguyễn Đức Cảnh, Phường Quang Hanh, Thành phố Cẩm Phả T. Quảng Ninh Việt Nam</t>
  </si>
  <si>
    <t>6899</t>
  </si>
  <si>
    <t>WM+ QNH Tiền An, Quảng Yên</t>
  </si>
  <si>
    <t>Số 197 Khu QH Xóm Bãi 2, Xã Tiền An, Thị xã Quảng Yên T. Quảng Ninh Việt Nam</t>
  </si>
  <si>
    <t>6909</t>
  </si>
  <si>
    <t>WM+ BGG 242 Giáp Hải</t>
  </si>
  <si>
    <t>Số 242 Đường Giáp Hải, Phường Dĩnh Kế, Thành phố Bắc Giang T. Bắc Giang Việt Nam</t>
  </si>
  <si>
    <t>6910</t>
  </si>
  <si>
    <t>WM+ TBH Việt Hùng, Tiền Hải</t>
  </si>
  <si>
    <t>Thôn Việt Hùng, Xã Nam Trung, Huyện Tiền Hải T. Thái Bình Việt Nam</t>
  </si>
  <si>
    <t>6912</t>
  </si>
  <si>
    <t>WM+ LCI 102-104 Cốc Lếu</t>
  </si>
  <si>
    <t>Số 102-104 Đường Cốc Lếu, Phường Cốc Lếu, Thành phố Lào Cai T. Lào Cai Việt Nam</t>
  </si>
  <si>
    <t>6913</t>
  </si>
  <si>
    <t>WM+ SLA 124 Tổ 8 Quyết Thắng</t>
  </si>
  <si>
    <t>Số 124, Tổ 8, Phường Quyết Thắng, Thành phố Sơn La T. Sơn La Việt Nam</t>
  </si>
  <si>
    <t>6914</t>
  </si>
  <si>
    <t>WM+ YBI 701 Đại Đồng</t>
  </si>
  <si>
    <t>Số 701 Đường Đại Đồng, Tổ 5, Thị trấn Yên Bình, H. Yên Bình T. Yên Bái Việt Nam</t>
  </si>
  <si>
    <t>6915</t>
  </si>
  <si>
    <t>WM+ BGG Quế Sơn, Hiệp Hòa</t>
  </si>
  <si>
    <t>Thôn Quế Sơn, Xã Thái Sơn, Huyện Hiệp Hòa T. Bắc Giang Việt Nam</t>
  </si>
  <si>
    <t>6917</t>
  </si>
  <si>
    <t>WM+ TBH Khánh Mỹ, Hưng Hà</t>
  </si>
  <si>
    <t>Thôn Khánh Mỹ, Xã Phúc Khánh, Huyện Hưng Hà T. Thái Bình Việt Nam</t>
  </si>
  <si>
    <t>6919</t>
  </si>
  <si>
    <t>WM+ HNI 116 Tây Tựu</t>
  </si>
  <si>
    <t>Số 116 Tây Tựu, Phường Tây Tựu, Quận Bắc Từ Liêm TP. Hà Nội Việt Nam</t>
  </si>
  <si>
    <t>6922</t>
  </si>
  <si>
    <t>WM+ THA Uy Nam, Quảng Xương</t>
  </si>
  <si>
    <t>Thôn Uy Nam, Xã Quảng Ngọc, Huyện Quảng Xương T. Thanh Hóa Việt Nam</t>
  </si>
  <si>
    <t>6923</t>
  </si>
  <si>
    <t>WM+ HNI CT5C KĐT Văn Khê</t>
  </si>
  <si>
    <t>Sàn S1, Khu thương mại dịch vụ tầng 1, CT5C, Khu đô thị mới Văn Khê, Phường La Khê, Quận Hà Đông TP. Hà Nội Việt Nam</t>
  </si>
  <si>
    <t>6924</t>
  </si>
  <si>
    <t>WM+ HPG Chợ Ngọ Dương, An Dương</t>
  </si>
  <si>
    <t>Chợ Ngọ Dương, Xã An Hoà, Huyện An Dương TP. Hải Phòng Việt Nam</t>
  </si>
  <si>
    <t>6925</t>
  </si>
  <si>
    <t>WM+ TBH 202 Trần Hưng Đạo</t>
  </si>
  <si>
    <t>Số 202 Trần Hưng Đạo, Thị trấn An Bài, Huyện Quỳnh Phụ T. Thái Bình Việt Nam</t>
  </si>
  <si>
    <t>6926</t>
  </si>
  <si>
    <t>WM+ BNH Khu phố Yên Lã, Từ Sơn</t>
  </si>
  <si>
    <t>Khu phố Yên Lã, Phường Tân Hồng, TP. Từ Sơn T. Bắc Ninh Việt Nam</t>
  </si>
  <si>
    <t>6927</t>
  </si>
  <si>
    <t>WM+ BNH Khu phố Tiền Trong</t>
  </si>
  <si>
    <t>Khu phố Tiền Trong, Phường Khắc Niệm, Thành phố Bắc Ninh T. Bắc Ninh Việt Nam</t>
  </si>
  <si>
    <t>6929</t>
  </si>
  <si>
    <t>WM+ HNI La Đồng, Mỹ Đức</t>
  </si>
  <si>
    <t>Thôn La Đồng, Xã Hợp Tiến, Huyện Mỹ Đức TP. Hà Nội Việt Nam</t>
  </si>
  <si>
    <t>6930</t>
  </si>
  <si>
    <t>WM+ VPC Xuân Húc 2, Vĩnh Tường</t>
  </si>
  <si>
    <t>Thôn Xuân Húc 2, Xã Vân Xuân, Huyện Vĩnh Tường T. Vĩnh Phúc Việt Nam</t>
  </si>
  <si>
    <t>6933</t>
  </si>
  <si>
    <t>WM+ LCI TDP 4, TT Tằng Lỏong</t>
  </si>
  <si>
    <t>Tổ Dân Phố 4, Thị trấn Tằng Lỏong, Huyện Bảo Thắng, Tỉnh Lào Cai Việt Nam</t>
  </si>
  <si>
    <t>6937</t>
  </si>
  <si>
    <t>WM+ BGG 181 Thanh Xuân, Lục Nam</t>
  </si>
  <si>
    <t>Số 181 Phố Thanh Xuân, Thị trấn Đồi Ngô, Huyện Lục Nam T. Bắc Giang Việt Nam</t>
  </si>
  <si>
    <t>6939</t>
  </si>
  <si>
    <t>WM+ HNI 69 Ngô Xuân Quảng</t>
  </si>
  <si>
    <t>69 Ngô Xuân Quảng, Thị trấn Trâu Quỳ, Huyện Gia Lâm TP. Hà Nội Việt Nam</t>
  </si>
  <si>
    <t>6941</t>
  </si>
  <si>
    <t>WM+ TNN 162 Lưu Nhân Chú</t>
  </si>
  <si>
    <t>Số nhà 162 Đường Lưu Nhân Chú, Phường Hương Sơn, Thành phố Thái Nguyên T. Thái Nguyên Việt Nam</t>
  </si>
  <si>
    <t>6942</t>
  </si>
  <si>
    <t>WM+ HPG Chợ Ga, An Dương</t>
  </si>
  <si>
    <t>Chợ Ga, Xã Đại Bản, Huyện An Dương, Thành phố Hải Phòng TP. Hải Phòng Việt Nam</t>
  </si>
  <si>
    <t>6947</t>
  </si>
  <si>
    <t>WM+ NDH TDP Sơn Thọ, TT Ngô Đồng</t>
  </si>
  <si>
    <t>TDP Sơn Thọ, Thị trấn Ngô Đồng, Huyện Giao Thủy T. Nam Định Việt Nam</t>
  </si>
  <si>
    <t>6948</t>
  </si>
  <si>
    <t>WM+ VPC 205 Trần Phú</t>
  </si>
  <si>
    <t>Số 205 Đường Trần Phú, Phường Nam Viêm, Thành phố Phúc Yên T. Vĩnh Phúc Việt Nam</t>
  </si>
  <si>
    <t>6949</t>
  </si>
  <si>
    <t>WM+ QNH 225 Lê Lợi</t>
  </si>
  <si>
    <t>225 Đường Lê Lợi, Phường Yết Kiêu, Thành phố Hạ Long T. Quảng Ninh Việt Nam</t>
  </si>
  <si>
    <t>6954</t>
  </si>
  <si>
    <t>WM+ QNH 15&amp;16 KĐT MKL, Hồng Hải</t>
  </si>
  <si>
    <t>Lô số 15 &amp; 16 Khu đô thị MKL, Phường Hồng Hải, Thành phố Hạ Long T. Quảng Ninh Việt Nam</t>
  </si>
  <si>
    <t>6958</t>
  </si>
  <si>
    <t>WM+ HDG 15 Đức Minh, Thanh Bình</t>
  </si>
  <si>
    <t>Số 15 Đường Đức Minh, P. Thanh Bình, TP. Hải Dương, Tỉnh Hải Dương T. Hải Dương Việt Nam</t>
  </si>
  <si>
    <t>6959</t>
  </si>
  <si>
    <t>WM+ HDG 236 Trần Hưng Đạo, Ngọc Châ</t>
  </si>
  <si>
    <t>Số 236 Trần Hưng Đạo, P. Ngọc Châu, Tp. Hải Dương, Tỉnh Hải Dương T. Hải Dương Việt Nam</t>
  </si>
  <si>
    <t>6960</t>
  </si>
  <si>
    <t>WM+ BNH Nguyễn Văn Cừ, Gia Bình</t>
  </si>
  <si>
    <t>Đường Nguyễn Văn Cừ, Thị trấn Gia B Thị trấn Gia Bình, Huyện Gia Bình T. Bắc Ninh Việt Nam</t>
  </si>
  <si>
    <t>6965</t>
  </si>
  <si>
    <t>WM+ NDH TDP Văn Côi, Vụ Bản</t>
  </si>
  <si>
    <t>Tổ dân phố Văn Côi, Thị trấn Gôi, Huyện Vụ Bản T. Nam Định Việt Nam</t>
  </si>
  <si>
    <t>6966</t>
  </si>
  <si>
    <t>WM+ YBI 385 Lê Hồng Phong, Nguyễn P</t>
  </si>
  <si>
    <t>Số 385 Đường Lê Hồng Phong, P. Nguy Tp. Yên Bái T. Yên Bái Việt Nam</t>
  </si>
  <si>
    <t>6967</t>
  </si>
  <si>
    <t>WM+ HNI 49C Hàng Bún, Ba Đình</t>
  </si>
  <si>
    <t>Số 49C Hàng Bún, P. Nguyễn Trung Trực, Q. Ba Đình TP. Hà Nội Việt Nam</t>
  </si>
  <si>
    <t>6968</t>
  </si>
  <si>
    <t>WM+ VPC Tảo Phú, Yên Lạc</t>
  </si>
  <si>
    <t>Thôn Tảo Phú, Xã Tam Hồng, Huyện Yên Lạc T. Vĩnh Phúc Việt Nam</t>
  </si>
  <si>
    <t>6976</t>
  </si>
  <si>
    <t>WM+ VPC 204 Lý Thường Kiệt</t>
  </si>
  <si>
    <t>Số 204 Đường Lý Thường Kiệt, P. Đồng Tâm, Tp. Vĩnh Yên T. Vĩnh Phúc Việt Nam</t>
  </si>
  <si>
    <t>6977</t>
  </si>
  <si>
    <t>WM+ TBH Vũ Quý, Kiến Xương</t>
  </si>
  <si>
    <t>Thôn 2, Xã Vũ Quý, Huyện Kiến Xương T. Thái Bình Việt Nam</t>
  </si>
  <si>
    <t>6978</t>
  </si>
  <si>
    <t>WM+ HNI 48 LK 22 KĐT Vân Canh</t>
  </si>
  <si>
    <t>48 LK 22 - KĐT Vân Canh, Xã Vân Canh, Huyện Hoài Đức TP. Hà Nội Việt Nam</t>
  </si>
  <si>
    <t>6981</t>
  </si>
  <si>
    <t>WM+ NDH Nghĩa Sơn, Nghĩa Hưng</t>
  </si>
  <si>
    <t>Xóm 4, Xã Nghĩa Sơn, Huyện Nghĩa Hưng T. Nam Định Việt Nam</t>
  </si>
  <si>
    <t>6982</t>
  </si>
  <si>
    <t>Xóm Tuần A, Xã Quỳnh Châu, Huyện Quỳnh Lưu T. Nghệ An Việt Nam</t>
  </si>
  <si>
    <t>6983</t>
  </si>
  <si>
    <t>WM+ HTH Song Hồng, Nghi Xuân</t>
  </si>
  <si>
    <t>Thôn Song Hồng, Xã Cương Gián, Huyện Nghi Xuân T. Hà Tĩnh Việt Nam</t>
  </si>
  <si>
    <t>6986</t>
  </si>
  <si>
    <t>WM+ QNH 161 Lê Lợi</t>
  </si>
  <si>
    <t>Số 161 Đường Lê Lợi, P. Quảng Yên, Thị xã Quảng Yên T. Quảng Ninh Việt Nam</t>
  </si>
  <si>
    <t>6988</t>
  </si>
  <si>
    <t>WM+ HPG Cách Hạ, An Dương</t>
  </si>
  <si>
    <t>Thôn Cách Hạ, Xã Nam Sơn, Huyện An Dương TP. Hải Phòng Việt Nam</t>
  </si>
  <si>
    <t>6989</t>
  </si>
  <si>
    <t>WM+ HDG Đông Giao, Cẩm Giàng</t>
  </si>
  <si>
    <t>Thôn Đông Giao, Xã Lương Điền, Huyện Cẩm Giàng T. Hải Dương Việt Nam</t>
  </si>
  <si>
    <t>6990</t>
  </si>
  <si>
    <t>WM+ HNI T1 - TM3 Hanhomes Blue Star</t>
  </si>
  <si>
    <t>Kiốt số T1-TM3, Tầng 01, Toà T1, Dự án Nhà ở chung cư cao tầng tại ô đất CT2, Thị trấn Trâu Quỳ, Huyện Gia Lâm TP. Hà Nội Việt Nam</t>
  </si>
  <si>
    <t>6991</t>
  </si>
  <si>
    <t>WM+ HNI Xuân Sơn, Sóc Sơn</t>
  </si>
  <si>
    <t>Đường QL3, Thôn Xuân Sơn, Xã Trung Giã, Huyện Sóc Sơn TP. Hà Nội Việt Nam</t>
  </si>
  <si>
    <t>6996</t>
  </si>
  <si>
    <t>WM+ HTH Tân Dinh, Cẩm Xuyên</t>
  </si>
  <si>
    <t>Thôn Tân Dinh, Xã Cẩm Nhượng, Huyện Cẩm Xuyên, T. Hà Tĩnh Việt Nam</t>
  </si>
  <si>
    <t>2BMI</t>
  </si>
  <si>
    <t>Đường Khuất Duy Tiến, Khu phố Lạc Xá, Phường Quế Võ, T. Bắc Ninh Việt Nam</t>
  </si>
  <si>
    <t>2BNF</t>
  </si>
  <si>
    <t>Thôn Mai Hạ, Xã Xuân Cẩm, Tỉnh Bắc Ninh T. Bắc Ninh Việt Nam</t>
  </si>
  <si>
    <t>2BOJ</t>
  </si>
  <si>
    <t>Tổ dân phố Hấn, Phường Tân Tiến, Tỉnh Bắc Ninh T. Bắc Ninh Việt Nam</t>
  </si>
  <si>
    <t>2BPA</t>
  </si>
  <si>
    <t>Bản Trung Tâm 1, Xã Nà Tấu, Tỉnh Điện Biên T. Điện Biên Việt Nam</t>
  </si>
  <si>
    <t>2A51</t>
  </si>
  <si>
    <t>WM+ HTH 187 Mai Thúc Loan</t>
  </si>
  <si>
    <t>Số 187 Mai Thúc Loan, Thôn Hòa, Xã Thạch Hưng, Thành phố Hà Tĩnh T. Hà Tĩnh Việt Nam</t>
  </si>
  <si>
    <t>2AAP</t>
  </si>
  <si>
    <t>630 Quang Trung, Thôn Hạ, Xã Thạch Hạ, Thành Phố Hà Tĩnh T. Hà Tĩnh Việt Nam</t>
  </si>
  <si>
    <t>2AFD</t>
  </si>
  <si>
    <t>WM+ HTH 54B Nguyễn Đổng Chi</t>
  </si>
  <si>
    <t>Số 54B đường Nguyễn Đổng Chi, Phường Nam Hồng Thị xã Hồng Lĩnh T. Hà Tĩnh Việt Nam</t>
  </si>
  <si>
    <t>5697</t>
  </si>
  <si>
    <t>WM+ HTH 160 Trần Phú</t>
  </si>
  <si>
    <t>Số 160 Trần Phú, Phường Bắc Hồng, Thị xã Hồng Lĩnh, T. Hà Tĩnh Việt Nam</t>
  </si>
  <si>
    <t>5966</t>
  </si>
  <si>
    <t>WM+ HTH 524 Hà Huy Tập</t>
  </si>
  <si>
    <t>Số 524 Hà Huy Tập, Phường Đại Nài, Thành phố Hà Tĩnh, T. Hà Tĩnh Việt Nam</t>
  </si>
  <si>
    <t>2BAI</t>
  </si>
  <si>
    <t>WM+ HTH 86 Lê Khôi</t>
  </si>
  <si>
    <t>Số 86 Đường Lê Khôi, Tổ dân phố Hòa Bình, T. Hà Tĩnh Việt Nam</t>
  </si>
  <si>
    <t>2BCJ</t>
  </si>
  <si>
    <t>Số nhà 200 Đường Việt Lào, Thôn 2, Xã Sơn Tây, Tỉnh Hà Tĩnh T. Hà Tĩnh Việt Nam</t>
  </si>
  <si>
    <t>4970</t>
  </si>
  <si>
    <t>WM+ HTH 357 Trần Phú</t>
  </si>
  <si>
    <t>357 Trần Phú, Phường Thạch Linh, Thành phố Hà Tĩnh, T. Hà Tĩnh Việt Nam</t>
  </si>
  <si>
    <t>4975</t>
  </si>
  <si>
    <t>WM+ HTH 64 Nguyễn Huy Tự</t>
  </si>
  <si>
    <t>64 Nguyễn Huy Tự, Phường Bắc Hà, Thành phố Hà Tĩnh, T. Hà Tĩnh Việt Nam</t>
  </si>
  <si>
    <t>6168</t>
  </si>
  <si>
    <t>WM+ HTH 63 Nguyễn Chí Thanh</t>
  </si>
  <si>
    <t>63 Nguyễn Chí Thanh, Phường Tân Giang, TP. Hà Tĩnh, T. Hà Tĩnh Việt Nam</t>
  </si>
  <si>
    <t>4976</t>
  </si>
  <si>
    <t>WM+ HTH 132 Lê Duẩn</t>
  </si>
  <si>
    <t>132 Lê Duẩn, Phường Trần Phú, Thành phố Hà Tĩnh, T. Hà Tĩnh Việt Nam</t>
  </si>
  <si>
    <t>6213</t>
  </si>
  <si>
    <t>WM+ HTH 118 Hải Thượng Lãn Ông</t>
  </si>
  <si>
    <t>Số nhà 118, đường Hải Thượng Lãn Ông, Tổ dân phố 4, Phường Bắc Hà, Thành phố Hà Tĩnh, T. Hà Tĩnh Việt Nam</t>
  </si>
  <si>
    <t>5030</t>
  </si>
  <si>
    <t>WM+ HTH 01 Trần Phú</t>
  </si>
  <si>
    <t>01 Trần Phú, Phường Nam Hồng, Thị xã Hồng Lĩnh, T. Hà Tĩnh Việt Nam</t>
  </si>
  <si>
    <t>5031</t>
  </si>
  <si>
    <t>WM+ HTH 87 Phan Đình Giót</t>
  </si>
  <si>
    <t>87 Phan Đình Giót, Phường Nam Hà, Thành phố Hà Tĩnh, T. Hà Tĩnh Việt Nam</t>
  </si>
  <si>
    <t>5094</t>
  </si>
  <si>
    <t>WM+ HTH 191 Nguyễn Du</t>
  </si>
  <si>
    <t>191 Nguyễn Du, Phường Nguyễn Du, Thành phố Hà Tĩnh, T. Hà Tĩnh Việt Nam</t>
  </si>
  <si>
    <t>5122</t>
  </si>
  <si>
    <t>WM+ HTH 520 Nguyễn Công Trứ</t>
  </si>
  <si>
    <t>520 Nguyễn Công Trứ, Phường Thạch Quý, Thành phố Hà Tĩnh, T. Hà Tĩnh Việt Nam</t>
  </si>
  <si>
    <t>6345</t>
  </si>
  <si>
    <t>WM+ HTH 16 Nguyễn Trung Thiên</t>
  </si>
  <si>
    <t>16 Nguyễn Trung Thiên, Phường Tân Giang, Thành phố Hà Tĩnh, T. Hà Tĩnh Việt Nam</t>
  </si>
  <si>
    <t>5280</t>
  </si>
  <si>
    <t>WM+ HTH 149 Vũ Quang</t>
  </si>
  <si>
    <t>149 Vũ Quang, Phường Thạch Linh, Thành phố Hà Tĩnh, T. Hà Tĩnh Việt Nam</t>
  </si>
  <si>
    <t>5281</t>
  </si>
  <si>
    <t>WM+ HTH 82 Vũ Quang</t>
  </si>
  <si>
    <t>82 Vũ Quang, Tổ dân phố 5, Phường Thành Sen, Tỉnh Hà Tĩnh T. Hà Tĩnh Việt Nam</t>
  </si>
  <si>
    <t>6447</t>
  </si>
  <si>
    <t>WM+ HTH 201A Nguyễn Công Trứ</t>
  </si>
  <si>
    <t>Số 201A Nguyễn Công Trứ, Phường Nguyễn Du, Thành phố Hà Tĩnh T. Hà Tĩnh Việt Nam</t>
  </si>
  <si>
    <t>5510</t>
  </si>
  <si>
    <t>WM+ HTH 35 Đồng Quế</t>
  </si>
  <si>
    <t>35 Đồng Quế, Phường Nam Hà, Thành phố Hà Tĩnh, T. Hà Tĩnh Việt Nam</t>
  </si>
  <si>
    <t>6707</t>
  </si>
  <si>
    <t>WM+ HTH 248 Vũ Quang</t>
  </si>
  <si>
    <t>Số nhà 248 Vũ Quang, TDP Hòa Linh, Phường Thạch Linh, T. Hà Tĩnh Việt Nam</t>
  </si>
  <si>
    <t>2BMR</t>
  </si>
  <si>
    <t>Thửa đất số 57, Tờ bản đồ số 9, QL37, Thôn Hoa Quận, T. Hưng Yên Việt Nam</t>
  </si>
  <si>
    <t>2BMS</t>
  </si>
  <si>
    <t>Thửa đất số 668, Tờ bản đồ số 15, Thôn Bình Trật Nam, T. Hưng Yên Việt Nam</t>
  </si>
  <si>
    <t>2BNM</t>
  </si>
  <si>
    <t>Thửa đất số 19, Tờ bản đồ số 14, Thôn Hóa Tài, T. Hưng Yên Việt Nam</t>
  </si>
  <si>
    <t>2BNN</t>
  </si>
  <si>
    <t>Thửa đất số 241 &amp; 242, Tờ bản đồ số 14, đường ĐH.37, T. Hưng Yên Việt Nam</t>
  </si>
  <si>
    <t>2BNP</t>
  </si>
  <si>
    <t>Thôn Chùa, Xã Lạc Đạo, Tỉnh Hưng Yên T. Hưng Yên Việt Nam</t>
  </si>
  <si>
    <t>2BNU</t>
  </si>
  <si>
    <t>Tổ dân phố Trại, Phường Đường Hào, Tỉnh Hưng Yên T. Hưng Yên Việt Nam</t>
  </si>
  <si>
    <t>2BOR</t>
  </si>
  <si>
    <t>Thửa đất số 316, Tờ bản đồ số 12, Thôn Duyên Hà, T. Hưng Yên Việt Nam</t>
  </si>
  <si>
    <t>2BJV</t>
  </si>
  <si>
    <t>Thôn Minh Thân, Xã Thác Bà, Tỉnh Lào Cai T. Lào Cai Việt Nam</t>
  </si>
  <si>
    <t>Lô A3-A6, Khu Công Nghiệp WHA Industrial Zone 1, X. Nghi Thuận, H. Nghi Lộc T. Nghệ An Việt Nam</t>
  </si>
  <si>
    <t>2BKQ</t>
  </si>
  <si>
    <t>Thửa đất số 269, tờ bản đồ số 22, Xóm 3, Xã Hùng Châu, T. Nghệ An Việt Nam</t>
  </si>
  <si>
    <t>2BKP</t>
  </si>
  <si>
    <t>Thửa đất số 1699, tờ bản đồ số 4, Đội 8, Xã Quỳnh Lưu, T. Nghệ An Việt Nam</t>
  </si>
  <si>
    <t>2BMX</t>
  </si>
  <si>
    <t>Xóm Tân Mỹ, Xã Tam Hợp, Tỉnh Nghệ An T. Nghệ An Việt Nam</t>
  </si>
  <si>
    <t>2BNI</t>
  </si>
  <si>
    <t>Thửa đất số 415, tờ bản đồ số 8, Đường 533, Xóm Thanh Thủy, Xã Đông Thành T. Nghệ An Việt Nam</t>
  </si>
  <si>
    <t>2BNJ</t>
  </si>
  <si>
    <t>Thửa đất số 28, tờ bản đồ số 26, Xóm Liên Xuân, Xã Đông Thành T. Nghệ An Việt Nam</t>
  </si>
  <si>
    <t>2BRI</t>
  </si>
  <si>
    <t>116B – 118 Đường Nguyễn Trãi, Phường Nam Định, Tỉnh Ninh Bình T. Ninh Bình Việt Nam</t>
  </si>
  <si>
    <t>2BKD</t>
  </si>
  <si>
    <t>Thửa đất số 1109, TBĐ số 09, Thôn Trung Chính, Xã Gia Lâm, T. Ninh Bình Việt Nam</t>
  </si>
  <si>
    <t>2BKL</t>
  </si>
  <si>
    <t>Xóm 9 Bình Minh, Xã Bình Minh, Tỉnh Ninh Bình T. Ninh Bình Việt Nam</t>
  </si>
  <si>
    <t>2BKX</t>
  </si>
  <si>
    <t>Thửa đất 390-391, tờ bản đồ số 28, thôn Tùy Hối, xã Gia Vân, T. Ninh Bình Việt Nam</t>
  </si>
  <si>
    <t>2BLB</t>
  </si>
  <si>
    <t>Thửa đất 126A, tờ bản đồ số 13, Thôn Lâm Thọ, Xã Giao Thủy, T. Ninh Bình Việt Nam</t>
  </si>
  <si>
    <t>2BLN</t>
  </si>
  <si>
    <t>Thửa đất sô 680, tờ bản đồ số 4, Xóm 3 Đông Sơn, Xã Yên Mạc, T. Ninh Bình Việt Nam</t>
  </si>
  <si>
    <t>2BMA</t>
  </si>
  <si>
    <t>Thửa đất số 1278-1315 TBĐ số 6a, Đ. QL 12B, Thôn Sào Lâm, T. Ninh Bình Việt Nam</t>
  </si>
  <si>
    <t>2BMP</t>
  </si>
  <si>
    <t>Thửa đất số 68-69, tờ bản đồ số 69-13, tổ dân phố Xuân, phường Đông Hoa Lư, T. Ninh Bình Việt Nam</t>
  </si>
  <si>
    <t>Lô 9, cụm công nghiệp Nam Thanh Ba, Xã Liên Minh, T. Phú Thọ Việt Nam</t>
  </si>
  <si>
    <t>2AJJ</t>
  </si>
  <si>
    <t>WM+ PTO 439 Tiên Dung</t>
  </si>
  <si>
    <t>Số Nhà 439, Phố Tiên Dung, Khu Tiên Phú, Phường Tiên Cát, T. Phú Thọ Việt Nam</t>
  </si>
  <si>
    <t>2BBO</t>
  </si>
  <si>
    <t>Khu 2, Xã Xuân Lũng, Tỉnh Phú Thọ T. Phú Thọ Việt Nam</t>
  </si>
  <si>
    <t>2BIB</t>
  </si>
  <si>
    <t>Khu Nương Sơn, Xã Vân Bán, Tỉnh Phú Thọ T. Phú Thọ Việt Nam</t>
  </si>
  <si>
    <t>2BIZ</t>
  </si>
  <si>
    <t>Khu 4, Xã Hoàng Cương, Tỉnh Phú Thọ T. Phú Thọ Việt Nam</t>
  </si>
  <si>
    <t>2BPR</t>
  </si>
  <si>
    <t>Thôn Nhật Chiêu 4, Xã Liên Châu, Tỉnh Phú Thọ T. Phú Thọ Việt Nam</t>
  </si>
  <si>
    <t>2BZ8</t>
  </si>
  <si>
    <t>Khu 6 Hương Xạ, Xã Yên Kỳ, T. Phú Thọ Việt Nam</t>
  </si>
  <si>
    <t>2BMV</t>
  </si>
  <si>
    <t>Số 874 Nguyễn Bình, Phường Đông Triều, T. Quảng Ninh Việt Nam</t>
  </si>
  <si>
    <t>2BOG</t>
  </si>
  <si>
    <t>Số 436, Khu Xuân Viên 3, Phường Mạo Khê, Tỉnh Quảng Ninh T. Quảng Ninh Việt Nam</t>
  </si>
  <si>
    <t>2BOV</t>
  </si>
  <si>
    <t>Số 168, Đường Trường Chinh, Tổ 7A, Phường Bắc Kạn, T. Thái Nguyên Việt Nam</t>
  </si>
  <si>
    <t>6911</t>
  </si>
  <si>
    <t>WM+ TNN 43 Minh Cầu</t>
  </si>
  <si>
    <t>Số nhà 43 Đường Minh Cầu, Phường Phan Đình Phùng, TP. Thái Nguyên T. Thái Nguyên Việt Nam</t>
  </si>
  <si>
    <t>2AHA</t>
  </si>
  <si>
    <t>WM+ THA HH9-51 Vinhomes Star City</t>
  </si>
  <si>
    <t>HH9-51, Dự án số 1 Khu đô thị trung tâm thành phố Thanh Hoá, T. Thanh Hóa Việt Nam</t>
  </si>
  <si>
    <t>4308</t>
  </si>
  <si>
    <t>WM+ THA 168 Thành Thái</t>
  </si>
  <si>
    <t>168 Thành Thái, Phường Đông Thọ, Thành phố Thanh Hóa, T. Thanh Hóa Việt Nam</t>
  </si>
  <si>
    <t>2AMI</t>
  </si>
  <si>
    <t>Số 102, Đường ĐH-HH16, Thôn Hải Phúc 2, Xã Hoằng Châu, T. Thanh Hóa Việt Nam</t>
  </si>
  <si>
    <t>2AZH</t>
  </si>
  <si>
    <t>WM+ THA 148-150 Bạch Đằng</t>
  </si>
  <si>
    <t>Số 148-150 Đường Bạch Đằng, Phường Quảng Hưng, TP. Thanh Hóa T. Thanh Hóa Việt Nam</t>
  </si>
  <si>
    <t>2BEF</t>
  </si>
  <si>
    <t>Số 760, Thôn Yên Định, Xã Định Tân, Tỉnh Thanh Hóa T. Thanh Hóa Việt Nam</t>
  </si>
  <si>
    <t>2BFD</t>
  </si>
  <si>
    <t>Đường 217, Xã Tây Đô, Tỉnh Thanh Hóa T. Thanh Hóa Việt Nam</t>
  </si>
  <si>
    <t>2BLL</t>
  </si>
  <si>
    <t>Thửa đất số 1416, TBĐ số 02, Thôn Thắng, T. Thanh Hóa Việt Nam</t>
  </si>
  <si>
    <t>2BMK</t>
  </si>
  <si>
    <t>Thôn Chiềng Đông, Xã Cẩm Thạch, Tỉnh Thanh Hóa T. Thanh Hóa Việt Nam</t>
  </si>
  <si>
    <t>2ARY</t>
  </si>
  <si>
    <t>WM+ HNI 18 Ngõ 66 Dịch Vọng Hậu</t>
  </si>
  <si>
    <t>Số 18, Ngõ 66 Dịch Vọng Hậu, Tổ 27, Phường Dịch Vọng Hậu, Quận Cầu Giấy TP. Hà Nội Việt Nam</t>
  </si>
  <si>
    <t>2BDV</t>
  </si>
  <si>
    <t>N06, BT 08, Khu đô thị mới tại lô đất N1+N3 KĐT Quốc Oai, TP. Hà Nội Việt Nam</t>
  </si>
  <si>
    <t>2BKI</t>
  </si>
  <si>
    <t>Số 20, Thôn Phúc Hòa 1, Xã Phúc Thọ, TP. Hà Nội Việt Nam</t>
  </si>
  <si>
    <t>2BKJ</t>
  </si>
  <si>
    <t>Xóm 3 Cổ Điển, Xã Vĩnh Thanh, Thành phố Hà Nội TP. Hà Nội Việt Nam</t>
  </si>
  <si>
    <t>2BLE</t>
  </si>
  <si>
    <t>Thôn Đình Vỹ, Xã Phù Đổng, Thành phố Hà Nội TP. Hà Nội Việt Nam</t>
  </si>
  <si>
    <t>2BLT</t>
  </si>
  <si>
    <t>Thôn Khê Ngoại 3, Xã Mê Linh, TP. Hà Nội Việt Nam</t>
  </si>
  <si>
    <t>2BMH</t>
  </si>
  <si>
    <t>Thôn Kính Nỗ, Xã Thư Lâm, Thành phố Hà Nội TP. Hà Nội Việt Nam</t>
  </si>
  <si>
    <t>2BMF</t>
  </si>
  <si>
    <t>Thôn Gia Thượng 2, Xã Quang Minh, Thành phố Hà Nội TP. Hà Nội Việt Nam</t>
  </si>
  <si>
    <t>2BML</t>
  </si>
  <si>
    <t>Thôn Cổ Điển, Xã Vĩnh Thanh, Thành phố Hà Nội TP. Hà Nội Việt Nam</t>
  </si>
  <si>
    <t>2BNG</t>
  </si>
  <si>
    <t>Số nhà 113 Đường Di Trạch, Thôn Đa, Xã Hoài Đức, TP. Hà Nội Việt Nam</t>
  </si>
  <si>
    <t>2BOF</t>
  </si>
  <si>
    <t>Số 201-203, Thôn Thọ Vực, Xã Hòa Xá, Thành phố Hà Nội TP. Hà Nội Việt Nam</t>
  </si>
  <si>
    <t>2BP9</t>
  </si>
  <si>
    <t>Lô L1-02B, Tầng L1, Tòa 27A1, TTTM Vincom Plaza Bắc Từ Liêm, KĐT TP Giao lưu, 234 Phạm Văn Đồng, Phường Phú Diễn, TP. Hà Nội Việt Nam</t>
  </si>
  <si>
    <t>Lô CN4.1L, Khu Công Nghiệp Đình Vũ, thuộc Khu Kinh Tế Đình Vũ- Cát Hải, P. Đông Hải 2 TP. Hải Phòng Việt Nam</t>
  </si>
  <si>
    <t>2914</t>
  </si>
  <si>
    <t>WM+ HPG 73 Cát Dài</t>
  </si>
  <si>
    <t>73B Phố Hai Bà Trưng (Cát Dài, cũ), P. Cát Dài, Quận Lê Chân, TP. Hải Phòng Việt Nam</t>
  </si>
  <si>
    <t>5565</t>
  </si>
  <si>
    <t>WM+ HPG 15 Lô L2, KĐT PG An Đồng</t>
  </si>
  <si>
    <t>Số 15 Lô L2, Khu đô thị PG An Đồng, H. An Dương, TP. Hải Phòng Việt Nam</t>
  </si>
  <si>
    <t>2AOD</t>
  </si>
  <si>
    <t>WM+ HPG 18 Trần Quang Khải</t>
  </si>
  <si>
    <t>Số 18 Đường Trần Quang Khải, Phường Hoàng Văn Thụ, Q. Hồng Bàng TP. Hải Phòng Việt Nam</t>
  </si>
  <si>
    <t>4567</t>
  </si>
  <si>
    <t>WM+ HPG 60 Văn Cao</t>
  </si>
  <si>
    <t>60 Văn Cao, Phường Đằng Giang, Quận Ngô Quyền, TP. Hải Phòng Việt Nam</t>
  </si>
  <si>
    <t>2BDC</t>
  </si>
  <si>
    <t>Thôn 1, Xã Cẩm Giàng, Thành phố Hải Phòng TP. Hải Phòng Việt Nam</t>
  </si>
  <si>
    <t>2BDK</t>
  </si>
  <si>
    <t>Thôn An Thung, Xã Quyết Thắng, Thành phố Hải Phòng TP. Hải Phòng Việt Nam</t>
  </si>
  <si>
    <t>2BGP</t>
  </si>
  <si>
    <t>Số 79 Nguyễn Lương Bằng, Tổ dân phố Trần Phú 1, TP. Hải Phòng Việt Nam</t>
  </si>
  <si>
    <t>2BJX</t>
  </si>
  <si>
    <t>Thôn An Lương, Xã An Phú, Thành phố Hải Phòng TP. Hải Phòng Việt Nam</t>
  </si>
  <si>
    <t>2BMM</t>
  </si>
  <si>
    <t>Thôn An Cư, Xã Trường Tân, Thành phố Hải Phòng TP. Hải Phòng Việt Nam</t>
  </si>
  <si>
    <t>5399</t>
  </si>
  <si>
    <t>WM+ HPG 273 Tô Hiệu</t>
  </si>
  <si>
    <t>273 Tô Hiệu, Phường Hồ Nam, Quận Lê Chân, TP. Hải Phòng Việt Nam</t>
  </si>
  <si>
    <t>5655</t>
  </si>
  <si>
    <t>WM+ HTH 348 Hà Huy Tập</t>
  </si>
  <si>
    <t>348 Hà Huy Tập, phường Hà Huy Tập, TP Hà Tĩnh, Ttỉnh Hà Tĩnh Việt Nam</t>
  </si>
  <si>
    <t>2B78</t>
  </si>
  <si>
    <t>WM+ HTH 340 Nguyễn Ái Quốc</t>
  </si>
  <si>
    <t>Số nhà 340 Đường Nguyễn Ái Quốc, Phường Bắc Hồng Lĩnh, Tỉnh Hà Tĩnh Việt Nam</t>
  </si>
  <si>
    <t>2BCT</t>
  </si>
  <si>
    <t>Số 199 Bồ Đề, Phường Bồ Đề, Thành phố Hà Nội TP. Hà Nội Việt Nam</t>
  </si>
  <si>
    <t>4880</t>
  </si>
  <si>
    <t>WM+ HYN Thôn Bến, Văn Giang</t>
  </si>
  <si>
    <t>Thôn Bến, Khu Dịch vụ, Xã Phụng Công, Huyện Văn Giang, T. Hưng Yên Việt Nam</t>
  </si>
  <si>
    <t>2AWB</t>
  </si>
  <si>
    <t>WM+ TNN 219 Trường Chinh</t>
  </si>
  <si>
    <t>Số 219 Trường Chinh, TDP Trường Thịnh, Phường Nam Tiến, Thành phố Phổ Yên, Tỉnh Thái Nguyên T. Thái Nguyên Việt Nam</t>
  </si>
  <si>
    <t>2BGS</t>
  </si>
  <si>
    <t>Thôn Dụ Nghĩa, Phường An Phong, Thành phố Hải Phòng TP. Hải Phòng Việt Nam</t>
  </si>
  <si>
    <t>2BHH</t>
  </si>
  <si>
    <t>Tầng 1, Căn hộ SAP.A05, Tòa Diamond – The Matrix One, TP. Hà Nội Việt Nam</t>
  </si>
  <si>
    <t>2BK0</t>
  </si>
  <si>
    <t>KKiot 5HC + Kiot 16, Tầng 1, Chung cư Học viện Hậu Cần, Tổ 29 Cụm Ngọc Thụy, Phường Bồ Đề, TP. Hà Nội Việt Nam</t>
  </si>
  <si>
    <t>5886</t>
  </si>
  <si>
    <t>WM+ HDG 223 Trần Hưng Đạo</t>
  </si>
  <si>
    <t>223 Trần Hưng Đạo, Phường An Lưu Thị Xã Kinh Môn, T. Hải Dương Việt Nam</t>
  </si>
  <si>
    <t>Mã Barcode</t>
  </si>
  <si>
    <t>Nhóm hàng</t>
  </si>
  <si>
    <t>Nhóm sản phẩm</t>
  </si>
  <si>
    <t>Cost center</t>
  </si>
  <si>
    <t>Tên</t>
  </si>
  <si>
    <t>MSG</t>
  </si>
  <si>
    <t>B_77BDBM</t>
  </si>
  <si>
    <t>B_78BDBF</t>
  </si>
  <si>
    <t>B_107BDB</t>
  </si>
  <si>
    <t>B_157DB1</t>
  </si>
  <si>
    <t>B126BDBM</t>
  </si>
  <si>
    <t>B127BDBF</t>
  </si>
  <si>
    <t>B129BDBN</t>
  </si>
  <si>
    <t>B_156DB2</t>
  </si>
  <si>
    <t>B156NB3M</t>
  </si>
  <si>
    <t>B157NB3F</t>
  </si>
  <si>
    <t>B158NB3N</t>
  </si>
  <si>
    <t>DS - ĐV</t>
  </si>
  <si>
    <t>OEM - DS - ĐV</t>
  </si>
  <si>
    <t>MSG - DS - NK - ĐV</t>
  </si>
  <si>
    <t>Xúc xích Romas Light (50g) 500g</t>
  </si>
  <si>
    <t>Food Đức Việt</t>
  </si>
  <si>
    <t>2150295</t>
  </si>
  <si>
    <t>Xúc xích Romas Light (62g) 500g</t>
  </si>
  <si>
    <t>2149882</t>
  </si>
  <si>
    <t>Chả giò da xốp nhân thịt 300g</t>
  </si>
  <si>
    <t>2149883</t>
  </si>
  <si>
    <t>Chả giò da xốp hải sản 300g</t>
  </si>
  <si>
    <t>1108036</t>
  </si>
  <si>
    <t>Rong biển giòn trộn khô gà 100g * 30EA (HD)</t>
  </si>
  <si>
    <t>Food Daesang</t>
  </si>
  <si>
    <t>O'food chả giò da xốp nhân thịt 300g</t>
  </si>
  <si>
    <t>O'food chả giò da xốp hải sản 300g</t>
  </si>
  <si>
    <t>1108084</t>
  </si>
  <si>
    <t>Bánh gạo Hàn Quốc 30g (Micoem)</t>
  </si>
  <si>
    <t>2146426</t>
  </si>
  <si>
    <t>Bánh bao bò nướng Bulgogi 200g * 20EA</t>
  </si>
  <si>
    <t>2146431</t>
  </si>
  <si>
    <t>Sủi cảo nhân thịt heo rau củ 450g * 24EA</t>
  </si>
  <si>
    <t>1107847</t>
  </si>
  <si>
    <t>Tteokbokki Hàn Quốc Mix vị Tân Việt - XK Ba Lan (gói) 140g *32EA</t>
  </si>
  <si>
    <t>1107889</t>
  </si>
  <si>
    <t>Sốt Tokpokki vị chua ngọt 120g * 40EA</t>
  </si>
  <si>
    <t>1107789</t>
  </si>
  <si>
    <t>Bánh gạo Hàn Quốc ABWF (gói) 200g * 40EA (HD)</t>
  </si>
  <si>
    <t>1108000</t>
  </si>
  <si>
    <t>Kim Slice cắt nhỏ tẩm dầu 40% - 1kg *10 EA (HD)</t>
  </si>
  <si>
    <t>1024873</t>
  </si>
  <si>
    <t>MSG 50LBS S</t>
  </si>
  <si>
    <t>1023269</t>
  </si>
  <si>
    <t>Mì chính (LM) 25Kg*1EA</t>
  </si>
  <si>
    <t>1022431</t>
  </si>
  <si>
    <t>Mì chính (S) 907kg*1EA DEKO</t>
  </si>
  <si>
    <t>1100093</t>
  </si>
  <si>
    <t>Nước tương lên men 20L</t>
  </si>
  <si>
    <t>2041981</t>
  </si>
  <si>
    <t>Dầu Ngô 18L*1EA</t>
  </si>
  <si>
    <t>Food Nhập Khẩu</t>
  </si>
  <si>
    <t>1025426</t>
  </si>
  <si>
    <t>Rong biển Tosirac 16.5kg*1EA (HD)</t>
  </si>
  <si>
    <t>1025398</t>
  </si>
  <si>
    <t>Rong biển Tosirac 16,5kg (HD)</t>
  </si>
  <si>
    <t>1025425</t>
  </si>
  <si>
    <t>Rong biển Dry Kim 16kg ( HD)</t>
  </si>
  <si>
    <t>1106190</t>
  </si>
  <si>
    <t>Miến khoai lang Dẹt 14kg HD</t>
  </si>
  <si>
    <t>1106608</t>
  </si>
  <si>
    <t>Bột chiên giòn B2B 10kg *2EA (HD)</t>
  </si>
  <si>
    <t>1014833</t>
  </si>
  <si>
    <t>Hạt nêm Horeca 10kg*2EA</t>
  </si>
  <si>
    <t>1007282</t>
  </si>
  <si>
    <t>Xốt ướp thịt Bulgogi 10Kg*1EA</t>
  </si>
  <si>
    <t>1106772</t>
  </si>
  <si>
    <t>Bột chiên giòn Pulmuone 10kg * 2EA (HD)</t>
  </si>
  <si>
    <t>1106773</t>
  </si>
  <si>
    <t>Bột bánh xèo Pulmuone 10kg * 2EA (HD)</t>
  </si>
  <si>
    <t>1025234</t>
  </si>
  <si>
    <t>Bột chiên Beta Mix 10Kg*2EA (HD)</t>
  </si>
  <si>
    <t>1106017</t>
  </si>
  <si>
    <t>Bột chiên giòn JW 10kg*2EA (HD)</t>
  </si>
  <si>
    <t>1105795</t>
  </si>
  <si>
    <t>Bột chiên giòn F-ONE 10kg*2EA (HD)</t>
  </si>
  <si>
    <t>1025885</t>
  </si>
  <si>
    <t>Bột Hottoek 10kg*2EA (HD)</t>
  </si>
  <si>
    <t>1025886</t>
  </si>
  <si>
    <t>Bột bánh xèo 10kg*2EA(HD)</t>
  </si>
  <si>
    <t>1014979</t>
  </si>
  <si>
    <t>Hạt nêm Horeca 5kg*4EA</t>
  </si>
  <si>
    <t>1100062</t>
  </si>
  <si>
    <t>Hạt nêm catering 5Kg * 4EA</t>
  </si>
  <si>
    <t>1100072</t>
  </si>
  <si>
    <t>Bột chiên catering 5Kg * 4EA</t>
  </si>
  <si>
    <t>1016190</t>
  </si>
  <si>
    <t>Nước tương Hoàng Kim hảo vị 5L*2BT</t>
  </si>
  <si>
    <t>1023238</t>
  </si>
  <si>
    <t>Sốt ngũ vị 5kg*2EA</t>
  </si>
  <si>
    <t>1107217</t>
  </si>
  <si>
    <t>Sốt ướp thịt vị truyền thống VNB 5kg * 2EA (HD)</t>
  </si>
  <si>
    <t>1107299</t>
  </si>
  <si>
    <t>Bột tảo biển 35mesh 5kg * 5EA (HD)</t>
  </si>
  <si>
    <t>1025074</t>
  </si>
  <si>
    <t>Bột tảo biển 3mm 5kg * 5EA (HD)</t>
  </si>
  <si>
    <t>1106409</t>
  </si>
  <si>
    <t>Bột ớt 5kg *1EA (HD)</t>
  </si>
  <si>
    <t>2142649</t>
  </si>
  <si>
    <t>Bột ớt 5kg*1EA (HD)</t>
  </si>
  <si>
    <t>1107710</t>
  </si>
  <si>
    <t>Tokpokki Hàn Quốc vị Phô Mai Không Cay xuất khẩu Nga (gói) 140g * 24EA (HD)</t>
  </si>
  <si>
    <t>1107709</t>
  </si>
  <si>
    <t>Tokpokki Hàn Quốc vị Truyền Thống xuất khẩu Nga (gói) 140g * 24EA (HD)</t>
  </si>
  <si>
    <t>1100064</t>
  </si>
  <si>
    <t>Hạt nêm 3Kg * 4EA (Metro)</t>
  </si>
  <si>
    <t>1001379</t>
  </si>
  <si>
    <t>Mì chính(bột ngọt) 3kg*7EA</t>
  </si>
  <si>
    <t>1107708</t>
  </si>
  <si>
    <t>Tokpokki Hàn Quốc vị BBQ xuất khẩu Nga (hộp) 105g * 24EA (HD)</t>
  </si>
  <si>
    <t>1015575</t>
  </si>
  <si>
    <t>Bột chiên xù catering 2.5kgr*4EA*</t>
  </si>
  <si>
    <t>1100078</t>
  </si>
  <si>
    <t>Bột chiên xù catering 2.5Kg * 4EA</t>
  </si>
  <si>
    <t>1014832</t>
  </si>
  <si>
    <t>Hạt nêm 2kg*6EA</t>
  </si>
  <si>
    <t>1015409</t>
  </si>
  <si>
    <t>Hạt nêm horeca 2kg*6EA</t>
  </si>
  <si>
    <t>1024040</t>
  </si>
  <si>
    <t>Rong biển giòn trộn gia vị 2kg*8EA new (HD)</t>
  </si>
  <si>
    <t>1100134</t>
  </si>
  <si>
    <t>Hạt nêm 2Kg * 10EA</t>
  </si>
  <si>
    <t>1023059</t>
  </si>
  <si>
    <t>Sốt phô mai ớt 2kg*4EA</t>
  </si>
  <si>
    <t>1014977</t>
  </si>
  <si>
    <t>Nước mắm Ngon &amp; Sạch 1,9L*6BT</t>
  </si>
  <si>
    <t>1015017</t>
  </si>
  <si>
    <t>Nước tương đậu nành vàng 1,9L*6BT</t>
  </si>
  <si>
    <t>1016007</t>
  </si>
  <si>
    <t>Nước tương Hoàng Kim hảo vị 1.9L*6BT</t>
  </si>
  <si>
    <t>1017940</t>
  </si>
  <si>
    <t>Bio Miwon B2 1.6kg*6ea(LT)</t>
  </si>
  <si>
    <t>1107707</t>
  </si>
  <si>
    <t>Tokpokki Hàn Quốc vị Chua Ngọt xuất khẩu Nga (hộp) 105g * 24EA (HD)</t>
  </si>
  <si>
    <t>1107706</t>
  </si>
  <si>
    <t>Tokpokki Hàn Quốc vị Phô Mai Không Cay xuất khẩu Nga (hộp) 105g * 24EA (HD)</t>
  </si>
  <si>
    <t>1107705</t>
  </si>
  <si>
    <t>Tokpokki Hàn Quốc vị Truyền Thống xuất khẩu Nga (hộp) 105g * 24EA (HD)</t>
  </si>
  <si>
    <t>1018364</t>
  </si>
  <si>
    <t>Nước chấm Hải Ngư 650ml Lốc 2 Km Hải ngư 650ml (4 Lốc)</t>
  </si>
  <si>
    <t>1106395</t>
  </si>
  <si>
    <t>Rong biển cuộn cơm 20g * 64EA GO (HD )</t>
  </si>
  <si>
    <t>1107364</t>
  </si>
  <si>
    <t>RONG BIỂN CẮT LÁT (KIM SLICE) 2 ~ 3mm 1kg * 10EA (HD)</t>
  </si>
  <si>
    <t>1106713</t>
  </si>
  <si>
    <t>Lá kim cắt (slice) tẩm gia vị 1kg * 10EA (HD)</t>
  </si>
  <si>
    <t>1020159</t>
  </si>
  <si>
    <t>Bột chiên xù 1kg*8EA</t>
  </si>
  <si>
    <t>1021842</t>
  </si>
  <si>
    <t>Bột chiên xù  1kg*8EA (HD)</t>
  </si>
  <si>
    <t>1015845</t>
  </si>
  <si>
    <t>Nước mắm ngon &amp; sạch 500ml Lốc 2 Km nước mắm 500ml (8 Lốc)</t>
  </si>
  <si>
    <t>1100063</t>
  </si>
  <si>
    <t>Hạt nêm 1Kg * 10EA (Metro)</t>
  </si>
  <si>
    <t>1100071</t>
  </si>
  <si>
    <t>Bột chiên 1Kg * 12EA (Metro)</t>
  </si>
  <si>
    <t>1106792</t>
  </si>
  <si>
    <t>Bánh gạo Hàn Quốc Cholimex (gói) 1kg *10EA (HD)</t>
  </si>
  <si>
    <t>1100086</t>
  </si>
  <si>
    <t>Hải ngư cá ngừ 500ml Lốc 2 Km Hải ngư 500ml (8 Lốc)</t>
  </si>
  <si>
    <t>1100088</t>
  </si>
  <si>
    <t>Hải ngư cá ngừ 500ml Lốc 2 KM đĩa (10 Lốc)</t>
  </si>
  <si>
    <t>1100162</t>
  </si>
  <si>
    <t>Bột chiên 500g Lốc 2 KM Hạt nêm 200g (8 Lốc)</t>
  </si>
  <si>
    <t>1100235</t>
  </si>
  <si>
    <t>Nước mắm hải ngư 500ml lốc 2 KM Mì chính (M) 180g (20set)</t>
  </si>
  <si>
    <t>1100252</t>
  </si>
  <si>
    <t>Bột chiên 500g Lốc 2 KM MSg (M)100g (8 Lốc)</t>
  </si>
  <si>
    <t>1015846</t>
  </si>
  <si>
    <t>Nước tương đậu nành vàng 500ml Lốc 2 Km nước tương 500ml (8 Lốc)</t>
  </si>
  <si>
    <t>1015921</t>
  </si>
  <si>
    <t>Nước mắm ngon &amp; Sạch 500ml Lốc 2 KM tặng kèm 1 đĩa Thủy Tinh (10 lốc )</t>
  </si>
  <si>
    <t>1015922</t>
  </si>
  <si>
    <t>Nước tương đậu nành vàng 500ml Lốc 2 Km tặng kèm 1 Đĩa Thủy Tinh (10 Lốc )</t>
  </si>
  <si>
    <t>1017727</t>
  </si>
  <si>
    <t>Bột năng đa dụng 1kg*10 EA</t>
  </si>
  <si>
    <t>1022925</t>
  </si>
  <si>
    <t>Rong biển cắt lát (Kim slice) 1kg*10ea (HD)</t>
  </si>
  <si>
    <t>1106604</t>
  </si>
  <si>
    <t>Lá kim xay nhỏ tẩm gia vị 1kg * 10EA (HD)</t>
  </si>
  <si>
    <t>1107308</t>
  </si>
  <si>
    <t>Bột tảo biển 35mesh 1kg * 10EA (HD)</t>
  </si>
  <si>
    <t>1025259</t>
  </si>
  <si>
    <t>Bánh gạo cắt lát Hàn Quốc 1kg * 12EA (HD)</t>
  </si>
  <si>
    <t>1025047</t>
  </si>
  <si>
    <t>Bánh gạo Hàn Quốc 1kg*12EA (HD)</t>
  </si>
  <si>
    <t>1105993</t>
  </si>
  <si>
    <t>Set Tết B2C Mega 2024 HD</t>
  </si>
  <si>
    <t>OEM</t>
  </si>
  <si>
    <t>1105992</t>
  </si>
  <si>
    <t>Set Tết B2C Sốt 2024 HD</t>
  </si>
  <si>
    <t>1025889</t>
  </si>
  <si>
    <t>Tteokbokki Hàn Quốc vị truyền thống xuất khẩu Nhật Bản (gói) 140g *10EA (HD) mới</t>
  </si>
  <si>
    <t>1025890</t>
  </si>
  <si>
    <t>Tteokbokki Hàn Quốc vị phô mai xuất khẩu Nhật Bản (gói) 140g *10EA (HD) mới</t>
  </si>
  <si>
    <t>1025210</t>
  </si>
  <si>
    <t>Bánh gạo Hàn Quốc xuất khẩu Nhật Bản 1Kg*10EA</t>
  </si>
  <si>
    <t>1002199</t>
  </si>
  <si>
    <t>Mì chính(bột ngọt) vị ngọt đậm 1kg*20EA</t>
  </si>
  <si>
    <t>2010094</t>
  </si>
  <si>
    <t>Miến khoai lang truyền thống 1kg*10EA</t>
  </si>
  <si>
    <t>1019217</t>
  </si>
  <si>
    <t>Bột năng đa dụng 1kg*10EA (VT)</t>
  </si>
  <si>
    <t>2145734</t>
  </si>
  <si>
    <t>Giò lụa Đức Việt 1000g</t>
  </si>
  <si>
    <t>2146501</t>
  </si>
  <si>
    <t>Xúc xích Gà Vàng 1000g * 10EA ( new)</t>
  </si>
  <si>
    <t>1100152</t>
  </si>
  <si>
    <t>Bột canh hoàn hảo 190g Lốc 5 KM Bột canh hoàn hảo 190g (8 Lốc)</t>
  </si>
  <si>
    <t>1100251</t>
  </si>
  <si>
    <t>Bột canh hoàn hảo 190g Lốc 5 KMgVHH tẩm khô chiên giòn (10 Lốc)</t>
  </si>
  <si>
    <t>1014428</t>
  </si>
  <si>
    <t>Hạt nêm 450g Lốc 2 KM  mì chính (L) 180g (12 Lốc)</t>
  </si>
  <si>
    <t>1014432</t>
  </si>
  <si>
    <t>Hạt nêm 900g KM Mì chính (L) 180g (12 Lốc)</t>
  </si>
  <si>
    <t>1100056</t>
  </si>
  <si>
    <t>Hạt nêm 450g Lốc 2 KM  đĩa (12 Lốc)</t>
  </si>
  <si>
    <t>1100058</t>
  </si>
  <si>
    <t>Hạt nêm 900g * 12EA</t>
  </si>
  <si>
    <t>1100059</t>
  </si>
  <si>
    <t>Hạt nêm 900g * 12EA (Big C)</t>
  </si>
  <si>
    <t>1100060</t>
  </si>
  <si>
    <t>Hạt nêm 900g KM đĩa (12 Lốc)</t>
  </si>
  <si>
    <t>1100061</t>
  </si>
  <si>
    <t>Hạt nêm 900g * 12EA (Metro)</t>
  </si>
  <si>
    <t>1100139</t>
  </si>
  <si>
    <t>Hạt nêm 450g Lốc 2 KM bát (12 Lốc)</t>
  </si>
  <si>
    <t>1100140</t>
  </si>
  <si>
    <t>Hạt nêm 900g KM bát (12 Lốc)</t>
  </si>
  <si>
    <t>1020154</t>
  </si>
  <si>
    <t>Hạt nêm từ thịt 900g*8EA Lốc 1 KM 1 bát sứ</t>
  </si>
  <si>
    <t>1100161</t>
  </si>
  <si>
    <t>Hạt nêm 450g Lốc  2 KM hạt nêm 450g (8 Lốc)</t>
  </si>
  <si>
    <t>1100163</t>
  </si>
  <si>
    <t>Hạt nêm 900g KM Hạt nêm 200g (10 Lốc)</t>
  </si>
  <si>
    <t>1100227</t>
  </si>
  <si>
    <t>Hạt nêm  900g KM nêm 450g (12 Lốc)</t>
  </si>
  <si>
    <t>1100230</t>
  </si>
  <si>
    <t>Hạt nêm 900g KM hạt nêm 200g (8 Lốc)</t>
  </si>
  <si>
    <t>1100231</t>
  </si>
  <si>
    <t>Hạt nêm 900g KM  Mì chính (M)180g (12 Lốc)</t>
  </si>
  <si>
    <t>1020789</t>
  </si>
  <si>
    <t>Hạt nêm từ thịt 900g KM 01 bát tô sứ hoa (Siêu thị) (8 Lốc)</t>
  </si>
  <si>
    <t>1100247</t>
  </si>
  <si>
    <t>Hạt nêm 450g Lốc 2 KM  Mì chính (M) 180g (12 Lốc)</t>
  </si>
  <si>
    <t>1016514</t>
  </si>
  <si>
    <t>Hạt nêm 900g*12EA KM tạp dề</t>
  </si>
  <si>
    <t>1105594</t>
  </si>
  <si>
    <t>Hạt nêm từ thịt 900g KM 01 bộ gia vị (8 Lốc) HD</t>
  </si>
  <si>
    <t>1021565</t>
  </si>
  <si>
    <t>Hạt nêm từ thịt 900g KM 01 đĩa sứ (Đại lý) 12 lốc</t>
  </si>
  <si>
    <t>2147005</t>
  </si>
  <si>
    <t>Bánh bao chay trắng 900g * 8EA</t>
  </si>
  <si>
    <t>1020785</t>
  </si>
  <si>
    <t>Hạt nêm từ thịt 400g lốc 2 KM 01 bát tô sứ hoa (Siêu thị) (9 Lốc)</t>
  </si>
  <si>
    <t>1017453</t>
  </si>
  <si>
    <t>Bio Miwon B2 800g*12(EA)</t>
  </si>
  <si>
    <t>1019662</t>
  </si>
  <si>
    <t>Bio Miwon (B2) 800g*12EA KM 01 Tạp dề</t>
  </si>
  <si>
    <t>1019661</t>
  </si>
  <si>
    <t>Bio Miwon (B1) 800g*12EA KM 01 Tạp dề</t>
  </si>
  <si>
    <t>1017466</t>
  </si>
  <si>
    <t>Bio Miwon L 800g*12 EA (LT)</t>
  </si>
  <si>
    <t>1017467</t>
  </si>
  <si>
    <t>Bio Miwon M 800g*12 EA (LT)</t>
  </si>
  <si>
    <t>1017070</t>
  </si>
  <si>
    <t>Bio Miwon B2 800g*12EA</t>
  </si>
  <si>
    <t>1021931</t>
  </si>
  <si>
    <t>Bánh gạo 80g*10EA (HD)</t>
  </si>
  <si>
    <t>1019663</t>
  </si>
  <si>
    <t>Hạt nêm từ thịt 400g*9EA Lốc 2 KM 1 bát sứ</t>
  </si>
  <si>
    <t>1018770</t>
  </si>
  <si>
    <t>Hạt nêm từ thịt 400g Lốc 2 KM 1 hộp nhựa Lock&amp;lock</t>
  </si>
  <si>
    <t>1105593</t>
  </si>
  <si>
    <t>Hạt nêm từ thịt 400g lốc 2 KM 01 bộ gia vị (8 Lốc) HD</t>
  </si>
  <si>
    <t>1019465</t>
  </si>
  <si>
    <t>Hạt nêm từ thịt bổ sung xương và tủy 400g Lốc  2 KM hạt nêm 400g( 8Lốc)</t>
  </si>
  <si>
    <t>1021557</t>
  </si>
  <si>
    <t>Hạt nêm từ thịt 400g lốc 2 KM 01 đĩa sứ (Đại lý) 12 lốc</t>
  </si>
  <si>
    <t>1105740</t>
  </si>
  <si>
    <t>Sốt lẩu hoàn chỉnh Lẩu Bò 180g Lốc 4 * 10 Lốc (HD)</t>
  </si>
  <si>
    <t>1105741</t>
  </si>
  <si>
    <t>Sốt lẩu hoàn chỉnh Lẩu riêu cua 180g Lốc 4 * 10 Lốc (HD)</t>
  </si>
  <si>
    <t>2014654</t>
  </si>
  <si>
    <t>Mạch nha chai 700g*20EA</t>
  </si>
  <si>
    <t>1016006</t>
  </si>
  <si>
    <t>Nước tương Hoàng Kim hảo vị 650ml*12BT</t>
  </si>
  <si>
    <t>1016822</t>
  </si>
  <si>
    <t>Nước chấm Hải Ngư 650ml*12BT</t>
  </si>
  <si>
    <t>1100149</t>
  </si>
  <si>
    <t>Bột chiên 100g Lốc 6 KM Bột chiên 100g (14 Lốc)</t>
  </si>
  <si>
    <t>1025390</t>
  </si>
  <si>
    <t>Sốt lẩu hoàn chỉnh 180g lốc 3 gói T/TC/KC KM hộp nhựa (16 lốc) HD</t>
  </si>
  <si>
    <t>1014429</t>
  </si>
  <si>
    <t>Bột chiên 500g KM bột chiên 100g (16 Lốc )</t>
  </si>
  <si>
    <t>2146634</t>
  </si>
  <si>
    <t>Xúc xích Romas CL (50g) 500g (2LTĐ)</t>
  </si>
  <si>
    <t>1014450</t>
  </si>
  <si>
    <t>Nước mắm hải ngư 500ml KM bột canh 190g (20set)</t>
  </si>
  <si>
    <t>1014976</t>
  </si>
  <si>
    <t>Nước mắm Ngon &amp; Sạch 500ml lốc 8 (3 lốc)</t>
  </si>
  <si>
    <t>1015015</t>
  </si>
  <si>
    <t>Nước tương đậu nành vàng 500ml lốc 8 (3 lốc)</t>
  </si>
  <si>
    <t>1015242</t>
  </si>
  <si>
    <t>Nước mắm ngon &amp; Sạch 500ml KM N.mắm 200ml(16set)</t>
  </si>
  <si>
    <t>1015293</t>
  </si>
  <si>
    <t>Nước tương đậu nành vàng 500ml KM N.Tương 200ml (16 lốc)</t>
  </si>
  <si>
    <t>1100069</t>
  </si>
  <si>
    <t>Bột chiên 500g * 20EA</t>
  </si>
  <si>
    <t>1100070</t>
  </si>
  <si>
    <t>Bột chiên 500g Lốc 2 (10 Lốc)</t>
  </si>
  <si>
    <t>1100084</t>
  </si>
  <si>
    <t>Hải ngư cá ngừ 500ml Lốc 8 (3 Lốc)</t>
  </si>
  <si>
    <t>1100085</t>
  </si>
  <si>
    <t>Hải ngư cá ngừ 500ml Lốc 6 (4 Lốc)</t>
  </si>
  <si>
    <t>1100087</t>
  </si>
  <si>
    <t>Hải ngư cá ngừ 500ml Lốc 4 (6 Lốc)</t>
  </si>
  <si>
    <t>1100091</t>
  </si>
  <si>
    <t>Nước tương 500ml * 12BT</t>
  </si>
  <si>
    <t>1100092</t>
  </si>
  <si>
    <t>Nước tương 500ml Lốc 2 (6 Lốc)</t>
  </si>
  <si>
    <t>1100125</t>
  </si>
  <si>
    <t>Hải ngư cá ngừ 500ml KM Mì chính (M)100g (15 Lốc)</t>
  </si>
  <si>
    <t>1100145</t>
  </si>
  <si>
    <t>Hải ngư cá ngừ 500ml KM Bột canh 190g (15 Lốc)</t>
  </si>
  <si>
    <t>1100146</t>
  </si>
  <si>
    <t>Hải ngư cá ngừ 500ml KM Hạt nêm 200g (20 Lốc)</t>
  </si>
  <si>
    <t>1100147</t>
  </si>
  <si>
    <t>Nước tương 500ml KM  Bột canh190g (8 Lốc)</t>
  </si>
  <si>
    <t>1100148</t>
  </si>
  <si>
    <t>Bột chiên xù 100g Lốc 5 KM Bột chiên xù 100g (5 Lốc)</t>
  </si>
  <si>
    <t>1100201</t>
  </si>
  <si>
    <t>Hải ngư cá ngừ 500ml  KM  Mì chính(M) 100g (20 Lốc)</t>
  </si>
  <si>
    <t>1100254</t>
  </si>
  <si>
    <t>Hải ngư cá ngừ 500ml Lốc 2 (12 Lốc)</t>
  </si>
  <si>
    <t>1015919</t>
  </si>
  <si>
    <t>Nước mắm ngon &amp; sạch 500ml (Hàng đính kèm)</t>
  </si>
  <si>
    <t>1015920</t>
  </si>
  <si>
    <t>Nước tương đậu nành vàng 500ml (Hàng đính kèm)</t>
  </si>
  <si>
    <t>2028960</t>
  </si>
  <si>
    <t>Nước tương Jin Deasang 500ml*24ea</t>
  </si>
  <si>
    <t>2021449</t>
  </si>
  <si>
    <t>Giấm táo 500ml*24EA (Thương mại)</t>
  </si>
  <si>
    <t>2145777</t>
  </si>
  <si>
    <t>Xúc xích Chicagos 500g (42g)</t>
  </si>
  <si>
    <t>2146422</t>
  </si>
  <si>
    <t>Xúc xích tỏi cục 500g</t>
  </si>
  <si>
    <t>2146424</t>
  </si>
  <si>
    <t>Xúc xích Chicagos (đóng tay)</t>
  </si>
  <si>
    <t>2146432</t>
  </si>
  <si>
    <t>Dọi quế HK 500g</t>
  </si>
  <si>
    <t>2146518</t>
  </si>
  <si>
    <t>Xúc xích Romas CL22 500g * 20EA</t>
  </si>
  <si>
    <t>2146419</t>
  </si>
  <si>
    <t>Xúc xích Mỹ 500g (50)</t>
  </si>
  <si>
    <t>1014836</t>
  </si>
  <si>
    <t>Hạt nêm Horeca (mẫu) 450gr*30EA</t>
  </si>
  <si>
    <t>1100053</t>
  </si>
  <si>
    <t>Hạt nêm 450g * 24EA</t>
  </si>
  <si>
    <t>1100054</t>
  </si>
  <si>
    <t>Hạt nêm 450g * 24EA (Big C)</t>
  </si>
  <si>
    <t>1100055</t>
  </si>
  <si>
    <t>Hạt nêm 450g Lốc 2 (12 Lốc)</t>
  </si>
  <si>
    <t>1100057</t>
  </si>
  <si>
    <t>Hạt nêm 450g Lốc 3 (8 Lốc)</t>
  </si>
  <si>
    <t>1100228</t>
  </si>
  <si>
    <t>Hạt nêm  450g KM nêm 200g (24 Lốc)</t>
  </si>
  <si>
    <t>1100232</t>
  </si>
  <si>
    <t>Hạt nêm 450g KM  Mì chính (L) 100g (24 Lốc)</t>
  </si>
  <si>
    <t>1016512</t>
  </si>
  <si>
    <t>Hạt nêm 450g * 24EA KM tạp dề</t>
  </si>
  <si>
    <t>2146728</t>
  </si>
  <si>
    <t>Xúc xích Sụn nướng Bulgogi 450g (Đ)</t>
  </si>
  <si>
    <t>1106260</t>
  </si>
  <si>
    <t>Tokpokki Hàn Quốc Vị Matcha 140g khuyến mại Lốc (2+1) * 8 Lốc (HD)</t>
  </si>
  <si>
    <t>1106261</t>
  </si>
  <si>
    <t>Tokpokki Hàn Quốc Vị BBQ 140g khuyến mại Lốc (2+1) * 8 Lốc (HD)</t>
  </si>
  <si>
    <t>1106262</t>
  </si>
  <si>
    <t>Tokpokki Hàn Quốc Vị Trái Cây Nhiệt Đới 140g khuyến mại Lốc (2+1) * 8 Lốc (HD)</t>
  </si>
  <si>
    <t>1100156</t>
  </si>
  <si>
    <t>Bột chiên xù 200g Lốc 2 KM Bột chiên xù 200g (8 Lốc)</t>
  </si>
  <si>
    <t>1100248</t>
  </si>
  <si>
    <t>Bột chiên xù 200g Lốc 2 KM Bột chiên xù 100g (8 Lốc)</t>
  </si>
  <si>
    <t>1017726</t>
  </si>
  <si>
    <t>Bột năng đa dụng 400g*24 EA</t>
  </si>
  <si>
    <t>1018769</t>
  </si>
  <si>
    <t>Hạt nêm từ thịt 400g</t>
  </si>
  <si>
    <t>1105486</t>
  </si>
  <si>
    <t>Xốt Tokpokki vị phô mai Hàn Quốc 10g * 400 EA (HD)</t>
  </si>
  <si>
    <t>1019218</t>
  </si>
  <si>
    <t>Bột năng đa dụng 400g*24EA (VT)</t>
  </si>
  <si>
    <t>1021568</t>
  </si>
  <si>
    <t>Hạt nêm từ thịt 400g KM 01 đĩa sứ (Siêu thị) 16 Lốc</t>
  </si>
  <si>
    <t>1105738</t>
  </si>
  <si>
    <t>Sốt Spaghetti Phô mai Kem 120g Lốc 3 * 12 Lốc (HD)</t>
  </si>
  <si>
    <t>1105739</t>
  </si>
  <si>
    <t>Sốt Spaghetti Rose - Kem &amp; cà chua 120g Lốc 3 * 12 Lốc (HD)</t>
  </si>
  <si>
    <t>1105742</t>
  </si>
  <si>
    <t>Sốt Spaghetti Bolognese - Thịt bằm 120g Lốc 3 * 12 Lốc (HD)</t>
  </si>
  <si>
    <t>1106990</t>
  </si>
  <si>
    <t>Sốt Spaghetti Rose - Kem &amp; cà chua 340g Lốc 2 * 10 Lốc (HD)</t>
  </si>
  <si>
    <t>1017450</t>
  </si>
  <si>
    <t>Bio Miwon B2 320g*30(EA)</t>
  </si>
  <si>
    <t>1017464</t>
  </si>
  <si>
    <t>Bio Miwon M 320g*30 EA (LT)</t>
  </si>
  <si>
    <t>1017465</t>
  </si>
  <si>
    <t>Bio Miwon L 320g*30 EA (LT)</t>
  </si>
  <si>
    <t>1017068</t>
  </si>
  <si>
    <t>Bio Miwon B2 320g*30EA</t>
  </si>
  <si>
    <t>1017069</t>
  </si>
  <si>
    <t>Bio Miwon B1 320g*30EA</t>
  </si>
  <si>
    <t>1106257</t>
  </si>
  <si>
    <t>Tokpokki Hàn Quốc Vị Matcha 105g khuyến mại Lốc (2+1) * 8 Lốc (HD)</t>
  </si>
  <si>
    <t>1106258</t>
  </si>
  <si>
    <t>Tokpokki Hàn Quốc Vị BBQ 105g khuyến mại Lốc (2+1) * 8 Lốc (HD)</t>
  </si>
  <si>
    <t>1106259</t>
  </si>
  <si>
    <t>Tokpokki Hàn Quốc Vị Trái Cây Nhiệt Đới 105g khuyến mại Lốc (2+1) * 8 Lốc (HD)</t>
  </si>
  <si>
    <t>1023115</t>
  </si>
  <si>
    <t>Tokpokki Hàn Quốc xuẩ khẩu Nhật Bản hỗn hợp 2 vị (cốc ) 105g lốc 2 *3 EA</t>
  </si>
  <si>
    <t>1016008</t>
  </si>
  <si>
    <t>Nước tương Hoàng Kim hảo vị 300ml*24BT</t>
  </si>
  <si>
    <t>2015500</t>
  </si>
  <si>
    <t>Xốt ướp sườn nướng 280g*20BT</t>
  </si>
  <si>
    <t>2015499</t>
  </si>
  <si>
    <t>Xốt ướp thịt heo (vị cay) 280g *20BT</t>
  </si>
  <si>
    <t>1106558</t>
  </si>
  <si>
    <t>Lá kim cuốn cơm Torisac kim 250g * 14EA (HD)</t>
  </si>
  <si>
    <t>1025743</t>
  </si>
  <si>
    <t>Lá kim cuốn cơm Slice kim 250g * 24EA (HD)</t>
  </si>
  <si>
    <t>1025729</t>
  </si>
  <si>
    <t>Lá kim cuốn cơm Slice kim 250g*40EA (HD)</t>
  </si>
  <si>
    <t>1100089</t>
  </si>
  <si>
    <t>Nước tương 250ml * 24BT</t>
  </si>
  <si>
    <t>1100090</t>
  </si>
  <si>
    <t>Nước tương 250ml Lốc 4 (6 Lốc)</t>
  </si>
  <si>
    <t>1021742</t>
  </si>
  <si>
    <t>Tương ớt tự nhiên cay dịu 250g*20EA (HD)</t>
  </si>
  <si>
    <t>1106336</t>
  </si>
  <si>
    <t>Lá kim cuốn cơm Slice kim 250g * 14EA (HD)</t>
  </si>
  <si>
    <t>2146395</t>
  </si>
  <si>
    <t>Patê gan An Binh 250g</t>
  </si>
  <si>
    <t>1107101</t>
  </si>
  <si>
    <t>Sốt Spaghetti vị Nguyên bản 120g Lốc 2 * 20EA (HD)</t>
  </si>
  <si>
    <t>1107103</t>
  </si>
  <si>
    <t>Sốt Spaghetti Phô mai Kem 120g Lốc 2 * 20EA (HD)</t>
  </si>
  <si>
    <t>1107104</t>
  </si>
  <si>
    <t>Sốt Spaghetti Rose - Kem &amp; Cà chua 120g Lốc 2 * 20EA (HD)</t>
  </si>
  <si>
    <t>1025484</t>
  </si>
  <si>
    <t>Lá kim cuốn cơm 230g*60EA (HD)</t>
  </si>
  <si>
    <t>1023776</t>
  </si>
  <si>
    <t>Bánh gạo Hàn Quốc 220g</t>
  </si>
  <si>
    <t>1014430</t>
  </si>
  <si>
    <t>Bột chiên xù 200g KM bột chiên 100g (20 Lốc)</t>
  </si>
  <si>
    <t>2147196</t>
  </si>
  <si>
    <t>Bánh da xốp nhân táo 200g * 20EA</t>
  </si>
  <si>
    <t>1014598</t>
  </si>
  <si>
    <t>Bột chiên xù 200gr lốc 2 (10 lốc)</t>
  </si>
  <si>
    <t>1014975</t>
  </si>
  <si>
    <t>Nước mắm Ngon &amp; Sạch 200ml*24BT</t>
  </si>
  <si>
    <t>1014978</t>
  </si>
  <si>
    <t>Nước tương đậu nành vàng 200ml*24BT</t>
  </si>
  <si>
    <t>1015572</t>
  </si>
  <si>
    <t>Bột chiên xù 200gr*24EA*</t>
  </si>
  <si>
    <t>1100051</t>
  </si>
  <si>
    <t>Hạt nêm 200g * 60EA</t>
  </si>
  <si>
    <t>1100052</t>
  </si>
  <si>
    <t>Hạt nêm 200g * 60EA (Big C)</t>
  </si>
  <si>
    <t>1100075</t>
  </si>
  <si>
    <t>Bột chiên xù 200g * 24EA</t>
  </si>
  <si>
    <t>1100076</t>
  </si>
  <si>
    <t>Bột chiên xù 200g Lốc 2 (12 Lốc)</t>
  </si>
  <si>
    <t>1100077</t>
  </si>
  <si>
    <t>Bột chiên xù 200g Lốc 3 (8 Lốc)</t>
  </si>
  <si>
    <t>1021363</t>
  </si>
  <si>
    <t>Bột chiên xù 100g Lốc 5 KM đĩa sứ (9 Lốc)</t>
  </si>
  <si>
    <t>1025096</t>
  </si>
  <si>
    <t>Rong biển Dry kim 200g *20EA (HD)</t>
  </si>
  <si>
    <t>1100065</t>
  </si>
  <si>
    <t>Bột canh hoàn hảo 190g * 50EA</t>
  </si>
  <si>
    <t>1100066</t>
  </si>
  <si>
    <t>Bột canh hoàn hảo 190g Lốc 5 (10 Lốc)</t>
  </si>
  <si>
    <t>2147240</t>
  </si>
  <si>
    <t>O'food bánh bao chay 180g * 20EA</t>
  </si>
  <si>
    <t>1100238</t>
  </si>
  <si>
    <t>GVHH thịt kho tầu 30g Lốc 5 KM  Mì chính (M) 100g (40 Lốc)</t>
  </si>
  <si>
    <t>1100239</t>
  </si>
  <si>
    <t>GVHH cá kho riềng 30g Lốc 5 KM  Mì chính (M) 100g (40 Lốc)</t>
  </si>
  <si>
    <t>1022271</t>
  </si>
  <si>
    <t>GVHH thịt kho tầu 30g Lốc 2 KM GVHH thịt kho tầu 30g (50  Lốc) HD</t>
  </si>
  <si>
    <t>1022270</t>
  </si>
  <si>
    <t>GVHH cá kho riềng 30g Lốc 2 KM GVHH cá kho riềng 30g (50 Lốc)HD</t>
  </si>
  <si>
    <t>1100233</t>
  </si>
  <si>
    <t>GVHH thịt kho tầu 30g Lốc 2 KM gVHH  thịt kho tầu (100  Lốc)</t>
  </si>
  <si>
    <t>1100234</t>
  </si>
  <si>
    <t>GVHH cá kho riềng 30g Lốc 2 KM gVHH  cá kho riềng (100  Lốc)</t>
  </si>
  <si>
    <t>1107711</t>
  </si>
  <si>
    <t>Rapokki Hàn Quốc vị Phô Mai xuất khẩu Nga (gói) 146g * 24EA (HD)</t>
  </si>
  <si>
    <t>1106115</t>
  </si>
  <si>
    <t>Rong biển giòn trộn gia vị xuất khẩu Nhật Bản 30g *30EA - mới (HD)</t>
  </si>
  <si>
    <t>1106116</t>
  </si>
  <si>
    <t>Rong biển giòn trộn hải sản xuất khẩu Nhật Bản 30g *30ea - mới (HD)</t>
  </si>
  <si>
    <t>1021838</t>
  </si>
  <si>
    <t>Hạt nêm Granular M2 10kg*2EA HD Xuất khẩu</t>
  </si>
  <si>
    <t>1106790</t>
  </si>
  <si>
    <t>Tteokbokki Hàn Quốc vị Phô Mai xuất khẩu Philippines (gói) 140g*24EA (HD)</t>
  </si>
  <si>
    <t>1106791</t>
  </si>
  <si>
    <t>Tteokbokki Hàn Quốc vị Chua Ngọt xuất khẩu Philippines (gói) 140g*24EA (HD)</t>
  </si>
  <si>
    <t>1106949</t>
  </si>
  <si>
    <t>Tokpokki Rose Hàn Quốc 125g Lốc 3 * 8 Lốc (HD)</t>
  </si>
  <si>
    <t>1106456</t>
  </si>
  <si>
    <t>Tteokbokki Hàn Quốc vị truyền thống xuất khẩu Philippines (gói) 140g*24EA (HD)</t>
  </si>
  <si>
    <t>1106457</t>
  </si>
  <si>
    <t>Tteokbokki Hàn Quốc vị tương đen xuất khẩu Philippines (gói) 140g *24EA (HD)</t>
  </si>
  <si>
    <t>1022800</t>
  </si>
  <si>
    <t>Sốt Tokpokki vị phô mai Hàn Quốc 120g*20ea (HD)</t>
  </si>
  <si>
    <t>1021879</t>
  </si>
  <si>
    <t>Sốt tokpokki truyền thống Hàn Quốc 120g*20EA(HD)</t>
  </si>
  <si>
    <t>2148046</t>
  </si>
  <si>
    <t>TPBS Nucare Hi-high Milk 110ml lốc 3 * 8EA</t>
  </si>
  <si>
    <t>2148047</t>
  </si>
  <si>
    <t>TPBS Nucare Hi-high Chocolate 110ml lốc 3 * 8EA</t>
  </si>
  <si>
    <t>2148453</t>
  </si>
  <si>
    <t>TPBS Nucare Hi-high Milk 110ml lốc 6 * 4EA</t>
  </si>
  <si>
    <t>2034737</t>
  </si>
  <si>
    <t>Xúc xích ăn liền Handy vị heo 105g gói 5 cây 21g * 20EA</t>
  </si>
  <si>
    <t>1024640</t>
  </si>
  <si>
    <t>MSG 50LBS L</t>
  </si>
  <si>
    <t>1024641</t>
  </si>
  <si>
    <t>MSG 50LBS M</t>
  </si>
  <si>
    <t>1024642</t>
  </si>
  <si>
    <t>MSG 50LBS SS</t>
  </si>
  <si>
    <t>1024801</t>
  </si>
  <si>
    <t>Mì chính - MONOSODIUM L-GLUTAMATE (MSG) – SS1</t>
  </si>
  <si>
    <t>Kim chi cải thảo cắt lát 150g *30(EA)</t>
  </si>
  <si>
    <t>2148454</t>
  </si>
  <si>
    <t>TPBS Nucare Hi-high Chocolate 110ml lốc 6 * 4EA</t>
  </si>
  <si>
    <t>1024861</t>
  </si>
  <si>
    <t>Tteokbokki Hàn Quốc vị truyền thống xuất khẩu Thái Lan (gói) 105g*24EA (HD)</t>
  </si>
  <si>
    <t>1024862</t>
  </si>
  <si>
    <t>Tteokbokki Hàn Quốc tròn vị phô mai xuất khẩu Thái Lan (gói) 105g*24EA (HD)</t>
  </si>
  <si>
    <t>1024863</t>
  </si>
  <si>
    <t>Tteokbokki Hàn Quốc vị tương đen xuất khâu Thái Lan (gói) 105g*24EA (HD)</t>
  </si>
  <si>
    <t>1015566</t>
  </si>
  <si>
    <t>Bột chiên xù 100gr lốc 10 (4 lốc)*</t>
  </si>
  <si>
    <t>1100067</t>
  </si>
  <si>
    <t>Bột chiên 100g Lốc 12 (8 Lốc)</t>
  </si>
  <si>
    <t>1100068</t>
  </si>
  <si>
    <t>Bột chiên 100g Lốc 6 (16 Lốc)</t>
  </si>
  <si>
    <t>1100079</t>
  </si>
  <si>
    <t>GVHH Tẩm khô chiên giòn 30g * 200EA</t>
  </si>
  <si>
    <t>1100073</t>
  </si>
  <si>
    <t>Bột chiên xù 100g Lốc 10 (4 Lốc)</t>
  </si>
  <si>
    <t>1100074</t>
  </si>
  <si>
    <t>Bột chiên xù 100g Lốc 5 (8 Lốc)</t>
  </si>
  <si>
    <t>1021362</t>
  </si>
  <si>
    <t>Bột chiên 100g Lốc 6 KM đĩa sứ (12 Lốc)</t>
  </si>
  <si>
    <t>1021932</t>
  </si>
  <si>
    <t>Bánh gạo 100g Hải dương Trung gian mới</t>
  </si>
  <si>
    <t>1107062</t>
  </si>
  <si>
    <t>Rong biển trộn gia vị 100g * 30EA (HD)</t>
  </si>
  <si>
    <t>1106948</t>
  </si>
  <si>
    <t>Tokpokki Rose Hàn Quốc 100g Lốc 3 * 8 Lốc (HD)</t>
  </si>
  <si>
    <t>1023774</t>
  </si>
  <si>
    <t>Sốt Tokpokki vị truyền thống 80g</t>
  </si>
  <si>
    <t>1023775</t>
  </si>
  <si>
    <t>Sốt Tokpokki vị phô mai 80g</t>
  </si>
  <si>
    <t>1017449</t>
  </si>
  <si>
    <t>Bio Miwon B1 80g*120 (EA )</t>
  </si>
  <si>
    <t>1017454</t>
  </si>
  <si>
    <t>Bio Miwon B2 80g*120 (EA)</t>
  </si>
  <si>
    <t>1017462</t>
  </si>
  <si>
    <t>Bio Miwon B1 80g*120 EA (LT)</t>
  </si>
  <si>
    <t>1017463</t>
  </si>
  <si>
    <t>Bio Miwon M 80g*120 EA (LT)</t>
  </si>
  <si>
    <t>1017063</t>
  </si>
  <si>
    <t>Bio Miwon B1 80g*120EA</t>
  </si>
  <si>
    <t>1017065</t>
  </si>
  <si>
    <t>Bio Miwon B2 80g*120EA</t>
  </si>
  <si>
    <t>2144927</t>
  </si>
  <si>
    <t>Snack rong biển nướng Wavy vị truyền thống 8g * 3 gói* 20EA</t>
  </si>
  <si>
    <t>2144928</t>
  </si>
  <si>
    <t>Snack rong biển nướng Wavy vị phô mai 8g * 3 gói* 20EA</t>
  </si>
  <si>
    <t>1100042</t>
  </si>
  <si>
    <t>Mì chính (S) 100g* 120EA</t>
  </si>
  <si>
    <t>2144929</t>
  </si>
  <si>
    <t>Snack rong biển nướng Wavy vị wasabi 8g * 3 gói* 20EA</t>
  </si>
  <si>
    <t>1016893</t>
  </si>
  <si>
    <t>Gia vị cơm chiên vị phô mai và rau 34g lốc 2 (20 lốc)</t>
  </si>
  <si>
    <t>1016862</t>
  </si>
  <si>
    <t>Gia vị cơm chiên vị bò 34g lốc 2 (20 lốc)</t>
  </si>
  <si>
    <t>1021981</t>
  </si>
  <si>
    <t>Gia vị cơm chiên Micook vị bò 17g*40EA (Lốc 10 x 4 lốc) (HD)</t>
  </si>
  <si>
    <t>1100049</t>
  </si>
  <si>
    <t>Hạt nêm 65g Lốc 10 (16 Lốc)</t>
  </si>
  <si>
    <t>1100050</t>
  </si>
  <si>
    <t>Hạt nêm 65g * 160EA (Big C)</t>
  </si>
  <si>
    <t>2146428</t>
  </si>
  <si>
    <t>Sóc đầu bếp - Xúc xích xốt tokpokki vị phô mai Hàn Quốc 62g * 24EA</t>
  </si>
  <si>
    <t>2146427</t>
  </si>
  <si>
    <t>Sóc đầu bếp - Xúc xích xốt spaghetti 62g * 24EA</t>
  </si>
  <si>
    <t>1100080</t>
  </si>
  <si>
    <t>GVHH thịt kho tàu 30g * 200EA</t>
  </si>
  <si>
    <t>1100081</t>
  </si>
  <si>
    <t>GVHH thịt kho tầu 30g Lốc 5 (40 Lốc)</t>
  </si>
  <si>
    <t>1100082</t>
  </si>
  <si>
    <t>GVHH cá kho riềng 30g * 200EA</t>
  </si>
  <si>
    <t>1100083</t>
  </si>
  <si>
    <t>GVHH cá kho riềng 30g Lốc 5 (40 Lốc)</t>
  </si>
  <si>
    <t>1107251</t>
  </si>
  <si>
    <t>Lá Kim tẩm dầu Oliu 4.5g lốc 3 * 24 lốc-Ecommerce (HD)</t>
  </si>
  <si>
    <t>1023267</t>
  </si>
  <si>
    <t>Sốt Tokpokki Hàn Quốc vị truyền thống 40g*10EA (HD) New</t>
  </si>
  <si>
    <t>1023268</t>
  </si>
  <si>
    <t>Sốt Tokpokki Hàn Quốc vị phô mai 40g*10EA (HD) New</t>
  </si>
  <si>
    <t>1024029</t>
  </si>
  <si>
    <t>Sốt Tokpokki vị phô mai 40g * 385 EA (HD)</t>
  </si>
  <si>
    <t>1021937</t>
  </si>
  <si>
    <t>Sốt Tokpokki Hàn Quốc vị truyền thống 40g*10EA (HD)</t>
  </si>
  <si>
    <t>1021938</t>
  </si>
  <si>
    <t>Sốt Tokpokki Hàn Quốc vị phô mai 40g*10EA (HD)</t>
  </si>
  <si>
    <t>1022914</t>
  </si>
  <si>
    <t>Sốt Tokpokki tròn vị phô mai - Không cay 40g*1ea</t>
  </si>
  <si>
    <t>1022917</t>
  </si>
  <si>
    <t>Sốt Tokpokki vị chua ngọt 40g*1ea</t>
  </si>
  <si>
    <t>1022919</t>
  </si>
  <si>
    <t>Sốt Tokpokki vị tương đen 40g*1ea</t>
  </si>
  <si>
    <t>1105768</t>
  </si>
  <si>
    <t>Lá kim cuốn cơm 40g * 14EA (HD)</t>
  </si>
  <si>
    <t>2015476</t>
  </si>
  <si>
    <t>Mù tạt Wasabi 35g*40EA</t>
  </si>
  <si>
    <t>1016204</t>
  </si>
  <si>
    <t>Gia vị cơm chiên vị vừng 34g*40EA</t>
  </si>
  <si>
    <t>1016205</t>
  </si>
  <si>
    <t>Gia vị cơm chiên vị bò 34g*40EA</t>
  </si>
  <si>
    <t>1016206</t>
  </si>
  <si>
    <t>Gia vị cơm chiên vị tôm cay 34g*40EA</t>
  </si>
  <si>
    <t>1016207</t>
  </si>
  <si>
    <t>Gia vị cơm chiên vị phô mai và rau 34g*40EA</t>
  </si>
  <si>
    <t>1019751</t>
  </si>
  <si>
    <t>Sườn xào chua ngọt 28g*200EA</t>
  </si>
  <si>
    <t>1019752</t>
  </si>
  <si>
    <t>Canh rong biển vị thịt heo 20g*200EA</t>
  </si>
  <si>
    <t>1021811</t>
  </si>
  <si>
    <t>Rong biển giòn trộn gia vị 30g*15EA (HD)</t>
  </si>
  <si>
    <t>1106394</t>
  </si>
  <si>
    <t>Rong biển giòn 30g*30EA GO (HD )</t>
  </si>
  <si>
    <t>1107254</t>
  </si>
  <si>
    <t>Rong biển giòn trộn hải sản 27g * 30EA - Ecommerce (HD)</t>
  </si>
  <si>
    <t>1107252</t>
  </si>
  <si>
    <t>Rong biển giòn trộn gia vị 27g * 30EA - Ecommerce (HD)</t>
  </si>
  <si>
    <t>1107253</t>
  </si>
  <si>
    <t>Rong biển giòn trộn khô gà 27g * 30EA - Ecommerce (HD)</t>
  </si>
  <si>
    <t>1107255</t>
  </si>
  <si>
    <t>Rong biển giòn trộn hạt óc chó, hạnh nhân 27g * 30EA - Ecommerce (HD)</t>
  </si>
  <si>
    <t>1023265</t>
  </si>
  <si>
    <t>Sốt Tokpokki Hàn Quốc vị truyền thống 25g*10EA (HD) New</t>
  </si>
  <si>
    <t>1023266</t>
  </si>
  <si>
    <t>Sốt Tokpokki Hàn Quốc vị phô mai 25g*10EA (HD) New</t>
  </si>
  <si>
    <t>1021935</t>
  </si>
  <si>
    <t>Sốt Tokpokki Hàn Quốc vị truyền thống 25g*10EA (HD)</t>
  </si>
  <si>
    <t>1021936</t>
  </si>
  <si>
    <t>Sốt Tokpokki Hàn Quốc vị phô mai 25g*10EA (HD)</t>
  </si>
  <si>
    <t>1022910</t>
  </si>
  <si>
    <t>Sốt Tokpokki tròn vị phô mai - Không cay 25g*1EA</t>
  </si>
  <si>
    <t>1022915</t>
  </si>
  <si>
    <t>Sốt Tokpokki vị tương đen 25g*1ea</t>
  </si>
  <si>
    <t>1022916</t>
  </si>
  <si>
    <t>Sốt Tokpokki vị chua ngọt 25g*1ea</t>
  </si>
  <si>
    <t>1107983</t>
  </si>
  <si>
    <t>Sốt ướp thịt nướng DVS - 구이소스</t>
  </si>
  <si>
    <t>1107984</t>
  </si>
  <si>
    <t>Sốt Gamjatang DVS - 감자탕소스 2.5kg</t>
  </si>
  <si>
    <t>1107981</t>
  </si>
  <si>
    <t>Sốt nước tương DVS - 간장소스</t>
  </si>
  <si>
    <t>1108025</t>
  </si>
  <si>
    <t>Sốt Tokpokki vị BBQ 120g * 60EA</t>
  </si>
  <si>
    <t>1016507</t>
  </si>
  <si>
    <t>Mì chính (L) 100g lốc 10 (12 lốc) KM áo mưa</t>
  </si>
  <si>
    <t>1022622</t>
  </si>
  <si>
    <t>Bánh gạo Hàn Quốc 1kg*10EA (HD) Xuất Khẩu</t>
  </si>
  <si>
    <t>1022621</t>
  </si>
  <si>
    <t>Bánh gạo Hàn Quốc 350 g* 24EA (HD) XK</t>
  </si>
  <si>
    <t>1022586</t>
  </si>
  <si>
    <t>Bánh gạo Hàn Quốc 100g*80ea (HD) XK</t>
  </si>
  <si>
    <t>1022584</t>
  </si>
  <si>
    <t>Sốt Tokpokki Phô mai 40 g*240EA (HD) XK</t>
  </si>
  <si>
    <t>1022585</t>
  </si>
  <si>
    <t>Sốt Tokpokki Truyền thống 40g*240ea (HD) XK</t>
  </si>
  <si>
    <t>1016510</t>
  </si>
  <si>
    <t>Mì chính (L) 10 000đ lốc 10 (8 lốc) KM áo mưa</t>
  </si>
  <si>
    <t>1015461</t>
  </si>
  <si>
    <t>Mì chính (L) 1kg KM mì chính (M) 100g (16lốc)</t>
  </si>
  <si>
    <t>1016612</t>
  </si>
  <si>
    <t>MSG(SS) 25kg*40EA (Xuất khẩu)</t>
  </si>
  <si>
    <t>1015454</t>
  </si>
  <si>
    <t>Mì chính (L) 2kg KM mì chính (M) 180g (6lốc)</t>
  </si>
  <si>
    <t>1014831</t>
  </si>
  <si>
    <t>Mì chính(M)2kg KM 2 gói GVHH tẩm khô 30gr(6 lốc)</t>
  </si>
  <si>
    <t>1016508</t>
  </si>
  <si>
    <t>Mì chính (L) 350g* 40EA KM áo mưa</t>
  </si>
  <si>
    <t>1016511</t>
  </si>
  <si>
    <t>Mì chính (L) 400g* 40EA KM áo mưa</t>
  </si>
  <si>
    <t>1024027</t>
  </si>
  <si>
    <t>Code ko su dung</t>
  </si>
  <si>
    <t>1024028</t>
  </si>
  <si>
    <t>Sốt Tokpokki vị truyền thống 40g * 385 EA (HD)</t>
  </si>
  <si>
    <t>1020702</t>
  </si>
  <si>
    <t>Gia vị cơm chiên Micook vị phô mai 17g*40EA</t>
  </si>
  <si>
    <t>1020703</t>
  </si>
  <si>
    <t>Gia vị cơm chiên Micook vị bò 17g*40EA</t>
  </si>
  <si>
    <t>1021983</t>
  </si>
  <si>
    <t>Gia vị cơm chiên Micook vị phô mai 17g*40EA (Lốc 10 x 4 lốc) (HD)</t>
  </si>
  <si>
    <t>1024046</t>
  </si>
  <si>
    <t>Rong biển nướng dầu Oliu 5g lốc 3*24 lốc Kim Pororo (HD)</t>
  </si>
  <si>
    <t>1023668</t>
  </si>
  <si>
    <t>Lá Kim tẩm dầu Oliu 5g lốc 3*24 lốc Vỉnafreshmeat (HD)</t>
  </si>
  <si>
    <t>1021812</t>
  </si>
  <si>
    <t>Lá Kim tẩm dầu Ô Liu 5g Lốc3*15EA (HD)</t>
  </si>
  <si>
    <t>1022272</t>
  </si>
  <si>
    <t>Lá Kim tẩm dầu Ô Liu 5g lốc 3*15lốc Vinafreshmeat (HD)</t>
  </si>
  <si>
    <t>2142517</t>
  </si>
  <si>
    <t>Miến khoai lang Dẹt 14kg (HD)</t>
  </si>
  <si>
    <t>1025475</t>
  </si>
  <si>
    <t>Lá kim cuốn cơm 230g*72EA</t>
  </si>
  <si>
    <t>1022191</t>
  </si>
  <si>
    <t>Tương ớt tự nhiên cay  đậm  10g*400EA(HD)</t>
  </si>
  <si>
    <t>1022190</t>
  </si>
  <si>
    <t>Tương ớt tự nhiên cay dịu 10g*400EA(HD)</t>
  </si>
  <si>
    <t>1021810</t>
  </si>
  <si>
    <t>Lá Kim tẩm dầu Ô Liu 5g lốc 2*20EA (HD)</t>
  </si>
  <si>
    <t>1017064</t>
  </si>
  <si>
    <t>Bio Miwon B1 9g*672EA</t>
  </si>
  <si>
    <t>2146838</t>
  </si>
  <si>
    <t>Bánh bao chay trắng 1020g * 8EA</t>
  </si>
  <si>
    <t>1106392</t>
  </si>
  <si>
    <t>Rong biển dầu Oliu 4.5g lốc 3 * 36EA GO (HD )</t>
  </si>
  <si>
    <t>1106756</t>
  </si>
  <si>
    <t>Rong biển sấy ăn liền 2g * 96EA Masan (HD)</t>
  </si>
  <si>
    <t>2142111</t>
  </si>
  <si>
    <t>Túi quà hỗn hợp Tết B2B to</t>
  </si>
  <si>
    <t>6035780</t>
  </si>
  <si>
    <t>Túi quà Rong biển loại to</t>
  </si>
  <si>
    <t>1108169</t>
  </si>
  <si>
    <t>Sốt muối Kim Chi Hàn Quốc 180g lốc 4 * 10EA (HD)</t>
  </si>
  <si>
    <t>1108087</t>
  </si>
  <si>
    <t>Lá Kim trẻ em 5g lốc 9 (KM 6+3)*12 lốc (HD)</t>
  </si>
  <si>
    <t>1108088</t>
  </si>
  <si>
    <t>Lá Kim Tảo biển cao cấp 5g lốc 9 (KM 6+3)*12 lốc (HD)</t>
  </si>
  <si>
    <t>1108178</t>
  </si>
  <si>
    <t>Lá Kim Tảo biển cao cấp 5g lốc 3 * 24 lốc (HD) (Lucky)</t>
  </si>
  <si>
    <t>1108183</t>
  </si>
  <si>
    <t>Lá Kim trẻ em 5g lốc 3*24 lốc (HD) (Lucky)</t>
  </si>
  <si>
    <t>1108185</t>
  </si>
  <si>
    <t>Rong biển giòn trộn hải sản 40g * 30EA (HD) (Lucky)</t>
  </si>
  <si>
    <t>1100144</t>
  </si>
  <si>
    <t>Mì chính (L) 100g Lốc 10 (LT) (12 Lốc)</t>
  </si>
  <si>
    <t>1022921</t>
  </si>
  <si>
    <t>Sốt Tokpokki vị truyền thống 25g*1ea XK</t>
  </si>
  <si>
    <t>1100096</t>
  </si>
  <si>
    <t>1100104</t>
  </si>
  <si>
    <t>Mì chính (M) 100g* 120EA (LT)</t>
  </si>
  <si>
    <t>1100018</t>
  </si>
  <si>
    <t>Mì chính (L) 1.6Kg* 10EA</t>
  </si>
  <si>
    <t>1100097</t>
  </si>
  <si>
    <t>Mì chính (L) 180g* 80EA (LT)</t>
  </si>
  <si>
    <t>1100015</t>
  </si>
  <si>
    <t>Mì chính (L) 1Kg KM Hạt nêm 65g (16 Lốc)</t>
  </si>
  <si>
    <t>1108187</t>
  </si>
  <si>
    <t>Rong biển giòn trộn hạt óc chó, hạnh nhân 40g * 30EA (HD) Lucky</t>
  </si>
  <si>
    <t>1100137</t>
  </si>
  <si>
    <t>GVHH thịt kho tầu 30g Lốc 5 KM bột canh 190 (40 Lốc)</t>
  </si>
  <si>
    <t>1100138</t>
  </si>
  <si>
    <t>GVHH cá kho riềng 30g Lốc 5 km bột canh 190 (40 Lốc)</t>
  </si>
  <si>
    <t>1100150</t>
  </si>
  <si>
    <t>GVHH thịt kho tầu 30g Lốc5 KM 02góigVHH Thịt kho 30g (40 Lốc)</t>
  </si>
  <si>
    <t>1100151</t>
  </si>
  <si>
    <t>GVHH cá kho riềng 30g Lốc5 KM 02góigVHH Cá kho 30g (40 Lốc)</t>
  </si>
  <si>
    <t>1020403</t>
  </si>
  <si>
    <t>Hạt nêm Granular M2 10kg*2EA</t>
  </si>
  <si>
    <t>1021985</t>
  </si>
  <si>
    <t>Canh rong biển vị thịt heo 20g*200EA (Lốc 20 x 10 lốc) (HD)</t>
  </si>
  <si>
    <t>1021986</t>
  </si>
  <si>
    <t>Sườn xào chua ngọt 28g*200EA (lốc 20  x 10 lốc) (HD)</t>
  </si>
  <si>
    <t>2145767</t>
  </si>
  <si>
    <t>Xúc xích Mỹ 500g</t>
  </si>
  <si>
    <t>2145769</t>
  </si>
  <si>
    <t>Xúc xích New Yorks (50g) 500g</t>
  </si>
  <si>
    <t>2145772</t>
  </si>
  <si>
    <t>Xúc xích Festival 500g (50g)</t>
  </si>
  <si>
    <t>2145773</t>
  </si>
  <si>
    <t>Lạp xưởng 500g</t>
  </si>
  <si>
    <t>2145775</t>
  </si>
  <si>
    <t>Xúc xích Pari (62g) 500g</t>
  </si>
  <si>
    <t>2145780</t>
  </si>
  <si>
    <t>Xúc xích Chicagos 500g (50g)</t>
  </si>
  <si>
    <t>2145781</t>
  </si>
  <si>
    <t>Xúc xích Gà Vàng 1000g *10EA</t>
  </si>
  <si>
    <t>2145782</t>
  </si>
  <si>
    <t>Xúc xích Frank loại 500g</t>
  </si>
  <si>
    <t>2145784</t>
  </si>
  <si>
    <t>Xúc xích Romas 200g</t>
  </si>
  <si>
    <t>2145787</t>
  </si>
  <si>
    <t>Xúc xích Gà vàng romas 500g (50g)</t>
  </si>
  <si>
    <t>2145788</t>
  </si>
  <si>
    <t>Xúc xích Romas (62.5g) 500g</t>
  </si>
  <si>
    <t>2145792</t>
  </si>
  <si>
    <t>2146403</t>
  </si>
  <si>
    <t>Xúc xích hong khói 1000g (84)</t>
  </si>
  <si>
    <t>2146405</t>
  </si>
  <si>
    <t>Xúc xích hong khói 1000g (50)</t>
  </si>
  <si>
    <t>2146408</t>
  </si>
  <si>
    <t>Xúc xích vườn bia 1000g</t>
  </si>
  <si>
    <t>2146409</t>
  </si>
  <si>
    <t>Xúc xích viên hong khói 1000g</t>
  </si>
  <si>
    <t>2146411</t>
  </si>
  <si>
    <t>XX Cay Caribe 200g</t>
  </si>
  <si>
    <t>2146412</t>
  </si>
  <si>
    <t>Xúc xich Nurember 1000g</t>
  </si>
  <si>
    <t>2146417</t>
  </si>
  <si>
    <t>Chân giò HK rút xương 300g</t>
  </si>
  <si>
    <t>2146421</t>
  </si>
  <si>
    <t>Xúc xích Roma 50 Colagen x 500g</t>
  </si>
  <si>
    <t>2146423</t>
  </si>
  <si>
    <t>Xúc xích Chicagos 500g (đóng tự động)</t>
  </si>
  <si>
    <t>2146438</t>
  </si>
  <si>
    <t>Xúc xích Seoul's Hotdog nhân phô mai 250g</t>
  </si>
  <si>
    <t>2147966</t>
  </si>
  <si>
    <t>Snack Rong biển cuộn nướng vị truyền thống 12g * 40EA</t>
  </si>
  <si>
    <t>2147967</t>
  </si>
  <si>
    <t>Snack Rong biển cuộn nướng vị phô mai 12g * 40EA</t>
  </si>
  <si>
    <t>2147968</t>
  </si>
  <si>
    <t>Snack Rong biển cuộn nướng vị mực 12g * 40EA</t>
  </si>
  <si>
    <t>1001061</t>
  </si>
  <si>
    <t>Bột canh 100g*200EA</t>
  </si>
  <si>
    <t>Giấm táo 500ml*24EA</t>
  </si>
  <si>
    <t>1000925</t>
  </si>
  <si>
    <t>Mạch nha 10Kg*2EA</t>
  </si>
  <si>
    <t>1001396</t>
  </si>
  <si>
    <t>Tương đậu loại to 14kg*1EA</t>
  </si>
  <si>
    <t>1001908</t>
  </si>
  <si>
    <t>Giấm táo 18L*1EA</t>
  </si>
  <si>
    <t>1001983</t>
  </si>
  <si>
    <t>Mạch nha vàng 10kg*2EA</t>
  </si>
  <si>
    <t>1002085</t>
  </si>
  <si>
    <t>Giấm gạo lứt 500ml*24EA</t>
  </si>
  <si>
    <t>1002417</t>
  </si>
  <si>
    <t>Mạch nha nấu ăn 700g*20EA</t>
  </si>
  <si>
    <t>1002609</t>
  </si>
  <si>
    <t>Bột canh 250g*80EA</t>
  </si>
  <si>
    <t>Tương đậu 200g*30EA</t>
  </si>
  <si>
    <t>Tương Đậu 500g*20ea</t>
  </si>
  <si>
    <t>1004153</t>
  </si>
  <si>
    <t>Xốt ướp thịt heo vị cay 10kg*1ea</t>
  </si>
  <si>
    <t>1004164</t>
  </si>
  <si>
    <t>Gia vị rắc cơm vị bò 24g*40EA</t>
  </si>
  <si>
    <t>1004165</t>
  </si>
  <si>
    <t>Gia vị rắc cơm vị rau 24g*40EA</t>
  </si>
  <si>
    <t>1004166</t>
  </si>
  <si>
    <t>Gia vị rắc cơm vị hải sản 24g*40EA</t>
  </si>
  <si>
    <t>1005383</t>
  </si>
  <si>
    <t>Xốt mù tạt mật ong 320g*12EA</t>
  </si>
  <si>
    <t>1007093</t>
  </si>
  <si>
    <t>Tương cà chua 300g*16ea</t>
  </si>
  <si>
    <t>1007094</t>
  </si>
  <si>
    <t>Tương cà chua 500g*16EA</t>
  </si>
  <si>
    <t>1007098</t>
  </si>
  <si>
    <t>Sốt bít tết 250g*12EA</t>
  </si>
  <si>
    <t>1007101</t>
  </si>
  <si>
    <t>Xốt tonkatsu 250g*12EA</t>
  </si>
  <si>
    <t>1007603</t>
  </si>
  <si>
    <t>Dầu hào 260g*12EA</t>
  </si>
  <si>
    <t>1007605</t>
  </si>
  <si>
    <t>Dầu Hào Hàn Quốc 250g*12EA</t>
  </si>
  <si>
    <t>1007606</t>
  </si>
  <si>
    <t>Dầu hào vị cay 250g*12EA</t>
  </si>
  <si>
    <t>1008805</t>
  </si>
  <si>
    <t>Tương ớt cay ngọt 300g*20ea</t>
  </si>
  <si>
    <t>1009488</t>
  </si>
  <si>
    <t>Tương đen trộn 180g*20EA</t>
  </si>
  <si>
    <t>1010089</t>
  </si>
  <si>
    <t>Tương ớt ngọt 365g*12EA</t>
  </si>
  <si>
    <t>1010272</t>
  </si>
  <si>
    <t>Bột nêm (vị bò) 2kg*6EA</t>
  </si>
  <si>
    <t>1010327</t>
  </si>
  <si>
    <t>Giấm lên men Whayoung 18L*1EA</t>
  </si>
  <si>
    <t>1010743</t>
  </si>
  <si>
    <t>Xốt topokki cho bánh gạo 140g*20EA</t>
  </si>
  <si>
    <t>1011280</t>
  </si>
  <si>
    <t>Tương đậu tươi loại to 14kg*1ea</t>
  </si>
  <si>
    <t>1011364</t>
  </si>
  <si>
    <t>Tương đậu tươi 500g*20EA</t>
  </si>
  <si>
    <t>1011365</t>
  </si>
  <si>
    <t>Tương đậu tươi 1Kg*12EA</t>
  </si>
  <si>
    <t>1012366</t>
  </si>
  <si>
    <t>Bột nêm vị thịt bò MAT NA 2Kg*6EA</t>
  </si>
  <si>
    <t>1014253</t>
  </si>
  <si>
    <t>Thịt hộp 190g*18EA</t>
  </si>
  <si>
    <t>1014591</t>
  </si>
  <si>
    <t>Nước ướp thịt cá 10kg*1EA</t>
  </si>
  <si>
    <t>1014607</t>
  </si>
  <si>
    <t>Tương ớt đậm vị 5kg*2EA</t>
  </si>
  <si>
    <t>1014637</t>
  </si>
  <si>
    <t>Nước ướp thịt 410ml*12EA</t>
  </si>
  <si>
    <t>1014638</t>
  </si>
  <si>
    <t>Nước ướp thịt 1.8L*6EA</t>
  </si>
  <si>
    <t>1014843</t>
  </si>
  <si>
    <t>Xốt ướp thịt bò 500g*15EA</t>
  </si>
  <si>
    <t>1014847</t>
  </si>
  <si>
    <t>Xốt ướp sườn cay mạnh 500g*15EA</t>
  </si>
  <si>
    <t>1014848</t>
  </si>
  <si>
    <t>Xốt ướp sườn cay 500g*15EA</t>
  </si>
  <si>
    <t>1014849</t>
  </si>
  <si>
    <t>Xốt ướp gà kho cay 480g*15EA</t>
  </si>
  <si>
    <t>1014860</t>
  </si>
  <si>
    <t>Xốt ướp sườn heo 280g*20EA(HQ)</t>
  </si>
  <si>
    <t>1014861</t>
  </si>
  <si>
    <t>Xốt ướp thịt heo vị cay 280g*20EA (Nguyên mẫu)</t>
  </si>
  <si>
    <t>1014863</t>
  </si>
  <si>
    <t>Xốt ướp thịt bò 280g*20EA</t>
  </si>
  <si>
    <t>1014864</t>
  </si>
  <si>
    <t>Xốt ướp sườn cay mạnh 280g*20EA</t>
  </si>
  <si>
    <t>1014865</t>
  </si>
  <si>
    <t>Xốt ướp sườn cay 280g*20EA</t>
  </si>
  <si>
    <t>1014866</t>
  </si>
  <si>
    <t>Xốt ướp gà kho cay 270g*20EA</t>
  </si>
  <si>
    <t>1015716</t>
  </si>
  <si>
    <t>Tương ớt gạo lứt đậm vị 14kg*1EA</t>
  </si>
  <si>
    <t>Tương ớt gạo lứt 200g*30ea</t>
  </si>
  <si>
    <t>1015721</t>
  </si>
  <si>
    <t>Tương ớt gạo lứt 500g*20EA</t>
  </si>
  <si>
    <t>1015723</t>
  </si>
  <si>
    <t>Tương ớt gạo lứt 1Kg*12EA</t>
  </si>
  <si>
    <t>1015758</t>
  </si>
  <si>
    <t>Nước uống giấm hồng vị lựu 500ml*15EA</t>
  </si>
  <si>
    <t>1015767</t>
  </si>
  <si>
    <t>Nước uống giấm hồng Hàn Quốc vị mâm xôi 500ml*15EA</t>
  </si>
  <si>
    <t>1016032</t>
  </si>
  <si>
    <t>Muối thảo dược vị thanh dịu 52 g*20EA</t>
  </si>
  <si>
    <t>1016033</t>
  </si>
  <si>
    <t>Muối thảo dược vị cay 52g*20EA</t>
  </si>
  <si>
    <t>1016034</t>
  </si>
  <si>
    <t>Muối thảo dược vị hành tỏi 52g*20EA</t>
  </si>
  <si>
    <t>1016423</t>
  </si>
  <si>
    <t>Tương ớt đậm vị 14kg*1EA</t>
  </si>
  <si>
    <t>1017451</t>
  </si>
  <si>
    <t>Bio Miwon B1 320g*30(EA)</t>
  </si>
  <si>
    <t>1017452</t>
  </si>
  <si>
    <t>Bio Miwon B1 800g*12(EA)</t>
  </si>
  <si>
    <t>1018387</t>
  </si>
  <si>
    <t>Nước tương lên men tự nhiên 500 ml*24ea</t>
  </si>
  <si>
    <t>1018388</t>
  </si>
  <si>
    <t>Nước tương lên men tự nhiên 840 ml*12ea</t>
  </si>
  <si>
    <t>1019243</t>
  </si>
  <si>
    <t>Bio Miwon B2 320g*30EA (BG)</t>
  </si>
  <si>
    <t>1019244</t>
  </si>
  <si>
    <t>Bio Miwon B2 800g*12EA(BG)</t>
  </si>
  <si>
    <t>1021442</t>
  </si>
  <si>
    <t>Mayonnaise vị ngô ngọt 300g*12ea</t>
  </si>
  <si>
    <t>1021751</t>
  </si>
  <si>
    <t>Tương ớt tự nhiên cay  đậm  250g*20EA (HD)</t>
  </si>
  <si>
    <t>1021752</t>
  </si>
  <si>
    <t>Sốt uớp thịt Hàn Quốc - vị truyền thống  80g*20EA (HD)</t>
  </si>
  <si>
    <t>Sốt uớp thịt Hàn Quốc - vị cay 240g*20EA (HD)</t>
  </si>
  <si>
    <t>Sốt uớp thịt Hàn Quốc - vị truyền thống  240g*20EA (HD)</t>
  </si>
  <si>
    <t>1021795</t>
  </si>
  <si>
    <t>Sốt uớp thịt Hàn Quốc - vị cay 80g*20EA (HD)</t>
  </si>
  <si>
    <t>1021796</t>
  </si>
  <si>
    <t>Sốt kho hoàn hảo 80g*20EA (HD)</t>
  </si>
  <si>
    <t>1021799</t>
  </si>
  <si>
    <t>Sốt spaghetti nguyên bản 120g*20EA (HD)</t>
  </si>
  <si>
    <t>Sốt spaghetti nguyên bản 220g*20EA (HD)</t>
  </si>
  <si>
    <t>Sốt spaghetti Arrabbiata vị cay 220g*20EA (HD)</t>
  </si>
  <si>
    <t>1021804</t>
  </si>
  <si>
    <t>Sốt spaghetti Arrabbiata vị cay 120g*20EA (HD)</t>
  </si>
  <si>
    <t>1021805</t>
  </si>
  <si>
    <t>Bánh gạo Hàn Quốc 1kg*10EA (HD)</t>
  </si>
  <si>
    <t>Bánh gạo Hàn Quốc 350g*24EA (HD)</t>
  </si>
  <si>
    <t>Lá Kim cuốn cơm 10g*64EA (HD)</t>
  </si>
  <si>
    <t>1021826</t>
  </si>
  <si>
    <t>Hạt nêm từ thịt 400g*24EA (HD)</t>
  </si>
  <si>
    <t>1021827</t>
  </si>
  <si>
    <t>Hạt nêm từ thịt 900g*12EA(HD)</t>
  </si>
  <si>
    <t>1021829</t>
  </si>
  <si>
    <t>Hạt nêm từ thịt 2kg*6EA (HD)</t>
  </si>
  <si>
    <t>1021832</t>
  </si>
  <si>
    <t>Hạt nêm từ thịt  65g*160EA( Lốc 10 x 16 lốc) (HD)</t>
  </si>
  <si>
    <t>1021834</t>
  </si>
  <si>
    <t>Hạt nêm từ thịt 200g* 60EA (Lốc 5 x 12 lốc) (HD)</t>
  </si>
  <si>
    <t>1021836</t>
  </si>
  <si>
    <t>Hạt nêm Horeca 10kg*2EA (HD)</t>
  </si>
  <si>
    <t>1021837</t>
  </si>
  <si>
    <t>Hạt nêm Horeca 5kg*4EA (HD)</t>
  </si>
  <si>
    <t>Tokpokki Hàn Quốc vị truyền thống (hộp) 105g*24EA(HD)</t>
  </si>
  <si>
    <t>Tokpokki Hàn Quốc vị truyền thống (gói) 140g*24EA(HD)</t>
  </si>
  <si>
    <t>Tokpokki Hàn Quốc vị phô mai  (hộp) 105g*24EA(HD)</t>
  </si>
  <si>
    <t>Tokpokki Hàn Quốc vị phô mai (gói)140g*24EA(HD)</t>
  </si>
  <si>
    <t>1021968</t>
  </si>
  <si>
    <t>Bột chiên giòn 5kg x 4EA (HD)</t>
  </si>
  <si>
    <t>1021975</t>
  </si>
  <si>
    <t>Hạt nêm 3kg*4EA Mega (HD)</t>
  </si>
  <si>
    <t>1021976</t>
  </si>
  <si>
    <t>Bột chiên xù 2.5kg*4EA (HD)</t>
  </si>
  <si>
    <t>1021977</t>
  </si>
  <si>
    <t>Bột năng đa dụng 1kg*10EA (HD)</t>
  </si>
  <si>
    <t>1022619</t>
  </si>
  <si>
    <t>Hạt nêm từ thịt 400g lốc 2 KM 01 rổ nhựa (8 Lốc) HD</t>
  </si>
  <si>
    <t>1022620</t>
  </si>
  <si>
    <t>Hạt nêm từ thịt 900g KM 01 rổ nhựa (8 Lốc) HD</t>
  </si>
  <si>
    <t>Tokpokki HQ tròn vị phô mai - Không cay (hộp) 105g*24ea(HD)</t>
  </si>
  <si>
    <t>Tokpokki HQ tròn vị phô mai - Không cay (gói) 140g*24ea(HD)</t>
  </si>
  <si>
    <t>Tokpokki Hàn Quốc vị tương đen (hộp) 105g*24ea(HD)</t>
  </si>
  <si>
    <t>Tokpokki Hàn Quốc vị tương đen (gói) 140g*24ea(HD)</t>
  </si>
  <si>
    <t>Tokpokki Hàn Quốc vị chua ngọt (hộp) 105g*24ea(HD)</t>
  </si>
  <si>
    <t>Tokpokki Hàn Quốc vị chua ngọt (gói) 140g*24ea(HD)</t>
  </si>
  <si>
    <t>1022877</t>
  </si>
  <si>
    <t>Tokpokki Hàn Quốc vị phô mai xuất khẩu Nhật Bản (gói) 140g*10ea (HD)</t>
  </si>
  <si>
    <t>1022878</t>
  </si>
  <si>
    <t>Tokpokki Hàn Quốc vị truyền  thống xuất khẩu Nhật Bản  (gói) 140g*10ea (HD)</t>
  </si>
  <si>
    <t>1022879</t>
  </si>
  <si>
    <t>Tokpokki Hàn Quốc vị phô mai xuất khẩu Nhật Bản  (cốc) 105g*12ea (HD)</t>
  </si>
  <si>
    <t>1022880</t>
  </si>
  <si>
    <t>Tokpokki Hàn Quốc vị truyền  thống xuất khẩu Nhật Bản  (cốc) 105g*12ea (HD)</t>
  </si>
  <si>
    <t>1023112</t>
  </si>
  <si>
    <t>Rong biển giòn trộn khô gà 30g*30 EA (HD)</t>
  </si>
  <si>
    <t>1023113</t>
  </si>
  <si>
    <t>Lá Kim tẩm dầu Ô Liu 5g lốc 2*40 Lốc (HD)</t>
  </si>
  <si>
    <t>1023114</t>
  </si>
  <si>
    <t>Rong biển giòn trộn gia vị 30g*30EA(HD)</t>
  </si>
  <si>
    <t>1023120</t>
  </si>
  <si>
    <t>Lá Kim tẩm dầu Ô Liu 5g lốc 3*24 Lốc (HD)</t>
  </si>
  <si>
    <t>1023225</t>
  </si>
  <si>
    <t>Rong biển giòn trộn hải sản 30g*30EA(HD)</t>
  </si>
  <si>
    <t>1023226</t>
  </si>
  <si>
    <t>Rong biển giòn trộn óc chó, hạnh nhân 30g*30EA(HD)</t>
  </si>
  <si>
    <t>1023263</t>
  </si>
  <si>
    <t>Sốt tokpokki truyền thống Hàn Quốc 120g*20EA(HD) New</t>
  </si>
  <si>
    <t>1023272</t>
  </si>
  <si>
    <t>Sốt Tokpokki vị phô mai Hàn Quốc 120g*20ea (HD) New</t>
  </si>
  <si>
    <t>1023327</t>
  </si>
  <si>
    <t>Hạt nêm Vua bếp 10kg*2EA (HD)</t>
  </si>
  <si>
    <t>1023328</t>
  </si>
  <si>
    <t>Hạt nêm Vua bếp 5kg*4EA (HD)</t>
  </si>
  <si>
    <t>1023493</t>
  </si>
  <si>
    <t>Tteokbokki Hàn Quốc vị truyền  thống xuất khẩu Singapore  (cốc) 105g*24EA (HD)</t>
  </si>
  <si>
    <t>1023500</t>
  </si>
  <si>
    <t>Tteokbokki Hàn Quốc vị chua ngọt xuất khẩu Singapore  (cốc) 105g*24EA (HD)</t>
  </si>
  <si>
    <t>1023501</t>
  </si>
  <si>
    <t>Tteokbokki Hàn Quốc tròn vị phô mai xuất khẩu Singapore  (cốc) 105g*24EA (HD)</t>
  </si>
  <si>
    <t>1023512</t>
  </si>
  <si>
    <t>Mù tạt Wasabi cay mạnh 35g*40EA (HQ)</t>
  </si>
  <si>
    <t>1023554</t>
  </si>
  <si>
    <t>Sốt kho tiêu 50g*60ea (HD)</t>
  </si>
  <si>
    <t>Sốt bò kho (bò sốt vang) 50g *60EA (HD)</t>
  </si>
  <si>
    <t>Sốt muối Kim Chi Hàn Quốc 180g*40ea (HD)</t>
  </si>
  <si>
    <t>Sốt gà chiên vị cay Hàn Quốc 120g*40ea (HD)</t>
  </si>
  <si>
    <t>Sốt gà chiên vị phô mai Hàn Quốc 120g*40ea (HD)</t>
  </si>
  <si>
    <t>1023565</t>
  </si>
  <si>
    <t>Tteokbokki Hàn Quốc vị tương đen xuất khẩu Singapore (cốc) 105g*24EA (HD) new</t>
  </si>
  <si>
    <t>1023566</t>
  </si>
  <si>
    <t>Tteokbokki Hàn Quốc vị truyền thống xuất khẩu Singapore (gói) 140g*24EA (HD) new</t>
  </si>
  <si>
    <t>1023568</t>
  </si>
  <si>
    <t>Tteokbokki Hàn Quốc vị chua ngọt xuất khẩu Singapore (gói) 140g*24EA (HD) new</t>
  </si>
  <si>
    <t>1023569</t>
  </si>
  <si>
    <t>Tteokbokki Hàn Quốc tròn vị phô mai xuất khẩu Singapore (gói) 140g*24EA (HD) new</t>
  </si>
  <si>
    <t>1023571</t>
  </si>
  <si>
    <t>Tteokbokki Hàn Quốc vị tương đen  xuất khâu Singapore (gói) 140g*24EA (HD) new</t>
  </si>
  <si>
    <t>1023580</t>
  </si>
  <si>
    <t>Tokpokki Hàn Quốc vị tương đen xuất khẩu Nhật Bản (cốc) 105g*12EA (HD) new</t>
  </si>
  <si>
    <t>1023581</t>
  </si>
  <si>
    <t>Tokpokki Hàn Quốc vị tương đen xuất khẩu Nhật Bản (gói) 140g*10EA (HD) new</t>
  </si>
  <si>
    <t>Lá Kim tẩm dầu Ô liu 5g lốc 2 (2 tặng 1) * 40 lốc (HD) new</t>
  </si>
  <si>
    <t>1023676</t>
  </si>
  <si>
    <t>Sốt spaghetti nguyên bản 120g*40EA (HD)</t>
  </si>
  <si>
    <t>1023677</t>
  </si>
  <si>
    <t>Sốt spaghetti Arrabbiata vị cay 120g*40EA (HD)</t>
  </si>
  <si>
    <t>Sốt tokpokki truyền thống Hàn Quốc 120g*40EA (HD)</t>
  </si>
  <si>
    <t>Sốt tokpokki vị phô mai Hàn Quốc 120g*40EA (HD)</t>
  </si>
  <si>
    <t>Lá Kim tẩm dầu Ô liu 5g lốc 3 * 36 lốc ( HD)</t>
  </si>
  <si>
    <t>1023795</t>
  </si>
  <si>
    <t>Sốt Tokpokki tròn vị phô mai - không cay Hàn Quốc 120g * 40EA (HD)</t>
  </si>
  <si>
    <t>1023797</t>
  </si>
  <si>
    <t>Nước ướp thịt 10kg</t>
  </si>
  <si>
    <t>1023974</t>
  </si>
  <si>
    <t>BỘT CHIÊN XÙ 200g KM BỘT CHIÊN GIÒN 100G (24LỐC) HD</t>
  </si>
  <si>
    <t>1024087</t>
  </si>
  <si>
    <t>Tteokbokki Hàn Quốc vị truyền thống xuất khẩu Thái Lan (gói) 140g*24EA (HD)</t>
  </si>
  <si>
    <t>1024088</t>
  </si>
  <si>
    <t>Tteokbokki Hàn Quốc tròn vị phô mai xuất khẩu Thái Lan (gói) 140g*24EA (HD)</t>
  </si>
  <si>
    <t>1024089</t>
  </si>
  <si>
    <t>Tteokbokki Hàn Quốc vị tương đen xuất khâu Thái Lan (gói) 140g*24EA (HD)</t>
  </si>
  <si>
    <t>1024182</t>
  </si>
  <si>
    <t>Bột chiên xù 10kg (HD)</t>
  </si>
  <si>
    <t>1024322</t>
  </si>
  <si>
    <t>Rong biển giòn trộn gia vị xuất khẩu Nhật Bản 30g*30EA (HD)</t>
  </si>
  <si>
    <t>1024323</t>
  </si>
  <si>
    <t>Rong biển giòn trộn hải sản xuất khẩu Nhật Bản 30g*30EA (HD)</t>
  </si>
  <si>
    <t>SỐT LẨU HOÀN CHỈNH LẨU THÁI 180g *40 EA (HD)</t>
  </si>
  <si>
    <t>SỐT LẨU HOÀN CHỈNH LẨU THẬP CẨM 180g * 40EA (HD)</t>
  </si>
  <si>
    <t>SỐT LẨU HOÀN CHỈNH LẨU TOKPOKKI HÀN QUỐC 180g * 40EA (HD)</t>
  </si>
  <si>
    <t>1024386</t>
  </si>
  <si>
    <t>Lá Kim cuốn cơm xuất khẩu Mông Cổ 10g *64EA (HD)</t>
  </si>
  <si>
    <t>1024387</t>
  </si>
  <si>
    <t>Lá Kim tẩm dầu Ô liu Lốc 2 xuất khẩu Mông Cổ 5g * 40EA (HD)</t>
  </si>
  <si>
    <t>1024391</t>
  </si>
  <si>
    <t>Rong biển giòn trộn gia vị xuất khẩu Mông Cổ 30g * 30EA (HD)</t>
  </si>
  <si>
    <t>1024392</t>
  </si>
  <si>
    <t>Rong biển giòn trộn khô gà xuất khẩu Mông Cổ 30g * 30EA (HD)</t>
  </si>
  <si>
    <t>1024393</t>
  </si>
  <si>
    <t>Rong biển giòn trộn óc chó và hạnh nhân xuất khẩu Mông Cổ 30g *30EA(HD</t>
  </si>
  <si>
    <t>1024394</t>
  </si>
  <si>
    <t>Rong biển giòn trộn hải sản xuất khẩu Mông Cổ 30g * 30EA (HD)</t>
  </si>
  <si>
    <t>1024395</t>
  </si>
  <si>
    <t>Tteokbokki Hàn Quốc vị truyền thống xuất khẩu Mông Cổ (cốc) 105g*24EA (HD)</t>
  </si>
  <si>
    <t>1024396</t>
  </si>
  <si>
    <t>Tteokbokki Hàn Quốc vị phô mai xuất khẩu Mông Cổ   (cốc) 105g*24EA (HD)</t>
  </si>
  <si>
    <t>1024397</t>
  </si>
  <si>
    <t>Tteokbokki Hàn Quốc vị chua ngọt xuất khẩu Mông Cổ   (cốc) 105g*24EA (HD)</t>
  </si>
  <si>
    <t>1024404</t>
  </si>
  <si>
    <t>Tteokbokki Hàn Quốc tròn vị phô mai xuất khẩu Mông Cổ   (cốc) 105g*24EA (HD)</t>
  </si>
  <si>
    <t>1024405</t>
  </si>
  <si>
    <t>Tteokbokki Hàn Quốc vị tương đen xuất khẩu Mông Cổ (cốc) 105g*24EA (HD)</t>
  </si>
  <si>
    <t>1024407</t>
  </si>
  <si>
    <t>Tteokbokki Hàn Quốc vị truyền thống xuất khẩu Mông Cổ  (gói) 140g*24EA (HD)</t>
  </si>
  <si>
    <t>1024408</t>
  </si>
  <si>
    <t>Tteokbokki Hàn Quốc vị phô mai xuất khẩu Mông Cổ (gói) 140g*24EA (HD)</t>
  </si>
  <si>
    <t>1024409</t>
  </si>
  <si>
    <t>Tteokbokki Hàn Quốc vị chua ngọt xuất khẩu Mông Cổ (gói) 140g*24EA (HD)</t>
  </si>
  <si>
    <t>1024410</t>
  </si>
  <si>
    <t>Tteokbokki Hàn Quốc tròn vị phô mai xuất khẩu Mông Cổ  (gói) 140g*24EA (HD)</t>
  </si>
  <si>
    <t>1024411</t>
  </si>
  <si>
    <t>Tteokbokki Hàn Quốc vị tương đen  xuất khâu Mông Cổ (gói) 140g*24EA (HD)</t>
  </si>
  <si>
    <t>1024412</t>
  </si>
  <si>
    <t>Tteokbokki Hàn Quốc vị truyền thống xuất khẩu Mông Cổ  (gói) 300g*24EA (HD)</t>
  </si>
  <si>
    <t>1024413</t>
  </si>
  <si>
    <t>Tteokbokki Hàn Quốc vị phô mai xuất khẩu Mông Cổ (gói) 300g*24EA (HD)</t>
  </si>
  <si>
    <t>1024427</t>
  </si>
  <si>
    <t>Sốt lẩu hoàn chỉnh Lẩu Hải Sản 180g*40EA (HD)</t>
  </si>
  <si>
    <t>1024469</t>
  </si>
  <si>
    <t>Lá Kim trẻ em 5g lốc 3*24ED (HD)</t>
  </si>
  <si>
    <t>1024470</t>
  </si>
  <si>
    <t>LÁ KIM TẢO BIỂN CAO CẤP 5g LỐC 3 * 24EA (HD)</t>
  </si>
  <si>
    <t>1024606</t>
  </si>
  <si>
    <t>Lá Kim cắt nhỏ tẩm gia vị 1kg*10EA (HD)</t>
  </si>
  <si>
    <t>Sốt me hoàn chỉnh 250g*20EA (HD</t>
  </si>
  <si>
    <t>1024671</t>
  </si>
  <si>
    <t>Hạt nêm Vua bếp 2kg*6EA (HD)</t>
  </si>
  <si>
    <t>Lá Kim trẻ em 5g lốc 3 * 36 lốc ( HD)</t>
  </si>
  <si>
    <t>1025004</t>
  </si>
  <si>
    <t>Tokpokki Hàn Quốc vị truyền thống 105g Lốc 3 * 8 Lốc (HD)</t>
  </si>
  <si>
    <t>1025005</t>
  </si>
  <si>
    <t>Tokpokki Hàn Quốc vị phô mai 105g Lốc 3 * 8 Lốc (HD)</t>
  </si>
  <si>
    <t>1025007</t>
  </si>
  <si>
    <t>Tokpokki Hàn Quốc vị truyền thống 140g Lốc 3 * 8 Lốc (HD)</t>
  </si>
  <si>
    <t>1025009</t>
  </si>
  <si>
    <t>Tokpokki Hàn Quốc vị phô mai 140g Lốc 3 * 8 Lốc (HD)</t>
  </si>
  <si>
    <t>1025345</t>
  </si>
  <si>
    <t>Sốt ướp thịt Hàn Quốc vị truyền thống 2.5kg*5EA (HD)</t>
  </si>
  <si>
    <t>1025346</t>
  </si>
  <si>
    <t>Sốt gà chiên vị cay Hàn Quốc 2.5kg * 5EA (HD)</t>
  </si>
  <si>
    <t>1025347</t>
  </si>
  <si>
    <t>Sốt gà chiên vị phô mai Hàn Quốc 2.5Kg * 5EA (HD)</t>
  </si>
  <si>
    <t>1025348</t>
  </si>
  <si>
    <t>Sốt tokpokki truyền thống Hàn Quốc 2.5kg * 5EA (HD)</t>
  </si>
  <si>
    <t>1025349</t>
  </si>
  <si>
    <t>Sốt tokpokki vị phô mai Hàn Quốc 2.5kg * 5EA (HD)</t>
  </si>
  <si>
    <t>1025351</t>
  </si>
  <si>
    <t>Sốt muối Kim Chi Hàn Quốc 900g * 10EA (HD)</t>
  </si>
  <si>
    <t>1025387</t>
  </si>
  <si>
    <t>Dầu hào 120g * 24EA (HD)</t>
  </si>
  <si>
    <t>Dầu hào 250g * 24EA (HD)</t>
  </si>
  <si>
    <t>Sốt muối kim chi Hàn Quốc cay dịu 180g*40EA (HD)</t>
  </si>
  <si>
    <t>1025391</t>
  </si>
  <si>
    <t>Sốt muối Kim Chi Hàn Quốc 180g lốc 3 gói KM hộp nhựa (16 lốc) HD</t>
  </si>
  <si>
    <t>1025466</t>
  </si>
  <si>
    <t>Rong biển giòn trộn gia vị 40g * 30EA (HD)</t>
  </si>
  <si>
    <t>1025467</t>
  </si>
  <si>
    <t>Rong biển giòn trộn khô gà 40g * 30EA (HD)</t>
  </si>
  <si>
    <t>1025468</t>
  </si>
  <si>
    <t>Rong biển giòn trộn hải sản 40g * 30EA (HD)</t>
  </si>
  <si>
    <t>1025469</t>
  </si>
  <si>
    <t>Rong biển giòn trộn hạt óc chó, hạnh nhân 40g * 30EA (HD)</t>
  </si>
  <si>
    <t>Sốt Spaghetti Phô mai Kem 120g * 40EA(HD)</t>
  </si>
  <si>
    <t>Sốt Spaghetti Rose - Kem &amp; cà chua 120g *40EA(HD)</t>
  </si>
  <si>
    <t>Sốt Spaghetti Bolognese - Thịt bằm 120g * 40EA(HD)</t>
  </si>
  <si>
    <t>1025532</t>
  </si>
  <si>
    <t>Bột chiên giòn thêm hạt 500g x 20EA (HD)</t>
  </si>
  <si>
    <t>1025600</t>
  </si>
  <si>
    <t>Tokpokki Hàn Quốc tròn vị phô mai - không cay 105g khuyến mại Lốc (2+1)*8 Lốc (HD)</t>
  </si>
  <si>
    <t>2145724</t>
  </si>
  <si>
    <t>Xúc xích Keilbasa 200g</t>
  </si>
  <si>
    <t>1025601</t>
  </si>
  <si>
    <t>Tokpokki Hàn Quốc vị tương đen 105g khuyến mại Lốc (2+1) * 8 Lốc (HD)</t>
  </si>
  <si>
    <t>1025602</t>
  </si>
  <si>
    <t>Tokpokki Hàn Quốc tròn vị phô mai - không cay 140g khuyến mại Lốc (2+1) * 8 Lốc (HD)</t>
  </si>
  <si>
    <t>1025603</t>
  </si>
  <si>
    <t>Tokpokki Hàn Quốc vị tương đen 140g khuyến mại Lốc (2+1) * 8 Lốc (HD)</t>
  </si>
  <si>
    <t>Lá kim tẩm gia vị 22g*64EA (HD)</t>
  </si>
  <si>
    <t>Sốt lẩu hoàn chỉnh Lẩu riêu cua 180g * 40EA (HD)</t>
  </si>
  <si>
    <t>Sốt lẩu hoàn chỉnh Lẩu Bò 180g * 40EA (HD)</t>
  </si>
  <si>
    <t>1105621</t>
  </si>
  <si>
    <t>Rong biển dầu Oliu 4.5g lốc 3*24EA GO (HD)</t>
  </si>
  <si>
    <t>1105622</t>
  </si>
  <si>
    <t>Rong biển dầu Oliu 4.5g lốc 3 * 36EA GO (HD)</t>
  </si>
  <si>
    <t>1105623</t>
  </si>
  <si>
    <t>Rong biển giòn 30g*30EA GO (HD)</t>
  </si>
  <si>
    <t>1105624</t>
  </si>
  <si>
    <t>Rong biển cuộn cơm 20g * 64EA GO (HD)</t>
  </si>
  <si>
    <t>1105737</t>
  </si>
  <si>
    <t>Sốt Bít tết tiêu đen 240g * 20EA (HD)</t>
  </si>
  <si>
    <t>1105752</t>
  </si>
  <si>
    <t>Lá kim tẩm gia vị 22g Lốc 4 *16EA (HD)</t>
  </si>
  <si>
    <t>1105765</t>
  </si>
  <si>
    <t>Miến khoai lang sợi cắt 200g * 35EA (HD)</t>
  </si>
  <si>
    <t>1105788</t>
  </si>
  <si>
    <t>Tteokbokki Hàn Quốc vị truyền thống xuất khẩu Philippines (cốc) 105g*24EA (HD)</t>
  </si>
  <si>
    <t>1105789</t>
  </si>
  <si>
    <t>Tteokbokki Hàn Quốc vị phô mai xuất khẩu Philippines (cốc) 105g*24EA (HD)</t>
  </si>
  <si>
    <t>1105790</t>
  </si>
  <si>
    <t>Tteokbokki Hàn Quốc vị chua ngọt xuất khẩu Philippines (cốc) 105g*24EA (HD)</t>
  </si>
  <si>
    <t>1105791</t>
  </si>
  <si>
    <t>Tteokbokki Hàn Quốc vị tương đen xuất khẩu Philippines (cốc) 105g*24EA (HD)</t>
  </si>
  <si>
    <t>1105803</t>
  </si>
  <si>
    <t>Lá Kim tẩm dầu Oliu 2g*400EA (HD)</t>
  </si>
  <si>
    <t>1105844</t>
  </si>
  <si>
    <t>Lá Kim tẩm dầu Oliu 4g lốc 3 * 36 lốc (HD)</t>
  </si>
  <si>
    <t>Mì chính (L) 100g Lốc 10 (12 Lốc)</t>
  </si>
  <si>
    <t>1106004</t>
  </si>
  <si>
    <t>Rong biển tẩm dầu Oliu 4.5g lốc 3 * 48EA MM (HD)</t>
  </si>
  <si>
    <t>1106005</t>
  </si>
  <si>
    <t>Rong biển giòn trộn gia vị 40g * 48EA MM (HD)</t>
  </si>
  <si>
    <t>1106009</t>
  </si>
  <si>
    <t>Rong biển giòn trộn gia vị xuất khẩu Đài Loan 30g *30EA (HD)</t>
  </si>
  <si>
    <t>1106010</t>
  </si>
  <si>
    <t>Rong biển giòn trộn hải sản xuất khẩu Đài Loan 30g*30EA (HD)</t>
  </si>
  <si>
    <t>1106011</t>
  </si>
  <si>
    <t>Rong biển giòn trộn hạt óc chó và hạnh nhân xuất khẩu Đài Loan 30g*30EA (HD)</t>
  </si>
  <si>
    <t>1106013</t>
  </si>
  <si>
    <t>Rong biển giòn trộn hải sản xuất khẩu Thái Lan 30g*30EA (HD)</t>
  </si>
  <si>
    <t>1106014</t>
  </si>
  <si>
    <t>Rong biển giòn trộn hạt óc chó và hạnh nhân xuất khẩu Thái Lan 30g*30EA (HD)</t>
  </si>
  <si>
    <t>1106016</t>
  </si>
  <si>
    <t>Rong biển giòn trộn khô gà xuất khẩu Thái Lan 30g*30EA (HD)</t>
  </si>
  <si>
    <t>2151520</t>
  </si>
  <si>
    <t>Lạp xưởng tươi (62g) 500g (Đ)</t>
  </si>
  <si>
    <t>1106025</t>
  </si>
  <si>
    <t>Tteokbokki Hàn Quốc vị truyền thống Tân Việt - XK Ba Lan (gói) 140g*12EA (HD)</t>
  </si>
  <si>
    <t>2145725</t>
  </si>
  <si>
    <t>Xúc xích King BBQ 250g</t>
  </si>
  <si>
    <t>1106026</t>
  </si>
  <si>
    <t>Tteokbokki Hàn Quốc vị chua ngọt Tân Việt - XK Ba Lan (gói) 140g*12EA (HD)</t>
  </si>
  <si>
    <t>1106108</t>
  </si>
  <si>
    <t>Tteokbokki Hàn Quốc vị Rose xuất khẩu Nhật Bản (hộp) 100g*12EA (HD) mới</t>
  </si>
  <si>
    <t>1106109</t>
  </si>
  <si>
    <t>Tteokbokki Hàn Quốc vị Rose xuất khẩu Nhật Bản (gói) 125g*10EA (HD) mới</t>
  </si>
  <si>
    <t>Sốt spaghetti Bolognese/Phô mai Kem/Rose 120g lốc 3 KM Mì Spaghetti 250g * 12 lốc HD</t>
  </si>
  <si>
    <t>1106393</t>
  </si>
  <si>
    <t>Lá kim tẩm dầu Ô Liu 2g *480 EA (hộp 60*8 hộp) (HD)</t>
  </si>
  <si>
    <t>Sốt Spaghetti Phô mai Kem 340g * 15EA (HD)</t>
  </si>
  <si>
    <t>Sốt Spaghetti Rose - Kem &amp; cà chua 340g * 15EA (HD)</t>
  </si>
  <si>
    <t>Sốt Spaghetti Bolognese - Thịt bằm 340g * 15EA (HD)</t>
  </si>
  <si>
    <t>2145750</t>
  </si>
  <si>
    <t>Dọi quế hong khói 500g</t>
  </si>
  <si>
    <t>Tokpokki Rose Hàn Quốc (hộp) 100g * 24EA (HD)</t>
  </si>
  <si>
    <t>Tokpokki Rose Hàn Quốc (gói) 125g * 24EA (HD)</t>
  </si>
  <si>
    <t>1106885</t>
  </si>
  <si>
    <t>Dầu Hào 360g * 20EA (HD)</t>
  </si>
  <si>
    <t>Rong biển giòn trộn cá hồi 30g * 30EA (HD)</t>
  </si>
  <si>
    <t>Rong biển giòn trộn rau &amp; hạt 30g * 30 EA (HD)</t>
  </si>
  <si>
    <t>2001557</t>
  </si>
  <si>
    <t>Rong biển cuốn cơm 20g*64EA (HQ)</t>
  </si>
  <si>
    <t>2002049</t>
  </si>
  <si>
    <t>Rong biển Hàn Quốc 200g*12EA (HQ)</t>
  </si>
  <si>
    <t>2002056</t>
  </si>
  <si>
    <t>Rong biển hàn quốc 100g*24EA (HQ)</t>
  </si>
  <si>
    <t>2002060</t>
  </si>
  <si>
    <t>Rong biển hàn quốc 25g*40EA (HQ)</t>
  </si>
  <si>
    <t>2002074</t>
  </si>
  <si>
    <t>Tảo biển 150g</t>
  </si>
  <si>
    <t>Rong biển tẩm gia vị 18.4g*24Lốc</t>
  </si>
  <si>
    <t>2008101</t>
  </si>
  <si>
    <t>Mì Spaghetti 500g</t>
  </si>
  <si>
    <t>2009923</t>
  </si>
  <si>
    <t>Miến khoai lang 1kg</t>
  </si>
  <si>
    <t>2012687</t>
  </si>
  <si>
    <t>Sốt tương đen 14kg*1ea (HD)</t>
  </si>
  <si>
    <t>2013243</t>
  </si>
  <si>
    <t>Sốt mì spaghetti vị hành tỏi nướng</t>
  </si>
  <si>
    <t>2013589</t>
  </si>
  <si>
    <t>Xốt mayonnaise 120g*24BT</t>
  </si>
  <si>
    <t>2014150</t>
  </si>
  <si>
    <t>Tương ớt 14Kg*1ea</t>
  </si>
  <si>
    <t>Sốt Bolognese cho mì Ý truyền thống 370g*12ea</t>
  </si>
  <si>
    <t>2014296</t>
  </si>
  <si>
    <t>Mì truyền thống 500g</t>
  </si>
  <si>
    <t>Rong biển giòn trộn gia vị 50g*20EA</t>
  </si>
  <si>
    <t>2014652</t>
  </si>
  <si>
    <t>Si ro Cà Phê 1L5*6ea</t>
  </si>
  <si>
    <t>Lá kim cuốn cơm 10g*64ea</t>
  </si>
  <si>
    <t>2015417</t>
  </si>
  <si>
    <t>Rong biển tẩm dầu oliu 5g*3gói (HQ) (15 Lốc)</t>
  </si>
  <si>
    <t>2015418</t>
  </si>
  <si>
    <t>Rong biển tẩm dầu olive 5g lốc 9 (6+3) *10Lốc (HQ)</t>
  </si>
  <si>
    <t>2017319</t>
  </si>
  <si>
    <t>Canh rong biển vị thịt bò 7g*12 gói*20EA (HQ)</t>
  </si>
  <si>
    <t>2017320</t>
  </si>
  <si>
    <t>Canh rong biển vị ngao biển 7g*12 gói*20EA (HQ)</t>
  </si>
  <si>
    <t>2017321</t>
  </si>
  <si>
    <t>Canh rong biển vị miso 8g*12 gói*20EA (HQ)</t>
  </si>
  <si>
    <t>2017499</t>
  </si>
  <si>
    <t>Dầu vừng cao cấp 1.65L*10EA NK (HD)</t>
  </si>
  <si>
    <t>2018479</t>
  </si>
  <si>
    <t>Kim Chi Hàn Quốc (Hộp) 160g*36EA</t>
  </si>
  <si>
    <t>2018480</t>
  </si>
  <si>
    <t>Kim Chi Xào Hàn Quốc (Hộp) 160g*36EA</t>
  </si>
  <si>
    <t>2020050</t>
  </si>
  <si>
    <t>Mì Kim Chi 140g*12EA</t>
  </si>
  <si>
    <t>2021813</t>
  </si>
  <si>
    <t>Rong biển ăn liền tẩm dầu oliu 8g*40EA</t>
  </si>
  <si>
    <t>2021814</t>
  </si>
  <si>
    <t>Rong biển ăn liền vị cay 4g lốc 2*40 Lốc</t>
  </si>
  <si>
    <t>2021815</t>
  </si>
  <si>
    <t>Rong biển ăn liền vị BBQ 4g lốc 2*40 Lốc</t>
  </si>
  <si>
    <t>2023474</t>
  </si>
  <si>
    <t>KIMCHI RAMEN 122g*24EA</t>
  </si>
  <si>
    <t>2023490</t>
  </si>
  <si>
    <t>Mì kim chi ( lốc ) 122g Lốc 4 * 6 Lốc</t>
  </si>
  <si>
    <t>2023619</t>
  </si>
  <si>
    <t>Mì Kim Chi ( hộp nhỏ) 85g*24EA</t>
  </si>
  <si>
    <t>2025360</t>
  </si>
  <si>
    <t>Rabokki mì trộn, vị cay ngọt Gochujang 86 g*24EA</t>
  </si>
  <si>
    <t>2025897</t>
  </si>
  <si>
    <t>Mì trộn Rabokki vị tương Ganjang 82g*24EA</t>
  </si>
  <si>
    <t>2029517</t>
  </si>
  <si>
    <t>Mì rong biển hộp 65g*24</t>
  </si>
  <si>
    <t>2030761</t>
  </si>
  <si>
    <t>Thạch vị Lựu 180g*30gói</t>
  </si>
  <si>
    <t>2030780</t>
  </si>
  <si>
    <t>Thạch vị Cam Dâu tây 180g*30 gói</t>
  </si>
  <si>
    <t>2030782</t>
  </si>
  <si>
    <t>Thạch vị Táo xanh 180g*30ea</t>
  </si>
  <si>
    <t>Snack Rong biển cuộn nướng vị phô mai 6g*90EA</t>
  </si>
  <si>
    <t>2100011</t>
  </si>
  <si>
    <t>Xốt Mayonnaise 500gr x 12BT</t>
  </si>
  <si>
    <t>2141173</t>
  </si>
  <si>
    <t>Rong nho 130g * 20EA</t>
  </si>
  <si>
    <t>2142646</t>
  </si>
  <si>
    <t>Muối hồng tiêu đen 100g*24EA</t>
  </si>
  <si>
    <t>2142647</t>
  </si>
  <si>
    <t>Bột ớt kiểu Hàn Quốc 45g*24EA</t>
  </si>
  <si>
    <t>2142648</t>
  </si>
  <si>
    <t>Bột rong biển Hàn Quốc 25g*24EA</t>
  </si>
  <si>
    <t>Mì Ý Spaghetti O'Food 500g * 24EA</t>
  </si>
  <si>
    <t>Snack rong biển nướng Wavy vị truyền thống 8g * 60EA</t>
  </si>
  <si>
    <t>Snack rong biển nướng Wavy vị phô mai 8g * 60EA</t>
  </si>
  <si>
    <t>2144607</t>
  </si>
  <si>
    <t>Snack rong biển nướng Wavy vị Wasabi 8g * 60EA</t>
  </si>
  <si>
    <t>2145622</t>
  </si>
  <si>
    <t>Kimchi cải thảo cắt lát 450g * 24EA</t>
  </si>
  <si>
    <t>2145631</t>
  </si>
  <si>
    <t>Kimchi cải thảo cắt lát ít cay 450g * 24EA</t>
  </si>
  <si>
    <t>2145640</t>
  </si>
  <si>
    <t>Đức Việt Handy kid- xúc xích ăn liền 115g * 20EA</t>
  </si>
  <si>
    <t>2145641</t>
  </si>
  <si>
    <t>Đức Việt Handy kid- xúc xích ăn liền 200g * 20EA</t>
  </si>
  <si>
    <t>2145642</t>
  </si>
  <si>
    <t>Đức Việt Handy kid- xúc xích ăn liền 1000g * 6EA</t>
  </si>
  <si>
    <t>2145643</t>
  </si>
  <si>
    <t>Bánh bao chay 180g *40EA</t>
  </si>
  <si>
    <t>2145644</t>
  </si>
  <si>
    <t>Bánh bao chay trắng 180g *40EA</t>
  </si>
  <si>
    <t>2145645</t>
  </si>
  <si>
    <t>Đức Việt Handy kid- xúc xích ăn liền (ca) 1000g * 6EA</t>
  </si>
  <si>
    <t>2145646</t>
  </si>
  <si>
    <t>Bánh bao nhân thập cẩm 270g *35EA</t>
  </si>
  <si>
    <t>2145647</t>
  </si>
  <si>
    <t>Bánh bao nhân thập cẩm trứng cút 110g *75EA</t>
  </si>
  <si>
    <t>2145649</t>
  </si>
  <si>
    <t>Chả giò thịt đặc biệt 400g *20EA</t>
  </si>
  <si>
    <t>2145650</t>
  </si>
  <si>
    <t>Chả giò hải sản đặc biệt 400g *20EA</t>
  </si>
  <si>
    <t>2145651</t>
  </si>
  <si>
    <t>Đức Việt Handy - xúc xích ăn liền vị heo 192g * 20EA</t>
  </si>
  <si>
    <t>2145652</t>
  </si>
  <si>
    <t>Cá viên 500g</t>
  </si>
  <si>
    <t>2145653</t>
  </si>
  <si>
    <t>Viên hải sản rau củ 500g</t>
  </si>
  <si>
    <t>2145654</t>
  </si>
  <si>
    <t>Viên vị bò 500g</t>
  </si>
  <si>
    <t>2145655</t>
  </si>
  <si>
    <t>Viên vị tôm 500g</t>
  </si>
  <si>
    <t>2145656</t>
  </si>
  <si>
    <t>Sủi cảo nhân thịt heo rau củ 450g *24EA</t>
  </si>
  <si>
    <t>2145658</t>
  </si>
  <si>
    <t>Đức Việt Handy - xúc xích ăn liền vị bò 192g * 20EA</t>
  </si>
  <si>
    <t>2145682</t>
  </si>
  <si>
    <t>O'food Xúc xích xốt Spaghetti 62g * 24EA</t>
  </si>
  <si>
    <t>2145683</t>
  </si>
  <si>
    <t>Bánh bao nhân Thịt heo trứng cút 440g *10EA</t>
  </si>
  <si>
    <t>2145684</t>
  </si>
  <si>
    <t>O'food Xúc xích xốt Tokpokki vị phô mai Hàn Quốc 62g * 24EA</t>
  </si>
  <si>
    <t>2145692</t>
  </si>
  <si>
    <t>Bánh bao nhân Bò nướng Bulgogi 200g *20EA</t>
  </si>
  <si>
    <t>2145693</t>
  </si>
  <si>
    <t>Bánh bao nhân Xá Xíu 200g *20EA</t>
  </si>
  <si>
    <t>2145694</t>
  </si>
  <si>
    <t>Bánh bao nhân Pizza phô mai 200g *20EA</t>
  </si>
  <si>
    <t>2145696</t>
  </si>
  <si>
    <t>Seoul's Hotdog 500g</t>
  </si>
  <si>
    <t>2145697</t>
  </si>
  <si>
    <t>Seoul's Hotdog Nhân phô mai 250g</t>
  </si>
  <si>
    <t>2145698</t>
  </si>
  <si>
    <t>Seoul's Hotdog Nhân phô mai 500g</t>
  </si>
  <si>
    <t>2145699</t>
  </si>
  <si>
    <t>2145700</t>
  </si>
  <si>
    <t>Xúc xích viên hong khói 300g</t>
  </si>
  <si>
    <t>2145701</t>
  </si>
  <si>
    <t>Seoul's Hotdog Chiên xù 500g</t>
  </si>
  <si>
    <t>2145702</t>
  </si>
  <si>
    <t>Seoul's Hotdog Khoai tây 500g</t>
  </si>
  <si>
    <t>2145703</t>
  </si>
  <si>
    <t>Viên hải sản phô mai 300g *20EA</t>
  </si>
  <si>
    <t>2145704</t>
  </si>
  <si>
    <t>Viên cá hồi rong biển 300g *20EA</t>
  </si>
  <si>
    <t>2145715</t>
  </si>
  <si>
    <t>Xúc xích nướng (50) 500g</t>
  </si>
  <si>
    <t>2145716</t>
  </si>
  <si>
    <t>Viên mực rong biển 300g *20EA</t>
  </si>
  <si>
    <t>2145717</t>
  </si>
  <si>
    <t>Bánh da xốp Pizza phô mai 200g *20EA</t>
  </si>
  <si>
    <t>2145719</t>
  </si>
  <si>
    <t>Bánh da xốp nhân phô mai Custard 200g *20EA</t>
  </si>
  <si>
    <t>2145720</t>
  </si>
  <si>
    <t>Chả cốm 400g</t>
  </si>
  <si>
    <t>2145722</t>
  </si>
  <si>
    <t>Xúc xích Đồng Quê 350g</t>
  </si>
  <si>
    <t>2145723</t>
  </si>
  <si>
    <t>Xúc xích Nurembe 300g</t>
  </si>
  <si>
    <t>2145736</t>
  </si>
  <si>
    <t>Thăn heo hong khói 500g</t>
  </si>
  <si>
    <t>2145738</t>
  </si>
  <si>
    <t>Jăm bông hấp cục 1000g</t>
  </si>
  <si>
    <t>2145739</t>
  </si>
  <si>
    <t>Jăm bông hấp 500g</t>
  </si>
  <si>
    <t>2145742</t>
  </si>
  <si>
    <t>Xúc xích Đức Deli 500g</t>
  </si>
  <si>
    <t>2145747</t>
  </si>
  <si>
    <t>Xúc xích thịt heo Bragenwurst 400g</t>
  </si>
  <si>
    <t>2145748</t>
  </si>
  <si>
    <t>Chân giò hong khói rút xương 400g</t>
  </si>
  <si>
    <t>2145753</t>
  </si>
  <si>
    <t>Xúc xích gà hong khói 500g</t>
  </si>
  <si>
    <t>2145754</t>
  </si>
  <si>
    <t>Xúc xích Festival 500g (42g)</t>
  </si>
  <si>
    <t>1108182</t>
  </si>
  <si>
    <t>Rong biển giòn trộn gia vị 40g * 30EA (HD) (Lucky)</t>
  </si>
  <si>
    <t>1108184</t>
  </si>
  <si>
    <t>Rong biển giòn trộn khô gà 40g * 30EA (HD) (Lucky)</t>
  </si>
  <si>
    <t>1108179</t>
  </si>
  <si>
    <t>Lá Kim tẩm dầu Ô Liu 5g lốc 9(KM6+3)*12 lốc(HD) (Lucky)</t>
  </si>
  <si>
    <t>1108177</t>
  </si>
  <si>
    <t>Lá Kim tẩm dầu Ô liu 5g lốc 3 * 36 lốc ( HD) (Lucky)</t>
  </si>
  <si>
    <t>1108186</t>
  </si>
  <si>
    <t>Lá Kim trẻ em 5g lốc 3 * 36 lốc ( HD) (Lucky)</t>
  </si>
  <si>
    <t>1108181</t>
  </si>
  <si>
    <t>Lá Kim tẩm dầu Ô Liu 5g lốc 16(KM10+6)*8 lốc (HD)Lucky</t>
  </si>
  <si>
    <t>1108176</t>
  </si>
  <si>
    <t>Lá Kim tẩm dầu Ô Liu 5g lốc 3*24 lốc (HD) (Lucky)</t>
  </si>
  <si>
    <t>1108209</t>
  </si>
  <si>
    <t>Lá kim cắt nhỏ 20 mesh 4kg * 5 EA *(HD) - Sản xuất chung</t>
  </si>
  <si>
    <t>2150435</t>
  </si>
  <si>
    <t>Xúc xích Chicagos 500g (đóng tự động) (Đ)</t>
  </si>
  <si>
    <t>1106904</t>
  </si>
  <si>
    <t>Lá kim cuốn cơm 100 lá * 14 EA (19x21cm) (HD)</t>
  </si>
  <si>
    <t>1106903</t>
  </si>
  <si>
    <t>Lá kim cuốn cơm 100 lá * 14 EA (19x26cm) (HD)</t>
  </si>
  <si>
    <t>2150432</t>
  </si>
  <si>
    <t>Xúc xích Pari (50g) 500g (Đ)</t>
  </si>
  <si>
    <t>1022922</t>
  </si>
  <si>
    <t>Sốt Tokpokki vị phô mai 25g*1ea (XK)</t>
  </si>
  <si>
    <t>2150434</t>
  </si>
  <si>
    <t>Xúc xích Romas CL ( 50g) 500g (Tự động) (Đ)</t>
  </si>
  <si>
    <t>1108180</t>
  </si>
  <si>
    <t>Lá Kim Tảo biển cao cấp 5g lốc 3 * 36 lốc (HD) (Lucky)</t>
  </si>
  <si>
    <t>1108188</t>
  </si>
  <si>
    <t>RONG BIỂN HÀN QUỐC 80g * 24 EA (HD) (Lucky)</t>
  </si>
  <si>
    <t>Lá Kim tẩm dầu Ô Liu 4g lốc 24 Tết * 8 lốc (HD)</t>
  </si>
  <si>
    <t>1100027</t>
  </si>
  <si>
    <t>Mì chính (M) 100g* 120EA</t>
  </si>
  <si>
    <t>1106975</t>
  </si>
  <si>
    <t>Mì chính (M) 100g * 120EA (R)</t>
  </si>
  <si>
    <t>1016506</t>
  </si>
  <si>
    <t>Mì chính(L) 10000đ lốc 10 (8 lốc)</t>
  </si>
  <si>
    <t>1100003</t>
  </si>
  <si>
    <t>Mì chính (L) 180g* 80EA</t>
  </si>
  <si>
    <t>1100028</t>
  </si>
  <si>
    <t>Mì chính (M) 180g* 80EA</t>
  </si>
  <si>
    <t>1020267</t>
  </si>
  <si>
    <t>Mì chính (L) 1Kg*16EA KM 03 Đĩa sứ (LT)</t>
  </si>
  <si>
    <t>1100102</t>
  </si>
  <si>
    <t>Mì chính (L) 1Kg* 16EA (LT)</t>
  </si>
  <si>
    <t>1025297</t>
  </si>
  <si>
    <t>Mì chính (L) 1Kg KM Mì chính (L) 100g (14 lốc)</t>
  </si>
  <si>
    <t>1017785</t>
  </si>
  <si>
    <t>Mì chính (L) 1kg KM bột chiên 100g (16lốc)</t>
  </si>
  <si>
    <t>1100016</t>
  </si>
  <si>
    <t>Mì chính (L) 1Kg KM Hạt nêm 900g (16 Lốc)</t>
  </si>
  <si>
    <t>1020158</t>
  </si>
  <si>
    <t>Mì chính (L) 1kg*16EA KM 03 đĩa sứ</t>
  </si>
  <si>
    <t>1100017</t>
  </si>
  <si>
    <t>Mì chính (L) 1Kg KM Bột canh 190g (16 Lốc)</t>
  </si>
  <si>
    <t>1020604</t>
  </si>
  <si>
    <t>Mì chính (L) 1 kg*16EA KM 01 bột chiên gà giòn 35g</t>
  </si>
  <si>
    <t>1019979</t>
  </si>
  <si>
    <t>Mì chính (M) 1kg*16EA KM 02 gói mì chính 100gM</t>
  </si>
  <si>
    <t>1105753</t>
  </si>
  <si>
    <t>Mì chính 1kgM * 16EA (R)</t>
  </si>
  <si>
    <t>1100106</t>
  </si>
  <si>
    <t>Mì chính (M) 1Kg* 16EA (LT)</t>
  </si>
  <si>
    <t>1100035</t>
  </si>
  <si>
    <t>Mì chính (M) 1Kg* 16EA</t>
  </si>
  <si>
    <t>1025300</t>
  </si>
  <si>
    <t>Mì chính (M) 1Kg KM Mì chính (M) 100g (14 lốc)</t>
  </si>
  <si>
    <t>1100036</t>
  </si>
  <si>
    <t>Mì chính (M) 1Kg* 16EA (Metro)</t>
  </si>
  <si>
    <t>1100044</t>
  </si>
  <si>
    <t>Mì chính (S) 1Kg* 25EA</t>
  </si>
  <si>
    <t>1100108</t>
  </si>
  <si>
    <t>Mì chính (S) 1Kg* 25EA (LT)</t>
  </si>
  <si>
    <t>1100043</t>
  </si>
  <si>
    <t>Mì chính (S) 1Kg* 16EA</t>
  </si>
  <si>
    <t>1100004</t>
  </si>
  <si>
    <t>Mì chính (L) 227g* 80EA</t>
  </si>
  <si>
    <t>1100024</t>
  </si>
  <si>
    <t>Mì chính (L) 25Kg* 1EA</t>
  </si>
  <si>
    <t>1100040</t>
  </si>
  <si>
    <t>Mì chính (M) 25kg*1ea</t>
  </si>
  <si>
    <t>1100045</t>
  </si>
  <si>
    <t>Mì chính ( Bột ngọt)  S 25Kg* 1EA</t>
  </si>
  <si>
    <t>1100046</t>
  </si>
  <si>
    <t>Mì chính (S) 800Kg* 1EA(Bulk)(VT)</t>
  </si>
  <si>
    <t>2013123</t>
  </si>
  <si>
    <t>Mì chính (S) 25kg*1EA NK</t>
  </si>
  <si>
    <t>1100047</t>
  </si>
  <si>
    <t>Mì chính (SS) 25Kg * 1EA</t>
  </si>
  <si>
    <t>1100048</t>
  </si>
  <si>
    <t>Mì chính (SSS) 25Kg * 1EA</t>
  </si>
  <si>
    <t>1100103</t>
  </si>
  <si>
    <t>Mì chính (L) 2Kg* 6EA (LT)</t>
  </si>
  <si>
    <t>1014431</t>
  </si>
  <si>
    <t>Mì chính (L) 2Kg KM Bột canh 190g  (6 Lốc)</t>
  </si>
  <si>
    <t>1025301</t>
  </si>
  <si>
    <t>Mì chính (L) 2Kg KM Mì chính (L) 142g (5 lốc)</t>
  </si>
  <si>
    <t>1100022</t>
  </si>
  <si>
    <t>Mì chính (L) 2Kg KM Hạt nêm 200g (6 Lốc)</t>
  </si>
  <si>
    <t>1100020</t>
  </si>
  <si>
    <t>Mì chính (L) 2Kg KM Mì chính (L) 180g (6 Lốc)</t>
  </si>
  <si>
    <t>1100021</t>
  </si>
  <si>
    <t>Mì chính (L) 2Kg KM 2EA Bột canh 190g (6 Lốc)</t>
  </si>
  <si>
    <t>Mì chính (L) 2Kg* 6EA</t>
  </si>
  <si>
    <t>1107704</t>
  </si>
  <si>
    <t>Mì chính (L) 2kg * 6EA (R)</t>
  </si>
  <si>
    <t>1105967</t>
  </si>
  <si>
    <t>Mì chính 2KgM * 8EA (R)</t>
  </si>
  <si>
    <t>1100107</t>
  </si>
  <si>
    <t>Mì chính (M) 2Kg* 8EA (LT)</t>
  </si>
  <si>
    <t>1025302</t>
  </si>
  <si>
    <t>Mì chính (M) 2Kg KM Mì chính (L) 142g (7 lốc)</t>
  </si>
  <si>
    <t>1100153</t>
  </si>
  <si>
    <t>Mì chính (M) 2Kg KM Hạt nêm 200g (6 Lốc)</t>
  </si>
  <si>
    <t>1100136</t>
  </si>
  <si>
    <t>Mì chính (M) 2Kg KM 2 gói bột canh 190g (6 Lốc)</t>
  </si>
  <si>
    <t>1100098</t>
  </si>
  <si>
    <t>Mì chính (L) 350g* 40EA (LT)</t>
  </si>
  <si>
    <t>1100005</t>
  </si>
  <si>
    <t>Mì chính (L) 350g* 40EA</t>
  </si>
  <si>
    <t>1100029</t>
  </si>
  <si>
    <t>Mì chính (M) 350g* 40EA</t>
  </si>
  <si>
    <t>1019978</t>
  </si>
  <si>
    <t>Mì chính (M) 350g*40EA KM 02 gói mì chính 100gM</t>
  </si>
  <si>
    <t>1100105</t>
  </si>
  <si>
    <t>Mì chính (M) 350g* 40EA (LT)</t>
  </si>
  <si>
    <t>1106976</t>
  </si>
  <si>
    <t>Mì chính (M) 350g * 40EA (R)</t>
  </si>
  <si>
    <t>1020156</t>
  </si>
  <si>
    <t>Mì chính (L) 400g*40EA KM 03 đĩa sứ</t>
  </si>
  <si>
    <t>1100155</t>
  </si>
  <si>
    <t>Mì chính (L) 400g Lốc 5 KM Hạt nêm 200g (6 Lốc)</t>
  </si>
  <si>
    <t>1100099</t>
  </si>
  <si>
    <t>Mì chính (L) 400g* 40EA (LT)</t>
  </si>
  <si>
    <t>1100007</t>
  </si>
  <si>
    <t>Mì chính (L) 400g Lốc 5 (8 Lốc)</t>
  </si>
  <si>
    <t>1100030</t>
  </si>
  <si>
    <t>Mì chính (M) 400g* 40EA</t>
  </si>
  <si>
    <t>1016509</t>
  </si>
  <si>
    <t>Mì chính (L) 454g* 40EA KM áo mưa</t>
  </si>
  <si>
    <t>1020157</t>
  </si>
  <si>
    <t>Mì chính (L) 454g*40EA KM 03 đĩa sứ</t>
  </si>
  <si>
    <t>1100009</t>
  </si>
  <si>
    <t>Mì chính (L) 454g Lốc 5 (8 Lốc)</t>
  </si>
  <si>
    <t>1100010</t>
  </si>
  <si>
    <t>Mì chính (L) 454g Lốc 5 KM Hạt nêm 450g (6 Lốc)</t>
  </si>
  <si>
    <t>1100100</t>
  </si>
  <si>
    <t>Mì chính (L) 454g* 40EA (LT)</t>
  </si>
  <si>
    <t>1100250</t>
  </si>
  <si>
    <t>Mì chính (L) 454g Lốc 5 KM Hạt nêm 200g (6 Lốc)</t>
  </si>
  <si>
    <t>1018384</t>
  </si>
  <si>
    <t>Mì chính (L) 454g Lốc 2*12ea KM  bát sứ</t>
  </si>
  <si>
    <t>1100033</t>
  </si>
  <si>
    <t>Mì chính (M) 454g Lốc 5 KM Hạt nêm 450g (6 Lốc)</t>
  </si>
  <si>
    <t>1100257</t>
  </si>
  <si>
    <t>Mì chính (M) 454g Lốc 5 KM Hạt nêm 200g (6 Lốc)</t>
  </si>
  <si>
    <t>1106977</t>
  </si>
  <si>
    <t>Mì chính (M) 454g * 40EA (R)</t>
  </si>
  <si>
    <t>1100031</t>
  </si>
  <si>
    <t>Mì chính (M) 454g* 40EA</t>
  </si>
  <si>
    <t>1100032</t>
  </si>
  <si>
    <t>Mì chính (M) 454g Lốc 5 (8 Lốc)</t>
  </si>
  <si>
    <t>1014578</t>
  </si>
  <si>
    <t>Mì chính (S) 500g*30EA</t>
  </si>
  <si>
    <t>1100095</t>
  </si>
  <si>
    <t>Mì chính (L) 50g* 200EA (LT)</t>
  </si>
  <si>
    <t>1100001</t>
  </si>
  <si>
    <t>Mì chính (L) 50g* 200EA</t>
  </si>
  <si>
    <t>1100026</t>
  </si>
  <si>
    <t>Mì chính (M) 50g* 200EA</t>
  </si>
  <si>
    <t>1100023</t>
  </si>
  <si>
    <t>Mì chính (L) 5Kg* 4EA</t>
  </si>
  <si>
    <t>1106794</t>
  </si>
  <si>
    <t>Mì chính 5kg M * 4EA (R)</t>
  </si>
  <si>
    <t>1100038</t>
  </si>
  <si>
    <t>Mì chính (M) 5Kg* 4EA</t>
  </si>
  <si>
    <t>1100039</t>
  </si>
  <si>
    <t>Mì chính (M) 5Kg* 4EA (Metro)</t>
  </si>
  <si>
    <t>1014577</t>
  </si>
  <si>
    <t>Mì chính (S) 5000 đ lốc 10 (16 lốc)</t>
  </si>
  <si>
    <t>1100101</t>
  </si>
  <si>
    <t>Mì chính (L) 900g* 20EA (LT)</t>
  </si>
  <si>
    <t>1014441</t>
  </si>
  <si>
    <t>Mì chính (L) 900gr KM hạt nêm 65g (20set)</t>
  </si>
  <si>
    <t>1100011</t>
  </si>
  <si>
    <t>Mì chính (L) 900g* 20EA</t>
  </si>
  <si>
    <t>1100012</t>
  </si>
  <si>
    <t>Mì chính (L) 900g KM Mì chính (L) 100g (20 Lốc)</t>
  </si>
  <si>
    <t>1100013</t>
  </si>
  <si>
    <t>Mì chính (L) 900g KM Mì chính (M) 100g (20 Lốc)</t>
  </si>
  <si>
    <t>1100154</t>
  </si>
  <si>
    <t>Mì chính (L) 900g KM Bột canh 190g (20 Lốc)</t>
  </si>
  <si>
    <t>1014622</t>
  </si>
  <si>
    <t>Mì chính (L) 900gr KM GVHH Tẩm khô 30gr (20set)</t>
  </si>
  <si>
    <t>1100034</t>
  </si>
  <si>
    <t>Mì chính (M) 900g* 20EA</t>
  </si>
  <si>
    <t>1107982</t>
  </si>
  <si>
    <t>Sốt Gamjatang DVS - 감자탕소스 4kg</t>
  </si>
  <si>
    <t>1108248</t>
  </si>
  <si>
    <t>Rong biển giòn trộn hải sản 40g KM lá kim oliu 4g*30EA(HD)Lucky</t>
  </si>
  <si>
    <t>1108249</t>
  </si>
  <si>
    <t>Rong biển giòn trộn khô gà 40g KM lá kim oliu 4g*30EA(HD)Lucky</t>
  </si>
  <si>
    <t>1108250</t>
  </si>
  <si>
    <t>Rong biển giòn trộn hạt óc chó, hạnh nhân 40g KM lá kim oliu 4g*30EA(HD)Lucky</t>
  </si>
  <si>
    <t>1108247</t>
  </si>
  <si>
    <t>Rong biển giòn trộn gia vị 40g KM lá kim oliu 4g*30EA(HD)Lucky</t>
  </si>
  <si>
    <t>1108189</t>
  </si>
  <si>
    <t>Rong biển Hàn Quốc 40g * 40 EA (HD) (Lucky)</t>
  </si>
  <si>
    <t>1105929</t>
  </si>
  <si>
    <t>TH12 GO! COMBO RONG BIỂN SUM VẦY 83.5g * 12EA (HD)</t>
  </si>
  <si>
    <t>1021843</t>
  </si>
  <si>
    <t>Bột chiên xù 200g*20EA (HD)</t>
  </si>
  <si>
    <t>1108297</t>
  </si>
  <si>
    <t>Sốt Spaghetti Nguyên bản 120g * 40EA GO (HD)</t>
  </si>
  <si>
    <t>1108298</t>
  </si>
  <si>
    <t>Sốt Spaghetti Nguyên bản 340g * 15EA GO (HD)</t>
  </si>
  <si>
    <t>2151032</t>
  </si>
  <si>
    <t>Kim chi củ cải 450g * 24EA</t>
  </si>
  <si>
    <t>1107740</t>
  </si>
  <si>
    <t>Rong biển giòn trộn gia vị 500g * 10EA (HD)</t>
  </si>
  <si>
    <t>2150594</t>
  </si>
  <si>
    <t>TPBS Nucare vị gạo rang 200ml * 30EA</t>
  </si>
  <si>
    <t>2150595</t>
  </si>
  <si>
    <t>TPBS Nucare vị mè đen 200ml * 30EA</t>
  </si>
  <si>
    <t>2150596</t>
  </si>
  <si>
    <t>TPBS Nucare Glucose Plan vị óc chó 200ml * 30EA</t>
  </si>
  <si>
    <t>2150592</t>
  </si>
  <si>
    <t>TPBS Nucare Glucose Plan vị đậu nành 200ml * 30EA</t>
  </si>
  <si>
    <t>2150593</t>
  </si>
  <si>
    <t>TPBS Nucare Cancer Plan 200ml * 30EA</t>
  </si>
  <si>
    <t>1108364</t>
  </si>
  <si>
    <t>Rong biển giòn trộn hải sản xuất khẩu Thái Lan 30g * 20EA (HD)</t>
  </si>
  <si>
    <t>1021857</t>
  </si>
  <si>
    <t>Bột chiên gà giòn 35g*120EA (Lốc 12 x 10 lốc) (HD)</t>
  </si>
  <si>
    <t>1108365</t>
  </si>
  <si>
    <t>Rong biển giòn trộn hạt óc chó và hạnh nhân xuất khẩu Thái Lan 30g * 20EA (HD)</t>
  </si>
  <si>
    <t>1108363</t>
  </si>
  <si>
    <t>Rong biển giòn trộn khô gà xuất khẩu Thái Lan 30g * 20EA (HD)</t>
  </si>
  <si>
    <t>1017717</t>
  </si>
  <si>
    <t>Bột chiên gà giòn 35g lốc 12 (10 lốc)</t>
  </si>
  <si>
    <t>1017718</t>
  </si>
  <si>
    <t>Bột chiên gà giòn 70g lốc 10 (10 lốc)</t>
  </si>
  <si>
    <t>2150433</t>
  </si>
  <si>
    <t>Xúc xích Mỹ 500g (Đ)</t>
  </si>
  <si>
    <t>1108546</t>
  </si>
  <si>
    <t>Lá Kim tẩm dầu Ô Liu 4g lốc 24*8 EA (HD)</t>
  </si>
  <si>
    <t>CHI NHÁNH NAM ĐÀN - CÔNG TY CỔ PHẦN DỊCH VỤ THƯƠNG MẠI TỔNG HỢP VINCOMMERCE</t>
  </si>
  <si>
    <t>CN MB Đặc biệt 1 (MSG)</t>
  </si>
  <si>
    <t>CN MB Đặc biệt 1(O'Food)</t>
  </si>
  <si>
    <t>CN Miền bắc ĐB 1 ( Food NK)</t>
  </si>
  <si>
    <t>CN MBDB1_hàng TM đức việt</t>
  </si>
  <si>
    <t>CN MB Đặc biệt 2 (MSG)</t>
  </si>
  <si>
    <t>CN MB Đặc biệt 2 (O'Food)</t>
  </si>
  <si>
    <t>CN Miền bắc ĐB 2 ( Food NK)</t>
  </si>
  <si>
    <t>CN MBDB2_hàng TM đức việt</t>
  </si>
  <si>
    <t>CN MN Đặc biệt 3 ( MSG)</t>
  </si>
  <si>
    <t>CN MN Đặc biệt 3 (Food)</t>
  </si>
  <si>
    <t>CN MN Đặc biệt 3 ( Food Nk)</t>
  </si>
  <si>
    <t>CN Miền nam đặc biệt 3 hàng DV</t>
  </si>
  <si>
    <t>DS-DV</t>
  </si>
  <si>
    <t>HN0040</t>
  </si>
  <si>
    <t>HN-HD110</t>
  </si>
  <si>
    <t>HN-VH110</t>
  </si>
  <si>
    <t>Mã kho</t>
  </si>
  <si>
    <t>Tên kho</t>
  </si>
  <si>
    <t>HNTG100</t>
  </si>
  <si>
    <t>Kim chi 450</t>
  </si>
  <si>
    <t>Kim chi ít cay 450g</t>
  </si>
  <si>
    <t>8935101608119</t>
  </si>
  <si>
    <t>8935101608126</t>
  </si>
  <si>
    <t>4127</t>
  </si>
  <si>
    <t>2979</t>
  </si>
  <si>
    <t>3031</t>
  </si>
  <si>
    <t>4635</t>
  </si>
  <si>
    <t>5523</t>
  </si>
  <si>
    <t>2635</t>
  </si>
  <si>
    <t>5520</t>
  </si>
  <si>
    <t>3023</t>
  </si>
  <si>
    <t>5552</t>
  </si>
  <si>
    <t>5541</t>
  </si>
  <si>
    <t>2434</t>
  </si>
  <si>
    <t>2321</t>
  </si>
  <si>
    <t>1654</t>
  </si>
  <si>
    <t>2777</t>
  </si>
  <si>
    <t>3027</t>
  </si>
  <si>
    <t>3183</t>
  </si>
  <si>
    <t>2539</t>
  </si>
  <si>
    <t>2776</t>
  </si>
  <si>
    <t>2244</t>
  </si>
  <si>
    <t>2532</t>
  </si>
  <si>
    <t>5617</t>
  </si>
  <si>
    <t>5496</t>
  </si>
  <si>
    <t>5073</t>
  </si>
  <si>
    <t>5292</t>
  </si>
  <si>
    <t>2395</t>
  </si>
  <si>
    <t>2756</t>
  </si>
  <si>
    <t>4128</t>
  </si>
  <si>
    <t>5324</t>
  </si>
  <si>
    <t>4241</t>
  </si>
  <si>
    <t>2138</t>
  </si>
  <si>
    <t>5343</t>
  </si>
  <si>
    <t>2046</t>
  </si>
  <si>
    <t>F209</t>
  </si>
  <si>
    <t>2012</t>
  </si>
  <si>
    <t>5066</t>
  </si>
  <si>
    <t>5672</t>
  </si>
  <si>
    <t>6204</t>
  </si>
  <si>
    <t>5247</t>
  </si>
  <si>
    <t>2165</t>
  </si>
  <si>
    <t>2428</t>
  </si>
  <si>
    <t>4244</t>
  </si>
  <si>
    <t>4449</t>
  </si>
  <si>
    <t>5615</t>
  </si>
  <si>
    <t>1660</t>
  </si>
  <si>
    <t>2101</t>
  </si>
  <si>
    <t>5377</t>
  </si>
  <si>
    <t>2166</t>
  </si>
  <si>
    <t>2274</t>
  </si>
  <si>
    <t>5225</t>
  </si>
  <si>
    <t>2260</t>
  </si>
  <si>
    <t>2743</t>
  </si>
  <si>
    <t>4294</t>
  </si>
  <si>
    <t>6111</t>
  </si>
  <si>
    <t>4986</t>
  </si>
  <si>
    <t>5284</t>
  </si>
  <si>
    <t>5255</t>
  </si>
  <si>
    <t>5308</t>
  </si>
  <si>
    <t>5344</t>
  </si>
  <si>
    <t>4931</t>
  </si>
  <si>
    <t>6887</t>
  </si>
  <si>
    <t>2ACZ</t>
  </si>
  <si>
    <t>2B15</t>
  </si>
  <si>
    <t>2B65</t>
  </si>
  <si>
    <t>2BA7</t>
  </si>
  <si>
    <t>2BB1</t>
  </si>
  <si>
    <t>2BT1</t>
  </si>
  <si>
    <t>2BBZ</t>
  </si>
  <si>
    <t>2BCO</t>
  </si>
  <si>
    <t>2BMN</t>
  </si>
  <si>
    <t>2BNA</t>
  </si>
  <si>
    <t>2BKN</t>
  </si>
  <si>
    <t>2AGQ</t>
  </si>
  <si>
    <t>2BGR</t>
  </si>
  <si>
    <t>2BDG</t>
  </si>
  <si>
    <t>2BKZ</t>
  </si>
  <si>
    <t>2BOX</t>
  </si>
  <si>
    <t>2BJI</t>
  </si>
  <si>
    <t>2BPP</t>
  </si>
  <si>
    <t>2BPZ</t>
  </si>
  <si>
    <t>2BFK</t>
  </si>
  <si>
    <t>2BPL</t>
  </si>
  <si>
    <t>2BLD</t>
  </si>
  <si>
    <t>2BQE</t>
  </si>
  <si>
    <t>2BD2</t>
  </si>
  <si>
    <t>2BLJ</t>
  </si>
  <si>
    <t>2BOW</t>
  </si>
  <si>
    <t>2BNS</t>
  </si>
  <si>
    <t>2BPF</t>
  </si>
  <si>
    <t>2BPQ</t>
  </si>
  <si>
    <t>2BOA</t>
  </si>
  <si>
    <t>2BOK</t>
  </si>
  <si>
    <t>2BNQ</t>
  </si>
  <si>
    <t>2BOM</t>
  </si>
  <si>
    <t>2BOE</t>
  </si>
  <si>
    <t>2BOD</t>
  </si>
  <si>
    <t>2BNT</t>
  </si>
  <si>
    <t>2BFA</t>
  </si>
  <si>
    <t>2BNX</t>
  </si>
  <si>
    <t>2BKE</t>
  </si>
  <si>
    <t>2BDE</t>
  </si>
  <si>
    <t>2BOT</t>
  </si>
  <si>
    <t>2BPT</t>
  </si>
  <si>
    <t>2BPU</t>
  </si>
  <si>
    <t>2BPX</t>
  </si>
  <si>
    <t>2BJP</t>
  </si>
  <si>
    <t>2BLM</t>
  </si>
  <si>
    <t>2BQL</t>
  </si>
  <si>
    <t>2BMG</t>
  </si>
  <si>
    <t>2BMQ</t>
  </si>
  <si>
    <t>2BOB</t>
  </si>
  <si>
    <t>2BOQ</t>
  </si>
  <si>
    <t>2BPK</t>
  </si>
  <si>
    <t>2BOP</t>
  </si>
  <si>
    <t>2BNW</t>
  </si>
  <si>
    <t>73002010</t>
  </si>
  <si>
    <t>73002005</t>
  </si>
  <si>
    <t>73002776</t>
  </si>
  <si>
    <t>73001995</t>
  </si>
  <si>
    <t>73001998</t>
  </si>
  <si>
    <t>73002017</t>
  </si>
  <si>
    <t>73001996</t>
  </si>
  <si>
    <t>73002000</t>
  </si>
  <si>
    <t>73002016</t>
  </si>
  <si>
    <t>73002006</t>
  </si>
  <si>
    <t>73002002</t>
  </si>
  <si>
    <t>73002004</t>
  </si>
  <si>
    <t>73002015</t>
  </si>
  <si>
    <t>73001999</t>
  </si>
  <si>
    <t>73002001</t>
  </si>
  <si>
    <t>73002021</t>
  </si>
  <si>
    <t>73001997</t>
  </si>
  <si>
    <t>73002013</t>
  </si>
  <si>
    <t>73001994</t>
  </si>
  <si>
    <t>73002018</t>
  </si>
  <si>
    <t>73002009</t>
  </si>
  <si>
    <t>73002020</t>
  </si>
  <si>
    <t>73002014</t>
  </si>
  <si>
    <t>73002019</t>
  </si>
  <si>
    <t>73002008</t>
  </si>
  <si>
    <t>73002022</t>
  </si>
  <si>
    <t>73002003</t>
  </si>
  <si>
    <t>73002012</t>
  </si>
  <si>
    <t>73002007</t>
  </si>
  <si>
    <t>73002011</t>
  </si>
  <si>
    <t>11204088</t>
  </si>
  <si>
    <t>73004427</t>
  </si>
  <si>
    <t>73004561</t>
  </si>
  <si>
    <t>11202926</t>
  </si>
  <si>
    <t>11204487</t>
  </si>
  <si>
    <t>11204438</t>
  </si>
  <si>
    <t>73004424</t>
  </si>
  <si>
    <t>B158B3D</t>
  </si>
  <si>
    <t>18/02/2026</t>
  </si>
  <si>
    <t>POST 05 - PHÁI ĐẸP TỎA SÁNG</t>
  </si>
  <si>
    <t>18/03/2026</t>
  </si>
  <si>
    <t>1546</t>
  </si>
  <si>
    <t>WM VCP DNG Đà Nẵng</t>
  </si>
  <si>
    <t>TTTM Vincom Đà Nẵng, Ngô Quyền , Quận Sơn Trà , TP. Đà Nẵng, Việt Nam</t>
  </si>
  <si>
    <t>1682</t>
  </si>
  <si>
    <t>WM BDH Quy Nhơn</t>
  </si>
  <si>
    <t>52 Tăng Bạt Hổ, Phường Lê Lợi, Thành Phố Quy Nhơn, T. Bình Định Việt Nam</t>
  </si>
  <si>
    <t>73002025</t>
  </si>
  <si>
    <t>73002023</t>
  </si>
  <si>
    <t>CHI NHÁNH ĐÀ NẴNG - CÔNG TY CỔ PHẦN DỊCH VỤ THƯƠNG MẠI TỔNG HỢP WINCOMMERCE</t>
  </si>
  <si>
    <t>CHI NHÁNH BÌNH ĐỊNH - CÔNG TY CỔ PHẦN DỊCH VỤ THƯƠNG MẠI TỔNG HỢP WINCOMMERCE</t>
  </si>
  <si>
    <t>Miền Trung đặc biệt 1</t>
  </si>
  <si>
    <t>Miền Trung đặc biệt 2</t>
  </si>
  <si>
    <t>B_164DB2</t>
  </si>
  <si>
    <t>B_163DB1</t>
  </si>
  <si>
    <t>CN MTDB2_hàng TM đức việt</t>
  </si>
  <si>
    <t>CN MTDB1_hàng TM đức việt</t>
  </si>
  <si>
    <t>DNTG100</t>
  </si>
  <si>
    <t>QNTV50</t>
  </si>
  <si>
    <t>2A03</t>
  </si>
  <si>
    <t>2A29</t>
  </si>
  <si>
    <t>2A33</t>
  </si>
  <si>
    <t>2A38</t>
  </si>
  <si>
    <t>2A74</t>
  </si>
  <si>
    <t>2A94</t>
  </si>
  <si>
    <t>2A96</t>
  </si>
  <si>
    <t>2A98</t>
  </si>
  <si>
    <t>2AA1</t>
  </si>
  <si>
    <t>2AA7</t>
  </si>
  <si>
    <t>2AAD</t>
  </si>
  <si>
    <t>2AAG</t>
  </si>
  <si>
    <t>2AAK</t>
  </si>
  <si>
    <t>2AAR</t>
  </si>
  <si>
    <t>2AAX</t>
  </si>
  <si>
    <t>2AB3</t>
  </si>
  <si>
    <t>2ABH</t>
  </si>
  <si>
    <t>2ABI</t>
  </si>
  <si>
    <t>2ABS</t>
  </si>
  <si>
    <t>2ABT</t>
  </si>
  <si>
    <t>2ABU</t>
  </si>
  <si>
    <t>2AC0</t>
  </si>
  <si>
    <t>2AC1</t>
  </si>
  <si>
    <t>2AC3</t>
  </si>
  <si>
    <t>2ACA</t>
  </si>
  <si>
    <t>2ACK</t>
  </si>
  <si>
    <t>2ACV</t>
  </si>
  <si>
    <t>2AD2</t>
  </si>
  <si>
    <t>2ADD</t>
  </si>
  <si>
    <t>2ADV</t>
  </si>
  <si>
    <t>2ADW</t>
  </si>
  <si>
    <t>2AEF</t>
  </si>
  <si>
    <t>2AEH</t>
  </si>
  <si>
    <t>2AEQ</t>
  </si>
  <si>
    <t>2AEV</t>
  </si>
  <si>
    <t>2AF9</t>
  </si>
  <si>
    <t>2AFB</t>
  </si>
  <si>
    <t>2AGN</t>
  </si>
  <si>
    <t>2AGU</t>
  </si>
  <si>
    <t>2AH5</t>
  </si>
  <si>
    <t>2AH7</t>
  </si>
  <si>
    <t>2AHB</t>
  </si>
  <si>
    <t>2AHI</t>
  </si>
  <si>
    <t>2AHW</t>
  </si>
  <si>
    <t>2AI4</t>
  </si>
  <si>
    <t>2AI8</t>
  </si>
  <si>
    <t>2AIA</t>
  </si>
  <si>
    <t>2AIB</t>
  </si>
  <si>
    <t>2AIL</t>
  </si>
  <si>
    <t>2AIP</t>
  </si>
  <si>
    <t>2AJL</t>
  </si>
  <si>
    <t>2AJM</t>
  </si>
  <si>
    <t>2AJQ</t>
  </si>
  <si>
    <t>2AJY</t>
  </si>
  <si>
    <t>2AK9</t>
  </si>
  <si>
    <t>2ALS</t>
  </si>
  <si>
    <t>2ALX</t>
  </si>
  <si>
    <t>2AM0</t>
  </si>
  <si>
    <t>2AM1</t>
  </si>
  <si>
    <t>2AMC</t>
  </si>
  <si>
    <t>2AMQ</t>
  </si>
  <si>
    <t>2AMT</t>
  </si>
  <si>
    <t>2AN6</t>
  </si>
  <si>
    <t>2AN9</t>
  </si>
  <si>
    <t>2ANE</t>
  </si>
  <si>
    <t>2ANM</t>
  </si>
  <si>
    <t>2ANN</t>
  </si>
  <si>
    <t>2AO5</t>
  </si>
  <si>
    <t>2AO7</t>
  </si>
  <si>
    <t>2AOA</t>
  </si>
  <si>
    <t>2AOB</t>
  </si>
  <si>
    <t>2AOF</t>
  </si>
  <si>
    <t>2AOG</t>
  </si>
  <si>
    <t>2AOH</t>
  </si>
  <si>
    <t>2AOI</t>
  </si>
  <si>
    <t>2AOU</t>
  </si>
  <si>
    <t>2AOV</t>
  </si>
  <si>
    <t>2AOW</t>
  </si>
  <si>
    <t>2AOX</t>
  </si>
  <si>
    <t>2AOZ</t>
  </si>
  <si>
    <t>2AP1</t>
  </si>
  <si>
    <t>2APB</t>
  </si>
  <si>
    <t>2APF</t>
  </si>
  <si>
    <t>2APH</t>
  </si>
  <si>
    <t>2APJ</t>
  </si>
  <si>
    <t>2APP</t>
  </si>
  <si>
    <t>2AQ6</t>
  </si>
  <si>
    <t>2AQ9</t>
  </si>
  <si>
    <t>2AQD</t>
  </si>
  <si>
    <t>2AQS</t>
  </si>
  <si>
    <t>2AQW</t>
  </si>
  <si>
    <t>2AQZ</t>
  </si>
  <si>
    <t>2AR3</t>
  </si>
  <si>
    <t>2AR4</t>
  </si>
  <si>
    <t>2AS4</t>
  </si>
  <si>
    <t>2AS6</t>
  </si>
  <si>
    <t>2ASK</t>
  </si>
  <si>
    <t>2ASW</t>
  </si>
  <si>
    <t>2ASX</t>
  </si>
  <si>
    <t>2AT3</t>
  </si>
  <si>
    <t>2ATI</t>
  </si>
  <si>
    <t>2ATJ</t>
  </si>
  <si>
    <t>2AU5</t>
  </si>
  <si>
    <t>2AU8</t>
  </si>
  <si>
    <t>2AV7</t>
  </si>
  <si>
    <t>2AVA</t>
  </si>
  <si>
    <t>2AVB</t>
  </si>
  <si>
    <t>2AVC</t>
  </si>
  <si>
    <t>2AVN</t>
  </si>
  <si>
    <t>2AVQ</t>
  </si>
  <si>
    <t>2AVS</t>
  </si>
  <si>
    <t>2AVY</t>
  </si>
  <si>
    <t>2AW1</t>
  </si>
  <si>
    <t>2AWG</t>
  </si>
  <si>
    <t>2AWJ</t>
  </si>
  <si>
    <t>2AWR</t>
  </si>
  <si>
    <t>2AWS</t>
  </si>
  <si>
    <t>2AWV</t>
  </si>
  <si>
    <t>2AX1</t>
  </si>
  <si>
    <t>2AX2</t>
  </si>
  <si>
    <t>2AX4</t>
  </si>
  <si>
    <t>2AX7</t>
  </si>
  <si>
    <t>2AX9</t>
  </si>
  <si>
    <t>2AXI</t>
  </si>
  <si>
    <t>2AXN</t>
  </si>
  <si>
    <t>2AXO</t>
  </si>
  <si>
    <t>2AXR</t>
  </si>
  <si>
    <t>2AXW</t>
  </si>
  <si>
    <t>2AY9</t>
  </si>
  <si>
    <t>2AYA</t>
  </si>
  <si>
    <t>2AYI</t>
  </si>
  <si>
    <t>2AYP</t>
  </si>
  <si>
    <t>2AYQ</t>
  </si>
  <si>
    <t>2AYR</t>
  </si>
  <si>
    <t>2AYS</t>
  </si>
  <si>
    <t>2AZ7</t>
  </si>
  <si>
    <t>2AZE</t>
  </si>
  <si>
    <t>2AZF</t>
  </si>
  <si>
    <t>2B01</t>
  </si>
  <si>
    <t>2B02</t>
  </si>
  <si>
    <t>2B12</t>
  </si>
  <si>
    <t>2B17</t>
  </si>
  <si>
    <t>2B18</t>
  </si>
  <si>
    <t>2B26</t>
  </si>
  <si>
    <t>2B27</t>
  </si>
  <si>
    <t>2B28</t>
  </si>
  <si>
    <t>2B29</t>
  </si>
  <si>
    <t>2B30</t>
  </si>
  <si>
    <t>2B32</t>
  </si>
  <si>
    <t>2B46</t>
  </si>
  <si>
    <t>2B47</t>
  </si>
  <si>
    <t>2B61</t>
  </si>
  <si>
    <t>2B62</t>
  </si>
  <si>
    <t>2B64</t>
  </si>
  <si>
    <t>2B85</t>
  </si>
  <si>
    <t>2B99</t>
  </si>
  <si>
    <t>2BA6</t>
  </si>
  <si>
    <t>2BAD</t>
  </si>
  <si>
    <t>2BAE</t>
  </si>
  <si>
    <t>2BAF</t>
  </si>
  <si>
    <t>2BC0</t>
  </si>
  <si>
    <t>2BC7</t>
  </si>
  <si>
    <t>2BC9</t>
  </si>
  <si>
    <t>2BE7</t>
  </si>
  <si>
    <t>2BG0</t>
  </si>
  <si>
    <t>2BG3</t>
  </si>
  <si>
    <t>2BH4</t>
  </si>
  <si>
    <t>2BH9</t>
  </si>
  <si>
    <t>2BI4</t>
  </si>
  <si>
    <t>2BI5</t>
  </si>
  <si>
    <t>2BI6</t>
  </si>
  <si>
    <t>2BK3</t>
  </si>
  <si>
    <t>2BL0</t>
  </si>
  <si>
    <t>2BL1</t>
  </si>
  <si>
    <t>2BL9</t>
  </si>
  <si>
    <t>2BO1</t>
  </si>
  <si>
    <t>2BP0</t>
  </si>
  <si>
    <t>2BP6</t>
  </si>
  <si>
    <t>2BP8</t>
  </si>
  <si>
    <t>2BQ1</t>
  </si>
  <si>
    <t>2BQ2</t>
  </si>
  <si>
    <t>2BQ4</t>
  </si>
  <si>
    <t>2BR5</t>
  </si>
  <si>
    <t>2BS8</t>
  </si>
  <si>
    <t>2BU4</t>
  </si>
  <si>
    <t>2BU5</t>
  </si>
  <si>
    <t>2BV5</t>
  </si>
  <si>
    <t>2BX2</t>
  </si>
  <si>
    <t>2BX8</t>
  </si>
  <si>
    <t>2BY9</t>
  </si>
  <si>
    <t>73005052</t>
  </si>
  <si>
    <t>73002035</t>
  </si>
  <si>
    <t>73002045</t>
  </si>
  <si>
    <t>73002056</t>
  </si>
  <si>
    <t>73002034</t>
  </si>
  <si>
    <t>73002053</t>
  </si>
  <si>
    <t>73002036</t>
  </si>
  <si>
    <t>73002049</t>
  </si>
  <si>
    <t>73002027</t>
  </si>
  <si>
    <t>73002044</t>
  </si>
  <si>
    <t>WM+ DNG 8 Chu Huy Mân</t>
  </si>
  <si>
    <t>8 Chu Huy Mân, Phường Mân Thái, Quận Sơn Trà, TP. Đà Nẵng Việt Nam</t>
  </si>
  <si>
    <t>WIN DNG 53 Phan Đăng Lưu</t>
  </si>
  <si>
    <t>53 Phan Đăng Lưu, Phường Hòa Cường, Nam, Quận Hải Châu, TP. Đà Nẵng Việt Nam</t>
  </si>
  <si>
    <t>WM+ DNG 111-113 Trần Hưng Đạo</t>
  </si>
  <si>
    <t>111- 113, Trần Hưng Đạo, Quận Sơn Trà, TP. Đà Nẵng Việt Nam</t>
  </si>
  <si>
    <t>WM+ DNG 134 Ba Tháng Hai</t>
  </si>
  <si>
    <t>134, Ba Tháng Hai, P. Thuận Phước, Quận Hải Châu, TP. Đà Nẵng Việt Nam</t>
  </si>
  <si>
    <t>WM+ DNG 213 Hoàng Diệu</t>
  </si>
  <si>
    <t>213, Hoàng Diệu, P. Bình Hiên, Quận Hải Châu, TP. Đà Nẵng Việt Nam</t>
  </si>
  <si>
    <t>WIN DNG 114 Quang Trung</t>
  </si>
  <si>
    <t>114, Quang Trung, Phường Thạch Thang, Quận Hải Châu, TP. Đà Nẵng Việt Nam</t>
  </si>
  <si>
    <t>WM+ DNG 179 Hồ Nghinh</t>
  </si>
  <si>
    <t>179 Hồ Nghinh, P. Phước Mỹ, Quận Sơn Trà, TP. Đà Nẵng Việt Nam</t>
  </si>
  <si>
    <t>WM+ DNG 408 Hoàng Diệu</t>
  </si>
  <si>
    <t>408 Hoàng Diệu P. Bình Thuận, Quận Hải Châu, TP. Đà Nẵng Việt Nam</t>
  </si>
  <si>
    <t>WM+ DNG 88 Hà Huy Tập - DN</t>
  </si>
  <si>
    <t>88 Hà Huy Tập, tổ 84, P. An Khê, Quận Thanh Khê, TP. Đà Nẵng Việt Nam</t>
  </si>
  <si>
    <t>WM+ DNG 71 Lê Hồng Phong</t>
  </si>
  <si>
    <t>71 Lê Hồng Phong, P. Phước Ninh, Quận Hải Châu, TP. Đà Nẵng Việt Nam</t>
  </si>
  <si>
    <t>WM+ DNG 47 Lý Thường Kiệt - ĐN</t>
  </si>
  <si>
    <t>47 Lý Thường Kiệt, Phường Thạch Thang, Quận Hải Châu, TP. Đà Nẵng Việt Nam</t>
  </si>
  <si>
    <t>WM+ DNG 55 Cao Thắng</t>
  </si>
  <si>
    <t>55 Cao Thắng, Phường Thanh Bình, Quận Hải Châu, TP. Đà Nẵng Việt Nam</t>
  </si>
  <si>
    <t>WM+ DNG 278C Trưng Nữ Vương</t>
  </si>
  <si>
    <t>278C Trưng Nữ Vương, P. Bình Thuận, Quận Hải Châu, TP. Đà Nẵng Việt Nam</t>
  </si>
  <si>
    <t>WM+ DNG 485 Trần Cao Vân</t>
  </si>
  <si>
    <t>Số 485 Trần Cao Vân, tổ 18, Phường Xuân Hà, Quận Thanh Khê, TP. Đà Nẵng Việt Nam</t>
  </si>
  <si>
    <t>WM+ KHA 8B Dã Tượng</t>
  </si>
  <si>
    <t>8B Dã Tượng, P. Phước Long, Thành phố Nha Trang, T. Khánh Hòa Việt Nam</t>
  </si>
  <si>
    <t>WM+ DNG 55 Hồ Xuân Hương</t>
  </si>
  <si>
    <t>55 Hồ Xuân Hương, Phường Mỹ An, Quận Ngũ Hành Sơn, TP. Đà Nẵng Việt Nam</t>
  </si>
  <si>
    <t>WM+ QNM 486 Hùng Vương, Duy Xuyên</t>
  </si>
  <si>
    <t>486 Hùng Vương, Thị trấn Nam Phước, Huyện Duy Xuyên T. Quảng Nam Việt Nam</t>
  </si>
  <si>
    <t>WM+ TTH 46 Hai Bà Trưng</t>
  </si>
  <si>
    <t>46 Hai Bà Trưng, P. Vĩnh Ninh, TP. Huế T. Thừa Thiên - Huế Việt Nam</t>
  </si>
  <si>
    <t>WM+ KHA 64 Mai Xuân Thưởng</t>
  </si>
  <si>
    <t>64 Mai Xuân Thưởng, P. Vĩnh Hòa, TP. Nha Trang T. Khánh Hòa Việt Nam</t>
  </si>
  <si>
    <t>WM+ QNM Ngọc Vinh, Điện Bàn</t>
  </si>
  <si>
    <t>Khối phố Ngọc Vinh, P. Điện Ngọc, Thị xã Điện Bàn T. Quảng Nam Việt Nam</t>
  </si>
  <si>
    <t>WM+ KHA 11 Phong Châu</t>
  </si>
  <si>
    <t>11 Phong Châu, P. Phước Hải, TP. Nha Trang T. Khánh Hòa Việt Nam</t>
  </si>
  <si>
    <t>WM+ GLI 1107 - 1109 Quang Trung</t>
  </si>
  <si>
    <t>1107 - 1109 Quang Trung, P. An Phú, TX. An Khê T. Gia Lai Việt Nam</t>
  </si>
  <si>
    <t>WM+ GLI 435 Nguyễn Huệ</t>
  </si>
  <si>
    <t>435 Nguyễn Huệ, Thị Trấn Đak Đoa, Huyện Đak Đoa T. Gia Lai Việt Nam</t>
  </si>
  <si>
    <t>WM+ QTI 240 Lý Thường Kiệt</t>
  </si>
  <si>
    <t>SN 240, Đường Lý Thường Kiệt, Khu phố 7, P. 5, TP. Đông Hà T. Quảng Trị Việt Nam</t>
  </si>
  <si>
    <t>WM+ GLI 160 Hùng Vương</t>
  </si>
  <si>
    <t>160 Hùng Vương, Thị Trấn Chư Prông, Huyện Chư Prông T. Gia Lai Việt Nam</t>
  </si>
  <si>
    <t>WM+ QTI 473 Lê Duẩn</t>
  </si>
  <si>
    <t>473 Lê Duẩn, P. Đông Lương, TP. Đông Hà T. Quảng Trị Việt Nam</t>
  </si>
  <si>
    <t>WM+ QNM 116 Hùng Vương, Bắc Trà My</t>
  </si>
  <si>
    <t>116 Hùng Vương, Thị trấn Trà My, Huyện Bắc Trà My T. Quảng Nam Việt Nam</t>
  </si>
  <si>
    <t>WM+ QTI 72 Võ Nguyên Giáp, Gio Linh</t>
  </si>
  <si>
    <t>72 Võ Nguyên Giáp, TT. Gio Linh, H. H. Gio Linh, T. Quảng Trị Việt Nam</t>
  </si>
  <si>
    <t>WM+ QNM 21 Huỳnh Thúc Kháng</t>
  </si>
  <si>
    <t>21 Huỳnh Thúc Kháng, TT. Tiên Kỳ, H T. Quảng Nam Việt Nam</t>
  </si>
  <si>
    <t>WM+ KTM 1A Bà Triệu</t>
  </si>
  <si>
    <t>1A Bà Triệu, P. Thắng Lợi, TP. Kon Tum, T. Kon Tum Việt Nam</t>
  </si>
  <si>
    <t>WM+ QNI Thửa 398, TBĐ 9, Long Hiệp</t>
  </si>
  <si>
    <t>Thửa đất số 398, Tờ bản đồ 9, Thôn 2, X. Long Hiệp, H. Minh Long, T. Quảng Ngãi Việt Nam</t>
  </si>
  <si>
    <t>WM+ QNI 482 Nguyễn Nghiêm</t>
  </si>
  <si>
    <t>Số 482 Nguyễn Nghiêm, P. Nguyễn Nghiêm, TX. Đức Phổ T. Quảng Ngãi Việt Nam</t>
  </si>
  <si>
    <t>WM+ KTM 888 Hùng Vương</t>
  </si>
  <si>
    <t>888 Hùng Vương, TT. Plei Kần, H. Ngọc Hồi, T. Kon Tum Việt Nam</t>
  </si>
  <si>
    <t>WM+ GLI 331 Hùng Vương</t>
  </si>
  <si>
    <t>331 Hùng Vương, TT. La Kha, H. La Grai, T. Gia Lai Việt Nam</t>
  </si>
  <si>
    <t>WM+ BDH 206 Trần Phú</t>
  </si>
  <si>
    <t>206 Trần Phú, P. Bình Định, TX. An Nhơn, T. Bình Định Việt Nam</t>
  </si>
  <si>
    <t>WM+ KHA 47B Đường 22 Tháng 8</t>
  </si>
  <si>
    <t>51 đường 22 tháng 8, P. Cam Thuận, TP. Cam Ranh, T. Khánh Hòa Việt Nam</t>
  </si>
  <si>
    <t>WM+ TTH Lô E3-17&amp;18, KĐT Phú Mỹ An</t>
  </si>
  <si>
    <t>Lô E3-17 – Lô E3-18, KĐT Phú Mỹ An – Khu A đô thị mới An Vân Dương, P. An Đông, TP. Huế, T. Thừa Thiên - Huế Việt Nam</t>
  </si>
  <si>
    <t>WM+ GLI Ia Mrơn, Ia Pa</t>
  </si>
  <si>
    <t>ĐT 622, Xã Ia Mrơn, Huyện Ia Pa T. Gia Lai Việt Nam</t>
  </si>
  <si>
    <t>WM+ QTI 352 Trần Hưng Đạo</t>
  </si>
  <si>
    <t>Số 352 Đường Trần Hưng Đạo, P. 2, TX. Quảng Trị T. Quảng Trị Việt Nam</t>
  </si>
  <si>
    <t>WIN DNG 07 - 09 Mai Hắc Đế</t>
  </si>
  <si>
    <t>07 - 09 Mai Hắc Đế, P. An Hải Tây, Q. Sơn Trà TP. Đà Nẵng Việt Nam</t>
  </si>
  <si>
    <t>WM+ DNG 78 Huỳnh Văn Nghệ</t>
  </si>
  <si>
    <t>78 Huỳnh Văn Nghệ, P. Hoà Hải, Q. Ngũ Hành Sơn, TP. Đà Nẵng Việt Nam</t>
  </si>
  <si>
    <t>WM+ TTH QL1A, Thôn 9, Chợ Phú Bài</t>
  </si>
  <si>
    <t>Quốc lộ 1A, Thôn 9, X. Thủy Phù, TX. Hương Thủy, T. Thừa Thiên - Huế Việt Nam</t>
  </si>
  <si>
    <t>WM+ QNM 57 Hùng Vương</t>
  </si>
  <si>
    <t>57 Hùng Vương, TT. Nam Phước, H. Duy Xuyên, T. Quảng Nam Việt Nam</t>
  </si>
  <si>
    <t>WM+ BDH238 -240 Nguyễn Chí Thanh</t>
  </si>
  <si>
    <t>Số238 -240 Nguyễn Chí Thanh, Phường Tam Quan Bắc, Thị xã Hoài Nhơn, T. Bình Định Việt Nam</t>
  </si>
  <si>
    <t>WM+ KTM 245 Trần Hưng Đạo</t>
  </si>
  <si>
    <t>245 Trần Hưng Đạo, T. Kon Tum Việt Nam</t>
  </si>
  <si>
    <t>WM+ QTI Số 107 QL 9, Hướng Hóa</t>
  </si>
  <si>
    <t>107 QL 9, TT. Lao Bảo, H. Hướng Hóa T. Quảng Trị Việt Nam</t>
  </si>
  <si>
    <t>WM+ QNI 155 Phạm Văn Đồng</t>
  </si>
  <si>
    <t>155 Phạm Văn Đồng, TT. Ba Tơ T. Quảng Ngãi Việt Nam</t>
  </si>
  <si>
    <t>WM+ GLI Trần Hưng Đạo, Krông Pa</t>
  </si>
  <si>
    <t>Thửa đất 316, tờ bản đồ 25A, T. Gia Lai Việt Nam</t>
  </si>
  <si>
    <t>WM+ GLI 380 Quang Trung</t>
  </si>
  <si>
    <t>380 Quang Trung, TT. Chư Ty T. Gia Lai Việt Nam</t>
  </si>
  <si>
    <t>WM+ BDH 262 Quang Trung</t>
  </si>
  <si>
    <t>262 Quang Trung, TT. Ngô Mây T. Bình Định Việt Nam</t>
  </si>
  <si>
    <t>WM+ TTH 77 Nguyễn Chí Thanh</t>
  </si>
  <si>
    <t>77 Nguyễn Chí Thanh, P. Gia Hội T. Thừa Thiên - Huế Việt Nam</t>
  </si>
  <si>
    <t>WM+ KHA 146 Chính Hữu</t>
  </si>
  <si>
    <t>146 Chính Hữu, Thôn Văn Đăng 1, Xã Vĩnh Lương, TP. Nha Trang T. Khánh Hòa Việt Nam</t>
  </si>
  <si>
    <t>WM+ TTH 133 Nguyễn Sinh Cung</t>
  </si>
  <si>
    <t>133 Nguyễn Sinh Cung, P. Vỹ Dạ, TP. Huế T. Thừa Thiên - Huế Việt Nam</t>
  </si>
  <si>
    <t>WM+ QNI Thửa đất số 139-140, TBĐ số</t>
  </si>
  <si>
    <t>Thửa đất số 139-140, TBĐ số 36, Thôn Định Tân, X. Bình Châu, H. Bình Sơn T. Quảng Ngãi Việt Nam</t>
  </si>
  <si>
    <t>WM+ DNG 82 Nguyễn Văn Cừ</t>
  </si>
  <si>
    <t>82 Nguyễn Văn Cừ, P. Hòa Hiệp Bắc, Q. Liên Chiểu, TP. Đà Nẵn TP. Đà Nẵng Việt Nam</t>
  </si>
  <si>
    <t>WM+ QTI Khu phố 3, TT Cửa Việt</t>
  </si>
  <si>
    <t>Khu phố 3, Thị Trấn Cửa Việt, Huyện Gio Linh T. Quảng Trị Việt Nam</t>
  </si>
  <si>
    <t>WM+ QNM 136 ĐT609, Điện Thọ</t>
  </si>
  <si>
    <t>Số 136 Đường ĐT609, Xã Điện Thọ, Thị xã Điện Bàn T. Quảng Nam Việt Nam</t>
  </si>
  <si>
    <t>WM+ DNG 06 Đà Sơn</t>
  </si>
  <si>
    <t>06 Đà Sơn, P. Hòa Khánh Nam, Q. Liên Chiểu TP. Đà Nẵng Việt Nam</t>
  </si>
  <si>
    <t>WM+ DNG TĐS 218&amp;312, TBĐ 40, QL 1A</t>
  </si>
  <si>
    <t>Thửa đất số 218 và 312, Tờ bản đồ số 40, Đường Quốc lộ 1A, Thôn Giáng Nam 2, Xã Hòa Phước, Huyện Hòa Vang TP. Đà Nẵng Việt Nam</t>
  </si>
  <si>
    <t>WM+ DNG 124 Âu Cơ</t>
  </si>
  <si>
    <t>124 Âu Cơ, P. Hòa Khánh Bắc, Q. Liên Chiểu, TP. Đà Nẵng Việt Nam</t>
  </si>
  <si>
    <t>WM+ QTI 83 Lê Duẩn</t>
  </si>
  <si>
    <t>Số 83 Lê Duẩn, Thị trấn Khe Sanh, Huyện Hướng Hóa T. Quảng Trị Việt Nam</t>
  </si>
  <si>
    <t>WM+ QTI Khu phố An Đức 2, Vĩnh Linh</t>
  </si>
  <si>
    <t>Khu phố An Đức 2, Thị trấn Cửa Tùng, Huyện Vĩnh Linh T. Quảng Trị Việt Nam</t>
  </si>
  <si>
    <t>WM+ QTI L1_16-17, VCP Đông Hà</t>
  </si>
  <si>
    <t>L1_16-17, Vincom Plaza Đông Hà,P. Đông Lương, Hùng Vương, TP. Đông Hà T. Quảng Trị Việt Nam</t>
  </si>
  <si>
    <t>WM+ DNG 266 Âu Cơ</t>
  </si>
  <si>
    <t>266 Âu Cơ, P. Hòa Khánh Bắc, Q. Liên Chiểu, TP. Đà Nẵng TP. Đà Nẵng Việt Nam</t>
  </si>
  <si>
    <t>WM+ QNM ĐT609 Thôn Quảng Huế</t>
  </si>
  <si>
    <t>ĐT609 Thôn Quảng Huế, X. Đại An, H. Đại Lộc, T. Quảng Nam Việt Nam</t>
  </si>
  <si>
    <t>WM+ DNG 544 Tôn Đản</t>
  </si>
  <si>
    <t>544 Tôn Đản, P. Hoà Phát, Q. Cẩm Lệ TP. Đà Nẵng Việt Nam</t>
  </si>
  <si>
    <t>WM+ DNG 111 Phan Văn Đáng</t>
  </si>
  <si>
    <t>111 Phan Văn Đáng,Thôn Bàu Cầu, X. Hòa Châu, H. Hòa Vang, TP. Đà Nẵng Việt Nam</t>
  </si>
  <si>
    <t>WM+ DNG TĐS 1189, TBĐ 24, QL 14G</t>
  </si>
  <si>
    <t>Thửa đất số 1189, Tờ bản đồ số 24, Quốc lộ 14G TP. Đà Nẵng Việt Nam</t>
  </si>
  <si>
    <t>WM+ DNG 45 Trần Quang Khải</t>
  </si>
  <si>
    <t>45 Trần Quang Khải, P. Thọ Quang, Q. Sơn Trà, TP. Đà Nẵng Việt Nam</t>
  </si>
  <si>
    <t>WM+ DNG TĐS 871, TBĐ 16, ĐT605</t>
  </si>
  <si>
    <t>TĐS 871, TBĐ 16, ĐT605, Thôn Lệ Sơn Bắc, X. Hòa Tiến, H. Hòa Vang TP. Đà Nẵng Việt Nam</t>
  </si>
  <si>
    <t>WM+ GLI 256 Trần Hưng Đạo</t>
  </si>
  <si>
    <t>256 Trần Hưng Đạo, Thị trấn Kon Dơng, Huyện Mang Yang T. Gia Lai Việt Nam</t>
  </si>
  <si>
    <t>WM+ GLI 260 Phạm Văn Đồng</t>
  </si>
  <si>
    <t>260 Phạm Văn Đồng, P. Thống Nhất, TP. Pleiku T. Gia Lai Việt Nam</t>
  </si>
  <si>
    <t>WM+ DNG 141 Nguyễn Đình Tứ</t>
  </si>
  <si>
    <t>141 Nguyễn Đình Tứ, P. Hoà An, Q. Cẩm Lệ, TP. Đà Nẵng Việt Nam</t>
  </si>
  <si>
    <t>WM+ DNG 171 Nguyễn Lương Bằng</t>
  </si>
  <si>
    <t>171 Nguyễn Lương Bằng, Phường Hòa Khánh Bắc, Quận Liên Chiểu TP. Đà Nẵng Việt Nam</t>
  </si>
  <si>
    <t>WM+ DNG 14 Trần Đình Nam</t>
  </si>
  <si>
    <t>14 Trần Đình Nam, Tổ 46, Phường Hòa An, Quận Cẩm Lệ TP. Đà Nẵng Việt Nam</t>
  </si>
  <si>
    <t>WM+ DLK 272 Ngô Quyền</t>
  </si>
  <si>
    <t>272 Ngô Quyền, P. Tân An, TP. Buôn Ma Thuột, T. Đắk Lắk Việt Nam</t>
  </si>
  <si>
    <t>WM+ QNM ĐT610B Thôn Bảo An</t>
  </si>
  <si>
    <t>Thửa 975, TBĐ 16, ĐT610B, Thôn Bảo An, T. Quảng Nam Việt Nam</t>
  </si>
  <si>
    <t>WM+ QNI TĐ 491, TBĐ 15, Thôn An Kỳ</t>
  </si>
  <si>
    <t>Thửa đất số 491, Tờ bản đồ số 15,Thôn An Kỳ, X. Tịnh Kỳ, TP. Quảng Ngãi T. Quảng Ngãi Việt Nam</t>
  </si>
  <si>
    <t>WM+ BDH 488 Quang Trung</t>
  </si>
  <si>
    <t>Số 488 Quang Trung, Phường Tam Quan, Thị xã Hoài Nhơn, T. Bình Định Việt Nam</t>
  </si>
  <si>
    <t>WM+ PYN Phú Long, Tuy An</t>
  </si>
  <si>
    <t>Thôn Phú Long, Xã An Mỹ, Huyện Tuy An T. Phú Yên Việt Nam</t>
  </si>
  <si>
    <t>WM+ QNI Thửa 135-212, TBĐ TĐĐC-1</t>
  </si>
  <si>
    <t>Thửa 135, Tờ bản đồ TĐĐC và Thửa 212, Tờ bản đồ số 1, Đường QL 24B, X. Sơn Hạ, H. Sơn Hà, T. Quảng Ngãi Việt Nam</t>
  </si>
  <si>
    <t>WM+ QNI 813-815 Võ Nguyên Giáp</t>
  </si>
  <si>
    <t>813-815 Võ Nguyên Giáp, P. Trương Quang Trọng, T. Quảng Ngãi Việt Nam</t>
  </si>
  <si>
    <t>WM+ QNM Thôn Châu Lâm, Bình Trị</t>
  </si>
  <si>
    <t>Thửa đất số 386-486, Tờ bản đồ 06, Tổ 19, Thôn Châu Lâm, X. Bình Trị, H. Thăng Bình, T. Quảng Nam Việt Nam</t>
  </si>
  <si>
    <t>WM+ PYN 79 Lê Thành Phương</t>
  </si>
  <si>
    <t>79 Lê Thành Phương, Thị Trấn Chí Thạnh, Huyện Tuy An T. Phú Yên Việt Nam</t>
  </si>
  <si>
    <t>WM+ TTH 73 Sóng Hồng</t>
  </si>
  <si>
    <t>Số 73 Đường Sóng Hồng, Phường Phú Bài , Thị xã Hương Thủy T. Thừa Thiên - Huế Việt Nam</t>
  </si>
  <si>
    <t>WM+ BDH TĐ 861-862, TBD 13,Cát Hiệp</t>
  </si>
  <si>
    <t>Thửa đất số 861-862, Tờ bản đồ số 13, Thôn Hòa Đại, Đường ĐT 634, X. Cát Hiệp, H. Phù Cát T. Bình Định Việt Nam</t>
  </si>
  <si>
    <t>WM+ QNM 221 Đường Hồ Chí Minh</t>
  </si>
  <si>
    <t>221 Đường Hồ Chí Minh, TT. PRao, H. Đông Giang, T. Quảng Nam Việt Nam</t>
  </si>
  <si>
    <t>WM+ QNM TĐ 1081-1082,TBĐ 02,Bà Rén</t>
  </si>
  <si>
    <t>Thửa đất số 1081-1082, Tờ bản đồ 02, KP. Chợ Bà Rén, X. Quế Xuân 1, H. Quế Sơn T. Quảng Nam Việt Nam</t>
  </si>
  <si>
    <t>WM+ QNM 162 Đường DH4, Thôn Phú An</t>
  </si>
  <si>
    <t>162 Đường DH4, Thôn Phú An, X. Đại Thắng, H. Đại Lộc, T. Quảng Nam Việt Nam</t>
  </si>
  <si>
    <t>WM+ QNM 10C Hoàng Sa</t>
  </si>
  <si>
    <t>10C Hoàng Sa, TT. Nam Phước, H. Duy Xuyên, T. Quảng Nam T. Quảng Nam Việt Nam</t>
  </si>
  <si>
    <t>WM+ BDH TĐ 174, TBĐ 44, Chánh Danh</t>
  </si>
  <si>
    <t>Thửa đất số 174, Tờ bản đồ số 44,Thôn Chánh Danh, X. Cát Tài, H. Phù Cát, T. Bình Định Việt Nam</t>
  </si>
  <si>
    <t>WM+ QNM TĐ 1530,TBĐ 16,Thôn Mộc Bài</t>
  </si>
  <si>
    <t>Thửa đất số 1530, Tờ bản đồ số 16, H. Quế Sơn T. Quảng Nam Việt Nam</t>
  </si>
  <si>
    <t>WM+ QNM 343 - 345 Trần Cao Vân</t>
  </si>
  <si>
    <t>Thửa đất số 104 &amp; 324, Tờ bản đồ số 15, TP. Tam Kỳ T. Quảng Nam Việt Nam</t>
  </si>
  <si>
    <t>WM+ BDH TĐ 1108,TBĐ 06, Chợ Đầu Cầu</t>
  </si>
  <si>
    <t>Thửa đất số 1108, Tờ bản đồ số 06, T. Bình Định Việt Nam</t>
  </si>
  <si>
    <t>WM+ QNM ĐT 609, Thôn Lạc Thành Nam</t>
  </si>
  <si>
    <t>Thửa đất số 992, Tờ bản đồ số 07, Đường ĐT 609, TX. Điện Bàn T. Quảng Nam Việt Nam</t>
  </si>
  <si>
    <t>WM + QNM Đường ĐT609, Thôn Hà Nha</t>
  </si>
  <si>
    <t>Thửa đất số 1389, Tờ bản đồ số 10, H. Đại Lộc T. Quảng Nam Việt Nam</t>
  </si>
  <si>
    <t>WM+ QTI 118 Tôn Thất Thuyết</t>
  </si>
  <si>
    <t>Số 118 Đường Tôn Thất Thuyết, Phường 5, Thành phố Đông Hà T. Quảng Trị Việt Nam</t>
  </si>
  <si>
    <t>WM + DNG 599 - 601 Kinh Dương Vương</t>
  </si>
  <si>
    <t>599 - 601 Kinh Dương Vương, P. Hòa Minh, Q. Liên Chiểu, TP. Đà Nẵng Việt Nam</t>
  </si>
  <si>
    <t>WM+ BDH TĐ 203,TBĐ 89,QL 1A,Chợ Gồm</t>
  </si>
  <si>
    <t>Thửa đất số 203, Tờ bản đồ số 89, Đường QL 1A, T. Bình Định Việt Nam</t>
  </si>
  <si>
    <t>WM+ QNM Thửa 980-981, TBĐ 22</t>
  </si>
  <si>
    <t>Thửa đất số 980-981, TBĐ số 22,đường ĐT609, Thôn Tân An, X. Đại Lãnh, H. Đại Lộc, T. Quảng Nam Việt Nam</t>
  </si>
  <si>
    <t>WM+ QNM 98 DH2, KP. Triêm Trung 2</t>
  </si>
  <si>
    <t>98 DH2, Khối phố Triêm Trung 2, P. Điện Phương, TX. Điện Bàn T. Quảng Nam Việt Nam</t>
  </si>
  <si>
    <t>WM+ BDH TĐ 1884-TBĐ 4 Khu A-Lô 08</t>
  </si>
  <si>
    <t>Thửa đất 1884, tờ bản đồ số 4, khu A - Lô 08, Khu dịch vụ và dân cư phía Tây đường Tây tỉnh, X. Nhơn Phúc, TX. An Nhơn, T. Bình Định TX. An Nhơn Việt Nam</t>
  </si>
  <si>
    <t>WM+ QNM Gia Huệ, Đại Lộc</t>
  </si>
  <si>
    <t>Thửa đất số (lô) 577a, Tờ bản đồ số 5, Thôn Gia Huệ, Xã Đại Minh, Huyện Đại Lộc, T. Quảng Nam Việt Nam</t>
  </si>
  <si>
    <t>WM+ QNM 1140 Hùng Vương</t>
  </si>
  <si>
    <t>1140 Hùng Vương, Xã Duy Sơn, Huyện Duy Xuyên T. Quảng Nam Việt Nam</t>
  </si>
  <si>
    <t>WM+ QNM 153 Quốc Lộ 1A, Điện Phương</t>
  </si>
  <si>
    <t>153 QL1A, P. Điện Phương, TX. Điện Bàn T. Quảng Nam Việt Nam</t>
  </si>
  <si>
    <t>WM+ GLI 31 Phù Đổng</t>
  </si>
  <si>
    <t>31 Phù Đổng, P. Phù Đổng, TP. Pleiku, TP. Pleiku T. Gia Lai Việt Nam</t>
  </si>
  <si>
    <t>WM+ QNM 41 Hùng Vương</t>
  </si>
  <si>
    <t>41 Hùng Vương, TT. Đông Phú, H. Quế Sơn, TT. Đông Phú, H. Quế Sơn, T. Quảng Nam T. Quảng Nam Việt Nam</t>
  </si>
  <si>
    <t>WM+ QNM Thửa 595, TBĐ 36</t>
  </si>
  <si>
    <t>Thửa đất số 595, Tờ bản đồ số 36, H. Núi Thành T. Quảng Nam Việt Nam</t>
  </si>
  <si>
    <t>WM+ QNI Minh Mỹ, Sơn Tịnh</t>
  </si>
  <si>
    <t>Thửa đất số 290, Tờ bản đồ số 21, QL24B, Thôn Minh Mỹ, Xã Tịnh Bắc, Huyện Sơn Tịnh T. Quảng Ngãi Việt Nam</t>
  </si>
  <si>
    <t>WM+ DNG 78-80 Nguyễn Bính</t>
  </si>
  <si>
    <t>78-80 Nguyễn Bính, Phường Hòa Minh, Quận Liên Chiểu TP. Đà Nẵng Việt Nam</t>
  </si>
  <si>
    <t>WM+ TTH 70 Đặng Huy Trứ</t>
  </si>
  <si>
    <t>70 Đặng Huy Trứ, P. Trường An, TP. Huế, T. Thừa Thiên - Huế Việt Nam</t>
  </si>
  <si>
    <t>WM+ TTH 26 Hoàng Quốc Việt</t>
  </si>
  <si>
    <t>Số 26 Đường Hoàng Quốc Việt, Phường An Đông, Thành phố Huế T. Thừa Thiên - Huế Việt Nam</t>
  </si>
  <si>
    <t>WM+ QNM TĐ 642a, TBĐ 4, Thôn An Mỹ</t>
  </si>
  <si>
    <t>Thửa đất số 642a, Tờ bản đồ 4, Đường ĐT 615, Thôn An Mỹ, X.Tam An, H. Phú Ninh T. Quảng Nam Việt Nam</t>
  </si>
  <si>
    <t>WM+ QNM Thửa 724, TBĐ 12, ĐT609</t>
  </si>
  <si>
    <t>Thửa đất số 724, Tờ bản đồ số 12, Đường ĐT609, H. Đại Lộc T. Quảng Nam Việt Nam</t>
  </si>
  <si>
    <t>WM+ QNM Thôn Thanh Vân, Đại Cường</t>
  </si>
  <si>
    <t>Thửa đất số 8/1-9/1, Tờ bản đồ số 7, Đường ĐT609C, Thôn Thanh Vân, X. Đại Cường, H. Đại Lộc T. Quảng Nam Việt Nam</t>
  </si>
  <si>
    <t>WM+ DNG 245 Hải Phòng</t>
  </si>
  <si>
    <t>245 Hải Phòng, P. Tân Chính, Q. Thanh Khê, TP. Đà Nẵng Việt Nam</t>
  </si>
  <si>
    <t>WM+ QNM 204 ĐT609, Thôn Nhị Dinh 3</t>
  </si>
  <si>
    <t>204 đường ĐT609, Thôn Nhị Dinh 3, TX. Điện Bàn T. Quảng Nam Việt Nam</t>
  </si>
  <si>
    <t>WM+ QNM Phong Lục Tây, Điện Thắng N</t>
  </si>
  <si>
    <t>Thửa đất số 6 - 6/3, Tờ bản đồ số 01, Thôn Phong Lục Tây, T. Quảng Nam Việt Nam</t>
  </si>
  <si>
    <t>WM+ GLI 463 - 465 Trần Hưng Đạo, Ay</t>
  </si>
  <si>
    <t>463 - 465 Trần Hưng Đạo, P. Cheo Reo, Tx. Ayun Pa, T. Gia Lai Việt Nam</t>
  </si>
  <si>
    <t>WM+ TTH 57 Bao Vinh</t>
  </si>
  <si>
    <t>57 Bao Vinh, P. Hương Vinh, TP. Huế, T. Thừa Thiên - Huế Việt Nam</t>
  </si>
  <si>
    <t>WM+ QNM Thửa 260-261, Thôn Cây Sanh</t>
  </si>
  <si>
    <t>Thửa 260 – 261, tờ bản đồ 09, Thôn Cây Sanh, xã Tam Dân, huyện Phú Ninh, T. Quảng Nam Việt Nam</t>
  </si>
  <si>
    <t>WM+ BDH Thôn Thọ Lộc 1, Nhơn Thọ</t>
  </si>
  <si>
    <t>Thửa đất số 391, Tờ bản đồ số 4, đường QL 19, T. Bình Định Việt Nam</t>
  </si>
  <si>
    <t>WM+ QNM Điện Thắng Trung, Điện Bàn</t>
  </si>
  <si>
    <t>Thửa đất số O1-1, Tờ bản đồ số QH03, TX. Điện Bàn T. Quảng Nam Việt Nam</t>
  </si>
  <si>
    <t>WM+ QNM Thôn Tất Viên, Bình Phục</t>
  </si>
  <si>
    <t>Thửa đất số 44/1, Tờ bản đồ số 24, Đường ĐT 613, H. Thăng Bình H. Thăng Bình Việt Nam</t>
  </si>
  <si>
    <t>WM+ BDH Thôn Quy Thuận, Hoài Nhơn</t>
  </si>
  <si>
    <t>Thửa đất số 79, TBĐ số 15, Thôn Quy Thuận, TX. Hoài Nhơn T. Bình Định Việt Nam</t>
  </si>
  <si>
    <t>WM+ QNI Thôn 6, Đức Chánh</t>
  </si>
  <si>
    <t>Thửa đất số 312, Tờ bản đồ số 11, Thôn 6, X. Đức Chánh T. Quảng Ngãi Việt Nam</t>
  </si>
  <si>
    <t>WM+ QNI Thôn Kỳ Tân, Thắng Lợi</t>
  </si>
  <si>
    <t>Thửa đất số 297, Tờ bản đồ số 8, Thôn Kỳ Tân, H. Mộ Đức T. Quảng Ngãi Việt Nam</t>
  </si>
  <si>
    <t>WM+ BDH Thôn Xuân An, Cát Minh</t>
  </si>
  <si>
    <t>Thửa đất 168, TBĐ 40, Thôn Xuân Anh, X. Cát Minh, H. Phù Cát T. Bình Định Việt Nam</t>
  </si>
  <si>
    <t>WM+ GLI Lô 01 Nguyễn Huệ, Kông Chro</t>
  </si>
  <si>
    <t>Lô số 01-02, đường Nguyễn Huệ - Kpã Klơn, thị trấn Kông Chro, huyện Kông Chro T. Gia Lai Việt Nam</t>
  </si>
  <si>
    <t>WM+ QNM Thôn Vĩnh Bình, Tam Thăng</t>
  </si>
  <si>
    <t>Thửa đất số 691, tờ bản đồ số 21, Thôn Vĩnh Bình X. Tam Thăng T. Quảng Nam Việt Nam</t>
  </si>
  <si>
    <t>WM+ QNM Thôn La Huân, Điện Thọ</t>
  </si>
  <si>
    <t>Thửa đất số 1434, Tờ bản đồ số 05, Đường ĐH1, Thôn La Huân, X. Điện Thọ, TX. Điện Bàn, T. Quảng Nam Việt Nam</t>
  </si>
  <si>
    <t>WM+ QTI 207 Trần Phú</t>
  </si>
  <si>
    <t>207 Trần Phú, Khóm 4, TT. Hồ Xá, H. Vĩnh Linh, T. Quảng Trị Việt Nam</t>
  </si>
  <si>
    <t>WM+ TTH 59 Yết Kiêu</t>
  </si>
  <si>
    <t>59 Yết Kiêu, P. Thuận Hòa, Q. Phú Xuân, TP. Huế Việt Nam</t>
  </si>
  <si>
    <t>WM+ QNM Thôn Hà Vy, Đại Hồng</t>
  </si>
  <si>
    <t>Thửa đất số 885, Tờ bản đồ số 5, Thôn Hà Vy, X. Đại Hồng H. Đại Lộc T. Quảng Nam Việt Nam</t>
  </si>
  <si>
    <t>WM+ QNM Thửa 1060-1739, ĐT609</t>
  </si>
  <si>
    <t>Thửa 1060 - 1739, TBĐ 14, ĐT609, X. Đại Nghĩa, H. Đại Lộc, T. Quảng Nam Việt Nam</t>
  </si>
  <si>
    <t>WM+ BDH 231-233 Nguyễn Huệ</t>
  </si>
  <si>
    <t>231 - 233 Nguyễn Huệ, TT. Vĩnh Thạnh, H. Vĩnh Thạnh, T. Bình Định Việt Nam</t>
  </si>
  <si>
    <t>WM+ TTH 983 Nguyễn Tất Thành</t>
  </si>
  <si>
    <t>Thửa đất số 204, Tờ bản đồ số 5, Số 983 Đường Nguyễn Tất Thành, Phường Phú Bài, Thị xã Hương Thủy T. Thừa Thiên - Huế Việt Nam</t>
  </si>
  <si>
    <t>WM+ QNI TĐ 169, TBĐ 10, Đức Phổ</t>
  </si>
  <si>
    <t>Thửa đất số 169, Tờ bản đồ số 10, Thôn An Thạch, X. Phổ An, TX. Đức Phổ, T. Quảng Ngãi Việt Nam</t>
  </si>
  <si>
    <t>WM+ QNM TĐ 18, TBĐ 2, Thôn Phú Đông</t>
  </si>
  <si>
    <t>Thửa đất số 18, Tờ bản đồ số 2, Thôn Phú Đông, X. Đại Hiệp, H. Đại Lộc, T. Quảng Nam Việt Nam</t>
  </si>
  <si>
    <t>WM+ QNI An Hòa Bắc, Nghĩa Thắng</t>
  </si>
  <si>
    <t>Thửa đất số 205, Tờ bản đồ số 19, Xóm 2, Thôn An Hòa Bắc, X. Nghĩa Thắng, T. Quảng Ngãi Việt Nam</t>
  </si>
  <si>
    <t>WM+ TTH Shop S1, Tòa CT3, CC Aranya</t>
  </si>
  <si>
    <t>Shop S1 - Tòa CT3, Chung cư Aranya, P. Xuân Phú, TP. Huế Việt Nam</t>
  </si>
  <si>
    <t>WM+ TTH Thế Lại Thượng, Hương Vinh</t>
  </si>
  <si>
    <t>Thửa đất số 169/2, Tờ bản đồ số 07, Thôn Thế Lại Thượng, TP. Huế Việt Nam</t>
  </si>
  <si>
    <t>WM+ BDH Tăng Bạt Hổ, Hoài Ân</t>
  </si>
  <si>
    <t>Thửa đất số 97, TBĐ số 30, KP. Gia Chiểu 2, TT. Tăng Bạt Hổ, T. Bình Định Việt Nam</t>
  </si>
  <si>
    <t>WM+ QNI TDP Hải Tân, Trà Câu</t>
  </si>
  <si>
    <t>Thửa đất số 554, tờ bản đồ số 16, TDP Hải Tân, P. Trà Câu, T. Quảng Ngãi Việt Nam</t>
  </si>
  <si>
    <t>WM+ QNM 263 Hùng Vương</t>
  </si>
  <si>
    <t>263 Hùng Vương, TT. Tân Bình, H. Hiệp Đức, T. Quảng Nam Việt Nam</t>
  </si>
  <si>
    <t>WM+ DNG Lô 1343 khu B2-38, Lakeside</t>
  </si>
  <si>
    <t>Lô 1343 khu B2-38, KĐT xanh Bàu Tràm Lakeside, TP. Đà Nẵng Việt Nam</t>
  </si>
  <si>
    <t>WM+ BDH Thôn Tân Phụng 2, Phù Mỹ</t>
  </si>
  <si>
    <t>Thửa đất số 152, TBĐ số 19, Thôn Tân Phụng 2, X. Mỹ Thọ, H. Phù Mỹ T. Bình Định Việt Nam</t>
  </si>
  <si>
    <t>WM+ DNG 1446 Trần Thủ Độ</t>
  </si>
  <si>
    <t>1446 Trần Thủ Độ, Khối 7B, P. Điện Bàn Đông, TP. Đà Nẵng Việt Nam</t>
  </si>
  <si>
    <t>WM+ DNG 150A Dũng Sĩ Thanh Khê</t>
  </si>
  <si>
    <t>150A Dũng Sĩ Thanh Khê, P. Thanh Khê Tây, Q. Thanh Khê, TP. Đà Nẵng Việt Nam</t>
  </si>
  <si>
    <t>WM+ TTH Khuông Phò Đông,Quảng Phước</t>
  </si>
  <si>
    <t>TĐS 474, TBĐS 15, Thôn Khuông Phò Đông, X. Quảng Phước, H. Quảng Điền TP. Huế Việt Nam</t>
  </si>
  <si>
    <t>WM+ TTH Thôn Mậu Tài, Dương Nỗ</t>
  </si>
  <si>
    <t>TĐS 342, TBĐS 25, đường Tỉnh lộ 2, Thôn Mậu Tài, P. Dương Nỗ Q. Thuận Hóa, TP. Huế Việt Nam</t>
  </si>
  <si>
    <t>WM+ QNM 82 Phạm Văn Đồng</t>
  </si>
  <si>
    <t>82 Phạm Văn Đồng, TT. Khâm Đức, H. Phước Sơn, T. Quảng Nam Việt Nam</t>
  </si>
  <si>
    <t>WM+ BDH Phú Phong, Tây Sơn</t>
  </si>
  <si>
    <t>Thửa đất 264, tờ bản đồ số 12, Khối 1, TT. Phú Phong, H. Tây Sơn T. Bình Định Việt Nam</t>
  </si>
  <si>
    <t>WM+ TTH 1 Mai Lượng</t>
  </si>
  <si>
    <t>1 Mai Lượng, P. Hương Sơ, Q. Phú Xuân, Q. Phú Xuân TP. Huế Việt Nam</t>
  </si>
  <si>
    <t>WM+ DNG 5 Lê Trọng Tấn</t>
  </si>
  <si>
    <t>5 Lê Trọng Tấn, P. An Khê, Q. Thanh Khê, TP. Đà Nẵng Việt Nam</t>
  </si>
  <si>
    <t>WIN DNG 51 - 53 Dương Thị Xuân Quý</t>
  </si>
  <si>
    <t>51 – 53 Dương Thị Xuân Quý, P. Mỹ An, Q. Ngũ Hành Sơn, TP. Đà Nẵng Việt Nam</t>
  </si>
  <si>
    <t>WM+ BDH Thôn Liêm Định, Nhơn Phong</t>
  </si>
  <si>
    <t>TThửa đất 426, tờ bản đồ số 5, Thôn Liêm Định, X. Nhơn Phong TX. An Nhơn T. Bình Định Việt Nam</t>
  </si>
  <si>
    <t>WM+ DNG Thôn Phú Sơn Tây,Hòa Khương</t>
  </si>
  <si>
    <t>TĐS 777, TBĐ 14, Thôn Phú Sơn Tây, X. Hòa Khương, TP. Đà Nẵng Việt Nam</t>
  </si>
  <si>
    <t>WM+ TTH 497 Bùi Thị Xuân</t>
  </si>
  <si>
    <t>497 Bùi Thị Xuân, P. Thủy Biều, Q. Thuận Hóa, TP. Huế Việt Nam</t>
  </si>
  <si>
    <t>WM+ GLI 760A Hùng Vương</t>
  </si>
  <si>
    <t>760A Đường Hùng Vương, Xã Chư Sê, T. Gia Lai Việt Nam</t>
  </si>
  <si>
    <t>WIN DNG 215 Ông Ích Khiêm</t>
  </si>
  <si>
    <t>215 Ông Ích Khiêm, P. Hải Châu, TP. Đà Nẵng Việt Nam</t>
  </si>
  <si>
    <t>WM+ DNG 276 Lý Thái Tông</t>
  </si>
  <si>
    <t>276 Lý Thái Tông, P. Thanh Khê Tây,Q. Thanh Khê, Tp. Đà Nẵng TP. Đà Nẵng Việt Nam</t>
  </si>
  <si>
    <t>WM+ DNG 190 Hồ Quý Ly</t>
  </si>
  <si>
    <t>190 Hồ Quý Ly, P. Hòa Khánh, TP. Đà Nẵng Việt Nam</t>
  </si>
  <si>
    <t>WM+ TTH 128 Minh Mạng</t>
  </si>
  <si>
    <t>128 Minh Mạng, P. Thủy Xuân, TP. Huế Việt Nam</t>
  </si>
  <si>
    <t>WM+ QNI Hùng Vương, Đắk Tô</t>
  </si>
  <si>
    <t>Thửa đất số 45, tờ bản đồ 215, Đường Hùng Vương, Khối 8 Xã Đắk Tô, T. Quảng Ngãi Việt Nam</t>
  </si>
  <si>
    <t>WM+ TTH 74 Phạm Thị Liên</t>
  </si>
  <si>
    <t>74 Phạm Thị Liên, P. Kim Long TP. Huế Việt Nam</t>
  </si>
  <si>
    <t>WM+ TTH 198 Phạm Văn Đồng</t>
  </si>
  <si>
    <t>198 Phạm Văn Đồng, P. Phú Thượng, Q. Thuận Hóa, TP. Huế Việt Nam</t>
  </si>
  <si>
    <t>WM+ DNG 95 Đặng Vũ Hỷ</t>
  </si>
  <si>
    <t>95 Đặng Vũ Hỷ, P. An Hải TP. Đà Nẵng Việt Nam</t>
  </si>
  <si>
    <t>WM+ QNI Hà Trung, Sơn Tịnh</t>
  </si>
  <si>
    <t>Thửa đất 1084, tờ bản đồ số 15, TDP. Hà Trung, X. Sơn Tịnh T. Quảng Ngãi Việt Nam</t>
  </si>
  <si>
    <t>WM+ GLI 904B Hùng Vương</t>
  </si>
  <si>
    <t>904B Hùng Vương, X. Chư Sê, T. Gia Lai Việt Nam</t>
  </si>
  <si>
    <t>WM+ DNG 105 Phan Thanh</t>
  </si>
  <si>
    <t>105 Phan Thanh, P. Thanh Khê TP. Đà Nẵng Việt Nam</t>
  </si>
  <si>
    <t>WM+ DNG 338 Bình Kỳ</t>
  </si>
  <si>
    <t>338 Bình Kỳ, P. Ngũ Hành Sơn, TP. Đà Nẵng TP. Đà Nẵng Việt Nam</t>
  </si>
  <si>
    <t>WM+ TTH 65 Tùng Thiện Vương</t>
  </si>
  <si>
    <t>65 Tùng Thiện Vương, P. Vỹ Dạ, TP. Huế Việt Nam</t>
  </si>
  <si>
    <t>WM+ DNG Lô 28, B2-13, Hòa Liên 5</t>
  </si>
  <si>
    <t>Lô 28 phân khu B2-13, Khu tái định cư Hòa Liên 5, TP. Đà Nẵng Việt Nam</t>
  </si>
  <si>
    <t>WM+ TTH Kinh Dương Vương, Thuận An</t>
  </si>
  <si>
    <t>Thửa đất số 111, Tờ bản đồ số 40, đường Kinh Dương Vương, TP. Huế TP. Huế Việt Nam</t>
  </si>
  <si>
    <t>WM+ GLI Tổ dân phố 2, Xã Đak Pơ</t>
  </si>
  <si>
    <t>Thửa đất số 62b, tờ bản đồ số 37, Xã Đak Pơ, Tỉnh Gia Lai T. Gia Lai Việt Nam</t>
  </si>
  <si>
    <t>WM+ GLI Thôn Phương Phi, Cát Tiến</t>
  </si>
  <si>
    <t>Thửa đất số 26, TBĐ số 32, Thôn Phương Phi, X. Cát Tiến, T. Gia Lai Việt Nam</t>
  </si>
  <si>
    <t>WM+ QNI Thôn Chiên Chiết, Bờ Y</t>
  </si>
  <si>
    <t>Thửa đất số 102b, Tờ bản đồ số 27, Đường Hùng Vương Thôn Chiên Chiết, X. Bờ Y T. Quảng Ngãi Việt Nam</t>
  </si>
  <si>
    <t>WM+ DNG 59 Mẹ Nhu</t>
  </si>
  <si>
    <t>59 Mẹ Nhu, P. Thanh Khê TP. Đà Nẵng Việt Nam</t>
  </si>
  <si>
    <t>WM+ GLI An Quang Tây, Đề Gi</t>
  </si>
  <si>
    <t>Thửa đất số 413, TBĐ số 28, Thôn An Quang Tây, Xã Đề Gi, Tỉnh Gia Lai Việt Nam</t>
  </si>
  <si>
    <t>WM+ TTH Số 40 Dạ Lê</t>
  </si>
  <si>
    <t>Số 40 Dạ Lê, Phường Thanh Thủy, TP. Huế Việt Nam</t>
  </si>
  <si>
    <t>WM+ QTI 71 Phan Đình Phùng</t>
  </si>
  <si>
    <t>71 Phan Đình Phùng, P. Quảng Trị, T. Quảng Trị Việt Nam</t>
  </si>
  <si>
    <t>WM+ DNG 274 Trần Hưng Đạo</t>
  </si>
  <si>
    <t>274 Trần Hưng Đạo, P. An Hải, TP. ́Đà Nẵng Việt Nam</t>
  </si>
  <si>
    <t>WM+ TTH 109 Nguyễn Huệ</t>
  </si>
  <si>
    <t>109 Nguyễn Huệ, P. Thuận Hóa, TP. Huế Việt Nam</t>
  </si>
  <si>
    <t>WM+ GLI Tổ 06, Trường Sơn</t>
  </si>
  <si>
    <t>Thửa đất số 46, Tờ bản đồ số 14, Đường Trường Sơn, Tổ 6, Phường Thống Nhất, T. Gia Lai Việt Nam</t>
  </si>
  <si>
    <t>WM+ GLI Tổ Dân Phố 2, Ia Ly</t>
  </si>
  <si>
    <t>Thửa đất số 261, tờ bản đồ số 67,Tổ Dân Phố 2, Xã Ia Ly, T. Gia Lai Việt Nam</t>
  </si>
  <si>
    <t>WM+ GLI Tùng Giản, Tuy Phước Đông</t>
  </si>
  <si>
    <t>Thửa 81-82, TBĐ 45, Thôn Tùng Giản, X. Tuy Phước Đông, T. Gia Lai Việt Nam</t>
  </si>
  <si>
    <t>WM+ GLI Hiệp Hội, Vân Canh</t>
  </si>
  <si>
    <t>Thửa đất số 128, TBĐ số 15, Đường Quốc Lộ 19C, Xã Vân Canh, T. Gia Lai Việt Nam</t>
  </si>
  <si>
    <t>WM+ GLI Thôn Hợp Hòa, Ia Drang</t>
  </si>
  <si>
    <t>Thửa đất số 130, tờ bản dồ số 79, Thôn Hợp Hòa, Xã Chư Prông T. Gia Lai Việt Nam</t>
  </si>
  <si>
    <t>WM+ GLI Thắng Kiên, Đề Gi</t>
  </si>
  <si>
    <t>Thửa đất số 583, TBĐ số 06, Thôn Thắng Kiên, Xã Đề Gi, T. Gia Lai Việt Nam</t>
  </si>
  <si>
    <t>WM+ DNG 301 Trần Cao Vân</t>
  </si>
  <si>
    <t>301 Trần Cao Vân, P. Thanh Khê, TP. Đà Nẵng Việt Nam</t>
  </si>
  <si>
    <t>WM+ GLI Trường Chinh, Xã Gào</t>
  </si>
  <si>
    <t>Thửa đất số 59, tờ bản đồ số 7, Đường Trường Chinh, Xã Gào, T. Gia Lai Việt Nam</t>
  </si>
  <si>
    <t>WM+ GLI Hùng Vương, Phú Túc</t>
  </si>
  <si>
    <t>Thửa đất số 368-500, tờ bản đồ số 25A, Đường Hùng Vương, Tổ Dân Phố 4, Xã Phú Túc, T. Gia Lai Việt Nam</t>
  </si>
  <si>
    <t>WM+ TTH 24 Đặng Tất</t>
  </si>
  <si>
    <t>Thửa đất số 502, Tờ bản đồ số 8, P. Hương An, TP. Huế Việt Nam</t>
  </si>
  <si>
    <t>WM+ GLI 62 Nguyễn Văn Cừ</t>
  </si>
  <si>
    <t>62 Nguyễn Văn Cừ, Phường Diên Hồng, T. Gia Lai Việt Nam</t>
  </si>
  <si>
    <t>WM+ GLI 100 Nguyễn Viết Xuân</t>
  </si>
  <si>
    <t>100 Nguyễn Viết Xuân, Phường Hội Phú T. Gia Lai Việt Nam</t>
  </si>
  <si>
    <t>WM+ TTH 297 Điện Biên Phủ</t>
  </si>
  <si>
    <t>297 Điện Biên Phủ, Phường Thuận Hóa TP. Huế Việt Nam</t>
  </si>
  <si>
    <t>WM+ KHA 45 Nguyễn Chích</t>
  </si>
  <si>
    <t>45 Nguyễn Chích, Phường Bắc Nha Trang, T. Khánh Hòa Việt Nam</t>
  </si>
  <si>
    <t>WM+ GLI 108 Lê Thánh Tôn</t>
  </si>
  <si>
    <t>108 Lê Thánh Tôn, Phường Diên Hồng, T. Gia Lai Việt Nam</t>
  </si>
  <si>
    <t>WM+ GLI 59 Nguyễn Viết Xuân</t>
  </si>
  <si>
    <t>59 Nguyễn Viết Xuân, Phường Hội Phú, T. Gia Lai Việt Nam</t>
  </si>
  <si>
    <t>WM+ GLI 45 Lê Lợi</t>
  </si>
  <si>
    <t>45 Lê Lợi, Phường Pleiku, T. Gia Lai Việt Nam</t>
  </si>
  <si>
    <t>WM+ GLI Thôn Mook Đen 2, Ia Dom</t>
  </si>
  <si>
    <t>Thửa đất số 121, Tờ bản đồ số 105, Thôn Mook Đen 2, T. Gia Lai Việt Nam</t>
  </si>
  <si>
    <t>WM+ DNG 200 Tôn Đản</t>
  </si>
  <si>
    <t>200 Tôn Đản, P. An Khê, TP. Đà Nẵng Việt Nam</t>
  </si>
  <si>
    <t>WM+ DNG Thôn Hà Bình, Thăng An</t>
  </si>
  <si>
    <t>Thửa đất số 428, Tờ bản đồ số 10, Thôn Hà Bình, Xã Thăng An, TP. Đà Nẵng Việt Nam</t>
  </si>
  <si>
    <t>WM+ KHA 28 Bắc Sơn, Bắc Nha Trang</t>
  </si>
  <si>
    <t>28 Bắc Sơn, Phường Bắc Nha Trang, T. Khánh Hòa Việt Nam</t>
  </si>
  <si>
    <t>WM+ GLI 31 - 33 Hồng Lĩnh</t>
  </si>
  <si>
    <t>Thửa đất số 133 &amp; 155, Tờ bản đồ số 9, Phường An Nhơn, T. Gia Lai Việt Nam</t>
  </si>
  <si>
    <t>WM+ DNG 131 Lê Văn Hiến</t>
  </si>
  <si>
    <t>131 Lê Văn Hiến, Phường Bắc Mỹ An, Quận Ngũ Hành Sơn, TP. Đà Nẵng Việt Nam</t>
  </si>
  <si>
    <t>WM+ DNG 80 Ngũ Hành Sơn</t>
  </si>
  <si>
    <t>80 đường Ngũ Hành Sơn, Phường Mỹ An, Quận Ngũ Hành Sơn, TP. Đà Nẵng Việt Nam</t>
  </si>
  <si>
    <t>WM+ DNG 488 Tôn Đức Thắng</t>
  </si>
  <si>
    <t>488 Tôn Đức Thắng, Phường Hòa Khánh Nam, Quận Liên Chiểu, TP. Đà Nẵng Việt Nam</t>
  </si>
  <si>
    <t>WM+ DNG Sun Home 3</t>
  </si>
  <si>
    <t>Khu TM tầng 1,Block 3, Sun Home 3, , khu dân cư An Hòa, Phường Nại Hiên Đôn Quận Sơn Trà, TP. Đà Nẵng Việt Nam</t>
  </si>
  <si>
    <t>WM+ KHA 53 Vân Đồn</t>
  </si>
  <si>
    <t>53 Vân Đồn,Phường Phước Hòa, Thành phố Nha Trang, T. Khánh Hòa Việt Nam</t>
  </si>
  <si>
    <t>WM+ KHA 48 Đặng Tất</t>
  </si>
  <si>
    <t>48 Đặng Tất, Vĩnh Hải, Thành phố Nha Trang, T. Khánh Hòa Việt Nam</t>
  </si>
  <si>
    <t>WM+ DNG 757 Trần Cao Vân</t>
  </si>
  <si>
    <t>757 Trần Cao Vân, P. Thanh Khê Đông, Quận Thanh Khê, TP. Đà Nẵng Việt Nam</t>
  </si>
  <si>
    <t>WIN DNG 263 Ông Ích Đường</t>
  </si>
  <si>
    <t>263 Ông Ích Đường, tổ 50 Phường Khuê Trung, Quận Cẩm Lệ, TP. Đà Nẵng Việt Nam</t>
  </si>
  <si>
    <t>WIN DNG 86 Nguyễn Thị Định</t>
  </si>
  <si>
    <t>Lô 25-E1 Đường Nguyễn Thị Định, Phường An Hải Bắc, Quận Sơn Trà, TP. Đà Nẵng Việt Nam</t>
  </si>
  <si>
    <t>WM+ KHA 124B Chung cư CT1</t>
  </si>
  <si>
    <t>124.B.Chung cư CT1 - Khu đô thị VCN, Phước Hải, Thành phố Nha Trang, T. Khánh Hòa Việt Nam</t>
  </si>
  <si>
    <t>WM+ DNG 126 Văn Tiến Dũng</t>
  </si>
  <si>
    <t>126 Văn Tiến Dũng, tổ dân phố 53, Phường Hòa Xuân, Quận Cẩm Lệ, TP. Đà Nẵng Việt Nam</t>
  </si>
  <si>
    <t>WIN DNG 904 Tôn Đức Thắng</t>
  </si>
  <si>
    <t>904 Tôn Đức Thắng, tổ 47, Phường Hòa Khánh Bắc, Quận Liên Chiểu, TP. Đà Nẵng Việt Nam</t>
  </si>
  <si>
    <t>WIN DNG 228 Kinh Dương Vương</t>
  </si>
  <si>
    <t>228 Đường Kinh Dương Vương, Phường Hòa Minh, Quận Liên Chiểu, TP. Đà Nẵng Việt Nam</t>
  </si>
  <si>
    <t>WM+ DNG 41 Hải Hồ</t>
  </si>
  <si>
    <t>41 Hải Hồ, Phường Thanh Bình, Quận Hải Châu, TP. Đà Nẵng Việt Nam</t>
  </si>
  <si>
    <t>WM+ DNG 56 Doản Uẩn</t>
  </si>
  <si>
    <t>56 Doản Uẩn, tổ 8, P. Khuê Mỹ, Quận Ngũ Hành Sơn, TP. Đà Nẵng Việt Nam</t>
  </si>
  <si>
    <t>WM+ KHA 174 Điện Biên Phủ</t>
  </si>
  <si>
    <t>174 Điện Biên Phủ, Phường Vĩnh Hòa, Thành phố Nha Trang, T. Khánh Hòa Việt Nam</t>
  </si>
  <si>
    <t>WM+ KHA 184 Dã Tượng</t>
  </si>
  <si>
    <t>184 Dã Tượng, Phường Vĩnh Nguyên, Thành phố Nha Trang, T. Khánh Hòa Việt Nam</t>
  </si>
  <si>
    <t>WM+ DNG 121 Cù Chính Lan</t>
  </si>
  <si>
    <t>121 Cù Chính Lan, Phường Hòa Khê, Quận Thanh Khê, TP. Đà Nẵng Việt Nam</t>
  </si>
  <si>
    <t>WM+ DNG 248 Đống Đa</t>
  </si>
  <si>
    <t>248 Đống Đa, Phường Thuận Phước, Quận Hải Châu, TP. Đà Nẵng Việt Nam</t>
  </si>
  <si>
    <t>WIN DNG 131-133 Lý Thái Tông</t>
  </si>
  <si>
    <t>131-133 Lý Thái Tông, Phường Hòa Minh, Quận Liên Chiểu, TP. Đà Nẵng Việt Nam</t>
  </si>
  <si>
    <t>WM+ DNG 45 Nguyễn Đình Tứ</t>
  </si>
  <si>
    <t>45 Nguyễn Đình Tứ, Phường Hòa An, Quận Cẩm Lệ, TP. Đà Nẵng Việt Nam</t>
  </si>
  <si>
    <t>WIN DNG 180 Phạm Cự Lượng</t>
  </si>
  <si>
    <t>180 Phạm Cự Lượng, Phường An Hải Đông, Quận Sơn Trà, TP. Đà Nẵng Việt Nam</t>
  </si>
  <si>
    <t>WM+ DNG 47 Nguyễn Phong Sắc</t>
  </si>
  <si>
    <t>47 Nguyễn Phong Sắc, Phường Khuê Trung, Quận Cẩm Lệ, TP. Đà Nẵng Việt Nam</t>
  </si>
  <si>
    <t>WM+ KHA 513 Đường 2/4</t>
  </si>
  <si>
    <t>513 Đường 2/4, Phường Vĩnh Phước, Thành phố Nha Trang, T. Khánh Hòa Việt Nam</t>
  </si>
  <si>
    <t>WIN DNG 445 Trưng Nữ Vương</t>
  </si>
  <si>
    <t>445 Trưng Nữ Vương, Phường Hòa Thuận Tây, Quận Hải Châu, TP. Đà Nẵng Việt Nam</t>
  </si>
  <si>
    <t>WM+ DNG 357 Ông Ích Khiêm</t>
  </si>
  <si>
    <t>357 Ông Ích Khiêm, Phường Hải Châu 2, Quận Hải Châu, TP. Đà Nẵng Việt Nam</t>
  </si>
  <si>
    <t>WM+ DNG 47 Châu Thượng Văn</t>
  </si>
  <si>
    <t>47 Đường Châu Thượng Văn, Phường Hòa Cường Bắc, Quận Hải Châu, TP. Đà Nẵng Việt Nam</t>
  </si>
  <si>
    <t>WIN DNG 103 Nguyễn Huy Tưởng</t>
  </si>
  <si>
    <t>103 Nguyễn Huy Tưởng, Phường Hòa Minh, Quận Liên Chiểu, TP. Đà Nẵng Việt Nam</t>
  </si>
  <si>
    <t>WIN DNG 148 Dương Vân Nga</t>
  </si>
  <si>
    <t>148 Dương Vân Nga, Phường Nại Hiên Đông, Quận Sơn Trà, TP. Đà Nẵng Việt Nam</t>
  </si>
  <si>
    <t>WM+ DNG 92 Nguyễn Bảo</t>
  </si>
  <si>
    <t>Lô D5-30 Khu Dân Cư Nam Cầu Cẩm Lệ, Xã Hòa Châu, Huyện Hòa Vang, TP. Đà Nẵng Việt Nam</t>
  </si>
  <si>
    <t>WIN DNG 76B-76C Bà Huyện Thanh Quan</t>
  </si>
  <si>
    <t>76B-76C Đường Bà Huyện Thanh Quan, Phường Mỹ An, Quận Ngũ Hành Sơn, TP. Đà Nẵng Việt Nam</t>
  </si>
  <si>
    <t>WM+ DNG 324 Ngũ Hành Sơn</t>
  </si>
  <si>
    <t>324 Ngũ Hành Sơn, Phường Mỹ An, Quận Ngũ Hành Sơn, TP. Đà Nẵng Việt Nam</t>
  </si>
  <si>
    <t>WM+ DNG 131 Phạm Huy Thông</t>
  </si>
  <si>
    <t>Lô 131 Khu C1, KDC Làng Cá Nại Hiên Đông, Phường Nại Hiên Đông, Quận Sơn Trà, TP. Đà Nẵng Việt Nam</t>
  </si>
  <si>
    <t>WM+ KHA Lô 232 Khu A - Đông Nam</t>
  </si>
  <si>
    <t>Lô 232 Khu A, Đông Nam, Tổ 3, Phường Vĩnh Hải, Thành phố Nha Trang, T. Khánh Hòa Việt Nam</t>
  </si>
  <si>
    <t>WIN DNG 522 Núi Thành</t>
  </si>
  <si>
    <t>522 Núi Thành, Phường Hòa Cường Nam, Quận Hải Châu, TP. Đà Nẵng Việt Nam</t>
  </si>
  <si>
    <t>WM+ DNG Số 88 - 90 Huyền Trân Công</t>
  </si>
  <si>
    <t>Số 88 - 90 Huyền Trân Công Chúa, Phường Hòa Hải, Quận Ngũ Hành Sơn, TP. Đà Nẵng Việt Nam</t>
  </si>
  <si>
    <t>WM+ DNG 237 Lê Tấn Trung</t>
  </si>
  <si>
    <t>237 Lê Tấn Trung, KDC Phía Nam Bá Phiến, Phường Thọ Quang, Quận Sơn Trà, TP. Đà Nẵng Việt Nam</t>
  </si>
  <si>
    <t>WIN DNG 31 Thành Thái</t>
  </si>
  <si>
    <t>31 Thành Thái, Phường Khuê Trung, Quận Cẩm Lệ, TP. Đà Nẵng Việt Nam</t>
  </si>
  <si>
    <t>WM+ DNG 36 Trần Quý Hai</t>
  </si>
  <si>
    <t>36 Trần Quý Hai, Phường Hòa Thọ Đông, Quận Cẩm Lệ, TP. Đà Nẵng Việt Nam</t>
  </si>
  <si>
    <t>WIN DNG 125 Ông Ích Đường</t>
  </si>
  <si>
    <t>125 Ông Ích Đường, Tổ 15, Phường Khuê Trung, Quận Cẩm Lệ, TP. Đà Nẵng Việt Nam</t>
  </si>
  <si>
    <t>WM+ KHA 8 Nguyễn Xiển</t>
  </si>
  <si>
    <t>8 Nguyễn Xiển, Tổ 23 Tây Bắc, Phường Vĩnh Hải, Thành phố Nha Trang, T. Khánh Hòa Việt Nam</t>
  </si>
  <si>
    <t>WM+ DNG 274 Nguyễn Phước Nguyên</t>
  </si>
  <si>
    <t>274 Nguyễn Phước Nguyên, Tổ 49, Phường An Khê, Quận Thanh Khê, TP. Đà Nẵng Việt Nam</t>
  </si>
  <si>
    <t>WM+ DNG 135B Nguyễn Công Trứ</t>
  </si>
  <si>
    <t>135B Nguyễn Công Trứ, Phường An Hải Bắc, Quận Sơn Trà, TP. Đà Nẵng Việt Nam</t>
  </si>
  <si>
    <t>WM+ DNG 183 Hàn Thuyên</t>
  </si>
  <si>
    <t>Lô 6B1-34 KDC Số 4 Nguyễn Tri Phương, Phường Hòa Cường Bắc, Quận Hải Châu, TP. Đà Nẵng Việt Nam</t>
  </si>
  <si>
    <t>WIN DNG 234 Lê Văn Hiến</t>
  </si>
  <si>
    <t>234 Lê Văn Hiến, Phường Khuê Mỹ, Quận Ngũ Hành Sơn, TP. Đà Nẵng Việt Nam</t>
  </si>
  <si>
    <t>WIN DNG 110 Tiểu La</t>
  </si>
  <si>
    <t>110 Tiểu La, Phường Hòa Thuận Tây, Quận Hải Châu, TP. Đà Nẵng Việt Nam</t>
  </si>
  <si>
    <t>WM+ DNG 40 Trần Quang Diệu</t>
  </si>
  <si>
    <t>40 Trần Quang Diệu, Phường An Hải Đông, Quận Sơn Trà, TP. Đà Nẵng Việt Nam</t>
  </si>
  <si>
    <t>WM+ DNG 52 Ngô Thì Nhậm</t>
  </si>
  <si>
    <t>52 Ngô Thì Nhậm, Phường Hòa Khánh Nam, Quận Liên Chiểu, TP. Đà Nẵng Việt Nam</t>
  </si>
  <si>
    <t>WM+ DNG 563 Ngô Quyền</t>
  </si>
  <si>
    <t>563 Ngô Quyền, Phường An Hải Bắc, Quận Sơn Trà, TP. Đà Nẵng Việt Nam</t>
  </si>
  <si>
    <t>WM+ DNG Lô 44 B2.2 Trần Bạch Đằng</t>
  </si>
  <si>
    <t>Lô 44 B2.2 Trần Bạch Đằng, Phường Mỹ An, Quận Ngũ Hành Sơn, TP. Đà Nẵng Việt Nam</t>
  </si>
  <si>
    <t>WM+ DNG 61 Phạm Văn Nghị</t>
  </si>
  <si>
    <t>61 Phạm Văn Nghị, Phường Thạc Gián, Quận Thanh Khê, TP. Đà Nẵng Việt Nam</t>
  </si>
  <si>
    <t>WIN DNG KDC Nam Sân Bay</t>
  </si>
  <si>
    <t>KDC Nam Sân Bay, Phường Hòa Phát, Quận Cẩm Lệ, TP. Đà Nẵng Việt Nam</t>
  </si>
  <si>
    <t>WM+ DNG 119 Huỳnh Ngọc Huệ, Tổ 15</t>
  </si>
  <si>
    <t>119 Huỳnh Ngọc Huệ, tổ 15, Phường Hòa Khuê, Quận Thanh Khê, TP. Đà Nẵng Việt Nam</t>
  </si>
  <si>
    <t>WM+ DNG 148 Ông Ích Khiêm</t>
  </si>
  <si>
    <t>148 Ông Ích Khiêm, Phường Tam Thuận, Quận Thanh Khê, TP. Đà Nẵng Việt Nam</t>
  </si>
  <si>
    <t>WM+ KHA BT01-18- KĐT Phước Long</t>
  </si>
  <si>
    <t>BT01-18- KĐT Phước Long- P. Phước Long, Thành phố Nha Trang, T. Khánh Hòa Việt Nam</t>
  </si>
  <si>
    <t>WM+ DNG 154 Lê Đình Lý</t>
  </si>
  <si>
    <t>154 Lê Đình Lý, P. Vĩnh Trung, Quận Thanh Khê, TP. Đà Nẵng Việt Nam</t>
  </si>
  <si>
    <t>WM+ DNG 183 Tô Hiệu</t>
  </si>
  <si>
    <t>183 Tô Hiệu, P. Hòa Minh, Quận Liên Chiểu, TP. Đà Nẵng Việt Nam</t>
  </si>
  <si>
    <t>WM+ DNG 164 Kỳ Đồng</t>
  </si>
  <si>
    <t>164 Kỳ Đồng, tổ 27, Phường Thanh Khê Đông, Quận Thanh Khê, TP. Đà Nẵng Việt Nam</t>
  </si>
  <si>
    <t>WM+ KHA 69 Trường Sa</t>
  </si>
  <si>
    <t>69 Trường Sa, Phường Phước Long, Thành phố Nha Trang, T. Khánh Hòa Việt Nam</t>
  </si>
  <si>
    <t>WM+ DNG 74 Đường Hàm Nghi</t>
  </si>
  <si>
    <t>74 Đường Hàm Nghi, Phường Thạc Gián, Quận Thanh Khê, TP. Đà Nẵng Việt Nam</t>
  </si>
  <si>
    <t>WM+ DNG 119 Phạm Như Xương</t>
  </si>
  <si>
    <t>119 Phạm Như Xương, P. Hòa Khành Nam, Quận Liên Chiểu, TP. Đà Nẵng Việt Nam</t>
  </si>
  <si>
    <t>WM+ DNG 30 Đô Đốc Bảo, Tổ 60</t>
  </si>
  <si>
    <t>30 Đường Đô Đốc Bảo, Tổ 60, Phường Hòa Xuân, Quận Cẩm Lệ, TP. Đà Nẵng Việt Nam</t>
  </si>
  <si>
    <t>WM+ DNG 02 Đống Đa</t>
  </si>
  <si>
    <t>02 Đống Đa, P. Thuận Phước, Quận Hải Châu, TP. Đà Nẵng Việt Nam</t>
  </si>
  <si>
    <t>WM+ DNG K48/104 Lê Đình Dương</t>
  </si>
  <si>
    <t>K48/104 Lê Đình Dương, P. Phước Ninh, Quận Hải Châu, TP. Đà Nẵng Việt Nam</t>
  </si>
  <si>
    <t>WM+ DNG 17 Yên Thế</t>
  </si>
  <si>
    <t>17 Yên Thế, tổ 18, Phường Hòa An, Quận Cẩm Lệ, TP. Đà Nẵng Việt Nam</t>
  </si>
  <si>
    <t>WM+ DNG LÔ 9 C15 Lý Nhật Quang</t>
  </si>
  <si>
    <t>Lô 9 C15, đường Lý Nhật Quang, P. Nại Hiên Đông, Quận Sơn Trà, TP. Đà Nẵng Việt Nam</t>
  </si>
  <si>
    <t>WM+ KHA 21 Nguyễn Đức Cảnh</t>
  </si>
  <si>
    <t>21 Nguyễn Đức Cảnh, P. Phước Long, Thành phố Nha Trang, T. Khánh Hòa Việt Nam</t>
  </si>
  <si>
    <t>WM+ DNG 119 Phạm Tứ (Lô 08-D18)</t>
  </si>
  <si>
    <t>119 Phạm Tứ (Lô 08-D18), tổ 4, Phường Khuê Trung, Quận Cẩm Lệ, TP. Đà Nẵng Việt Nam</t>
  </si>
  <si>
    <t>WM+ DNG 429-431 Hà Huy Tập</t>
  </si>
  <si>
    <t>429-431 Hà Huy Tập, Phường An Khê, Quận Thanh Khê, TP. Đà Nẵng Việt Nam</t>
  </si>
  <si>
    <t>WIN DNG 290 Mai Đăng Chơn</t>
  </si>
  <si>
    <t>290 Mai Đăng Chơn, Phường Hòa Quý, Quận Ngũ Hành Sơn, TP. Đà Nẵng Việt Nam</t>
  </si>
  <si>
    <t>WM+ DNG 43 Hồ Quý Ly</t>
  </si>
  <si>
    <t>43 Hồ Quý Ly, Phường Thanh Khê Tây, Quận Thanh Khê, TP. Đà Nẵng Việt Nam</t>
  </si>
  <si>
    <t>WM+ DNG 376-378 Kinh Dương Vương</t>
  </si>
  <si>
    <t>376-378 Kinh Dương Vương, Lô 27-28-F1.11, khu TĐC Hòa Minh 3, P. Hòa Minh, Quận Liên Chiểu, TP. Đà Nẵng Việt Nam</t>
  </si>
  <si>
    <t>WM+ DNG 217 Nguyễn Duy Trinh</t>
  </si>
  <si>
    <t>217 Nguyễn Duy Trinh, Phường Hòa Hải, Quận Ngũ Hành Sơn, TP. Đà Nẵng Việt Nam</t>
  </si>
  <si>
    <t>WM+ DNG 220 Thanh Thủy</t>
  </si>
  <si>
    <t>220 Thanh Thủy, Phường Thanh Bình, Quận Hải Châu, TP. Đà Nẵng Việt Nam</t>
  </si>
  <si>
    <t>WM+ DNG 351-351A Tôn Đản, Tổ 16</t>
  </si>
  <si>
    <t>351-351A Tôn Đản, Tổ 16, Phường Hòa An, Quận Cẩm Lệ, TP. Đà Nẵng Việt Nam</t>
  </si>
  <si>
    <t>WM+ DNG 253 Huỳnh Ngọc Huệ</t>
  </si>
  <si>
    <t>Lô 01B2-12 KDC Sư Đoàn 372, P. Hòa Khê, Quận Thanh Khê, TP. Đà Nẵng Việt Nam</t>
  </si>
  <si>
    <t>WM+ DNG 36 Tây Sơn</t>
  </si>
  <si>
    <t>36 Tây Sơn, Phường Hòa Hải, Quận Ngũ Hành Sơn, TP. Đà Nẵng Việt Nam</t>
  </si>
  <si>
    <t>WM+ DNG 103 Tô Hiệu</t>
  </si>
  <si>
    <t>103 Tô Hiệu, Phường Hòa Minh, Quận Liên Chiểu, TP. Đà Nẵng Việt Nam</t>
  </si>
  <si>
    <t>WM+ DNG 89 Đồng Kè</t>
  </si>
  <si>
    <t>89 Đồng Kè, Phường Hòa Khánh Bắc, Quận Liên Chiểu, TP. Đà Nẵng Việt Nam</t>
  </si>
  <si>
    <t>WM+ DNG 140 Lý Thái Tổ</t>
  </si>
  <si>
    <t>140 Lý Thái Tổ, Phường Thạc Gián, Quận Thanh Khê, TP. Đà Nẵng Việt Nam</t>
  </si>
  <si>
    <t>WM+ DNG 69 Nguyễn Hoàng</t>
  </si>
  <si>
    <t>69 Nguyễn Hoàng, Phường Hải Châu 2, Quận Hải Châu, TP. Đà Nẵng Việt Nam</t>
  </si>
  <si>
    <t>WM+ DNG 2 Đinh Công Trứ</t>
  </si>
  <si>
    <t>2 Đinh Công Trứ, Phường Thọ Quang, Quận Sơn Trà, TP. Đà Nẵng Việt Nam</t>
  </si>
  <si>
    <t>WM+ DNG 278 Nguyễn Công Trứ</t>
  </si>
  <si>
    <t>278 Nguyễn Công Trứ, Phường Phước Mỹ, Quận Sơn Trà, TP. Đà Nẵng Việt Nam</t>
  </si>
  <si>
    <t>WM+ DNG 133 Đỗ Bá</t>
  </si>
  <si>
    <t>133 Đỗ Bá, Phường Mỹ An, Quận Ngũ Hành Sơn, TP. Đà Nẵng Việt Nam</t>
  </si>
  <si>
    <t>WM+ TTH 89 Trường Chinh</t>
  </si>
  <si>
    <t>89 Trường Chinh, Phường Xuân Phú, Thành phố Huế, T. Thừa Thiên - Huế Việt Nam</t>
  </si>
  <si>
    <t>WM+ TTH 50 Phan Bội Châu</t>
  </si>
  <si>
    <t>50 Phan Bội Châu, Phường Vĩnh Ninh, Thành phố Huế, T. Thừa Thiên - Huế Việt Nam</t>
  </si>
  <si>
    <t>WM+ DNG 31 Nguyễn Đình Trọng</t>
  </si>
  <si>
    <t>31 Nguyễn Đình Trọng, Phường Hòa Khánh Nam, Quận Liên Chiểu, TP. Đà Nẵng Việt Nam</t>
  </si>
  <si>
    <t>WM+ TTH 156 Nguyễn Trãi</t>
  </si>
  <si>
    <t>156 Nguyễn Trãi, Phường Tây Lộc, Thành phố Huế, T. Thừa Thiên - Huế Việt Nam</t>
  </si>
  <si>
    <t>WM+ KHA 128A Bạch Đằng</t>
  </si>
  <si>
    <t>128A Bạch Đằng, P. Tân Lập, Thành phố Nha Trang, T. Khánh Hòa Việt Nam</t>
  </si>
  <si>
    <t>WM+ DLK 277 Phan Bội Châu</t>
  </si>
  <si>
    <t>277 Phan Bội Châu, Phường Tân Tiến, Thành phố Buôn Ma Thuột, T. Đắk Lắk Việt Nam</t>
  </si>
  <si>
    <t>WM+ DNG 28 Phan Châu Trinh</t>
  </si>
  <si>
    <t>28 Phan Châu Trinh, Phường Hải Châu 1, Quận Hải Châu, TP. Đà Nẵng Việt Nam</t>
  </si>
  <si>
    <t>WM+ DLK 152 Phạm Văn Đồng</t>
  </si>
  <si>
    <t>152 Phạm Văn Đồng, Phường Tân Hòa, Thành phố Buôn Ma Thuột, T. Đắk Lắk Việt Nam</t>
  </si>
  <si>
    <t>WM+ DLK 257-259 Lê Thánh Tông</t>
  </si>
  <si>
    <t>257-259 Lê Thánh Tông, Phường Tân Lợi, Thành phố Buôn Ma Thuột, T. Đắk Lắk Việt Nam</t>
  </si>
  <si>
    <t>WM+ DLK 44 Nguyễn Đình Chiểu</t>
  </si>
  <si>
    <t>Số nhà 44 Nguyễn Đình Chiểu, Phường Tân Lợi, Thành phố Buôn Ma Thuột, T. Đắk Lắk Việt Nam</t>
  </si>
  <si>
    <t>WM+ DLK 47 Nguyễn Viết Xuân</t>
  </si>
  <si>
    <t>47 Nguyễn Viết Xuân, Phường Tân Thành, Thành phố Buôn Ma Thuột, T. Đắk Lắk Việt Nam</t>
  </si>
  <si>
    <t>WM+ DNG 46 Lê Văn Thứ</t>
  </si>
  <si>
    <t>46 Lê Văn Thứ, Phường Mân Thái, Quận Sơn Trà, TP. Đà Nẵng Việt Nam</t>
  </si>
  <si>
    <t>WM+ DLK 211 Mai Hắc Đế</t>
  </si>
  <si>
    <t>211 Mai Hắc Đế, Phường Tân Thành, Thành phố Buôn Ma Thuột, T. Đắk Lắk Việt Nam</t>
  </si>
  <si>
    <t>WM+ DNG 64 Tô Hiến Thành</t>
  </si>
  <si>
    <t>64 Tô Hiến Thành, Phường Phước, Mỹ, Quận Sơn Trà, TP. Đà Nẵng Việt Nam</t>
  </si>
  <si>
    <t>WM+ DNG 92 Mai Thúc Lân</t>
  </si>
  <si>
    <t>K116/92 Nguyễn Văn Thoại, Phường Mỹ An, Quận Ngũ Hành Sơn, TP. Đà Nẵng Việt Nam</t>
  </si>
  <si>
    <t>WM+ DNG 5 Phan Khoang</t>
  </si>
  <si>
    <t>5 Phan Khoang, Phường Hòa An, Quận Cẩm Lệ, TP. Đà Nẵng Việt Nam</t>
  </si>
  <si>
    <t>WM+ DNG 588 Phạm Hùng</t>
  </si>
  <si>
    <t>588 Phạm Hùng, xã Hòa Phước, Huyện Hòa Vang, TP. Đà Nẵng Việt Nam</t>
  </si>
  <si>
    <t>WM+ TTH 175 Phan Bội Châu</t>
  </si>
  <si>
    <t>175 Phan Bội Châu, Phường Trường An, Thành phố Huế, T. Thừa Thiên - Huế Việt Nam</t>
  </si>
  <si>
    <t>WM+ DNG 55 – 57 Mẹ Suốt</t>
  </si>
  <si>
    <t>55 - 57 Mẹ Suốt, P. Hòa Khánh Nam, Q. Liên Chiểu, TP. Đà Nẵng Việt Nam</t>
  </si>
  <si>
    <t>WM+ TTH 97 Trần Phú</t>
  </si>
  <si>
    <t>97 Trần Phú, Phước Vĩnh, Thành phố Huế, T. Thừa Thiên - Huế Việt Nam</t>
  </si>
  <si>
    <t>WM+ GLI 306 CMT8</t>
  </si>
  <si>
    <t>306 Cách Mạng Tháng Tám, P. Hoa Lư, TP. Pleiku, T. Gia Lai Việt Nam</t>
  </si>
  <si>
    <t>WM+ GLI 105-107 Thống Nhất</t>
  </si>
  <si>
    <t>105 - 107 Thống Nhất, P. Ia Kring, TP Pleiku, T. Gia Lai Việt Nam</t>
  </si>
  <si>
    <t>WM+ GLI 339 Trường Chinh</t>
  </si>
  <si>
    <t>339 Trường Chinh, P. Trà Bá, TP Pleiku, T. Gia Lai Việt Nam</t>
  </si>
  <si>
    <t>WM+ GLI 32 Lê Duẩn</t>
  </si>
  <si>
    <t>32 Lê Duẩn, P. Trà Bá, TP Pleiku, T. Gia Lai Việt Nam</t>
  </si>
  <si>
    <t>WM+ GLI 115 Cách Mạng Tháng 8</t>
  </si>
  <si>
    <t>115 Cách Mạng Tháng 8, P Hoa Lư, TP Pleiku, T. Gia Lai Việt Nam</t>
  </si>
  <si>
    <t>WM+ GLI 27-29 Nguyễn Văn Trỗi</t>
  </si>
  <si>
    <t>27-29 Nguyễn Văn Trỗi, Phường Hội Thương, TP Pleiku, T. Gia Lai Việt Nam</t>
  </si>
  <si>
    <t>WM+ DNG 28 Lê Tấn Trung</t>
  </si>
  <si>
    <t>28 Lê Tấn Trung, Phường Thọ Quang, Quận Sơn Trà, TP. Đà Nẵng Việt Nam</t>
  </si>
  <si>
    <t>WM+ QTI 158 Lê Lợi</t>
  </si>
  <si>
    <t>158 Lê Lợi, Thành phố Đông Hà, T. Quảng Trị Việt Nam</t>
  </si>
  <si>
    <t>WM+ QTI 52 Tôn Thất Thuyết</t>
  </si>
  <si>
    <t>52 Tôn Thất Thuyết, Phường 5, Thành phố Đông Hà, T. Quảng Trị Việt Nam</t>
  </si>
  <si>
    <t>WIN DNG 84 Bùi Tá Hán</t>
  </si>
  <si>
    <t>84 Bùi Tá Hán, Phường Khuê Mỹ, Quận Ngũ Hành Sơn, TP. Đà Nẵng Việt Nam</t>
  </si>
  <si>
    <t>WM+ DNG Savico 66 Võ Văn Tần</t>
  </si>
  <si>
    <t>Savico 66 Võ Văn Tần, Phường Chính Gián, Quận Thanh Khê, TP. Đà Nẵng Việt Nam</t>
  </si>
  <si>
    <t>WM+ QTI 35 Hùng Vương</t>
  </si>
  <si>
    <t>35 Hùng Vương, Phường 1, Thành phố Đông Hà, T. Quảng Trị Việt Nam</t>
  </si>
  <si>
    <t>WM+ QTI 85 Quốc Lộ 9B</t>
  </si>
  <si>
    <t>85 Quốc Lộ 9B, Phường 5, Thành phố Đông Hà, T. Quảng Trị Việt Nam</t>
  </si>
  <si>
    <t>WM+ QTI 150 Nguyễn Du</t>
  </si>
  <si>
    <t>150 Nguyễn Du, Phường 1, Thành phố Đông Hà, T. Quảng Trị Việt Nam</t>
  </si>
  <si>
    <t>WM+ DNG 311 Bùi Tấn Diên</t>
  </si>
  <si>
    <t>311 Bùi Tấn Diên, Phường Hòa An, Quận Cẩm Lệ, TP. Đà Nẵng Việt Nam</t>
  </si>
  <si>
    <t>WM+ TTH 58 Chu Văn An</t>
  </si>
  <si>
    <t>58 Chu Văn An, Phú Hội, Thành phố Huế, T. Thừa Thiên - Huế Việt Nam</t>
  </si>
  <si>
    <t>WM+ DNG 95 Phạm Xuân Ẩn</t>
  </si>
  <si>
    <t>Thửa 104, TBĐ B1-95, Khu đô thị sinh thái ven sông, Hòa Xuân, Phường Hòa Xuân, Quận Cẩm Lệ, TP. Đà Nẵng Việt Nam</t>
  </si>
  <si>
    <t>WM+ DNG 159-161Quách Thị Trang</t>
  </si>
  <si>
    <t>159-161Quách Thị Trang, Phường Hòa Xuân, Quận Cẩm Lệ, TP. Đà Nẵng Việt Nam</t>
  </si>
  <si>
    <t>WM+ TTH 102 Điện Biên Phủ</t>
  </si>
  <si>
    <t>102 Điện Biên Phủ, Trường An, Thành phố Huế, T. Thừa Thiên - Huế Việt Nam</t>
  </si>
  <si>
    <t>WM+ DNG 96 Trịnh Đình Thảo</t>
  </si>
  <si>
    <t>96 Trịnh Đình Thảo, P. Khuê Trung, Quận Cẩm Lệ, TP. Đà Nẵng Việt Nam</t>
  </si>
  <si>
    <t>WM+ TTH 224 Đinh Tiên Hoàng</t>
  </si>
  <si>
    <t>224 Đinh Tiên Hoàng, phường Thuận Lộc, Thành phố Huế, T. Thừa Thiên - Huế Việt Nam</t>
  </si>
  <si>
    <t>WM+ TTH 43 Nguyễn Công Trứ</t>
  </si>
  <si>
    <t>43 Nguyễn Công Trứ, Phú Hội, Thành phố Huế, T. Thừa Thiên - Huế Việt Nam</t>
  </si>
  <si>
    <t>WM+ TTH Lô C4-3, KQH Xuân Phú</t>
  </si>
  <si>
    <t>Lô C4-3, KQH Xuân Phú, Phường Xuân Phú, Thành phố Huế, T. Thừa Thiên - Huế Việt Nam</t>
  </si>
  <si>
    <t>WM+ TTH 47 Hồ Đắc Di</t>
  </si>
  <si>
    <t>47 Hồ Đắc Di, An Cựu, Thành phố Huế, T. Thừa Thiên - Huế Việt Nam</t>
  </si>
  <si>
    <t>WM+ DNG 413 Trường Sơn</t>
  </si>
  <si>
    <t>413 Trường Sơn, Phường Hòa Thọ Tây, Quận Cẩm Lệ, TP. Đà Nẵng Việt Nam</t>
  </si>
  <si>
    <t>WIN DNG 51 Lê Trọng Tấn</t>
  </si>
  <si>
    <t>51 Lê Trọng Tấn, Phường Hòa Phát, Quận Cẩm Lệ, TP. Đà Nẵng Việt Nam</t>
  </si>
  <si>
    <t>WM+ DNG 84 Nguyễn Lương Bằng</t>
  </si>
  <si>
    <t>84 Nguyễn Lương Bằng, Phường Hòa Khánh Bắc, Quận Liên Chiểu, TP. Đà Nẵng Việt Nam</t>
  </si>
  <si>
    <t>WM+ QTI 25 Trần Hưng Đạo</t>
  </si>
  <si>
    <t>25 Trần Hưng Đạo, Phường 1, Thành phố Đông Hà, T. Quảng Trị Việt Nam</t>
  </si>
  <si>
    <t>WM+ QTI 51 Lê Lợi</t>
  </si>
  <si>
    <t>51 Lê Lợi, Phường 5, Thành phố Đông Hà, T. Quảng Trị Việt Nam</t>
  </si>
  <si>
    <t>WM+ DNG 02 Tôn Thất Đạm</t>
  </si>
  <si>
    <t>02 Tôn Thất Đạm, Phường Xuân Hà, Quận Thanh Khê, TP. Đà Nẵng Việt Nam</t>
  </si>
  <si>
    <t>WM+ DLK 70 Y Wang</t>
  </si>
  <si>
    <t>70 Y Wang, Phường Ea Tam, Thành phố Buôn Ma Thuột, T. Đắk Lắk Việt Nam</t>
  </si>
  <si>
    <t>WM+ DNG 985 Ngô Quyền</t>
  </si>
  <si>
    <t>985 Ngô Quyền, P. An Hải Đông, Quận Sơn Trà, TP. Đà Nẵng Việt Nam</t>
  </si>
  <si>
    <t>WM+ TTH 26 Võ Liêm Sơn</t>
  </si>
  <si>
    <t>26 Võ Liêm Sơn, Phường Trường An, Thành phố Huế, T. Thừa Thiên - Huế Việt Nam</t>
  </si>
  <si>
    <t>WM+ DNG 91 Châu Thị Vĩnh Tế</t>
  </si>
  <si>
    <t>91 Châu Thị Vĩnh Tế, Phường Mỹ An, Quận Ngũ Hành Sơn, TP. Đà Nẵng Việt Nam</t>
  </si>
  <si>
    <t>WM+ DNG 124 Nguyễn Đức Trung</t>
  </si>
  <si>
    <t>124 Nguyễn Đức Trung, Phường Thanh Khê Đông, Quận Thanh Khê, TP. Đà Nẵng Việt Nam</t>
  </si>
  <si>
    <t>WM+ DLK 168-170 Hà Huy Tập</t>
  </si>
  <si>
    <t>168-170 Hà Huy Tập, Phường Tân Lợi, Thành phố Buôn Ma Thuột, T. Đắk Lắk Việt Nam</t>
  </si>
  <si>
    <t>WIN DNG 60 Nguyễn Chánh</t>
  </si>
  <si>
    <t>60 Nguyễn Chánh, Phường Hòa Khánh Bắc, Quận Liên Chiểu, TP. Đà Nẵng Việt Nam</t>
  </si>
  <si>
    <t>WM+ TTH 162 Bùi Thị Xuân</t>
  </si>
  <si>
    <t>162 Bùi Thị Xuân, Phường Phường Đúc, Thành phố Huế, T. Thừa Thiên - Huế Việt Nam</t>
  </si>
  <si>
    <t>WM+ DNG 124 Hoàng Hoa Thám</t>
  </si>
  <si>
    <t>124 Hoàng Hoa Thám, Phường Thạc Gián, Quận Thanh khê, TP.Đà Nẵng Việt Nam</t>
  </si>
  <si>
    <t>WM+ DNG 97 Nguyễn Phan Vinh</t>
  </si>
  <si>
    <t>97 Nguyễn Phan Vinh, Phường Thọ Quang, Quận Sơn Trà, TP. Đà Nẵng Việt Nam</t>
  </si>
  <si>
    <t>WIN DNG 135 Nguyễn Văn Thoại</t>
  </si>
  <si>
    <t>135 Nguyễn Văn Thoại, Phường An Hải Đông, Quận Sơn Trà, TP Đà Nẵng Việt Nam</t>
  </si>
  <si>
    <t>WM+ DNG 86 Cao Sơn Pháo</t>
  </si>
  <si>
    <t>86 Cao Sơn Pháo, Phường Hòa Minh, Quận Liên Chiểu, TP Đà Nẵng Việt Nam</t>
  </si>
  <si>
    <t>WM+ DNG 296 Nguyễn Hoàng</t>
  </si>
  <si>
    <t>296 Nguyễn Hoàng, P. Vĩnh Trung, Q. Thanh Khê, TP Đà Nẵng Việt Nam</t>
  </si>
  <si>
    <t>WM+ DNG Lô 160A ĐT 605, Xã Hòa Châu</t>
  </si>
  <si>
    <t>Lô 160A Khu B2-5 Khu dân cư số 1 đư xã Hòa Châu, Huyện Hòa Vang, TP. Đà Nẵng Việt Nam</t>
  </si>
  <si>
    <t>WIN DNG 438 Trần Đại Nghĩa</t>
  </si>
  <si>
    <t>Số 438 đường Trần Đại Nghĩa, tổ 63, phường Hòa Quý, quận Ngũ Hành Sơn, Đà Nẵng TP. Đà Nẵng Việt Nam</t>
  </si>
  <si>
    <t>WM+ DNG 02 Phan Xích Long</t>
  </si>
  <si>
    <t>Số 02 Phan Xích Long, p. An Khê, q. Thanh Khê, TP. Đà Nẵng Việt Nam</t>
  </si>
  <si>
    <t>WM+ DNG Thôn Miếu Bông, Xã Hòa Phướ</t>
  </si>
  <si>
    <t>Thôn Miếu Bông, Xã Hòa Phước, Huyện Hòa Vang, Thành phố Đà Nẵng TP. Đà Nẵng Việt Nam</t>
  </si>
  <si>
    <t>WM+ QNM 274 Trần Nhân Tông, Điện Bà</t>
  </si>
  <si>
    <t>274 Trần Nhân Tông, Phường Vĩnh Điện, Thị Xã Điện Bàn, T. Quảng Nam Việt Nam</t>
  </si>
  <si>
    <t>WM+ DNG 407 Âu Cơ</t>
  </si>
  <si>
    <t>Số 407 Âu Cơ, phường Hòa Khánh Bắc, quận Liên Chiểu, TP. Đà Nẵng Việt Nam</t>
  </si>
  <si>
    <t>WM+ GLI 40B Hùng Vương</t>
  </si>
  <si>
    <t>40B Hùng Vương, Phường Ia Kring, Thành Phố Pleiku, T. Gia Lai Việt Nam</t>
  </si>
  <si>
    <t>WM+ TTH 04 Nhật Lệ</t>
  </si>
  <si>
    <t>04 Nhật Lệ, Phường Thuận Thành, Thành phố Huế, T. Thừa Thiên - Huế Việt Nam</t>
  </si>
  <si>
    <t>WM+ KHA 155 đường A2 Phước Hải</t>
  </si>
  <si>
    <t>155 đường A2 Khu đô thị VCN Phước Hải, phường Phước Hải, thành phố Nha Trang, T. Khánh Hòa Việt Nam</t>
  </si>
  <si>
    <t>WM+ DNG An Ngãi Đông, Hòa Vang</t>
  </si>
  <si>
    <t>Thôn An Ngãi Đông, Xã Hòa Sơn, Huyện Hòa Vang, TP. Đà Nẵng Việt Nam</t>
  </si>
  <si>
    <t>WM+ DNG Đường DT 602, Hòa Vang</t>
  </si>
  <si>
    <t>Lô 4-5, B2 -26 Khu TĐC số 6 dọc tuyến đường DT 602, X.Hòa Sơn, H.Hòa Vang, TP. Đà Nẵng Việt Nam</t>
  </si>
  <si>
    <t>WM+ KHA XH1 Phước Long</t>
  </si>
  <si>
    <t>Căn 07E, tầng 1 CC XH1 Khu đô thị VCN Phước Long II, P.Phước Long, TP. Nha Trang, T. Khánh Hòa Việt Nam</t>
  </si>
  <si>
    <t>WM+ DNG 58 Hà Tông Quyền</t>
  </si>
  <si>
    <t>Số 58 đường Hà Tông Quyền, tổ 23, Phường Khuê Trung, Quận Cẩm Lệ, TP. Đà Nẵng Việt Nam</t>
  </si>
  <si>
    <t>WM+ GLI 04 Trường Sơn, TP Pleiku</t>
  </si>
  <si>
    <t>Số 04 Trường Sơn, Phường Yên Thế, TP. Pleiku, T. Gia Lai Việt Nam</t>
  </si>
  <si>
    <t>WM+ QTI 315 Khu phố 6, TP Đông Hà</t>
  </si>
  <si>
    <t>Số 315 Quốc Lộ 9, Khu phố 6, Phường 3, TP. Đông Hà, T. Quảng Trị Việt Nam</t>
  </si>
  <si>
    <t>WM+ DNG Túy Loan Đông 1, Hòa Vang</t>
  </si>
  <si>
    <t>Thôn Túy Loan Đông 1, Xã Hòa Phong, Huyện Hòa Vang, TP. Đà Nẵng Việt Nam</t>
  </si>
  <si>
    <t>WM+ DNG 297-299 đường 29/3</t>
  </si>
  <si>
    <t>297-299 đường 29/3, Phường Hoà Xuân, Quận Cẩm Lệ, TP. Đà Nẵng Việt Nam</t>
  </si>
  <si>
    <t>WM+ QTI 163 Trần Hưng Đạo</t>
  </si>
  <si>
    <t>Số 163 Trần Hưng Đạo, Khu Phố 2, Phường 3, Thị Xã Quảng Trị, T. Quảng Trị Việt Nam</t>
  </si>
  <si>
    <t>WIN DNG Lô B2 -11 Khu Số 4 Mở Rộng</t>
  </si>
  <si>
    <t>Lô B2 -11 Khu Số 4 Mở Rộng, KĐT Mới Nam Cầu Tuyên Sơn, P. Khuê Mỹ, Q. Ngũ Hành Sơn, TP. Đà Nẵng Việt Nam</t>
  </si>
  <si>
    <t>WM+ TTH 27 Mai Thúc Loan</t>
  </si>
  <si>
    <t>27 Mai Thúc Loan, P. Đông Ba, TP. Huế, T. Thừa Thiên Huế Việt Nam</t>
  </si>
  <si>
    <t>WM+ QTI 126 Lý Thường Kiệt, Đông Hà</t>
  </si>
  <si>
    <t>TĐ 22, TBĐ 23, Lý Thường Kiệt, P. Đ TP. Đông Hà, T. Quảng Trị (126 Lý Thường Kiệt) T. Quảng Trị Việt Nam</t>
  </si>
  <si>
    <t>WM+ KHA Lô 98 – 99 Ô 25 Lý Thái Tổ</t>
  </si>
  <si>
    <t>Lô 98 – 99 Ô 25 Lý Thái Tổ, KDC Đông Mương, Đường Đệ, P. Vĩnh Hòa, TP. Nha Trang, T. Khánh Hòa Việt Nam</t>
  </si>
  <si>
    <t>WIN DNG 572 Lê Văn Hiến</t>
  </si>
  <si>
    <t>572 Lê Văn Hiến, P. Hoà Hải, Q. Ngũ Hành Sơn TP. Đà Nẵng Việt Nam</t>
  </si>
  <si>
    <t>WM+ DNG 431 Nguyễn Lương Bằng</t>
  </si>
  <si>
    <t>431 Nguyễn Lương Bằng, P. Hòa Khánh Bắc, Q. Liên Chiểu, TP. Đà Nẵng Việt Nam</t>
  </si>
  <si>
    <t>WM+ DNG 356 Mai Chí Thọ</t>
  </si>
  <si>
    <t>356 Mai Chí Thọ, P. Hòa Xuân, Q. Cẩm Lệ, TP. Đà Nẵng Việt Nam</t>
  </si>
  <si>
    <t>WIN DNG 723 Nguyễn Lương Bằng</t>
  </si>
  <si>
    <t>723 Nguyễn Lương Bằng, P. Hòa Hiệp Nam, Q. Liên Chiểu, TP. Đà Nẵng Việt Nam</t>
  </si>
  <si>
    <t>WM+ GLI 230 Phan Đình Phùng</t>
  </si>
  <si>
    <t>230 Phan Đình Phùng, Phường Yên Đỗ, Thành Phố Pleiku, T. Gia Lai Việt Nam</t>
  </si>
  <si>
    <t>WIN DNG 58 Mỹ An 7</t>
  </si>
  <si>
    <t>58 Mỹ An 7, Phường Mỹ An, Quận Ngũ Hành Sơn, TP. Đà Nẵng Việt Nam</t>
  </si>
  <si>
    <t>WM+ DLK 110 Y Ngông</t>
  </si>
  <si>
    <t>110 Y Ngông, Phường Tân Tiến, Thành Phố Buôn Ma Thuột, T. Đắk Lắk Việt Nam</t>
  </si>
  <si>
    <t>WM+ KTM 625 Duy Tân</t>
  </si>
  <si>
    <t>625 Duy Tân, P. Duy Tân, TP. Kon Tum, T. Kon Tum Việt Nam</t>
  </si>
  <si>
    <t>WM+ QNM 199 Lý Thái Tổ</t>
  </si>
  <si>
    <t>199 Lý Thái Tổ, P. Điện An, Tx. Điện Bàn, T. Quảng Nam Việt Nam</t>
  </si>
  <si>
    <t>WM+ KTM 580 Trần Phú</t>
  </si>
  <si>
    <t>580 Trần Phú, Phường Quyết Thắng, Thành phố Kon Tum, T. Kon Tum Việt Nam</t>
  </si>
  <si>
    <t>WM+ KTM 209A Trần Phú</t>
  </si>
  <si>
    <t>209A Trần Phú, P. Trường Chinh, TP. Kon Tum, T. Kon Tum Việt Nam</t>
  </si>
  <si>
    <t>WM+ DNG 119 Hoàng Văn Thái</t>
  </si>
  <si>
    <t>119 Hoàng Văn Thái, P. Hòa Khánh Nam, Q. Liên Chiểu, TP. Đà Nẵng Việt Nam</t>
  </si>
  <si>
    <t>WM+ QNM 120 Trần Thủ Độ, Điện Bàn</t>
  </si>
  <si>
    <t>120 Trần Thủ Độ, P. Điện Nam Bắc, Tx. Điện Bàn, T. Quảng Nam Việt Nam</t>
  </si>
  <si>
    <t>WM+ QTI 68 Nguyễn Huệ, Đông Hà</t>
  </si>
  <si>
    <t>68 Nguyễn Huệ, P. 1, TP. Đông Hà, T. Quảng Trị Việt Nam</t>
  </si>
  <si>
    <t>WM+ DNG 143 Thái Thị Bôi</t>
  </si>
  <si>
    <t>143 Thái Thị Bôi, P. Chính Gián, Q. Thanh Khê, TP. Đà Nẵng Việt Nam</t>
  </si>
  <si>
    <t>WM+ KHA 12D Võ Thị Sáu</t>
  </si>
  <si>
    <t>12D Võ Thị Sáu, P. Phước Long, TP. Nha Trang, T. Khánh Hòa Việt Nam</t>
  </si>
  <si>
    <t>WM+ QNM 233 Tiểu La, Thăng Bình</t>
  </si>
  <si>
    <t>233 Tiểu La, Tt. Hà Lam, H. Thăng Bình, T. Quảng Nam Việt Nam</t>
  </si>
  <si>
    <t>WM+ QNM 65 Đỗ Đăng Tuyển, Đại Lộc</t>
  </si>
  <si>
    <t>65 Đỗ Đăng Tuyển, Khu Nghĩa Hiệp, Tt. Ái Nghĩa, H. Đại Lộc, T. Quảng Nam Việt Nam</t>
  </si>
  <si>
    <t>WM+ QNM 8-10 Nguyễn Văn Linh, Núi T</t>
  </si>
  <si>
    <t>8-10 Nguyễn Văn Linh, Tt. Núi Thành, H. Núi Thành, T. Quảng Nam Việt Nam</t>
  </si>
  <si>
    <t>WM+ BDH 32 Hoàng Văn Thụ, Quy Nhơn</t>
  </si>
  <si>
    <t>32 Hoàng Văn Thụ, P. Quang Trung, TP. Quy Nhơn, T. Bình Định Việt Nam</t>
  </si>
  <si>
    <t>WM+ GLI 324 Tôn Đức Thắng</t>
  </si>
  <si>
    <t>324 Tôn Đức Thắng, X. Biển Hồ, TP. Pleiku, T. Gia Lai Việt Nam</t>
  </si>
  <si>
    <t>WM+ KTM 51 Nguyễn Văn Linh</t>
  </si>
  <si>
    <t>51 Nguyễn Văn Linh, P. Lê Lợi, TP. Kon Tum, T. Kon Tum Việt Nam</t>
  </si>
  <si>
    <t>WM+ GLI 02 Nơ Trang Long</t>
  </si>
  <si>
    <t>02 Nơ Trang Long, P. Trà Bá, TP. Pleiku, T. Gia Lai Việt Nam</t>
  </si>
  <si>
    <t>WIN DNG 197 Phan Đăng Lưu</t>
  </si>
  <si>
    <t>197 Phan Đăng Lưu, P. Khuê Trung, Q. Cẩm Lệ, TP. Đà Nẵng Việt Nam</t>
  </si>
  <si>
    <t>WM+ GLI 45C Phan Đình Phùng</t>
  </si>
  <si>
    <t>45C Phan Đình Phùng, P. Tây Sơn, TP. Pleiku, T. Gia Lai Việt Nam</t>
  </si>
  <si>
    <t>WM+ DLK 72 Y Moan Êñuôl</t>
  </si>
  <si>
    <t>72 Y Moan Êñuôl, P. Tân Lợi, TP. Buôn Ma Thuột, T. Đắk Lắk Việt Nam</t>
  </si>
  <si>
    <t>WM+ DNG 40 Trần Bình Trọng</t>
  </si>
  <si>
    <t>40 Trần Bình Trọng, P. Hải Châu I, Q. Hải Châu TP. Đà Nẵng Việt Nam</t>
  </si>
  <si>
    <t>WM+ KHA 34 Hòn Chồng</t>
  </si>
  <si>
    <t>34 Hòn Chồng, P. Vĩnh Hải, TP. Nha Trang T. Khánh Hòa Việt Nam</t>
  </si>
  <si>
    <t>WM+ KTM 258 Trần Khánh Dư</t>
  </si>
  <si>
    <t>258 Trần Khánh Dư, P. Duy Tân, TP. Kon Tum T. Kon Tum Việt Nam</t>
  </si>
  <si>
    <t>WM+ DLK 32 Ama Jhao</t>
  </si>
  <si>
    <t>32 Ama Jhao, P. Tân Lập, TP. Buôn Ma Thuột T. Đắk Lắk Việt Nam</t>
  </si>
  <si>
    <t>WM+ BDH 48 Chương Dương, Quy Nhơn</t>
  </si>
  <si>
    <t>48 Chương Dương, P. Nguyễn Văn Cừ, TP. Quy Nhơn T. Bình Định Việt Nam</t>
  </si>
  <si>
    <t>WM+ KHA 166 – 168 Tôn Đức Thắng</t>
  </si>
  <si>
    <t>166 – 168 Tôn Đức Thắng, Hòn Rớ, Xã Phước Đồng, Thành Phố Nha Trang T. Khánh Hòa Việt Nam</t>
  </si>
  <si>
    <t>WM+ DNG 38 Lê Thanh Nghị</t>
  </si>
  <si>
    <t>38 Lê Thanh Nghị, P. Hòa Cường Bắc, Q. Hải Châu TP. Đà Nẵng Việt Nam</t>
  </si>
  <si>
    <t>WM+ DNG 193 Hà Huy Tập</t>
  </si>
  <si>
    <t>193 Hà Huy Tập, P. Hòa Khê, Q. Thanh Khê TP. Đà Nẵng Việt Nam</t>
  </si>
  <si>
    <t>WM+ QTI 106 QL9B, Đông Hà</t>
  </si>
  <si>
    <t>106 Quốc Lộ 9B, P. 1, TP. Đông Hà T. Quảng Trị Việt Nam</t>
  </si>
  <si>
    <t>WM+ QTI 87 Hùng Vương, Hải Lăng</t>
  </si>
  <si>
    <t>87 Hùng Vương, TT. Diên Sanh, H. Hải Lăng T. Quảng Trị Việt Nam</t>
  </si>
  <si>
    <t>WM+ QTI 321 Đường 2/4, Cam Lộ</t>
  </si>
  <si>
    <t>321 Đường 2/4, KP. 1, TT. Cam Lộ, H. Cam Lộ T. Quảng Trị Việt Nam</t>
  </si>
  <si>
    <t>WM+ QTI Quốc Lộ 9, Hướng Hoá</t>
  </si>
  <si>
    <t>Quốc Lộ 9, Thôn Tân Hữu, Xã Tân Liên, H. Hướng Hoá T. Quảng Trị Việt Nam</t>
  </si>
  <si>
    <t>WM+ QTI 101 Hai Bà Trưng, Quảng Trị</t>
  </si>
  <si>
    <t>101 Hai Bà Trưng, Khối phố 6, P. 3, Tx. Quảng Trị T. Quảng Trị Việt Nam</t>
  </si>
  <si>
    <t>WM+ QTI 08-08A Trần Hưng Đạo, Quảng</t>
  </si>
  <si>
    <t>08 - 08ATrần Hưng Đạo, Khu phố 3, P. 3, Tx. Quảng Trị T. Quảng Trị Việt Nam</t>
  </si>
  <si>
    <t>WM+ QTI 48 Trần Hưng Đạo, Đông Hà</t>
  </si>
  <si>
    <t>48 Trần Hưng Đạo, P. 1, TP. Đông Hà T. Quảng Trị Việt Nam</t>
  </si>
  <si>
    <t>WM+ DLK 45 - 47 Hùng Vương</t>
  </si>
  <si>
    <t>45 - 47 Hùng Vương, TT. Quảng Phú, H. Cư M'gar T. Đắk Lắk Việt Nam</t>
  </si>
  <si>
    <t>WM+ DNG 110 Lương Trúc Đàm</t>
  </si>
  <si>
    <t>110 Lương Trúc Đàm, P. Hòa Minh, Q. Liên Chiểu TP. Đà Nẵng Việt Nam</t>
  </si>
  <si>
    <t>WIN DNG 12A-12B Phan Tứ, Ngũ Hành S</t>
  </si>
  <si>
    <t>12A-12B Phan Tứ, Phường Mỹ An, Quận Ngũ Hành Sơn TP. Đà Nẵng Việt Nam</t>
  </si>
  <si>
    <t>WM+ KTM 112 Hoàng Thị Loan</t>
  </si>
  <si>
    <t>112 Hoàng Thị Loan, P. Quang Trung, TP. Kon Tum T. Kon Tum Việt Nam</t>
  </si>
  <si>
    <t>WM+ GLI 42 Nguyễn Huệ, Đoàn Kết</t>
  </si>
  <si>
    <t>42 Nguyễn Huệ, Phường Đoàn Kết, Thị xã Ayun Pa T. Gia Lai Việt Nam</t>
  </si>
  <si>
    <t>WM+ GLI 435 Hùng Vương, Phú Thiện</t>
  </si>
  <si>
    <t>435 Hùng Vương, Tổ dân phố 4, Thị trấn Phú Thiện, Huyện Phú Thiện T. Gia Lai Việt Nam</t>
  </si>
  <si>
    <t>WM+ QTI 49 Trần Phú, Vĩnh Linh</t>
  </si>
  <si>
    <t>Số 49 Đường Trần Phú, Thị Trấn Hồ Xá, Huyện Vĩnh Linh T. Quảng Trị Việt Nam</t>
  </si>
  <si>
    <t>WM+ DNG 63 Nguyễn Duy Hiệu</t>
  </si>
  <si>
    <t>63 Nguyễn Duy Hiệu, P. An Hải Đông, Q. Sơn Trà TP. Đà Nẵng Việt Nam</t>
  </si>
  <si>
    <t>CHI NHÁNH KHÁNH HÒA - CÔNG TY CỔ PHẦN DỊCH VỤ THƯƠNG MẠI TỔNG HỢP WINCOMMERCE</t>
  </si>
  <si>
    <t>CHI NHÁNH QUẢNG NAM - CÔNG TY CỔ PHẦN DỊCH VỤ THƯƠNG MẠI TỔNG HỢP WINCOMMERCE</t>
  </si>
  <si>
    <t>CHI NHÁNH THỪA THIÊN HUẾ - CÔNG TY CỔ PHẦN DỊCH VỤ THƯƠNG MẠI TỔNG HỢP WINCOMMERCE</t>
  </si>
  <si>
    <t>CHI NHÁNH GIA LAI - CÔNG TY CỔ PHẦN DỊCH VỤ THƯƠNG MẠI TỔNG HỢP WINCOMMERCE</t>
  </si>
  <si>
    <t>CHI NHÁNH KON TUM - CÔNG TY CỔ PHẦN DỊCH VỤ THƯƠNG MẠI TỔNG HỢP WINCOMMERCE</t>
  </si>
  <si>
    <t>CHI NHÁNH QUẢNG NGÃI - CÔNG TY CỔ PHẦN DỊCH VỤ THƯƠNG MẠI TỔNG HỢP WINCOMMERCE</t>
  </si>
  <si>
    <t>CHI NHÁNH ĐẮK LẮK - CÔNG TY CỔ PHẦN DỊCH VỤ THƯƠNG MẠI TỔNG HỢP WINCOMMERCE</t>
  </si>
  <si>
    <t>CHI NHÁNH PHÚ YÊN - CÔNG TY CỔ PHẦN DỊCH VỤ THƯƠNG MẠI TỔNG HỢP WINCOMMERCE</t>
  </si>
  <si>
    <t>CHI NHÁNH QUẢNG TRỊ - CÔNG TY CỔ PHẦN DỊCH VỤ THƯƠNG MẠI TỔNG HỢP WINCOMMERCE</t>
  </si>
  <si>
    <t>Post Aging</t>
  </si>
  <si>
    <t>27/02/2026</t>
  </si>
  <si>
    <t>Miền Nam đặc biệt 1</t>
  </si>
  <si>
    <t>Miền Nam đặc biệt 2</t>
  </si>
  <si>
    <t>Miền Nam đặc biệt 3</t>
  </si>
  <si>
    <t>Loại hàng</t>
  </si>
  <si>
    <t>05/03/2026</t>
  </si>
  <si>
    <t>01/04/2026</t>
  </si>
  <si>
    <t>POST 06 - Bếp vui, Giá tốt mỗi ngày</t>
  </si>
  <si>
    <t>2BPB</t>
  </si>
  <si>
    <t>2BOL</t>
  </si>
  <si>
    <t>2BSC</t>
  </si>
  <si>
    <t>2BPC</t>
  </si>
  <si>
    <t>2BRT</t>
  </si>
  <si>
    <t>2BRV</t>
  </si>
  <si>
    <t>WM+ HNI 48 Đài Liệu</t>
  </si>
  <si>
    <t>WM+ HTH Đông Hạ, Cẩm Bình</t>
  </si>
  <si>
    <t>WM+ TNN 189 Hoàng Gia</t>
  </si>
  <si>
    <t>WM+ BNH TDP Tân Sơn, Tân An</t>
  </si>
  <si>
    <t>WM+ HPG 28 Trần Nguyên Hãn</t>
  </si>
  <si>
    <t>WM+ HPG 1393 Ngô Gia Tự</t>
  </si>
  <si>
    <t>2BOH</t>
  </si>
  <si>
    <t>2BPY</t>
  </si>
  <si>
    <t>2BPS</t>
  </si>
  <si>
    <t>2BNH</t>
  </si>
  <si>
    <t>2BQR</t>
  </si>
  <si>
    <t>2BQM</t>
  </si>
  <si>
    <t>WM+ HNI Đội 6 Vĩnh Trung, Ngọc Hồi</t>
  </si>
  <si>
    <t>WM+ QNH Dân Chủ, Mạo Khê</t>
  </si>
  <si>
    <t>WM+ HPG Từ Xá, Hải Hưng</t>
  </si>
  <si>
    <t>WM+ HNI CT2&amp;3 DreamTown</t>
  </si>
  <si>
    <t>WIN HPG 350 Đồng Hòa</t>
  </si>
  <si>
    <t>WM+ THA 82 TL505, Yên Lai</t>
  </si>
  <si>
    <t>POST 07</t>
  </si>
  <si>
    <t>15/04/2026</t>
  </si>
  <si>
    <t>17/03/2026</t>
  </si>
  <si>
    <t>Seoul nhân phô mai 250g</t>
  </si>
  <si>
    <t>2BMU</t>
  </si>
  <si>
    <t>2BDZ</t>
  </si>
  <si>
    <t>2BRG</t>
  </si>
  <si>
    <t>2BMY</t>
  </si>
  <si>
    <t>2BRO</t>
  </si>
  <si>
    <t>2BQW</t>
  </si>
  <si>
    <t>2BEJ</t>
  </si>
  <si>
    <t>2BRN</t>
  </si>
  <si>
    <t>2BQP</t>
  </si>
  <si>
    <t>2BSM</t>
  </si>
  <si>
    <t>2BTZ</t>
  </si>
  <si>
    <t>2BTE</t>
  </si>
  <si>
    <t>2BQT</t>
  </si>
  <si>
    <t>2BQI</t>
  </si>
  <si>
    <t>2BLZ</t>
  </si>
  <si>
    <t>2BSB</t>
  </si>
  <si>
    <t>2BRU</t>
  </si>
  <si>
    <t>WM+ LCI 137-139 Ngọc Uyển</t>
  </si>
  <si>
    <t>WM+ HNI Cấp Tiến, Hòa Phú</t>
  </si>
  <si>
    <t>WM+ HYN Thôn Minh Đức, Thần Khê</t>
  </si>
  <si>
    <t>WM+ HNI Diềm Xá, Dương Hòa</t>
  </si>
  <si>
    <t>WM+ PTO TDP 3 Tiên, Yên Lạc</t>
  </si>
  <si>
    <t>WM+ THA Thôn Cầu, Xuân Bình</t>
  </si>
  <si>
    <t>WM+ HYN Hải An, Nguyễn Du</t>
  </si>
  <si>
    <t>WM+ BNH Lục Liễu Trên, Phúc Hòa</t>
  </si>
  <si>
    <t>WM+ NAN Xóm 4, Xã Hưng Nguyên</t>
  </si>
  <si>
    <t>WM+ HPG Bằng Lai, An Thành</t>
  </si>
  <si>
    <t>WM+ HPG Thôn La Ngoại</t>
  </si>
  <si>
    <t>WM+ HYN Thôn Trung, Thư Trì</t>
  </si>
  <si>
    <t>WM+ THA Thôn Tam Xuyên</t>
  </si>
  <si>
    <t>WM+ HYN Tân Lập, Đông Thái Ninh</t>
  </si>
  <si>
    <t>WM+ NBH đường ĐT 477, Xã Gia Viễn</t>
  </si>
  <si>
    <t>WM+ HPG Hàm Hy, Lạc Phượng</t>
  </si>
  <si>
    <t>WM+ HPG Lâm Xuyên, An Phú</t>
  </si>
  <si>
    <t>2BON</t>
  </si>
  <si>
    <t>2BSS</t>
  </si>
  <si>
    <t>2BQX</t>
  </si>
  <si>
    <t>2BSI</t>
  </si>
  <si>
    <t>2BQY</t>
  </si>
  <si>
    <t>2BUC</t>
  </si>
  <si>
    <t>2BPO</t>
  </si>
  <si>
    <t>2BNC</t>
  </si>
  <si>
    <t>2BLU</t>
  </si>
  <si>
    <t>2BOZ</t>
  </si>
  <si>
    <t>2BQF</t>
  </si>
  <si>
    <t>2BPJ</t>
  </si>
  <si>
    <t>2BSF</t>
  </si>
  <si>
    <t>2BRQ</t>
  </si>
  <si>
    <t>2BSO</t>
  </si>
  <si>
    <t>2BSQ</t>
  </si>
  <si>
    <t>2BTJ</t>
  </si>
  <si>
    <t>2BUW</t>
  </si>
  <si>
    <t>2BRR</t>
  </si>
  <si>
    <t>2BRF</t>
  </si>
  <si>
    <t>2BTN</t>
  </si>
  <si>
    <t>2BTD</t>
  </si>
  <si>
    <t>2BPN</t>
  </si>
  <si>
    <t>2BDU</t>
  </si>
  <si>
    <t>2BPM</t>
  </si>
  <si>
    <t>2BLS</t>
  </si>
  <si>
    <t>2BDH</t>
  </si>
  <si>
    <t>2BQS</t>
  </si>
  <si>
    <t>2BSH</t>
  </si>
  <si>
    <t>2BSA</t>
  </si>
  <si>
    <t>2BSW</t>
  </si>
  <si>
    <t>2BRK</t>
  </si>
  <si>
    <t>2BUG</t>
  </si>
  <si>
    <t>2BLO</t>
  </si>
  <si>
    <t>2BTK</t>
  </si>
  <si>
    <t>2BTG</t>
  </si>
  <si>
    <t>2BTP</t>
  </si>
  <si>
    <t>2BRS</t>
  </si>
  <si>
    <t>2BVQ</t>
  </si>
  <si>
    <t>2BTI</t>
  </si>
  <si>
    <t>2BRW</t>
  </si>
  <si>
    <t>2BRD</t>
  </si>
  <si>
    <t>2BSX</t>
  </si>
  <si>
    <t>2BTH</t>
  </si>
  <si>
    <t>2BTA</t>
  </si>
  <si>
    <t>2BOI</t>
  </si>
  <si>
    <t>2BSL</t>
  </si>
  <si>
    <t>2BUE</t>
  </si>
  <si>
    <t>2BUJ</t>
  </si>
  <si>
    <t>2BUN</t>
  </si>
  <si>
    <t>2BTM</t>
  </si>
  <si>
    <t>2BXA</t>
  </si>
  <si>
    <t>2BGY</t>
  </si>
  <si>
    <t>2BWD</t>
  </si>
  <si>
    <t>2BXC</t>
  </si>
  <si>
    <t>2BVH</t>
  </si>
  <si>
    <t>2BQJ</t>
  </si>
  <si>
    <t>2BLA</t>
  </si>
  <si>
    <t>POST 08</t>
  </si>
  <si>
    <t>03/05/2026</t>
  </si>
  <si>
    <t>31/03/2026</t>
  </si>
  <si>
    <t>2BTX</t>
  </si>
  <si>
    <t>2BSU</t>
  </si>
  <si>
    <t>2BTB</t>
  </si>
  <si>
    <t>2BVW</t>
  </si>
  <si>
    <t>2BQC</t>
  </si>
  <si>
    <t>2BTW</t>
  </si>
  <si>
    <t>2BVY</t>
  </si>
  <si>
    <t>2BTL</t>
  </si>
  <si>
    <t>2BEU</t>
  </si>
  <si>
    <t>2BVC</t>
  </si>
  <si>
    <t>2BRM</t>
  </si>
  <si>
    <t>2BUU</t>
  </si>
  <si>
    <t>2BVR</t>
  </si>
  <si>
    <t>2BQU</t>
  </si>
  <si>
    <t>POST 09</t>
  </si>
  <si>
    <t>08/04/2026</t>
  </si>
  <si>
    <t>13/05/2026</t>
  </si>
  <si>
    <t>16/04/2026</t>
  </si>
  <si>
    <t>8935101608515</t>
  </si>
  <si>
    <t>8935101608522</t>
  </si>
  <si>
    <t>8935101608546</t>
  </si>
  <si>
    <t>8935101607945</t>
  </si>
  <si>
    <t>8935101607976</t>
  </si>
  <si>
    <t>8935101607990</t>
  </si>
  <si>
    <t>Jongga Kim chi cải thảo cắt lát 1kg</t>
  </si>
  <si>
    <t>Jongga Kim chi Củ cải 450g</t>
  </si>
  <si>
    <t>Jongga Kim chi Củ cải 150g</t>
  </si>
  <si>
    <t>Ức gà hong khói 100g</t>
  </si>
  <si>
    <t>O'Food - Xúc xích xốt Spaghetti 64g</t>
  </si>
  <si>
    <t>O'Food - Xúc xích xốt Tokpokki vị phô mai Hàn Quốc 64g</t>
  </si>
  <si>
    <t>2151140</t>
  </si>
  <si>
    <t>2151765</t>
  </si>
  <si>
    <t>Mã mới</t>
  </si>
  <si>
    <t>09/04/2026</t>
  </si>
  <si>
    <t>8935101608492</t>
  </si>
  <si>
    <t>Xúc xích Romas Light 500g</t>
  </si>
  <si>
    <t>2BVN</t>
  </si>
  <si>
    <t>2BRP</t>
  </si>
  <si>
    <t>2BTV</t>
  </si>
  <si>
    <t>2BRH</t>
  </si>
  <si>
    <t>2BUT</t>
  </si>
  <si>
    <t>2BVP</t>
  </si>
  <si>
    <t>2BNZ</t>
  </si>
  <si>
    <t>2BUQ</t>
  </si>
  <si>
    <t>2BSR</t>
  </si>
  <si>
    <t>2BVD</t>
  </si>
  <si>
    <t>2BPI</t>
  </si>
  <si>
    <t>2BWV</t>
  </si>
  <si>
    <t>2BWK</t>
  </si>
  <si>
    <t>2BQQ</t>
  </si>
  <si>
    <t>2BWM</t>
  </si>
  <si>
    <t>2BUF</t>
  </si>
  <si>
    <t>2BXK</t>
  </si>
  <si>
    <t>2BXI</t>
  </si>
  <si>
    <t>2BXB</t>
  </si>
  <si>
    <t>2BZC</t>
  </si>
  <si>
    <t>2BWW</t>
  </si>
  <si>
    <t>2BWT</t>
  </si>
  <si>
    <t>2AN0</t>
  </si>
  <si>
    <t>2BQD</t>
  </si>
  <si>
    <t>2BWX</t>
  </si>
  <si>
    <t>2BYF</t>
  </si>
  <si>
    <t>2BWE</t>
  </si>
  <si>
    <t>2BZB</t>
  </si>
  <si>
    <t>2BYC</t>
  </si>
  <si>
    <t>2BXZ</t>
  </si>
  <si>
    <t>2BYL</t>
  </si>
  <si>
    <t>2BZA</t>
  </si>
  <si>
    <t>2BWL</t>
  </si>
  <si>
    <t>2BXT</t>
  </si>
  <si>
    <t>2BXL</t>
  </si>
  <si>
    <t>2BQG</t>
  </si>
  <si>
    <t>2BVZ</t>
  </si>
  <si>
    <t>2BWC</t>
  </si>
  <si>
    <t>2BSN</t>
  </si>
  <si>
    <t>2BZ2</t>
  </si>
  <si>
    <t>2BYI</t>
  </si>
  <si>
    <t>2BUY</t>
  </si>
  <si>
    <t>2BXG</t>
  </si>
  <si>
    <t>2BYD</t>
  </si>
  <si>
    <t>2BYZ</t>
  </si>
  <si>
    <t>2BYN</t>
  </si>
  <si>
    <t>2BTU</t>
  </si>
  <si>
    <t>2BYM</t>
  </si>
  <si>
    <t>2BWP</t>
  </si>
  <si>
    <t>2BST</t>
  </si>
  <si>
    <t>WM+ PTO 423A Trần Hưng Đạo</t>
  </si>
  <si>
    <t>WM+ PTO 48 Tân Giang, Lạc Sơn</t>
  </si>
  <si>
    <t>WM+ NBH Sơn Châu Đông, Giao Phúc</t>
  </si>
  <si>
    <t>WIN HNI CT2-A10 KĐT Nam Trung Yên</t>
  </si>
  <si>
    <t>WM+ HNI 64 Bắc Hồng</t>
  </si>
  <si>
    <t>WM+ HNI Đội 7 Tiên Đài, Yên Lãng</t>
  </si>
  <si>
    <t>WM+ NBH Thôn An Hạ, Vũ Dương</t>
  </si>
  <si>
    <t>WM+ TQG 24 Thôn Tân Tiến 1, Sơn Dương</t>
  </si>
  <si>
    <t>WM+ HNI 231-233 Thôn 2A, Tây Phương</t>
  </si>
  <si>
    <t>WM+ PTO 77 Khu Tâm Đức</t>
  </si>
  <si>
    <t>WM+ TQG Thôn Đồng Mụng, Hồng Sơn</t>
  </si>
  <si>
    <t>WM+ NBH Xóm 1 Đông Thôn</t>
  </si>
  <si>
    <t>WM+ QNH 19/398B Trần Phú</t>
  </si>
  <si>
    <t>WM+ QNH 120 Tổ 5, Nam Tiến</t>
  </si>
  <si>
    <t>WM+ SLA Bản Kiến Xương, Bình Thuận</t>
  </si>
  <si>
    <t>WM+ HYN Thôn Cổ Lễ, Nguyễn Trãi</t>
  </si>
  <si>
    <t>WM+ HYN Thôn Ba Vì, Bắc Tiên Hưng</t>
  </si>
  <si>
    <t>WM+ PTO Khu Cống 2, Cẩm Khê</t>
  </si>
  <si>
    <t>WM+ BNH Thôn Bến Phà, Tiên Lục</t>
  </si>
  <si>
    <t>WM+ HPG Vĩnh Đại 1, Trần Nhân Tông</t>
  </si>
  <si>
    <t>WIN HNI H2 Masteri Waterfront</t>
  </si>
  <si>
    <t>WM+ NBH Xóm Đông Tân, Nam Ninh</t>
  </si>
  <si>
    <t>WM+ HYN TDP Hòa Lạc, Thượng Hồng</t>
  </si>
  <si>
    <t>WM+ PTO Khu 9, Chí Tiên</t>
  </si>
  <si>
    <t>WM+ HNI 143 Thôn Xuân Quang</t>
  </si>
  <si>
    <t>WM+ HNI Thôn Thống Nhất, Dương Hoà</t>
  </si>
  <si>
    <t>WM+ BNH Thôn Đông, Hiệp Hòa</t>
  </si>
  <si>
    <t>WM+ LCI 59 Thôn Lương An</t>
  </si>
  <si>
    <t>WM+ HPG Thôn 7, Vĩnh Lại</t>
  </si>
  <si>
    <t>WM+ BNH Thôn Ngăm Lương, Đông Cứu</t>
  </si>
  <si>
    <t>WM+ HNI Dục Nội, Đông Anh</t>
  </si>
  <si>
    <t>2BPW</t>
  </si>
  <si>
    <t>2BSV</t>
  </si>
  <si>
    <t>2BTS</t>
  </si>
  <si>
    <t>2BVM</t>
  </si>
  <si>
    <t>2BXJ</t>
  </si>
  <si>
    <t>2BWY</t>
  </si>
  <si>
    <t>2BSJ</t>
  </si>
  <si>
    <t>2BXQ</t>
  </si>
  <si>
    <t>2BZQ</t>
  </si>
  <si>
    <t>2BWO</t>
  </si>
  <si>
    <t>2BZF</t>
  </si>
  <si>
    <t>2BYG</t>
  </si>
  <si>
    <t>2BYK</t>
  </si>
  <si>
    <t>2BYS</t>
  </si>
  <si>
    <t>2BUX</t>
  </si>
  <si>
    <t>2BXW</t>
  </si>
  <si>
    <t>2BUD</t>
  </si>
  <si>
    <t>2BVK</t>
  </si>
  <si>
    <t>2BYH</t>
  </si>
  <si>
    <t>2BWI</t>
  </si>
  <si>
    <t>2BZK</t>
  </si>
  <si>
    <t>2BVO</t>
  </si>
  <si>
    <t>2BZZ</t>
  </si>
  <si>
    <t>2CAE</t>
  </si>
  <si>
    <t>2BVJ</t>
  </si>
  <si>
    <t>2BWR</t>
  </si>
  <si>
    <t>2BVL</t>
  </si>
  <si>
    <t>2BXM</t>
  </si>
  <si>
    <t>2BXP</t>
  </si>
  <si>
    <t>2CAF</t>
  </si>
  <si>
    <t>2CAG</t>
  </si>
  <si>
    <t>2BZW</t>
  </si>
  <si>
    <t>2BZD</t>
  </si>
  <si>
    <t>2BRJ</t>
  </si>
  <si>
    <t>2BRE</t>
  </si>
  <si>
    <t>WM+ THA Phố Điền Lư</t>
  </si>
  <si>
    <t>WM+ TQG 205 Võ Chí Công</t>
  </si>
  <si>
    <t>WM+ HTH Thôn Đan Trung, Thạch Hà</t>
  </si>
  <si>
    <t>WM+ BNH Xóm Từ, Xuân Biều</t>
  </si>
  <si>
    <t>WM+ HNI 108 Xóm Bắc, Thôn Đồng Bảng</t>
  </si>
  <si>
    <t>WM+ HNI Thôn Giao Tác, Thư Lâm</t>
  </si>
  <si>
    <t>WM+ THA Thôn Bạch Trưng</t>
  </si>
  <si>
    <t>WM+ HTH QL15A, Đức Thịnh</t>
  </si>
  <si>
    <t>WM+ THA CL12-13 Tân Thành ECO3</t>
  </si>
  <si>
    <t>WM+ PTO TĐ 24 Khu 8, Hạ Hòa</t>
  </si>
  <si>
    <t>WM+ TNN Xóm Trung Tâm, Tân Cương</t>
  </si>
  <si>
    <t>WM+ NBH Xóm Đông Nghĩa, Hải Hưng</t>
  </si>
  <si>
    <t>WM+ NBH Xóm Nam Lộc, Yên Từ</t>
  </si>
  <si>
    <t>WM+ NAN Xóm Phú Lạc</t>
  </si>
  <si>
    <t>WM+ HPG Thôn Bồ Dương, Khúc Thừa Dụ</t>
  </si>
  <si>
    <t>WM+ PTO Thôn Quang Minh, Tam Đảo</t>
  </si>
  <si>
    <t>WM+ NBH Thôn Vĩnh Lại, Liên Minh</t>
  </si>
  <si>
    <t>WM+ THA Thôn Liên Cơ 1</t>
  </si>
  <si>
    <t>WM+ NBH Xóm Thắng Lợi, Nam Hồng</t>
  </si>
  <si>
    <t>WM+ HNI Thôn Trung Hoàng, Phú Nghĩa</t>
  </si>
  <si>
    <t>WM+ HTH Thôn Thanh Quang, Thạch Lạc</t>
  </si>
  <si>
    <t>WM+ QNH 186 An Trì</t>
  </si>
  <si>
    <t>WM+ TQG Sơn Hạ 4, Xuân Vân</t>
  </si>
  <si>
    <t>WM+ THA 212 Hoàng Nghiêu</t>
  </si>
  <si>
    <t>WM+ THA Thôn Tiên Hương</t>
  </si>
  <si>
    <t>WM+ HPG Thôn Mỹ Ân, Chí Minh</t>
  </si>
  <si>
    <t>WM+ TQG Thôn Cả, Tân Trào</t>
  </si>
  <si>
    <t>WM+ NBH Thôn Mới, Gia Viễn</t>
  </si>
  <si>
    <t>WM+ QNH 254-256 Nguyễn Văn Cừ</t>
  </si>
  <si>
    <t>WM+ HYN Cao Dương Thượng, Thụy Anh</t>
  </si>
  <si>
    <t>WM+ HYN Thôn Phương Tảo, Vạn Xuân</t>
  </si>
  <si>
    <t>WM+ HTH Xóm 5, Lộc Hà</t>
  </si>
  <si>
    <t>WM+ LCI Thôn Phố Hóp, Trấn Yên</t>
  </si>
  <si>
    <t>WM+ HYN Thôn Minh Khai, Thần Khê</t>
  </si>
  <si>
    <t>WM+ NAN Xóm Lam Sơn, Tân Mai</t>
  </si>
  <si>
    <t>27/05/2026</t>
  </si>
  <si>
    <t>14/05/2026</t>
  </si>
  <si>
    <t>10/06/2026</t>
  </si>
  <si>
    <t>30/04/2026</t>
  </si>
  <si>
    <t>Post 10</t>
  </si>
  <si>
    <t>24/06/2026</t>
  </si>
  <si>
    <t>2BUR</t>
  </si>
  <si>
    <t>2BUV</t>
  </si>
  <si>
    <t>2CAD</t>
  </si>
  <si>
    <t>2BMO</t>
  </si>
  <si>
    <t>2BYJ</t>
  </si>
  <si>
    <t>2BYA</t>
  </si>
  <si>
    <t>2BZX</t>
  </si>
  <si>
    <t>2BWZ</t>
  </si>
  <si>
    <t>2BIY</t>
  </si>
  <si>
    <t>2BWB</t>
  </si>
  <si>
    <t>2BXF</t>
  </si>
  <si>
    <t>2BXO</t>
  </si>
  <si>
    <t>2BVF</t>
  </si>
  <si>
    <t>2BWA</t>
  </si>
  <si>
    <t>2BQK</t>
  </si>
  <si>
    <t>2BXR</t>
  </si>
  <si>
    <t>2BVS</t>
  </si>
  <si>
    <t>2CBD</t>
  </si>
  <si>
    <t>2BZT</t>
  </si>
  <si>
    <t>2CCC</t>
  </si>
  <si>
    <t>2BJZ</t>
  </si>
  <si>
    <t>2CAX</t>
  </si>
  <si>
    <t>2BYX</t>
  </si>
  <si>
    <t>2CBF</t>
  </si>
  <si>
    <t>2BWU</t>
  </si>
  <si>
    <t>2BYQ</t>
  </si>
  <si>
    <t>2CCD</t>
  </si>
  <si>
    <t>2CAZ</t>
  </si>
  <si>
    <t>2BS9</t>
  </si>
  <si>
    <t>2BZL</t>
  </si>
  <si>
    <t>2BSZ</t>
  </si>
  <si>
    <t>2BYV</t>
  </si>
  <si>
    <t>2BZH</t>
  </si>
  <si>
    <t>2BVA</t>
  </si>
  <si>
    <t>2CBT</t>
  </si>
  <si>
    <t>2BZO</t>
  </si>
  <si>
    <t>2CAV</t>
  </si>
  <si>
    <t>2CCK</t>
  </si>
  <si>
    <t>2CCJ</t>
  </si>
  <si>
    <t>2CDX</t>
  </si>
  <si>
    <t>2CBE</t>
  </si>
  <si>
    <t>WM+ THA TDP Ngọc Lậu 2</t>
  </si>
  <si>
    <t>WM+ THA Thôn Ba Si, Kiên Thọ</t>
  </si>
  <si>
    <t>WM+ THA 131 Trần Phú</t>
  </si>
  <si>
    <t>WM+ NAN Đường Liên Xã, Xóm 8</t>
  </si>
  <si>
    <t>WM+ NAN Thôn Phật Sơn, Xã Đại Đồng</t>
  </si>
  <si>
    <t>WM+ HTH Thôn Tây Hồ, Tùng Lộc</t>
  </si>
  <si>
    <t>WM+ QNH Thôn 11, Đặc Khu Vân Đồn</t>
  </si>
  <si>
    <t>WM+ BNH TDP Dĩnh Sơn, Vân Hà</t>
  </si>
  <si>
    <t>WM+ NAN Xóm Quyết Tiến, Nam Đàn</t>
  </si>
  <si>
    <t>WM+ BNH Thôn Cổng Châu, Đồng Kỳ</t>
  </si>
  <si>
    <t>WM+ HNI Thôn Đồng Chầm, Sóc Sơn</t>
  </si>
  <si>
    <t>WM+ QNH 121 Hoàng Quốc Việt</t>
  </si>
  <si>
    <t>WM+ SLA Tiểu khu 2, Mai Sơn</t>
  </si>
  <si>
    <t>WM+ BNH 888 Hoàng Hoa Thám</t>
  </si>
  <si>
    <t>WM+ PTO Ngũ Hồ, Bình Xuyên</t>
  </si>
  <si>
    <t>WM+ HTH Tiên Sơn, Bắc Hồng Lĩnh</t>
  </si>
  <si>
    <t>WM+ HNI Xóm 5 Phúc Đức, Quốc Oai</t>
  </si>
  <si>
    <t>WM+ NBH 271 Đường Điện Biên</t>
  </si>
  <si>
    <t>WM+ NAN Xóm Nhân Hòa, Tân Châu</t>
  </si>
  <si>
    <t>WM+ THA Lô 01 Nơ 15 MBQH 2125</t>
  </si>
  <si>
    <t>WM+ BNH 626 Xương Giang</t>
  </si>
  <si>
    <t>WM+ PTO Thôn Chợ, Vĩnh Hưng</t>
  </si>
  <si>
    <t>WM+ NBH 146 Phan Huy Ích</t>
  </si>
  <si>
    <t>WM+ HPG 31 Chi Lăng, Thành Đông</t>
  </si>
  <si>
    <t>WM+ NAN Thôn Khe Choăng, Châu Khê</t>
  </si>
  <si>
    <t>WM+ NBH 133 TDP Điện Biên</t>
  </si>
  <si>
    <t>WM+ THA 789A Nguyễn Trãi</t>
  </si>
  <si>
    <t>WM+ QNH Thác Bưởi 1, Tiên Yên</t>
  </si>
  <si>
    <t>WM+ HYN Đoàn Kết, Bắc Thái Ninh</t>
  </si>
  <si>
    <t>WM+ PTO Khu 4 Vụ Quang, Chân Mộng</t>
  </si>
  <si>
    <t>WIN HPG 423-425 Ngô Gia Tự</t>
  </si>
  <si>
    <t>WM+ HYN Tây Thượng Liệt, Đông Quan</t>
  </si>
  <si>
    <t>WM+ NBH Thôn Liên Phương, Phú Sơn</t>
  </si>
  <si>
    <t>WM+ LCI 211 Đinh Tiên Hoàng</t>
  </si>
  <si>
    <t>WM+ SLA 184, TK 14 Mai Sơn</t>
  </si>
  <si>
    <t>WM+ THA 01-02-LK2 phố Bào Ngoại</t>
  </si>
  <si>
    <t>WM+ TQG Trung Môn 17, Minh Xuân</t>
  </si>
  <si>
    <t>WM+ LCI Hồng Sơn, Văn Chấn</t>
  </si>
  <si>
    <t>WM+ PTO 257 Hoàng Văn Thụ</t>
  </si>
  <si>
    <t>WM+ HYN Thôn Cốc, Đông Tiên Hưng</t>
  </si>
  <si>
    <t>WM+ BNH Thôn Hậu, Tân Dĩnh</t>
  </si>
  <si>
    <t>Post 11</t>
  </si>
  <si>
    <t>2149794</t>
  </si>
  <si>
    <t>24/04/2026</t>
  </si>
  <si>
    <t>Bổ sung</t>
  </si>
  <si>
    <t>18/05/2026</t>
  </si>
  <si>
    <t>11/05/2026</t>
  </si>
  <si>
    <t>08/05/2026</t>
  </si>
  <si>
    <t>2BZS</t>
  </si>
  <si>
    <t>2CAU</t>
  </si>
  <si>
    <t>2CBI</t>
  </si>
  <si>
    <t>2BUL</t>
  </si>
  <si>
    <t>2BXX</t>
  </si>
  <si>
    <t>2BYP</t>
  </si>
  <si>
    <t>2BYT</t>
  </si>
  <si>
    <t>2BVI</t>
  </si>
  <si>
    <t>2CAA</t>
  </si>
  <si>
    <t>2BPE</t>
  </si>
  <si>
    <t>2BXH</t>
  </si>
  <si>
    <t>2CBX</t>
  </si>
  <si>
    <t>2BPH</t>
  </si>
  <si>
    <t>2CDC</t>
  </si>
  <si>
    <t>2CDI</t>
  </si>
  <si>
    <t>WM+ TQG Thôn Hòa Bình, Nhữ Khê</t>
  </si>
  <si>
    <t>WM+ TQG 86-88, Đường 13B, Quyết Thắng</t>
  </si>
  <si>
    <t>WM+ HTH Thôn Quyết Thắng, Lộc Hà</t>
  </si>
  <si>
    <t>WM+ HYN Thôn Kênh Bối</t>
  </si>
  <si>
    <t>WM+ BNH 139 Cao Kỳ Vân</t>
  </si>
  <si>
    <t>WM+ THA 15-17 Đình Hương</t>
  </si>
  <si>
    <t>WM+ NAN Xóm Xuân Lộc, Vinh Lộc</t>
  </si>
  <si>
    <t>WM+ NAN Thôn Trường Sơn, Đại Đồng</t>
  </si>
  <si>
    <t>WM+ PTO Xóm Sơn Phú, Cao Sơn</t>
  </si>
  <si>
    <t>WM+ NAN Xóm 3, Xã Bạch Ngọc</t>
  </si>
  <si>
    <t>WM+ HPG Thôn Miếu Lãng, Nam Sách</t>
  </si>
  <si>
    <t>WM+ HPG 121-123 Tuệ Tĩnh, Việt Hòa</t>
  </si>
  <si>
    <t>WM+ QNH 3.01.04 The Dragon Castle, Cái Lân</t>
  </si>
  <si>
    <t>WM+ NAN Xóm Bắc Sơn, Quế Phong</t>
  </si>
  <si>
    <t>WM+ HPG 698-700 Phan Đăng Lưu</t>
  </si>
  <si>
    <t>Seoul's Hotdog Chiên xù 250g (Đ)</t>
  </si>
  <si>
    <t>2BOU</t>
  </si>
  <si>
    <t>2BYE</t>
  </si>
  <si>
    <t>2CCU</t>
  </si>
  <si>
    <t>2BSG</t>
  </si>
  <si>
    <t>2CBH</t>
  </si>
  <si>
    <t>2BTF</t>
  </si>
  <si>
    <t>2BYU</t>
  </si>
  <si>
    <t>2CBB</t>
  </si>
  <si>
    <t>2CCP</t>
  </si>
  <si>
    <t>2CFA</t>
  </si>
  <si>
    <t>2CBG</t>
  </si>
  <si>
    <t>2BZM</t>
  </si>
  <si>
    <t>2CAT</t>
  </si>
  <si>
    <t>2CBA</t>
  </si>
  <si>
    <t>2CCV</t>
  </si>
  <si>
    <t>2CCL</t>
  </si>
  <si>
    <t>2BUI</t>
  </si>
  <si>
    <t>2BPV</t>
  </si>
  <si>
    <t>2CEM</t>
  </si>
  <si>
    <t>2CCX</t>
  </si>
  <si>
    <t>2CCT</t>
  </si>
  <si>
    <t>2CEQ</t>
  </si>
  <si>
    <t>2CDE</t>
  </si>
  <si>
    <t>2BSY</t>
  </si>
  <si>
    <t>2CCA</t>
  </si>
  <si>
    <t>2CEK</t>
  </si>
  <si>
    <t>2CFK</t>
  </si>
  <si>
    <t>2CDF</t>
  </si>
  <si>
    <t>2CEL</t>
  </si>
  <si>
    <t>2CFR</t>
  </si>
  <si>
    <t>2CFQ</t>
  </si>
  <si>
    <t>2CFX</t>
  </si>
  <si>
    <t>2CEY</t>
  </si>
  <si>
    <t>2CFG</t>
  </si>
  <si>
    <t>WM+ DBN TDP 5, Na Sang</t>
  </si>
  <si>
    <t>WM+ HNI Thôn Đan Nhiễm, Thường Tín</t>
  </si>
  <si>
    <t>WM+ TNN Xóm La Bằng, xã La Bằng</t>
  </si>
  <si>
    <t>WM+ HNI Đông Viên, Quảng Oai</t>
  </si>
  <si>
    <t>WM+ PTO Khu 5, Chân Mộng</t>
  </si>
  <si>
    <t>WM+ HNI 70 An Thọ, An Khánh</t>
  </si>
  <si>
    <t>WM+ HYN TDP Đại Hội, Thái Bình</t>
  </si>
  <si>
    <t>WM+ HPG Thôn Đôn Thư, Trường Tân</t>
  </si>
  <si>
    <t>WM+ HYN Thôn Khang Ninh, Quỳnh An</t>
  </si>
  <si>
    <t>WM+ HYN Vị Dương Đoài,Bắc Thái Ninh</t>
  </si>
  <si>
    <t>WM+ PTO Lâm Hóa 1, Lạc Sơn</t>
  </si>
  <si>
    <t>WM+ NBH 1162 Lý Nhân Tông</t>
  </si>
  <si>
    <t>WM+ PTO 02 Lê Thánh Tông</t>
  </si>
  <si>
    <t>WM+ HNI 79 Cẩm Yên, Thôn Yên Lỗ</t>
  </si>
  <si>
    <t>WM+ HYN Thôn Cao Mại, Bình Thanh</t>
  </si>
  <si>
    <t>WM+ NBH Thôn Trần Xá, Nam Xang</t>
  </si>
  <si>
    <t>WM+ NBH Xóm 3, Xã Bình Minh</t>
  </si>
  <si>
    <t>WM+ TNN Minh Cầu, Phan Đình Phùng</t>
  </si>
  <si>
    <t>WM+ HNI 21-21A Thôn Tế Tiêu, Mỹ Đức</t>
  </si>
  <si>
    <t>WM+ PTO Xóm Nen 2, Tân Lạc</t>
  </si>
  <si>
    <t>WM+ NBH Thôn Thượng Thụ</t>
  </si>
  <si>
    <t>WM+ HNI 3-5 Xóm Lan Đình, My Thượng</t>
  </si>
  <si>
    <t>WM+ PTO Thôn Đông Thịnh, Sơn Đông</t>
  </si>
  <si>
    <t>WM+ BNH Tân Lập, Ngọc Thiện</t>
  </si>
  <si>
    <t>WM+ HNI Đường 312 Cư An, Tiến Thắng</t>
  </si>
  <si>
    <t>WM+ LSN 289 Trần Đăng Ninh</t>
  </si>
  <si>
    <t>WM+ PTO KĐT Âu Cơ, Âu Cơ</t>
  </si>
  <si>
    <t>WM+ TNN TDP Mỹ Khánh, Phú Lương</t>
  </si>
  <si>
    <t>WM+ BNH Thôn Húi, Cẩm Lý</t>
  </si>
  <si>
    <t>WM+ HYN Thôn Vân Động Nam, Trần Lãm</t>
  </si>
  <si>
    <t>WM+ QNH 385 Nguyễn Trãi</t>
  </si>
  <si>
    <t>WM+ PTO 965 Hùng Vương</t>
  </si>
  <si>
    <t>WM+ HNI 41 Yên Duyên, Yên Sở</t>
  </si>
  <si>
    <t>WM+ BNH Nghĩa Chỉ, Phật Tích</t>
  </si>
  <si>
    <t>Post 12</t>
  </si>
  <si>
    <t>11/06/2026</t>
  </si>
  <si>
    <t>8935101608539</t>
  </si>
  <si>
    <t>OFOOD Tteokgalbi chả nướng HQ 200g</t>
  </si>
  <si>
    <t>8935101607068</t>
  </si>
  <si>
    <t>ĐỨC VIỆT Xúc xích Keilbasa 200g</t>
  </si>
  <si>
    <t>2151323</t>
  </si>
  <si>
    <t>2CCF</t>
  </si>
  <si>
    <t>2CBM</t>
  </si>
  <si>
    <t>2CBU</t>
  </si>
  <si>
    <t>2CFB</t>
  </si>
  <si>
    <t>2BTC</t>
  </si>
  <si>
    <t>WM+ HPG Tân Dương 3, Thủy Nguyên</t>
  </si>
  <si>
    <t>WM+ NBH TDP Tường Thụy 2</t>
  </si>
  <si>
    <t>WM+ HPG Thôn Gia Bùi, Gia Lộc</t>
  </si>
  <si>
    <t>WM+ HNI Thôn Trại, Quảng Bị</t>
  </si>
  <si>
    <t>WM+ NBH Xóm 14, Hải An</t>
  </si>
  <si>
    <t>Post bổ sung</t>
  </si>
  <si>
    <t>Post 13</t>
  </si>
  <si>
    <t>08/07/2026</t>
  </si>
  <si>
    <t>09/06/2026</t>
  </si>
  <si>
    <t>2CBS</t>
  </si>
  <si>
    <t>2CCE</t>
  </si>
  <si>
    <t>2BEL</t>
  </si>
  <si>
    <t>2CCB</t>
  </si>
  <si>
    <t>2CCZ</t>
  </si>
  <si>
    <t>2CHD</t>
  </si>
  <si>
    <t>2CEP</t>
  </si>
  <si>
    <t>2CGM</t>
  </si>
  <si>
    <t>2CBP</t>
  </si>
  <si>
    <t>2CFC</t>
  </si>
  <si>
    <t>2CGW</t>
  </si>
  <si>
    <t>2CCQ</t>
  </si>
  <si>
    <t>2CDL</t>
  </si>
  <si>
    <t>2CIM</t>
  </si>
  <si>
    <t>2CGH</t>
  </si>
  <si>
    <t>WM+ HTH 126 Nguyễn Trung Thiên</t>
  </si>
  <si>
    <t>WM+ THA Thôn Dư Khánh</t>
  </si>
  <si>
    <t>WM+ LCU 616 Điện Biên Phủ</t>
  </si>
  <si>
    <t>WM+ PTO Khu 3, Liên Minh</t>
  </si>
  <si>
    <t>WM+ THA Thôn 14, Tân Dân</t>
  </si>
  <si>
    <t>WM+ HNI Số 6, Thôn Cao Lãm, Vân Đình</t>
  </si>
  <si>
    <t>WM+ HPG Thôn Phủ, Đường An</t>
  </si>
  <si>
    <t>WM+ HNI Số 98, Thôn Mã Kiều</t>
  </si>
  <si>
    <t>WM+ QNH 92 Điện Biên Phủ</t>
  </si>
  <si>
    <t>WM+ HTH Thôn Tân Long</t>
  </si>
  <si>
    <t>WM+ HTH 63 Trần Kim Xuyến</t>
  </si>
  <si>
    <t>WM+ HYN Nam Đồng Bắc, Nam Cường</t>
  </si>
  <si>
    <t>WM+ NBH La Chợ, Mỹ Lộc</t>
  </si>
  <si>
    <t>WM+ BNH TDP Đa Tiện, Song Liễu</t>
  </si>
  <si>
    <t>WM+ PTO Khu Suông 2, Phú Khê</t>
  </si>
  <si>
    <t>2BWJ</t>
  </si>
  <si>
    <t>2CHI</t>
  </si>
  <si>
    <t>2CGS</t>
  </si>
  <si>
    <t>2CFI</t>
  </si>
  <si>
    <t>2CGV</t>
  </si>
  <si>
    <t>2CIA</t>
  </si>
  <si>
    <t>WM+ BNH TDP Cửu Yên, Song Liễu</t>
  </si>
  <si>
    <t>WM+ BNH Dear Thôn Núi Bất Lự, Đại Đồng</t>
  </si>
  <si>
    <t>WM+ NBH Thôn Dân Khang Ninh</t>
  </si>
  <si>
    <t>WM+ PTO Khu 8, Tiêu Sơn, Chân Mộng</t>
  </si>
  <si>
    <t>WM+ TQG Thôn Ninh Thuận, Sơn Thủy</t>
  </si>
  <si>
    <t>WM+ LSN 119 Hoàng Văn Thụ, Đồng Đăng</t>
  </si>
  <si>
    <t>2CCG</t>
  </si>
  <si>
    <t>2CFP</t>
  </si>
  <si>
    <t>WM+ HNI 47 Vũ Đức Thận</t>
  </si>
  <si>
    <t>WM+ TQG 225 Phố Mới, Vĩnh Tuy</t>
  </si>
  <si>
    <t>2CFJ</t>
  </si>
  <si>
    <t>2BOY</t>
  </si>
  <si>
    <t>WM+ BNH 10 TDP Tiến Thắng, Nhã Nam</t>
  </si>
  <si>
    <t>WM+ TNN Ngã Ba, Phủ Thông</t>
  </si>
  <si>
    <t>2CGK</t>
  </si>
  <si>
    <t>2CGA</t>
  </si>
  <si>
    <t>2CGL</t>
  </si>
  <si>
    <t>2CIF</t>
  </si>
  <si>
    <t>2CHA</t>
  </si>
  <si>
    <t>2CHG</t>
  </si>
  <si>
    <t>2CID</t>
  </si>
  <si>
    <t>2CHN</t>
  </si>
  <si>
    <t>2CHM</t>
  </si>
  <si>
    <t>2CJP</t>
  </si>
  <si>
    <t>2CFH</t>
  </si>
  <si>
    <t>2CET</t>
  </si>
  <si>
    <t>2CIE</t>
  </si>
  <si>
    <t>2CGT</t>
  </si>
  <si>
    <t>2CKN</t>
  </si>
  <si>
    <t>2CJY</t>
  </si>
  <si>
    <t>2CJO</t>
  </si>
  <si>
    <t>2CJZ</t>
  </si>
  <si>
    <t>2BWF</t>
  </si>
  <si>
    <t>WM+ LSN Thôn Vũ Lâm, Vũ Lễ</t>
  </si>
  <si>
    <t>WM+ HNI Xóm 6, Thôn Phú Mỹ, Tiến Thắng</t>
  </si>
  <si>
    <t>WM+ HNI 108-110 Nguyễn Lam, Phúc Lợi</t>
  </si>
  <si>
    <t>WM+ TNN Xóm Đồng Màn, Định Hóa</t>
  </si>
  <si>
    <t>WM+ BNH Thôn Văn Phong, Phù Lãng</t>
  </si>
  <si>
    <t>WM+ SLA 32 TDP 34, Mộc Sơn</t>
  </si>
  <si>
    <t>WM+ HNI Thôn 3, Xã Nam Phù</t>
  </si>
  <si>
    <t>WM+ BNH Thôn Chung, Nhã Nam</t>
  </si>
  <si>
    <t>WM+ BNH Thôn Đồng Tâm, Hợp Thịnh</t>
  </si>
  <si>
    <t>WM+ HPG Đội 3, Thôn Bắc, Lai Khê</t>
  </si>
  <si>
    <t>WM+ BNH Quế Tân, Quế Võ</t>
  </si>
  <si>
    <t>WM+ PTO Sơn Kịch, Hợp Lý</t>
  </si>
  <si>
    <t>WM+ PTO Thôn Nam Bản, Xuân Lãng</t>
  </si>
  <si>
    <t>WM+ TQG 99 Tân Trào</t>
  </si>
  <si>
    <t>WM+ BNH 194 Nguyễn Quốc Ích</t>
  </si>
  <si>
    <t>WM+ TNN Xóm Làng Đèn, Tràng Xá</t>
  </si>
  <si>
    <t>WM+ BNH Thôn Đông, Xã Tam Giang</t>
  </si>
  <si>
    <t>WM+ LSN 386 Bà Triệu, Đông Kinh</t>
  </si>
  <si>
    <t>WM+ HNI Thôn Thanh Bồ, Hòa Xá</t>
  </si>
  <si>
    <t>2CDJ</t>
  </si>
  <si>
    <t>WM+ LCI Thôn Mỵ, Chấn Thịnh</t>
  </si>
  <si>
    <t>post 14</t>
  </si>
  <si>
    <t>22/07/2026</t>
  </si>
  <si>
    <t>23/06/2026</t>
  </si>
  <si>
    <t>09/07/2026</t>
  </si>
  <si>
    <t>2CEO</t>
  </si>
  <si>
    <t>WM+ HNI Thôn Địa Chất, Phù Đổng</t>
  </si>
  <si>
    <t>2CCN</t>
  </si>
  <si>
    <t>2CEE</t>
  </si>
  <si>
    <t>WM+ NBH Thôn Tây, Ý Yên</t>
  </si>
  <si>
    <t>WM+ NBH Thôn 1 Chương Lương</t>
  </si>
  <si>
    <t>2CJL</t>
  </si>
  <si>
    <t>2CJR</t>
  </si>
  <si>
    <t>WM+ PTO 33 Thống Nhất, Phùng Nguyên</t>
  </si>
  <si>
    <t>WM+ BNH Thôn Phố Thễ, Quang Trung</t>
  </si>
  <si>
    <t>25/06/2026</t>
  </si>
  <si>
    <t>post 15</t>
  </si>
  <si>
    <t>05/08/2026</t>
  </si>
  <si>
    <t>2CLG</t>
  </si>
  <si>
    <t>WM+ HYN 68 Trần Hưng Đạo</t>
  </si>
  <si>
    <t>2CGQ</t>
  </si>
  <si>
    <t>WM+ THA Thôn Vân Xá</t>
  </si>
  <si>
    <t>2CHB</t>
  </si>
  <si>
    <t>WM+ LCI Thôn Tát Diêu, Khánh Hòa</t>
  </si>
  <si>
    <t>2CJX</t>
  </si>
  <si>
    <t>WM+ LCI Thôn Phạ 1, Cảm Nhân</t>
  </si>
  <si>
    <t>2CKM</t>
  </si>
  <si>
    <t>WM+ BNH 335 Trần Nguyên Hãn, Bắc Giang</t>
  </si>
  <si>
    <t>2CKQ</t>
  </si>
  <si>
    <t>WM+ HNI 14-16-18 Lệ Mật</t>
  </si>
  <si>
    <t>2CKW</t>
  </si>
  <si>
    <t>WM+ TQG Thôn 6, Xã Yên Minh</t>
  </si>
  <si>
    <t>2CKP</t>
  </si>
  <si>
    <t>WM+ QNH 496 Đường Quang Trung</t>
  </si>
  <si>
    <t>2CHK</t>
  </si>
  <si>
    <t>WM+ BNH Thôn Cựu Tự, Đào Viên</t>
  </si>
  <si>
    <t>2CJS</t>
  </si>
  <si>
    <t>WM+ HNI 114 Phú Mỹ, Từ Liêm</t>
  </si>
  <si>
    <t>2CDH</t>
  </si>
  <si>
    <t>WM+ LSN Số 6 Lương Văn Tri</t>
  </si>
  <si>
    <t>2CIC</t>
  </si>
  <si>
    <t>WM+ BNH Thôn Đông Trước, Xuân Cẩm</t>
  </si>
  <si>
    <t>2CHZ</t>
  </si>
  <si>
    <t>WM+ HNI 62-64 Xóm 1, An Trai, Sơn Đồng</t>
  </si>
  <si>
    <t>2CFF</t>
  </si>
  <si>
    <t>WM+ BNH Giang Liễu, Phương Liễu</t>
  </si>
  <si>
    <t>2CJH</t>
  </si>
  <si>
    <t>WM+ PTO Thôn Gia, Hoàng An</t>
  </si>
  <si>
    <t>2CJF</t>
  </si>
  <si>
    <t>WM+ PTO Thôn 5 Lũng Hạ, Tam Hồng</t>
  </si>
  <si>
    <t>2CAP</t>
  </si>
  <si>
    <t>WM+ THA 19 Đường HC1</t>
  </si>
  <si>
    <t>2CAN</t>
  </si>
  <si>
    <t>WM+ THA Lô NQ7-04, dự án số 1</t>
  </si>
  <si>
    <t>2CJB</t>
  </si>
  <si>
    <t>WM+ HYN Thôn Tiên Cầu, Hiệp Cường</t>
  </si>
  <si>
    <t>2CMF</t>
  </si>
  <si>
    <t>WM+ TNN 252 Nam Sông Công, Đại Phúc</t>
  </si>
  <si>
    <t>2CLS</t>
  </si>
  <si>
    <t>WM+ TNN 338 Kon Tum, Đức Xuân</t>
  </si>
  <si>
    <t>2BVT</t>
  </si>
  <si>
    <t>WM+ HNI Thôn La Phẩm 2, Cổ Đô</t>
  </si>
  <si>
    <t>2CMM</t>
  </si>
  <si>
    <t>WM+ HNI Thôn 1 Xã Hòa Lạc</t>
  </si>
  <si>
    <t>2CKD</t>
  </si>
  <si>
    <t>WM+ NBH Thôn Mỹ Lộc, Phong Doanh</t>
  </si>
  <si>
    <t>2CLL</t>
  </si>
  <si>
    <t>WM+ PTO Xóm Tân Phú, Mường Bi</t>
  </si>
  <si>
    <t>2CJU</t>
  </si>
  <si>
    <t>WM+ HTH 78 Nguyễn Du</t>
  </si>
  <si>
    <t>2CKU</t>
  </si>
  <si>
    <t>WM+ THA Thôn 4, Thọ Bình</t>
  </si>
  <si>
    <t>2CMB</t>
  </si>
  <si>
    <t>WM+ HYN Thôn Lộng Thượng, Đại Đồng</t>
  </si>
  <si>
    <t>2CLV</t>
  </si>
  <si>
    <t>WM+ PTO Thôn Vực Lựu, Tam Đảo</t>
  </si>
  <si>
    <t>2CKX</t>
  </si>
  <si>
    <t>WM+ HPG Thôn Bắc, Xã Hà Bắc</t>
  </si>
  <si>
    <t>2CKO</t>
  </si>
  <si>
    <t>WM+ BNH 129B Nguyễn Thị Lưu</t>
  </si>
  <si>
    <t>2CHS</t>
  </si>
  <si>
    <t>WM+ HNI Đội 1 Vĩnh Lộc, Chương Dương</t>
  </si>
  <si>
    <t>2CEN</t>
  </si>
  <si>
    <t>WM+ LCI TDP Nước Mát, Âu Lâu</t>
  </si>
  <si>
    <t>2CLD</t>
  </si>
  <si>
    <t>WM+ HNI 32 Lưu Quang Vũ, Yên Hòa</t>
  </si>
  <si>
    <t>2CJD</t>
  </si>
  <si>
    <t>WM+ TQG Thôn Tân Hòa, Sơn Dương</t>
  </si>
  <si>
    <t>2CPD</t>
  </si>
  <si>
    <t>WM+ PTO Khu đất dịch vụ xứ đồng Ải</t>
  </si>
  <si>
    <t>2CME</t>
  </si>
  <si>
    <t>WM+ SLA TDP Bãi Sậy, Mộc Châu</t>
  </si>
  <si>
    <t>2CES</t>
  </si>
  <si>
    <t>WM+ QNH 2-4-6 Ngõ 3 Tô Hiến Thành</t>
  </si>
  <si>
    <t>2CKK</t>
  </si>
  <si>
    <t>WM+ SLA 282 Chu Văn Thịnh, Tô Hiệu</t>
  </si>
  <si>
    <t>2CJI</t>
  </si>
  <si>
    <t>WM+ PTO Thôn Quan Ngoại, Tam Dương Bắc</t>
  </si>
  <si>
    <t>2CJT</t>
  </si>
  <si>
    <t>WM+ QNH 11 Nguyễn Thái Học, Hồng Gai</t>
  </si>
  <si>
    <t>2CJJ</t>
  </si>
  <si>
    <t>WM+ NBH Xóm 4, Vĩnh Trụ</t>
  </si>
  <si>
    <t>2CJQ</t>
  </si>
  <si>
    <t>WM+ HYN Thôn An Lạc 3, Quỳnh An</t>
  </si>
  <si>
    <t>2CMZ</t>
  </si>
  <si>
    <t>WM+ NBH Thôn 39, Xuân Trường</t>
  </si>
  <si>
    <t>2CNE</t>
  </si>
  <si>
    <t>WM+ HPG 71 Tân Tiến, An Dương</t>
  </si>
  <si>
    <t>2CNY</t>
  </si>
  <si>
    <t>WM+ HNI 28 Vĩnh Hưng</t>
  </si>
  <si>
    <t>2CMO</t>
  </si>
  <si>
    <t>WM+ NBH 124 Xuân Thành</t>
  </si>
  <si>
    <t>2CBQ</t>
  </si>
  <si>
    <t>WM+ HNI Đội 3, Thôn Thái Bình, Hòa Xá</t>
  </si>
  <si>
    <t>2COY</t>
  </si>
  <si>
    <t>WM+ SLA 343 Tây Bắc, Thuận Châu</t>
  </si>
  <si>
    <t>2CJN</t>
  </si>
  <si>
    <t>WM+ HNI 256 Thôn 6, Xã Suối Hai</t>
  </si>
  <si>
    <t>2CTM</t>
  </si>
  <si>
    <t>WM+ HPG Ngõ 275 Đông Khê</t>
  </si>
  <si>
    <t>2CMH</t>
  </si>
  <si>
    <t>2CMC</t>
  </si>
  <si>
    <t>2CMK</t>
  </si>
  <si>
    <t>2CMS</t>
  </si>
  <si>
    <t>2COJ</t>
  </si>
  <si>
    <t>2CNP</t>
  </si>
  <si>
    <t>2CMU</t>
  </si>
  <si>
    <t>2CLP</t>
  </si>
  <si>
    <t>2CLW</t>
  </si>
  <si>
    <t>2CGU</t>
  </si>
  <si>
    <t>2CPH</t>
  </si>
  <si>
    <t>2CFU</t>
  </si>
  <si>
    <t>2CLH</t>
  </si>
  <si>
    <t>2COL</t>
  </si>
  <si>
    <t>2COZ</t>
  </si>
  <si>
    <t>2CJG</t>
  </si>
  <si>
    <t>2CPU</t>
  </si>
  <si>
    <t>2CNS</t>
  </si>
  <si>
    <t>2CML</t>
  </si>
  <si>
    <t>2COM</t>
  </si>
  <si>
    <t>2CMI</t>
  </si>
  <si>
    <t>2CHQ</t>
  </si>
  <si>
    <t>2CMW</t>
  </si>
  <si>
    <t>2COU</t>
  </si>
  <si>
    <t>2CGI</t>
  </si>
  <si>
    <t>2COK</t>
  </si>
  <si>
    <t>2CMP</t>
  </si>
  <si>
    <t>2CPM</t>
  </si>
  <si>
    <t>2CLR</t>
  </si>
  <si>
    <t>2CQA</t>
  </si>
  <si>
    <t>2CLB</t>
  </si>
  <si>
    <t>2CPY</t>
  </si>
  <si>
    <t>2CPT</t>
  </si>
  <si>
    <t>2CLC</t>
  </si>
  <si>
    <t>2BVB</t>
  </si>
  <si>
    <t>2CAW</t>
  </si>
  <si>
    <t>2CKT</t>
  </si>
  <si>
    <t>2CMD</t>
  </si>
  <si>
    <t>2CLU</t>
  </si>
  <si>
    <t>2CHE</t>
  </si>
  <si>
    <t>2CDR</t>
  </si>
  <si>
    <t>WM+ LCI 451 Hòa Bình, Yên Bái</t>
  </si>
  <si>
    <t>WM+ PTO Thôn Ngọc Thạch 1, Hoàng An</t>
  </si>
  <si>
    <t>WM+ HNI 43 Ngõ 123 Thụy Phương</t>
  </si>
  <si>
    <t>WM+ HPG Khu 4, Phường Hải Dương</t>
  </si>
  <si>
    <t>WM+ LCI Thôn Bến Đền, Đông Cuông</t>
  </si>
  <si>
    <t>WM+ BNH Thôn Đình Cả, Tiên Du</t>
  </si>
  <si>
    <t>WM+ BNH Thôn Trung Lạc, Yên Trung</t>
  </si>
  <si>
    <t>WM+ PTO 24 Phố Re, Đại Đồng</t>
  </si>
  <si>
    <t>WM+ PTO Khu Tân Quang, Thanh Sơn</t>
  </si>
  <si>
    <t>WM+ LCI Thôn Trung Tâm, Xuân Ái</t>
  </si>
  <si>
    <t>WM+ HNI Tân Phúc, Thôn 5, Trung Giã</t>
  </si>
  <si>
    <t>WM+ PTO Khu Tranh Ngô, Vân Bán</t>
  </si>
  <si>
    <t>WM+ BNH Thôn Lôi Châu, Trung Kênh</t>
  </si>
  <si>
    <t>WM+ HYN Thôn Lai Triều, Thụy Anh</t>
  </si>
  <si>
    <t>WM+ PTO Khu 2 Yên Kiện, Chân Mộng</t>
  </si>
  <si>
    <t>WM+ HNI 304 Thôn Cựu Quán, Hoài Đức</t>
  </si>
  <si>
    <t>WM+ PTO Thôn Mới, Tiên Lữ</t>
  </si>
  <si>
    <t>WM+ TNN Xóm Thuần Pháp, Điềm Thụy</t>
  </si>
  <si>
    <t>WM+ NBH Xóm 2, Hải Hưng</t>
  </si>
  <si>
    <t>WM+ HNI 26 Thôn Thái Phù, Sóc Sơn</t>
  </si>
  <si>
    <t>WM+ NBH Xóm Tây Sơn, Hải Tiến</t>
  </si>
  <si>
    <t>WM+ HYN Thôn Đoàn Kết 2, Kiến Xương</t>
  </si>
  <si>
    <t>WM+ NBH Thôn Tam Giáp, Duy Hà</t>
  </si>
  <si>
    <t>WM+ HNI Lotus Sài Đồng, Phúc Lợi</t>
  </si>
  <si>
    <t>WM+ HPG 71 Hàng Kênh</t>
  </si>
  <si>
    <t>WM+ NBH Thôn 1 Mai Xá, Vĩnh Trụ</t>
  </si>
  <si>
    <t>WM+ PTO Thôn Cam Giá, Vĩnh Phú</t>
  </si>
  <si>
    <t>WM+ DBN Khối Thắng Lợi, Tuần Giáo</t>
  </si>
  <si>
    <t>WM+ HYN Doãn Khuê, Vũ Phúc</t>
  </si>
  <si>
    <t>WM+ NBH 857-859 Quốc Lộ 21, Tây Lễ</t>
  </si>
  <si>
    <t>WM+ PTO Thửa L6-L7, TBĐ QH, Phúc Yên</t>
  </si>
  <si>
    <t>WM+ HNI Thôn Bến, Quảng Bị</t>
  </si>
  <si>
    <t>WM+ PTO 514 Trường Chinh, Xuân Hòa</t>
  </si>
  <si>
    <t>WM+ PTO Khu 9, Tam Nông</t>
  </si>
  <si>
    <t>WM+ PTO Khu 11, Bình Phú</t>
  </si>
  <si>
    <t>WM+ LSN Tổ 1, Khối 6, Kỳ Lừa</t>
  </si>
  <si>
    <t>WM+ LCI Tổ 6, Phường Nghĩa Lộ</t>
  </si>
  <si>
    <t>WM+ HNI Thôn Cự Thần, Thanh Oai</t>
  </si>
  <si>
    <t>WM+ SLA 12-14 Hoàng Văn Thụ Sông Mã</t>
  </si>
  <si>
    <t>WM+ HPG Tuần Tiến, Tân Minh</t>
  </si>
  <si>
    <t>post 16</t>
  </si>
  <si>
    <t>23/07/2026</t>
  </si>
  <si>
    <t>19/08/2026</t>
  </si>
  <si>
    <t>2CIN</t>
  </si>
  <si>
    <t>WM+ TNN 1521 Đường 3/2, Tích Lương</t>
  </si>
  <si>
    <t>WM+ BNH 60 Trần Quốc Toản</t>
  </si>
  <si>
    <t>WM+ HPG 97 Bạch Đằng</t>
  </si>
  <si>
    <t>WM+ HNI 23 Gia Ngư</t>
  </si>
  <si>
    <t>WM+ HNI 317 Phố Vọng</t>
  </si>
  <si>
    <t>WM HNI Võ Thị Sáu</t>
  </si>
  <si>
    <t>WM+ HNI 27 ngách 254/1 đường Bưởi</t>
  </si>
  <si>
    <t>WM+ HNI 443 Đội Cấn</t>
  </si>
  <si>
    <t>WM+ HNI 79/34 Vĩnh Tuy</t>
  </si>
  <si>
    <t>WM+ HNI 227 Ngọc Lâm</t>
  </si>
  <si>
    <t>WM+ HNI 11 Ng Sơn</t>
  </si>
  <si>
    <t>WM+ HNI S2.01 Ocean Park</t>
  </si>
  <si>
    <t>WM VC HTH Kỳ Anh</t>
  </si>
  <si>
    <t>WM+ NAN LK1-04 Trường Thịnh Phát II</t>
  </si>
  <si>
    <t>WM VC NAN Nam Đàn</t>
  </si>
  <si>
    <t>WM VC NAN Thái Hòa</t>
  </si>
  <si>
    <t>WM+ HNI 29 Tây Mỗ</t>
  </si>
  <si>
    <t>WM+ HNI 387 Thụy Khuê</t>
  </si>
  <si>
    <t>WM+ HNI CT9A Sunny Garden</t>
  </si>
  <si>
    <t>WM+ HNI N01-T1 Khu đoàn ngoại giao</t>
  </si>
  <si>
    <t>WM+ HNI Ecohome 1</t>
  </si>
  <si>
    <t>WM+ HNI Sudico Mỹ Đình</t>
  </si>
  <si>
    <t>WM+ NDH 138 Hưng Yên</t>
  </si>
  <si>
    <t>WM+ TBH 68A Trần Hưng Đạo</t>
  </si>
  <si>
    <t>WM+ HNI B4-23 Cự Lộc</t>
  </si>
  <si>
    <t>WM+ HNI 163 Tân Mai</t>
  </si>
  <si>
    <t>WM+ HNI 12 Lô B Đại Kim</t>
  </si>
  <si>
    <t>WM+ HNI 38BT1 Pháp Vân</t>
  </si>
  <si>
    <t>WM HNI Thái Thịnh</t>
  </si>
  <si>
    <t>WM+ HNI 30C/477 Ng Trãi</t>
  </si>
  <si>
    <t>WM+ HNI 148 Lê Lợi</t>
  </si>
  <si>
    <t>WM+ HNI 19 Lương Định Của</t>
  </si>
  <si>
    <t>WM+ CBG 85 Tổ 7 Tân Giang</t>
  </si>
  <si>
    <t>WM+ HNI Thôn Bến Trung X Bắc Hồng</t>
  </si>
  <si>
    <t>WM+ HNI Bảo Tháp, Kim Hoa</t>
  </si>
  <si>
    <t>WM+ HNI Thái Bạt 2, Bất Bạt</t>
  </si>
  <si>
    <t>WM+ HNI Đông Hạ, Phú Cát</t>
  </si>
  <si>
    <t>WM+ HNI Thôn 2, Thạch Hòa</t>
  </si>
  <si>
    <t>WM+ HNI Thôn 5, Yên Xuân</t>
  </si>
  <si>
    <t>WM+ HNI 93 Dốc Chằm</t>
  </si>
  <si>
    <t>WM+ HTH Trường Lộc, Can Lộc</t>
  </si>
  <si>
    <t>WM+ BNH TDP Thống Nhất, Bố Hạ</t>
  </si>
  <si>
    <t>WM+ HPG Chợ Sung, Hà Nam</t>
  </si>
  <si>
    <t>WM+ HNI 14 Tây Tựu</t>
  </si>
  <si>
    <t>WM VCP NAN Vinh - Nghệ An</t>
  </si>
  <si>
    <t>WIN HNI CC A14, Ngõ 106 Hoàng Quốc Việt</t>
  </si>
  <si>
    <t>WM+ NAN Xóm 3, Đại Huệ</t>
  </si>
  <si>
    <t>WM+ HPG 472 Nguyễn Chế Nghĩa</t>
  </si>
  <si>
    <t>WM+ HPG 241 Nguyễn Trãi, Nam Sách</t>
  </si>
  <si>
    <t>WM+ HNI 2A Ngõ 303 Phúc Lợi</t>
  </si>
  <si>
    <t>WM+ HNI Khu TĐC LK19A-LK19B Dương Nội</t>
  </si>
  <si>
    <t>WM+ TNN 84 Bến Tượng</t>
  </si>
  <si>
    <t>WM+ THA 105 Lê Lợi</t>
  </si>
  <si>
    <t>WM+ HNI 129 Ngõ 40 Do Nha</t>
  </si>
  <si>
    <t>WM+ HNI 315 Nguyễn Văn Cừ</t>
  </si>
  <si>
    <t>WM+ NAN Khối Yên Sơn, Vinh Phú</t>
  </si>
  <si>
    <t>WM+ NAN Khối 14, Trường Vinh</t>
  </si>
  <si>
    <t>WM+ PTO Ngoại Trạch 2, Bình Nguyên</t>
  </si>
  <si>
    <t>WM+ NAN Khối Xuân Hương, Vinh Phú</t>
  </si>
  <si>
    <t>2CPP</t>
  </si>
  <si>
    <t>2CLM</t>
  </si>
  <si>
    <t>2COX</t>
  </si>
  <si>
    <t>2CNL</t>
  </si>
  <si>
    <t>2CNK</t>
  </si>
  <si>
    <t>2CMX</t>
  </si>
  <si>
    <t>2CPE</t>
  </si>
  <si>
    <t>2CPO</t>
  </si>
  <si>
    <t>2CQZ</t>
  </si>
  <si>
    <t>2CPW</t>
  </si>
  <si>
    <t>2CBY</t>
  </si>
  <si>
    <t>2CKS</t>
  </si>
  <si>
    <t>2CPZ</t>
  </si>
  <si>
    <t>2CPK</t>
  </si>
  <si>
    <t>2CPG</t>
  </si>
  <si>
    <t>2CHC</t>
  </si>
  <si>
    <t>2CGE</t>
  </si>
  <si>
    <t>2CQJ</t>
  </si>
  <si>
    <t>2CKJ</t>
  </si>
  <si>
    <t>2BR6</t>
  </si>
  <si>
    <t>2CMT</t>
  </si>
  <si>
    <t>2CPJ</t>
  </si>
  <si>
    <t>2CII</t>
  </si>
  <si>
    <t>WM+ BNH Thôn Đồng Quán, Bố Hạ</t>
  </si>
  <si>
    <t>WM+ BNH Thôn Quất Du 1, Phúc Hòa</t>
  </si>
  <si>
    <t>WM+ CBG 122 Lê Lợi, Nùng Trí Cao</t>
  </si>
  <si>
    <t>WM+ HNI 158 Vân Thọ, Mỹ Đức</t>
  </si>
  <si>
    <t>WM+ HNI 36 ngõ 533 Nguyễn Bình, Gia Lâm</t>
  </si>
  <si>
    <t>WM+ HNI 72 Thôn Tiên Chu, Trung Giã</t>
  </si>
  <si>
    <t>WM+ HNI Thôn Phú Mỹ A, Vật Lại</t>
  </si>
  <si>
    <t>WM+ HNI Xóm 14, Thôn Hậu Ái, Sơn Đồng</t>
  </si>
  <si>
    <t>WM+ HNI 120 Vĩnh Hưng</t>
  </si>
  <si>
    <t>WM+ HPG Hàm Dương, Nguyễn Bỉnh Khiêm</t>
  </si>
  <si>
    <t>WM+ HPG 56 Phương Lưu</t>
  </si>
  <si>
    <t>WM+ LCI Thôn Khe Hùm, X. Bảo Ái</t>
  </si>
  <si>
    <t>WM+ LCI Thôn Ngòi Khang, Bảo Ái</t>
  </si>
  <si>
    <t>WM+ LCI Thôn Phố Cũ, Si Ma Cai</t>
  </si>
  <si>
    <t>WM+ LCI Thôn Thị Tứ, Võ Lao</t>
  </si>
  <si>
    <t>WM+ LCI Thôn Trung Tâm, Đông Cuông</t>
  </si>
  <si>
    <t>WM+ NBH Thôn Nguyễn, Yên Sơn</t>
  </si>
  <si>
    <t>WM+ PTO Khu Tân Long, Đoan Hùng</t>
  </si>
  <si>
    <t>WM+ PTO TDP 2, P Tân Hòa</t>
  </si>
  <si>
    <t>WM+ QNH S2 CC Sapphire</t>
  </si>
  <si>
    <t>WM+ QNH 605 Hà Lầm</t>
  </si>
  <si>
    <t>WM+ SLA 55-57 Tiểu khu 20, Mai Sơn</t>
  </si>
  <si>
    <t>WM+ SLA 627-629 Lê Duẩn, Chiềng Sinh</t>
  </si>
  <si>
    <t>06/08/2026</t>
  </si>
  <si>
    <t>02/09/2026</t>
  </si>
  <si>
    <t>post 17</t>
  </si>
  <si>
    <t>20/08/2026</t>
  </si>
  <si>
    <t>2150294</t>
  </si>
  <si>
    <t>2CMV</t>
  </si>
  <si>
    <t>2CRG</t>
  </si>
  <si>
    <t>2COT</t>
  </si>
  <si>
    <t>2CPV</t>
  </si>
  <si>
    <t>2CPS</t>
  </si>
  <si>
    <t>2CLO</t>
  </si>
  <si>
    <t>2CKH</t>
  </si>
  <si>
    <t>2CPC</t>
  </si>
  <si>
    <t>2BMT</t>
  </si>
  <si>
    <t>2CRQ</t>
  </si>
  <si>
    <t>2CMG</t>
  </si>
  <si>
    <t>2CRD</t>
  </si>
  <si>
    <t>2CKZ</t>
  </si>
  <si>
    <t>2CRL</t>
  </si>
  <si>
    <t>2CNR</t>
  </si>
  <si>
    <t>2CPI</t>
  </si>
  <si>
    <t>2CKR</t>
  </si>
  <si>
    <t>2CPL</t>
  </si>
  <si>
    <t>2CQO</t>
  </si>
  <si>
    <t>2CTT</t>
  </si>
  <si>
    <t>2CSC</t>
  </si>
  <si>
    <t>2COV</t>
  </si>
  <si>
    <t>2CPX</t>
  </si>
  <si>
    <t>2CQR</t>
  </si>
  <si>
    <t>2CQW</t>
  </si>
  <si>
    <t>2CRT</t>
  </si>
  <si>
    <t>2CRR</t>
  </si>
  <si>
    <t>2CQX</t>
  </si>
  <si>
    <t>2CQS</t>
  </si>
  <si>
    <t>2CIH</t>
  </si>
  <si>
    <t>2CQE</t>
  </si>
  <si>
    <t>2COB</t>
  </si>
  <si>
    <t>2CRK</t>
  </si>
  <si>
    <t>2CSI</t>
  </si>
  <si>
    <t>2CRX</t>
  </si>
  <si>
    <t>2CRY</t>
  </si>
  <si>
    <t>2CVH</t>
  </si>
  <si>
    <t>2CQT</t>
  </si>
  <si>
    <t>2CNH</t>
  </si>
  <si>
    <t>2CSX</t>
  </si>
  <si>
    <t>2CRF</t>
  </si>
  <si>
    <t>2CPF</t>
  </si>
  <si>
    <t>2CON</t>
  </si>
  <si>
    <t>2CRH</t>
  </si>
  <si>
    <t>2CLT</t>
  </si>
  <si>
    <t>WM+ BNH Thôn Lạc Nhuế, Tam Đa</t>
  </si>
  <si>
    <t>WM+ NBH Xóm 5 Thanh Nộn</t>
  </si>
  <si>
    <t>WM+ NBH Xóm Hội, Hiển Khánh</t>
  </si>
  <si>
    <t>WM+ HNI Thôn Xuân Áp, Kim Anh</t>
  </si>
  <si>
    <t>WM+ TNN Xóm Lương Tiến, Trung Hội</t>
  </si>
  <si>
    <t>WM+ BNH Thôn Trung Hưng, Hợp Thịnh</t>
  </si>
  <si>
    <t>WM+ HYN Thôn Đức Trung, Đức Hợp</t>
  </si>
  <si>
    <t>WM+ HNI SH09-10 Pandora 53 Triều Khúc</t>
  </si>
  <si>
    <t>WM+ LCU 963 Lê Lợi</t>
  </si>
  <si>
    <t>WM+ NBH Tổ 6, Phường Trung Sơn</t>
  </si>
  <si>
    <t>WM+ PTO Xóm Giữa, Tiên Lương</t>
  </si>
  <si>
    <t>WM+ HYN Thôn Đông Cường, Nam Cường</t>
  </si>
  <si>
    <t>WM+ HYN Thôn Lương Điền, Đồng Châu</t>
  </si>
  <si>
    <t>WM+ HYN Thôn Tây Nha, Long Hưng</t>
  </si>
  <si>
    <t>WM+ LCI Thôn Trung Tâm, Thượng Bằng la</t>
  </si>
  <si>
    <t>WM+ LCI Thôn Bản Đường, Cầu Thia</t>
  </si>
  <si>
    <t>WM+ PTO Thôn Chợ Bến, X. Cao Dương</t>
  </si>
  <si>
    <t>WM+ LCI Thôn Yên Thành, Văn Bàn</t>
  </si>
  <si>
    <t>WM+ BNH Thôn Chân Lạc, Yên Trung</t>
  </si>
  <si>
    <t>WM+ HNI 101 D3 ngõ 5 Khuất Duy Tiến</t>
  </si>
  <si>
    <t>WM+ HNI Thôn Mai Trai, Cổ Đô</t>
  </si>
  <si>
    <t>WM+ NBH Thôn Lời Triệu, Hiển Khánh</t>
  </si>
  <si>
    <t>WM+ LCI 409 Giải Phóng, Mường Khương</t>
  </si>
  <si>
    <t>WM+ HNI Đội 6 Thôn Trinh Tiết, Mỹ Đức</t>
  </si>
  <si>
    <t>WM+ LCI Thôn Cốc Sâm 1, Xuân Quang</t>
  </si>
  <si>
    <t>WM+ TNN Xóm Bán Luông, Phú Thịnh</t>
  </si>
  <si>
    <t>WM+ PTO Thôn Vân Tập, Hội Thịnh</t>
  </si>
  <si>
    <t>WM+ LCI 285 Quang Trung, Yên Bái</t>
  </si>
  <si>
    <t>WM+ TQG Thôn 6 Thống Nhất, Yên Phú</t>
  </si>
  <si>
    <t>WM+ HNI GS26 Vinhomes Smart City, Tây Mỗ</t>
  </si>
  <si>
    <t>WM+ HNI B4 Cự Lộc, 108 Nguyễn Trãi</t>
  </si>
  <si>
    <t>WM+ HNI Ngõ 1 Phố Văn Hội</t>
  </si>
  <si>
    <t>WM+ HYN Thôn Kỹ Trang, Nguyễn Du</t>
  </si>
  <si>
    <t>WM+ HPG Thôn Mỹ Đức, Tân Kỳ</t>
  </si>
  <si>
    <t>WM+ HPG 52-54 Trại Lẻ</t>
  </si>
  <si>
    <t>WM+ HPG 565 Đường số 9 KNO Him Lam</t>
  </si>
  <si>
    <t>WM+ HNI 131 Dương Quảng Hàm</t>
  </si>
  <si>
    <t>WM+ QNH 170 Ba Lan</t>
  </si>
  <si>
    <t>WM+ THA Thôn Đồng Lạc, Hoằng Lộc</t>
  </si>
  <si>
    <t>WM+ NBH Thôn 8, Nam Lý</t>
  </si>
  <si>
    <t>WM+ NBH Thôn 8, Hải Anh</t>
  </si>
  <si>
    <t>WM+ PTO TDP Thống Nhất, Bình Tuyền</t>
  </si>
  <si>
    <t>WM+ PTO Thôn Bo Lục, Kim Bôi</t>
  </si>
  <si>
    <t>WM+ HYN Thôn Minh Tân, Bình Thanh</t>
  </si>
  <si>
    <t>WM+ HYN Xã Đông Thái Ninh</t>
  </si>
  <si>
    <t>post 18</t>
  </si>
  <si>
    <t>16/09/2026</t>
  </si>
  <si>
    <t>03/09/2026</t>
  </si>
  <si>
    <t>2CQY</t>
  </si>
  <si>
    <t>2CSP</t>
  </si>
  <si>
    <t>2CWF</t>
  </si>
  <si>
    <t>2BUZ</t>
  </si>
  <si>
    <t>2CSY</t>
  </si>
  <si>
    <t>2CRJ</t>
  </si>
  <si>
    <t>2CUH</t>
  </si>
  <si>
    <t>2CRC</t>
  </si>
  <si>
    <t>2CSQ</t>
  </si>
  <si>
    <t>2CTB</t>
  </si>
  <si>
    <t>2CSF</t>
  </si>
  <si>
    <t>2CUK</t>
  </si>
  <si>
    <t>2COS</t>
  </si>
  <si>
    <t>2CSK</t>
  </si>
  <si>
    <t>2CPR</t>
  </si>
  <si>
    <t>2COW</t>
  </si>
  <si>
    <t>2CTQ</t>
  </si>
  <si>
    <t>2CTF</t>
  </si>
  <si>
    <t>2CSO</t>
  </si>
  <si>
    <t>2CTS</t>
  </si>
  <si>
    <t>2CVJ</t>
  </si>
  <si>
    <t>2CUI</t>
  </si>
  <si>
    <t>2CWJ</t>
  </si>
  <si>
    <t>2CVZ</t>
  </si>
  <si>
    <t>2CVL</t>
  </si>
  <si>
    <t>2CVB</t>
  </si>
  <si>
    <t>2CVM</t>
  </si>
  <si>
    <t>2CWM</t>
  </si>
  <si>
    <t>2CVE</t>
  </si>
  <si>
    <t>2CUZ</t>
  </si>
  <si>
    <t>2CSW</t>
  </si>
  <si>
    <t>2CSJ</t>
  </si>
  <si>
    <t>2CUW</t>
  </si>
  <si>
    <t>2CUV</t>
  </si>
  <si>
    <t>2CUG</t>
  </si>
  <si>
    <t>WM+ LCI 222-224 Lý Thường Kiệt, Yên Bái</t>
  </si>
  <si>
    <t>WM+ PTO Thôn Ngọc Mỹ, Tân Lạc</t>
  </si>
  <si>
    <t>WM+ NBH 545 Trần Hưng Đạo</t>
  </si>
  <si>
    <t>WM+ PTO Phố Bằng, Mường Thàng</t>
  </si>
  <si>
    <t>WM+ HYN Thôn Trung Quý, Lê Lợi</t>
  </si>
  <si>
    <t>WM+ HYN Thôn Thiện Tường, Nam Cường</t>
  </si>
  <si>
    <t>WM+ PTO Thôn Cao Xá, Vĩnh Thành</t>
  </si>
  <si>
    <t>WM+ NBH Phố Cầu, Nam Trực</t>
  </si>
  <si>
    <t>WM+ BNH Thôn Ngô Xá, Phật Tích</t>
  </si>
  <si>
    <t>WM+ HNI Thôn Nội Xá, Hòa Xá</t>
  </si>
  <si>
    <t>WM+ HNI B1-B2 Athena Complex</t>
  </si>
  <si>
    <t>WM+ HNI 19 Trung Nghĩa, Mỹ Đức</t>
  </si>
  <si>
    <t>WM+ PTO Thôn Tân Lập, Đạo Trù</t>
  </si>
  <si>
    <t>WM+ PTO Khu 8, Đan Thượng</t>
  </si>
  <si>
    <t>WM+ LCI Thôn Bắc Hà 1, Bắc Hà</t>
  </si>
  <si>
    <t>WM+ HYN Thôn Hữu Đô Kỳ, Thần Khê</t>
  </si>
  <si>
    <t>WM+ TQG 254A Đường 20-8, Hà Giang 1</t>
  </si>
  <si>
    <t>WM+ TQG Thôn Lùng Thàng, Quản Bạ</t>
  </si>
  <si>
    <t>WM+ LCI Thôn 6, Liên Sơn</t>
  </si>
  <si>
    <t>WM+ TQG Thôn Minh Khai, Bằng Hành</t>
  </si>
  <si>
    <t>WM+ BNH Thôn Nghè 2, Lục Nam</t>
  </si>
  <si>
    <t>WM+ TNN Xóm Trung Tâm, Đại Phúc</t>
  </si>
  <si>
    <t>WM+ HYN Thôn Lạc Chính, Trần Lãm</t>
  </si>
  <si>
    <t>WM+ NBH Thôn Yên Bình, Lai Thành</t>
  </si>
  <si>
    <t>WM+ HPG Thôn 1, Thanh Hà</t>
  </si>
  <si>
    <t>WM+ HYN Thôn Trình Nhì, Tiền Hải</t>
  </si>
  <si>
    <t>WM+ HPG Thôn An Khoái, Thanh Miện</t>
  </si>
  <si>
    <t>WM+ BNH Thôn Thanh Văn 1, Lục Ngạn</t>
  </si>
  <si>
    <t>WM+ LCI Thôn 3, Xã Phong Hải</t>
  </si>
  <si>
    <t>WM+ HPG Thôn Quỳnh Khê, Phú Thái</t>
  </si>
  <si>
    <t>WM+ NBH Thôn Lộc, Đồng Thái</t>
  </si>
  <si>
    <t>WM+ HPG Thôn Nhân Trai, Kiến Hưng</t>
  </si>
  <si>
    <t>WM+ HPG 16 Manhattan 09</t>
  </si>
  <si>
    <t>WM+ LCI Thôn Trung Tâm, Vũ Linh</t>
  </si>
  <si>
    <t>WM+ PTO Thôn Đồng Nùng, Yên Lãng</t>
  </si>
  <si>
    <t>Aging</t>
  </si>
  <si>
    <t>24/08/2026</t>
  </si>
  <si>
    <t>8935101608621</t>
  </si>
  <si>
    <t>2153299</t>
  </si>
  <si>
    <t>Jăm bông Kimbap 170</t>
  </si>
  <si>
    <t>post 19</t>
  </si>
  <si>
    <t>28/08/2026</t>
  </si>
  <si>
    <t>30/09/2026</t>
  </si>
  <si>
    <t>2CUA</t>
  </si>
  <si>
    <t>2CVD</t>
  </si>
  <si>
    <t>2CXA</t>
  </si>
  <si>
    <t>2CXF</t>
  </si>
  <si>
    <t>2CNT</t>
  </si>
  <si>
    <t>2CYF</t>
  </si>
  <si>
    <t>2CWC</t>
  </si>
  <si>
    <t>2CVP</t>
  </si>
  <si>
    <t>WM+ NBH Xóm 2, Hải Xuân</t>
  </si>
  <si>
    <t>WM+ BNH Thôn Tân Thành, Kiên Lao</t>
  </si>
  <si>
    <t>WM+ TNN Thôn 1, Chợ Mới</t>
  </si>
  <si>
    <t>WM+ HNI A2-BT1 ô số 20, Geleximco</t>
  </si>
  <si>
    <t>WM+ HNI S04-01, Newtatco-Kosmo Tây Hồ</t>
  </si>
  <si>
    <t>WM+ TQG 312 Nguyễn Trãi, Hà Giang 1</t>
  </si>
  <si>
    <t>WM+ HNI 476 Ninh Hiệp, Phù Đổng</t>
  </si>
  <si>
    <t>WM+ HNI Đường Văn Minh, Hoài Đức</t>
  </si>
  <si>
    <t>2CTO</t>
  </si>
  <si>
    <t>2CVV</t>
  </si>
  <si>
    <t>2CVX</t>
  </si>
  <si>
    <t>2CQN</t>
  </si>
  <si>
    <t>2CXJ</t>
  </si>
  <si>
    <t>2CWR</t>
  </si>
  <si>
    <t>2CBC</t>
  </si>
  <si>
    <t>WM+ BNH Thôn Chi Long, Yên Phong</t>
  </si>
  <si>
    <t>WM+ PTO Thôn Yên Thịnh, Vĩnh Tường</t>
  </si>
  <si>
    <t>WM+ HNI 178 Thôn Cẩm Yên, Thạch Thất</t>
  </si>
  <si>
    <t>WM+ PTO Thôn Phố Me, Tam Dương</t>
  </si>
  <si>
    <t>WM+ LCI Tổ 2, Phường Trung Tâm</t>
  </si>
  <si>
    <t>WM+ HYN Thôn 1, Chí Minh</t>
  </si>
  <si>
    <t>WM+ NBH TDP Đông Khê Trại</t>
  </si>
  <si>
    <t>2BZG</t>
  </si>
  <si>
    <t>2CWS</t>
  </si>
  <si>
    <t>WM+ HNI 324 Cổ Nhuế</t>
  </si>
  <si>
    <t>WM+ HPG Thôn Gia Cốc, Thanh Miện</t>
  </si>
  <si>
    <t>2CUT</t>
  </si>
  <si>
    <t>WM+ TNN Xóm Tân Đức, Kha Sơn</t>
  </si>
  <si>
    <t>post 20</t>
  </si>
  <si>
    <t>11/09/2026</t>
  </si>
  <si>
    <t>14/10/2026</t>
  </si>
  <si>
    <t>2BTO</t>
  </si>
  <si>
    <t>WM+ BNH Thôn Trung Tâm</t>
  </si>
  <si>
    <t>2CSB</t>
  </si>
  <si>
    <t>2CVT</t>
  </si>
  <si>
    <t>2CXK</t>
  </si>
  <si>
    <t>2CVI</t>
  </si>
  <si>
    <t>2CWG</t>
  </si>
  <si>
    <t>2CSM</t>
  </si>
  <si>
    <t>2CUM</t>
  </si>
  <si>
    <t>2CXP</t>
  </si>
  <si>
    <t>2CSZ</t>
  </si>
  <si>
    <t>2CZR</t>
  </si>
  <si>
    <t>WM+ HNI Thôn Vũ Lăng, Dân Hòa</t>
  </si>
  <si>
    <t>WM+ TNN Tổ 11, Chợ Mới</t>
  </si>
  <si>
    <t>WM+ PTO Thôn 7, Xã Thọ Văn</t>
  </si>
  <si>
    <t>WM+ PTO Thôn 5, Liên Châu</t>
  </si>
  <si>
    <t>WM+ HYN SF301S16, Tầng 1 Sky Forest</t>
  </si>
  <si>
    <t>WIN HNI G2S09-SH-H2 Sunshine Garden</t>
  </si>
  <si>
    <t>WM+ HNI Thôn 2, Đại Đồng, Thạch Thất</t>
  </si>
  <si>
    <t>WM+ SLA Tiểu khu 4, Chiềng Sơn</t>
  </si>
  <si>
    <t>WM+ HYN Thôn Thượng, Phụ Dực</t>
  </si>
  <si>
    <t>WM+ NBH Thôn Quan Phố, Duy Tiên</t>
  </si>
  <si>
    <t>2CVU</t>
  </si>
  <si>
    <t>WM+ TQG Thôn Minh Đức, Minh Quang</t>
  </si>
  <si>
    <t>2CWD</t>
  </si>
  <si>
    <t>2CXM</t>
  </si>
  <si>
    <t>2CYU</t>
  </si>
  <si>
    <t>2CTL</t>
  </si>
  <si>
    <t>2CST</t>
  </si>
  <si>
    <t>2CCY</t>
  </si>
  <si>
    <t>2CUU</t>
  </si>
  <si>
    <t>2CWT</t>
  </si>
  <si>
    <t>2CMJ</t>
  </si>
  <si>
    <t>2CWP</t>
  </si>
  <si>
    <t>2CYO</t>
  </si>
  <si>
    <t>2CYB</t>
  </si>
  <si>
    <t>2CYC</t>
  </si>
  <si>
    <t>2CYV</t>
  </si>
  <si>
    <t>2DAA</t>
  </si>
  <si>
    <t>2CYJ</t>
  </si>
  <si>
    <t>2CYR</t>
  </si>
  <si>
    <t>2DAB</t>
  </si>
  <si>
    <t>2DCN</t>
  </si>
  <si>
    <t>WM+ PTO Thôn Rị, An Nghĩa</t>
  </si>
  <si>
    <t>WM+ BNH TDP Hà, Tự Lạn</t>
  </si>
  <si>
    <t>WM+ TQG TDP 19, An Tường</t>
  </si>
  <si>
    <t>WM+ HNI D24-NV14 ô số 23, Geleximco</t>
  </si>
  <si>
    <t>WM+ HNI Thôn Đại Độ, Thiên Lộc</t>
  </si>
  <si>
    <t>WM+ HNI Đô Tân, Trung Giã</t>
  </si>
  <si>
    <t>WM+ HNI 71 Thanh Trì, Sóc Sơn</t>
  </si>
  <si>
    <t>WM+ HPG Thôn Đỗ Hạ, Nguyễn Lương Bằng</t>
  </si>
  <si>
    <t>WM+ PTO Khu Cát Thượng, Hùng Việt</t>
  </si>
  <si>
    <t>WM+ PTO Thôn Tảo Phú, Tam Hồng</t>
  </si>
  <si>
    <t>WM+ DBN Tiến Thanh, Xã Thanh Yên</t>
  </si>
  <si>
    <t>WM+ HPG Thôn Đông Thôn, Trần Phú</t>
  </si>
  <si>
    <t>WM+ HPG Thôn Đông Phan, Hà Tây</t>
  </si>
  <si>
    <t>WM+ NBH KDC phía Đông đường trục xã</t>
  </si>
  <si>
    <t>WM+ NBH đường Phạm Văn Nghị</t>
  </si>
  <si>
    <t>WM+ LSN Thôn Đại An, Đình Lập</t>
  </si>
  <si>
    <t>WM+ PTO TDP Năm Lu, Lương Sơn</t>
  </si>
  <si>
    <t>WM+ HPG 363 Trần Hưng Đạo</t>
  </si>
  <si>
    <t>WM+ BNH 18 Bà Chúa Kho</t>
  </si>
  <si>
    <t>2CWE</t>
  </si>
  <si>
    <t>WM+ HPG 290 Phủ Thượng Đoạn</t>
  </si>
  <si>
    <t>Dăm bông kimbap 1050g</t>
  </si>
  <si>
    <t>Bánh gạo Hàn Quốc 500g</t>
  </si>
  <si>
    <t>Tokpokki chả cá 350g</t>
  </si>
  <si>
    <t>2153297</t>
  </si>
  <si>
    <t>2153298</t>
  </si>
  <si>
    <t>2153300</t>
  </si>
  <si>
    <t>8935101608614</t>
  </si>
  <si>
    <t>8935304205412</t>
  </si>
  <si>
    <t>8935304205849</t>
  </si>
  <si>
    <t>Listing SP mới</t>
  </si>
  <si>
    <t>01/09/2026</t>
  </si>
  <si>
    <t>2CHR</t>
  </si>
  <si>
    <t>2CXN</t>
  </si>
  <si>
    <t>2CVW</t>
  </si>
  <si>
    <t>2CYZ</t>
  </si>
  <si>
    <t>2CXC</t>
  </si>
  <si>
    <t>2CZF</t>
  </si>
  <si>
    <t>2CXO</t>
  </si>
  <si>
    <t>2CXQ</t>
  </si>
  <si>
    <t>2CXU</t>
  </si>
  <si>
    <t>2CXW</t>
  </si>
  <si>
    <t>2CUQ</t>
  </si>
  <si>
    <t>2CYQ</t>
  </si>
  <si>
    <t>2CZZ</t>
  </si>
  <si>
    <t>2CYN</t>
  </si>
  <si>
    <t>2DAO</t>
  </si>
  <si>
    <t>2CUL</t>
  </si>
  <si>
    <t>2CYK</t>
  </si>
  <si>
    <t>2CZW</t>
  </si>
  <si>
    <t>2CYP</t>
  </si>
  <si>
    <t>2DAC</t>
  </si>
  <si>
    <t>2DAI</t>
  </si>
  <si>
    <t>2CWQ</t>
  </si>
  <si>
    <t>2CZM</t>
  </si>
  <si>
    <t>2CVS</t>
  </si>
  <si>
    <t>2DBD</t>
  </si>
  <si>
    <t>2DAW</t>
  </si>
  <si>
    <t>2DBM</t>
  </si>
  <si>
    <t>2DAH</t>
  </si>
  <si>
    <t>2CYM</t>
  </si>
  <si>
    <t>2DAD</t>
  </si>
  <si>
    <t>2CUC</t>
  </si>
  <si>
    <t>2CVR</t>
  </si>
  <si>
    <t>2DCD</t>
  </si>
  <si>
    <t>2DBI</t>
  </si>
  <si>
    <t>2DCF</t>
  </si>
  <si>
    <t>2DCB</t>
  </si>
  <si>
    <t>2DDA</t>
  </si>
  <si>
    <t>2DCT</t>
  </si>
  <si>
    <t>WM+ HNI Thôn Khê Hồi, Hồng Vân</t>
  </si>
  <si>
    <t>WM+ HPG Thôn Tiêu Sơn, Nam Thanh Miện</t>
  </si>
  <si>
    <t>WM+ HNI Thôn Cần Kiệm 1, Hạ Bằng</t>
  </si>
  <si>
    <t>WM+ SLA Phiêng Ban 2, Bắc Yên</t>
  </si>
  <si>
    <t>WM+ HNI 19 Dương Hà, Phù Đổng</t>
  </si>
  <si>
    <t>WM+ HNI Đội 8, Thôn Viêm Khê, Hồng Sơn</t>
  </si>
  <si>
    <t>WM+ LCI Thôn Độc Lập, Khánh Yên</t>
  </si>
  <si>
    <t>WM+ SLA Tiểu khu 8, Phù Yên</t>
  </si>
  <si>
    <t>WM+ NBH Thôn Yên Chính, Phong Doanh</t>
  </si>
  <si>
    <t>WM+ NBH Thôn 8, Hải Thịnh</t>
  </si>
  <si>
    <t>WM+ HNI TDP Phương Bản, Chương Mỹ</t>
  </si>
  <si>
    <t>WM+ PTO Xóm Mai Thượng, Mai Châu</t>
  </si>
  <si>
    <t>WM+ HNI TT150.5, KĐT Nam An Khánh</t>
  </si>
  <si>
    <t>WM+ PTO Thôn Tiên Lộng, Tam Dương Bắc</t>
  </si>
  <si>
    <t>WM+ QNH 135 - 137 Hà Lầm</t>
  </si>
  <si>
    <t>WM+ HNI Thôn 3, Hòa Lạc</t>
  </si>
  <si>
    <t>WM+ TNN TDP Tân Ấp, Phúc Thuận</t>
  </si>
  <si>
    <t>WM+ LCI 112 Ngô Gia Tự, Yên Bái</t>
  </si>
  <si>
    <t>WM+ TQG Thôn Đồng Phú, Trường Sinh</t>
  </si>
  <si>
    <t>WM+ HPG Thôn Vỹ Khê, Tiên Minh</t>
  </si>
  <si>
    <t>WM+ TQG 264 Phạm Ngũ Lão</t>
  </si>
  <si>
    <t>WM+ PTO Thôn 16, Đan Thượng</t>
  </si>
  <si>
    <t>WM+ HPG Thôn Tùng Lâm, Nguyễn Lương Bằng</t>
  </si>
  <si>
    <t>WM+ BNH Thôn Hữu Bằng, Đào Viên</t>
  </si>
  <si>
    <t>WM+ HPG 355 Minh Tân, Nhị Chiểu</t>
  </si>
  <si>
    <t>WM+ HNI 17 Thôn Bảo Lộc, Phúc Lộc</t>
  </si>
  <si>
    <t>WM+ QNH Tổ 3 Khu 7 Cao Xanh</t>
  </si>
  <si>
    <t>WM+ PTO Thôn Lục Thụ, Tiên Lữ</t>
  </si>
  <si>
    <t>WM+ CBG TDP Phố Thầu, Thục Phán</t>
  </si>
  <si>
    <t>WM+ CBG TDP Gia Cung, Nùng Trí Cao</t>
  </si>
  <si>
    <t>WM+ NBH Thôn Cộng Hòa, Minh Tân</t>
  </si>
  <si>
    <t>WM+ HNI Xóm 1, Thôn Thụy Khê, Quốc Oai</t>
  </si>
  <si>
    <t>WM+ LCI Thôn 1, Hạnh Phúc</t>
  </si>
  <si>
    <t>WM+ BNH TDP Chằm Cũ, Lục Nam</t>
  </si>
  <si>
    <t>WM+ PTO 107 Lam Sơn</t>
  </si>
  <si>
    <t>WM+ PTO 86 khu Cao Bang, Âu Cơ</t>
  </si>
  <si>
    <t>WM+ HPG 69 Nguyễn Tất Tố</t>
  </si>
  <si>
    <t>WM+ NBH 107 Quang Trung, Kim Bảng</t>
  </si>
  <si>
    <t>post 21</t>
  </si>
  <si>
    <t>25/09/2026</t>
  </si>
  <si>
    <t>28/10/2026</t>
  </si>
  <si>
    <t>15/10/2026</t>
  </si>
  <si>
    <t>Push sale tháng 9 (bó aging)</t>
  </si>
  <si>
    <t>Viên mực rong biển 300g</t>
  </si>
  <si>
    <t>8935101608164</t>
  </si>
  <si>
    <t>24/09/2026</t>
  </si>
  <si>
    <t>2CTR</t>
  </si>
  <si>
    <t>WM+ TQG 37 Trần Hưng Đạo, Quang Bìn</t>
  </si>
  <si>
    <t>2CYS</t>
  </si>
  <si>
    <t>2CYT</t>
  </si>
  <si>
    <t>2CCI</t>
  </si>
  <si>
    <t>2DBB</t>
  </si>
  <si>
    <t>2DAJ</t>
  </si>
  <si>
    <t>2DAQ</t>
  </si>
  <si>
    <t>2CVN</t>
  </si>
  <si>
    <t>2DCY</t>
  </si>
  <si>
    <t>2CYG</t>
  </si>
  <si>
    <t>2CTG</t>
  </si>
  <si>
    <t>2DAK</t>
  </si>
  <si>
    <t>2CNM</t>
  </si>
  <si>
    <t>2CLQ</t>
  </si>
  <si>
    <t>2DBY</t>
  </si>
  <si>
    <t>2DDS</t>
  </si>
  <si>
    <t>2DAZ</t>
  </si>
  <si>
    <t>2CYE</t>
  </si>
  <si>
    <t>WM+ BNH TDP Á Lữ, Thuận Thành</t>
  </si>
  <si>
    <t>WM+ BNH TDP Đông Du, Đào Viên</t>
  </si>
  <si>
    <t>WM+ QNH 379 Trần Quốc Nghiễn</t>
  </si>
  <si>
    <t>WM+ HPG Thôn Tiên Tảo, Hà Nam</t>
  </si>
  <si>
    <t>WM+ CBG 60 Đường 1-4, Tân Giang</t>
  </si>
  <si>
    <t>WM+ HPG 56 Bùi Thị Xuân</t>
  </si>
  <si>
    <t>WM+ HNI DV.03-06, V1, Terra An Hưng</t>
  </si>
  <si>
    <t>WM+ TQG Thôn Lủ Thượng, Tân Trịnh</t>
  </si>
  <si>
    <t>WM+ SLA 35 Hoàng Quốc Việt</t>
  </si>
  <si>
    <t>WM+ SLA TDP Bó Bun, Vân Sơn</t>
  </si>
  <si>
    <t>WM+ LCI Thôn Làng Thìu, Phúc Lợi</t>
  </si>
  <si>
    <t>WM+ BNH Thôn Đại Vi, Đại Đồng</t>
  </si>
  <si>
    <t>WM+ HNI 21 ngõ 80/1 Xuân Phương</t>
  </si>
  <si>
    <t>WM+ HYN Xóm 6, Đồng Tiến, Việt Tiến</t>
  </si>
  <si>
    <t>WM+ DBN TDP 12, Mường Thanh</t>
  </si>
  <si>
    <t>WM+ LCI Thôn Tho, Nghĩa Tâm</t>
  </si>
  <si>
    <t>WM+ LCI Thôn Bản Lầu, Bản Lầu</t>
  </si>
  <si>
    <t>09/10/2026</t>
  </si>
  <si>
    <t>11/11/2026</t>
  </si>
  <si>
    <t>post 22</t>
  </si>
  <si>
    <t>13/10/2026</t>
  </si>
  <si>
    <t>01/10/2026</t>
  </si>
  <si>
    <t>18/10/2026</t>
  </si>
  <si>
    <t>19/10/2026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</si>
</sst>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0_-;\-* #,##0.0_-;_-* &quot;-&quot;_-;_-@_-"/>
    <numFmt numFmtId="165" formatCode="_(* #,##0_);_(* \(#,##0\);_(* &quot;-&quot;??_);_(@_)"/>
    <numFmt numFmtId="166" formatCode="_-* #,##0_-;\-* #,##0_-;_-* &quot;-&quot;_-;_-@_-"/>
    <numFmt numFmtId="167" formatCode="_-* #,##0.00_-;\-* #,##0.00_-;_-* &quot;-&quot;??_-;_-@_-"/>
  </numFmts>
  <fonts count="33">
    <font>
      <sz val="11"/>
      <color theme="1"/>
      <name val="Calibri"/>
      <family val="2"/>
      <scheme val="minor"/>
    </font>
    <font>
      <sz val="11"/>
      <color theme="1"/>
      <name val="Calibri"/>
      <family val="2"/>
      <scheme val="minor"/>
    </font>
    <font>
      <sz val="10"/>
      <color rgb="FF000000"/>
      <name val="Calibri"/>
      <family val="2"/>
      <scheme val="minor"/>
    </font>
    <font>
      <sz val="14"/>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sz val="11"/>
      <name val="Calibri"/>
      <family val="2"/>
    </font>
    <font>
      <sz val="14"/>
      <color rgb="FF000000"/>
      <name val="Calibri"/>
      <family val="2"/>
      <scheme val="minor"/>
    </font>
    <font>
      <sz val="11"/>
      <name val="Calibri"/>
    </font>
    <font>
      <sz val="11"/>
      <color theme="1"/>
      <name val="Calibri"/>
      <family val="2"/>
      <charset val="163"/>
      <scheme val="minor"/>
    </font>
    <font>
      <sz val="12"/>
      <color theme="1"/>
      <name val="Times New Roman"/>
      <family val="2"/>
    </font>
    <font>
      <sz val="11"/>
      <name val="Calibri"/>
      <family val="2"/>
      <scheme val="minor"/>
    </font>
    <font>
      <sz val="14"/>
      <name val="Times New Roman"/>
      <family val="1"/>
    </font>
    <font>
      <sz val="14"/>
      <name val="Calibri"/>
      <family val="2"/>
      <scheme val="minor"/>
    </font>
    <font>
      <sz val="10"/>
      <color theme="1"/>
      <name val="Times New Roman"/>
      <family val="1"/>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Times New Roman"/>
      <family val="1"/>
    </font>
    <font>
      <sz val="11"/>
      <name val="Times New Roman"/>
      <family val="1"/>
    </font>
  </fonts>
  <fills count="38">
    <fill>
      <patternFill patternType="none"/>
    </fill>
    <fill>
      <patternFill patternType="gray125"/>
    </fill>
    <fill>
      <patternFill patternType="solid">
        <fgColor theme="0" tint="-0.14996795556505021"/>
        <bgColor auto="1"/>
      </patternFill>
    </fill>
    <fill>
      <patternFill patternType="solid">
        <fgColor theme="0" tint="-0.14996795556505021"/>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theme="2"/>
      </left>
      <right/>
      <top style="thin">
        <color theme="2"/>
      </top>
      <bottom/>
      <diagonal/>
    </border>
    <border>
      <left/>
      <right/>
      <top style="thin">
        <color theme="2"/>
      </top>
      <bottom/>
      <diagonal/>
    </border>
    <border>
      <left style="thin">
        <color theme="2"/>
      </left>
      <right/>
      <top/>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style="thin">
        <color theme="2"/>
      </top>
      <bottom style="thin">
        <color theme="2"/>
      </bottom>
      <diagonal/>
    </border>
    <border>
      <left style="thin">
        <color rgb="FFE7E6E6"/>
      </left>
      <right style="thin">
        <color rgb="FFE7E6E6"/>
      </right>
      <top style="thin">
        <color rgb="FFE7E6E6"/>
      </top>
      <bottom style="thin">
        <color rgb="FFE7E6E6"/>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76">
    <xf numFmtId="0" fontId="0" fillId="0" borderId="0"/>
    <xf numFmtId="43" fontId="1" fillId="0" borderId="0" applyFont="0" applyFill="0" applyBorder="0" applyAlignment="0" applyProtection="0"/>
    <xf numFmtId="0" fontId="2" fillId="0" borderId="0"/>
    <xf numFmtId="9" fontId="1" fillId="0" borderId="0" applyFont="0" applyFill="0" applyBorder="0" applyAlignment="0" applyProtection="0"/>
    <xf numFmtId="164" fontId="1" fillId="0" borderId="0" applyFont="0" applyFill="0" applyBorder="0" applyAlignment="0" applyProtection="0"/>
    <xf numFmtId="0" fontId="7" fillId="0" borderId="0"/>
    <xf numFmtId="0" fontId="9" fillId="0" borderId="0"/>
    <xf numFmtId="43" fontId="7" fillId="0" borderId="0" applyFont="0" applyFill="0" applyBorder="0" applyAlignment="0" applyProtection="0"/>
    <xf numFmtId="0" fontId="11" fillId="0" borderId="0"/>
    <xf numFmtId="9" fontId="7" fillId="0" borderId="0" applyFont="0" applyFill="0" applyBorder="0" applyAlignment="0" applyProtection="0"/>
    <xf numFmtId="166"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167" fontId="1" fillId="0" borderId="0" applyFont="0" applyFill="0" applyBorder="0" applyAlignment="0" applyProtection="0"/>
    <xf numFmtId="9" fontId="1" fillId="0" borderId="0" applyFont="0" applyFill="0" applyBorder="0" applyAlignment="0" applyProtection="0"/>
    <xf numFmtId="0" fontId="7" fillId="0" borderId="0"/>
    <xf numFmtId="167" fontId="7"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0" fillId="0" borderId="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0" fillId="7" borderId="0" applyNumberFormat="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13" applyNumberFormat="0" applyAlignment="0" applyProtection="0"/>
    <xf numFmtId="0" fontId="24" fillId="11" borderId="14" applyNumberFormat="0" applyAlignment="0" applyProtection="0"/>
    <xf numFmtId="0" fontId="25" fillId="11" borderId="13" applyNumberFormat="0" applyAlignment="0" applyProtection="0"/>
    <xf numFmtId="0" fontId="26" fillId="0" borderId="15" applyNumberFormat="0" applyFill="0" applyAlignment="0" applyProtection="0"/>
    <xf numFmtId="0" fontId="27" fillId="12" borderId="16" applyNumberFormat="0" applyAlignment="0" applyProtection="0"/>
    <xf numFmtId="0" fontId="28" fillId="0" borderId="0" applyNumberFormat="0" applyFill="0" applyBorder="0" applyAlignment="0" applyProtection="0"/>
    <xf numFmtId="0" fontId="1" fillId="13" borderId="17" applyNumberFormat="0" applyFont="0" applyAlignment="0" applyProtection="0"/>
    <xf numFmtId="0" fontId="29" fillId="0" borderId="0" applyNumberFormat="0" applyFill="0" applyBorder="0" applyAlignment="0" applyProtection="0"/>
    <xf numFmtId="0" fontId="4" fillId="0" borderId="18" applyNumberFormat="0" applyFill="0" applyAlignment="0" applyProtection="0"/>
    <xf numFmtId="0" fontId="3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0"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cellStyleXfs>
  <cellXfs count="92">
    <xf numFmtId="0" fontId="0" fillId="0" borderId="0" xfId="0"/>
    <xf numFmtId="0" fontId="3" fillId="0" borderId="0" xfId="0" applyFont="1" applyAlignment="1">
      <alignment horizontal="center" vertical="center"/>
    </xf>
    <xf numFmtId="43" fontId="3" fillId="0" borderId="0" xfId="1" applyFont="1" applyAlignment="1">
      <alignment horizontal="center" vertical="center"/>
    </xf>
    <xf numFmtId="0" fontId="3" fillId="0" borderId="0" xfId="0" applyFont="1" applyAlignment="1">
      <alignment vertical="center"/>
    </xf>
    <xf numFmtId="49" fontId="3" fillId="0" borderId="0" xfId="0" applyNumberFormat="1" applyFont="1" applyAlignment="1">
      <alignment vertical="center"/>
    </xf>
    <xf numFmtId="43" fontId="3" fillId="0" borderId="0" xfId="1" applyFont="1" applyAlignment="1">
      <alignment vertical="center"/>
    </xf>
    <xf numFmtId="43" fontId="3" fillId="0" borderId="0" xfId="0" applyNumberFormat="1" applyFont="1" applyAlignment="1">
      <alignment vertical="center"/>
    </xf>
    <xf numFmtId="0" fontId="3" fillId="0" borderId="0" xfId="0" applyFont="1"/>
    <xf numFmtId="43" fontId="3" fillId="0" borderId="0" xfId="1" applyFont="1"/>
    <xf numFmtId="49" fontId="0" fillId="0" borderId="1" xfId="0" applyNumberFormat="1" applyBorder="1"/>
    <xf numFmtId="0" fontId="0" fillId="0" borderId="1" xfId="0" applyBorder="1"/>
    <xf numFmtId="49" fontId="0" fillId="0" borderId="2" xfId="0" applyNumberFormat="1" applyBorder="1"/>
    <xf numFmtId="0" fontId="4" fillId="2" borderId="0" xfId="0" applyFont="1" applyFill="1"/>
    <xf numFmtId="0" fontId="4" fillId="2" borderId="3" xfId="0" applyFont="1" applyFill="1" applyBorder="1"/>
    <xf numFmtId="49" fontId="0" fillId="0" borderId="0" xfId="0" applyNumberFormat="1"/>
    <xf numFmtId="49" fontId="0" fillId="0" borderId="3" xfId="0" applyNumberFormat="1" applyBorder="1"/>
    <xf numFmtId="0" fontId="0" fillId="0" borderId="3" xfId="0" applyBorder="1"/>
    <xf numFmtId="0" fontId="4" fillId="3" borderId="5" xfId="0" applyFont="1" applyFill="1" applyBorder="1"/>
    <xf numFmtId="0" fontId="6" fillId="0" borderId="0" xfId="0" applyFont="1"/>
    <xf numFmtId="0" fontId="4" fillId="0" borderId="0" xfId="0" applyFont="1"/>
    <xf numFmtId="49" fontId="3" fillId="0" borderId="0" xfId="0" applyNumberFormat="1" applyFont="1"/>
    <xf numFmtId="0" fontId="0" fillId="0" borderId="4" xfId="0" applyBorder="1"/>
    <xf numFmtId="0" fontId="0" fillId="0" borderId="2" xfId="0" applyBorder="1"/>
    <xf numFmtId="49" fontId="3" fillId="4" borderId="0" xfId="0" applyNumberFormat="1" applyFont="1" applyFill="1" applyAlignment="1">
      <alignment vertical="center"/>
    </xf>
    <xf numFmtId="165" fontId="3" fillId="0" borderId="0" xfId="0" applyNumberFormat="1" applyFont="1" applyAlignment="1">
      <alignment horizontal="center" vertical="center"/>
    </xf>
    <xf numFmtId="165" fontId="3" fillId="0" borderId="0" xfId="0" applyNumberFormat="1" applyFont="1" applyAlignment="1">
      <alignment vertical="center"/>
    </xf>
    <xf numFmtId="0" fontId="3" fillId="0" borderId="6" xfId="0" applyFont="1" applyBorder="1"/>
    <xf numFmtId="0" fontId="3" fillId="4" borderId="0" xfId="0" applyFont="1" applyFill="1" applyAlignment="1">
      <alignment vertical="center"/>
    </xf>
    <xf numFmtId="43" fontId="3" fillId="4" borderId="0" xfId="0" applyNumberFormat="1" applyFont="1" applyFill="1" applyAlignment="1">
      <alignment vertical="center"/>
    </xf>
    <xf numFmtId="165" fontId="3" fillId="4" borderId="4" xfId="1" applyNumberFormat="1" applyFont="1" applyFill="1" applyBorder="1" applyAlignment="1">
      <alignment vertical="center"/>
    </xf>
    <xf numFmtId="43" fontId="3" fillId="4" borderId="0" xfId="1" applyFont="1" applyFill="1" applyBorder="1" applyAlignment="1">
      <alignment vertical="center"/>
    </xf>
    <xf numFmtId="1" fontId="0" fillId="0" borderId="1" xfId="0" applyNumberFormat="1" applyBorder="1"/>
    <xf numFmtId="1" fontId="0" fillId="0" borderId="3" xfId="0" applyNumberFormat="1" applyBorder="1"/>
    <xf numFmtId="1" fontId="0" fillId="0" borderId="3" xfId="0" quotePrefix="1" applyNumberFormat="1" applyBorder="1"/>
    <xf numFmtId="0" fontId="8" fillId="0" borderId="7" xfId="0" applyFont="1" applyBorder="1" applyAlignment="1">
      <alignment vertical="center"/>
    </xf>
    <xf numFmtId="0" fontId="3" fillId="0" borderId="0" xfId="0" quotePrefix="1" applyFont="1"/>
    <xf numFmtId="0" fontId="9" fillId="0" borderId="0" xfId="6"/>
    <xf numFmtId="0" fontId="12" fillId="0" borderId="0" xfId="6" applyFont="1"/>
    <xf numFmtId="165" fontId="3" fillId="0" borderId="0" xfId="1" applyNumberFormat="1" applyFont="1" applyAlignment="1">
      <alignment vertical="center"/>
    </xf>
    <xf numFmtId="0" fontId="3" fillId="0" borderId="0" xfId="0" quotePrefix="1" applyFont="1" applyAlignment="1">
      <alignment vertical="center"/>
    </xf>
    <xf numFmtId="165" fontId="3" fillId="5" borderId="4" xfId="1" applyNumberFormat="1" applyFont="1" applyFill="1" applyBorder="1" applyAlignment="1">
      <alignment vertical="center"/>
    </xf>
    <xf numFmtId="49" fontId="3" fillId="5" borderId="0" xfId="0" applyNumberFormat="1" applyFont="1" applyFill="1" applyAlignment="1">
      <alignment vertical="center"/>
    </xf>
    <xf numFmtId="0" fontId="3" fillId="5" borderId="0" xfId="0" applyFont="1" applyFill="1" applyAlignment="1">
      <alignment vertical="center"/>
    </xf>
    <xf numFmtId="43" fontId="3" fillId="5" borderId="0" xfId="1" applyFont="1" applyFill="1" applyAlignment="1">
      <alignment vertical="center"/>
    </xf>
    <xf numFmtId="43" fontId="3" fillId="5" borderId="0" xfId="0" applyNumberFormat="1" applyFont="1" applyFill="1" applyAlignment="1">
      <alignment vertical="center"/>
    </xf>
    <xf numFmtId="49" fontId="0" fillId="0" borderId="2" xfId="6" applyNumberFormat="1" applyFont="1" applyBorder="1"/>
    <xf numFmtId="49" fontId="0" fillId="0" borderId="0" xfId="6" applyNumberFormat="1" applyFont="1"/>
    <xf numFmtId="0" fontId="7" fillId="0" borderId="0" xfId="6" applyFont="1"/>
    <xf numFmtId="1" fontId="0" fillId="0" borderId="1" xfId="0" quotePrefix="1" applyNumberFormat="1" applyBorder="1"/>
    <xf numFmtId="49" fontId="0" fillId="6" borderId="2" xfId="6" applyNumberFormat="1" applyFont="1" applyFill="1" applyBorder="1"/>
    <xf numFmtId="0" fontId="12" fillId="6" borderId="0" xfId="6" applyFont="1" applyFill="1"/>
    <xf numFmtId="165" fontId="3" fillId="0" borderId="0" xfId="1" applyNumberFormat="1" applyFont="1" applyFill="1" applyBorder="1" applyAlignment="1">
      <alignment vertical="center"/>
    </xf>
    <xf numFmtId="0" fontId="3" fillId="0" borderId="0" xfId="6" applyFont="1" applyAlignment="1">
      <alignment vertical="center"/>
    </xf>
    <xf numFmtId="43" fontId="3" fillId="0" borderId="0" xfId="1" applyFont="1" applyFill="1" applyBorder="1" applyAlignment="1">
      <alignment vertical="center"/>
    </xf>
    <xf numFmtId="43" fontId="3" fillId="0" borderId="0" xfId="1" applyFont="1" applyAlignment="1"/>
    <xf numFmtId="9" fontId="3" fillId="4" borderId="0" xfId="3" applyFont="1" applyFill="1" applyBorder="1" applyAlignment="1"/>
    <xf numFmtId="9" fontId="3" fillId="0" borderId="0" xfId="3" applyFont="1" applyAlignment="1"/>
    <xf numFmtId="9" fontId="3" fillId="5" borderId="0" xfId="3" applyFont="1" applyFill="1" applyAlignment="1"/>
    <xf numFmtId="9" fontId="3" fillId="0" borderId="0" xfId="3" applyFont="1" applyFill="1" applyBorder="1" applyAlignment="1"/>
    <xf numFmtId="9" fontId="13" fillId="0" borderId="0" xfId="9" quotePrefix="1" applyFont="1" applyFill="1" applyBorder="1" applyAlignment="1"/>
    <xf numFmtId="9" fontId="13" fillId="0" borderId="0" xfId="9" applyFont="1" applyFill="1" applyBorder="1" applyAlignment="1"/>
    <xf numFmtId="165" fontId="14" fillId="0" borderId="0" xfId="1" applyNumberFormat="1" applyFont="1" applyFill="1" applyBorder="1" applyAlignment="1">
      <alignment vertical="center"/>
    </xf>
    <xf numFmtId="49" fontId="14" fillId="0" borderId="0" xfId="0" applyNumberFormat="1" applyFont="1" applyAlignment="1">
      <alignment vertical="center"/>
    </xf>
    <xf numFmtId="0" fontId="14" fillId="0" borderId="0" xfId="6" applyFont="1" applyAlignment="1">
      <alignment vertical="center"/>
    </xf>
    <xf numFmtId="0" fontId="14" fillId="0" borderId="0" xfId="0" applyFont="1" applyAlignment="1">
      <alignment vertical="center"/>
    </xf>
    <xf numFmtId="43" fontId="14" fillId="0" borderId="0" xfId="1" applyFont="1" applyFill="1" applyBorder="1" applyAlignment="1">
      <alignment vertical="center"/>
    </xf>
    <xf numFmtId="43" fontId="14" fillId="0" borderId="0" xfId="0" applyNumberFormat="1" applyFont="1" applyAlignment="1">
      <alignment vertical="center"/>
    </xf>
    <xf numFmtId="9" fontId="14" fillId="0" borderId="0" xfId="3" applyFont="1" applyFill="1" applyBorder="1" applyAlignment="1"/>
    <xf numFmtId="0" fontId="14" fillId="0" borderId="6" xfId="6" applyFont="1" applyBorder="1" applyAlignment="1">
      <alignment vertical="center"/>
    </xf>
    <xf numFmtId="49" fontId="0" fillId="6" borderId="0" xfId="6" applyNumberFormat="1" applyFont="1" applyFill="1"/>
    <xf numFmtId="0" fontId="3" fillId="0" borderId="9" xfId="6" applyFont="1" applyBorder="1" applyAlignment="1">
      <alignment vertical="center"/>
    </xf>
    <xf numFmtId="165" fontId="3" fillId="0" borderId="0" xfId="1" applyNumberFormat="1" applyFont="1" applyBorder="1" applyAlignment="1">
      <alignment vertical="center"/>
    </xf>
    <xf numFmtId="0" fontId="3" fillId="0" borderId="8" xfId="6" applyFont="1" applyBorder="1" applyAlignment="1">
      <alignment vertical="center"/>
    </xf>
    <xf numFmtId="9" fontId="3" fillId="0" borderId="0" xfId="3" applyFont="1" applyBorder="1" applyAlignment="1"/>
    <xf numFmtId="43" fontId="3" fillId="0" borderId="0" xfId="1" applyFont="1" applyBorder="1" applyAlignment="1">
      <alignment vertical="center"/>
    </xf>
    <xf numFmtId="0" fontId="15" fillId="0" borderId="9" xfId="6" applyFont="1" applyBorder="1" applyAlignment="1">
      <alignment vertical="center"/>
    </xf>
    <xf numFmtId="0" fontId="9" fillId="6" borderId="0" xfId="6" applyFill="1"/>
    <xf numFmtId="0" fontId="3" fillId="0" borderId="8" xfId="6" applyFont="1" applyBorder="1" applyAlignment="1">
      <alignment horizontal="center" vertical="center"/>
    </xf>
    <xf numFmtId="0" fontId="12" fillId="0" borderId="0" xfId="6" quotePrefix="1" applyFont="1"/>
    <xf numFmtId="0" fontId="31" fillId="0" borderId="8" xfId="6" applyFont="1" applyBorder="1"/>
    <xf numFmtId="43" fontId="3" fillId="0" borderId="0" xfId="1" applyFont="1" applyBorder="1"/>
    <xf numFmtId="0" fontId="0" fillId="0" borderId="0" xfId="0" applyAlignment="1">
      <alignment horizontal="left"/>
    </xf>
    <xf numFmtId="0" fontId="32" fillId="0" borderId="0" xfId="6" quotePrefix="1" applyFont="1" applyAlignment="1">
      <alignment horizontal="left" vertical="center"/>
    </xf>
    <xf numFmtId="49" fontId="0" fillId="0" borderId="0" xfId="0" applyNumberFormat="1" applyAlignment="1">
      <alignment horizontal="left"/>
    </xf>
    <xf numFmtId="0" fontId="31" fillId="0" borderId="9" xfId="6" applyFont="1" applyBorder="1"/>
    <xf numFmtId="0" fontId="0" fillId="0" borderId="0" xfId="0" quotePrefix="1" applyAlignment="1">
      <alignment horizontal="left"/>
    </xf>
    <xf numFmtId="0" fontId="32" fillId="0" borderId="0" xfId="6" quotePrefix="1" applyFont="1" applyAlignment="1">
      <alignment horizontal="center" vertical="center"/>
    </xf>
    <xf numFmtId="0" fontId="3" fillId="0" borderId="9" xfId="6" applyFont="1" applyBorder="1" applyAlignment="1">
      <alignment horizontal="center" vertical="center"/>
    </xf>
    <xf numFmtId="0" fontId="32" fillId="0" borderId="0" xfId="6" applyFont="1"/>
    <xf numFmtId="0" fontId="3" fillId="0" borderId="0" xfId="0" applyNumberFormat="1" applyFont="1" applyBorder="1" applyAlignment="1">
      <alignment vertical="center"/>
    </xf>
    <xf numFmtId="43" fontId="3" fillId="0" borderId="0" xfId="0" applyNumberFormat="1" applyFont="1" applyBorder="1" applyAlignment="1">
      <alignment vertical="center"/>
    </xf>
    <xf numFmtId="0" fontId="3" fillId="0" borderId="0" xfId="0" applyFont="1" applyBorder="1" applyAlignment="1">
      <alignment vertical="center"/>
    </xf>
  </cellXfs>
  <cellStyles count="176">
    <cellStyle name="20% - Accent1 2" xfId="131" xr:uid="{6728DD18-95DD-4712-AB29-97560206F5AB}"/>
    <cellStyle name="20% - Accent2 2" xfId="135" xr:uid="{18B118C9-3699-4389-8619-86F8E2C7DA94}"/>
    <cellStyle name="20% - Accent3 2" xfId="139" xr:uid="{7C41D797-C324-4DB3-B03B-2A2887CA0F82}"/>
    <cellStyle name="20% - Accent4 2" xfId="143" xr:uid="{FC715CF8-F44B-4AC4-B40F-22ECB1DF0752}"/>
    <cellStyle name="20% - Accent5 2" xfId="147" xr:uid="{CD25056D-213B-4BD1-8592-6C2FEAC6F927}"/>
    <cellStyle name="20% - Accent6 2" xfId="151" xr:uid="{8CC429FB-AF4E-42B9-98A1-0387E64BF909}"/>
    <cellStyle name="40% - Accent1 2" xfId="132" xr:uid="{F1D04528-7B62-449F-AFA4-BFD5D97ACE7E}"/>
    <cellStyle name="40% - Accent2 2" xfId="136" xr:uid="{7C1FA6B4-8767-4274-9310-D39D44BEB4C4}"/>
    <cellStyle name="40% - Accent3 2" xfId="140" xr:uid="{4A6EB2E9-AB0F-4041-A99F-47B5EA16F494}"/>
    <cellStyle name="40% - Accent4 2" xfId="144" xr:uid="{07F24525-7E01-4BCF-BC0B-D064AAE6950B}"/>
    <cellStyle name="40% - Accent5 2" xfId="148" xr:uid="{20D79DFE-E275-4E5C-831F-608E4275C672}"/>
    <cellStyle name="40% - Accent6 2" xfId="152" xr:uid="{45107A22-99A9-4AAA-A1B8-1A733BF9AC29}"/>
    <cellStyle name="60% - Accent1 2" xfId="133" xr:uid="{3084A254-5FAA-469A-830E-7C2B8784A8DF}"/>
    <cellStyle name="60% - Accent2 2" xfId="137" xr:uid="{396C8CA7-812E-4D2F-8DBC-0D6BA8AFA2A1}"/>
    <cellStyle name="60% - Accent3 2" xfId="141" xr:uid="{280649AA-EC00-446C-ADDE-5AAC839AFF70}"/>
    <cellStyle name="60% - Accent4 2" xfId="145" xr:uid="{9A10F59F-9BEE-4FFE-8968-2EB611A6B314}"/>
    <cellStyle name="60% - Accent5 2" xfId="149" xr:uid="{DDF1189F-D3F6-46B1-A875-BC43ECC5742D}"/>
    <cellStyle name="60% - Accent6 2" xfId="153" xr:uid="{3D88E486-4760-4D90-9C9C-5C5AAA82B553}"/>
    <cellStyle name="Accent1 2" xfId="130" xr:uid="{D35F8F58-26DD-4F52-9EEA-D22581B3E7E7}"/>
    <cellStyle name="Accent2 2" xfId="134" xr:uid="{18A76B67-E820-43C0-B073-9C449A479E60}"/>
    <cellStyle name="Accent3 2" xfId="138" xr:uid="{A7647E87-9300-4A14-A269-109BEE1BDC6C}"/>
    <cellStyle name="Accent4 2" xfId="142" xr:uid="{BA3B912C-EE48-4089-A1AA-2B65CF0CA047}"/>
    <cellStyle name="Accent5 2" xfId="146" xr:uid="{C871634C-6C23-4677-BBC2-011AC59B9F31}"/>
    <cellStyle name="Accent6 2" xfId="150" xr:uid="{88970F74-7932-4990-B9F5-41F9C0B5CA67}"/>
    <cellStyle name="Bad 2" xfId="119" xr:uid="{17CE4125-09B9-4040-87CD-64F0F4F86F69}"/>
    <cellStyle name="Calculation 2" xfId="123" xr:uid="{13C75F79-6AC1-4DC4-92FF-3052B8BE950E}"/>
    <cellStyle name="Check Cell 2" xfId="125" xr:uid="{F0F2CB6E-CD2B-47CD-81CF-EC22F9510E47}"/>
    <cellStyle name="Comma" xfId="1" builtinId="3"/>
    <cellStyle name="Comma [0] 2" xfId="10" xr:uid="{2401179A-4BCF-4B0B-9019-92565103D68C}"/>
    <cellStyle name="Comma 10" xfId="20" xr:uid="{F15E1B1C-4465-45DD-BCFF-F8DC99EA9312}"/>
    <cellStyle name="Comma 10 2" xfId="48" xr:uid="{7A33C4E9-2F91-4A17-AA81-DE335AF81139}"/>
    <cellStyle name="Comma 11" xfId="21" xr:uid="{E6B81E52-C423-410B-A4B6-58D59F05E81C}"/>
    <cellStyle name="Comma 11 2" xfId="49" xr:uid="{FDC8AAE9-C8B6-416F-8C3B-AEDC93157B84}"/>
    <cellStyle name="Comma 12" xfId="22" xr:uid="{35A047DF-4E5D-4DEF-9DF7-358B7D9C916F}"/>
    <cellStyle name="Comma 12 2" xfId="50" xr:uid="{26878374-FA4E-410F-99F5-CA299153097E}"/>
    <cellStyle name="Comma 13" xfId="23" xr:uid="{4370E1F0-EF22-4D16-B6EA-5E127EA501E5}"/>
    <cellStyle name="Comma 13 2" xfId="51" xr:uid="{653DBCB7-BEB0-43A2-B2B2-A6CB2D73AD40}"/>
    <cellStyle name="Comma 14" xfId="24" xr:uid="{8F263337-28CF-443E-9A66-A712BA59AA65}"/>
    <cellStyle name="Comma 14 2" xfId="52" xr:uid="{E7ECC2AA-E051-49AD-A20A-EC28C7F2BCCC}"/>
    <cellStyle name="Comma 15" xfId="25" xr:uid="{6582DA0D-5A8F-4052-B2DB-9ACD23AD1E49}"/>
    <cellStyle name="Comma 15 2" xfId="53" xr:uid="{3CE2696D-657C-4106-8707-45622E7F6AB2}"/>
    <cellStyle name="Comma 16" xfId="26" xr:uid="{7E3748F7-B4FF-4719-A8D0-1AB8810F3CC3}"/>
    <cellStyle name="Comma 16 2" xfId="54" xr:uid="{16D46E54-0B15-459D-AA9F-890CAF5527C6}"/>
    <cellStyle name="Comma 17" xfId="27" xr:uid="{3E0701E2-1F90-43EE-96F6-342D5AB284FB}"/>
    <cellStyle name="Comma 17 2" xfId="55" xr:uid="{BCCC3ACA-BB8C-4183-B36E-993E192F13E7}"/>
    <cellStyle name="Comma 18" xfId="28" xr:uid="{069AF3A1-1815-4A91-B1FB-1872B51BFD3C}"/>
    <cellStyle name="Comma 18 2" xfId="56" xr:uid="{D35B72E1-B736-4444-9D73-D6880331AB68}"/>
    <cellStyle name="Comma 19" xfId="29" xr:uid="{8C9AAC0E-4CA2-457B-A43D-5DBDD7ECC6D1}"/>
    <cellStyle name="Comma 19 2" xfId="57" xr:uid="{6A4105A2-0883-458D-B27B-E8D077A5FFD2}"/>
    <cellStyle name="Comma 2" xfId="7" xr:uid="{A7D928DD-234E-4526-9B29-C38899145D95}"/>
    <cellStyle name="Comma 2 2" xfId="38" xr:uid="{0A12E3B2-9735-48F9-8686-ADEDE07B009A}"/>
    <cellStyle name="Comma 20" xfId="30" xr:uid="{3E010A55-A5E3-4757-B83E-3E5946888672}"/>
    <cellStyle name="Comma 20 2" xfId="58" xr:uid="{B778CA08-CDA6-4F8C-813B-7F5F2DB82DD9}"/>
    <cellStyle name="Comma 21" xfId="31" xr:uid="{F9822601-D7B6-43FC-9E59-09AE6D57C8EA}"/>
    <cellStyle name="Comma 21 2" xfId="59" xr:uid="{319A25A8-9138-4D43-8703-30A3276BE65C}"/>
    <cellStyle name="Comma 22" xfId="32" xr:uid="{287715D1-BEA3-4E03-A1F1-651C8ED5836F}"/>
    <cellStyle name="Comma 22 2" xfId="60" xr:uid="{01BF177E-0E3E-4A22-B172-FACFE879DCAC}"/>
    <cellStyle name="Comma 23" xfId="35" xr:uid="{86A596C6-10A9-48FC-9F10-9AE89736E83B}"/>
    <cellStyle name="Comma 24" xfId="33" xr:uid="{471450B6-B109-454B-A460-1F612E396455}"/>
    <cellStyle name="Comma 25" xfId="61" xr:uid="{0DCE1A1B-4AFE-442D-B727-D2C93198F9D6}"/>
    <cellStyle name="Comma 26" xfId="62" xr:uid="{EF5C7F08-6086-4E8F-B6DD-2A31CC1A3B4A}"/>
    <cellStyle name="Comma 27" xfId="63" xr:uid="{D66E1833-DCBE-42C8-A2F4-582C10C8B2B7}"/>
    <cellStyle name="Comma 28" xfId="64" xr:uid="{7CBCE5E2-1A87-485A-B9C0-08FC8BFE44FD}"/>
    <cellStyle name="Comma 29" xfId="65" xr:uid="{69E460B9-2B22-4730-A3D9-8DCF718A5BAD}"/>
    <cellStyle name="Comma 3" xfId="11" xr:uid="{7CAE09A2-1246-42CA-87E8-B7B8767E542C}"/>
    <cellStyle name="Comma 3 12" xfId="12" xr:uid="{41567916-7AF6-40E2-9232-BB0A82E118F9}"/>
    <cellStyle name="Comma 3 12 2" xfId="40" xr:uid="{773A7D3A-5FB1-4C77-AFCE-525036584843}"/>
    <cellStyle name="Comma 3 2" xfId="4" xr:uid="{A23925FA-D688-4876-BF15-5D3D9AAA4425}"/>
    <cellStyle name="Comma 3 3" xfId="39" xr:uid="{9D7BB092-E0EC-4625-9177-B3E4EC5AA220}"/>
    <cellStyle name="Comma 30" xfId="66" xr:uid="{C2C95240-B968-46B1-A3AC-27A60AB5A340}"/>
    <cellStyle name="Comma 31" xfId="67" xr:uid="{CB868E0A-F2B8-44F0-B82C-168F1AE70F2F}"/>
    <cellStyle name="Comma 32" xfId="69" xr:uid="{A7755AB6-E5BC-4D0C-8E10-940FC03E5A1F}"/>
    <cellStyle name="Comma 33" xfId="68" xr:uid="{F8200C3A-2B0A-4610-BC21-7E515CE899CA}"/>
    <cellStyle name="Comma 34" xfId="70" xr:uid="{02269D0D-3816-407D-BE03-759D9910BF92}"/>
    <cellStyle name="Comma 35" xfId="71" xr:uid="{03E387E9-B47F-4C89-B6B5-084EC1C7C6C6}"/>
    <cellStyle name="Comma 36" xfId="72" xr:uid="{0C632719-017D-4676-845B-C5A701B2AC18}"/>
    <cellStyle name="Comma 37" xfId="73" xr:uid="{77CD043D-88E3-47DE-BEAC-D12370DF31F6}"/>
    <cellStyle name="Comma 38" xfId="74" xr:uid="{C3DF2877-46A8-4A89-A77E-DD450CDBBCC6}"/>
    <cellStyle name="Comma 39" xfId="75" xr:uid="{670808CF-70B4-46C9-8E21-5E2708593101}"/>
    <cellStyle name="Comma 4" xfId="14" xr:uid="{8BE3AA67-75C5-4922-B7B6-8D77EA00E14B}"/>
    <cellStyle name="Comma 4 2" xfId="42" xr:uid="{B622284A-8145-4683-AF08-29A9C346471F}"/>
    <cellStyle name="Comma 40" xfId="76" xr:uid="{F48B203C-D3A2-4560-96A8-AABDDE8054B6}"/>
    <cellStyle name="Comma 41" xfId="78" xr:uid="{FB8DE7E3-776B-414A-A55E-5D06844CF825}"/>
    <cellStyle name="Comma 42" xfId="77" xr:uid="{57B6ABA0-A7CF-4022-9149-D9AD0DADA1ED}"/>
    <cellStyle name="Comma 43" xfId="81" xr:uid="{356E5464-8D3D-4FBA-AEFE-0D659E3CFF40}"/>
    <cellStyle name="Comma 44" xfId="83" xr:uid="{E9CBCE6C-56EB-44B4-9E76-B037ADF5C4F5}"/>
    <cellStyle name="Comma 45" xfId="82" xr:uid="{B61E8999-2F08-43B5-8EEC-1367C54EC8E6}"/>
    <cellStyle name="Comma 46" xfId="79" xr:uid="{8BD37245-530C-47B4-80C7-7813D71EA316}"/>
    <cellStyle name="Comma 47" xfId="85" xr:uid="{484408D5-0D4D-470C-9697-78448267A0B2}"/>
    <cellStyle name="Comma 48" xfId="80" xr:uid="{9E80484E-B1C5-4ED3-B9DB-91161019ADEA}"/>
    <cellStyle name="Comma 49" xfId="84" xr:uid="{5B9840A7-063F-46E8-A72E-FFA40F084864}"/>
    <cellStyle name="Comma 5" xfId="15" xr:uid="{1B99EEE7-5E30-4784-98C8-9499A561C663}"/>
    <cellStyle name="Comma 5 2" xfId="43" xr:uid="{5E98A66B-C47E-4748-916F-DBBA7ABEDDD3}"/>
    <cellStyle name="Comma 50" xfId="86" xr:uid="{227BD671-D173-4673-B9E4-A12BEE434EF5}"/>
    <cellStyle name="Comma 51" xfId="87" xr:uid="{CB03CFD8-30C8-4605-9DF7-E1AB6C1E5F0E}"/>
    <cellStyle name="Comma 52" xfId="88" xr:uid="{DCA8E439-9BD1-4DDA-ABBA-8D138D008817}"/>
    <cellStyle name="Comma 53" xfId="89" xr:uid="{188525D3-DA24-4CF4-86BD-465413882047}"/>
    <cellStyle name="Comma 54" xfId="90" xr:uid="{A2837A56-692A-4C1E-9DA8-477138256835}"/>
    <cellStyle name="Comma 55" xfId="91" xr:uid="{A88F9A11-9457-4B81-BF86-A6CE7FDC16A4}"/>
    <cellStyle name="Comma 56" xfId="93" xr:uid="{A4262E99-E396-4262-BB9C-214C14727B3B}"/>
    <cellStyle name="Comma 57" xfId="92" xr:uid="{BF6534E2-7D50-4ABF-BAD1-11A50E61FD7A}"/>
    <cellStyle name="Comma 58" xfId="94" xr:uid="{0B4E5061-4068-43C8-9BBB-A8F92C7FA0C3}"/>
    <cellStyle name="Comma 59" xfId="95" xr:uid="{9DC874F5-1541-4DCF-B58E-91BA60348ABB}"/>
    <cellStyle name="Comma 6" xfId="16" xr:uid="{264B1648-479B-4CBF-99BC-6ED439AAD40F}"/>
    <cellStyle name="Comma 6 2" xfId="44" xr:uid="{C7CCA391-BAD2-4A8C-A555-847B2DDDA020}"/>
    <cellStyle name="Comma 60" xfId="96" xr:uid="{2752FE94-B343-43A8-8350-0124E15BFA37}"/>
    <cellStyle name="Comma 61" xfId="97" xr:uid="{16C3F919-53F6-4279-AAF6-07AB24CE4822}"/>
    <cellStyle name="Comma 62" xfId="98" xr:uid="{430ACA8B-95FA-403C-9E22-8762B42979AA}"/>
    <cellStyle name="Comma 63" xfId="99" xr:uid="{596A3BFE-C160-4DE0-B84F-140238215DFE}"/>
    <cellStyle name="Comma 64" xfId="100" xr:uid="{F0DAE03D-31BF-4C5D-BCAA-894A5BB1E63A}"/>
    <cellStyle name="Comma 65" xfId="101" xr:uid="{AE7D7906-2216-4244-81BC-C5C00887980D}"/>
    <cellStyle name="Comma 66" xfId="102" xr:uid="{54AB5A07-CE0F-49D4-B3F6-B9CEA5229DC0}"/>
    <cellStyle name="Comma 67" xfId="103" xr:uid="{93743E15-58E7-4124-8833-E026C695B646}"/>
    <cellStyle name="Comma 68" xfId="106" xr:uid="{89795695-965F-4AC4-B873-FA23632F63E9}"/>
    <cellStyle name="Comma 69" xfId="105" xr:uid="{8E65EF79-6266-4429-870C-900F1C7631A2}"/>
    <cellStyle name="Comma 7" xfId="17" xr:uid="{B33DB79A-149E-4510-909C-176CF8DF7E23}"/>
    <cellStyle name="Comma 7 2" xfId="45" xr:uid="{57650B51-34E5-4A04-B637-F1B1EC7FA664}"/>
    <cellStyle name="Comma 70" xfId="104" xr:uid="{BE344AB0-E1E5-421B-8BDE-8B98A5A13743}"/>
    <cellStyle name="Comma 71" xfId="107" xr:uid="{D431D6D9-6E7A-453C-A299-190302EF8F58}"/>
    <cellStyle name="Comma 72" xfId="108" xr:uid="{4AB4E8A5-96F6-4525-9DFA-BE5E09771365}"/>
    <cellStyle name="Comma 73" xfId="109" xr:uid="{4ABD5AA6-EBAB-44AE-AEE5-3C93B5EEB756}"/>
    <cellStyle name="Comma 74" xfId="110" xr:uid="{06F71D52-E052-4560-A6C2-F30C7CF6B778}"/>
    <cellStyle name="Comma 75" xfId="111" xr:uid="{19A155D9-6854-49D4-8EFD-449065B7A45A}"/>
    <cellStyle name="Comma 76" xfId="112" xr:uid="{1DC7D538-D97B-4E90-B6A2-C9B3694D6DC2}"/>
    <cellStyle name="Comma 77" xfId="154" xr:uid="{D2B465CB-8FF6-43FE-9605-FC503CB4A0E1}"/>
    <cellStyle name="Comma 78" xfId="155" xr:uid="{26ABC112-C8D9-4E91-A57B-6A25F9CC73CC}"/>
    <cellStyle name="Comma 79" xfId="156" xr:uid="{F1E30603-363F-4565-9DD8-7EBD15FE1254}"/>
    <cellStyle name="Comma 8" xfId="18" xr:uid="{22C37695-9BA3-485C-8644-E00F7306C625}"/>
    <cellStyle name="Comma 8 2" xfId="46" xr:uid="{923B7DB6-3A80-43E6-A91D-EC4C7A3F3324}"/>
    <cellStyle name="Comma 80" xfId="161" xr:uid="{8A559757-8F44-43C7-96DF-2A01A5DA65CC}"/>
    <cellStyle name="Comma 81" xfId="162" xr:uid="{FDAE8DA7-08DB-4BC8-B64A-01B2E9F8C965}"/>
    <cellStyle name="Comma 82" xfId="160" xr:uid="{B3ED4347-7F38-4442-BF87-E62B21DCE1FF}"/>
    <cellStyle name="Comma 83" xfId="159" xr:uid="{EA7FE874-CE5C-4FB7-8E60-B7C79CB11A2A}"/>
    <cellStyle name="Comma 84" xfId="158" xr:uid="{401BE5B8-5EC4-4606-BBC6-92689B7ED867}"/>
    <cellStyle name="Comma 85" xfId="157" xr:uid="{F41ABDA1-C899-4927-9FF6-C0D1B59CDD3D}"/>
    <cellStyle name="Comma 86" xfId="163" xr:uid="{69060652-7CE8-4ECD-8454-D4EFD7740B9E}"/>
    <cellStyle name="Comma 87" xfId="164" xr:uid="{DA3B57DD-C3DE-4C71-A1FF-D3BB785E0FED}"/>
    <cellStyle name="Comma 88" xfId="165" xr:uid="{32B9089F-249E-463F-9422-29D618FCD5D1}"/>
    <cellStyle name="Comma 89" xfId="166" xr:uid="{AFE57F86-98FC-47A4-AB06-6F3C2F8DF8AF}"/>
    <cellStyle name="Comma 9" xfId="19" xr:uid="{2875765B-C21C-466E-9062-CB80136F02D0}"/>
    <cellStyle name="Comma 9 2" xfId="47" xr:uid="{305AF4E2-BD49-4AA5-9F65-7BEABA28F9AA}"/>
    <cellStyle name="Comma 90" xfId="167" xr:uid="{8218FB35-1111-4978-877E-F84F52C23BF2}"/>
    <cellStyle name="Comma 91" xfId="168" xr:uid="{5B7FA0FB-791D-4516-93F9-F30EEA52B2CB}"/>
    <cellStyle name="Comma 92" xfId="169" xr:uid="{BB0EBD49-B60C-4060-9A4E-32FB43C792BE}"/>
    <cellStyle name="Comma 93" xfId="170" xr:uid="{A9B1572B-EFAA-4470-824B-729FF07D6A17}"/>
    <cellStyle name="Comma 94" xfId="171" xr:uid="{0CF19B44-106E-4D6D-9710-4DF2E090F901}"/>
    <cellStyle name="Comma 95" xfId="172" xr:uid="{46FDA1AA-924B-4294-AA4E-EB1F8B312AE1}"/>
    <cellStyle name="Comma 96" xfId="173" xr:uid="{AB9D4946-83CB-4AA5-8790-F564BE6F3AC8}"/>
    <cellStyle name="Comma 97" xfId="175" xr:uid="{330232F1-7CCE-4979-AF41-6F9BBF7A2D6A}"/>
    <cellStyle name="Comma 98" xfId="174" xr:uid="{67C25893-336B-497E-9D42-3815894E2DE3}"/>
    <cellStyle name="Explanatory Text 2" xfId="128" xr:uid="{E5F9348E-6823-4F3A-90A2-0B46CCF69CC8}"/>
    <cellStyle name="Good 2" xfId="118" xr:uid="{6AE097EC-CC26-4A05-BBE0-7EF6265B459A}"/>
    <cellStyle name="Heading 1 2" xfId="114" xr:uid="{D6FFC42B-1AD6-4447-8D67-5CF33FE5D20B}"/>
    <cellStyle name="Heading 2 2" xfId="115" xr:uid="{A4626F53-0F21-474D-9905-88B93BB389A4}"/>
    <cellStyle name="Heading 3 2" xfId="116" xr:uid="{B5D2AD46-991A-42F4-9791-62B9B545533B}"/>
    <cellStyle name="Heading 4 2" xfId="117" xr:uid="{D4745540-C30F-466D-AF80-734420709BDC}"/>
    <cellStyle name="Input 2" xfId="121" xr:uid="{82794A8F-EADD-4207-B5C0-B9B560B0C492}"/>
    <cellStyle name="Linked Cell 2" xfId="124" xr:uid="{7084857C-C6C8-4220-8142-DA5E0945B2CD}"/>
    <cellStyle name="Neutral 2" xfId="120" xr:uid="{DC782675-35DA-406D-AD25-9422D3583189}"/>
    <cellStyle name="Normal" xfId="0" builtinId="0"/>
    <cellStyle name="Normal 161" xfId="2" xr:uid="{CC9F605B-0172-4EC6-B012-8476AA34BE80}"/>
    <cellStyle name="Normal 2" xfId="5" xr:uid="{D2CAADC5-1669-4251-9E25-F8011EE922E6}"/>
    <cellStyle name="Normal 3" xfId="8" xr:uid="{3E589679-BD0F-412C-8485-884A0EA31FDB}"/>
    <cellStyle name="Normal 4" xfId="13" xr:uid="{8E3FF80B-E93C-44C2-B997-D81D142DFB7D}"/>
    <cellStyle name="Normal 4 2" xfId="41" xr:uid="{05EE663C-D409-4CBE-B10F-C1F8931D88A1}"/>
    <cellStyle name="Normal 5" xfId="6" xr:uid="{A63B3256-0F3B-4F0C-836F-FC363EDE4F5A}"/>
    <cellStyle name="Normal 5 2" xfId="37" xr:uid="{BE201046-F8BC-41F6-9FA4-E79D5DE3F205}"/>
    <cellStyle name="Normal 6" xfId="34" xr:uid="{982F94CE-9D42-42E8-8B2D-57DDE44DACAC}"/>
    <cellStyle name="Note 2" xfId="127" xr:uid="{D4A6F2B5-5A9D-41F0-BDF1-CB8FD7F0D7C0}"/>
    <cellStyle name="Output 2" xfId="122" xr:uid="{25489317-D458-42E8-ADC4-6669A0739B9F}"/>
    <cellStyle name="Percent" xfId="3" builtinId="5"/>
    <cellStyle name="Percent 2" xfId="9" xr:uid="{F7704816-F71E-4B16-8374-BAFDC397824E}"/>
    <cellStyle name="Percent 3" xfId="36" xr:uid="{B1044FCA-8450-4C78-B2BD-61D0803C7968}"/>
    <cellStyle name="Title 2" xfId="113" xr:uid="{D3D60B09-A36C-44D9-93CC-9F7A6C4CB8BA}"/>
    <cellStyle name="Total 2" xfId="129" xr:uid="{3A44C9A8-FF03-4F59-A2EB-B4A2636B6002}"/>
    <cellStyle name="Warning Text 2" xfId="126" xr:uid="{E718B73E-32A7-4D63-9013-6FD172796C74}"/>
  </cellStyles>
  <dxfs count="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font>
        <b/>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theme="2"/>
        </left>
        <right/>
        <top style="thin">
          <color theme="2"/>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2"/>
        </top>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theme="2"/>
        </left>
        <right/>
        <top style="thin">
          <color theme="2"/>
        </top>
        <bottom/>
      </border>
    </dxf>
    <dxf>
      <font>
        <b val="0"/>
        <i val="0"/>
        <strike val="0"/>
        <condense val="0"/>
        <extend val="0"/>
        <outline val="0"/>
        <shadow val="0"/>
        <u val="none"/>
        <vertAlign val="baseline"/>
        <sz val="11"/>
        <color theme="1"/>
        <name val="Calibri"/>
        <family val="2"/>
        <scheme val="minor"/>
      </font>
      <border diagonalUp="0" diagonalDown="0" outline="0">
        <left style="thin">
          <color theme="2"/>
        </left>
        <right style="thin">
          <color theme="2"/>
        </right>
        <top style="thin">
          <color theme="2"/>
        </top>
        <bottom/>
      </border>
    </dxf>
    <dxf>
      <font>
        <b val="0"/>
        <i val="0"/>
        <strike val="0"/>
        <condense val="0"/>
        <extend val="0"/>
        <outline val="0"/>
        <shadow val="0"/>
        <u val="none"/>
        <vertAlign val="baseline"/>
        <sz val="11"/>
        <color theme="1"/>
        <name val="Calibri"/>
        <family val="2"/>
        <scheme val="minor"/>
      </font>
      <border diagonalUp="0" diagonalDown="0">
        <left style="thin">
          <color theme="2"/>
        </left>
        <right/>
        <top style="thin">
          <color theme="2"/>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style="thin">
          <color theme="2"/>
        </left>
        <right/>
        <top style="thin">
          <color theme="2"/>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2"/>
        </top>
        <bottom/>
        <vertical/>
        <horizontal/>
      </border>
    </dxf>
    <dxf>
      <fill>
        <patternFill patternType="solid">
          <fgColor rgb="FFFFC7CE"/>
          <bgColor rgb="FF000000"/>
        </patternFill>
      </fill>
    </dxf>
    <dxf>
      <border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0" tint="-0.14996795556505021"/>
        </patternFill>
      </fill>
      <border diagonalUp="0" diagonalDown="0" outline="0">
        <left style="thin">
          <color theme="2"/>
        </left>
        <right style="thin">
          <color theme="2"/>
        </right>
        <top/>
        <bottom/>
      </border>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4"/>
        <color theme="1"/>
        <name val="Calibri"/>
        <family val="2"/>
        <scheme val="minor"/>
      </font>
      <numFmt numFmtId="0" formatCode="General"/>
      <alignment vertical="center" textRotation="0" wrapText="0" indent="0" justifyLastLine="0" shrinkToFit="0" readingOrder="0"/>
    </dxf>
    <dxf>
      <font>
        <strike val="0"/>
        <outline val="0"/>
        <shadow val="0"/>
        <u val="none"/>
        <vertAlign val="baseline"/>
        <sz val="14"/>
        <color theme="1"/>
        <name val="Calibri"/>
        <family val="2"/>
        <scheme val="minor"/>
      </font>
      <alignment vertical="center" textRotation="0" wrapText="0" indent="0" justifyLastLine="0" shrinkToFit="0" readingOrder="0"/>
    </dxf>
    <dxf>
      <font>
        <strike val="0"/>
        <outline val="0"/>
        <shadow val="0"/>
        <u val="none"/>
        <vertAlign val="baseline"/>
        <sz val="14"/>
        <color theme="1"/>
        <name val="Calibri"/>
        <family val="2"/>
        <scheme val="minor"/>
      </font>
      <numFmt numFmtId="0" formatCode="General"/>
      <alignment vertical="center" textRotation="0" wrapText="0" indent="0" justifyLastLine="0" shrinkToFit="0" readingOrder="0"/>
    </dxf>
    <dxf>
      <font>
        <strike val="0"/>
        <outline val="0"/>
        <shadow val="0"/>
        <u val="none"/>
        <vertAlign val="baseline"/>
        <sz val="14"/>
        <color theme="1"/>
        <name val="Calibri"/>
        <family val="2"/>
        <scheme val="minor"/>
      </font>
      <alignment vertical="center" textRotation="0" wrapText="0" indent="0" justifyLastLine="0" shrinkToFit="0" readingOrder="0"/>
    </dxf>
    <dxf>
      <font>
        <strike val="0"/>
        <outline val="0"/>
        <shadow val="0"/>
        <u val="none"/>
        <vertAlign val="baseline"/>
        <sz val="14"/>
        <color theme="1"/>
        <name val="Calibri"/>
        <family val="2"/>
        <scheme val="minor"/>
      </font>
      <numFmt numFmtId="35" formatCode="_(* #,##0.00_);_(* \(#,##0.00\);_(* &quot;-&quot;??_);_(@_)"/>
      <alignment vertical="center" textRotation="0" wrapText="0" indent="0" justifyLastLine="0" shrinkToFit="0" readingOrder="0"/>
    </dxf>
    <dxf>
      <font>
        <strike val="0"/>
        <outline val="0"/>
        <shadow val="0"/>
        <u val="none"/>
        <vertAlign val="baseline"/>
        <sz val="14"/>
        <color theme="1"/>
        <name val="Calibri"/>
        <family val="2"/>
        <scheme val="minor"/>
      </font>
      <numFmt numFmtId="35" formatCode="_(* #,##0.00_);_(* \(#,##0.00\);_(* &quot;-&quot;??_);_(@_)"/>
      <alignment vertical="center" textRotation="0" wrapText="0" indent="0" justifyLastLine="0" shrinkToFit="0" readingOrder="0"/>
    </dxf>
    <dxf>
      <font>
        <strike val="0"/>
        <outline val="0"/>
        <shadow val="0"/>
        <u val="none"/>
        <vertAlign val="baseline"/>
        <sz val="14"/>
        <color theme="1"/>
        <name val="Calibri"/>
        <family val="2"/>
        <scheme val="minor"/>
      </font>
      <alignment horizontal="general" vertical="bottom" textRotation="0" wrapText="0" indent="0" justifyLastLine="0" shrinkToFit="0" readingOrder="0"/>
    </dxf>
    <dxf>
      <font>
        <strike val="0"/>
        <outline val="0"/>
        <shadow val="0"/>
        <u val="none"/>
        <vertAlign val="baseline"/>
        <sz val="14"/>
        <color theme="1"/>
        <name val="Calibri"/>
        <family val="2"/>
        <scheme val="minor"/>
      </font>
      <alignment vertical="center" textRotation="0" wrapText="0" indent="0" justifyLastLine="0" shrinkToFit="0" readingOrder="0"/>
    </dxf>
    <dxf>
      <font>
        <strike val="0"/>
        <outline val="0"/>
        <shadow val="0"/>
        <u val="none"/>
        <vertAlign val="baseline"/>
        <sz val="14"/>
        <color theme="1"/>
        <name val="Calibri"/>
        <family val="2"/>
        <scheme val="minor"/>
      </font>
      <numFmt numFmtId="0" formatCode="General"/>
      <alignment vertical="center" textRotation="0" wrapText="0" indent="0" justifyLastLine="0" shrinkToFit="0" readingOrder="0"/>
    </dxf>
    <dxf>
      <font>
        <strike val="0"/>
        <outline val="0"/>
        <shadow val="0"/>
        <u val="none"/>
        <vertAlign val="baseline"/>
        <sz val="14"/>
        <color theme="1"/>
        <name val="Calibri"/>
        <family val="2"/>
        <scheme val="minor"/>
      </font>
      <numFmt numFmtId="0" formatCode="General"/>
      <alignment vertical="center" textRotation="0" wrapText="0" indent="0" justifyLastLine="0" shrinkToFit="0" readingOrder="0"/>
    </dxf>
    <dxf>
      <font>
        <strike val="0"/>
        <outline val="0"/>
        <shadow val="0"/>
        <u val="none"/>
        <vertAlign val="baseline"/>
        <sz val="14"/>
        <color theme="1"/>
        <name val="Calibri"/>
        <family val="2"/>
        <scheme val="minor"/>
      </font>
      <alignment vertical="center" textRotation="0" wrapText="0" indent="0" justifyLastLine="0" shrinkToFit="0" readingOrder="0"/>
    </dxf>
    <dxf>
      <font>
        <strike val="0"/>
        <outline val="0"/>
        <shadow val="0"/>
        <u val="none"/>
        <vertAlign val="baseline"/>
        <sz val="14"/>
        <color theme="1"/>
        <name val="Calibri"/>
        <family val="2"/>
        <scheme val="minor"/>
      </font>
      <numFmt numFmtId="30" formatCode="@"/>
      <alignment vertical="center" textRotation="0" wrapText="0" indent="0" justifyLastLine="0" shrinkToFit="0" readingOrder="0"/>
    </dxf>
    <dxf>
      <font>
        <strike val="0"/>
        <outline val="0"/>
        <shadow val="0"/>
        <u val="none"/>
        <vertAlign val="baseline"/>
        <sz val="14"/>
        <color theme="1"/>
        <name val="Calibri"/>
        <family val="2"/>
        <scheme val="minor"/>
      </font>
      <numFmt numFmtId="30" formatCode="@"/>
      <alignment vertical="center" textRotation="0" wrapText="0" indent="0" justifyLastLine="0" shrinkToFit="0" readingOrder="0"/>
    </dxf>
    <dxf>
      <font>
        <strike val="0"/>
        <outline val="0"/>
        <shadow val="0"/>
        <u val="none"/>
        <vertAlign val="baseline"/>
        <sz val="14"/>
        <color theme="1"/>
        <name val="Calibri"/>
        <family val="2"/>
        <scheme val="minor"/>
      </font>
      <numFmt numFmtId="30" formatCode="@"/>
      <alignment vertical="center" textRotation="0" wrapText="0" indent="0" justifyLastLine="0" shrinkToFit="0" readingOrder="0"/>
    </dxf>
    <dxf>
      <font>
        <strike val="0"/>
        <outline val="0"/>
        <shadow val="0"/>
        <u val="none"/>
        <vertAlign val="baseline"/>
        <sz val="14"/>
        <color theme="1"/>
        <name val="Calibri"/>
        <family val="2"/>
        <scheme val="minor"/>
      </font>
      <numFmt numFmtId="30" formatCode="@"/>
      <alignment vertical="center" textRotation="0" wrapText="0" indent="0" justifyLastLine="0" shrinkToFit="0" readingOrder="0"/>
    </dxf>
    <dxf>
      <font>
        <strike val="0"/>
        <outline val="0"/>
        <shadow val="0"/>
        <u val="none"/>
        <vertAlign val="baseline"/>
        <sz val="14"/>
        <color theme="1"/>
        <name val="Calibri"/>
        <family val="2"/>
        <scheme val="minor"/>
      </font>
      <numFmt numFmtId="30" formatCode="@"/>
      <alignment vertical="center" textRotation="0" wrapText="0" indent="0" justifyLastLine="0" shrinkToFit="0" readingOrder="0"/>
    </dxf>
    <dxf>
      <font>
        <strike val="0"/>
        <outline val="0"/>
        <shadow val="0"/>
        <u val="none"/>
        <vertAlign val="baseline"/>
        <sz val="14"/>
        <color theme="1"/>
        <name val="Calibri"/>
        <family val="2"/>
        <scheme val="minor"/>
      </font>
      <numFmt numFmtId="165" formatCode="_(* #,##0_);_(* \(#,##0\);_(* &quot;-&quot;??_);_(@_)"/>
      <alignment vertical="center" textRotation="0" wrapText="0" indent="0" justifyLastLine="0" shrinkToFit="0" readingOrder="0"/>
    </dxf>
    <dxf>
      <font>
        <strike val="0"/>
        <outline val="0"/>
        <shadow val="0"/>
        <u val="none"/>
        <vertAlign val="baseline"/>
        <sz val="14"/>
        <color theme="1"/>
        <name val="Calibri"/>
        <family val="2"/>
        <scheme val="minor"/>
      </font>
      <alignment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b/>
        <i val="0"/>
        <color theme="1"/>
      </font>
      <fill>
        <patternFill patternType="solid">
          <fgColor auto="1"/>
          <bgColor theme="0" tint="-0.14996795556505021"/>
        </patternFill>
      </fill>
    </dxf>
    <dxf>
      <font>
        <color theme="1"/>
      </font>
      <border diagonalUp="0" diagonalDown="0">
        <left style="thin">
          <color theme="2"/>
        </left>
        <right style="thin">
          <color theme="2"/>
        </right>
        <top style="thin">
          <color theme="2"/>
        </top>
        <bottom style="thin">
          <color theme="2"/>
        </bottom>
        <vertical style="thin">
          <color theme="2"/>
        </vertical>
        <horizontal style="thin">
          <color theme="2"/>
        </horizontal>
      </border>
    </dxf>
  </dxfs>
  <tableStyles count="1" defaultTableStyle="TableStyleMedium2" defaultPivotStyle="PivotStyleLight16">
    <tableStyle name="custom" pivot="0" count="2" xr9:uid="{2D2C139C-49A1-4622-A803-3E63FC5B6572}">
      <tableStyleElement type="wholeTable" dxfId="87"/>
      <tableStyleElement type="headerRow" dxfId="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8A31DE-44B5-4FD4-AF0D-622ABE4C2630}" autoFormatId="16" applyNumberFormats="0" applyBorderFormats="0" applyFontFormats="0" applyPatternFormats="0" applyAlignmentFormats="0" applyWidthHeightFormats="0">
  <queryTableRefresh nextId="10">
    <queryTableFields count="5">
      <queryTableField id="1" name="product_code" tableColumnId="1"/>
      <queryTableField id="2" name="product_name" tableColumnId="2"/>
      <queryTableField id="5" name="ds_dv" tableColumnId="5"/>
      <queryTableField id="6" name="oem_dv_ds" tableColumnId="6"/>
      <queryTableField id="4" name="cost_center_ref"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5509459-E3D4-4643-81CB-059A017BA239}" name="product" displayName="product" ref="A1:E982" tableType="queryTable" totalsRowShown="0">
  <autoFilter ref="A1:E982" xr:uid="{E5509459-E3D4-4643-81CB-059A017BA239}">
    <filterColumn colId="4">
      <filters>
        <filter val="Food Đức Việt"/>
      </filters>
    </filterColumn>
  </autoFilter>
  <tableColumns count="5">
    <tableColumn id="1" xr3:uid="{CE6305D2-B0A2-4AF4-AD54-51B9EE8E31D7}" uniqueName="1" name="Mã sản phẩm" queryTableFieldId="1" dataDxfId="66"/>
    <tableColumn id="2" xr3:uid="{78C0B3DE-4B0D-4F42-9CFB-367331B55B6E}" uniqueName="2" name="Tên sản phẩm" queryTableFieldId="2" dataDxfId="65"/>
    <tableColumn id="5" xr3:uid="{D7C71052-76A0-4EA7-B624-4A9D6A76F616}" uniqueName="5" name="DS - ĐV" queryTableFieldId="5" dataDxfId="64"/>
    <tableColumn id="6" xr3:uid="{72988F07-60F3-4EC8-982D-E631DB13AFBA}" uniqueName="6" name="OEM - DS - ĐV" queryTableFieldId="6" dataDxfId="63"/>
    <tableColumn id="4" xr3:uid="{06E26DB5-D709-41AE-8B98-A826C58C4A64}" uniqueName="4" name="MSG - DS - NK - ĐV" queryTableFieldId="4" dataDxfId="6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19FBBD-8E6F-4E05-ADAF-92119CAB6842}" name="gia_goc" displayName="gia_goc" ref="A1:E237" totalsRowShown="0" headerRowDxfId="61" dataDxfId="60">
  <tableColumns count="5">
    <tableColumn id="1" xr3:uid="{2C40A1CB-C46A-4153-AED9-D8B01B3B1FDF}" name="Mã Barcode" dataDxfId="59"/>
    <tableColumn id="2" xr3:uid="{7456A678-F847-47ED-94C4-3C260C1552F3}" name="Mã sản phẩm" dataDxfId="58"/>
    <tableColumn id="3" xr3:uid="{8F00D34E-5FF5-4B46-92CA-973A13BE3354}" name="Tên sản phẩm" dataDxfId="57"/>
    <tableColumn id="4" xr3:uid="{E1BC9259-7622-4555-971D-35D04B656BA5}" name="Giá gốc" dataDxfId="56" dataCellStyle="Comma"/>
    <tableColumn id="5" xr3:uid="{8D11E962-8D0A-471C-A0EB-B80959C9286A}" name="Hệ thống" dataDxfId="55"/>
  </tableColumns>
  <tableStyleInfo name="custom"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91B42-8F26-4CD6-A17C-B756C46AFE85}" name="gia_khuyen_mai" displayName="gia_khuyen_mai" ref="A1:Q231" totalsRowShown="0" headerRowDxfId="85" dataDxfId="84">
  <tableColumns count="17">
    <tableColumn id="16" xr3:uid="{3D638095-6A4C-4457-8987-56DFEC602049}" name="STT" dataDxfId="83" dataCellStyle="Comma">
      <calculatedColumnFormula>ROW()-1</calculatedColumnFormula>
    </tableColumn>
    <tableColumn id="1" xr3:uid="{CC8C6505-F6F3-49A5-990D-1D05F3C2A523}" name="Tên chương trình" dataDxfId="82"/>
    <tableColumn id="14" xr3:uid="{3CF3F57A-B7A9-4949-A2CD-7559736D578A}" name="Hệ thống" dataDxfId="81"/>
    <tableColumn id="13" xr3:uid="{914695FE-C4D2-4760-9B39-7E39BA176931}" name="Phạm vi" dataDxfId="80"/>
    <tableColumn id="7" xr3:uid="{0C5B54E1-CC44-4C58-883F-6EBB8D8B1560}" name="Ngày áp dụng" dataDxfId="79"/>
    <tableColumn id="6" xr3:uid="{E46FE077-A7BC-483C-9EC5-579E67208DED}" name="Ngày kết thúc" dataDxfId="78"/>
    <tableColumn id="8" xr3:uid="{38AD0AB6-8448-4FA9-90AD-E00435DC7105}" name="Barcode" dataDxfId="77"/>
    <tableColumn id="2" xr3:uid="{4F907A79-C404-45B8-8865-DAA53BD2BB5D}" name="Mã sản phẩm" dataDxfId="76">
      <calculatedColumnFormula>VLOOKUP(gia_khuyen_mai[[#This Row],[Barcode]],'Giá gốc'!$A:$B,2,0)</calculatedColumnFormula>
    </tableColumn>
    <tableColumn id="3" xr3:uid="{57D313CB-E05B-4C62-8D7B-1FBA1B603426}" name="Tên sản phẩm" dataDxfId="75">
      <calculatedColumnFormula>VLOOKUP(gia_khuyen_mai[[#This Row],[Mã sản phẩm]],'Giá gốc'!$B:$C,2,0)</calculatedColumnFormula>
    </tableColumn>
    <tableColumn id="4" xr3:uid="{4AC2CD1B-6CAA-414B-9586-47FBFA9FD3E7}" name="Giá gốc" dataDxfId="74" dataCellStyle="Comma">
      <calculatedColumnFormula>VLOOKUP(gia_khuyen_mai[[#This Row],[Mã sản phẩm]],'Giá gốc'!B:D,3,0)</calculatedColumnFormula>
    </tableColumn>
    <tableColumn id="9" xr3:uid="{BDE7683A-2B2E-4466-A858-7FCBDF8E1EF8}" name="% Giảm giá" dataDxfId="73" dataCellStyle="Percent"/>
    <tableColumn id="10" xr3:uid="{1727AD9F-F93C-4F3F-9A11-6C9525D5465E}" name="Giá khuyến mại" dataDxfId="72">
      <calculatedColumnFormula>ROUND((1-gia_khuyen_mai[[#This Row],[% Giảm giá]]) * gia_khuyen_mai[[#This Row],[Giá gốc]], 0)</calculatedColumnFormula>
    </tableColumn>
    <tableColumn id="15" xr3:uid="{309C4649-C5E5-488F-93A8-AF4DAA76C571}" name="Chương trình KM" dataDxfId="71"/>
    <tableColumn id="11" xr3:uid="{553C2C7E-2BDB-4322-B663-ED2D77F94C90}" name="Mã hàng tặng" dataDxfId="70"/>
    <tableColumn id="12" xr3:uid="{9B83A596-C597-4BF6-B840-6CC6C33B0988}" name="Tên hàng tặng" dataDxfId="69">
      <calculatedColumnFormula>IFERROR(VLOOKUP(gia_khuyen_mai[[#This Row],[Mã hàng tặng]],'Giá gốc'!B:C,2,0),"")</calculatedColumnFormula>
    </tableColumn>
    <tableColumn id="5" xr3:uid="{B98AE93A-CC51-433B-8429-C4A7F7A0D0B0}" name="Chương trình KAM" dataDxfId="68"/>
    <tableColumn id="17" xr3:uid="{622106C7-5406-4E9B-B608-2AEC51135AC8}" name="Loại hàng" dataDxfId="67">
      <calculatedColumnFormula>VLOOKUP(gia_khuyen_mai[[#This Row],[Mã sản phẩm]],product[[Mã sản phẩm]:[DS - ĐV]],3,0)</calculatedColumnFormula>
    </tableColumn>
  </tableColumns>
  <tableStyleInfo name="custom"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7F0F5EE-2F1D-459B-92FB-EFC41AE732A7}" name="Table8" displayName="Table8" ref="A1:I4171" totalsRowShown="0" headerRowDxfId="54" dataDxfId="53" tableBorderDxfId="52">
  <sortState xmlns:xlrd2="http://schemas.microsoft.com/office/spreadsheetml/2017/richdata2" ref="A2:I3619">
    <sortCondition sortBy="cellColor" ref="A1:A3619" dxfId="51"/>
  </sortState>
  <tableColumns count="9">
    <tableColumn id="1" xr3:uid="{E1F7E384-0140-4EA8-AFCB-ED63BFF6E92D}" name="Mã điểm giao" dataDxfId="50"/>
    <tableColumn id="2" xr3:uid="{BC28FE72-0CF1-4B29-91F8-C1D1AFC0DADB}" name="Hệ thống" dataDxfId="49"/>
    <tableColumn id="3" xr3:uid="{1076D369-316B-4E90-8B17-68A6B514BCB4}" name="Tên điểm giao" dataDxfId="48"/>
    <tableColumn id="4" xr3:uid="{6DE5C7D4-E5DE-478F-AB4D-F95EA4269F49}" name="Địa chỉ điểm giao" dataDxfId="47"/>
    <tableColumn id="5" xr3:uid="{9E7B3702-4CDD-48E4-A385-947AA2B1546E}" name="Mã khách hàng" dataDxfId="46"/>
    <tableColumn id="6" xr3:uid="{F2ABDEAC-1268-4D68-9C33-21242C5DE7BE}" name="Tên khách hàng" dataDxfId="45">
      <calculatedColumnFormula>VLOOKUP(Table8[[#This Row],[Mã khách hàng]],code_khach_hang[],2,0)</calculatedColumnFormula>
    </tableColumn>
    <tableColumn id="7" xr3:uid="{C4E931ED-C444-4313-89B0-64B07C7D98EE}" name="Chi nhánh" dataDxfId="44">
      <calculatedColumnFormula>VLOOKUP(Table8[[#This Row],[Mã khách hàng]],code_khach_hang[],3,0)</calculatedColumnFormula>
    </tableColumn>
    <tableColumn id="8" xr3:uid="{595D2146-6C6E-4A4A-9D05-25AA528A9E5B}" name="Nhóm hàng" dataDxfId="43">
      <calculatedColumnFormula>VLOOKUP(Table8[[#This Row],[Mã khách hàng]],'Khách hàng'!A:D,4,0)</calculatedColumnFormula>
    </tableColumn>
    <tableColumn id="9" xr3:uid="{2C823544-9944-474B-AF19-F6B825C6503A}" name="Mã kho" dataDxfId="42">
      <calculatedColumnFormula>VLOOKUP(Table8[[#This Row],[Mã khách hàng]],'Khách hàng'!A:E,5,0)</calculatedColumnFormula>
    </tableColumn>
  </tableColumns>
  <tableStyleInfo name="custom"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010370-E91F-46B3-A07C-429D08F21C94}" name="code_khach_hang" displayName="code_khach_hang" ref="A1:E50" totalsRowShown="0">
  <autoFilter ref="A1:E50" xr:uid="{E1010370-E91F-46B3-A07C-429D08F21C94}"/>
  <tableColumns count="5">
    <tableColumn id="1" xr3:uid="{98DC09AD-9C6F-4C33-81B3-6095338A9E9B}" name="Mã khách hàng"/>
    <tableColumn id="2" xr3:uid="{1FAA61F1-0B3B-4743-9373-0F30DDC00341}" name="Tên khách hàng"/>
    <tableColumn id="3" xr3:uid="{5F7BC317-96FA-41DD-8FB7-9B03855CAD5B}" name="Chi nhánh"/>
    <tableColumn id="4" xr3:uid="{C9C29A16-47E7-42C5-91F8-8D2E0A6A8BE4}" name="Nhóm hàng"/>
    <tableColumn id="6" xr3:uid="{E32DCF7A-DBD5-41AC-B995-63C05D42AA03}" name="Mã kho"/>
  </tableColumns>
  <tableStyleInfo name="custom"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4B7DC14-4D96-4F6A-93B0-240DDB5AE081}" name="cost_center" displayName="cost_center" ref="A1:D15" totalsRowShown="0" headerRowDxfId="41">
  <autoFilter ref="A1:D15" xr:uid="{8FA0E4B9-551A-4B90-AE2E-123DBEFB915B}"/>
  <tableColumns count="4">
    <tableColumn id="2" xr3:uid="{D48BC9B3-774B-4457-A092-7FEB68AB3DA6}" name="Nhóm sản phẩm"/>
    <tableColumn id="3" xr3:uid="{9C4C8EB3-1460-4B07-AA95-9C52C170DCBC}" name="Chi nhánh"/>
    <tableColumn id="4" xr3:uid="{258C6346-9706-45A8-91E7-FC4D14781C29}" name="Cost center"/>
    <tableColumn id="5" xr3:uid="{D0DFC26C-A50D-430F-AE90-406466E0E3C0}" name="Tên" dataDxfId="4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C05F40-C363-4DCB-BE5D-0A0045F8B258}" name="Table3" displayName="Table3" ref="C1:C4" totalsRowShown="0" headerRowDxfId="39" dataDxfId="38">
  <autoFilter ref="C1:C4" xr:uid="{ADC05F40-C363-4DCB-BE5D-0A0045F8B258}"/>
  <tableColumns count="1">
    <tableColumn id="1" xr3:uid="{9D66A733-528A-41BB-A541-CCD75B87ADB0}" name="Hệ thống" dataDxfId="37"/>
  </tableColumns>
  <tableStyleInfo name="custom"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5BB425-C709-4E30-B692-C634F029F4C5}" name="Table4" displayName="Table4" ref="A1:A5" totalsRowShown="0" headerRowDxfId="36" dataDxfId="35">
  <autoFilter ref="A1:A5" xr:uid="{3E5BB425-C709-4E30-B692-C634F029F4C5}"/>
  <tableColumns count="1">
    <tableColumn id="1" xr3:uid="{8068B11E-DE88-4012-B8D2-4E3A6A990A5E}" name="Phạm vi" dataDxfId="34"/>
  </tableColumns>
  <tableStyleInfo name="custom"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D308E8-3B5F-4678-BE60-E71492E4098C}" name="chuong_trinh" displayName="chuong_trinh" ref="E1:E3" totalsRowShown="0" headerRowDxfId="33" dataDxfId="32">
  <autoFilter ref="E1:E3" xr:uid="{5AD308E8-3B5F-4678-BE60-E71492E4098C}"/>
  <tableColumns count="1">
    <tableColumn id="1" xr3:uid="{090FBE7C-3012-4BB8-B161-C8913DD3AD9B}" name="Chương trình KM" dataDxfId="31"/>
  </tableColumns>
  <tableStyleInfo name="custom"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05AE30-E17D-426D-B46F-6302B2466CAB}" name="Table6" displayName="Table6" ref="G1:G3" totalsRowShown="0" headerRowDxfId="30" dataDxfId="29">
  <autoFilter ref="G1:G3" xr:uid="{3805AE30-E17D-426D-B46F-6302B2466CAB}"/>
  <tableColumns count="1">
    <tableColumn id="1" xr3:uid="{4C6FE016-BD59-4F65-B58B-1F846720B07D}" name="DS-DV" dataDxfId="28"/>
  </tableColumns>
  <tableStyleInfo name="custom"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AFCDDEB-5F61-44C7-8FEA-25E7FC5990A5}" name="Table12" displayName="Table12" ref="I1:I5" totalsRowShown="0" headerRowDxfId="27" dataDxfId="26">
  <autoFilter ref="I1:I5" xr:uid="{1AFCDDEB-5F61-44C7-8FEA-25E7FC5990A5}"/>
  <tableColumns count="1">
    <tableColumn id="1" xr3:uid="{BCE62694-B0AC-41FE-8A09-62367A5AF0BA}" name="MSG - DS - NK - ĐV" dataDxfId="25"/>
  </tableColumns>
  <tableStyleInfo name="custom"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B961E9-913F-4CD7-B577-ADA7BAE73B05}" name="chi_nhanh" displayName="chi_nhanh" ref="K1:K9" totalsRowShown="0" headerRowDxfId="24" dataDxfId="23">
  <autoFilter ref="K1:K9" xr:uid="{7DB961E9-913F-4CD7-B577-ADA7BAE73B05}"/>
  <tableColumns count="1">
    <tableColumn id="1" xr3:uid="{A0E54596-C379-4875-893B-12BE27309887}" name="Chi nhánh" dataDxfId="22"/>
  </tableColumns>
  <tableStyleInfo name="custom"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87FC37B-C85C-411A-B67A-8746E3534E56}" name="Table1115" displayName="Table1115" ref="M1:N7" totalsRowShown="0" headerRowDxfId="21" dataDxfId="20">
  <autoFilter ref="M1:N7" xr:uid="{987FC37B-C85C-411A-B67A-8746E3534E56}"/>
  <tableColumns count="2">
    <tableColumn id="1" xr3:uid="{61A405FA-1C6E-42CE-B141-07C2E716B041}" name="Mã kho" dataDxfId="19"/>
    <tableColumn id="2" xr3:uid="{EB2F09D8-48CD-47D6-9999-FB85D9342F16}" name="Tên kho" dataDxfId="18"/>
  </tableColumns>
  <tableStyleInfo name="custom"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4872D-4664-4409-95D0-23F553E10470}">
  <sheetPr>
    <tabColor rgb="FFFFC000"/>
  </sheetPr>
  <dimension ref="A1:J982"/>
  <sheetViews>
    <sheetView topLeftCell="A793" zoomScale="115" zoomScaleNormal="115" workbookViewId="0">
      <selection activeCell="A817" sqref="A817"/>
    </sheetView>
  </sheetViews>
  <sheetFormatPr defaultRowHeight="15"/>
  <cols>
    <col min="1" max="1" width="14.140625" bestFit="1" customWidth="1"/>
    <col min="2" max="2" width="72.28515625" bestFit="1" customWidth="1"/>
    <col min="3" max="3" width="18" bestFit="1" customWidth="1"/>
    <col min="4" max="4" width="14.140625" bestFit="1" customWidth="1"/>
    <col min="5" max="5" width="18" bestFit="1" customWidth="1"/>
  </cols>
  <sheetData>
    <row r="1" spans="1:5">
      <c r="A1" t="s">
        <v>486</v>
      </c>
      <c r="B1" t="s">
        <v>487</v>
      </c>
      <c r="C1" t="s">
        <v>9365</v>
      </c>
      <c r="D1" t="s">
        <v>9366</v>
      </c>
      <c r="E1" t="s">
        <v>9367</v>
      </c>
    </row>
    <row r="2" spans="1:5">
      <c r="A2" s="85" t="s">
        <v>13246</v>
      </c>
      <c r="B2" t="s">
        <v>9368</v>
      </c>
      <c r="C2" t="s">
        <v>9369</v>
      </c>
      <c r="D2" t="s">
        <v>9369</v>
      </c>
      <c r="E2" t="s">
        <v>9369</v>
      </c>
    </row>
    <row r="3" spans="1:5">
      <c r="A3" s="81" t="s">
        <v>9370</v>
      </c>
      <c r="B3" t="s">
        <v>9371</v>
      </c>
      <c r="C3" t="s">
        <v>9369</v>
      </c>
      <c r="D3" t="s">
        <v>9369</v>
      </c>
      <c r="E3" t="s">
        <v>9369</v>
      </c>
    </row>
    <row r="4" spans="1:5">
      <c r="A4" s="81" t="s">
        <v>9372</v>
      </c>
      <c r="B4" t="s">
        <v>9373</v>
      </c>
      <c r="C4" t="s">
        <v>9369</v>
      </c>
      <c r="D4" t="s">
        <v>9369</v>
      </c>
      <c r="E4" t="s">
        <v>9369</v>
      </c>
    </row>
    <row r="5" spans="1:5">
      <c r="A5" s="81" t="s">
        <v>9374</v>
      </c>
      <c r="B5" t="s">
        <v>9375</v>
      </c>
      <c r="C5" t="s">
        <v>9369</v>
      </c>
      <c r="D5" t="s">
        <v>9369</v>
      </c>
      <c r="E5" t="s">
        <v>9369</v>
      </c>
    </row>
    <row r="6" spans="1:5" hidden="1">
      <c r="A6" t="s">
        <v>9376</v>
      </c>
      <c r="B6" t="s">
        <v>9377</v>
      </c>
      <c r="C6" t="s">
        <v>9378</v>
      </c>
      <c r="D6" t="s">
        <v>9378</v>
      </c>
      <c r="E6" t="s">
        <v>9378</v>
      </c>
    </row>
    <row r="7" spans="1:5">
      <c r="A7" s="81" t="s">
        <v>477</v>
      </c>
      <c r="B7" t="s">
        <v>9379</v>
      </c>
      <c r="C7" t="s">
        <v>9369</v>
      </c>
      <c r="D7" t="s">
        <v>9369</v>
      </c>
      <c r="E7" t="s">
        <v>9369</v>
      </c>
    </row>
    <row r="8" spans="1:5">
      <c r="A8" s="81" t="s">
        <v>480</v>
      </c>
      <c r="B8" t="s">
        <v>9380</v>
      </c>
      <c r="C8" t="s">
        <v>9369</v>
      </c>
      <c r="D8" t="s">
        <v>9369</v>
      </c>
      <c r="E8" t="s">
        <v>9369</v>
      </c>
    </row>
    <row r="9" spans="1:5" hidden="1">
      <c r="A9" t="s">
        <v>9381</v>
      </c>
      <c r="B9" t="s">
        <v>9382</v>
      </c>
      <c r="C9" t="s">
        <v>9378</v>
      </c>
      <c r="D9" t="s">
        <v>9378</v>
      </c>
      <c r="E9" t="s">
        <v>9378</v>
      </c>
    </row>
    <row r="10" spans="1:5">
      <c r="A10" s="81" t="s">
        <v>9383</v>
      </c>
      <c r="B10" t="s">
        <v>9384</v>
      </c>
      <c r="C10" t="s">
        <v>9369</v>
      </c>
      <c r="D10" t="s">
        <v>9369</v>
      </c>
      <c r="E10" t="s">
        <v>9369</v>
      </c>
    </row>
    <row r="11" spans="1:5">
      <c r="A11" s="81" t="s">
        <v>9385</v>
      </c>
      <c r="B11" t="s">
        <v>9386</v>
      </c>
      <c r="C11" t="s">
        <v>9369</v>
      </c>
      <c r="D11" t="s">
        <v>9369</v>
      </c>
      <c r="E11" t="s">
        <v>9369</v>
      </c>
    </row>
    <row r="12" spans="1:5" hidden="1">
      <c r="A12" t="s">
        <v>9387</v>
      </c>
      <c r="B12" t="s">
        <v>9388</v>
      </c>
      <c r="C12" t="s">
        <v>9378</v>
      </c>
      <c r="D12" t="s">
        <v>9378</v>
      </c>
      <c r="E12" t="s">
        <v>9378</v>
      </c>
    </row>
    <row r="13" spans="1:5" hidden="1">
      <c r="A13" t="s">
        <v>9389</v>
      </c>
      <c r="B13" t="s">
        <v>9390</v>
      </c>
      <c r="C13" t="s">
        <v>9378</v>
      </c>
      <c r="D13" t="s">
        <v>9378</v>
      </c>
      <c r="E13" t="s">
        <v>9378</v>
      </c>
    </row>
    <row r="14" spans="1:5" hidden="1">
      <c r="A14" t="s">
        <v>9391</v>
      </c>
      <c r="B14" t="s">
        <v>9392</v>
      </c>
      <c r="C14" t="s">
        <v>9378</v>
      </c>
      <c r="D14" t="s">
        <v>9378</v>
      </c>
      <c r="E14" t="s">
        <v>9378</v>
      </c>
    </row>
    <row r="15" spans="1:5" hidden="1">
      <c r="A15" t="s">
        <v>9393</v>
      </c>
      <c r="B15" t="s">
        <v>9394</v>
      </c>
      <c r="C15" t="s">
        <v>9378</v>
      </c>
      <c r="D15" t="s">
        <v>9378</v>
      </c>
      <c r="E15" t="s">
        <v>9378</v>
      </c>
    </row>
    <row r="16" spans="1:5" hidden="1">
      <c r="A16" t="s">
        <v>9395</v>
      </c>
      <c r="B16" t="s">
        <v>9396</v>
      </c>
      <c r="C16" t="s">
        <v>9378</v>
      </c>
      <c r="D16" t="s">
        <v>9378</v>
      </c>
      <c r="E16" t="s">
        <v>9353</v>
      </c>
    </row>
    <row r="17" spans="1:5" hidden="1">
      <c r="A17" t="s">
        <v>9397</v>
      </c>
      <c r="B17" t="s">
        <v>9398</v>
      </c>
      <c r="C17" t="s">
        <v>9378</v>
      </c>
      <c r="D17" t="s">
        <v>9378</v>
      </c>
      <c r="E17" t="s">
        <v>9353</v>
      </c>
    </row>
    <row r="18" spans="1:5" hidden="1">
      <c r="A18" t="s">
        <v>9399</v>
      </c>
      <c r="B18" t="s">
        <v>9400</v>
      </c>
      <c r="C18" t="s">
        <v>9378</v>
      </c>
      <c r="D18" t="s">
        <v>9378</v>
      </c>
      <c r="E18" t="s">
        <v>9353</v>
      </c>
    </row>
    <row r="19" spans="1:5" hidden="1">
      <c r="A19" t="s">
        <v>9401</v>
      </c>
      <c r="B19" t="s">
        <v>9402</v>
      </c>
      <c r="C19" t="s">
        <v>9378</v>
      </c>
      <c r="D19" t="s">
        <v>9378</v>
      </c>
      <c r="E19" t="s">
        <v>9378</v>
      </c>
    </row>
    <row r="20" spans="1:5" hidden="1">
      <c r="A20" t="s">
        <v>9403</v>
      </c>
      <c r="B20" t="s">
        <v>9404</v>
      </c>
      <c r="C20" t="s">
        <v>9378</v>
      </c>
      <c r="D20" t="s">
        <v>9378</v>
      </c>
      <c r="E20" t="s">
        <v>9405</v>
      </c>
    </row>
    <row r="21" spans="1:5" hidden="1">
      <c r="A21" t="s">
        <v>9406</v>
      </c>
      <c r="B21" t="s">
        <v>9407</v>
      </c>
      <c r="C21" t="s">
        <v>9378</v>
      </c>
      <c r="D21" t="s">
        <v>9378</v>
      </c>
      <c r="E21" t="s">
        <v>9378</v>
      </c>
    </row>
    <row r="22" spans="1:5" hidden="1">
      <c r="A22" t="s">
        <v>9408</v>
      </c>
      <c r="B22" t="s">
        <v>9409</v>
      </c>
      <c r="C22" t="s">
        <v>9378</v>
      </c>
      <c r="D22" t="s">
        <v>9378</v>
      </c>
      <c r="E22" t="s">
        <v>9378</v>
      </c>
    </row>
    <row r="23" spans="1:5" hidden="1">
      <c r="A23" t="s">
        <v>9410</v>
      </c>
      <c r="B23" t="s">
        <v>9411</v>
      </c>
      <c r="C23" t="s">
        <v>9378</v>
      </c>
      <c r="D23" t="s">
        <v>9378</v>
      </c>
      <c r="E23" t="s">
        <v>9378</v>
      </c>
    </row>
    <row r="24" spans="1:5" hidden="1">
      <c r="A24" t="s">
        <v>9412</v>
      </c>
      <c r="B24" t="s">
        <v>9413</v>
      </c>
      <c r="C24" t="s">
        <v>9378</v>
      </c>
      <c r="D24" t="s">
        <v>9378</v>
      </c>
      <c r="E24" t="s">
        <v>9405</v>
      </c>
    </row>
    <row r="25" spans="1:5" hidden="1">
      <c r="A25" t="s">
        <v>9414</v>
      </c>
      <c r="B25" t="s">
        <v>9415</v>
      </c>
      <c r="C25" t="s">
        <v>9378</v>
      </c>
      <c r="D25" t="s">
        <v>9378</v>
      </c>
      <c r="E25" t="s">
        <v>9378</v>
      </c>
    </row>
    <row r="26" spans="1:5" hidden="1">
      <c r="A26" t="s">
        <v>9416</v>
      </c>
      <c r="B26" t="s">
        <v>9417</v>
      </c>
      <c r="C26" t="s">
        <v>9378</v>
      </c>
      <c r="D26" t="s">
        <v>9378</v>
      </c>
      <c r="E26" t="s">
        <v>9378</v>
      </c>
    </row>
    <row r="27" spans="1:5" hidden="1">
      <c r="A27" t="s">
        <v>9418</v>
      </c>
      <c r="B27" t="s">
        <v>9419</v>
      </c>
      <c r="C27" t="s">
        <v>9378</v>
      </c>
      <c r="D27" t="s">
        <v>9378</v>
      </c>
      <c r="E27" t="s">
        <v>9405</v>
      </c>
    </row>
    <row r="28" spans="1:5" hidden="1">
      <c r="A28" t="s">
        <v>9420</v>
      </c>
      <c r="B28" t="s">
        <v>9421</v>
      </c>
      <c r="C28" t="s">
        <v>9378</v>
      </c>
      <c r="D28" t="s">
        <v>9378</v>
      </c>
      <c r="E28" t="s">
        <v>9378</v>
      </c>
    </row>
    <row r="29" spans="1:5" hidden="1">
      <c r="A29" t="s">
        <v>9422</v>
      </c>
      <c r="B29" t="s">
        <v>9423</v>
      </c>
      <c r="C29" t="s">
        <v>9378</v>
      </c>
      <c r="D29" t="s">
        <v>9378</v>
      </c>
      <c r="E29" t="s">
        <v>9378</v>
      </c>
    </row>
    <row r="30" spans="1:5" hidden="1">
      <c r="A30" t="s">
        <v>9424</v>
      </c>
      <c r="B30" t="s">
        <v>9425</v>
      </c>
      <c r="C30" t="s">
        <v>9378</v>
      </c>
      <c r="D30" t="s">
        <v>9378</v>
      </c>
      <c r="E30" t="s">
        <v>9378</v>
      </c>
    </row>
    <row r="31" spans="1:5" hidden="1">
      <c r="A31" t="s">
        <v>9426</v>
      </c>
      <c r="B31" t="s">
        <v>9427</v>
      </c>
      <c r="C31" t="s">
        <v>9378</v>
      </c>
      <c r="D31" t="s">
        <v>9378</v>
      </c>
      <c r="E31" t="s">
        <v>9378</v>
      </c>
    </row>
    <row r="32" spans="1:5" hidden="1">
      <c r="A32" t="s">
        <v>9428</v>
      </c>
      <c r="B32" t="s">
        <v>9429</v>
      </c>
      <c r="C32" t="s">
        <v>9378</v>
      </c>
      <c r="D32" t="s">
        <v>9378</v>
      </c>
      <c r="E32" t="s">
        <v>9378</v>
      </c>
    </row>
    <row r="33" spans="1:5" hidden="1">
      <c r="A33" t="s">
        <v>9430</v>
      </c>
      <c r="B33" t="s">
        <v>9431</v>
      </c>
      <c r="C33" t="s">
        <v>9378</v>
      </c>
      <c r="D33" t="s">
        <v>9378</v>
      </c>
      <c r="E33" t="s">
        <v>9378</v>
      </c>
    </row>
    <row r="34" spans="1:5" hidden="1">
      <c r="A34" t="s">
        <v>9432</v>
      </c>
      <c r="B34" t="s">
        <v>9433</v>
      </c>
      <c r="C34" t="s">
        <v>9378</v>
      </c>
      <c r="D34" t="s">
        <v>9378</v>
      </c>
      <c r="E34" t="s">
        <v>9378</v>
      </c>
    </row>
    <row r="35" spans="1:5" hidden="1">
      <c r="A35" t="s">
        <v>9434</v>
      </c>
      <c r="B35" t="s">
        <v>9435</v>
      </c>
      <c r="C35" t="s">
        <v>9378</v>
      </c>
      <c r="D35" t="s">
        <v>9378</v>
      </c>
      <c r="E35" t="s">
        <v>9378</v>
      </c>
    </row>
    <row r="36" spans="1:5" hidden="1">
      <c r="A36" t="s">
        <v>9436</v>
      </c>
      <c r="B36" t="s">
        <v>9437</v>
      </c>
      <c r="C36" t="s">
        <v>9378</v>
      </c>
      <c r="D36" t="s">
        <v>9378</v>
      </c>
      <c r="E36" t="s">
        <v>9378</v>
      </c>
    </row>
    <row r="37" spans="1:5" hidden="1">
      <c r="A37" t="s">
        <v>9438</v>
      </c>
      <c r="B37" t="s">
        <v>9439</v>
      </c>
      <c r="C37" t="s">
        <v>9378</v>
      </c>
      <c r="D37" t="s">
        <v>9378</v>
      </c>
      <c r="E37" t="s">
        <v>9378</v>
      </c>
    </row>
    <row r="38" spans="1:5" hidden="1">
      <c r="A38" t="s">
        <v>9440</v>
      </c>
      <c r="B38" t="s">
        <v>9441</v>
      </c>
      <c r="C38" t="s">
        <v>9378</v>
      </c>
      <c r="D38" t="s">
        <v>9378</v>
      </c>
      <c r="E38" t="s">
        <v>9378</v>
      </c>
    </row>
    <row r="39" spans="1:5" hidden="1">
      <c r="A39" t="s">
        <v>9442</v>
      </c>
      <c r="B39" t="s">
        <v>9443</v>
      </c>
      <c r="C39" t="s">
        <v>9378</v>
      </c>
      <c r="D39" t="s">
        <v>9378</v>
      </c>
      <c r="E39" t="s">
        <v>9378</v>
      </c>
    </row>
    <row r="40" spans="1:5" hidden="1">
      <c r="A40" t="s">
        <v>9444</v>
      </c>
      <c r="B40" t="s">
        <v>9445</v>
      </c>
      <c r="C40" t="s">
        <v>9378</v>
      </c>
      <c r="D40" t="s">
        <v>9378</v>
      </c>
      <c r="E40" t="s">
        <v>9378</v>
      </c>
    </row>
    <row r="41" spans="1:5" hidden="1">
      <c r="A41" t="s">
        <v>9446</v>
      </c>
      <c r="B41" t="s">
        <v>9447</v>
      </c>
      <c r="C41" t="s">
        <v>9378</v>
      </c>
      <c r="D41" t="s">
        <v>9378</v>
      </c>
      <c r="E41" t="s">
        <v>9378</v>
      </c>
    </row>
    <row r="42" spans="1:5" hidden="1">
      <c r="A42" t="s">
        <v>9448</v>
      </c>
      <c r="B42" t="s">
        <v>9449</v>
      </c>
      <c r="C42" t="s">
        <v>9378</v>
      </c>
      <c r="D42" t="s">
        <v>9378</v>
      </c>
      <c r="E42" t="s">
        <v>9378</v>
      </c>
    </row>
    <row r="43" spans="1:5" hidden="1">
      <c r="A43" t="s">
        <v>9450</v>
      </c>
      <c r="B43" t="s">
        <v>9451</v>
      </c>
      <c r="C43" t="s">
        <v>9378</v>
      </c>
      <c r="D43" t="s">
        <v>9378</v>
      </c>
      <c r="E43" t="s">
        <v>9405</v>
      </c>
    </row>
    <row r="44" spans="1:5" hidden="1">
      <c r="A44" t="s">
        <v>9452</v>
      </c>
      <c r="B44" t="s">
        <v>9453</v>
      </c>
      <c r="C44" t="s">
        <v>9378</v>
      </c>
      <c r="D44" t="s">
        <v>9378</v>
      </c>
      <c r="E44" t="s">
        <v>9405</v>
      </c>
    </row>
    <row r="45" spans="1:5" hidden="1">
      <c r="A45" t="s">
        <v>9454</v>
      </c>
      <c r="B45" t="s">
        <v>9455</v>
      </c>
      <c r="C45" t="s">
        <v>9378</v>
      </c>
      <c r="D45" t="s">
        <v>9378</v>
      </c>
      <c r="E45" t="s">
        <v>9378</v>
      </c>
    </row>
    <row r="46" spans="1:5" hidden="1">
      <c r="A46" t="s">
        <v>9456</v>
      </c>
      <c r="B46" t="s">
        <v>9457</v>
      </c>
      <c r="C46" t="s">
        <v>9378</v>
      </c>
      <c r="D46" t="s">
        <v>9378</v>
      </c>
      <c r="E46" t="s">
        <v>9378</v>
      </c>
    </row>
    <row r="47" spans="1:5" hidden="1">
      <c r="A47" t="s">
        <v>9458</v>
      </c>
      <c r="B47" t="s">
        <v>9459</v>
      </c>
      <c r="C47" t="s">
        <v>9378</v>
      </c>
      <c r="D47" t="s">
        <v>9378</v>
      </c>
      <c r="E47" t="s">
        <v>9378</v>
      </c>
    </row>
    <row r="48" spans="1:5" hidden="1">
      <c r="A48" t="s">
        <v>9460</v>
      </c>
      <c r="B48" t="s">
        <v>9461</v>
      </c>
      <c r="C48" t="s">
        <v>9378</v>
      </c>
      <c r="D48" t="s">
        <v>9378</v>
      </c>
      <c r="E48" t="s">
        <v>9405</v>
      </c>
    </row>
    <row r="49" spans="1:5" hidden="1">
      <c r="A49" t="s">
        <v>9462</v>
      </c>
      <c r="B49" t="s">
        <v>9463</v>
      </c>
      <c r="C49" t="s">
        <v>9378</v>
      </c>
      <c r="D49" t="s">
        <v>9378</v>
      </c>
      <c r="E49" t="s">
        <v>9378</v>
      </c>
    </row>
    <row r="50" spans="1:5" hidden="1">
      <c r="A50" t="s">
        <v>9464</v>
      </c>
      <c r="B50" t="s">
        <v>9465</v>
      </c>
      <c r="C50" t="s">
        <v>9378</v>
      </c>
      <c r="D50" t="s">
        <v>9378</v>
      </c>
      <c r="E50" t="s">
        <v>9378</v>
      </c>
    </row>
    <row r="51" spans="1:5" hidden="1">
      <c r="A51" t="s">
        <v>9466</v>
      </c>
      <c r="B51" t="s">
        <v>9467</v>
      </c>
      <c r="C51" t="s">
        <v>9378</v>
      </c>
      <c r="D51" t="s">
        <v>9378</v>
      </c>
      <c r="E51" t="s">
        <v>9378</v>
      </c>
    </row>
    <row r="52" spans="1:5" hidden="1">
      <c r="A52" t="s">
        <v>9468</v>
      </c>
      <c r="B52" t="s">
        <v>9469</v>
      </c>
      <c r="C52" t="s">
        <v>9378</v>
      </c>
      <c r="D52" t="s">
        <v>9378</v>
      </c>
      <c r="E52" t="s">
        <v>9378</v>
      </c>
    </row>
    <row r="53" spans="1:5" hidden="1">
      <c r="A53" t="s">
        <v>9470</v>
      </c>
      <c r="B53" t="s">
        <v>9471</v>
      </c>
      <c r="C53" t="s">
        <v>9378</v>
      </c>
      <c r="D53" t="s">
        <v>9378</v>
      </c>
      <c r="E53" t="s">
        <v>9378</v>
      </c>
    </row>
    <row r="54" spans="1:5" hidden="1">
      <c r="A54" t="s">
        <v>9472</v>
      </c>
      <c r="B54" t="s">
        <v>9473</v>
      </c>
      <c r="C54" t="s">
        <v>9378</v>
      </c>
      <c r="D54" t="s">
        <v>9378</v>
      </c>
      <c r="E54" t="s">
        <v>9378</v>
      </c>
    </row>
    <row r="55" spans="1:5" hidden="1">
      <c r="A55" t="s">
        <v>9474</v>
      </c>
      <c r="B55" t="s">
        <v>9475</v>
      </c>
      <c r="C55" t="s">
        <v>9378</v>
      </c>
      <c r="D55" t="s">
        <v>9378</v>
      </c>
      <c r="E55" t="s">
        <v>9378</v>
      </c>
    </row>
    <row r="56" spans="1:5" hidden="1">
      <c r="A56" t="s">
        <v>9476</v>
      </c>
      <c r="B56" t="s">
        <v>9477</v>
      </c>
      <c r="C56" t="s">
        <v>9378</v>
      </c>
      <c r="D56" t="s">
        <v>9378</v>
      </c>
      <c r="E56" t="s">
        <v>9405</v>
      </c>
    </row>
    <row r="57" spans="1:5" hidden="1">
      <c r="A57" t="s">
        <v>9478</v>
      </c>
      <c r="B57" t="s">
        <v>9479</v>
      </c>
      <c r="C57" t="s">
        <v>9378</v>
      </c>
      <c r="D57" t="s">
        <v>9378</v>
      </c>
      <c r="E57" t="s">
        <v>9378</v>
      </c>
    </row>
    <row r="58" spans="1:5" hidden="1">
      <c r="A58" t="s">
        <v>9480</v>
      </c>
      <c r="B58" t="s">
        <v>9481</v>
      </c>
      <c r="C58" t="s">
        <v>9378</v>
      </c>
      <c r="D58" t="s">
        <v>9378</v>
      </c>
      <c r="E58" t="s">
        <v>9378</v>
      </c>
    </row>
    <row r="59" spans="1:5" hidden="1">
      <c r="A59" t="s">
        <v>9482</v>
      </c>
      <c r="B59" t="s">
        <v>9483</v>
      </c>
      <c r="C59" t="s">
        <v>9378</v>
      </c>
      <c r="D59" t="s">
        <v>9378</v>
      </c>
      <c r="E59" t="s">
        <v>9378</v>
      </c>
    </row>
    <row r="60" spans="1:5" hidden="1">
      <c r="A60" t="s">
        <v>9484</v>
      </c>
      <c r="B60" t="s">
        <v>9485</v>
      </c>
      <c r="C60" t="s">
        <v>9378</v>
      </c>
      <c r="D60" t="s">
        <v>9378</v>
      </c>
      <c r="E60" t="s">
        <v>9353</v>
      </c>
    </row>
    <row r="61" spans="1:5" hidden="1">
      <c r="A61" t="s">
        <v>9486</v>
      </c>
      <c r="B61" t="s">
        <v>9487</v>
      </c>
      <c r="C61" t="s">
        <v>9378</v>
      </c>
      <c r="D61" t="s">
        <v>9378</v>
      </c>
      <c r="E61" t="s">
        <v>9378</v>
      </c>
    </row>
    <row r="62" spans="1:5" hidden="1">
      <c r="A62" t="s">
        <v>9488</v>
      </c>
      <c r="B62" t="s">
        <v>9489</v>
      </c>
      <c r="C62" t="s">
        <v>9378</v>
      </c>
      <c r="D62" t="s">
        <v>9378</v>
      </c>
      <c r="E62" t="s">
        <v>9378</v>
      </c>
    </row>
    <row r="63" spans="1:5" hidden="1">
      <c r="A63" t="s">
        <v>9490</v>
      </c>
      <c r="B63" t="s">
        <v>9491</v>
      </c>
      <c r="C63" t="s">
        <v>9378</v>
      </c>
      <c r="D63" t="s">
        <v>9378</v>
      </c>
      <c r="E63" t="s">
        <v>9378</v>
      </c>
    </row>
    <row r="64" spans="1:5" hidden="1">
      <c r="A64" t="s">
        <v>9492</v>
      </c>
      <c r="B64" t="s">
        <v>9493</v>
      </c>
      <c r="C64" t="s">
        <v>9378</v>
      </c>
      <c r="D64" t="s">
        <v>9378</v>
      </c>
      <c r="E64" t="s">
        <v>9378</v>
      </c>
    </row>
    <row r="65" spans="1:5" hidden="1">
      <c r="A65" t="s">
        <v>9494</v>
      </c>
      <c r="B65" t="s">
        <v>9495</v>
      </c>
      <c r="C65" t="s">
        <v>9378</v>
      </c>
      <c r="D65" t="s">
        <v>9378</v>
      </c>
      <c r="E65" t="s">
        <v>9378</v>
      </c>
    </row>
    <row r="66" spans="1:5" hidden="1">
      <c r="A66" t="s">
        <v>9496</v>
      </c>
      <c r="B66" t="s">
        <v>9497</v>
      </c>
      <c r="C66" t="s">
        <v>9378</v>
      </c>
      <c r="D66" t="s">
        <v>9378</v>
      </c>
      <c r="E66" t="s">
        <v>9378</v>
      </c>
    </row>
    <row r="67" spans="1:5" hidden="1">
      <c r="A67" t="s">
        <v>9498</v>
      </c>
      <c r="B67" t="s">
        <v>9499</v>
      </c>
      <c r="C67" t="s">
        <v>9378</v>
      </c>
      <c r="D67" t="s">
        <v>9378</v>
      </c>
      <c r="E67" t="s">
        <v>9378</v>
      </c>
    </row>
    <row r="68" spans="1:5" hidden="1">
      <c r="A68" t="s">
        <v>9500</v>
      </c>
      <c r="B68" t="s">
        <v>9501</v>
      </c>
      <c r="C68" t="s">
        <v>9378</v>
      </c>
      <c r="D68" t="s">
        <v>9378</v>
      </c>
      <c r="E68" t="s">
        <v>9378</v>
      </c>
    </row>
    <row r="69" spans="1:5" hidden="1">
      <c r="A69" t="s">
        <v>9502</v>
      </c>
      <c r="B69" t="s">
        <v>9503</v>
      </c>
      <c r="C69" t="s">
        <v>9378</v>
      </c>
      <c r="D69" t="s">
        <v>9378</v>
      </c>
      <c r="E69" t="s">
        <v>9378</v>
      </c>
    </row>
    <row r="70" spans="1:5" hidden="1">
      <c r="A70" t="s">
        <v>9504</v>
      </c>
      <c r="B70" t="s">
        <v>9505</v>
      </c>
      <c r="C70" t="s">
        <v>9378</v>
      </c>
      <c r="D70" t="s">
        <v>9378</v>
      </c>
      <c r="E70" t="s">
        <v>9378</v>
      </c>
    </row>
    <row r="71" spans="1:5" hidden="1">
      <c r="A71" t="s">
        <v>9506</v>
      </c>
      <c r="B71" t="s">
        <v>9507</v>
      </c>
      <c r="C71" t="s">
        <v>9378</v>
      </c>
      <c r="D71" t="s">
        <v>9378</v>
      </c>
      <c r="E71" t="s">
        <v>9378</v>
      </c>
    </row>
    <row r="72" spans="1:5" hidden="1">
      <c r="A72" t="s">
        <v>9508</v>
      </c>
      <c r="B72" t="s">
        <v>9509</v>
      </c>
      <c r="C72" t="s">
        <v>9378</v>
      </c>
      <c r="D72" t="s">
        <v>9378</v>
      </c>
      <c r="E72" t="s">
        <v>9378</v>
      </c>
    </row>
    <row r="73" spans="1:5" hidden="1">
      <c r="A73" t="s">
        <v>9510</v>
      </c>
      <c r="B73" t="s">
        <v>9511</v>
      </c>
      <c r="C73" t="s">
        <v>9378</v>
      </c>
      <c r="D73" t="s">
        <v>9378</v>
      </c>
      <c r="E73" t="s">
        <v>9378</v>
      </c>
    </row>
    <row r="74" spans="1:5" hidden="1">
      <c r="A74" t="s">
        <v>9512</v>
      </c>
      <c r="B74" t="s">
        <v>9513</v>
      </c>
      <c r="C74" t="s">
        <v>9378</v>
      </c>
      <c r="D74" t="s">
        <v>9378</v>
      </c>
      <c r="E74" t="s">
        <v>9378</v>
      </c>
    </row>
    <row r="75" spans="1:5" hidden="1">
      <c r="A75" t="s">
        <v>9514</v>
      </c>
      <c r="B75" t="s">
        <v>9515</v>
      </c>
      <c r="C75" t="s">
        <v>9378</v>
      </c>
      <c r="D75" t="s">
        <v>9378</v>
      </c>
      <c r="E75" t="s">
        <v>9378</v>
      </c>
    </row>
    <row r="76" spans="1:5" hidden="1">
      <c r="A76" t="s">
        <v>9516</v>
      </c>
      <c r="B76" t="s">
        <v>9517</v>
      </c>
      <c r="C76" t="s">
        <v>9378</v>
      </c>
      <c r="D76" t="s">
        <v>9378</v>
      </c>
      <c r="E76" t="s">
        <v>9378</v>
      </c>
    </row>
    <row r="77" spans="1:5" hidden="1">
      <c r="A77" t="s">
        <v>9518</v>
      </c>
      <c r="B77" t="s">
        <v>9519</v>
      </c>
      <c r="C77" t="s">
        <v>9378</v>
      </c>
      <c r="D77" t="s">
        <v>9378</v>
      </c>
      <c r="E77" t="s">
        <v>9378</v>
      </c>
    </row>
    <row r="78" spans="1:5" hidden="1">
      <c r="A78" t="s">
        <v>9520</v>
      </c>
      <c r="B78" t="s">
        <v>9521</v>
      </c>
      <c r="C78" t="s">
        <v>9378</v>
      </c>
      <c r="D78" t="s">
        <v>9378</v>
      </c>
      <c r="E78" t="s">
        <v>9378</v>
      </c>
    </row>
    <row r="79" spans="1:5" hidden="1">
      <c r="A79" t="s">
        <v>9522</v>
      </c>
      <c r="B79" t="s">
        <v>9523</v>
      </c>
      <c r="C79" t="s">
        <v>9378</v>
      </c>
      <c r="D79" t="s">
        <v>9378</v>
      </c>
      <c r="E79" t="s">
        <v>9378</v>
      </c>
    </row>
    <row r="80" spans="1:5" hidden="1">
      <c r="A80" t="s">
        <v>9524</v>
      </c>
      <c r="B80" t="s">
        <v>9525</v>
      </c>
      <c r="C80" t="s">
        <v>9378</v>
      </c>
      <c r="D80" t="s">
        <v>9378</v>
      </c>
      <c r="E80" t="s">
        <v>9378</v>
      </c>
    </row>
    <row r="81" spans="1:5" hidden="1">
      <c r="A81" t="s">
        <v>9526</v>
      </c>
      <c r="B81" t="s">
        <v>9527</v>
      </c>
      <c r="C81" t="s">
        <v>9378</v>
      </c>
      <c r="D81" t="s">
        <v>9378</v>
      </c>
      <c r="E81" t="s">
        <v>9378</v>
      </c>
    </row>
    <row r="82" spans="1:5" hidden="1">
      <c r="A82" t="s">
        <v>9528</v>
      </c>
      <c r="B82" t="s">
        <v>9529</v>
      </c>
      <c r="C82" t="s">
        <v>9378</v>
      </c>
      <c r="D82" t="s">
        <v>9378</v>
      </c>
      <c r="E82" t="s">
        <v>9378</v>
      </c>
    </row>
    <row r="83" spans="1:5" hidden="1">
      <c r="A83" t="s">
        <v>9530</v>
      </c>
      <c r="B83" t="s">
        <v>9531</v>
      </c>
      <c r="C83" t="s">
        <v>9378</v>
      </c>
      <c r="D83" t="s">
        <v>9378</v>
      </c>
      <c r="E83" t="s">
        <v>9378</v>
      </c>
    </row>
    <row r="84" spans="1:5" hidden="1">
      <c r="A84" t="s">
        <v>9532</v>
      </c>
      <c r="B84" t="s">
        <v>9533</v>
      </c>
      <c r="C84" t="s">
        <v>9378</v>
      </c>
      <c r="D84" t="s">
        <v>9378</v>
      </c>
      <c r="E84" t="s">
        <v>9378</v>
      </c>
    </row>
    <row r="85" spans="1:5" hidden="1">
      <c r="A85" t="s">
        <v>9534</v>
      </c>
      <c r="B85" t="s">
        <v>9535</v>
      </c>
      <c r="C85" t="s">
        <v>9378</v>
      </c>
      <c r="D85" t="s">
        <v>9378</v>
      </c>
      <c r="E85" t="s">
        <v>9378</v>
      </c>
    </row>
    <row r="86" spans="1:5" hidden="1">
      <c r="A86" t="s">
        <v>9536</v>
      </c>
      <c r="B86" t="s">
        <v>9537</v>
      </c>
      <c r="C86" t="s">
        <v>9378</v>
      </c>
      <c r="D86" t="s">
        <v>9378</v>
      </c>
      <c r="E86" t="s">
        <v>9378</v>
      </c>
    </row>
    <row r="87" spans="1:5" hidden="1">
      <c r="A87" t="s">
        <v>9538</v>
      </c>
      <c r="B87" t="s">
        <v>9539</v>
      </c>
      <c r="C87" t="s">
        <v>9378</v>
      </c>
      <c r="D87" t="s">
        <v>9378</v>
      </c>
      <c r="E87" t="s">
        <v>9378</v>
      </c>
    </row>
    <row r="88" spans="1:5" hidden="1">
      <c r="A88" t="s">
        <v>9540</v>
      </c>
      <c r="B88" t="s">
        <v>9541</v>
      </c>
      <c r="C88" t="s">
        <v>9378</v>
      </c>
      <c r="D88" t="s">
        <v>9542</v>
      </c>
      <c r="E88" t="s">
        <v>9378</v>
      </c>
    </row>
    <row r="89" spans="1:5" hidden="1">
      <c r="A89" t="s">
        <v>9543</v>
      </c>
      <c r="B89" t="s">
        <v>9544</v>
      </c>
      <c r="C89" t="s">
        <v>9378</v>
      </c>
      <c r="D89" t="s">
        <v>9542</v>
      </c>
      <c r="E89" t="s">
        <v>9378</v>
      </c>
    </row>
    <row r="90" spans="1:5" hidden="1">
      <c r="A90" t="s">
        <v>9545</v>
      </c>
      <c r="B90" t="s">
        <v>9546</v>
      </c>
      <c r="C90" t="s">
        <v>9378</v>
      </c>
      <c r="D90" t="s">
        <v>9378</v>
      </c>
      <c r="E90" t="s">
        <v>9378</v>
      </c>
    </row>
    <row r="91" spans="1:5" hidden="1">
      <c r="A91" t="s">
        <v>9547</v>
      </c>
      <c r="B91" t="s">
        <v>9548</v>
      </c>
      <c r="C91" t="s">
        <v>9378</v>
      </c>
      <c r="D91" t="s">
        <v>9378</v>
      </c>
      <c r="E91" t="s">
        <v>9378</v>
      </c>
    </row>
    <row r="92" spans="1:5" hidden="1">
      <c r="A92" t="s">
        <v>9549</v>
      </c>
      <c r="B92" t="s">
        <v>9550</v>
      </c>
      <c r="C92" t="s">
        <v>9378</v>
      </c>
      <c r="D92" t="s">
        <v>9378</v>
      </c>
      <c r="E92" t="s">
        <v>9378</v>
      </c>
    </row>
    <row r="93" spans="1:5" hidden="1">
      <c r="A93" t="s">
        <v>9551</v>
      </c>
      <c r="B93" t="s">
        <v>9552</v>
      </c>
      <c r="C93" t="s">
        <v>9378</v>
      </c>
      <c r="D93" t="s">
        <v>9378</v>
      </c>
      <c r="E93" t="s">
        <v>9405</v>
      </c>
    </row>
    <row r="94" spans="1:5" hidden="1">
      <c r="A94" t="s">
        <v>9553</v>
      </c>
      <c r="B94" t="s">
        <v>9554</v>
      </c>
      <c r="C94" t="s">
        <v>9378</v>
      </c>
      <c r="D94" t="s">
        <v>9378</v>
      </c>
      <c r="E94" t="s">
        <v>9405</v>
      </c>
    </row>
    <row r="95" spans="1:5" hidden="1">
      <c r="A95" t="s">
        <v>9555</v>
      </c>
      <c r="B95" t="s">
        <v>9556</v>
      </c>
      <c r="C95" t="s">
        <v>9378</v>
      </c>
      <c r="D95" t="s">
        <v>9378</v>
      </c>
      <c r="E95" t="s">
        <v>9378</v>
      </c>
    </row>
    <row r="96" spans="1:5">
      <c r="A96" s="81" t="s">
        <v>9557</v>
      </c>
      <c r="B96" t="s">
        <v>9558</v>
      </c>
      <c r="C96" t="s">
        <v>9369</v>
      </c>
      <c r="D96" t="s">
        <v>9369</v>
      </c>
      <c r="E96" t="s">
        <v>9369</v>
      </c>
    </row>
    <row r="97" spans="1:5">
      <c r="A97" s="81" t="s">
        <v>9559</v>
      </c>
      <c r="B97" t="s">
        <v>9560</v>
      </c>
      <c r="C97" t="s">
        <v>9369</v>
      </c>
      <c r="D97" t="s">
        <v>9369</v>
      </c>
      <c r="E97" t="s">
        <v>9369</v>
      </c>
    </row>
    <row r="98" spans="1:5" hidden="1">
      <c r="A98" t="s">
        <v>9561</v>
      </c>
      <c r="B98" t="s">
        <v>9562</v>
      </c>
      <c r="C98" t="s">
        <v>9378</v>
      </c>
      <c r="D98" t="s">
        <v>9378</v>
      </c>
      <c r="E98" t="s">
        <v>9405</v>
      </c>
    </row>
    <row r="99" spans="1:5" hidden="1">
      <c r="A99" t="s">
        <v>9563</v>
      </c>
      <c r="B99" t="s">
        <v>9564</v>
      </c>
      <c r="C99" t="s">
        <v>9378</v>
      </c>
      <c r="D99" t="s">
        <v>9378</v>
      </c>
      <c r="E99" t="s">
        <v>9405</v>
      </c>
    </row>
    <row r="100" spans="1:5" hidden="1">
      <c r="A100" t="s">
        <v>9565</v>
      </c>
      <c r="B100" t="s">
        <v>9566</v>
      </c>
      <c r="C100" t="s">
        <v>9378</v>
      </c>
      <c r="D100" t="s">
        <v>9378</v>
      </c>
      <c r="E100" t="s">
        <v>9378</v>
      </c>
    </row>
    <row r="101" spans="1:5" hidden="1">
      <c r="A101" t="s">
        <v>9567</v>
      </c>
      <c r="B101" t="s">
        <v>9568</v>
      </c>
      <c r="C101" t="s">
        <v>9378</v>
      </c>
      <c r="D101" t="s">
        <v>9378</v>
      </c>
      <c r="E101" t="s">
        <v>9378</v>
      </c>
    </row>
    <row r="102" spans="1:5" hidden="1">
      <c r="A102" t="s">
        <v>9569</v>
      </c>
      <c r="B102" t="s">
        <v>9570</v>
      </c>
      <c r="C102" t="s">
        <v>9378</v>
      </c>
      <c r="D102" t="s">
        <v>9378</v>
      </c>
      <c r="E102" t="s">
        <v>9378</v>
      </c>
    </row>
    <row r="103" spans="1:5" hidden="1">
      <c r="A103" t="s">
        <v>9571</v>
      </c>
      <c r="B103" t="s">
        <v>9572</v>
      </c>
      <c r="C103" t="s">
        <v>9378</v>
      </c>
      <c r="D103" t="s">
        <v>9378</v>
      </c>
      <c r="E103" t="s">
        <v>9378</v>
      </c>
    </row>
    <row r="104" spans="1:5" hidden="1">
      <c r="A104" t="s">
        <v>9573</v>
      </c>
      <c r="B104" t="s">
        <v>9574</v>
      </c>
      <c r="C104" t="s">
        <v>9378</v>
      </c>
      <c r="D104" t="s">
        <v>9378</v>
      </c>
      <c r="E104" t="s">
        <v>9378</v>
      </c>
    </row>
    <row r="105" spans="1:5" hidden="1">
      <c r="A105" t="s">
        <v>9575</v>
      </c>
      <c r="B105" t="s">
        <v>9576</v>
      </c>
      <c r="C105" t="s">
        <v>9378</v>
      </c>
      <c r="D105" t="s">
        <v>9378</v>
      </c>
      <c r="E105" t="s">
        <v>9378</v>
      </c>
    </row>
    <row r="106" spans="1:5" hidden="1">
      <c r="A106" t="s">
        <v>9577</v>
      </c>
      <c r="B106" t="s">
        <v>9578</v>
      </c>
      <c r="C106" t="s">
        <v>9378</v>
      </c>
      <c r="D106" t="s">
        <v>9378</v>
      </c>
      <c r="E106" t="s">
        <v>9378</v>
      </c>
    </row>
    <row r="107" spans="1:5" hidden="1">
      <c r="A107" t="s">
        <v>9579</v>
      </c>
      <c r="B107" t="s">
        <v>9580</v>
      </c>
      <c r="C107" t="s">
        <v>9378</v>
      </c>
      <c r="D107" t="s">
        <v>9378</v>
      </c>
      <c r="E107" t="s">
        <v>9378</v>
      </c>
    </row>
    <row r="108" spans="1:5" hidden="1">
      <c r="A108" t="s">
        <v>9581</v>
      </c>
      <c r="B108" t="s">
        <v>9582</v>
      </c>
      <c r="C108" t="s">
        <v>9378</v>
      </c>
      <c r="D108" t="s">
        <v>9378</v>
      </c>
      <c r="E108" t="s">
        <v>9378</v>
      </c>
    </row>
    <row r="109" spans="1:5" hidden="1">
      <c r="A109" t="s">
        <v>9583</v>
      </c>
      <c r="B109" t="s">
        <v>9584</v>
      </c>
      <c r="C109" t="s">
        <v>9378</v>
      </c>
      <c r="D109" t="s">
        <v>9378</v>
      </c>
      <c r="E109" t="s">
        <v>9378</v>
      </c>
    </row>
    <row r="110" spans="1:5" hidden="1">
      <c r="A110" t="s">
        <v>9585</v>
      </c>
      <c r="B110" t="s">
        <v>9586</v>
      </c>
      <c r="C110" t="s">
        <v>9378</v>
      </c>
      <c r="D110" t="s">
        <v>9378</v>
      </c>
      <c r="E110" t="s">
        <v>9378</v>
      </c>
    </row>
    <row r="111" spans="1:5" hidden="1">
      <c r="A111" t="s">
        <v>9587</v>
      </c>
      <c r="B111" t="s">
        <v>9588</v>
      </c>
      <c r="C111" t="s">
        <v>9378</v>
      </c>
      <c r="D111" t="s">
        <v>9378</v>
      </c>
      <c r="E111" t="s">
        <v>9378</v>
      </c>
    </row>
    <row r="112" spans="1:5" hidden="1">
      <c r="A112" t="s">
        <v>9589</v>
      </c>
      <c r="B112" t="s">
        <v>9590</v>
      </c>
      <c r="C112" t="s">
        <v>9378</v>
      </c>
      <c r="D112" t="s">
        <v>9378</v>
      </c>
      <c r="E112" t="s">
        <v>9378</v>
      </c>
    </row>
    <row r="113" spans="1:5" hidden="1">
      <c r="A113" t="s">
        <v>9591</v>
      </c>
      <c r="B113" t="s">
        <v>9592</v>
      </c>
      <c r="C113" t="s">
        <v>9378</v>
      </c>
      <c r="D113" t="s">
        <v>9378</v>
      </c>
      <c r="E113" t="s">
        <v>9378</v>
      </c>
    </row>
    <row r="114" spans="1:5" hidden="1">
      <c r="A114" t="s">
        <v>9593</v>
      </c>
      <c r="B114" t="s">
        <v>9594</v>
      </c>
      <c r="C114" t="s">
        <v>9378</v>
      </c>
      <c r="D114" t="s">
        <v>9378</v>
      </c>
      <c r="E114" t="s">
        <v>9378</v>
      </c>
    </row>
    <row r="115" spans="1:5" hidden="1">
      <c r="A115" t="s">
        <v>9595</v>
      </c>
      <c r="B115" t="s">
        <v>9596</v>
      </c>
      <c r="C115" t="s">
        <v>9378</v>
      </c>
      <c r="D115" t="s">
        <v>9378</v>
      </c>
      <c r="E115" t="s">
        <v>9378</v>
      </c>
    </row>
    <row r="116" spans="1:5" hidden="1">
      <c r="A116" t="s">
        <v>9597</v>
      </c>
      <c r="B116" t="s">
        <v>9598</v>
      </c>
      <c r="C116" t="s">
        <v>9378</v>
      </c>
      <c r="D116" t="s">
        <v>9378</v>
      </c>
      <c r="E116" t="s">
        <v>9378</v>
      </c>
    </row>
    <row r="117" spans="1:5" hidden="1">
      <c r="A117" t="s">
        <v>9599</v>
      </c>
      <c r="B117" t="s">
        <v>9600</v>
      </c>
      <c r="C117" t="s">
        <v>9378</v>
      </c>
      <c r="D117" t="s">
        <v>9378</v>
      </c>
      <c r="E117" t="s">
        <v>9378</v>
      </c>
    </row>
    <row r="118" spans="1:5" hidden="1">
      <c r="A118" t="s">
        <v>9601</v>
      </c>
      <c r="B118" t="s">
        <v>9602</v>
      </c>
      <c r="C118" t="s">
        <v>9378</v>
      </c>
      <c r="D118" t="s">
        <v>9378</v>
      </c>
      <c r="E118" t="s">
        <v>9378</v>
      </c>
    </row>
    <row r="119" spans="1:5" hidden="1">
      <c r="A119" t="s">
        <v>9603</v>
      </c>
      <c r="B119" t="s">
        <v>9604</v>
      </c>
      <c r="C119" t="s">
        <v>9378</v>
      </c>
      <c r="D119" t="s">
        <v>9378</v>
      </c>
      <c r="E119" t="s">
        <v>9378</v>
      </c>
    </row>
    <row r="120" spans="1:5">
      <c r="A120" s="81" t="s">
        <v>9605</v>
      </c>
      <c r="B120" t="s">
        <v>9606</v>
      </c>
      <c r="C120" t="s">
        <v>9369</v>
      </c>
      <c r="D120" t="s">
        <v>9369</v>
      </c>
      <c r="E120" t="s">
        <v>9369</v>
      </c>
    </row>
    <row r="121" spans="1:5" hidden="1">
      <c r="A121" t="s">
        <v>9607</v>
      </c>
      <c r="B121" t="s">
        <v>9608</v>
      </c>
      <c r="C121" t="s">
        <v>9378</v>
      </c>
      <c r="D121" t="s">
        <v>9378</v>
      </c>
      <c r="E121" t="s">
        <v>9378</v>
      </c>
    </row>
    <row r="122" spans="1:5" hidden="1">
      <c r="A122" t="s">
        <v>9609</v>
      </c>
      <c r="B122" t="s">
        <v>9610</v>
      </c>
      <c r="C122" t="s">
        <v>9378</v>
      </c>
      <c r="D122" t="s">
        <v>9378</v>
      </c>
      <c r="E122" t="s">
        <v>9353</v>
      </c>
    </row>
    <row r="123" spans="1:5" hidden="1">
      <c r="A123" t="s">
        <v>9611</v>
      </c>
      <c r="B123" t="s">
        <v>9612</v>
      </c>
      <c r="C123" t="s">
        <v>9378</v>
      </c>
      <c r="D123" t="s">
        <v>9378</v>
      </c>
      <c r="E123" t="s">
        <v>9353</v>
      </c>
    </row>
    <row r="124" spans="1:5" hidden="1">
      <c r="A124" t="s">
        <v>9613</v>
      </c>
      <c r="B124" t="s">
        <v>9614</v>
      </c>
      <c r="C124" t="s">
        <v>9378</v>
      </c>
      <c r="D124" t="s">
        <v>9378</v>
      </c>
      <c r="E124" t="s">
        <v>9353</v>
      </c>
    </row>
    <row r="125" spans="1:5" hidden="1">
      <c r="A125" t="s">
        <v>9615</v>
      </c>
      <c r="B125" t="s">
        <v>9616</v>
      </c>
      <c r="C125" t="s">
        <v>9378</v>
      </c>
      <c r="D125" t="s">
        <v>9378</v>
      </c>
      <c r="E125" t="s">
        <v>9353</v>
      </c>
    </row>
    <row r="126" spans="1:5" hidden="1">
      <c r="A126" t="s">
        <v>9617</v>
      </c>
      <c r="B126" t="s">
        <v>9618</v>
      </c>
      <c r="C126" t="s">
        <v>9378</v>
      </c>
      <c r="D126" t="s">
        <v>9378</v>
      </c>
      <c r="E126" t="s">
        <v>9353</v>
      </c>
    </row>
    <row r="127" spans="1:5" hidden="1">
      <c r="A127" t="s">
        <v>9619</v>
      </c>
      <c r="B127" t="s">
        <v>9620</v>
      </c>
      <c r="C127" t="s">
        <v>9378</v>
      </c>
      <c r="D127" t="s">
        <v>9378</v>
      </c>
      <c r="E127" t="s">
        <v>9353</v>
      </c>
    </row>
    <row r="128" spans="1:5" hidden="1">
      <c r="A128" t="s">
        <v>9621</v>
      </c>
      <c r="B128" t="s">
        <v>9622</v>
      </c>
      <c r="C128" t="s">
        <v>9378</v>
      </c>
      <c r="D128" t="s">
        <v>9378</v>
      </c>
      <c r="E128" t="s">
        <v>9378</v>
      </c>
    </row>
    <row r="129" spans="1:5" hidden="1">
      <c r="A129" t="s">
        <v>9623</v>
      </c>
      <c r="B129" t="s">
        <v>9624</v>
      </c>
      <c r="C129" t="s">
        <v>9378</v>
      </c>
      <c r="D129" t="s">
        <v>9378</v>
      </c>
      <c r="E129" t="s">
        <v>9378</v>
      </c>
    </row>
    <row r="130" spans="1:5" hidden="1">
      <c r="A130" t="s">
        <v>9625</v>
      </c>
      <c r="B130" t="s">
        <v>9626</v>
      </c>
      <c r="C130" t="s">
        <v>9378</v>
      </c>
      <c r="D130" t="s">
        <v>9378</v>
      </c>
      <c r="E130" t="s">
        <v>9378</v>
      </c>
    </row>
    <row r="131" spans="1:5" hidden="1">
      <c r="A131" t="s">
        <v>9627</v>
      </c>
      <c r="B131" t="s">
        <v>9628</v>
      </c>
      <c r="C131" t="s">
        <v>9378</v>
      </c>
      <c r="D131" t="s">
        <v>9378</v>
      </c>
      <c r="E131" t="s">
        <v>9378</v>
      </c>
    </row>
    <row r="132" spans="1:5" hidden="1">
      <c r="A132" t="s">
        <v>9629</v>
      </c>
      <c r="B132" t="s">
        <v>9630</v>
      </c>
      <c r="C132" t="s">
        <v>9378</v>
      </c>
      <c r="D132" t="s">
        <v>9378</v>
      </c>
      <c r="E132" t="s">
        <v>9378</v>
      </c>
    </row>
    <row r="133" spans="1:5" hidden="1">
      <c r="A133" t="s">
        <v>9631</v>
      </c>
      <c r="B133" t="s">
        <v>9632</v>
      </c>
      <c r="C133" t="s">
        <v>9378</v>
      </c>
      <c r="D133" t="s">
        <v>9378</v>
      </c>
      <c r="E133" t="s">
        <v>9378</v>
      </c>
    </row>
    <row r="134" spans="1:5" hidden="1">
      <c r="A134" t="s">
        <v>9633</v>
      </c>
      <c r="B134" t="s">
        <v>9634</v>
      </c>
      <c r="C134" t="s">
        <v>9378</v>
      </c>
      <c r="D134" t="s">
        <v>9378</v>
      </c>
      <c r="E134" t="s">
        <v>9378</v>
      </c>
    </row>
    <row r="135" spans="1:5" hidden="1">
      <c r="A135" t="s">
        <v>9635</v>
      </c>
      <c r="B135" t="s">
        <v>9636</v>
      </c>
      <c r="C135" t="s">
        <v>9378</v>
      </c>
      <c r="D135" t="s">
        <v>9378</v>
      </c>
      <c r="E135" t="s">
        <v>9378</v>
      </c>
    </row>
    <row r="136" spans="1:5" hidden="1">
      <c r="A136" t="s">
        <v>9637</v>
      </c>
      <c r="B136" t="s">
        <v>9638</v>
      </c>
      <c r="C136" t="s">
        <v>9378</v>
      </c>
      <c r="D136" t="s">
        <v>9378</v>
      </c>
      <c r="E136" t="s">
        <v>9405</v>
      </c>
    </row>
    <row r="137" spans="1:5" hidden="1">
      <c r="A137" t="s">
        <v>9639</v>
      </c>
      <c r="B137" t="s">
        <v>9640</v>
      </c>
      <c r="C137" t="s">
        <v>9378</v>
      </c>
      <c r="D137" t="s">
        <v>9378</v>
      </c>
      <c r="E137" t="s">
        <v>9378</v>
      </c>
    </row>
    <row r="138" spans="1:5" hidden="1">
      <c r="A138" t="s">
        <v>9641</v>
      </c>
      <c r="B138" t="s">
        <v>9642</v>
      </c>
      <c r="C138" t="s">
        <v>9378</v>
      </c>
      <c r="D138" t="s">
        <v>9378</v>
      </c>
      <c r="E138" t="s">
        <v>9378</v>
      </c>
    </row>
    <row r="139" spans="1:5" hidden="1">
      <c r="A139" t="s">
        <v>9643</v>
      </c>
      <c r="B139" t="s">
        <v>9644</v>
      </c>
      <c r="C139" t="s">
        <v>9378</v>
      </c>
      <c r="D139" t="s">
        <v>9378</v>
      </c>
      <c r="E139" t="s">
        <v>9378</v>
      </c>
    </row>
    <row r="140" spans="1:5" hidden="1">
      <c r="A140" t="s">
        <v>9645</v>
      </c>
      <c r="B140" t="s">
        <v>9646</v>
      </c>
      <c r="C140" t="s">
        <v>9378</v>
      </c>
      <c r="D140" t="s">
        <v>9378</v>
      </c>
      <c r="E140" t="s">
        <v>9378</v>
      </c>
    </row>
    <row r="141" spans="1:5" hidden="1">
      <c r="A141" t="s">
        <v>9647</v>
      </c>
      <c r="B141" t="s">
        <v>9648</v>
      </c>
      <c r="C141" t="s">
        <v>9378</v>
      </c>
      <c r="D141" t="s">
        <v>9378</v>
      </c>
      <c r="E141" t="s">
        <v>9378</v>
      </c>
    </row>
    <row r="142" spans="1:5">
      <c r="A142" s="81" t="s">
        <v>9649</v>
      </c>
      <c r="B142" t="s">
        <v>9650</v>
      </c>
      <c r="C142" t="s">
        <v>9369</v>
      </c>
      <c r="D142" t="s">
        <v>9369</v>
      </c>
      <c r="E142" t="s">
        <v>9369</v>
      </c>
    </row>
    <row r="143" spans="1:5" hidden="1">
      <c r="A143" t="s">
        <v>9651</v>
      </c>
      <c r="B143" t="s">
        <v>9652</v>
      </c>
      <c r="C143" t="s">
        <v>9378</v>
      </c>
      <c r="D143" t="s">
        <v>9378</v>
      </c>
      <c r="E143" t="s">
        <v>9378</v>
      </c>
    </row>
    <row r="144" spans="1:5" hidden="1">
      <c r="A144" t="s">
        <v>9653</v>
      </c>
      <c r="B144" t="s">
        <v>9654</v>
      </c>
      <c r="C144" t="s">
        <v>9378</v>
      </c>
      <c r="D144" t="s">
        <v>9378</v>
      </c>
      <c r="E144" t="s">
        <v>9378</v>
      </c>
    </row>
    <row r="145" spans="1:5" hidden="1">
      <c r="A145" t="s">
        <v>9655</v>
      </c>
      <c r="B145" t="s">
        <v>9656</v>
      </c>
      <c r="C145" t="s">
        <v>9378</v>
      </c>
      <c r="D145" t="s">
        <v>9378</v>
      </c>
      <c r="E145" t="s">
        <v>9378</v>
      </c>
    </row>
    <row r="146" spans="1:5" hidden="1">
      <c r="A146" t="s">
        <v>9657</v>
      </c>
      <c r="B146" t="s">
        <v>9658</v>
      </c>
      <c r="C146" t="s">
        <v>9378</v>
      </c>
      <c r="D146" t="s">
        <v>9378</v>
      </c>
      <c r="E146" t="s">
        <v>9378</v>
      </c>
    </row>
    <row r="147" spans="1:5" hidden="1">
      <c r="A147" t="s">
        <v>9659</v>
      </c>
      <c r="B147" t="s">
        <v>9660</v>
      </c>
      <c r="C147" t="s">
        <v>9378</v>
      </c>
      <c r="D147" t="s">
        <v>9378</v>
      </c>
      <c r="E147" t="s">
        <v>9378</v>
      </c>
    </row>
    <row r="148" spans="1:5" hidden="1">
      <c r="A148" t="s">
        <v>9661</v>
      </c>
      <c r="B148" t="s">
        <v>9662</v>
      </c>
      <c r="C148" t="s">
        <v>9378</v>
      </c>
      <c r="D148" t="s">
        <v>9378</v>
      </c>
      <c r="E148" t="s">
        <v>9378</v>
      </c>
    </row>
    <row r="149" spans="1:5" hidden="1">
      <c r="A149" t="s">
        <v>9663</v>
      </c>
      <c r="B149" t="s">
        <v>9664</v>
      </c>
      <c r="C149" t="s">
        <v>9378</v>
      </c>
      <c r="D149" t="s">
        <v>9378</v>
      </c>
      <c r="E149" t="s">
        <v>9378</v>
      </c>
    </row>
    <row r="150" spans="1:5" hidden="1">
      <c r="A150" t="s">
        <v>9665</v>
      </c>
      <c r="B150" t="s">
        <v>9666</v>
      </c>
      <c r="C150" t="s">
        <v>9378</v>
      </c>
      <c r="D150" t="s">
        <v>9378</v>
      </c>
      <c r="E150" t="s">
        <v>9378</v>
      </c>
    </row>
    <row r="151" spans="1:5" hidden="1">
      <c r="A151" t="s">
        <v>9667</v>
      </c>
      <c r="B151" t="s">
        <v>9668</v>
      </c>
      <c r="C151" t="s">
        <v>9378</v>
      </c>
      <c r="D151" t="s">
        <v>9378</v>
      </c>
      <c r="E151" t="s">
        <v>9378</v>
      </c>
    </row>
    <row r="152" spans="1:5" hidden="1">
      <c r="A152" t="s">
        <v>9669</v>
      </c>
      <c r="B152" t="s">
        <v>9670</v>
      </c>
      <c r="C152" t="s">
        <v>9378</v>
      </c>
      <c r="D152" t="s">
        <v>9378</v>
      </c>
      <c r="E152" t="s">
        <v>9378</v>
      </c>
    </row>
    <row r="153" spans="1:5" hidden="1">
      <c r="A153" t="s">
        <v>9671</v>
      </c>
      <c r="B153" t="s">
        <v>9672</v>
      </c>
      <c r="C153" t="s">
        <v>9378</v>
      </c>
      <c r="D153" t="s">
        <v>9378</v>
      </c>
      <c r="E153" t="s">
        <v>9378</v>
      </c>
    </row>
    <row r="154" spans="1:5" hidden="1">
      <c r="A154" t="s">
        <v>9673</v>
      </c>
      <c r="B154" t="s">
        <v>9674</v>
      </c>
      <c r="C154" t="s">
        <v>9378</v>
      </c>
      <c r="D154" t="s">
        <v>9378</v>
      </c>
      <c r="E154" t="s">
        <v>9378</v>
      </c>
    </row>
    <row r="155" spans="1:5" hidden="1">
      <c r="A155" t="s">
        <v>9675</v>
      </c>
      <c r="B155" t="s">
        <v>9676</v>
      </c>
      <c r="C155" t="s">
        <v>9378</v>
      </c>
      <c r="D155" t="s">
        <v>9378</v>
      </c>
      <c r="E155" t="s">
        <v>9378</v>
      </c>
    </row>
    <row r="156" spans="1:5" hidden="1">
      <c r="A156" t="s">
        <v>9677</v>
      </c>
      <c r="B156" t="s">
        <v>9678</v>
      </c>
      <c r="C156" t="s">
        <v>9378</v>
      </c>
      <c r="D156" t="s">
        <v>9378</v>
      </c>
      <c r="E156" t="s">
        <v>9378</v>
      </c>
    </row>
    <row r="157" spans="1:5" hidden="1">
      <c r="A157" t="s">
        <v>9679</v>
      </c>
      <c r="B157" t="s">
        <v>9680</v>
      </c>
      <c r="C157" t="s">
        <v>9378</v>
      </c>
      <c r="D157" t="s">
        <v>9378</v>
      </c>
      <c r="E157" t="s">
        <v>9378</v>
      </c>
    </row>
    <row r="158" spans="1:5" hidden="1">
      <c r="A158" t="s">
        <v>9681</v>
      </c>
      <c r="B158" t="s">
        <v>9682</v>
      </c>
      <c r="C158" t="s">
        <v>9378</v>
      </c>
      <c r="D158" t="s">
        <v>9378</v>
      </c>
      <c r="E158" t="s">
        <v>9378</v>
      </c>
    </row>
    <row r="159" spans="1:5" hidden="1">
      <c r="A159" t="s">
        <v>9683</v>
      </c>
      <c r="B159" t="s">
        <v>9684</v>
      </c>
      <c r="C159" t="s">
        <v>9378</v>
      </c>
      <c r="D159" t="s">
        <v>9378</v>
      </c>
      <c r="E159" t="s">
        <v>9378</v>
      </c>
    </row>
    <row r="160" spans="1:5" hidden="1">
      <c r="A160" t="s">
        <v>9685</v>
      </c>
      <c r="B160" t="s">
        <v>9686</v>
      </c>
      <c r="C160" t="s">
        <v>9378</v>
      </c>
      <c r="D160" t="s">
        <v>9378</v>
      </c>
      <c r="E160" t="s">
        <v>9378</v>
      </c>
    </row>
    <row r="161" spans="1:5" hidden="1">
      <c r="A161" t="s">
        <v>9687</v>
      </c>
      <c r="B161" t="s">
        <v>9688</v>
      </c>
      <c r="C161" t="s">
        <v>9378</v>
      </c>
      <c r="D161" t="s">
        <v>9378</v>
      </c>
      <c r="E161" t="s">
        <v>9378</v>
      </c>
    </row>
    <row r="162" spans="1:5" hidden="1">
      <c r="A162" t="s">
        <v>9689</v>
      </c>
      <c r="B162" t="s">
        <v>9690</v>
      </c>
      <c r="C162" t="s">
        <v>9378</v>
      </c>
      <c r="D162" t="s">
        <v>9378</v>
      </c>
      <c r="E162" t="s">
        <v>9378</v>
      </c>
    </row>
    <row r="163" spans="1:5" hidden="1">
      <c r="A163" t="s">
        <v>9691</v>
      </c>
      <c r="B163" t="s">
        <v>9692</v>
      </c>
      <c r="C163" t="s">
        <v>9378</v>
      </c>
      <c r="D163" t="s">
        <v>9378</v>
      </c>
      <c r="E163" t="s">
        <v>9378</v>
      </c>
    </row>
    <row r="164" spans="1:5" hidden="1">
      <c r="A164" t="s">
        <v>9693</v>
      </c>
      <c r="B164" t="s">
        <v>9694</v>
      </c>
      <c r="C164" t="s">
        <v>9378</v>
      </c>
      <c r="D164" t="s">
        <v>9378</v>
      </c>
      <c r="E164" t="s">
        <v>9405</v>
      </c>
    </row>
    <row r="165" spans="1:5" hidden="1">
      <c r="A165" t="s">
        <v>9695</v>
      </c>
      <c r="B165" t="s">
        <v>9696</v>
      </c>
      <c r="C165" t="s">
        <v>9378</v>
      </c>
      <c r="D165" t="s">
        <v>9378</v>
      </c>
      <c r="E165" t="s">
        <v>9405</v>
      </c>
    </row>
    <row r="166" spans="1:5">
      <c r="A166" s="81" t="s">
        <v>9697</v>
      </c>
      <c r="B166" t="s">
        <v>9698</v>
      </c>
      <c r="C166" t="s">
        <v>9369</v>
      </c>
      <c r="D166" t="s">
        <v>9369</v>
      </c>
      <c r="E166" t="s">
        <v>9369</v>
      </c>
    </row>
    <row r="167" spans="1:5">
      <c r="A167" s="81" t="s">
        <v>9699</v>
      </c>
      <c r="B167" t="s">
        <v>9700</v>
      </c>
      <c r="C167" t="s">
        <v>9369</v>
      </c>
      <c r="D167" t="s">
        <v>9369</v>
      </c>
      <c r="E167" t="s">
        <v>9369</v>
      </c>
    </row>
    <row r="168" spans="1:5">
      <c r="A168" s="81" t="s">
        <v>9701</v>
      </c>
      <c r="B168" t="s">
        <v>9702</v>
      </c>
      <c r="C168" t="s">
        <v>9369</v>
      </c>
      <c r="D168" t="s">
        <v>9369</v>
      </c>
      <c r="E168" t="s">
        <v>9369</v>
      </c>
    </row>
    <row r="169" spans="1:5">
      <c r="A169" s="81" t="s">
        <v>9703</v>
      </c>
      <c r="B169" t="s">
        <v>9704</v>
      </c>
      <c r="C169" t="s">
        <v>9369</v>
      </c>
      <c r="D169" t="s">
        <v>9369</v>
      </c>
      <c r="E169" t="s">
        <v>9369</v>
      </c>
    </row>
    <row r="170" spans="1:5">
      <c r="A170" s="81" t="s">
        <v>9705</v>
      </c>
      <c r="B170" t="s">
        <v>9706</v>
      </c>
      <c r="C170" t="s">
        <v>9369</v>
      </c>
      <c r="D170" t="s">
        <v>9369</v>
      </c>
      <c r="E170" t="s">
        <v>9369</v>
      </c>
    </row>
    <row r="171" spans="1:5">
      <c r="A171" s="81" t="s">
        <v>9707</v>
      </c>
      <c r="B171" t="s">
        <v>9708</v>
      </c>
      <c r="C171" t="s">
        <v>9369</v>
      </c>
      <c r="D171" t="s">
        <v>9369</v>
      </c>
      <c r="E171" t="s">
        <v>9369</v>
      </c>
    </row>
    <row r="172" spans="1:5" hidden="1">
      <c r="A172" t="s">
        <v>9709</v>
      </c>
      <c r="B172" t="s">
        <v>9710</v>
      </c>
      <c r="C172" t="s">
        <v>9378</v>
      </c>
      <c r="D172" t="s">
        <v>9378</v>
      </c>
      <c r="E172" t="s">
        <v>9378</v>
      </c>
    </row>
    <row r="173" spans="1:5" hidden="1">
      <c r="A173" t="s">
        <v>9711</v>
      </c>
      <c r="B173" t="s">
        <v>9712</v>
      </c>
      <c r="C173" t="s">
        <v>9378</v>
      </c>
      <c r="D173" t="s">
        <v>9378</v>
      </c>
      <c r="E173" t="s">
        <v>9378</v>
      </c>
    </row>
    <row r="174" spans="1:5" hidden="1">
      <c r="A174" t="s">
        <v>9713</v>
      </c>
      <c r="B174" t="s">
        <v>9714</v>
      </c>
      <c r="C174" t="s">
        <v>9378</v>
      </c>
      <c r="D174" t="s">
        <v>9378</v>
      </c>
      <c r="E174" t="s">
        <v>9378</v>
      </c>
    </row>
    <row r="175" spans="1:5" hidden="1">
      <c r="A175" t="s">
        <v>9715</v>
      </c>
      <c r="B175" t="s">
        <v>9716</v>
      </c>
      <c r="C175" t="s">
        <v>9378</v>
      </c>
      <c r="D175" t="s">
        <v>9378</v>
      </c>
      <c r="E175" t="s">
        <v>9378</v>
      </c>
    </row>
    <row r="176" spans="1:5" hidden="1">
      <c r="A176" t="s">
        <v>9717</v>
      </c>
      <c r="B176" t="s">
        <v>9718</v>
      </c>
      <c r="C176" t="s">
        <v>9378</v>
      </c>
      <c r="D176" t="s">
        <v>9378</v>
      </c>
      <c r="E176" t="s">
        <v>9378</v>
      </c>
    </row>
    <row r="177" spans="1:5" hidden="1">
      <c r="A177" t="s">
        <v>9719</v>
      </c>
      <c r="B177" t="s">
        <v>9720</v>
      </c>
      <c r="C177" t="s">
        <v>9378</v>
      </c>
      <c r="D177" t="s">
        <v>9378</v>
      </c>
      <c r="E177" t="s">
        <v>9378</v>
      </c>
    </row>
    <row r="178" spans="1:5" hidden="1">
      <c r="A178" t="s">
        <v>9721</v>
      </c>
      <c r="B178" t="s">
        <v>9722</v>
      </c>
      <c r="C178" t="s">
        <v>9378</v>
      </c>
      <c r="D178" t="s">
        <v>9378</v>
      </c>
      <c r="E178" t="s">
        <v>9378</v>
      </c>
    </row>
    <row r="179" spans="1:5" hidden="1">
      <c r="A179" t="s">
        <v>9723</v>
      </c>
      <c r="B179" t="s">
        <v>9724</v>
      </c>
      <c r="C179" t="s">
        <v>9378</v>
      </c>
      <c r="D179" t="s">
        <v>9378</v>
      </c>
      <c r="E179" t="s">
        <v>9378</v>
      </c>
    </row>
    <row r="180" spans="1:5">
      <c r="A180" s="81" t="s">
        <v>9725</v>
      </c>
      <c r="B180" t="s">
        <v>9726</v>
      </c>
      <c r="C180" t="s">
        <v>9369</v>
      </c>
      <c r="D180" t="s">
        <v>9369</v>
      </c>
      <c r="E180" t="s">
        <v>9369</v>
      </c>
    </row>
    <row r="181" spans="1:5" hidden="1">
      <c r="A181" t="s">
        <v>9727</v>
      </c>
      <c r="B181" t="s">
        <v>9728</v>
      </c>
      <c r="C181" t="s">
        <v>9378</v>
      </c>
      <c r="D181" t="s">
        <v>9378</v>
      </c>
      <c r="E181" t="s">
        <v>9378</v>
      </c>
    </row>
    <row r="182" spans="1:5" hidden="1">
      <c r="A182" t="s">
        <v>9729</v>
      </c>
      <c r="B182" t="s">
        <v>9730</v>
      </c>
      <c r="C182" t="s">
        <v>9378</v>
      </c>
      <c r="D182" t="s">
        <v>9378</v>
      </c>
      <c r="E182" t="s">
        <v>9378</v>
      </c>
    </row>
    <row r="183" spans="1:5" hidden="1">
      <c r="A183" t="s">
        <v>9731</v>
      </c>
      <c r="B183" t="s">
        <v>9732</v>
      </c>
      <c r="C183" t="s">
        <v>9378</v>
      </c>
      <c r="D183" t="s">
        <v>9378</v>
      </c>
      <c r="E183" t="s">
        <v>9378</v>
      </c>
    </row>
    <row r="184" spans="1:5" hidden="1">
      <c r="A184" t="s">
        <v>9733</v>
      </c>
      <c r="B184" t="s">
        <v>9734</v>
      </c>
      <c r="C184" t="s">
        <v>9378</v>
      </c>
      <c r="D184" t="s">
        <v>9378</v>
      </c>
      <c r="E184" t="s">
        <v>9378</v>
      </c>
    </row>
    <row r="185" spans="1:5" hidden="1">
      <c r="A185" t="s">
        <v>9735</v>
      </c>
      <c r="B185" t="s">
        <v>9736</v>
      </c>
      <c r="C185" t="s">
        <v>9378</v>
      </c>
      <c r="D185" t="s">
        <v>9378</v>
      </c>
      <c r="E185" t="s">
        <v>9378</v>
      </c>
    </row>
    <row r="186" spans="1:5" hidden="1">
      <c r="A186" t="s">
        <v>9737</v>
      </c>
      <c r="B186" t="s">
        <v>9738</v>
      </c>
      <c r="C186" t="s">
        <v>9378</v>
      </c>
      <c r="D186" t="s">
        <v>9378</v>
      </c>
      <c r="E186" t="s">
        <v>9378</v>
      </c>
    </row>
    <row r="187" spans="1:5" hidden="1">
      <c r="A187" t="s">
        <v>9739</v>
      </c>
      <c r="B187" t="s">
        <v>9740</v>
      </c>
      <c r="C187" t="s">
        <v>9378</v>
      </c>
      <c r="D187" t="s">
        <v>9378</v>
      </c>
      <c r="E187" t="s">
        <v>9378</v>
      </c>
    </row>
    <row r="188" spans="1:5" hidden="1">
      <c r="A188" t="s">
        <v>9741</v>
      </c>
      <c r="B188" t="s">
        <v>9742</v>
      </c>
      <c r="C188" t="s">
        <v>9378</v>
      </c>
      <c r="D188" t="s">
        <v>9378</v>
      </c>
      <c r="E188" t="s">
        <v>9378</v>
      </c>
    </row>
    <row r="189" spans="1:5" hidden="1">
      <c r="A189" t="s">
        <v>9743</v>
      </c>
      <c r="B189" t="s">
        <v>9744</v>
      </c>
      <c r="C189" t="s">
        <v>9378</v>
      </c>
      <c r="D189" t="s">
        <v>9378</v>
      </c>
      <c r="E189" t="s">
        <v>9378</v>
      </c>
    </row>
    <row r="190" spans="1:5" hidden="1">
      <c r="A190" t="s">
        <v>9745</v>
      </c>
      <c r="B190" t="s">
        <v>9746</v>
      </c>
      <c r="C190" t="s">
        <v>9378</v>
      </c>
      <c r="D190" t="s">
        <v>9378</v>
      </c>
      <c r="E190" t="s">
        <v>9378</v>
      </c>
    </row>
    <row r="191" spans="1:5" hidden="1">
      <c r="A191" t="s">
        <v>9747</v>
      </c>
      <c r="B191" t="s">
        <v>9748</v>
      </c>
      <c r="C191" t="s">
        <v>9378</v>
      </c>
      <c r="D191" t="s">
        <v>9378</v>
      </c>
      <c r="E191" t="s">
        <v>9378</v>
      </c>
    </row>
    <row r="192" spans="1:5" hidden="1">
      <c r="A192" t="s">
        <v>9749</v>
      </c>
      <c r="B192" t="s">
        <v>9750</v>
      </c>
      <c r="C192" t="s">
        <v>9378</v>
      </c>
      <c r="D192" t="s">
        <v>9378</v>
      </c>
      <c r="E192" t="s">
        <v>9378</v>
      </c>
    </row>
    <row r="193" spans="1:5" hidden="1">
      <c r="A193" t="s">
        <v>9751</v>
      </c>
      <c r="B193" t="s">
        <v>9752</v>
      </c>
      <c r="C193" t="s">
        <v>9378</v>
      </c>
      <c r="D193" t="s">
        <v>9378</v>
      </c>
      <c r="E193" t="s">
        <v>9378</v>
      </c>
    </row>
    <row r="194" spans="1:5" hidden="1">
      <c r="A194" t="s">
        <v>9753</v>
      </c>
      <c r="B194" t="s">
        <v>9754</v>
      </c>
      <c r="C194" t="s">
        <v>9378</v>
      </c>
      <c r="D194" t="s">
        <v>9378</v>
      </c>
      <c r="E194" t="s">
        <v>9378</v>
      </c>
    </row>
    <row r="195" spans="1:5" hidden="1">
      <c r="A195" t="s">
        <v>9755</v>
      </c>
      <c r="B195" t="s">
        <v>9756</v>
      </c>
      <c r="C195" t="s">
        <v>9378</v>
      </c>
      <c r="D195" t="s">
        <v>9378</v>
      </c>
      <c r="E195" t="s">
        <v>9353</v>
      </c>
    </row>
    <row r="196" spans="1:5" hidden="1">
      <c r="A196" t="s">
        <v>9757</v>
      </c>
      <c r="B196" t="s">
        <v>9758</v>
      </c>
      <c r="C196" t="s">
        <v>9378</v>
      </c>
      <c r="D196" t="s">
        <v>9378</v>
      </c>
      <c r="E196" t="s">
        <v>9353</v>
      </c>
    </row>
    <row r="197" spans="1:5" hidden="1">
      <c r="A197" t="s">
        <v>9759</v>
      </c>
      <c r="B197" t="s">
        <v>9760</v>
      </c>
      <c r="C197" t="s">
        <v>9378</v>
      </c>
      <c r="D197" t="s">
        <v>9378</v>
      </c>
      <c r="E197" t="s">
        <v>9353</v>
      </c>
    </row>
    <row r="198" spans="1:5" hidden="1">
      <c r="A198" t="s">
        <v>9761</v>
      </c>
      <c r="B198" t="s">
        <v>9762</v>
      </c>
      <c r="C198" t="s">
        <v>9378</v>
      </c>
      <c r="D198" t="s">
        <v>9378</v>
      </c>
      <c r="E198" t="s">
        <v>9353</v>
      </c>
    </row>
    <row r="199" spans="1:5" hidden="1">
      <c r="A199" t="s">
        <v>9763</v>
      </c>
      <c r="B199" t="s">
        <v>9764</v>
      </c>
      <c r="C199" t="s">
        <v>9378</v>
      </c>
      <c r="D199" t="s">
        <v>9378</v>
      </c>
      <c r="E199" t="s">
        <v>9353</v>
      </c>
    </row>
    <row r="200" spans="1:5" hidden="1">
      <c r="A200" t="s">
        <v>9765</v>
      </c>
      <c r="B200" t="s">
        <v>9766</v>
      </c>
      <c r="C200" t="s">
        <v>9378</v>
      </c>
      <c r="D200" t="s">
        <v>9378</v>
      </c>
      <c r="E200" t="s">
        <v>9378</v>
      </c>
    </row>
    <row r="201" spans="1:5" hidden="1">
      <c r="A201" t="s">
        <v>9767</v>
      </c>
      <c r="B201" t="s">
        <v>9768</v>
      </c>
      <c r="C201" t="s">
        <v>9378</v>
      </c>
      <c r="D201" t="s">
        <v>9378</v>
      </c>
      <c r="E201" t="s">
        <v>9378</v>
      </c>
    </row>
    <row r="202" spans="1:5" hidden="1">
      <c r="A202" t="s">
        <v>9769</v>
      </c>
      <c r="B202" t="s">
        <v>9770</v>
      </c>
      <c r="C202" t="s">
        <v>9378</v>
      </c>
      <c r="D202" t="s">
        <v>9378</v>
      </c>
      <c r="E202" t="s">
        <v>9378</v>
      </c>
    </row>
    <row r="203" spans="1:5" hidden="1">
      <c r="A203" t="s">
        <v>9771</v>
      </c>
      <c r="B203" t="s">
        <v>9772</v>
      </c>
      <c r="C203" t="s">
        <v>9378</v>
      </c>
      <c r="D203" t="s">
        <v>9378</v>
      </c>
      <c r="E203" t="s">
        <v>9378</v>
      </c>
    </row>
    <row r="204" spans="1:5" hidden="1">
      <c r="A204" t="s">
        <v>9773</v>
      </c>
      <c r="B204" t="s">
        <v>9774</v>
      </c>
      <c r="C204" t="s">
        <v>9378</v>
      </c>
      <c r="D204" t="s">
        <v>9378</v>
      </c>
      <c r="E204" t="s">
        <v>9378</v>
      </c>
    </row>
    <row r="205" spans="1:5">
      <c r="A205" s="81" t="s">
        <v>434</v>
      </c>
      <c r="B205" t="s">
        <v>435</v>
      </c>
      <c r="C205" t="s">
        <v>9369</v>
      </c>
      <c r="D205" t="s">
        <v>9369</v>
      </c>
      <c r="E205" t="s">
        <v>9369</v>
      </c>
    </row>
    <row r="206" spans="1:5" hidden="1">
      <c r="A206" t="s">
        <v>9775</v>
      </c>
      <c r="B206" t="s">
        <v>9776</v>
      </c>
      <c r="C206" t="s">
        <v>9378</v>
      </c>
      <c r="D206" t="s">
        <v>9378</v>
      </c>
      <c r="E206" t="s">
        <v>9405</v>
      </c>
    </row>
    <row r="207" spans="1:5" hidden="1">
      <c r="A207" t="s">
        <v>9777</v>
      </c>
      <c r="B207" t="s">
        <v>9778</v>
      </c>
      <c r="C207" t="s">
        <v>9378</v>
      </c>
      <c r="D207" t="s">
        <v>9378</v>
      </c>
      <c r="E207" t="s">
        <v>9405</v>
      </c>
    </row>
    <row r="208" spans="1:5" hidden="1">
      <c r="A208" t="s">
        <v>9779</v>
      </c>
      <c r="B208" t="s">
        <v>9780</v>
      </c>
      <c r="C208" t="s">
        <v>9378</v>
      </c>
      <c r="D208" t="s">
        <v>9378</v>
      </c>
      <c r="E208" t="s">
        <v>9378</v>
      </c>
    </row>
    <row r="209" spans="1:5" hidden="1">
      <c r="A209" t="s">
        <v>9781</v>
      </c>
      <c r="B209" t="s">
        <v>9782</v>
      </c>
      <c r="C209" t="s">
        <v>9378</v>
      </c>
      <c r="D209" t="s">
        <v>9378</v>
      </c>
      <c r="E209" t="s">
        <v>9378</v>
      </c>
    </row>
    <row r="210" spans="1:5" hidden="1">
      <c r="A210" t="s">
        <v>9783</v>
      </c>
      <c r="B210" t="s">
        <v>9784</v>
      </c>
      <c r="C210" t="s">
        <v>9378</v>
      </c>
      <c r="D210" t="s">
        <v>9378</v>
      </c>
      <c r="E210" t="s">
        <v>9378</v>
      </c>
    </row>
    <row r="211" spans="1:5" hidden="1">
      <c r="A211" t="s">
        <v>9785</v>
      </c>
      <c r="B211" t="s">
        <v>9786</v>
      </c>
      <c r="C211" t="s">
        <v>9378</v>
      </c>
      <c r="D211" t="s">
        <v>9378</v>
      </c>
      <c r="E211" t="s">
        <v>9378</v>
      </c>
    </row>
    <row r="212" spans="1:5" hidden="1">
      <c r="A212" t="s">
        <v>9787</v>
      </c>
      <c r="B212" t="s">
        <v>9788</v>
      </c>
      <c r="C212" t="s">
        <v>9378</v>
      </c>
      <c r="D212" t="s">
        <v>9378</v>
      </c>
      <c r="E212" t="s">
        <v>9378</v>
      </c>
    </row>
    <row r="213" spans="1:5" hidden="1">
      <c r="A213" t="s">
        <v>9789</v>
      </c>
      <c r="B213" t="s">
        <v>9790</v>
      </c>
      <c r="C213" t="s">
        <v>9378</v>
      </c>
      <c r="D213" t="s">
        <v>9378</v>
      </c>
      <c r="E213" t="s">
        <v>9378</v>
      </c>
    </row>
    <row r="214" spans="1:5" hidden="1">
      <c r="A214" t="s">
        <v>9791</v>
      </c>
      <c r="B214" t="s">
        <v>9792</v>
      </c>
      <c r="C214" t="s">
        <v>9378</v>
      </c>
      <c r="D214" t="s">
        <v>9378</v>
      </c>
      <c r="E214" t="s">
        <v>9378</v>
      </c>
    </row>
    <row r="215" spans="1:5">
      <c r="A215" s="81" t="s">
        <v>471</v>
      </c>
      <c r="B215" t="s">
        <v>472</v>
      </c>
      <c r="C215" t="s">
        <v>9369</v>
      </c>
      <c r="D215" t="s">
        <v>9369</v>
      </c>
      <c r="E215" t="s">
        <v>9369</v>
      </c>
    </row>
    <row r="216" spans="1:5">
      <c r="A216" s="81" t="s">
        <v>9793</v>
      </c>
      <c r="B216" t="s">
        <v>9794</v>
      </c>
      <c r="C216" t="s">
        <v>9369</v>
      </c>
      <c r="D216" t="s">
        <v>9369</v>
      </c>
      <c r="E216" t="s">
        <v>9369</v>
      </c>
    </row>
    <row r="217" spans="1:5" hidden="1">
      <c r="A217" t="s">
        <v>9795</v>
      </c>
      <c r="B217" t="s">
        <v>9796</v>
      </c>
      <c r="C217" t="s">
        <v>9378</v>
      </c>
      <c r="D217" t="s">
        <v>9378</v>
      </c>
      <c r="E217" t="s">
        <v>9378</v>
      </c>
    </row>
    <row r="218" spans="1:5" hidden="1">
      <c r="A218" t="s">
        <v>9797</v>
      </c>
      <c r="B218" t="s">
        <v>9798</v>
      </c>
      <c r="C218" t="s">
        <v>9378</v>
      </c>
      <c r="D218" t="s">
        <v>9378</v>
      </c>
      <c r="E218" t="s">
        <v>9378</v>
      </c>
    </row>
    <row r="219" spans="1:5" hidden="1">
      <c r="A219" t="s">
        <v>9799</v>
      </c>
      <c r="B219" t="s">
        <v>9800</v>
      </c>
      <c r="C219" t="s">
        <v>9378</v>
      </c>
      <c r="D219" t="s">
        <v>9378</v>
      </c>
      <c r="E219" t="s">
        <v>9378</v>
      </c>
    </row>
    <row r="220" spans="1:5" hidden="1">
      <c r="A220" t="s">
        <v>9801</v>
      </c>
      <c r="B220" t="s">
        <v>9802</v>
      </c>
      <c r="C220" t="s">
        <v>9378</v>
      </c>
      <c r="D220" t="s">
        <v>9378</v>
      </c>
      <c r="E220" t="s">
        <v>9378</v>
      </c>
    </row>
    <row r="221" spans="1:5" hidden="1">
      <c r="A221" t="s">
        <v>9803</v>
      </c>
      <c r="B221" t="s">
        <v>9804</v>
      </c>
      <c r="C221" t="s">
        <v>9378</v>
      </c>
      <c r="D221" t="s">
        <v>9378</v>
      </c>
      <c r="E221" t="s">
        <v>9378</v>
      </c>
    </row>
    <row r="222" spans="1:5" hidden="1">
      <c r="A222" t="s">
        <v>9805</v>
      </c>
      <c r="B222" t="s">
        <v>9806</v>
      </c>
      <c r="C222" t="s">
        <v>9378</v>
      </c>
      <c r="D222" t="s">
        <v>9378</v>
      </c>
      <c r="E222" t="s">
        <v>9378</v>
      </c>
    </row>
    <row r="223" spans="1:5">
      <c r="A223" s="81" t="s">
        <v>9807</v>
      </c>
      <c r="B223" t="s">
        <v>9808</v>
      </c>
      <c r="C223" t="s">
        <v>9369</v>
      </c>
      <c r="D223" t="s">
        <v>9369</v>
      </c>
      <c r="E223" t="s">
        <v>9369</v>
      </c>
    </row>
    <row r="224" spans="1:5" hidden="1">
      <c r="A224" t="s">
        <v>9809</v>
      </c>
      <c r="B224" t="s">
        <v>9810</v>
      </c>
      <c r="C224" t="s">
        <v>9378</v>
      </c>
      <c r="D224" t="s">
        <v>9378</v>
      </c>
      <c r="E224" t="s">
        <v>9378</v>
      </c>
    </row>
    <row r="225" spans="1:5" hidden="1">
      <c r="A225" t="s">
        <v>9811</v>
      </c>
      <c r="B225" t="s">
        <v>9812</v>
      </c>
      <c r="C225" t="s">
        <v>9378</v>
      </c>
      <c r="D225" t="s">
        <v>9378</v>
      </c>
      <c r="E225" t="s">
        <v>9378</v>
      </c>
    </row>
    <row r="226" spans="1:5" hidden="1">
      <c r="A226" t="s">
        <v>9813</v>
      </c>
      <c r="B226" t="s">
        <v>9814</v>
      </c>
      <c r="C226" t="s">
        <v>9378</v>
      </c>
      <c r="D226" t="s">
        <v>9378</v>
      </c>
      <c r="E226" t="s">
        <v>9378</v>
      </c>
    </row>
    <row r="227" spans="1:5" hidden="1">
      <c r="A227" t="s">
        <v>9815</v>
      </c>
      <c r="B227" t="s">
        <v>9816</v>
      </c>
      <c r="C227" t="s">
        <v>9378</v>
      </c>
      <c r="D227" t="s">
        <v>9378</v>
      </c>
      <c r="E227" t="s">
        <v>9378</v>
      </c>
    </row>
    <row r="228" spans="1:5" hidden="1">
      <c r="A228" t="s">
        <v>9817</v>
      </c>
      <c r="B228" t="s">
        <v>9818</v>
      </c>
      <c r="C228" t="s">
        <v>9378</v>
      </c>
      <c r="D228" t="s">
        <v>9378</v>
      </c>
      <c r="E228" t="s">
        <v>9378</v>
      </c>
    </row>
    <row r="229" spans="1:5" hidden="1">
      <c r="A229" t="s">
        <v>9819</v>
      </c>
      <c r="B229" t="s">
        <v>9820</v>
      </c>
      <c r="C229" t="s">
        <v>9378</v>
      </c>
      <c r="D229" t="s">
        <v>9378</v>
      </c>
      <c r="E229" t="s">
        <v>9378</v>
      </c>
    </row>
    <row r="230" spans="1:5" hidden="1">
      <c r="A230" t="s">
        <v>9821</v>
      </c>
      <c r="B230" t="s">
        <v>9822</v>
      </c>
      <c r="C230" t="s">
        <v>9378</v>
      </c>
      <c r="D230" t="s">
        <v>9378</v>
      </c>
      <c r="E230" t="s">
        <v>9378</v>
      </c>
    </row>
    <row r="231" spans="1:5" hidden="1">
      <c r="A231" t="s">
        <v>9823</v>
      </c>
      <c r="B231" t="s">
        <v>9824</v>
      </c>
      <c r="C231" t="s">
        <v>9378</v>
      </c>
      <c r="D231" t="s">
        <v>9378</v>
      </c>
      <c r="E231" t="s">
        <v>9378</v>
      </c>
    </row>
    <row r="232" spans="1:5" hidden="1">
      <c r="A232" t="s">
        <v>9825</v>
      </c>
      <c r="B232" t="s">
        <v>9826</v>
      </c>
      <c r="C232" t="s">
        <v>9378</v>
      </c>
      <c r="D232" t="s">
        <v>9378</v>
      </c>
      <c r="E232" t="s">
        <v>9378</v>
      </c>
    </row>
    <row r="233" spans="1:5" hidden="1">
      <c r="A233" t="s">
        <v>9827</v>
      </c>
      <c r="B233" t="s">
        <v>9828</v>
      </c>
      <c r="C233" t="s">
        <v>9378</v>
      </c>
      <c r="D233" t="s">
        <v>9378</v>
      </c>
      <c r="E233" t="s">
        <v>9378</v>
      </c>
    </row>
    <row r="234" spans="1:5" hidden="1">
      <c r="A234" t="s">
        <v>9829</v>
      </c>
      <c r="B234" t="s">
        <v>9830</v>
      </c>
      <c r="C234" t="s">
        <v>9378</v>
      </c>
      <c r="D234" t="s">
        <v>9378</v>
      </c>
      <c r="E234" t="s">
        <v>9378</v>
      </c>
    </row>
    <row r="235" spans="1:5" hidden="1">
      <c r="A235" t="s">
        <v>9831</v>
      </c>
      <c r="B235" t="s">
        <v>9832</v>
      </c>
      <c r="C235" t="s">
        <v>9378</v>
      </c>
      <c r="D235" t="s">
        <v>9378</v>
      </c>
      <c r="E235" t="s">
        <v>9405</v>
      </c>
    </row>
    <row r="236" spans="1:5" hidden="1">
      <c r="A236" t="s">
        <v>9833</v>
      </c>
      <c r="B236" t="s">
        <v>9834</v>
      </c>
      <c r="C236" t="s">
        <v>9378</v>
      </c>
      <c r="D236" t="s">
        <v>9378</v>
      </c>
      <c r="E236" t="s">
        <v>9405</v>
      </c>
    </row>
    <row r="237" spans="1:5">
      <c r="A237" s="81" t="s">
        <v>9835</v>
      </c>
      <c r="B237" t="s">
        <v>9836</v>
      </c>
      <c r="C237" t="s">
        <v>9369</v>
      </c>
      <c r="D237" t="s">
        <v>9369</v>
      </c>
      <c r="E237" t="s">
        <v>9369</v>
      </c>
    </row>
    <row r="238" spans="1:5" hidden="1">
      <c r="A238" t="s">
        <v>9837</v>
      </c>
      <c r="B238" t="s">
        <v>9838</v>
      </c>
      <c r="C238" t="s">
        <v>9378</v>
      </c>
      <c r="D238" t="s">
        <v>9378</v>
      </c>
      <c r="E238" t="s">
        <v>9378</v>
      </c>
    </row>
    <row r="239" spans="1:5" hidden="1">
      <c r="A239" t="s">
        <v>9839</v>
      </c>
      <c r="B239" t="s">
        <v>9840</v>
      </c>
      <c r="C239" t="s">
        <v>9378</v>
      </c>
      <c r="D239" t="s">
        <v>9378</v>
      </c>
      <c r="E239" t="s">
        <v>9378</v>
      </c>
    </row>
    <row r="240" spans="1:5" hidden="1">
      <c r="A240" t="s">
        <v>9841</v>
      </c>
      <c r="B240" t="s">
        <v>9842</v>
      </c>
      <c r="C240" t="s">
        <v>9378</v>
      </c>
      <c r="D240" t="s">
        <v>9378</v>
      </c>
      <c r="E240" t="s">
        <v>9378</v>
      </c>
    </row>
    <row r="241" spans="1:5" hidden="1">
      <c r="A241" t="s">
        <v>9843</v>
      </c>
      <c r="B241" t="s">
        <v>9844</v>
      </c>
      <c r="C241" t="s">
        <v>9378</v>
      </c>
      <c r="D241" t="s">
        <v>9378</v>
      </c>
      <c r="E241" t="s">
        <v>9378</v>
      </c>
    </row>
    <row r="242" spans="1:5" hidden="1">
      <c r="A242" t="s">
        <v>9845</v>
      </c>
      <c r="B242" t="s">
        <v>9846</v>
      </c>
      <c r="C242" t="s">
        <v>9378</v>
      </c>
      <c r="D242" t="s">
        <v>9378</v>
      </c>
      <c r="E242" t="s">
        <v>9378</v>
      </c>
    </row>
    <row r="243" spans="1:5" hidden="1">
      <c r="A243" t="s">
        <v>9847</v>
      </c>
      <c r="B243" t="s">
        <v>9848</v>
      </c>
      <c r="C243" t="s">
        <v>9378</v>
      </c>
      <c r="D243" t="s">
        <v>9378</v>
      </c>
      <c r="E243" t="s">
        <v>9378</v>
      </c>
    </row>
    <row r="244" spans="1:5" hidden="1">
      <c r="A244" t="s">
        <v>9849</v>
      </c>
      <c r="B244" t="s">
        <v>9850</v>
      </c>
      <c r="C244" t="s">
        <v>9378</v>
      </c>
      <c r="D244" t="s">
        <v>9378</v>
      </c>
      <c r="E244" t="s">
        <v>9378</v>
      </c>
    </row>
    <row r="245" spans="1:5" hidden="1">
      <c r="A245" t="s">
        <v>9851</v>
      </c>
      <c r="B245" t="s">
        <v>9852</v>
      </c>
      <c r="C245" t="s">
        <v>9378</v>
      </c>
      <c r="D245" t="s">
        <v>9378</v>
      </c>
      <c r="E245" t="s">
        <v>9378</v>
      </c>
    </row>
    <row r="246" spans="1:5" hidden="1">
      <c r="A246" t="s">
        <v>9853</v>
      </c>
      <c r="B246" t="s">
        <v>9854</v>
      </c>
      <c r="C246" t="s">
        <v>9378</v>
      </c>
      <c r="D246" t="s">
        <v>9378</v>
      </c>
      <c r="E246" t="s">
        <v>9378</v>
      </c>
    </row>
    <row r="247" spans="1:5" hidden="1">
      <c r="A247" t="s">
        <v>9855</v>
      </c>
      <c r="B247" t="s">
        <v>9856</v>
      </c>
      <c r="C247" t="s">
        <v>9378</v>
      </c>
      <c r="D247" t="s">
        <v>9378</v>
      </c>
      <c r="E247" t="s">
        <v>9378</v>
      </c>
    </row>
    <row r="248" spans="1:5" hidden="1">
      <c r="A248" t="s">
        <v>9857</v>
      </c>
      <c r="B248" t="s">
        <v>9858</v>
      </c>
      <c r="C248" t="s">
        <v>9378</v>
      </c>
      <c r="D248" t="s">
        <v>9378</v>
      </c>
      <c r="E248" t="s">
        <v>9378</v>
      </c>
    </row>
    <row r="249" spans="1:5" hidden="1">
      <c r="A249" t="s">
        <v>9859</v>
      </c>
      <c r="B249" t="s">
        <v>9860</v>
      </c>
      <c r="C249" t="s">
        <v>9378</v>
      </c>
      <c r="D249" t="s">
        <v>9378</v>
      </c>
      <c r="E249" t="s">
        <v>9378</v>
      </c>
    </row>
    <row r="250" spans="1:5" hidden="1">
      <c r="A250" t="s">
        <v>9861</v>
      </c>
      <c r="B250" t="s">
        <v>9862</v>
      </c>
      <c r="C250" t="s">
        <v>9378</v>
      </c>
      <c r="D250" t="s">
        <v>9378</v>
      </c>
      <c r="E250" t="s">
        <v>9378</v>
      </c>
    </row>
    <row r="251" spans="1:5" hidden="1">
      <c r="A251" t="s">
        <v>9863</v>
      </c>
      <c r="B251" t="s">
        <v>9864</v>
      </c>
      <c r="C251" t="s">
        <v>9378</v>
      </c>
      <c r="D251" t="s">
        <v>9378</v>
      </c>
      <c r="E251" t="s">
        <v>9378</v>
      </c>
    </row>
    <row r="252" spans="1:5" hidden="1">
      <c r="A252" t="s">
        <v>9865</v>
      </c>
      <c r="B252" t="s">
        <v>9866</v>
      </c>
      <c r="C252" t="s">
        <v>9378</v>
      </c>
      <c r="D252" t="s">
        <v>9378</v>
      </c>
      <c r="E252" t="s">
        <v>9378</v>
      </c>
    </row>
    <row r="253" spans="1:5" hidden="1">
      <c r="A253" t="s">
        <v>9867</v>
      </c>
      <c r="B253" t="s">
        <v>9868</v>
      </c>
      <c r="C253" t="s">
        <v>9378</v>
      </c>
      <c r="D253" t="s">
        <v>9378</v>
      </c>
      <c r="E253" t="s">
        <v>9378</v>
      </c>
    </row>
    <row r="254" spans="1:5" hidden="1">
      <c r="A254" t="s">
        <v>9869</v>
      </c>
      <c r="B254" t="s">
        <v>9870</v>
      </c>
      <c r="C254" t="s">
        <v>9378</v>
      </c>
      <c r="D254" t="s">
        <v>9378</v>
      </c>
      <c r="E254" t="s">
        <v>9378</v>
      </c>
    </row>
    <row r="255" spans="1:5" hidden="1">
      <c r="A255" t="s">
        <v>9871</v>
      </c>
      <c r="B255" t="s">
        <v>9872</v>
      </c>
      <c r="C255" t="s">
        <v>9378</v>
      </c>
      <c r="D255" t="s">
        <v>9378</v>
      </c>
      <c r="E255" t="s">
        <v>9405</v>
      </c>
    </row>
    <row r="256" spans="1:5" hidden="1">
      <c r="A256" t="s">
        <v>9873</v>
      </c>
      <c r="B256" t="s">
        <v>9874</v>
      </c>
      <c r="C256" t="s">
        <v>9378</v>
      </c>
      <c r="D256" t="s">
        <v>9378</v>
      </c>
      <c r="E256" t="s">
        <v>9405</v>
      </c>
    </row>
    <row r="257" spans="1:5" hidden="1">
      <c r="A257" t="s">
        <v>9875</v>
      </c>
      <c r="B257" t="s">
        <v>9876</v>
      </c>
      <c r="C257" t="s">
        <v>9378</v>
      </c>
      <c r="D257" t="s">
        <v>9378</v>
      </c>
      <c r="E257" t="s">
        <v>9405</v>
      </c>
    </row>
    <row r="258" spans="1:5">
      <c r="A258" s="81" t="s">
        <v>9877</v>
      </c>
      <c r="B258" t="s">
        <v>9878</v>
      </c>
      <c r="C258" t="s">
        <v>9369</v>
      </c>
      <c r="D258" t="s">
        <v>9369</v>
      </c>
      <c r="E258" t="s">
        <v>9369</v>
      </c>
    </row>
    <row r="259" spans="1:5" hidden="1">
      <c r="A259" t="s">
        <v>9879</v>
      </c>
      <c r="B259" t="s">
        <v>9880</v>
      </c>
      <c r="C259" t="s">
        <v>9378</v>
      </c>
      <c r="D259" t="s">
        <v>9378</v>
      </c>
      <c r="E259" t="s">
        <v>9353</v>
      </c>
    </row>
    <row r="260" spans="1:5" hidden="1">
      <c r="A260" t="s">
        <v>9881</v>
      </c>
      <c r="B260" t="s">
        <v>9882</v>
      </c>
      <c r="C260" t="s">
        <v>9378</v>
      </c>
      <c r="D260" t="s">
        <v>9378</v>
      </c>
      <c r="E260" t="s">
        <v>9353</v>
      </c>
    </row>
    <row r="261" spans="1:5" hidden="1">
      <c r="A261" t="s">
        <v>9883</v>
      </c>
      <c r="B261" t="s">
        <v>9884</v>
      </c>
      <c r="C261" t="s">
        <v>9378</v>
      </c>
      <c r="D261" t="s">
        <v>9378</v>
      </c>
      <c r="E261" t="s">
        <v>9353</v>
      </c>
    </row>
    <row r="262" spans="1:5" hidden="1">
      <c r="A262" t="s">
        <v>9885</v>
      </c>
      <c r="B262" t="s">
        <v>9886</v>
      </c>
      <c r="C262" t="s">
        <v>9378</v>
      </c>
      <c r="D262" t="s">
        <v>9378</v>
      </c>
      <c r="E262" t="s">
        <v>9353</v>
      </c>
    </row>
    <row r="263" spans="1:5">
      <c r="A263" s="81" t="s">
        <v>468</v>
      </c>
      <c r="B263" t="s">
        <v>9887</v>
      </c>
      <c r="C263" t="s">
        <v>9369</v>
      </c>
      <c r="D263" t="s">
        <v>9369</v>
      </c>
      <c r="E263" t="s">
        <v>9369</v>
      </c>
    </row>
    <row r="264" spans="1:5" hidden="1">
      <c r="A264" t="s">
        <v>9888</v>
      </c>
      <c r="B264" t="s">
        <v>9889</v>
      </c>
      <c r="C264" t="s">
        <v>9378</v>
      </c>
      <c r="D264" t="s">
        <v>9378</v>
      </c>
      <c r="E264" t="s">
        <v>9405</v>
      </c>
    </row>
    <row r="265" spans="1:5" hidden="1">
      <c r="A265" t="s">
        <v>9890</v>
      </c>
      <c r="B265" t="s">
        <v>9891</v>
      </c>
      <c r="C265" t="s">
        <v>9378</v>
      </c>
      <c r="D265" t="s">
        <v>9378</v>
      </c>
      <c r="E265" t="s">
        <v>9378</v>
      </c>
    </row>
    <row r="266" spans="1:5" hidden="1">
      <c r="A266" t="s">
        <v>9892</v>
      </c>
      <c r="B266" t="s">
        <v>9893</v>
      </c>
      <c r="C266" t="s">
        <v>9378</v>
      </c>
      <c r="D266" t="s">
        <v>9378</v>
      </c>
      <c r="E266" t="s">
        <v>9378</v>
      </c>
    </row>
    <row r="267" spans="1:5" hidden="1">
      <c r="A267" t="s">
        <v>9894</v>
      </c>
      <c r="B267" t="s">
        <v>9895</v>
      </c>
      <c r="C267" t="s">
        <v>9378</v>
      </c>
      <c r="D267" t="s">
        <v>9378</v>
      </c>
      <c r="E267" t="s">
        <v>9378</v>
      </c>
    </row>
    <row r="268" spans="1:5" hidden="1">
      <c r="A268" t="s">
        <v>9896</v>
      </c>
      <c r="B268" t="s">
        <v>9897</v>
      </c>
      <c r="C268" t="s">
        <v>9378</v>
      </c>
      <c r="D268" t="s">
        <v>9378</v>
      </c>
      <c r="E268" t="s">
        <v>9378</v>
      </c>
    </row>
    <row r="269" spans="1:5" hidden="1">
      <c r="A269" t="s">
        <v>9898</v>
      </c>
      <c r="B269" t="s">
        <v>9899</v>
      </c>
      <c r="C269" t="s">
        <v>9378</v>
      </c>
      <c r="D269" t="s">
        <v>9378</v>
      </c>
      <c r="E269" t="s">
        <v>9378</v>
      </c>
    </row>
    <row r="270" spans="1:5" hidden="1">
      <c r="A270" t="s">
        <v>9900</v>
      </c>
      <c r="B270" t="s">
        <v>9901</v>
      </c>
      <c r="C270" t="s">
        <v>9378</v>
      </c>
      <c r="D270" t="s">
        <v>9378</v>
      </c>
      <c r="E270" t="s">
        <v>9378</v>
      </c>
    </row>
    <row r="271" spans="1:5" hidden="1">
      <c r="A271" t="s">
        <v>9902</v>
      </c>
      <c r="B271" t="s">
        <v>9903</v>
      </c>
      <c r="C271" t="s">
        <v>9378</v>
      </c>
      <c r="D271" t="s">
        <v>9378</v>
      </c>
      <c r="E271" t="s">
        <v>9378</v>
      </c>
    </row>
    <row r="272" spans="1:5" hidden="1">
      <c r="A272" t="s">
        <v>9904</v>
      </c>
      <c r="B272" t="s">
        <v>9905</v>
      </c>
      <c r="C272" t="s">
        <v>9378</v>
      </c>
      <c r="D272" t="s">
        <v>9378</v>
      </c>
      <c r="E272" t="s">
        <v>9378</v>
      </c>
    </row>
    <row r="273" spans="1:5" hidden="1">
      <c r="A273" t="s">
        <v>9906</v>
      </c>
      <c r="B273" t="s">
        <v>9907</v>
      </c>
      <c r="C273" t="s">
        <v>9378</v>
      </c>
      <c r="D273" t="s">
        <v>9378</v>
      </c>
      <c r="E273" t="s">
        <v>9378</v>
      </c>
    </row>
    <row r="274" spans="1:5" hidden="1">
      <c r="A274" t="s">
        <v>9908</v>
      </c>
      <c r="B274" t="s">
        <v>9909</v>
      </c>
      <c r="C274" t="s">
        <v>9378</v>
      </c>
      <c r="D274" t="s">
        <v>9378</v>
      </c>
      <c r="E274" t="s">
        <v>9378</v>
      </c>
    </row>
    <row r="275" spans="1:5" hidden="1">
      <c r="A275" t="s">
        <v>9910</v>
      </c>
      <c r="B275" t="s">
        <v>9911</v>
      </c>
      <c r="C275" t="s">
        <v>9378</v>
      </c>
      <c r="D275" t="s">
        <v>9378</v>
      </c>
      <c r="E275" t="s">
        <v>9378</v>
      </c>
    </row>
    <row r="276" spans="1:5" hidden="1">
      <c r="A276" t="s">
        <v>9912</v>
      </c>
      <c r="B276" t="s">
        <v>9913</v>
      </c>
      <c r="C276" t="s">
        <v>9378</v>
      </c>
      <c r="D276" t="s">
        <v>9378</v>
      </c>
      <c r="E276" t="s">
        <v>9378</v>
      </c>
    </row>
    <row r="277" spans="1:5" hidden="1">
      <c r="A277" t="s">
        <v>9914</v>
      </c>
      <c r="B277" t="s">
        <v>9915</v>
      </c>
      <c r="C277" t="s">
        <v>9378</v>
      </c>
      <c r="D277" t="s">
        <v>9378</v>
      </c>
      <c r="E277" t="s">
        <v>9378</v>
      </c>
    </row>
    <row r="278" spans="1:5" hidden="1">
      <c r="A278" t="s">
        <v>9916</v>
      </c>
      <c r="B278" t="s">
        <v>9917</v>
      </c>
      <c r="C278" t="s">
        <v>9378</v>
      </c>
      <c r="D278" t="s">
        <v>9378</v>
      </c>
      <c r="E278" t="s">
        <v>9378</v>
      </c>
    </row>
    <row r="279" spans="1:5" hidden="1">
      <c r="A279" t="s">
        <v>9918</v>
      </c>
      <c r="B279" t="s">
        <v>9919</v>
      </c>
      <c r="C279" t="s">
        <v>9378</v>
      </c>
      <c r="D279" t="s">
        <v>9378</v>
      </c>
      <c r="E279" t="s">
        <v>9378</v>
      </c>
    </row>
    <row r="280" spans="1:5" hidden="1">
      <c r="A280" t="s">
        <v>9920</v>
      </c>
      <c r="B280" t="s">
        <v>9921</v>
      </c>
      <c r="C280" t="s">
        <v>9378</v>
      </c>
      <c r="D280" t="s">
        <v>9378</v>
      </c>
      <c r="E280" t="s">
        <v>9353</v>
      </c>
    </row>
    <row r="281" spans="1:5" hidden="1">
      <c r="A281" t="s">
        <v>9922</v>
      </c>
      <c r="B281" t="s">
        <v>9923</v>
      </c>
      <c r="C281" t="s">
        <v>9378</v>
      </c>
      <c r="D281" t="s">
        <v>9378</v>
      </c>
      <c r="E281" t="s">
        <v>9353</v>
      </c>
    </row>
    <row r="282" spans="1:5" hidden="1">
      <c r="A282" t="s">
        <v>9924</v>
      </c>
      <c r="B282" t="s">
        <v>9925</v>
      </c>
      <c r="C282" t="s">
        <v>9378</v>
      </c>
      <c r="D282" t="s">
        <v>9378</v>
      </c>
      <c r="E282" t="s">
        <v>9353</v>
      </c>
    </row>
    <row r="283" spans="1:5" hidden="1">
      <c r="A283" t="s">
        <v>9926</v>
      </c>
      <c r="B283" t="s">
        <v>9927</v>
      </c>
      <c r="C283" t="s">
        <v>9378</v>
      </c>
      <c r="D283" t="s">
        <v>9378</v>
      </c>
      <c r="E283" t="s">
        <v>9353</v>
      </c>
    </row>
    <row r="284" spans="1:5" hidden="1">
      <c r="A284" t="s">
        <v>9928</v>
      </c>
      <c r="B284" t="s">
        <v>9929</v>
      </c>
      <c r="C284" t="s">
        <v>9378</v>
      </c>
      <c r="D284" t="s">
        <v>9378</v>
      </c>
      <c r="E284" t="s">
        <v>9353</v>
      </c>
    </row>
    <row r="285" spans="1:5" hidden="1">
      <c r="A285" t="s">
        <v>9930</v>
      </c>
      <c r="B285" t="s">
        <v>9931</v>
      </c>
      <c r="C285" t="s">
        <v>9378</v>
      </c>
      <c r="D285" t="s">
        <v>9378</v>
      </c>
      <c r="E285" t="s">
        <v>9353</v>
      </c>
    </row>
    <row r="286" spans="1:5" hidden="1">
      <c r="A286" t="s">
        <v>9932</v>
      </c>
      <c r="B286" t="s">
        <v>9933</v>
      </c>
      <c r="C286" t="s">
        <v>9378</v>
      </c>
      <c r="D286" t="s">
        <v>9378</v>
      </c>
      <c r="E286" t="s">
        <v>9378</v>
      </c>
    </row>
    <row r="287" spans="1:5" hidden="1">
      <c r="A287" t="s">
        <v>9934</v>
      </c>
      <c r="B287" t="s">
        <v>9935</v>
      </c>
      <c r="C287" t="s">
        <v>9378</v>
      </c>
      <c r="D287" t="s">
        <v>9378</v>
      </c>
      <c r="E287" t="s">
        <v>9378</v>
      </c>
    </row>
    <row r="288" spans="1:5" hidden="1">
      <c r="A288" t="s">
        <v>9936</v>
      </c>
      <c r="B288" t="s">
        <v>9937</v>
      </c>
      <c r="C288" t="s">
        <v>9378</v>
      </c>
      <c r="D288" t="s">
        <v>9378</v>
      </c>
      <c r="E288" t="s">
        <v>9353</v>
      </c>
    </row>
    <row r="289" spans="1:5" hidden="1">
      <c r="A289" t="s">
        <v>9938</v>
      </c>
      <c r="B289" t="s">
        <v>9939</v>
      </c>
      <c r="C289" t="s">
        <v>9378</v>
      </c>
      <c r="D289" t="s">
        <v>9378</v>
      </c>
      <c r="E289" t="s">
        <v>9378</v>
      </c>
    </row>
    <row r="290" spans="1:5" hidden="1">
      <c r="A290" t="s">
        <v>9940</v>
      </c>
      <c r="B290" t="s">
        <v>9941</v>
      </c>
      <c r="C290" t="s">
        <v>9378</v>
      </c>
      <c r="D290" t="s">
        <v>9378</v>
      </c>
      <c r="E290" t="s">
        <v>9378</v>
      </c>
    </row>
    <row r="291" spans="1:5" hidden="1">
      <c r="A291" t="s">
        <v>9942</v>
      </c>
      <c r="B291" t="s">
        <v>9943</v>
      </c>
      <c r="C291" t="s">
        <v>9378</v>
      </c>
      <c r="D291" t="s">
        <v>9378</v>
      </c>
      <c r="E291" t="s">
        <v>9378</v>
      </c>
    </row>
    <row r="292" spans="1:5" hidden="1">
      <c r="A292" t="s">
        <v>9944</v>
      </c>
      <c r="B292" t="s">
        <v>9945</v>
      </c>
      <c r="C292" t="s">
        <v>9378</v>
      </c>
      <c r="D292" t="s">
        <v>9378</v>
      </c>
      <c r="E292" t="s">
        <v>9378</v>
      </c>
    </row>
    <row r="293" spans="1:5" hidden="1">
      <c r="A293" t="s">
        <v>9946</v>
      </c>
      <c r="B293" t="s">
        <v>9947</v>
      </c>
      <c r="C293" t="s">
        <v>9378</v>
      </c>
      <c r="D293" t="s">
        <v>9378</v>
      </c>
      <c r="E293" t="s">
        <v>9378</v>
      </c>
    </row>
    <row r="294" spans="1:5" hidden="1">
      <c r="A294" t="s">
        <v>9948</v>
      </c>
      <c r="B294" t="s">
        <v>9949</v>
      </c>
      <c r="C294" t="s">
        <v>9378</v>
      </c>
      <c r="D294" t="s">
        <v>9378</v>
      </c>
      <c r="E294" t="s">
        <v>9378</v>
      </c>
    </row>
    <row r="295" spans="1:5">
      <c r="A295" s="81" t="s">
        <v>9950</v>
      </c>
      <c r="B295" t="s">
        <v>9951</v>
      </c>
      <c r="C295" t="s">
        <v>9369</v>
      </c>
      <c r="D295" t="s">
        <v>9369</v>
      </c>
      <c r="E295" t="s">
        <v>9369</v>
      </c>
    </row>
    <row r="296" spans="1:5">
      <c r="A296" s="81" t="s">
        <v>9952</v>
      </c>
      <c r="B296" t="s">
        <v>9953</v>
      </c>
      <c r="C296" t="s">
        <v>9369</v>
      </c>
      <c r="D296" t="s">
        <v>9369</v>
      </c>
      <c r="E296" t="s">
        <v>9369</v>
      </c>
    </row>
    <row r="297" spans="1:5" hidden="1">
      <c r="A297" t="s">
        <v>9954</v>
      </c>
      <c r="B297" t="s">
        <v>9955</v>
      </c>
      <c r="C297" t="s">
        <v>9378</v>
      </c>
      <c r="D297" t="s">
        <v>9378</v>
      </c>
      <c r="E297" t="s">
        <v>9378</v>
      </c>
    </row>
    <row r="298" spans="1:5" hidden="1">
      <c r="A298" t="s">
        <v>9956</v>
      </c>
      <c r="B298" t="s">
        <v>9957</v>
      </c>
      <c r="C298" t="s">
        <v>9378</v>
      </c>
      <c r="D298" t="s">
        <v>9378</v>
      </c>
      <c r="E298" t="s">
        <v>9378</v>
      </c>
    </row>
    <row r="299" spans="1:5" hidden="1">
      <c r="A299" t="s">
        <v>9958</v>
      </c>
      <c r="B299" t="s">
        <v>9959</v>
      </c>
      <c r="C299" t="s">
        <v>9378</v>
      </c>
      <c r="D299" t="s">
        <v>9378</v>
      </c>
      <c r="E299" t="s">
        <v>9378</v>
      </c>
    </row>
    <row r="300" spans="1:5" hidden="1">
      <c r="A300" t="s">
        <v>9960</v>
      </c>
      <c r="B300" t="s">
        <v>9961</v>
      </c>
      <c r="C300" t="s">
        <v>9378</v>
      </c>
      <c r="D300" t="s">
        <v>9378</v>
      </c>
      <c r="E300" t="s">
        <v>9378</v>
      </c>
    </row>
    <row r="301" spans="1:5" hidden="1">
      <c r="A301" t="s">
        <v>9962</v>
      </c>
      <c r="B301" t="s">
        <v>9963</v>
      </c>
      <c r="C301" t="s">
        <v>9378</v>
      </c>
      <c r="D301" t="s">
        <v>9378</v>
      </c>
      <c r="E301" t="s">
        <v>9378</v>
      </c>
    </row>
    <row r="302" spans="1:5" hidden="1">
      <c r="A302" t="s">
        <v>9964</v>
      </c>
      <c r="B302" t="s">
        <v>9965</v>
      </c>
      <c r="C302" t="s">
        <v>9378</v>
      </c>
      <c r="D302" t="s">
        <v>9378</v>
      </c>
      <c r="E302" t="s">
        <v>9378</v>
      </c>
    </row>
    <row r="303" spans="1:5" hidden="1">
      <c r="A303" t="s">
        <v>9966</v>
      </c>
      <c r="B303" t="s">
        <v>9967</v>
      </c>
      <c r="C303" t="s">
        <v>9378</v>
      </c>
      <c r="D303" t="s">
        <v>9378</v>
      </c>
      <c r="E303" t="s">
        <v>9378</v>
      </c>
    </row>
    <row r="304" spans="1:5" hidden="1">
      <c r="A304" t="s">
        <v>9968</v>
      </c>
      <c r="B304" t="s">
        <v>9969</v>
      </c>
      <c r="C304" t="s">
        <v>9378</v>
      </c>
      <c r="D304" t="s">
        <v>9378</v>
      </c>
      <c r="E304" t="s">
        <v>9378</v>
      </c>
    </row>
    <row r="305" spans="1:5" hidden="1">
      <c r="A305" t="s">
        <v>9970</v>
      </c>
      <c r="B305" t="s">
        <v>9971</v>
      </c>
      <c r="C305" t="s">
        <v>9378</v>
      </c>
      <c r="D305" t="s">
        <v>9378</v>
      </c>
      <c r="E305" t="s">
        <v>9378</v>
      </c>
    </row>
    <row r="306" spans="1:5" hidden="1">
      <c r="A306" t="s">
        <v>9972</v>
      </c>
      <c r="B306" t="s">
        <v>9973</v>
      </c>
      <c r="C306" t="s">
        <v>9378</v>
      </c>
      <c r="D306" t="s">
        <v>9378</v>
      </c>
      <c r="E306" t="s">
        <v>9378</v>
      </c>
    </row>
    <row r="307" spans="1:5" hidden="1">
      <c r="A307" t="s">
        <v>9974</v>
      </c>
      <c r="B307" t="s">
        <v>9975</v>
      </c>
      <c r="C307" t="s">
        <v>9378</v>
      </c>
      <c r="D307" t="s">
        <v>9378</v>
      </c>
      <c r="E307" t="s">
        <v>9378</v>
      </c>
    </row>
    <row r="308" spans="1:5" hidden="1">
      <c r="A308" t="s">
        <v>9976</v>
      </c>
      <c r="B308" t="s">
        <v>9977</v>
      </c>
      <c r="C308" t="s">
        <v>9378</v>
      </c>
      <c r="D308" t="s">
        <v>9378</v>
      </c>
      <c r="E308" t="s">
        <v>9378</v>
      </c>
    </row>
    <row r="309" spans="1:5" hidden="1">
      <c r="A309" t="s">
        <v>9978</v>
      </c>
      <c r="B309" t="s">
        <v>9979</v>
      </c>
      <c r="C309" t="s">
        <v>9378</v>
      </c>
      <c r="D309" t="s">
        <v>9378</v>
      </c>
      <c r="E309" t="s">
        <v>9378</v>
      </c>
    </row>
    <row r="310" spans="1:5" hidden="1">
      <c r="A310" t="s">
        <v>9980</v>
      </c>
      <c r="B310" t="s">
        <v>9981</v>
      </c>
      <c r="C310" t="s">
        <v>9378</v>
      </c>
      <c r="D310" t="s">
        <v>9378</v>
      </c>
      <c r="E310" t="s">
        <v>9378</v>
      </c>
    </row>
    <row r="311" spans="1:5" hidden="1">
      <c r="A311" t="s">
        <v>9982</v>
      </c>
      <c r="B311" t="s">
        <v>9983</v>
      </c>
      <c r="C311" t="s">
        <v>9378</v>
      </c>
      <c r="D311" t="s">
        <v>9378</v>
      </c>
      <c r="E311" t="s">
        <v>9405</v>
      </c>
    </row>
    <row r="312" spans="1:5" hidden="1">
      <c r="A312" t="s">
        <v>9984</v>
      </c>
      <c r="B312" t="s">
        <v>9985</v>
      </c>
      <c r="C312" t="s">
        <v>9378</v>
      </c>
      <c r="D312" t="s">
        <v>9378</v>
      </c>
      <c r="E312" t="s">
        <v>9378</v>
      </c>
    </row>
    <row r="313" spans="1:5" hidden="1">
      <c r="A313" t="s">
        <v>9986</v>
      </c>
      <c r="B313" t="s">
        <v>9987</v>
      </c>
      <c r="C313" t="s">
        <v>9378</v>
      </c>
      <c r="D313" t="s">
        <v>9378</v>
      </c>
      <c r="E313" t="s">
        <v>9378</v>
      </c>
    </row>
    <row r="314" spans="1:5" hidden="1">
      <c r="A314" t="s">
        <v>9988</v>
      </c>
      <c r="B314" t="s">
        <v>9989</v>
      </c>
      <c r="C314" t="s">
        <v>9378</v>
      </c>
      <c r="D314" t="s">
        <v>9378</v>
      </c>
      <c r="E314" t="s">
        <v>9378</v>
      </c>
    </row>
    <row r="315" spans="1:5" hidden="1">
      <c r="A315" t="s">
        <v>9990</v>
      </c>
      <c r="B315" t="s">
        <v>9991</v>
      </c>
      <c r="C315" t="s">
        <v>9378</v>
      </c>
      <c r="D315" t="s">
        <v>9378</v>
      </c>
      <c r="E315" t="s">
        <v>9378</v>
      </c>
    </row>
    <row r="316" spans="1:5" hidden="1">
      <c r="A316" t="s">
        <v>9992</v>
      </c>
      <c r="B316" t="s">
        <v>9993</v>
      </c>
      <c r="C316" t="s">
        <v>9378</v>
      </c>
      <c r="D316" t="s">
        <v>9378</v>
      </c>
      <c r="E316" t="s">
        <v>9378</v>
      </c>
    </row>
    <row r="317" spans="1:5" hidden="1">
      <c r="A317" t="s">
        <v>9994</v>
      </c>
      <c r="B317" t="s">
        <v>9995</v>
      </c>
      <c r="C317" t="s">
        <v>9378</v>
      </c>
      <c r="D317" t="s">
        <v>9378</v>
      </c>
      <c r="E317" t="s">
        <v>9378</v>
      </c>
    </row>
    <row r="318" spans="1:5" hidden="1">
      <c r="A318" t="s">
        <v>9996</v>
      </c>
      <c r="B318" t="s">
        <v>9997</v>
      </c>
      <c r="C318" t="s">
        <v>9378</v>
      </c>
      <c r="D318" t="s">
        <v>9378</v>
      </c>
      <c r="E318" t="s">
        <v>9378</v>
      </c>
    </row>
    <row r="319" spans="1:5" hidden="1">
      <c r="A319" t="s">
        <v>9998</v>
      </c>
      <c r="B319" t="s">
        <v>9999</v>
      </c>
      <c r="C319" t="s">
        <v>9378</v>
      </c>
      <c r="D319" t="s">
        <v>9378</v>
      </c>
      <c r="E319" t="s">
        <v>9378</v>
      </c>
    </row>
    <row r="320" spans="1:5" hidden="1">
      <c r="A320" t="s">
        <v>10000</v>
      </c>
      <c r="B320" t="s">
        <v>10001</v>
      </c>
      <c r="C320" t="s">
        <v>9378</v>
      </c>
      <c r="D320" t="s">
        <v>9378</v>
      </c>
      <c r="E320" t="s">
        <v>9378</v>
      </c>
    </row>
    <row r="321" spans="1:5" hidden="1">
      <c r="A321" t="s">
        <v>10002</v>
      </c>
      <c r="B321" t="s">
        <v>10003</v>
      </c>
      <c r="C321" t="s">
        <v>9378</v>
      </c>
      <c r="D321" t="s">
        <v>9378</v>
      </c>
      <c r="E321" t="s">
        <v>9378</v>
      </c>
    </row>
    <row r="322" spans="1:5" hidden="1">
      <c r="A322" t="s">
        <v>10004</v>
      </c>
      <c r="B322" t="s">
        <v>10005</v>
      </c>
      <c r="C322" t="s">
        <v>9378</v>
      </c>
      <c r="D322" t="s">
        <v>9378</v>
      </c>
      <c r="E322" t="s">
        <v>9378</v>
      </c>
    </row>
    <row r="323" spans="1:5" hidden="1">
      <c r="A323" t="s">
        <v>10006</v>
      </c>
      <c r="B323" t="s">
        <v>10007</v>
      </c>
      <c r="C323" t="s">
        <v>9378</v>
      </c>
      <c r="D323" t="s">
        <v>9378</v>
      </c>
      <c r="E323" t="s">
        <v>9378</v>
      </c>
    </row>
    <row r="324" spans="1:5" hidden="1">
      <c r="A324" t="s">
        <v>10008</v>
      </c>
      <c r="B324" t="s">
        <v>10009</v>
      </c>
      <c r="C324" t="s">
        <v>9378</v>
      </c>
      <c r="D324" t="s">
        <v>9378</v>
      </c>
      <c r="E324" t="s">
        <v>9378</v>
      </c>
    </row>
    <row r="325" spans="1:5" hidden="1">
      <c r="A325" t="s">
        <v>10010</v>
      </c>
      <c r="B325" t="s">
        <v>10011</v>
      </c>
      <c r="C325" t="s">
        <v>9378</v>
      </c>
      <c r="D325" t="s">
        <v>9378</v>
      </c>
      <c r="E325" t="s">
        <v>9378</v>
      </c>
    </row>
    <row r="326" spans="1:5" hidden="1">
      <c r="A326" t="s">
        <v>10012</v>
      </c>
      <c r="B326" t="s">
        <v>10013</v>
      </c>
      <c r="C326" t="s">
        <v>9378</v>
      </c>
      <c r="D326" t="s">
        <v>9378</v>
      </c>
      <c r="E326" t="s">
        <v>9378</v>
      </c>
    </row>
    <row r="327" spans="1:5" hidden="1">
      <c r="A327" t="s">
        <v>10014</v>
      </c>
      <c r="B327" t="s">
        <v>10015</v>
      </c>
      <c r="C327" t="s">
        <v>9378</v>
      </c>
      <c r="D327" t="s">
        <v>9378</v>
      </c>
      <c r="E327" t="s">
        <v>9378</v>
      </c>
    </row>
    <row r="328" spans="1:5" hidden="1">
      <c r="A328" t="s">
        <v>10016</v>
      </c>
      <c r="B328" t="s">
        <v>10017</v>
      </c>
      <c r="C328" t="s">
        <v>9378</v>
      </c>
      <c r="D328" t="s">
        <v>9378</v>
      </c>
      <c r="E328" t="s">
        <v>9378</v>
      </c>
    </row>
    <row r="329" spans="1:5" hidden="1">
      <c r="A329" t="s">
        <v>10018</v>
      </c>
      <c r="B329" t="s">
        <v>10019</v>
      </c>
      <c r="C329" t="s">
        <v>9378</v>
      </c>
      <c r="D329" t="s">
        <v>9378</v>
      </c>
      <c r="E329" t="s">
        <v>9378</v>
      </c>
    </row>
    <row r="330" spans="1:5" hidden="1">
      <c r="A330" t="s">
        <v>10020</v>
      </c>
      <c r="B330" t="s">
        <v>10021</v>
      </c>
      <c r="C330" t="s">
        <v>9378</v>
      </c>
      <c r="D330" t="s">
        <v>9378</v>
      </c>
      <c r="E330" t="s">
        <v>9378</v>
      </c>
    </row>
    <row r="331" spans="1:5" hidden="1">
      <c r="A331" t="s">
        <v>10022</v>
      </c>
      <c r="B331" t="s">
        <v>10023</v>
      </c>
      <c r="C331" t="s">
        <v>9378</v>
      </c>
      <c r="D331" t="s">
        <v>9378</v>
      </c>
      <c r="E331" t="s">
        <v>9378</v>
      </c>
    </row>
    <row r="332" spans="1:5" hidden="1">
      <c r="A332" t="s">
        <v>10024</v>
      </c>
      <c r="B332" t="s">
        <v>10025</v>
      </c>
      <c r="C332" t="s">
        <v>9378</v>
      </c>
      <c r="D332" t="s">
        <v>9378</v>
      </c>
      <c r="E332" t="s">
        <v>9378</v>
      </c>
    </row>
    <row r="333" spans="1:5" hidden="1">
      <c r="A333" t="s">
        <v>10026</v>
      </c>
      <c r="B333" t="s">
        <v>10027</v>
      </c>
      <c r="C333" t="s">
        <v>9378</v>
      </c>
      <c r="D333" t="s">
        <v>9378</v>
      </c>
      <c r="E333" t="s">
        <v>9378</v>
      </c>
    </row>
    <row r="334" spans="1:5" hidden="1">
      <c r="A334" t="s">
        <v>10028</v>
      </c>
      <c r="B334" t="s">
        <v>10029</v>
      </c>
      <c r="C334" t="s">
        <v>9378</v>
      </c>
      <c r="D334" t="s">
        <v>9378</v>
      </c>
      <c r="E334" t="s">
        <v>9378</v>
      </c>
    </row>
    <row r="335" spans="1:5" hidden="1">
      <c r="A335" t="s">
        <v>10030</v>
      </c>
      <c r="B335" t="s">
        <v>10031</v>
      </c>
      <c r="C335" t="s">
        <v>9378</v>
      </c>
      <c r="D335" t="s">
        <v>9378</v>
      </c>
      <c r="E335" t="s">
        <v>9353</v>
      </c>
    </row>
    <row r="336" spans="1:5" hidden="1">
      <c r="A336" t="s">
        <v>10032</v>
      </c>
      <c r="B336" t="s">
        <v>10033</v>
      </c>
      <c r="C336" t="s">
        <v>9378</v>
      </c>
      <c r="D336" t="s">
        <v>9378</v>
      </c>
      <c r="E336" t="s">
        <v>9378</v>
      </c>
    </row>
    <row r="337" spans="1:5" hidden="1">
      <c r="A337" t="s">
        <v>10034</v>
      </c>
      <c r="B337" t="s">
        <v>10035</v>
      </c>
      <c r="C337" t="s">
        <v>9378</v>
      </c>
      <c r="D337" t="s">
        <v>9378</v>
      </c>
      <c r="E337" t="s">
        <v>9378</v>
      </c>
    </row>
    <row r="338" spans="1:5" hidden="1">
      <c r="A338" t="s">
        <v>10036</v>
      </c>
      <c r="B338" t="s">
        <v>10037</v>
      </c>
      <c r="C338" t="s">
        <v>9378</v>
      </c>
      <c r="D338" t="s">
        <v>9378</v>
      </c>
      <c r="E338" t="s">
        <v>9378</v>
      </c>
    </row>
    <row r="339" spans="1:5" hidden="1">
      <c r="A339" t="s">
        <v>10038</v>
      </c>
      <c r="B339" t="s">
        <v>10039</v>
      </c>
      <c r="C339" t="s">
        <v>9378</v>
      </c>
      <c r="D339" t="s">
        <v>9378</v>
      </c>
      <c r="E339" t="s">
        <v>9378</v>
      </c>
    </row>
    <row r="340" spans="1:5" hidden="1">
      <c r="A340" t="s">
        <v>10040</v>
      </c>
      <c r="B340" t="s">
        <v>10041</v>
      </c>
      <c r="C340" t="s">
        <v>9378</v>
      </c>
      <c r="D340" t="s">
        <v>9378</v>
      </c>
      <c r="E340" t="s">
        <v>9378</v>
      </c>
    </row>
    <row r="341" spans="1:5" hidden="1">
      <c r="A341" t="s">
        <v>10042</v>
      </c>
      <c r="B341" t="s">
        <v>10043</v>
      </c>
      <c r="C341" t="s">
        <v>9378</v>
      </c>
      <c r="D341" t="s">
        <v>9378</v>
      </c>
      <c r="E341" t="s">
        <v>9353</v>
      </c>
    </row>
    <row r="342" spans="1:5" hidden="1">
      <c r="A342" t="s">
        <v>10044</v>
      </c>
      <c r="B342" t="s">
        <v>10045</v>
      </c>
      <c r="C342" t="s">
        <v>9378</v>
      </c>
      <c r="D342" t="s">
        <v>9378</v>
      </c>
      <c r="E342" t="s">
        <v>9353</v>
      </c>
    </row>
    <row r="343" spans="1:5" hidden="1">
      <c r="A343" t="s">
        <v>10046</v>
      </c>
      <c r="B343" t="s">
        <v>10047</v>
      </c>
      <c r="C343" t="s">
        <v>9378</v>
      </c>
      <c r="D343" t="s">
        <v>9378</v>
      </c>
      <c r="E343" t="s">
        <v>9353</v>
      </c>
    </row>
    <row r="344" spans="1:5" hidden="1">
      <c r="A344" t="s">
        <v>10048</v>
      </c>
      <c r="B344" t="s">
        <v>10049</v>
      </c>
      <c r="C344" t="s">
        <v>9378</v>
      </c>
      <c r="D344" t="s">
        <v>9378</v>
      </c>
      <c r="E344" t="s">
        <v>9353</v>
      </c>
    </row>
    <row r="345" spans="1:5" hidden="1">
      <c r="A345" t="s">
        <v>10050</v>
      </c>
      <c r="B345" t="s">
        <v>10051</v>
      </c>
      <c r="C345" t="s">
        <v>9378</v>
      </c>
      <c r="D345" t="s">
        <v>9378</v>
      </c>
      <c r="E345" t="s">
        <v>9353</v>
      </c>
    </row>
    <row r="346" spans="1:5" hidden="1">
      <c r="A346" t="s">
        <v>10052</v>
      </c>
      <c r="B346" t="s">
        <v>10053</v>
      </c>
      <c r="C346" t="s">
        <v>9378</v>
      </c>
      <c r="D346" t="s">
        <v>9378</v>
      </c>
      <c r="E346" t="s">
        <v>9353</v>
      </c>
    </row>
    <row r="347" spans="1:5" hidden="1">
      <c r="A347" t="s">
        <v>10054</v>
      </c>
      <c r="B347" t="s">
        <v>10055</v>
      </c>
      <c r="C347" t="s">
        <v>9378</v>
      </c>
      <c r="D347" t="s">
        <v>9378</v>
      </c>
      <c r="E347" t="s">
        <v>9353</v>
      </c>
    </row>
    <row r="348" spans="1:5" hidden="1">
      <c r="A348" t="s">
        <v>10056</v>
      </c>
      <c r="B348" t="s">
        <v>10057</v>
      </c>
      <c r="C348" t="s">
        <v>9378</v>
      </c>
      <c r="D348" t="s">
        <v>9378</v>
      </c>
      <c r="E348" t="s">
        <v>9378</v>
      </c>
    </row>
    <row r="349" spans="1:5" hidden="1">
      <c r="A349" t="s">
        <v>10058</v>
      </c>
      <c r="B349" t="s">
        <v>10059</v>
      </c>
      <c r="C349" t="s">
        <v>9378</v>
      </c>
      <c r="D349" t="s">
        <v>9378</v>
      </c>
      <c r="E349" t="s">
        <v>9378</v>
      </c>
    </row>
    <row r="350" spans="1:5" hidden="1">
      <c r="A350" t="s">
        <v>10060</v>
      </c>
      <c r="B350" t="s">
        <v>10061</v>
      </c>
      <c r="C350" t="s">
        <v>9378</v>
      </c>
      <c r="D350" t="s">
        <v>9378</v>
      </c>
      <c r="E350" t="s">
        <v>9378</v>
      </c>
    </row>
    <row r="351" spans="1:5" hidden="1">
      <c r="A351" t="s">
        <v>10062</v>
      </c>
      <c r="B351" t="s">
        <v>10063</v>
      </c>
      <c r="C351" t="s">
        <v>9378</v>
      </c>
      <c r="D351" t="s">
        <v>9378</v>
      </c>
      <c r="E351" t="s">
        <v>9378</v>
      </c>
    </row>
    <row r="352" spans="1:5" hidden="1">
      <c r="A352" t="s">
        <v>10064</v>
      </c>
      <c r="B352" t="s">
        <v>10065</v>
      </c>
      <c r="C352" t="s">
        <v>9378</v>
      </c>
      <c r="D352" t="s">
        <v>9378</v>
      </c>
      <c r="E352" t="s">
        <v>9378</v>
      </c>
    </row>
    <row r="353" spans="1:5" hidden="1">
      <c r="A353" t="s">
        <v>10066</v>
      </c>
      <c r="B353" t="s">
        <v>10067</v>
      </c>
      <c r="C353" t="s">
        <v>9378</v>
      </c>
      <c r="D353" t="s">
        <v>9378</v>
      </c>
      <c r="E353" t="s">
        <v>9378</v>
      </c>
    </row>
    <row r="354" spans="1:5" hidden="1">
      <c r="A354" t="s">
        <v>10068</v>
      </c>
      <c r="B354" t="s">
        <v>10069</v>
      </c>
      <c r="C354" t="s">
        <v>9378</v>
      </c>
      <c r="D354" t="s">
        <v>9378</v>
      </c>
      <c r="E354" t="s">
        <v>9378</v>
      </c>
    </row>
    <row r="355" spans="1:5" hidden="1">
      <c r="A355" t="s">
        <v>10070</v>
      </c>
      <c r="B355" t="s">
        <v>10071</v>
      </c>
      <c r="C355" t="s">
        <v>9378</v>
      </c>
      <c r="D355" t="s">
        <v>9378</v>
      </c>
      <c r="E355" t="s">
        <v>9378</v>
      </c>
    </row>
    <row r="356" spans="1:5" hidden="1">
      <c r="A356" t="s">
        <v>10072</v>
      </c>
      <c r="B356" t="s">
        <v>10073</v>
      </c>
      <c r="C356" t="s">
        <v>9378</v>
      </c>
      <c r="D356" t="s">
        <v>9378</v>
      </c>
      <c r="E356" t="s">
        <v>9378</v>
      </c>
    </row>
    <row r="357" spans="1:5" hidden="1">
      <c r="A357" t="s">
        <v>10074</v>
      </c>
      <c r="B357" t="s">
        <v>10075</v>
      </c>
      <c r="C357" t="s">
        <v>9378</v>
      </c>
      <c r="D357" t="s">
        <v>9378</v>
      </c>
      <c r="E357" t="s">
        <v>9405</v>
      </c>
    </row>
    <row r="358" spans="1:5" hidden="1">
      <c r="A358" t="s">
        <v>10076</v>
      </c>
      <c r="B358" t="s">
        <v>10077</v>
      </c>
      <c r="C358" t="s">
        <v>9378</v>
      </c>
      <c r="D358" t="s">
        <v>9378</v>
      </c>
      <c r="E358" t="s">
        <v>9378</v>
      </c>
    </row>
    <row r="359" spans="1:5" hidden="1">
      <c r="A359" t="s">
        <v>10078</v>
      </c>
      <c r="B359" t="s">
        <v>10079</v>
      </c>
      <c r="C359" t="s">
        <v>9378</v>
      </c>
      <c r="D359" t="s">
        <v>9378</v>
      </c>
      <c r="E359" t="s">
        <v>9378</v>
      </c>
    </row>
    <row r="360" spans="1:5" hidden="1">
      <c r="A360" t="s">
        <v>10080</v>
      </c>
      <c r="B360" t="s">
        <v>10081</v>
      </c>
      <c r="C360" t="s">
        <v>9378</v>
      </c>
      <c r="D360" t="s">
        <v>9378</v>
      </c>
      <c r="E360" t="s">
        <v>9378</v>
      </c>
    </row>
    <row r="361" spans="1:5" hidden="1">
      <c r="A361" t="s">
        <v>10082</v>
      </c>
      <c r="B361" t="s">
        <v>10083</v>
      </c>
      <c r="C361" t="s">
        <v>9378</v>
      </c>
      <c r="D361" t="s">
        <v>9378</v>
      </c>
      <c r="E361" t="s">
        <v>9378</v>
      </c>
    </row>
    <row r="362" spans="1:5" hidden="1">
      <c r="A362" t="s">
        <v>10084</v>
      </c>
      <c r="B362" t="s">
        <v>10085</v>
      </c>
      <c r="C362" t="s">
        <v>9378</v>
      </c>
      <c r="D362" t="s">
        <v>9378</v>
      </c>
      <c r="E362" t="s">
        <v>9353</v>
      </c>
    </row>
    <row r="363" spans="1:5">
      <c r="A363" s="81" t="s">
        <v>10086</v>
      </c>
      <c r="B363" t="s">
        <v>10087</v>
      </c>
      <c r="C363" t="s">
        <v>9369</v>
      </c>
      <c r="D363" t="s">
        <v>9369</v>
      </c>
      <c r="E363" t="s">
        <v>9369</v>
      </c>
    </row>
    <row r="364" spans="1:5" hidden="1">
      <c r="A364" t="s">
        <v>10088</v>
      </c>
      <c r="B364" t="s">
        <v>10089</v>
      </c>
      <c r="C364" t="s">
        <v>9378</v>
      </c>
      <c r="D364" t="s">
        <v>9378</v>
      </c>
      <c r="E364" t="s">
        <v>9378</v>
      </c>
    </row>
    <row r="365" spans="1:5" hidden="1">
      <c r="A365" t="s">
        <v>506</v>
      </c>
      <c r="B365" t="s">
        <v>507</v>
      </c>
      <c r="C365" t="s">
        <v>9378</v>
      </c>
      <c r="D365" t="s">
        <v>9378</v>
      </c>
      <c r="E365" t="s">
        <v>9378</v>
      </c>
    </row>
    <row r="366" spans="1:5" hidden="1">
      <c r="A366" t="s">
        <v>10090</v>
      </c>
      <c r="B366" t="s">
        <v>10091</v>
      </c>
      <c r="C366" t="s">
        <v>9378</v>
      </c>
      <c r="D366" t="s">
        <v>9378</v>
      </c>
      <c r="E366" t="s">
        <v>9378</v>
      </c>
    </row>
    <row r="367" spans="1:5" hidden="1">
      <c r="A367" t="s">
        <v>10092</v>
      </c>
      <c r="B367" t="s">
        <v>10093</v>
      </c>
      <c r="C367" t="s">
        <v>9378</v>
      </c>
      <c r="D367" t="s">
        <v>9542</v>
      </c>
      <c r="E367" t="s">
        <v>9378</v>
      </c>
    </row>
    <row r="368" spans="1:5" hidden="1">
      <c r="A368" t="s">
        <v>10094</v>
      </c>
      <c r="B368" t="s">
        <v>10095</v>
      </c>
      <c r="C368" t="s">
        <v>9378</v>
      </c>
      <c r="D368" t="s">
        <v>9542</v>
      </c>
      <c r="E368" t="s">
        <v>9378</v>
      </c>
    </row>
    <row r="369" spans="1:5" hidden="1">
      <c r="A369" t="s">
        <v>10096</v>
      </c>
      <c r="B369" t="s">
        <v>10097</v>
      </c>
      <c r="C369" t="s">
        <v>9378</v>
      </c>
      <c r="D369" t="s">
        <v>9378</v>
      </c>
      <c r="E369" t="s">
        <v>9378</v>
      </c>
    </row>
    <row r="370" spans="1:5" hidden="1">
      <c r="A370" t="s">
        <v>10098</v>
      </c>
      <c r="B370" t="s">
        <v>10099</v>
      </c>
      <c r="C370" t="s">
        <v>9378</v>
      </c>
      <c r="D370" t="s">
        <v>9378</v>
      </c>
      <c r="E370" t="s">
        <v>9378</v>
      </c>
    </row>
    <row r="371" spans="1:5" hidden="1">
      <c r="A371" t="s">
        <v>10100</v>
      </c>
      <c r="B371" t="s">
        <v>10101</v>
      </c>
      <c r="C371" t="s">
        <v>9378</v>
      </c>
      <c r="D371" t="s">
        <v>9378</v>
      </c>
      <c r="E371" t="s">
        <v>9378</v>
      </c>
    </row>
    <row r="372" spans="1:5" hidden="1">
      <c r="A372" t="s">
        <v>10102</v>
      </c>
      <c r="B372" t="s">
        <v>10103</v>
      </c>
      <c r="C372" t="s">
        <v>9378</v>
      </c>
      <c r="D372" t="s">
        <v>9378</v>
      </c>
      <c r="E372" t="s">
        <v>9378</v>
      </c>
    </row>
    <row r="373" spans="1:5" hidden="1">
      <c r="A373" t="s">
        <v>10104</v>
      </c>
      <c r="B373" t="s">
        <v>10105</v>
      </c>
      <c r="C373" t="s">
        <v>9378</v>
      </c>
      <c r="D373" t="s">
        <v>9378</v>
      </c>
      <c r="E373" t="s">
        <v>9378</v>
      </c>
    </row>
    <row r="374" spans="1:5" hidden="1">
      <c r="A374" t="s">
        <v>10106</v>
      </c>
      <c r="B374" t="s">
        <v>10107</v>
      </c>
      <c r="C374" t="s">
        <v>9378</v>
      </c>
      <c r="D374" t="s">
        <v>9378</v>
      </c>
      <c r="E374" t="s">
        <v>9378</v>
      </c>
    </row>
    <row r="375" spans="1:5" hidden="1">
      <c r="A375" t="s">
        <v>10108</v>
      </c>
      <c r="B375" t="s">
        <v>10109</v>
      </c>
      <c r="C375" t="s">
        <v>9378</v>
      </c>
      <c r="D375" t="s">
        <v>9378</v>
      </c>
      <c r="E375" t="s">
        <v>9353</v>
      </c>
    </row>
    <row r="376" spans="1:5" hidden="1">
      <c r="A376" t="s">
        <v>10110</v>
      </c>
      <c r="B376" t="s">
        <v>10111</v>
      </c>
      <c r="C376" t="s">
        <v>9378</v>
      </c>
      <c r="D376" t="s">
        <v>9378</v>
      </c>
      <c r="E376" t="s">
        <v>9378</v>
      </c>
    </row>
    <row r="377" spans="1:5" hidden="1">
      <c r="A377" t="s">
        <v>10112</v>
      </c>
      <c r="B377" t="s">
        <v>140</v>
      </c>
      <c r="C377" t="s">
        <v>9378</v>
      </c>
      <c r="D377" t="s">
        <v>9378</v>
      </c>
      <c r="E377" t="s">
        <v>9353</v>
      </c>
    </row>
    <row r="378" spans="1:5" hidden="1">
      <c r="A378" t="s">
        <v>10113</v>
      </c>
      <c r="B378" t="s">
        <v>10114</v>
      </c>
      <c r="C378" t="s">
        <v>9378</v>
      </c>
      <c r="D378" t="s">
        <v>9378</v>
      </c>
      <c r="E378" t="s">
        <v>9353</v>
      </c>
    </row>
    <row r="379" spans="1:5" hidden="1">
      <c r="A379" t="s">
        <v>10115</v>
      </c>
      <c r="B379" t="s">
        <v>10116</v>
      </c>
      <c r="C379" t="s">
        <v>9378</v>
      </c>
      <c r="D379" t="s">
        <v>9378</v>
      </c>
      <c r="E379" t="s">
        <v>9353</v>
      </c>
    </row>
    <row r="380" spans="1:5" hidden="1">
      <c r="A380" t="s">
        <v>10117</v>
      </c>
      <c r="B380" t="s">
        <v>10118</v>
      </c>
      <c r="C380" t="s">
        <v>9378</v>
      </c>
      <c r="D380" t="s">
        <v>9378</v>
      </c>
      <c r="E380" t="s">
        <v>9353</v>
      </c>
    </row>
    <row r="381" spans="1:5" hidden="1">
      <c r="A381" t="s">
        <v>10119</v>
      </c>
      <c r="B381" t="s">
        <v>10120</v>
      </c>
      <c r="C381" t="s">
        <v>9378</v>
      </c>
      <c r="D381" t="s">
        <v>9378</v>
      </c>
      <c r="E381" t="s">
        <v>9353</v>
      </c>
    </row>
    <row r="382" spans="1:5" hidden="1">
      <c r="A382" t="s">
        <v>10121</v>
      </c>
      <c r="B382" t="s">
        <v>10122</v>
      </c>
      <c r="C382" t="s">
        <v>9378</v>
      </c>
      <c r="D382" t="s">
        <v>9378</v>
      </c>
      <c r="E382" t="s">
        <v>9378</v>
      </c>
    </row>
    <row r="383" spans="1:5" hidden="1">
      <c r="A383" t="s">
        <v>10123</v>
      </c>
      <c r="B383" t="s">
        <v>10124</v>
      </c>
      <c r="C383" t="s">
        <v>9378</v>
      </c>
      <c r="D383" t="s">
        <v>9378</v>
      </c>
      <c r="E383" t="s">
        <v>9378</v>
      </c>
    </row>
    <row r="384" spans="1:5" hidden="1">
      <c r="A384" t="s">
        <v>10125</v>
      </c>
      <c r="B384" t="s">
        <v>10126</v>
      </c>
      <c r="C384" t="s">
        <v>9378</v>
      </c>
      <c r="D384" t="s">
        <v>9378</v>
      </c>
      <c r="E384" t="s">
        <v>9378</v>
      </c>
    </row>
    <row r="385" spans="1:5" hidden="1">
      <c r="A385" t="s">
        <v>10127</v>
      </c>
      <c r="B385" t="s">
        <v>10128</v>
      </c>
      <c r="C385" t="s">
        <v>9378</v>
      </c>
      <c r="D385" t="s">
        <v>9378</v>
      </c>
      <c r="E385" t="s">
        <v>9378</v>
      </c>
    </row>
    <row r="386" spans="1:5" hidden="1">
      <c r="A386" t="s">
        <v>10129</v>
      </c>
      <c r="B386" t="s">
        <v>10130</v>
      </c>
      <c r="C386" t="s">
        <v>9378</v>
      </c>
      <c r="D386" t="s">
        <v>9378</v>
      </c>
      <c r="E386" t="s">
        <v>9378</v>
      </c>
    </row>
    <row r="387" spans="1:5" hidden="1">
      <c r="A387" t="s">
        <v>10131</v>
      </c>
      <c r="B387" t="s">
        <v>10132</v>
      </c>
      <c r="C387" t="s">
        <v>9378</v>
      </c>
      <c r="D387" t="s">
        <v>9378</v>
      </c>
      <c r="E387" t="s">
        <v>9378</v>
      </c>
    </row>
    <row r="388" spans="1:5" hidden="1">
      <c r="A388" t="s">
        <v>251</v>
      </c>
      <c r="B388" t="s">
        <v>252</v>
      </c>
      <c r="C388" t="s">
        <v>9378</v>
      </c>
      <c r="D388" t="s">
        <v>9378</v>
      </c>
      <c r="E388" t="s">
        <v>9378</v>
      </c>
    </row>
    <row r="389" spans="1:5" hidden="1">
      <c r="A389" t="s">
        <v>284</v>
      </c>
      <c r="B389" t="s">
        <v>285</v>
      </c>
      <c r="C389" t="s">
        <v>9378</v>
      </c>
      <c r="D389" t="s">
        <v>9378</v>
      </c>
      <c r="E389" t="s">
        <v>9378</v>
      </c>
    </row>
    <row r="390" spans="1:5" hidden="1">
      <c r="A390" t="s">
        <v>10133</v>
      </c>
      <c r="B390" t="s">
        <v>10134</v>
      </c>
      <c r="C390" t="s">
        <v>9378</v>
      </c>
      <c r="D390" t="s">
        <v>9378</v>
      </c>
      <c r="E390" t="s">
        <v>9378</v>
      </c>
    </row>
    <row r="391" spans="1:5" hidden="1">
      <c r="A391" t="s">
        <v>10135</v>
      </c>
      <c r="B391" t="s">
        <v>10136</v>
      </c>
      <c r="C391" t="s">
        <v>9378</v>
      </c>
      <c r="D391" t="s">
        <v>9378</v>
      </c>
      <c r="E391" t="s">
        <v>9378</v>
      </c>
    </row>
    <row r="392" spans="1:5">
      <c r="A392" s="81" t="s">
        <v>416</v>
      </c>
      <c r="B392" t="s">
        <v>417</v>
      </c>
      <c r="C392" t="s">
        <v>9369</v>
      </c>
      <c r="D392" t="s">
        <v>9369</v>
      </c>
      <c r="E392" t="s">
        <v>9369</v>
      </c>
    </row>
    <row r="393" spans="1:5">
      <c r="A393" s="81" t="s">
        <v>10137</v>
      </c>
      <c r="B393" t="s">
        <v>10138</v>
      </c>
      <c r="C393" t="s">
        <v>9369</v>
      </c>
      <c r="D393" t="s">
        <v>9369</v>
      </c>
      <c r="E393" t="s">
        <v>9369</v>
      </c>
    </row>
    <row r="394" spans="1:5">
      <c r="A394" s="81" t="s">
        <v>413</v>
      </c>
      <c r="B394" t="s">
        <v>414</v>
      </c>
      <c r="C394" t="s">
        <v>9369</v>
      </c>
      <c r="D394" t="s">
        <v>9369</v>
      </c>
      <c r="E394" t="s">
        <v>9369</v>
      </c>
    </row>
    <row r="395" spans="1:5">
      <c r="A395" s="81" t="s">
        <v>10139</v>
      </c>
      <c r="B395" t="s">
        <v>10140</v>
      </c>
      <c r="C395" t="s">
        <v>9369</v>
      </c>
      <c r="D395" t="s">
        <v>9369</v>
      </c>
      <c r="E395" t="s">
        <v>9369</v>
      </c>
    </row>
    <row r="396" spans="1:5">
      <c r="A396" s="81" t="s">
        <v>10141</v>
      </c>
      <c r="B396" t="s">
        <v>10142</v>
      </c>
      <c r="C396" t="s">
        <v>9369</v>
      </c>
      <c r="D396" t="s">
        <v>9369</v>
      </c>
      <c r="E396" t="s">
        <v>9369</v>
      </c>
    </row>
    <row r="397" spans="1:5">
      <c r="A397" s="81" t="s">
        <v>10143</v>
      </c>
      <c r="B397" t="s">
        <v>10144</v>
      </c>
      <c r="C397" t="s">
        <v>9369</v>
      </c>
      <c r="D397" t="s">
        <v>9369</v>
      </c>
      <c r="E397" t="s">
        <v>9369</v>
      </c>
    </row>
    <row r="398" spans="1:5">
      <c r="A398" s="81" t="s">
        <v>425</v>
      </c>
      <c r="B398" t="s">
        <v>426</v>
      </c>
      <c r="C398" t="s">
        <v>9369</v>
      </c>
      <c r="D398" t="s">
        <v>9369</v>
      </c>
      <c r="E398" t="s">
        <v>9369</v>
      </c>
    </row>
    <row r="399" spans="1:5">
      <c r="A399" s="81" t="s">
        <v>10145</v>
      </c>
      <c r="B399" t="s">
        <v>10146</v>
      </c>
      <c r="C399" t="s">
        <v>9369</v>
      </c>
      <c r="D399" t="s">
        <v>9369</v>
      </c>
      <c r="E399" t="s">
        <v>9369</v>
      </c>
    </row>
    <row r="400" spans="1:5">
      <c r="A400" s="81" t="s">
        <v>10147</v>
      </c>
      <c r="B400" t="s">
        <v>10148</v>
      </c>
      <c r="C400" t="s">
        <v>9369</v>
      </c>
      <c r="D400" t="s">
        <v>9369</v>
      </c>
      <c r="E400" t="s">
        <v>9369</v>
      </c>
    </row>
    <row r="401" spans="1:5">
      <c r="A401" s="81" t="s">
        <v>10149</v>
      </c>
      <c r="B401" t="s">
        <v>10150</v>
      </c>
      <c r="C401" t="s">
        <v>9369</v>
      </c>
      <c r="D401" t="s">
        <v>9369</v>
      </c>
      <c r="E401" t="s">
        <v>9369</v>
      </c>
    </row>
    <row r="402" spans="1:5">
      <c r="A402" s="81" t="s">
        <v>10151</v>
      </c>
      <c r="B402" t="s">
        <v>10152</v>
      </c>
      <c r="C402" t="s">
        <v>9369</v>
      </c>
      <c r="D402" t="s">
        <v>9369</v>
      </c>
      <c r="E402" t="s">
        <v>9369</v>
      </c>
    </row>
    <row r="403" spans="1:5">
      <c r="A403" s="81" t="s">
        <v>419</v>
      </c>
      <c r="B403" t="s">
        <v>420</v>
      </c>
      <c r="C403" t="s">
        <v>9369</v>
      </c>
      <c r="D403" t="s">
        <v>9369</v>
      </c>
      <c r="E403" t="s">
        <v>9369</v>
      </c>
    </row>
    <row r="404" spans="1:5">
      <c r="A404" s="81" t="s">
        <v>10153</v>
      </c>
      <c r="B404" t="s">
        <v>10154</v>
      </c>
      <c r="C404" t="s">
        <v>9369</v>
      </c>
      <c r="D404" t="s">
        <v>9369</v>
      </c>
      <c r="E404" t="s">
        <v>9369</v>
      </c>
    </row>
    <row r="405" spans="1:5">
      <c r="A405" s="81" t="s">
        <v>10155</v>
      </c>
      <c r="B405" t="s">
        <v>10156</v>
      </c>
      <c r="C405" t="s">
        <v>9369</v>
      </c>
      <c r="D405" t="s">
        <v>9369</v>
      </c>
      <c r="E405" t="s">
        <v>9369</v>
      </c>
    </row>
    <row r="406" spans="1:5">
      <c r="A406" s="81" t="s">
        <v>10157</v>
      </c>
      <c r="B406" t="s">
        <v>10158</v>
      </c>
      <c r="C406" t="s">
        <v>9369</v>
      </c>
      <c r="D406" t="s">
        <v>9369</v>
      </c>
      <c r="E406" t="s">
        <v>9369</v>
      </c>
    </row>
    <row r="407" spans="1:5">
      <c r="A407" s="81" t="s">
        <v>422</v>
      </c>
      <c r="B407" t="s">
        <v>423</v>
      </c>
      <c r="C407" t="s">
        <v>9369</v>
      </c>
      <c r="D407" t="s">
        <v>9369</v>
      </c>
      <c r="E407" t="s">
        <v>9369</v>
      </c>
    </row>
    <row r="408" spans="1:5">
      <c r="A408" s="81" t="s">
        <v>10159</v>
      </c>
      <c r="B408" t="s">
        <v>9706</v>
      </c>
      <c r="C408" t="s">
        <v>9369</v>
      </c>
      <c r="D408" t="s">
        <v>9369</v>
      </c>
      <c r="E408" t="s">
        <v>9369</v>
      </c>
    </row>
    <row r="409" spans="1:5">
      <c r="A409" s="81" t="s">
        <v>10160</v>
      </c>
      <c r="B409" t="s">
        <v>10161</v>
      </c>
      <c r="C409" t="s">
        <v>9369</v>
      </c>
      <c r="D409" t="s">
        <v>9369</v>
      </c>
      <c r="E409" t="s">
        <v>9369</v>
      </c>
    </row>
    <row r="410" spans="1:5">
      <c r="A410" s="81" t="s">
        <v>392</v>
      </c>
      <c r="B410" t="s">
        <v>393</v>
      </c>
      <c r="C410" t="s">
        <v>9369</v>
      </c>
      <c r="D410" t="s">
        <v>9369</v>
      </c>
      <c r="E410" t="s">
        <v>9369</v>
      </c>
    </row>
    <row r="411" spans="1:5">
      <c r="A411" s="81" t="s">
        <v>10162</v>
      </c>
      <c r="B411" t="s">
        <v>10163</v>
      </c>
      <c r="C411" t="s">
        <v>9369</v>
      </c>
      <c r="D411" t="s">
        <v>9369</v>
      </c>
      <c r="E411" t="s">
        <v>9369</v>
      </c>
    </row>
    <row r="412" spans="1:5">
      <c r="A412" s="81" t="s">
        <v>10164</v>
      </c>
      <c r="B412" t="s">
        <v>10165</v>
      </c>
      <c r="C412" t="s">
        <v>9369</v>
      </c>
      <c r="D412" t="s">
        <v>9369</v>
      </c>
      <c r="E412" t="s">
        <v>9369</v>
      </c>
    </row>
    <row r="413" spans="1:5">
      <c r="A413" s="81" t="s">
        <v>10166</v>
      </c>
      <c r="B413" t="s">
        <v>10167</v>
      </c>
      <c r="C413" t="s">
        <v>9369</v>
      </c>
      <c r="D413" t="s">
        <v>9369</v>
      </c>
      <c r="E413" t="s">
        <v>9369</v>
      </c>
    </row>
    <row r="414" spans="1:5">
      <c r="A414" s="81" t="s">
        <v>10168</v>
      </c>
      <c r="B414" t="s">
        <v>10169</v>
      </c>
      <c r="C414" t="s">
        <v>9369</v>
      </c>
      <c r="D414" t="s">
        <v>9369</v>
      </c>
      <c r="E414" t="s">
        <v>9369</v>
      </c>
    </row>
    <row r="415" spans="1:5">
      <c r="A415" s="81" t="s">
        <v>10170</v>
      </c>
      <c r="B415" t="s">
        <v>10171</v>
      </c>
      <c r="C415" t="s">
        <v>9369</v>
      </c>
      <c r="D415" t="s">
        <v>9369</v>
      </c>
      <c r="E415" t="s">
        <v>9369</v>
      </c>
    </row>
    <row r="416" spans="1:5">
      <c r="A416" s="81" t="s">
        <v>10172</v>
      </c>
      <c r="B416" t="s">
        <v>10173</v>
      </c>
      <c r="C416" t="s">
        <v>9369</v>
      </c>
      <c r="D416" t="s">
        <v>9369</v>
      </c>
      <c r="E416" t="s">
        <v>9369</v>
      </c>
    </row>
    <row r="417" spans="1:5">
      <c r="A417" s="81" t="s">
        <v>10174</v>
      </c>
      <c r="B417" t="s">
        <v>10175</v>
      </c>
      <c r="C417" t="s">
        <v>9369</v>
      </c>
      <c r="D417" t="s">
        <v>9369</v>
      </c>
      <c r="E417" t="s">
        <v>9369</v>
      </c>
    </row>
    <row r="418" spans="1:5">
      <c r="A418" s="81" t="s">
        <v>10176</v>
      </c>
      <c r="B418" t="s">
        <v>10177</v>
      </c>
      <c r="C418" t="s">
        <v>9369</v>
      </c>
      <c r="D418" t="s">
        <v>9369</v>
      </c>
      <c r="E418" t="s">
        <v>9369</v>
      </c>
    </row>
    <row r="419" spans="1:5">
      <c r="A419" s="81" t="s">
        <v>10178</v>
      </c>
      <c r="B419" t="s">
        <v>10179</v>
      </c>
      <c r="C419" t="s">
        <v>9369</v>
      </c>
      <c r="D419" t="s">
        <v>9369</v>
      </c>
      <c r="E419" t="s">
        <v>9369</v>
      </c>
    </row>
    <row r="420" spans="1:5" hidden="1">
      <c r="A420" t="s">
        <v>10180</v>
      </c>
      <c r="B420" t="s">
        <v>10181</v>
      </c>
      <c r="C420" t="s">
        <v>9378</v>
      </c>
      <c r="D420" t="s">
        <v>9378</v>
      </c>
      <c r="E420" t="s">
        <v>9378</v>
      </c>
    </row>
    <row r="421" spans="1:5" hidden="1">
      <c r="A421" t="s">
        <v>10182</v>
      </c>
      <c r="B421" t="s">
        <v>10183</v>
      </c>
      <c r="C421" t="s">
        <v>9378</v>
      </c>
      <c r="D421" t="s">
        <v>9378</v>
      </c>
      <c r="E421" t="s">
        <v>9378</v>
      </c>
    </row>
    <row r="422" spans="1:5" hidden="1">
      <c r="A422" t="s">
        <v>10184</v>
      </c>
      <c r="B422" t="s">
        <v>10185</v>
      </c>
      <c r="C422" t="s">
        <v>9378</v>
      </c>
      <c r="D422" t="s">
        <v>9378</v>
      </c>
      <c r="E422" t="s">
        <v>9378</v>
      </c>
    </row>
    <row r="423" spans="1:5" hidden="1">
      <c r="A423" t="s">
        <v>10186</v>
      </c>
      <c r="B423" t="s">
        <v>10187</v>
      </c>
      <c r="C423" t="s">
        <v>9378</v>
      </c>
      <c r="D423" t="s">
        <v>9378</v>
      </c>
      <c r="E423" t="s">
        <v>9405</v>
      </c>
    </row>
    <row r="424" spans="1:5" hidden="1">
      <c r="A424" t="s">
        <v>212</v>
      </c>
      <c r="B424" t="s">
        <v>10188</v>
      </c>
      <c r="C424" t="s">
        <v>9378</v>
      </c>
      <c r="D424" t="s">
        <v>9378</v>
      </c>
      <c r="E424" t="s">
        <v>9405</v>
      </c>
    </row>
    <row r="425" spans="1:5" hidden="1">
      <c r="A425" t="s">
        <v>10189</v>
      </c>
      <c r="B425" t="s">
        <v>10190</v>
      </c>
      <c r="C425" t="s">
        <v>9378</v>
      </c>
      <c r="D425" t="s">
        <v>9378</v>
      </c>
      <c r="E425" t="s">
        <v>9405</v>
      </c>
    </row>
    <row r="426" spans="1:5" hidden="1">
      <c r="A426" t="s">
        <v>10191</v>
      </c>
      <c r="B426" t="s">
        <v>10192</v>
      </c>
      <c r="C426" t="s">
        <v>9378</v>
      </c>
      <c r="D426" t="s">
        <v>9378</v>
      </c>
      <c r="E426" t="s">
        <v>9405</v>
      </c>
    </row>
    <row r="427" spans="1:5" hidden="1">
      <c r="A427" t="s">
        <v>10193</v>
      </c>
      <c r="B427" t="s">
        <v>10194</v>
      </c>
      <c r="C427" t="s">
        <v>9378</v>
      </c>
      <c r="D427" t="s">
        <v>9378</v>
      </c>
      <c r="E427" t="s">
        <v>9405</v>
      </c>
    </row>
    <row r="428" spans="1:5" hidden="1">
      <c r="A428" t="s">
        <v>10195</v>
      </c>
      <c r="B428" t="s">
        <v>10196</v>
      </c>
      <c r="C428" t="s">
        <v>9378</v>
      </c>
      <c r="D428" t="s">
        <v>9378</v>
      </c>
      <c r="E428" t="s">
        <v>9405</v>
      </c>
    </row>
    <row r="429" spans="1:5" hidden="1">
      <c r="A429" t="s">
        <v>10197</v>
      </c>
      <c r="B429" t="s">
        <v>10198</v>
      </c>
      <c r="C429" t="s">
        <v>9378</v>
      </c>
      <c r="D429" t="s">
        <v>9378</v>
      </c>
      <c r="E429" t="s">
        <v>9405</v>
      </c>
    </row>
    <row r="430" spans="1:5" hidden="1">
      <c r="A430" t="s">
        <v>329</v>
      </c>
      <c r="B430" t="s">
        <v>330</v>
      </c>
      <c r="C430" t="s">
        <v>9378</v>
      </c>
      <c r="D430" t="s">
        <v>9378</v>
      </c>
      <c r="E430" t="s">
        <v>9405</v>
      </c>
    </row>
    <row r="431" spans="1:5" hidden="1">
      <c r="A431" t="s">
        <v>10199</v>
      </c>
      <c r="B431" t="s">
        <v>10200</v>
      </c>
      <c r="C431" t="s">
        <v>9378</v>
      </c>
      <c r="D431" t="s">
        <v>9378</v>
      </c>
      <c r="E431" t="s">
        <v>9405</v>
      </c>
    </row>
    <row r="432" spans="1:5" hidden="1">
      <c r="A432" t="s">
        <v>10201</v>
      </c>
      <c r="B432" t="s">
        <v>10202</v>
      </c>
      <c r="C432" t="s">
        <v>9378</v>
      </c>
      <c r="D432" t="s">
        <v>9378</v>
      </c>
      <c r="E432" t="s">
        <v>9405</v>
      </c>
    </row>
    <row r="433" spans="1:5" hidden="1">
      <c r="A433" t="s">
        <v>91</v>
      </c>
      <c r="B433" t="s">
        <v>10203</v>
      </c>
      <c r="C433" t="s">
        <v>9378</v>
      </c>
      <c r="D433" t="s">
        <v>9378</v>
      </c>
      <c r="E433" t="s">
        <v>9405</v>
      </c>
    </row>
    <row r="434" spans="1:5" hidden="1">
      <c r="A434" t="s">
        <v>242</v>
      </c>
      <c r="B434" t="s">
        <v>10204</v>
      </c>
      <c r="C434" t="s">
        <v>9378</v>
      </c>
      <c r="D434" t="s">
        <v>9378</v>
      </c>
      <c r="E434" t="s">
        <v>9405</v>
      </c>
    </row>
    <row r="435" spans="1:5" hidden="1">
      <c r="A435" t="s">
        <v>236</v>
      </c>
      <c r="B435" t="s">
        <v>237</v>
      </c>
      <c r="C435" t="s">
        <v>9378</v>
      </c>
      <c r="D435" t="s">
        <v>9378</v>
      </c>
      <c r="E435" t="s">
        <v>9405</v>
      </c>
    </row>
    <row r="436" spans="1:5" hidden="1">
      <c r="A436" t="s">
        <v>10205</v>
      </c>
      <c r="B436" t="s">
        <v>10206</v>
      </c>
      <c r="C436" t="s">
        <v>9378</v>
      </c>
      <c r="D436" t="s">
        <v>9378</v>
      </c>
      <c r="E436" t="s">
        <v>9405</v>
      </c>
    </row>
    <row r="437" spans="1:5" hidden="1">
      <c r="A437" t="s">
        <v>10207</v>
      </c>
      <c r="B437" t="s">
        <v>10208</v>
      </c>
      <c r="C437" t="s">
        <v>9378</v>
      </c>
      <c r="D437" t="s">
        <v>9378</v>
      </c>
      <c r="E437" t="s">
        <v>9405</v>
      </c>
    </row>
    <row r="438" spans="1:5" hidden="1">
      <c r="A438" t="s">
        <v>10209</v>
      </c>
      <c r="B438" t="s">
        <v>10210</v>
      </c>
      <c r="C438" t="s">
        <v>9378</v>
      </c>
      <c r="D438" t="s">
        <v>9378</v>
      </c>
      <c r="E438" t="s">
        <v>9405</v>
      </c>
    </row>
    <row r="439" spans="1:5" hidden="1">
      <c r="A439" t="s">
        <v>10211</v>
      </c>
      <c r="B439" t="s">
        <v>10212</v>
      </c>
      <c r="C439" t="s">
        <v>9378</v>
      </c>
      <c r="D439" t="s">
        <v>9378</v>
      </c>
      <c r="E439" t="s">
        <v>9405</v>
      </c>
    </row>
    <row r="440" spans="1:5" hidden="1">
      <c r="A440" t="s">
        <v>10213</v>
      </c>
      <c r="B440" t="s">
        <v>10214</v>
      </c>
      <c r="C440" t="s">
        <v>9378</v>
      </c>
      <c r="D440" t="s">
        <v>9378</v>
      </c>
      <c r="E440" t="s">
        <v>9405</v>
      </c>
    </row>
    <row r="441" spans="1:5" hidden="1">
      <c r="A441" t="s">
        <v>10215</v>
      </c>
      <c r="B441" t="s">
        <v>10216</v>
      </c>
      <c r="C441" t="s">
        <v>9378</v>
      </c>
      <c r="D441" t="s">
        <v>9378</v>
      </c>
      <c r="E441" t="s">
        <v>9405</v>
      </c>
    </row>
    <row r="442" spans="1:5" hidden="1">
      <c r="A442" t="s">
        <v>10217</v>
      </c>
      <c r="B442" t="s">
        <v>10218</v>
      </c>
      <c r="C442" t="s">
        <v>9378</v>
      </c>
      <c r="D442" t="s">
        <v>9378</v>
      </c>
      <c r="E442" t="s">
        <v>9405</v>
      </c>
    </row>
    <row r="443" spans="1:5" hidden="1">
      <c r="A443" t="s">
        <v>10219</v>
      </c>
      <c r="B443" t="s">
        <v>10220</v>
      </c>
      <c r="C443" t="s">
        <v>9378</v>
      </c>
      <c r="D443" t="s">
        <v>9378</v>
      </c>
      <c r="E443" t="s">
        <v>9405</v>
      </c>
    </row>
    <row r="444" spans="1:5" hidden="1">
      <c r="A444" t="s">
        <v>10221</v>
      </c>
      <c r="B444" t="s">
        <v>10222</v>
      </c>
      <c r="C444" t="s">
        <v>9378</v>
      </c>
      <c r="D444" t="s">
        <v>9378</v>
      </c>
      <c r="E444" t="s">
        <v>9405</v>
      </c>
    </row>
    <row r="445" spans="1:5" hidden="1">
      <c r="A445" t="s">
        <v>10223</v>
      </c>
      <c r="B445" t="s">
        <v>10224</v>
      </c>
      <c r="C445" t="s">
        <v>9378</v>
      </c>
      <c r="D445" t="s">
        <v>9378</v>
      </c>
      <c r="E445" t="s">
        <v>9405</v>
      </c>
    </row>
    <row r="446" spans="1:5" hidden="1">
      <c r="A446" t="s">
        <v>10225</v>
      </c>
      <c r="B446" t="s">
        <v>10226</v>
      </c>
      <c r="C446" t="s">
        <v>9378</v>
      </c>
      <c r="D446" t="s">
        <v>9378</v>
      </c>
      <c r="E446" t="s">
        <v>9405</v>
      </c>
    </row>
    <row r="447" spans="1:5" hidden="1">
      <c r="A447" t="s">
        <v>10227</v>
      </c>
      <c r="B447" t="s">
        <v>10228</v>
      </c>
      <c r="C447" t="s">
        <v>9378</v>
      </c>
      <c r="D447" t="s">
        <v>9378</v>
      </c>
      <c r="E447" t="s">
        <v>9405</v>
      </c>
    </row>
    <row r="448" spans="1:5" hidden="1">
      <c r="A448" t="s">
        <v>10229</v>
      </c>
      <c r="B448" t="s">
        <v>10230</v>
      </c>
      <c r="C448" t="s">
        <v>9378</v>
      </c>
      <c r="D448" t="s">
        <v>9378</v>
      </c>
      <c r="E448" t="s">
        <v>9405</v>
      </c>
    </row>
    <row r="449" spans="1:5" hidden="1">
      <c r="A449" t="s">
        <v>10231</v>
      </c>
      <c r="B449" t="s">
        <v>10232</v>
      </c>
      <c r="C449" t="s">
        <v>9378</v>
      </c>
      <c r="D449" t="s">
        <v>9378</v>
      </c>
      <c r="E449" t="s">
        <v>9405</v>
      </c>
    </row>
    <row r="450" spans="1:5" hidden="1">
      <c r="A450" t="s">
        <v>10233</v>
      </c>
      <c r="B450" t="s">
        <v>10234</v>
      </c>
      <c r="C450" t="s">
        <v>9378</v>
      </c>
      <c r="D450" t="s">
        <v>9378</v>
      </c>
      <c r="E450" t="s">
        <v>9405</v>
      </c>
    </row>
    <row r="451" spans="1:5" hidden="1">
      <c r="A451" t="s">
        <v>10235</v>
      </c>
      <c r="B451" t="s">
        <v>10236</v>
      </c>
      <c r="C451" t="s">
        <v>9378</v>
      </c>
      <c r="D451" t="s">
        <v>9378</v>
      </c>
      <c r="E451" t="s">
        <v>9405</v>
      </c>
    </row>
    <row r="452" spans="1:5" hidden="1">
      <c r="A452" t="s">
        <v>10237</v>
      </c>
      <c r="B452" t="s">
        <v>10238</v>
      </c>
      <c r="C452" t="s">
        <v>9378</v>
      </c>
      <c r="D452" t="s">
        <v>9378</v>
      </c>
      <c r="E452" t="s">
        <v>9405</v>
      </c>
    </row>
    <row r="453" spans="1:5" hidden="1">
      <c r="A453" t="s">
        <v>10239</v>
      </c>
      <c r="B453" t="s">
        <v>10240</v>
      </c>
      <c r="C453" t="s">
        <v>9378</v>
      </c>
      <c r="D453" t="s">
        <v>9378</v>
      </c>
      <c r="E453" t="s">
        <v>9405</v>
      </c>
    </row>
    <row r="454" spans="1:5" hidden="1">
      <c r="A454" t="s">
        <v>10241</v>
      </c>
      <c r="B454" t="s">
        <v>10242</v>
      </c>
      <c r="C454" t="s">
        <v>9378</v>
      </c>
      <c r="D454" t="s">
        <v>9378</v>
      </c>
      <c r="E454" t="s">
        <v>9405</v>
      </c>
    </row>
    <row r="455" spans="1:5" hidden="1">
      <c r="A455" t="s">
        <v>10243</v>
      </c>
      <c r="B455" t="s">
        <v>10244</v>
      </c>
      <c r="C455" t="s">
        <v>9378</v>
      </c>
      <c r="D455" t="s">
        <v>9378</v>
      </c>
      <c r="E455" t="s">
        <v>9405</v>
      </c>
    </row>
    <row r="456" spans="1:5" hidden="1">
      <c r="A456" t="s">
        <v>10245</v>
      </c>
      <c r="B456" t="s">
        <v>10246</v>
      </c>
      <c r="C456" t="s">
        <v>9378</v>
      </c>
      <c r="D456" t="s">
        <v>9378</v>
      </c>
      <c r="E456" t="s">
        <v>9405</v>
      </c>
    </row>
    <row r="457" spans="1:5" hidden="1">
      <c r="A457" t="s">
        <v>10247</v>
      </c>
      <c r="B457" t="s">
        <v>10248</v>
      </c>
      <c r="C457" t="s">
        <v>9378</v>
      </c>
      <c r="D457" t="s">
        <v>9378</v>
      </c>
      <c r="E457" t="s">
        <v>9405</v>
      </c>
    </row>
    <row r="458" spans="1:5" hidden="1">
      <c r="A458" t="s">
        <v>10249</v>
      </c>
      <c r="B458" t="s">
        <v>10250</v>
      </c>
      <c r="C458" t="s">
        <v>9378</v>
      </c>
      <c r="D458" t="s">
        <v>9378</v>
      </c>
      <c r="E458" t="s">
        <v>9405</v>
      </c>
    </row>
    <row r="459" spans="1:5" hidden="1">
      <c r="A459" t="s">
        <v>10251</v>
      </c>
      <c r="B459" t="s">
        <v>10252</v>
      </c>
      <c r="C459" t="s">
        <v>9378</v>
      </c>
      <c r="D459" t="s">
        <v>9378</v>
      </c>
      <c r="E459" t="s">
        <v>9405</v>
      </c>
    </row>
    <row r="460" spans="1:5" hidden="1">
      <c r="A460" t="s">
        <v>10253</v>
      </c>
      <c r="B460" t="s">
        <v>10254</v>
      </c>
      <c r="C460" t="s">
        <v>9378</v>
      </c>
      <c r="D460" t="s">
        <v>9378</v>
      </c>
      <c r="E460" t="s">
        <v>9405</v>
      </c>
    </row>
    <row r="461" spans="1:5" hidden="1">
      <c r="A461" t="s">
        <v>10255</v>
      </c>
      <c r="B461" t="s">
        <v>10256</v>
      </c>
      <c r="C461" t="s">
        <v>9378</v>
      </c>
      <c r="D461" t="s">
        <v>9378</v>
      </c>
      <c r="E461" t="s">
        <v>9405</v>
      </c>
    </row>
    <row r="462" spans="1:5" hidden="1">
      <c r="A462" t="s">
        <v>10257</v>
      </c>
      <c r="B462" t="s">
        <v>10258</v>
      </c>
      <c r="C462" t="s">
        <v>9378</v>
      </c>
      <c r="D462" t="s">
        <v>9378</v>
      </c>
      <c r="E462" t="s">
        <v>9405</v>
      </c>
    </row>
    <row r="463" spans="1:5" hidden="1">
      <c r="A463" t="s">
        <v>10259</v>
      </c>
      <c r="B463" t="s">
        <v>10260</v>
      </c>
      <c r="C463" t="s">
        <v>9378</v>
      </c>
      <c r="D463" t="s">
        <v>9378</v>
      </c>
      <c r="E463" t="s">
        <v>9405</v>
      </c>
    </row>
    <row r="464" spans="1:5" hidden="1">
      <c r="A464" t="s">
        <v>10261</v>
      </c>
      <c r="B464" t="s">
        <v>10262</v>
      </c>
      <c r="C464" t="s">
        <v>9378</v>
      </c>
      <c r="D464" t="s">
        <v>9378</v>
      </c>
      <c r="E464" t="s">
        <v>9405</v>
      </c>
    </row>
    <row r="465" spans="1:5" hidden="1">
      <c r="A465" t="s">
        <v>10263</v>
      </c>
      <c r="B465" t="s">
        <v>10264</v>
      </c>
      <c r="C465" t="s">
        <v>9378</v>
      </c>
      <c r="D465" t="s">
        <v>9378</v>
      </c>
      <c r="E465" t="s">
        <v>9405</v>
      </c>
    </row>
    <row r="466" spans="1:5" hidden="1">
      <c r="A466" t="s">
        <v>10265</v>
      </c>
      <c r="B466" t="s">
        <v>10266</v>
      </c>
      <c r="C466" t="s">
        <v>9378</v>
      </c>
      <c r="D466" t="s">
        <v>9378</v>
      </c>
      <c r="E466" t="s">
        <v>9405</v>
      </c>
    </row>
    <row r="467" spans="1:5" hidden="1">
      <c r="A467" t="s">
        <v>10267</v>
      </c>
      <c r="B467" t="s">
        <v>10268</v>
      </c>
      <c r="C467" t="s">
        <v>9378</v>
      </c>
      <c r="D467" t="s">
        <v>9378</v>
      </c>
      <c r="E467" t="s">
        <v>9405</v>
      </c>
    </row>
    <row r="468" spans="1:5" hidden="1">
      <c r="A468" t="s">
        <v>10269</v>
      </c>
      <c r="B468" t="s">
        <v>10270</v>
      </c>
      <c r="C468" t="s">
        <v>9378</v>
      </c>
      <c r="D468" t="s">
        <v>9378</v>
      </c>
      <c r="E468" t="s">
        <v>9405</v>
      </c>
    </row>
    <row r="469" spans="1:5" hidden="1">
      <c r="A469" t="s">
        <v>335</v>
      </c>
      <c r="B469" t="s">
        <v>336</v>
      </c>
      <c r="C469" t="s">
        <v>9378</v>
      </c>
      <c r="D469" t="s">
        <v>9378</v>
      </c>
      <c r="E469" t="s">
        <v>9405</v>
      </c>
    </row>
    <row r="470" spans="1:5" hidden="1">
      <c r="A470" t="s">
        <v>10271</v>
      </c>
      <c r="B470" t="s">
        <v>10272</v>
      </c>
      <c r="C470" t="s">
        <v>9378</v>
      </c>
      <c r="D470" t="s">
        <v>9378</v>
      </c>
      <c r="E470" t="s">
        <v>9405</v>
      </c>
    </row>
    <row r="471" spans="1:5" hidden="1">
      <c r="A471" t="s">
        <v>10273</v>
      </c>
      <c r="B471" t="s">
        <v>10274</v>
      </c>
      <c r="C471" t="s">
        <v>9378</v>
      </c>
      <c r="D471" t="s">
        <v>9378</v>
      </c>
      <c r="E471" t="s">
        <v>9405</v>
      </c>
    </row>
    <row r="472" spans="1:5" hidden="1">
      <c r="A472" t="s">
        <v>10275</v>
      </c>
      <c r="B472" t="s">
        <v>10276</v>
      </c>
      <c r="C472" t="s">
        <v>9378</v>
      </c>
      <c r="D472" t="s">
        <v>9378</v>
      </c>
      <c r="E472" t="s">
        <v>9405</v>
      </c>
    </row>
    <row r="473" spans="1:5" hidden="1">
      <c r="A473" t="s">
        <v>10277</v>
      </c>
      <c r="B473" t="s">
        <v>10278</v>
      </c>
      <c r="C473" t="s">
        <v>9378</v>
      </c>
      <c r="D473" t="s">
        <v>9378</v>
      </c>
      <c r="E473" t="s">
        <v>9405</v>
      </c>
    </row>
    <row r="474" spans="1:5" hidden="1">
      <c r="A474" t="s">
        <v>10279</v>
      </c>
      <c r="B474" t="s">
        <v>10280</v>
      </c>
      <c r="C474" t="s">
        <v>9378</v>
      </c>
      <c r="D474" t="s">
        <v>9378</v>
      </c>
      <c r="E474" t="s">
        <v>9405</v>
      </c>
    </row>
    <row r="475" spans="1:5" hidden="1">
      <c r="A475" t="s">
        <v>209</v>
      </c>
      <c r="B475" t="s">
        <v>10281</v>
      </c>
      <c r="C475" t="s">
        <v>9378</v>
      </c>
      <c r="D475" t="s">
        <v>9378</v>
      </c>
      <c r="E475" t="s">
        <v>9405</v>
      </c>
    </row>
    <row r="476" spans="1:5" hidden="1">
      <c r="A476" t="s">
        <v>10282</v>
      </c>
      <c r="B476" t="s">
        <v>10283</v>
      </c>
      <c r="C476" t="s">
        <v>9378</v>
      </c>
      <c r="D476" t="s">
        <v>9378</v>
      </c>
      <c r="E476" t="s">
        <v>9405</v>
      </c>
    </row>
    <row r="477" spans="1:5" hidden="1">
      <c r="A477" t="s">
        <v>10284</v>
      </c>
      <c r="B477" t="s">
        <v>10285</v>
      </c>
      <c r="C477" t="s">
        <v>9378</v>
      </c>
      <c r="D477" t="s">
        <v>9378</v>
      </c>
      <c r="E477" t="s">
        <v>9405</v>
      </c>
    </row>
    <row r="478" spans="1:5" hidden="1">
      <c r="A478" t="s">
        <v>10286</v>
      </c>
      <c r="B478" t="s">
        <v>10287</v>
      </c>
      <c r="C478" t="s">
        <v>9378</v>
      </c>
      <c r="D478" t="s">
        <v>9378</v>
      </c>
      <c r="E478" t="s">
        <v>9405</v>
      </c>
    </row>
    <row r="479" spans="1:5" hidden="1">
      <c r="A479" t="s">
        <v>10288</v>
      </c>
      <c r="B479" t="s">
        <v>10289</v>
      </c>
      <c r="C479" t="s">
        <v>9378</v>
      </c>
      <c r="D479" t="s">
        <v>9378</v>
      </c>
      <c r="E479" t="s">
        <v>9405</v>
      </c>
    </row>
    <row r="480" spans="1:5" hidden="1">
      <c r="A480" t="s">
        <v>10290</v>
      </c>
      <c r="B480" t="s">
        <v>10291</v>
      </c>
      <c r="C480" t="s">
        <v>9378</v>
      </c>
      <c r="D480" t="s">
        <v>9378</v>
      </c>
      <c r="E480" t="s">
        <v>9405</v>
      </c>
    </row>
    <row r="481" spans="1:5" hidden="1">
      <c r="A481" t="s">
        <v>10292</v>
      </c>
      <c r="B481" t="s">
        <v>10293</v>
      </c>
      <c r="C481" t="s">
        <v>9378</v>
      </c>
      <c r="D481" t="s">
        <v>9378</v>
      </c>
      <c r="E481" t="s">
        <v>9405</v>
      </c>
    </row>
    <row r="482" spans="1:5" hidden="1">
      <c r="A482" t="s">
        <v>10294</v>
      </c>
      <c r="B482" t="s">
        <v>10295</v>
      </c>
      <c r="C482" t="s">
        <v>9378</v>
      </c>
      <c r="D482" t="s">
        <v>9378</v>
      </c>
      <c r="E482" t="s">
        <v>9405</v>
      </c>
    </row>
    <row r="483" spans="1:5" hidden="1">
      <c r="A483" t="s">
        <v>10296</v>
      </c>
      <c r="B483" t="s">
        <v>10297</v>
      </c>
      <c r="C483" t="s">
        <v>9378</v>
      </c>
      <c r="D483" t="s">
        <v>9378</v>
      </c>
      <c r="E483" t="s">
        <v>9405</v>
      </c>
    </row>
    <row r="484" spans="1:5" hidden="1">
      <c r="A484" t="s">
        <v>10298</v>
      </c>
      <c r="B484" t="s">
        <v>10299</v>
      </c>
      <c r="C484" t="s">
        <v>9378</v>
      </c>
      <c r="D484" t="s">
        <v>9378</v>
      </c>
      <c r="E484" t="s">
        <v>9353</v>
      </c>
    </row>
    <row r="485" spans="1:5" hidden="1">
      <c r="A485" t="s">
        <v>10300</v>
      </c>
      <c r="B485" t="s">
        <v>10301</v>
      </c>
      <c r="C485" t="s">
        <v>9378</v>
      </c>
      <c r="D485" t="s">
        <v>9378</v>
      </c>
      <c r="E485" t="s">
        <v>9353</v>
      </c>
    </row>
    <row r="486" spans="1:5" hidden="1">
      <c r="A486" t="s">
        <v>10302</v>
      </c>
      <c r="B486" t="s">
        <v>10303</v>
      </c>
      <c r="C486" t="s">
        <v>9378</v>
      </c>
      <c r="D486" t="s">
        <v>9378</v>
      </c>
      <c r="E486" t="s">
        <v>9405</v>
      </c>
    </row>
    <row r="487" spans="1:5" hidden="1">
      <c r="A487" t="s">
        <v>10304</v>
      </c>
      <c r="B487" t="s">
        <v>10305</v>
      </c>
      <c r="C487" t="s">
        <v>9378</v>
      </c>
      <c r="D487" t="s">
        <v>9378</v>
      </c>
      <c r="E487" t="s">
        <v>9405</v>
      </c>
    </row>
    <row r="488" spans="1:5" hidden="1">
      <c r="A488" t="s">
        <v>10306</v>
      </c>
      <c r="B488" t="s">
        <v>10307</v>
      </c>
      <c r="C488" t="s">
        <v>9378</v>
      </c>
      <c r="D488" t="s">
        <v>9378</v>
      </c>
      <c r="E488" t="s">
        <v>9353</v>
      </c>
    </row>
    <row r="489" spans="1:5" hidden="1">
      <c r="A489" t="s">
        <v>10308</v>
      </c>
      <c r="B489" t="s">
        <v>10309</v>
      </c>
      <c r="C489" t="s">
        <v>9378</v>
      </c>
      <c r="D489" t="s">
        <v>9378</v>
      </c>
      <c r="E489" t="s">
        <v>9353</v>
      </c>
    </row>
    <row r="490" spans="1:5" hidden="1">
      <c r="A490" t="s">
        <v>326</v>
      </c>
      <c r="B490" t="s">
        <v>327</v>
      </c>
      <c r="C490" t="s">
        <v>9378</v>
      </c>
      <c r="D490" t="s">
        <v>9378</v>
      </c>
      <c r="E490" t="s">
        <v>9405</v>
      </c>
    </row>
    <row r="491" spans="1:5" hidden="1">
      <c r="A491" t="s">
        <v>10310</v>
      </c>
      <c r="B491" t="s">
        <v>10311</v>
      </c>
      <c r="C491" t="s">
        <v>9378</v>
      </c>
      <c r="D491" t="s">
        <v>9378</v>
      </c>
      <c r="E491" t="s">
        <v>9405</v>
      </c>
    </row>
    <row r="492" spans="1:5" hidden="1">
      <c r="A492" t="s">
        <v>10312</v>
      </c>
      <c r="B492" t="s">
        <v>10313</v>
      </c>
      <c r="C492" t="s">
        <v>9378</v>
      </c>
      <c r="D492" t="s">
        <v>9378</v>
      </c>
      <c r="E492" t="s">
        <v>9378</v>
      </c>
    </row>
    <row r="493" spans="1:5" hidden="1">
      <c r="A493" t="s">
        <v>10314</v>
      </c>
      <c r="B493" t="s">
        <v>10315</v>
      </c>
      <c r="C493" t="s">
        <v>9378</v>
      </c>
      <c r="D493" t="s">
        <v>9378</v>
      </c>
      <c r="E493" t="s">
        <v>9378</v>
      </c>
    </row>
    <row r="494" spans="1:5" hidden="1">
      <c r="A494" t="s">
        <v>248</v>
      </c>
      <c r="B494" t="s">
        <v>10316</v>
      </c>
      <c r="C494" t="s">
        <v>9378</v>
      </c>
      <c r="D494" t="s">
        <v>9378</v>
      </c>
      <c r="E494" t="s">
        <v>9378</v>
      </c>
    </row>
    <row r="495" spans="1:5" hidden="1">
      <c r="A495" t="s">
        <v>233</v>
      </c>
      <c r="B495" t="s">
        <v>10317</v>
      </c>
      <c r="C495" t="s">
        <v>9378</v>
      </c>
      <c r="D495" t="s">
        <v>9378</v>
      </c>
      <c r="E495" t="s">
        <v>9378</v>
      </c>
    </row>
    <row r="496" spans="1:5" hidden="1">
      <c r="A496" t="s">
        <v>10318</v>
      </c>
      <c r="B496" t="s">
        <v>10319</v>
      </c>
      <c r="C496" t="s">
        <v>9378</v>
      </c>
      <c r="D496" t="s">
        <v>9378</v>
      </c>
      <c r="E496" t="s">
        <v>9378</v>
      </c>
    </row>
    <row r="497" spans="1:5" hidden="1">
      <c r="A497" t="s">
        <v>10320</v>
      </c>
      <c r="B497" t="s">
        <v>10321</v>
      </c>
      <c r="C497" t="s">
        <v>9378</v>
      </c>
      <c r="D497" t="s">
        <v>9378</v>
      </c>
      <c r="E497" t="s">
        <v>9378</v>
      </c>
    </row>
    <row r="498" spans="1:5" hidden="1">
      <c r="A498" t="s">
        <v>332</v>
      </c>
      <c r="B498" t="s">
        <v>333</v>
      </c>
      <c r="C498" t="s">
        <v>9378</v>
      </c>
      <c r="D498" t="s">
        <v>9378</v>
      </c>
      <c r="E498" t="s">
        <v>9378</v>
      </c>
    </row>
    <row r="499" spans="1:5" hidden="1">
      <c r="A499" t="s">
        <v>10322</v>
      </c>
      <c r="B499" t="s">
        <v>10323</v>
      </c>
      <c r="C499" t="s">
        <v>9378</v>
      </c>
      <c r="D499" t="s">
        <v>9378</v>
      </c>
      <c r="E499" t="s">
        <v>9378</v>
      </c>
    </row>
    <row r="500" spans="1:5" hidden="1">
      <c r="A500" t="s">
        <v>203</v>
      </c>
      <c r="B500" t="s">
        <v>10324</v>
      </c>
      <c r="C500" t="s">
        <v>9378</v>
      </c>
      <c r="D500" t="s">
        <v>9378</v>
      </c>
      <c r="E500" t="s">
        <v>9378</v>
      </c>
    </row>
    <row r="501" spans="1:5" hidden="1">
      <c r="A501" t="s">
        <v>299</v>
      </c>
      <c r="B501" t="s">
        <v>10325</v>
      </c>
      <c r="C501" t="s">
        <v>9378</v>
      </c>
      <c r="D501" t="s">
        <v>9378</v>
      </c>
      <c r="E501" t="s">
        <v>9378</v>
      </c>
    </row>
    <row r="502" spans="1:5" hidden="1">
      <c r="A502" t="s">
        <v>10326</v>
      </c>
      <c r="B502" t="s">
        <v>10327</v>
      </c>
      <c r="C502" t="s">
        <v>9378</v>
      </c>
      <c r="D502" t="s">
        <v>9378</v>
      </c>
      <c r="E502" t="s">
        <v>9378</v>
      </c>
    </row>
    <row r="503" spans="1:5" hidden="1">
      <c r="A503" t="s">
        <v>10328</v>
      </c>
      <c r="B503" t="s">
        <v>10329</v>
      </c>
      <c r="C503" t="s">
        <v>9378</v>
      </c>
      <c r="D503" t="s">
        <v>9378</v>
      </c>
      <c r="E503" t="s">
        <v>9378</v>
      </c>
    </row>
    <row r="504" spans="1:5" hidden="1">
      <c r="A504" t="s">
        <v>197</v>
      </c>
      <c r="B504" t="s">
        <v>10330</v>
      </c>
      <c r="C504" t="s">
        <v>9378</v>
      </c>
      <c r="D504" t="s">
        <v>9378</v>
      </c>
      <c r="E504" t="s">
        <v>9378</v>
      </c>
    </row>
    <row r="505" spans="1:5" hidden="1">
      <c r="A505" t="s">
        <v>34</v>
      </c>
      <c r="B505" t="s">
        <v>10331</v>
      </c>
      <c r="C505" t="s">
        <v>9378</v>
      </c>
      <c r="D505" t="s">
        <v>9378</v>
      </c>
      <c r="E505" t="s">
        <v>9378</v>
      </c>
    </row>
    <row r="506" spans="1:5" hidden="1">
      <c r="A506" t="s">
        <v>10332</v>
      </c>
      <c r="B506" t="s">
        <v>10333</v>
      </c>
      <c r="C506" t="s">
        <v>9378</v>
      </c>
      <c r="D506" t="s">
        <v>9378</v>
      </c>
      <c r="E506" t="s">
        <v>9378</v>
      </c>
    </row>
    <row r="507" spans="1:5" hidden="1">
      <c r="A507" t="s">
        <v>10334</v>
      </c>
      <c r="B507" t="s">
        <v>10335</v>
      </c>
      <c r="C507" t="s">
        <v>9378</v>
      </c>
      <c r="D507" t="s">
        <v>9378</v>
      </c>
      <c r="E507" t="s">
        <v>9378</v>
      </c>
    </row>
    <row r="508" spans="1:5" hidden="1">
      <c r="A508" t="s">
        <v>10336</v>
      </c>
      <c r="B508" t="s">
        <v>10337</v>
      </c>
      <c r="C508" t="s">
        <v>9378</v>
      </c>
      <c r="D508" t="s">
        <v>9378</v>
      </c>
      <c r="E508" t="s">
        <v>9378</v>
      </c>
    </row>
    <row r="509" spans="1:5" hidden="1">
      <c r="A509" t="s">
        <v>10338</v>
      </c>
      <c r="B509" t="s">
        <v>10339</v>
      </c>
      <c r="C509" t="s">
        <v>9378</v>
      </c>
      <c r="D509" t="s">
        <v>9378</v>
      </c>
      <c r="E509" t="s">
        <v>9378</v>
      </c>
    </row>
    <row r="510" spans="1:5" hidden="1">
      <c r="A510" t="s">
        <v>10340</v>
      </c>
      <c r="B510" t="s">
        <v>10341</v>
      </c>
      <c r="C510" t="s">
        <v>9378</v>
      </c>
      <c r="D510" t="s">
        <v>9378</v>
      </c>
      <c r="E510" t="s">
        <v>9378</v>
      </c>
    </row>
    <row r="511" spans="1:5" hidden="1">
      <c r="A511" t="s">
        <v>10342</v>
      </c>
      <c r="B511" t="s">
        <v>10343</v>
      </c>
      <c r="C511" t="s">
        <v>9378</v>
      </c>
      <c r="D511" t="s">
        <v>9378</v>
      </c>
      <c r="E511" t="s">
        <v>9378</v>
      </c>
    </row>
    <row r="512" spans="1:5" hidden="1">
      <c r="A512" t="s">
        <v>10344</v>
      </c>
      <c r="B512" t="s">
        <v>10345</v>
      </c>
      <c r="C512" t="s">
        <v>9378</v>
      </c>
      <c r="D512" t="s">
        <v>9378</v>
      </c>
      <c r="E512" t="s">
        <v>9378</v>
      </c>
    </row>
    <row r="513" spans="1:5" hidden="1">
      <c r="A513" t="s">
        <v>82</v>
      </c>
      <c r="B513" t="s">
        <v>83</v>
      </c>
      <c r="C513" t="s">
        <v>9378</v>
      </c>
      <c r="D513" t="s">
        <v>9378</v>
      </c>
      <c r="E513" t="s">
        <v>9378</v>
      </c>
    </row>
    <row r="514" spans="1:5" hidden="1">
      <c r="A514" t="s">
        <v>88</v>
      </c>
      <c r="B514" t="s">
        <v>89</v>
      </c>
      <c r="C514" t="s">
        <v>9378</v>
      </c>
      <c r="D514" t="s">
        <v>9378</v>
      </c>
      <c r="E514" t="s">
        <v>9378</v>
      </c>
    </row>
    <row r="515" spans="1:5" hidden="1">
      <c r="A515" t="s">
        <v>61</v>
      </c>
      <c r="B515" t="s">
        <v>10346</v>
      </c>
      <c r="C515" t="s">
        <v>9378</v>
      </c>
      <c r="D515" t="s">
        <v>9378</v>
      </c>
      <c r="E515" t="s">
        <v>9378</v>
      </c>
    </row>
    <row r="516" spans="1:5" hidden="1">
      <c r="A516" t="s">
        <v>58</v>
      </c>
      <c r="B516" t="s">
        <v>10347</v>
      </c>
      <c r="C516" t="s">
        <v>9378</v>
      </c>
      <c r="D516" t="s">
        <v>9378</v>
      </c>
      <c r="E516" t="s">
        <v>9378</v>
      </c>
    </row>
    <row r="517" spans="1:5" hidden="1">
      <c r="A517" t="s">
        <v>31</v>
      </c>
      <c r="B517" t="s">
        <v>10348</v>
      </c>
      <c r="C517" t="s">
        <v>9378</v>
      </c>
      <c r="D517" t="s">
        <v>9378</v>
      </c>
      <c r="E517" t="s">
        <v>9378</v>
      </c>
    </row>
    <row r="518" spans="1:5" hidden="1">
      <c r="A518" t="s">
        <v>40</v>
      </c>
      <c r="B518" t="s">
        <v>10349</v>
      </c>
      <c r="C518" t="s">
        <v>9378</v>
      </c>
      <c r="D518" t="s">
        <v>9378</v>
      </c>
      <c r="E518" t="s">
        <v>9378</v>
      </c>
    </row>
    <row r="519" spans="1:5" hidden="1">
      <c r="A519" t="s">
        <v>118</v>
      </c>
      <c r="B519" t="s">
        <v>119</v>
      </c>
      <c r="C519" t="s">
        <v>9378</v>
      </c>
      <c r="D519" t="s">
        <v>9378</v>
      </c>
      <c r="E519" t="s">
        <v>9378</v>
      </c>
    </row>
    <row r="520" spans="1:5" hidden="1">
      <c r="A520" t="s">
        <v>266</v>
      </c>
      <c r="B520" t="s">
        <v>267</v>
      </c>
      <c r="C520" t="s">
        <v>9378</v>
      </c>
      <c r="D520" t="s">
        <v>9378</v>
      </c>
      <c r="E520" t="s">
        <v>9378</v>
      </c>
    </row>
    <row r="521" spans="1:5" hidden="1">
      <c r="A521" t="s">
        <v>10350</v>
      </c>
      <c r="B521" t="s">
        <v>10351</v>
      </c>
      <c r="C521" t="s">
        <v>9378</v>
      </c>
      <c r="D521" t="s">
        <v>9378</v>
      </c>
      <c r="E521" t="s">
        <v>9378</v>
      </c>
    </row>
    <row r="522" spans="1:5" hidden="1">
      <c r="A522" t="s">
        <v>10352</v>
      </c>
      <c r="B522" t="s">
        <v>10353</v>
      </c>
      <c r="C522" t="s">
        <v>9378</v>
      </c>
      <c r="D522" t="s">
        <v>9378</v>
      </c>
      <c r="E522" t="s">
        <v>9378</v>
      </c>
    </row>
    <row r="523" spans="1:5" hidden="1">
      <c r="A523" t="s">
        <v>10354</v>
      </c>
      <c r="B523" t="s">
        <v>10355</v>
      </c>
      <c r="C523" t="s">
        <v>9378</v>
      </c>
      <c r="D523" t="s">
        <v>9378</v>
      </c>
      <c r="E523" t="s">
        <v>9378</v>
      </c>
    </row>
    <row r="524" spans="1:5" hidden="1">
      <c r="A524" t="s">
        <v>10356</v>
      </c>
      <c r="B524" t="s">
        <v>10357</v>
      </c>
      <c r="C524" t="s">
        <v>9378</v>
      </c>
      <c r="D524" t="s">
        <v>9378</v>
      </c>
      <c r="E524" t="s">
        <v>9378</v>
      </c>
    </row>
    <row r="525" spans="1:5" hidden="1">
      <c r="A525" t="s">
        <v>260</v>
      </c>
      <c r="B525" t="s">
        <v>261</v>
      </c>
      <c r="C525" t="s">
        <v>9378</v>
      </c>
      <c r="D525" t="s">
        <v>9378</v>
      </c>
      <c r="E525" t="s">
        <v>9378</v>
      </c>
    </row>
    <row r="526" spans="1:5" hidden="1">
      <c r="A526" t="s">
        <v>10358</v>
      </c>
      <c r="B526" t="s">
        <v>10359</v>
      </c>
      <c r="C526" t="s">
        <v>9378</v>
      </c>
      <c r="D526" t="s">
        <v>9378</v>
      </c>
      <c r="E526" t="s">
        <v>9378</v>
      </c>
    </row>
    <row r="527" spans="1:5" hidden="1">
      <c r="A527" t="s">
        <v>10360</v>
      </c>
      <c r="B527" t="s">
        <v>10361</v>
      </c>
      <c r="C527" t="s">
        <v>9378</v>
      </c>
      <c r="D527" t="s">
        <v>9378</v>
      </c>
      <c r="E527" t="s">
        <v>9378</v>
      </c>
    </row>
    <row r="528" spans="1:5" hidden="1">
      <c r="A528" t="s">
        <v>37</v>
      </c>
      <c r="B528" t="s">
        <v>10362</v>
      </c>
      <c r="C528" t="s">
        <v>9378</v>
      </c>
      <c r="D528" t="s">
        <v>9378</v>
      </c>
      <c r="E528" t="s">
        <v>9378</v>
      </c>
    </row>
    <row r="529" spans="1:5" hidden="1">
      <c r="A529" t="s">
        <v>73</v>
      </c>
      <c r="B529" t="s">
        <v>10363</v>
      </c>
      <c r="C529" t="s">
        <v>9378</v>
      </c>
      <c r="D529" t="s">
        <v>9378</v>
      </c>
      <c r="E529" t="s">
        <v>9378</v>
      </c>
    </row>
    <row r="530" spans="1:5" hidden="1">
      <c r="A530" t="s">
        <v>206</v>
      </c>
      <c r="B530" t="s">
        <v>10364</v>
      </c>
      <c r="C530" t="s">
        <v>9378</v>
      </c>
      <c r="D530" t="s">
        <v>9378</v>
      </c>
      <c r="E530" t="s">
        <v>9378</v>
      </c>
    </row>
    <row r="531" spans="1:5" hidden="1">
      <c r="A531" t="s">
        <v>227</v>
      </c>
      <c r="B531" t="s">
        <v>10365</v>
      </c>
      <c r="C531" t="s">
        <v>9378</v>
      </c>
      <c r="D531" t="s">
        <v>9378</v>
      </c>
      <c r="E531" t="s">
        <v>9378</v>
      </c>
    </row>
    <row r="532" spans="1:5" hidden="1">
      <c r="A532" t="s">
        <v>194</v>
      </c>
      <c r="B532" t="s">
        <v>10366</v>
      </c>
      <c r="C532" t="s">
        <v>9378</v>
      </c>
      <c r="D532" t="s">
        <v>9378</v>
      </c>
      <c r="E532" t="s">
        <v>9378</v>
      </c>
    </row>
    <row r="533" spans="1:5" hidden="1">
      <c r="A533" t="s">
        <v>215</v>
      </c>
      <c r="B533" t="s">
        <v>10367</v>
      </c>
      <c r="C533" t="s">
        <v>9378</v>
      </c>
      <c r="D533" t="s">
        <v>9378</v>
      </c>
      <c r="E533" t="s">
        <v>9378</v>
      </c>
    </row>
    <row r="534" spans="1:5" hidden="1">
      <c r="A534" t="s">
        <v>10368</v>
      </c>
      <c r="B534" t="s">
        <v>10369</v>
      </c>
      <c r="C534" t="s">
        <v>9378</v>
      </c>
      <c r="D534" t="s">
        <v>9378</v>
      </c>
      <c r="E534" t="s">
        <v>9378</v>
      </c>
    </row>
    <row r="535" spans="1:5" hidden="1">
      <c r="A535" t="s">
        <v>10370</v>
      </c>
      <c r="B535" t="s">
        <v>10371</v>
      </c>
      <c r="C535" t="s">
        <v>9378</v>
      </c>
      <c r="D535" t="s">
        <v>9378</v>
      </c>
      <c r="E535" t="s">
        <v>9378</v>
      </c>
    </row>
    <row r="536" spans="1:5" hidden="1">
      <c r="A536" t="s">
        <v>10372</v>
      </c>
      <c r="B536" t="s">
        <v>10373</v>
      </c>
      <c r="C536" t="s">
        <v>9378</v>
      </c>
      <c r="D536" t="s">
        <v>9378</v>
      </c>
      <c r="E536" t="s">
        <v>9378</v>
      </c>
    </row>
    <row r="537" spans="1:5" hidden="1">
      <c r="A537" t="s">
        <v>10374</v>
      </c>
      <c r="B537" t="s">
        <v>10375</v>
      </c>
      <c r="C537" t="s">
        <v>9378</v>
      </c>
      <c r="D537" t="s">
        <v>9378</v>
      </c>
      <c r="E537" t="s">
        <v>9378</v>
      </c>
    </row>
    <row r="538" spans="1:5" hidden="1">
      <c r="A538" t="s">
        <v>10376</v>
      </c>
      <c r="B538" t="s">
        <v>10377</v>
      </c>
      <c r="C538" t="s">
        <v>9378</v>
      </c>
      <c r="D538" t="s">
        <v>9378</v>
      </c>
      <c r="E538" t="s">
        <v>9378</v>
      </c>
    </row>
    <row r="539" spans="1:5" hidden="1">
      <c r="A539" t="s">
        <v>10378</v>
      </c>
      <c r="B539" t="s">
        <v>10379</v>
      </c>
      <c r="C539" t="s">
        <v>9378</v>
      </c>
      <c r="D539" t="s">
        <v>9378</v>
      </c>
      <c r="E539" t="s">
        <v>9378</v>
      </c>
    </row>
    <row r="540" spans="1:5" hidden="1">
      <c r="A540" t="s">
        <v>10380</v>
      </c>
      <c r="B540" t="s">
        <v>10381</v>
      </c>
      <c r="C540" t="s">
        <v>9378</v>
      </c>
      <c r="D540" t="s">
        <v>9378</v>
      </c>
      <c r="E540" t="s">
        <v>9378</v>
      </c>
    </row>
    <row r="541" spans="1:5" hidden="1">
      <c r="A541" t="s">
        <v>10382</v>
      </c>
      <c r="B541" t="s">
        <v>10383</v>
      </c>
      <c r="C541" t="s">
        <v>9378</v>
      </c>
      <c r="D541" t="s">
        <v>9378</v>
      </c>
      <c r="E541" t="s">
        <v>9378</v>
      </c>
    </row>
    <row r="542" spans="1:5" hidden="1">
      <c r="A542" t="s">
        <v>10384</v>
      </c>
      <c r="B542" t="s">
        <v>10385</v>
      </c>
      <c r="C542" t="s">
        <v>9378</v>
      </c>
      <c r="D542" t="s">
        <v>9378</v>
      </c>
      <c r="E542" t="s">
        <v>9378</v>
      </c>
    </row>
    <row r="543" spans="1:5" hidden="1">
      <c r="A543" t="s">
        <v>10386</v>
      </c>
      <c r="B543" t="s">
        <v>10387</v>
      </c>
      <c r="C543" t="s">
        <v>9378</v>
      </c>
      <c r="D543" t="s">
        <v>9378</v>
      </c>
      <c r="E543" t="s">
        <v>9378</v>
      </c>
    </row>
    <row r="544" spans="1:5" hidden="1">
      <c r="A544" t="s">
        <v>10388</v>
      </c>
      <c r="B544" t="s">
        <v>10389</v>
      </c>
      <c r="C544" t="s">
        <v>9378</v>
      </c>
      <c r="D544" t="s">
        <v>9378</v>
      </c>
      <c r="E544" t="s">
        <v>9378</v>
      </c>
    </row>
    <row r="545" spans="1:5" hidden="1">
      <c r="A545" t="s">
        <v>10390</v>
      </c>
      <c r="B545" t="s">
        <v>10391</v>
      </c>
      <c r="C545" t="s">
        <v>9378</v>
      </c>
      <c r="D545" t="s">
        <v>9378</v>
      </c>
      <c r="E545" t="s">
        <v>9378</v>
      </c>
    </row>
    <row r="546" spans="1:5" hidden="1">
      <c r="A546" t="s">
        <v>10392</v>
      </c>
      <c r="B546" t="s">
        <v>10393</v>
      </c>
      <c r="C546" t="s">
        <v>9378</v>
      </c>
      <c r="D546" t="s">
        <v>9378</v>
      </c>
      <c r="E546" t="s">
        <v>9378</v>
      </c>
    </row>
    <row r="547" spans="1:5" hidden="1">
      <c r="A547" t="s">
        <v>10394</v>
      </c>
      <c r="B547" t="s">
        <v>10395</v>
      </c>
      <c r="C547" t="s">
        <v>9378</v>
      </c>
      <c r="D547" t="s">
        <v>9378</v>
      </c>
      <c r="E547" t="s">
        <v>9378</v>
      </c>
    </row>
    <row r="548" spans="1:5" hidden="1">
      <c r="A548" t="s">
        <v>10396</v>
      </c>
      <c r="B548" t="s">
        <v>10397</v>
      </c>
      <c r="C548" t="s">
        <v>9378</v>
      </c>
      <c r="D548" t="s">
        <v>9378</v>
      </c>
      <c r="E548" t="s">
        <v>9378</v>
      </c>
    </row>
    <row r="549" spans="1:5" hidden="1">
      <c r="A549" t="s">
        <v>10398</v>
      </c>
      <c r="B549" t="s">
        <v>10399</v>
      </c>
      <c r="C549" t="s">
        <v>9378</v>
      </c>
      <c r="D549" t="s">
        <v>9378</v>
      </c>
      <c r="E549" t="s">
        <v>9378</v>
      </c>
    </row>
    <row r="550" spans="1:5" hidden="1">
      <c r="A550" t="s">
        <v>10400</v>
      </c>
      <c r="B550" t="s">
        <v>10401</v>
      </c>
      <c r="C550" t="s">
        <v>9378</v>
      </c>
      <c r="D550" t="s">
        <v>9378</v>
      </c>
      <c r="E550" t="s">
        <v>9378</v>
      </c>
    </row>
    <row r="551" spans="1:5" hidden="1">
      <c r="A551" t="s">
        <v>10402</v>
      </c>
      <c r="B551" t="s">
        <v>10403</v>
      </c>
      <c r="C551" t="s">
        <v>9378</v>
      </c>
      <c r="D551" t="s">
        <v>9378</v>
      </c>
      <c r="E551" t="s">
        <v>9405</v>
      </c>
    </row>
    <row r="552" spans="1:5" hidden="1">
      <c r="A552" t="s">
        <v>10404</v>
      </c>
      <c r="B552" t="s">
        <v>10405</v>
      </c>
      <c r="C552" t="s">
        <v>9378</v>
      </c>
      <c r="D552" t="s">
        <v>9378</v>
      </c>
      <c r="E552" t="s">
        <v>9378</v>
      </c>
    </row>
    <row r="553" spans="1:5" hidden="1">
      <c r="A553" t="s">
        <v>115</v>
      </c>
      <c r="B553" t="s">
        <v>10406</v>
      </c>
      <c r="C553" t="s">
        <v>9378</v>
      </c>
      <c r="D553" t="s">
        <v>9378</v>
      </c>
      <c r="E553" t="s">
        <v>9378</v>
      </c>
    </row>
    <row r="554" spans="1:5" hidden="1">
      <c r="A554" t="s">
        <v>85</v>
      </c>
      <c r="B554" t="s">
        <v>10407</v>
      </c>
      <c r="C554" t="s">
        <v>9378</v>
      </c>
      <c r="D554" t="s">
        <v>9378</v>
      </c>
      <c r="E554" t="s">
        <v>9378</v>
      </c>
    </row>
    <row r="555" spans="1:5" hidden="1">
      <c r="A555" t="s">
        <v>106</v>
      </c>
      <c r="B555" t="s">
        <v>10408</v>
      </c>
      <c r="C555" t="s">
        <v>9378</v>
      </c>
      <c r="D555" t="s">
        <v>9378</v>
      </c>
      <c r="E555" t="s">
        <v>9378</v>
      </c>
    </row>
    <row r="556" spans="1:5" hidden="1">
      <c r="A556" t="s">
        <v>224</v>
      </c>
      <c r="B556" t="s">
        <v>10409</v>
      </c>
      <c r="C556" t="s">
        <v>9378</v>
      </c>
      <c r="D556" t="s">
        <v>9378</v>
      </c>
      <c r="E556" t="s">
        <v>9378</v>
      </c>
    </row>
    <row r="557" spans="1:5" hidden="1">
      <c r="A557" t="s">
        <v>10410</v>
      </c>
      <c r="B557" t="s">
        <v>10411</v>
      </c>
      <c r="C557" t="s">
        <v>9378</v>
      </c>
      <c r="D557" t="s">
        <v>9378</v>
      </c>
      <c r="E557" t="s">
        <v>9378</v>
      </c>
    </row>
    <row r="558" spans="1:5" hidden="1">
      <c r="A558" t="s">
        <v>124</v>
      </c>
      <c r="B558" t="s">
        <v>125</v>
      </c>
      <c r="C558" t="s">
        <v>9378</v>
      </c>
      <c r="D558" t="s">
        <v>9378</v>
      </c>
      <c r="E558" t="s">
        <v>9378</v>
      </c>
    </row>
    <row r="559" spans="1:5" hidden="1">
      <c r="A559" t="s">
        <v>10412</v>
      </c>
      <c r="B559" t="s">
        <v>10413</v>
      </c>
      <c r="C559" t="s">
        <v>9378</v>
      </c>
      <c r="D559" t="s">
        <v>9378</v>
      </c>
      <c r="E559" t="s">
        <v>9378</v>
      </c>
    </row>
    <row r="560" spans="1:5" hidden="1">
      <c r="A560" t="s">
        <v>10414</v>
      </c>
      <c r="B560" t="s">
        <v>10415</v>
      </c>
      <c r="C560" t="s">
        <v>9378</v>
      </c>
      <c r="D560" t="s">
        <v>9378</v>
      </c>
      <c r="E560" t="s">
        <v>9378</v>
      </c>
    </row>
    <row r="561" spans="1:5" hidden="1">
      <c r="A561" t="s">
        <v>10416</v>
      </c>
      <c r="B561" t="s">
        <v>10417</v>
      </c>
      <c r="C561" t="s">
        <v>9378</v>
      </c>
      <c r="D561" t="s">
        <v>9378</v>
      </c>
      <c r="E561" t="s">
        <v>9378</v>
      </c>
    </row>
    <row r="562" spans="1:5" hidden="1">
      <c r="A562" t="s">
        <v>10418</v>
      </c>
      <c r="B562" t="s">
        <v>10419</v>
      </c>
      <c r="C562" t="s">
        <v>9378</v>
      </c>
      <c r="D562" t="s">
        <v>9378</v>
      </c>
      <c r="E562" t="s">
        <v>9378</v>
      </c>
    </row>
    <row r="563" spans="1:5" hidden="1">
      <c r="A563" t="s">
        <v>10420</v>
      </c>
      <c r="B563" t="s">
        <v>10421</v>
      </c>
      <c r="C563" t="s">
        <v>9378</v>
      </c>
      <c r="D563" t="s">
        <v>9378</v>
      </c>
      <c r="E563" t="s">
        <v>9378</v>
      </c>
    </row>
    <row r="564" spans="1:5" hidden="1">
      <c r="A564" t="s">
        <v>10422</v>
      </c>
      <c r="B564" t="s">
        <v>10423</v>
      </c>
      <c r="C564" t="s">
        <v>9378</v>
      </c>
      <c r="D564" t="s">
        <v>9378</v>
      </c>
      <c r="E564" t="s">
        <v>9378</v>
      </c>
    </row>
    <row r="565" spans="1:5" hidden="1">
      <c r="A565" t="s">
        <v>191</v>
      </c>
      <c r="B565" t="s">
        <v>192</v>
      </c>
      <c r="C565" t="s">
        <v>9378</v>
      </c>
      <c r="D565" t="s">
        <v>9378</v>
      </c>
      <c r="E565" t="s">
        <v>9378</v>
      </c>
    </row>
    <row r="566" spans="1:5" hidden="1">
      <c r="A566" t="s">
        <v>52</v>
      </c>
      <c r="B566" t="s">
        <v>53</v>
      </c>
      <c r="C566" t="s">
        <v>9378</v>
      </c>
      <c r="D566" t="s">
        <v>9378</v>
      </c>
      <c r="E566" t="s">
        <v>9378</v>
      </c>
    </row>
    <row r="567" spans="1:5" hidden="1">
      <c r="A567" t="s">
        <v>25</v>
      </c>
      <c r="B567" t="s">
        <v>10424</v>
      </c>
      <c r="C567" t="s">
        <v>9378</v>
      </c>
      <c r="D567" t="s">
        <v>9378</v>
      </c>
      <c r="E567" t="s">
        <v>9378</v>
      </c>
    </row>
    <row r="568" spans="1:5" hidden="1">
      <c r="A568" t="s">
        <v>94</v>
      </c>
      <c r="B568" t="s">
        <v>95</v>
      </c>
      <c r="C568" t="s">
        <v>9378</v>
      </c>
      <c r="D568" t="s">
        <v>9378</v>
      </c>
      <c r="E568" t="s">
        <v>9378</v>
      </c>
    </row>
    <row r="569" spans="1:5" hidden="1">
      <c r="A569" t="s">
        <v>109</v>
      </c>
      <c r="B569" t="s">
        <v>110</v>
      </c>
      <c r="C569" t="s">
        <v>9378</v>
      </c>
      <c r="D569" t="s">
        <v>9378</v>
      </c>
      <c r="E569" t="s">
        <v>9378</v>
      </c>
    </row>
    <row r="570" spans="1:5" hidden="1">
      <c r="A570" t="s">
        <v>311</v>
      </c>
      <c r="B570" t="s">
        <v>312</v>
      </c>
      <c r="C570" t="s">
        <v>9378</v>
      </c>
      <c r="D570" t="s">
        <v>9378</v>
      </c>
      <c r="E570" t="s">
        <v>9378</v>
      </c>
    </row>
    <row r="571" spans="1:5" hidden="1">
      <c r="A571" t="s">
        <v>10425</v>
      </c>
      <c r="B571" t="s">
        <v>10426</v>
      </c>
      <c r="C571" t="s">
        <v>9378</v>
      </c>
      <c r="D571" t="s">
        <v>9378</v>
      </c>
      <c r="E571" t="s">
        <v>9378</v>
      </c>
    </row>
    <row r="572" spans="1:5" hidden="1">
      <c r="A572" t="s">
        <v>10427</v>
      </c>
      <c r="B572" t="s">
        <v>10428</v>
      </c>
      <c r="C572" t="s">
        <v>9378</v>
      </c>
      <c r="D572" t="s">
        <v>9378</v>
      </c>
      <c r="E572" t="s">
        <v>9378</v>
      </c>
    </row>
    <row r="573" spans="1:5" hidden="1">
      <c r="A573" t="s">
        <v>218</v>
      </c>
      <c r="B573" t="s">
        <v>10429</v>
      </c>
      <c r="C573" t="s">
        <v>9378</v>
      </c>
      <c r="D573" t="s">
        <v>9378</v>
      </c>
      <c r="E573" t="s">
        <v>9378</v>
      </c>
    </row>
    <row r="574" spans="1:5" hidden="1">
      <c r="A574" t="s">
        <v>239</v>
      </c>
      <c r="B574" t="s">
        <v>10430</v>
      </c>
      <c r="C574" t="s">
        <v>9378</v>
      </c>
      <c r="D574" t="s">
        <v>9378</v>
      </c>
      <c r="E574" t="s">
        <v>9378</v>
      </c>
    </row>
    <row r="575" spans="1:5" hidden="1">
      <c r="A575" t="s">
        <v>3</v>
      </c>
      <c r="B575" t="s">
        <v>10431</v>
      </c>
      <c r="C575" t="s">
        <v>9378</v>
      </c>
      <c r="D575" t="s">
        <v>9378</v>
      </c>
      <c r="E575" t="s">
        <v>9378</v>
      </c>
    </row>
    <row r="576" spans="1:5" hidden="1">
      <c r="A576" t="s">
        <v>10432</v>
      </c>
      <c r="B576" t="s">
        <v>10433</v>
      </c>
      <c r="C576" t="s">
        <v>9378</v>
      </c>
      <c r="D576" t="s">
        <v>9378</v>
      </c>
      <c r="E576" t="s">
        <v>9378</v>
      </c>
    </row>
    <row r="577" spans="1:5" hidden="1">
      <c r="A577" t="s">
        <v>10434</v>
      </c>
      <c r="B577" t="s">
        <v>10435</v>
      </c>
      <c r="C577" t="s">
        <v>9378</v>
      </c>
      <c r="D577" t="s">
        <v>9378</v>
      </c>
      <c r="E577" t="s">
        <v>9405</v>
      </c>
    </row>
    <row r="578" spans="1:5" hidden="1">
      <c r="A578" t="s">
        <v>10436</v>
      </c>
      <c r="B578" t="s">
        <v>10437</v>
      </c>
      <c r="C578" t="s">
        <v>9378</v>
      </c>
      <c r="D578" t="s">
        <v>9378</v>
      </c>
      <c r="E578" t="s">
        <v>9378</v>
      </c>
    </row>
    <row r="579" spans="1:5" hidden="1">
      <c r="A579" t="s">
        <v>10438</v>
      </c>
      <c r="B579" t="s">
        <v>10439</v>
      </c>
      <c r="C579" t="s">
        <v>9378</v>
      </c>
      <c r="D579" t="s">
        <v>9378</v>
      </c>
      <c r="E579" t="s">
        <v>9378</v>
      </c>
    </row>
    <row r="580" spans="1:5" hidden="1">
      <c r="A580" t="s">
        <v>10440</v>
      </c>
      <c r="B580" t="s">
        <v>10441</v>
      </c>
      <c r="C580" t="s">
        <v>9378</v>
      </c>
      <c r="D580" t="s">
        <v>9378</v>
      </c>
      <c r="E580" t="s">
        <v>9378</v>
      </c>
    </row>
    <row r="581" spans="1:5" hidden="1">
      <c r="A581" t="s">
        <v>10442</v>
      </c>
      <c r="B581" t="s">
        <v>10443</v>
      </c>
      <c r="C581" t="s">
        <v>9378</v>
      </c>
      <c r="D581" t="s">
        <v>9378</v>
      </c>
      <c r="E581" t="s">
        <v>9378</v>
      </c>
    </row>
    <row r="582" spans="1:5" hidden="1">
      <c r="A582" t="s">
        <v>10444</v>
      </c>
      <c r="B582" t="s">
        <v>10445</v>
      </c>
      <c r="C582" t="s">
        <v>9378</v>
      </c>
      <c r="D582" t="s">
        <v>9378</v>
      </c>
      <c r="E582" t="s">
        <v>9378</v>
      </c>
    </row>
    <row r="583" spans="1:5" hidden="1">
      <c r="A583" t="s">
        <v>10446</v>
      </c>
      <c r="B583" t="s">
        <v>10447</v>
      </c>
      <c r="C583" t="s">
        <v>9378</v>
      </c>
      <c r="D583" t="s">
        <v>9378</v>
      </c>
      <c r="E583" t="s">
        <v>9378</v>
      </c>
    </row>
    <row r="584" spans="1:5" hidden="1">
      <c r="A584" t="s">
        <v>10448</v>
      </c>
      <c r="B584" t="s">
        <v>10449</v>
      </c>
      <c r="C584" t="s">
        <v>9378</v>
      </c>
      <c r="D584" t="s">
        <v>9378</v>
      </c>
      <c r="E584" t="s">
        <v>9378</v>
      </c>
    </row>
    <row r="585" spans="1:5" hidden="1">
      <c r="A585" t="s">
        <v>79</v>
      </c>
      <c r="B585" t="s">
        <v>10450</v>
      </c>
      <c r="C585" t="s">
        <v>9378</v>
      </c>
      <c r="D585" t="s">
        <v>9378</v>
      </c>
      <c r="E585" t="s">
        <v>9378</v>
      </c>
    </row>
    <row r="586" spans="1:5" hidden="1">
      <c r="A586" t="s">
        <v>103</v>
      </c>
      <c r="B586" t="s">
        <v>10451</v>
      </c>
      <c r="C586" t="s">
        <v>9378</v>
      </c>
      <c r="D586" t="s">
        <v>9378</v>
      </c>
      <c r="E586" t="s">
        <v>9378</v>
      </c>
    </row>
    <row r="587" spans="1:5" hidden="1">
      <c r="A587" t="s">
        <v>317</v>
      </c>
      <c r="B587" t="s">
        <v>10452</v>
      </c>
      <c r="C587" t="s">
        <v>9378</v>
      </c>
      <c r="D587" t="s">
        <v>9378</v>
      </c>
      <c r="E587" t="s">
        <v>9378</v>
      </c>
    </row>
    <row r="588" spans="1:5" hidden="1">
      <c r="A588" t="s">
        <v>10453</v>
      </c>
      <c r="B588" t="s">
        <v>10454</v>
      </c>
      <c r="C588" t="s">
        <v>9378</v>
      </c>
      <c r="D588" t="s">
        <v>9378</v>
      </c>
      <c r="E588" t="s">
        <v>9378</v>
      </c>
    </row>
    <row r="589" spans="1:5" hidden="1">
      <c r="A589" t="s">
        <v>10455</v>
      </c>
      <c r="B589" t="s">
        <v>10456</v>
      </c>
      <c r="C589" t="s">
        <v>9378</v>
      </c>
      <c r="D589" t="s">
        <v>9378</v>
      </c>
      <c r="E589" t="s">
        <v>9378</v>
      </c>
    </row>
    <row r="590" spans="1:5" hidden="1">
      <c r="A590" t="s">
        <v>10457</v>
      </c>
      <c r="B590" t="s">
        <v>10458</v>
      </c>
      <c r="C590" t="s">
        <v>9378</v>
      </c>
      <c r="D590" t="s">
        <v>9378</v>
      </c>
      <c r="E590" t="s">
        <v>9378</v>
      </c>
    </row>
    <row r="591" spans="1:5" hidden="1">
      <c r="A591" t="s">
        <v>10459</v>
      </c>
      <c r="B591" t="s">
        <v>10460</v>
      </c>
      <c r="C591" t="s">
        <v>9378</v>
      </c>
      <c r="D591" t="s">
        <v>9378</v>
      </c>
      <c r="E591" t="s">
        <v>9378</v>
      </c>
    </row>
    <row r="592" spans="1:5" hidden="1">
      <c r="A592" t="s">
        <v>10461</v>
      </c>
      <c r="B592" t="s">
        <v>10462</v>
      </c>
      <c r="C592" t="s">
        <v>9378</v>
      </c>
      <c r="D592" t="s">
        <v>9378</v>
      </c>
      <c r="E592" t="s">
        <v>9378</v>
      </c>
    </row>
    <row r="593" spans="1:5" hidden="1">
      <c r="A593" t="s">
        <v>10463</v>
      </c>
      <c r="B593" t="s">
        <v>10464</v>
      </c>
      <c r="C593" t="s">
        <v>9378</v>
      </c>
      <c r="D593" t="s">
        <v>9378</v>
      </c>
      <c r="E593" t="s">
        <v>9378</v>
      </c>
    </row>
    <row r="594" spans="1:5" hidden="1">
      <c r="A594" t="s">
        <v>10465</v>
      </c>
      <c r="B594" t="s">
        <v>10466</v>
      </c>
      <c r="C594" t="s">
        <v>9378</v>
      </c>
      <c r="D594" t="s">
        <v>9378</v>
      </c>
      <c r="E594" t="s">
        <v>9378</v>
      </c>
    </row>
    <row r="595" spans="1:5" hidden="1">
      <c r="A595" t="s">
        <v>10467</v>
      </c>
      <c r="B595" t="s">
        <v>10468</v>
      </c>
      <c r="C595" t="s">
        <v>9378</v>
      </c>
      <c r="D595" t="s">
        <v>9378</v>
      </c>
      <c r="E595" t="s">
        <v>9378</v>
      </c>
    </row>
    <row r="596" spans="1:5" hidden="1">
      <c r="A596" t="s">
        <v>10469</v>
      </c>
      <c r="B596" t="s">
        <v>10470</v>
      </c>
      <c r="C596" t="s">
        <v>9378</v>
      </c>
      <c r="D596" t="s">
        <v>9378</v>
      </c>
      <c r="E596" t="s">
        <v>9378</v>
      </c>
    </row>
    <row r="597" spans="1:5" hidden="1">
      <c r="A597" t="s">
        <v>10471</v>
      </c>
      <c r="B597" t="s">
        <v>10472</v>
      </c>
      <c r="C597" t="s">
        <v>9378</v>
      </c>
      <c r="D597" t="s">
        <v>9378</v>
      </c>
      <c r="E597" t="s">
        <v>9378</v>
      </c>
    </row>
    <row r="598" spans="1:5" hidden="1">
      <c r="A598" t="s">
        <v>10473</v>
      </c>
      <c r="B598" t="s">
        <v>10474</v>
      </c>
      <c r="C598" t="s">
        <v>9378</v>
      </c>
      <c r="D598" t="s">
        <v>9378</v>
      </c>
      <c r="E598" t="s">
        <v>9378</v>
      </c>
    </row>
    <row r="599" spans="1:5" hidden="1">
      <c r="A599" t="s">
        <v>10475</v>
      </c>
      <c r="B599" t="s">
        <v>10476</v>
      </c>
      <c r="C599" t="s">
        <v>9378</v>
      </c>
      <c r="D599" t="s">
        <v>9378</v>
      </c>
      <c r="E599" t="s">
        <v>9378</v>
      </c>
    </row>
    <row r="600" spans="1:5" hidden="1">
      <c r="A600" t="s">
        <v>10477</v>
      </c>
      <c r="B600" t="s">
        <v>10478</v>
      </c>
      <c r="C600" t="s">
        <v>9378</v>
      </c>
      <c r="D600" t="s">
        <v>9378</v>
      </c>
      <c r="E600" t="s">
        <v>9378</v>
      </c>
    </row>
    <row r="601" spans="1:5" hidden="1">
      <c r="A601" t="s">
        <v>10479</v>
      </c>
      <c r="B601" t="s">
        <v>10480</v>
      </c>
      <c r="C601" t="s">
        <v>9378</v>
      </c>
      <c r="D601" t="s">
        <v>9378</v>
      </c>
      <c r="E601" t="s">
        <v>9378</v>
      </c>
    </row>
    <row r="602" spans="1:5" hidden="1">
      <c r="A602" t="s">
        <v>10481</v>
      </c>
      <c r="B602" t="s">
        <v>10482</v>
      </c>
      <c r="C602" t="s">
        <v>9378</v>
      </c>
      <c r="D602" t="s">
        <v>9378</v>
      </c>
      <c r="E602" t="s">
        <v>9378</v>
      </c>
    </row>
    <row r="603" spans="1:5" hidden="1">
      <c r="A603" t="s">
        <v>10483</v>
      </c>
      <c r="B603" t="s">
        <v>10484</v>
      </c>
      <c r="C603" t="s">
        <v>9378</v>
      </c>
      <c r="D603" t="s">
        <v>9378</v>
      </c>
      <c r="E603" t="s">
        <v>9378</v>
      </c>
    </row>
    <row r="604" spans="1:5" hidden="1">
      <c r="A604" t="s">
        <v>10485</v>
      </c>
      <c r="B604" t="s">
        <v>10486</v>
      </c>
      <c r="C604" t="s">
        <v>9378</v>
      </c>
      <c r="D604" t="s">
        <v>9378</v>
      </c>
      <c r="E604" t="s">
        <v>9378</v>
      </c>
    </row>
    <row r="605" spans="1:5" hidden="1">
      <c r="A605" t="s">
        <v>10487</v>
      </c>
      <c r="B605" t="s">
        <v>10488</v>
      </c>
      <c r="C605" t="s">
        <v>9378</v>
      </c>
      <c r="D605" t="s">
        <v>9378</v>
      </c>
      <c r="E605" t="s">
        <v>9378</v>
      </c>
    </row>
    <row r="606" spans="1:5" hidden="1">
      <c r="A606" t="s">
        <v>10489</v>
      </c>
      <c r="B606" t="s">
        <v>10490</v>
      </c>
      <c r="C606" t="s">
        <v>9378</v>
      </c>
      <c r="D606" t="s">
        <v>9378</v>
      </c>
      <c r="E606" t="s">
        <v>9378</v>
      </c>
    </row>
    <row r="607" spans="1:5" hidden="1">
      <c r="A607" t="s">
        <v>302</v>
      </c>
      <c r="B607" t="s">
        <v>303</v>
      </c>
      <c r="C607" t="s">
        <v>9378</v>
      </c>
      <c r="D607" t="s">
        <v>9378</v>
      </c>
      <c r="E607" t="s">
        <v>9378</v>
      </c>
    </row>
    <row r="608" spans="1:5" hidden="1">
      <c r="A608" t="s">
        <v>10491</v>
      </c>
      <c r="B608" t="s">
        <v>10492</v>
      </c>
      <c r="C608" t="s">
        <v>9378</v>
      </c>
      <c r="D608" t="s">
        <v>9378</v>
      </c>
      <c r="E608" t="s">
        <v>9378</v>
      </c>
    </row>
    <row r="609" spans="1:5" hidden="1">
      <c r="A609" t="s">
        <v>10493</v>
      </c>
      <c r="B609" t="s">
        <v>10494</v>
      </c>
      <c r="C609" t="s">
        <v>9378</v>
      </c>
      <c r="D609" t="s">
        <v>9378</v>
      </c>
      <c r="E609" t="s">
        <v>9378</v>
      </c>
    </row>
    <row r="610" spans="1:5" hidden="1">
      <c r="A610" t="s">
        <v>10495</v>
      </c>
      <c r="B610" t="s">
        <v>10496</v>
      </c>
      <c r="C610" t="s">
        <v>9378</v>
      </c>
      <c r="D610" t="s">
        <v>9378</v>
      </c>
      <c r="E610" t="s">
        <v>9378</v>
      </c>
    </row>
    <row r="611" spans="1:5" hidden="1">
      <c r="A611" t="s">
        <v>112</v>
      </c>
      <c r="B611" t="s">
        <v>113</v>
      </c>
      <c r="C611" t="s">
        <v>9378</v>
      </c>
      <c r="D611" t="s">
        <v>9378</v>
      </c>
      <c r="E611" t="s">
        <v>9378</v>
      </c>
    </row>
    <row r="612" spans="1:5" hidden="1">
      <c r="A612" t="s">
        <v>281</v>
      </c>
      <c r="B612" t="s">
        <v>282</v>
      </c>
      <c r="C612" t="s">
        <v>9378</v>
      </c>
      <c r="D612" t="s">
        <v>9378</v>
      </c>
      <c r="E612" t="s">
        <v>9378</v>
      </c>
    </row>
    <row r="613" spans="1:5" hidden="1">
      <c r="A613" t="s">
        <v>290</v>
      </c>
      <c r="B613" t="s">
        <v>10497</v>
      </c>
      <c r="C613" t="s">
        <v>9378</v>
      </c>
      <c r="D613" t="s">
        <v>9378</v>
      </c>
      <c r="E613" t="s">
        <v>9378</v>
      </c>
    </row>
    <row r="614" spans="1:5" hidden="1">
      <c r="A614" t="s">
        <v>97</v>
      </c>
      <c r="B614" t="s">
        <v>98</v>
      </c>
      <c r="C614" t="s">
        <v>9378</v>
      </c>
      <c r="D614" t="s">
        <v>9378</v>
      </c>
      <c r="E614" t="s">
        <v>9378</v>
      </c>
    </row>
    <row r="615" spans="1:5" hidden="1">
      <c r="A615" t="s">
        <v>10498</v>
      </c>
      <c r="B615" t="s">
        <v>10499</v>
      </c>
      <c r="C615" t="s">
        <v>9378</v>
      </c>
      <c r="D615" t="s">
        <v>9378</v>
      </c>
      <c r="E615" t="s">
        <v>9378</v>
      </c>
    </row>
    <row r="616" spans="1:5" hidden="1">
      <c r="A616" t="s">
        <v>10</v>
      </c>
      <c r="B616" t="s">
        <v>11</v>
      </c>
      <c r="C616" t="s">
        <v>9378</v>
      </c>
      <c r="D616" t="s">
        <v>9378</v>
      </c>
      <c r="E616" t="s">
        <v>9378</v>
      </c>
    </row>
    <row r="617" spans="1:5" hidden="1">
      <c r="A617" t="s">
        <v>7</v>
      </c>
      <c r="B617" t="s">
        <v>10500</v>
      </c>
      <c r="C617" t="s">
        <v>9378</v>
      </c>
      <c r="D617" t="s">
        <v>9378</v>
      </c>
      <c r="E617" t="s">
        <v>9378</v>
      </c>
    </row>
    <row r="618" spans="1:5" hidden="1">
      <c r="A618" t="s">
        <v>10501</v>
      </c>
      <c r="B618" t="s">
        <v>10502</v>
      </c>
      <c r="C618" t="s">
        <v>9378</v>
      </c>
      <c r="D618" t="s">
        <v>9378</v>
      </c>
      <c r="E618" t="s">
        <v>9378</v>
      </c>
    </row>
    <row r="619" spans="1:5" hidden="1">
      <c r="A619" t="s">
        <v>10503</v>
      </c>
      <c r="B619" t="s">
        <v>10504</v>
      </c>
      <c r="C619" t="s">
        <v>9378</v>
      </c>
      <c r="D619" t="s">
        <v>9378</v>
      </c>
      <c r="E619" t="s">
        <v>9378</v>
      </c>
    </row>
    <row r="620" spans="1:5" hidden="1">
      <c r="A620" t="s">
        <v>10505</v>
      </c>
      <c r="B620" t="s">
        <v>10506</v>
      </c>
      <c r="C620" t="s">
        <v>9378</v>
      </c>
      <c r="D620" t="s">
        <v>9378</v>
      </c>
      <c r="E620" t="s">
        <v>9378</v>
      </c>
    </row>
    <row r="621" spans="1:5" hidden="1">
      <c r="A621" t="s">
        <v>10507</v>
      </c>
      <c r="B621" t="s">
        <v>10508</v>
      </c>
      <c r="C621" t="s">
        <v>9378</v>
      </c>
      <c r="D621" t="s">
        <v>9378</v>
      </c>
      <c r="E621" t="s">
        <v>9378</v>
      </c>
    </row>
    <row r="622" spans="1:5" hidden="1">
      <c r="A622" t="s">
        <v>133</v>
      </c>
      <c r="B622" t="s">
        <v>134</v>
      </c>
      <c r="C622" t="s">
        <v>9378</v>
      </c>
      <c r="D622" t="s">
        <v>9378</v>
      </c>
      <c r="E622" t="s">
        <v>9378</v>
      </c>
    </row>
    <row r="623" spans="1:5" hidden="1">
      <c r="A623" t="s">
        <v>10509</v>
      </c>
      <c r="B623" t="s">
        <v>10510</v>
      </c>
      <c r="C623" t="s">
        <v>9378</v>
      </c>
      <c r="D623" t="s">
        <v>9378</v>
      </c>
      <c r="E623" t="s">
        <v>9378</v>
      </c>
    </row>
    <row r="624" spans="1:5" hidden="1">
      <c r="A624" t="s">
        <v>10511</v>
      </c>
      <c r="B624" t="s">
        <v>10512</v>
      </c>
      <c r="C624" t="s">
        <v>9378</v>
      </c>
      <c r="D624" t="s">
        <v>9378</v>
      </c>
      <c r="E624" t="s">
        <v>9378</v>
      </c>
    </row>
    <row r="625" spans="1:5" hidden="1">
      <c r="A625" t="s">
        <v>10513</v>
      </c>
      <c r="B625" t="s">
        <v>10514</v>
      </c>
      <c r="C625" t="s">
        <v>9378</v>
      </c>
      <c r="D625" t="s">
        <v>9378</v>
      </c>
      <c r="E625" t="s">
        <v>9378</v>
      </c>
    </row>
    <row r="626" spans="1:5" hidden="1">
      <c r="A626" t="s">
        <v>10515</v>
      </c>
      <c r="B626" t="s">
        <v>10516</v>
      </c>
      <c r="C626" t="s">
        <v>9378</v>
      </c>
      <c r="D626" t="s">
        <v>9378</v>
      </c>
      <c r="E626" t="s">
        <v>9378</v>
      </c>
    </row>
    <row r="627" spans="1:5" hidden="1">
      <c r="A627" t="s">
        <v>10517</v>
      </c>
      <c r="B627" t="s">
        <v>10518</v>
      </c>
      <c r="C627" t="s">
        <v>9378</v>
      </c>
      <c r="D627" t="s">
        <v>9378</v>
      </c>
      <c r="E627" t="s">
        <v>9378</v>
      </c>
    </row>
    <row r="628" spans="1:5" hidden="1">
      <c r="A628" t="s">
        <v>10519</v>
      </c>
      <c r="B628" t="s">
        <v>10520</v>
      </c>
      <c r="C628" t="s">
        <v>9378</v>
      </c>
      <c r="D628" t="s">
        <v>9378</v>
      </c>
      <c r="E628" t="s">
        <v>9378</v>
      </c>
    </row>
    <row r="629" spans="1:5" hidden="1">
      <c r="A629" t="s">
        <v>10521</v>
      </c>
      <c r="B629" t="s">
        <v>10522</v>
      </c>
      <c r="C629" t="s">
        <v>9378</v>
      </c>
      <c r="D629" t="s">
        <v>9378</v>
      </c>
      <c r="E629" t="s">
        <v>9378</v>
      </c>
    </row>
    <row r="630" spans="1:5" hidden="1">
      <c r="A630" t="s">
        <v>257</v>
      </c>
      <c r="B630" t="s">
        <v>10523</v>
      </c>
      <c r="C630" t="s">
        <v>9378</v>
      </c>
      <c r="D630" t="s">
        <v>9378</v>
      </c>
      <c r="E630" t="s">
        <v>9378</v>
      </c>
    </row>
    <row r="631" spans="1:5" hidden="1">
      <c r="A631" t="s">
        <v>221</v>
      </c>
      <c r="B631" t="s">
        <v>10524</v>
      </c>
      <c r="C631" t="s">
        <v>9378</v>
      </c>
      <c r="D631" t="s">
        <v>9378</v>
      </c>
      <c r="E631" t="s">
        <v>9378</v>
      </c>
    </row>
    <row r="632" spans="1:5" hidden="1">
      <c r="A632" t="s">
        <v>10525</v>
      </c>
      <c r="B632" t="s">
        <v>10526</v>
      </c>
      <c r="C632" t="s">
        <v>9378</v>
      </c>
      <c r="D632" t="s">
        <v>9378</v>
      </c>
      <c r="E632" t="s">
        <v>9378</v>
      </c>
    </row>
    <row r="633" spans="1:5" hidden="1">
      <c r="A633" t="s">
        <v>10527</v>
      </c>
      <c r="B633" t="s">
        <v>10528</v>
      </c>
      <c r="C633" t="s">
        <v>9378</v>
      </c>
      <c r="D633" t="s">
        <v>9378</v>
      </c>
      <c r="E633" t="s">
        <v>9378</v>
      </c>
    </row>
    <row r="634" spans="1:5" hidden="1">
      <c r="A634" t="s">
        <v>10529</v>
      </c>
      <c r="B634" t="s">
        <v>10530</v>
      </c>
      <c r="C634" t="s">
        <v>9378</v>
      </c>
      <c r="D634" t="s">
        <v>9378</v>
      </c>
      <c r="E634" t="s">
        <v>9378</v>
      </c>
    </row>
    <row r="635" spans="1:5" hidden="1">
      <c r="A635" t="s">
        <v>10531</v>
      </c>
      <c r="B635" t="s">
        <v>10532</v>
      </c>
      <c r="C635" t="s">
        <v>9378</v>
      </c>
      <c r="D635" t="s">
        <v>9378</v>
      </c>
      <c r="E635" t="s">
        <v>9378</v>
      </c>
    </row>
    <row r="636" spans="1:5" hidden="1">
      <c r="A636" t="s">
        <v>10533</v>
      </c>
      <c r="B636" t="s">
        <v>10534</v>
      </c>
      <c r="C636" t="s">
        <v>9378</v>
      </c>
      <c r="D636" t="s">
        <v>9378</v>
      </c>
      <c r="E636" t="s">
        <v>9378</v>
      </c>
    </row>
    <row r="637" spans="1:5" hidden="1">
      <c r="A637" t="s">
        <v>46</v>
      </c>
      <c r="B637" t="s">
        <v>10535</v>
      </c>
      <c r="C637" t="s">
        <v>9378</v>
      </c>
      <c r="D637" t="s">
        <v>9378</v>
      </c>
      <c r="E637" t="s">
        <v>9378</v>
      </c>
    </row>
    <row r="638" spans="1:5" hidden="1">
      <c r="A638" t="s">
        <v>76</v>
      </c>
      <c r="B638" t="s">
        <v>10536</v>
      </c>
      <c r="C638" t="s">
        <v>9378</v>
      </c>
      <c r="D638" t="s">
        <v>9378</v>
      </c>
      <c r="E638" t="s">
        <v>9378</v>
      </c>
    </row>
    <row r="639" spans="1:5" hidden="1">
      <c r="A639" t="s">
        <v>55</v>
      </c>
      <c r="B639" t="s">
        <v>10537</v>
      </c>
      <c r="C639" t="s">
        <v>9378</v>
      </c>
      <c r="D639" t="s">
        <v>9378</v>
      </c>
      <c r="E639" t="s">
        <v>9378</v>
      </c>
    </row>
    <row r="640" spans="1:5" hidden="1">
      <c r="A640" t="s">
        <v>127</v>
      </c>
      <c r="B640" t="s">
        <v>128</v>
      </c>
      <c r="C640" t="s">
        <v>9378</v>
      </c>
      <c r="D640" t="s">
        <v>9378</v>
      </c>
      <c r="E640" t="s">
        <v>9378</v>
      </c>
    </row>
    <row r="641" spans="1:5" hidden="1">
      <c r="A641" t="s">
        <v>10538</v>
      </c>
      <c r="B641" t="s">
        <v>10539</v>
      </c>
      <c r="C641" t="s">
        <v>9378</v>
      </c>
      <c r="D641" t="s">
        <v>9378</v>
      </c>
      <c r="E641" t="s">
        <v>9378</v>
      </c>
    </row>
    <row r="642" spans="1:5" hidden="1">
      <c r="A642" t="s">
        <v>10540</v>
      </c>
      <c r="B642" t="s">
        <v>10541</v>
      </c>
      <c r="C642" t="s">
        <v>9378</v>
      </c>
      <c r="D642" t="s">
        <v>9378</v>
      </c>
      <c r="E642" t="s">
        <v>9378</v>
      </c>
    </row>
    <row r="643" spans="1:5">
      <c r="A643" s="81" t="s">
        <v>10542</v>
      </c>
      <c r="B643" t="s">
        <v>10543</v>
      </c>
      <c r="C643" t="s">
        <v>9369</v>
      </c>
      <c r="D643" t="s">
        <v>9369</v>
      </c>
      <c r="E643" t="s">
        <v>9369</v>
      </c>
    </row>
    <row r="644" spans="1:5" hidden="1">
      <c r="A644" t="s">
        <v>10544</v>
      </c>
      <c r="B644" t="s">
        <v>10545</v>
      </c>
      <c r="C644" t="s">
        <v>9378</v>
      </c>
      <c r="D644" t="s">
        <v>9378</v>
      </c>
      <c r="E644" t="s">
        <v>9378</v>
      </c>
    </row>
    <row r="645" spans="1:5" hidden="1">
      <c r="A645" t="s">
        <v>341</v>
      </c>
      <c r="B645" t="s">
        <v>508</v>
      </c>
      <c r="C645" t="s">
        <v>9378</v>
      </c>
      <c r="D645" t="s">
        <v>9378</v>
      </c>
      <c r="E645" t="s">
        <v>9405</v>
      </c>
    </row>
    <row r="646" spans="1:5" hidden="1">
      <c r="A646" t="s">
        <v>10546</v>
      </c>
      <c r="B646" t="s">
        <v>10547</v>
      </c>
      <c r="C646" t="s">
        <v>9378</v>
      </c>
      <c r="D646" t="s">
        <v>9378</v>
      </c>
      <c r="E646" t="s">
        <v>9378</v>
      </c>
    </row>
    <row r="647" spans="1:5" hidden="1">
      <c r="A647" t="s">
        <v>10548</v>
      </c>
      <c r="B647" t="s">
        <v>10549</v>
      </c>
      <c r="C647" t="s">
        <v>9378</v>
      </c>
      <c r="D647" t="s">
        <v>9378</v>
      </c>
      <c r="E647" t="s">
        <v>9378</v>
      </c>
    </row>
    <row r="648" spans="1:5" hidden="1">
      <c r="A648" t="s">
        <v>70</v>
      </c>
      <c r="B648" t="s">
        <v>10550</v>
      </c>
      <c r="C648" t="s">
        <v>9378</v>
      </c>
      <c r="D648" t="s">
        <v>9378</v>
      </c>
      <c r="E648" t="s">
        <v>9378</v>
      </c>
    </row>
    <row r="649" spans="1:5" hidden="1">
      <c r="A649" t="s">
        <v>100</v>
      </c>
      <c r="B649" t="s">
        <v>10551</v>
      </c>
      <c r="C649" t="s">
        <v>9378</v>
      </c>
      <c r="D649" t="s">
        <v>9378</v>
      </c>
      <c r="E649" t="s">
        <v>9378</v>
      </c>
    </row>
    <row r="650" spans="1:5" hidden="1">
      <c r="A650" t="s">
        <v>130</v>
      </c>
      <c r="B650" t="s">
        <v>10552</v>
      </c>
      <c r="C650" t="s">
        <v>9378</v>
      </c>
      <c r="D650" t="s">
        <v>9378</v>
      </c>
      <c r="E650" t="s">
        <v>9378</v>
      </c>
    </row>
    <row r="651" spans="1:5" hidden="1">
      <c r="A651" t="s">
        <v>10553</v>
      </c>
      <c r="B651" t="s">
        <v>10554</v>
      </c>
      <c r="C651" t="s">
        <v>9378</v>
      </c>
      <c r="D651" t="s">
        <v>9378</v>
      </c>
      <c r="E651" t="s">
        <v>9378</v>
      </c>
    </row>
    <row r="652" spans="1:5" hidden="1">
      <c r="A652" t="s">
        <v>10555</v>
      </c>
      <c r="B652" t="s">
        <v>10556</v>
      </c>
      <c r="C652" t="s">
        <v>9378</v>
      </c>
      <c r="D652" t="s">
        <v>9378</v>
      </c>
      <c r="E652" t="s">
        <v>9378</v>
      </c>
    </row>
    <row r="653" spans="1:5" hidden="1">
      <c r="A653" t="s">
        <v>10557</v>
      </c>
      <c r="B653" t="s">
        <v>10558</v>
      </c>
      <c r="C653" t="s">
        <v>9378</v>
      </c>
      <c r="D653" t="s">
        <v>9378</v>
      </c>
      <c r="E653" t="s">
        <v>9378</v>
      </c>
    </row>
    <row r="654" spans="1:5" hidden="1">
      <c r="A654" t="s">
        <v>10559</v>
      </c>
      <c r="B654" t="s">
        <v>10560</v>
      </c>
      <c r="C654" t="s">
        <v>9378</v>
      </c>
      <c r="D654" t="s">
        <v>9378</v>
      </c>
      <c r="E654" t="s">
        <v>9378</v>
      </c>
    </row>
    <row r="655" spans="1:5" hidden="1">
      <c r="A655" t="s">
        <v>10561</v>
      </c>
      <c r="B655" t="s">
        <v>10562</v>
      </c>
      <c r="C655" t="s">
        <v>9378</v>
      </c>
      <c r="D655" t="s">
        <v>9378</v>
      </c>
      <c r="E655" t="s">
        <v>9378</v>
      </c>
    </row>
    <row r="656" spans="1:5" hidden="1">
      <c r="A656" t="s">
        <v>10563</v>
      </c>
      <c r="B656" t="s">
        <v>10564</v>
      </c>
      <c r="C656" t="s">
        <v>9378</v>
      </c>
      <c r="D656" t="s">
        <v>9378</v>
      </c>
      <c r="E656" t="s">
        <v>9378</v>
      </c>
    </row>
    <row r="657" spans="1:5" hidden="1">
      <c r="A657" t="s">
        <v>136</v>
      </c>
      <c r="B657" t="s">
        <v>137</v>
      </c>
      <c r="C657" t="s">
        <v>9378</v>
      </c>
      <c r="D657" t="s">
        <v>9378</v>
      </c>
      <c r="E657" t="s">
        <v>9405</v>
      </c>
    </row>
    <row r="658" spans="1:5" hidden="1">
      <c r="A658" t="s">
        <v>305</v>
      </c>
      <c r="B658" t="s">
        <v>306</v>
      </c>
      <c r="C658" t="s">
        <v>9378</v>
      </c>
      <c r="D658" t="s">
        <v>9378</v>
      </c>
      <c r="E658" t="s">
        <v>9405</v>
      </c>
    </row>
    <row r="659" spans="1:5" hidden="1">
      <c r="A659" t="s">
        <v>10565</v>
      </c>
      <c r="B659" t="s">
        <v>10566</v>
      </c>
      <c r="C659" t="s">
        <v>9378</v>
      </c>
      <c r="D659" t="s">
        <v>9378</v>
      </c>
      <c r="E659" t="s">
        <v>9405</v>
      </c>
    </row>
    <row r="660" spans="1:5" hidden="1">
      <c r="A660" t="s">
        <v>10567</v>
      </c>
      <c r="B660" t="s">
        <v>10568</v>
      </c>
      <c r="C660" t="s">
        <v>9378</v>
      </c>
      <c r="D660" t="s">
        <v>9378</v>
      </c>
      <c r="E660" t="s">
        <v>9378</v>
      </c>
    </row>
    <row r="661" spans="1:5" hidden="1">
      <c r="A661" t="s">
        <v>10569</v>
      </c>
      <c r="B661" t="s">
        <v>10570</v>
      </c>
      <c r="C661" t="s">
        <v>9378</v>
      </c>
      <c r="D661" t="s">
        <v>9378</v>
      </c>
      <c r="E661" t="s">
        <v>9378</v>
      </c>
    </row>
    <row r="662" spans="1:5" hidden="1">
      <c r="A662" t="s">
        <v>10571</v>
      </c>
      <c r="B662" t="s">
        <v>10572</v>
      </c>
      <c r="C662" t="s">
        <v>9378</v>
      </c>
      <c r="D662" t="s">
        <v>9378</v>
      </c>
      <c r="E662" t="s">
        <v>9378</v>
      </c>
    </row>
    <row r="663" spans="1:5" hidden="1">
      <c r="A663" t="s">
        <v>10573</v>
      </c>
      <c r="B663" t="s">
        <v>10574</v>
      </c>
      <c r="C663" t="s">
        <v>9378</v>
      </c>
      <c r="D663" t="s">
        <v>9378</v>
      </c>
      <c r="E663" t="s">
        <v>9378</v>
      </c>
    </row>
    <row r="664" spans="1:5" hidden="1">
      <c r="A664" t="s">
        <v>10575</v>
      </c>
      <c r="B664" t="s">
        <v>10576</v>
      </c>
      <c r="C664" t="s">
        <v>9378</v>
      </c>
      <c r="D664" t="s">
        <v>9378</v>
      </c>
      <c r="E664" t="s">
        <v>9378</v>
      </c>
    </row>
    <row r="665" spans="1:5" hidden="1">
      <c r="A665" t="s">
        <v>275</v>
      </c>
      <c r="B665" t="s">
        <v>276</v>
      </c>
      <c r="C665" t="s">
        <v>9378</v>
      </c>
      <c r="D665" t="s">
        <v>9378</v>
      </c>
      <c r="E665" t="s">
        <v>9378</v>
      </c>
    </row>
    <row r="666" spans="1:5" hidden="1">
      <c r="A666" t="s">
        <v>254</v>
      </c>
      <c r="B666" t="s">
        <v>255</v>
      </c>
      <c r="C666" t="s">
        <v>9378</v>
      </c>
      <c r="D666" t="s">
        <v>9378</v>
      </c>
      <c r="E666" t="s">
        <v>9378</v>
      </c>
    </row>
    <row r="667" spans="1:5" hidden="1">
      <c r="A667" t="s">
        <v>121</v>
      </c>
      <c r="B667" t="s">
        <v>122</v>
      </c>
      <c r="C667" t="s">
        <v>9378</v>
      </c>
      <c r="D667" t="s">
        <v>9378</v>
      </c>
      <c r="E667" t="s">
        <v>9378</v>
      </c>
    </row>
    <row r="668" spans="1:5" hidden="1">
      <c r="A668" t="s">
        <v>263</v>
      </c>
      <c r="B668" t="s">
        <v>264</v>
      </c>
      <c r="C668" t="s">
        <v>9378</v>
      </c>
      <c r="D668" t="s">
        <v>9378</v>
      </c>
      <c r="E668" t="s">
        <v>9378</v>
      </c>
    </row>
    <row r="669" spans="1:5" hidden="1">
      <c r="A669" t="s">
        <v>296</v>
      </c>
      <c r="B669" t="s">
        <v>297</v>
      </c>
      <c r="C669" t="s">
        <v>9378</v>
      </c>
      <c r="D669" t="s">
        <v>9378</v>
      </c>
      <c r="E669" t="s">
        <v>9378</v>
      </c>
    </row>
    <row r="670" spans="1:5" hidden="1">
      <c r="A670" t="s">
        <v>314</v>
      </c>
      <c r="B670" t="s">
        <v>315</v>
      </c>
      <c r="C670" t="s">
        <v>9378</v>
      </c>
      <c r="D670" t="s">
        <v>9378</v>
      </c>
      <c r="E670" t="s">
        <v>9378</v>
      </c>
    </row>
    <row r="671" spans="1:5" hidden="1">
      <c r="A671" t="s">
        <v>278</v>
      </c>
      <c r="B671" t="s">
        <v>279</v>
      </c>
      <c r="C671" t="s">
        <v>9378</v>
      </c>
      <c r="D671" t="s">
        <v>9378</v>
      </c>
      <c r="E671" t="s">
        <v>9378</v>
      </c>
    </row>
    <row r="672" spans="1:5" hidden="1">
      <c r="A672" t="s">
        <v>323</v>
      </c>
      <c r="B672" t="s">
        <v>324</v>
      </c>
      <c r="C672" t="s">
        <v>9378</v>
      </c>
      <c r="D672" t="s">
        <v>9378</v>
      </c>
      <c r="E672" t="s">
        <v>9378</v>
      </c>
    </row>
    <row r="673" spans="1:5" hidden="1">
      <c r="A673" t="s">
        <v>10577</v>
      </c>
      <c r="B673" t="s">
        <v>10578</v>
      </c>
      <c r="C673" t="s">
        <v>9378</v>
      </c>
      <c r="D673" t="s">
        <v>9378</v>
      </c>
      <c r="E673" t="s">
        <v>9378</v>
      </c>
    </row>
    <row r="674" spans="1:5" hidden="1">
      <c r="A674" t="s">
        <v>139</v>
      </c>
      <c r="B674" t="s">
        <v>10579</v>
      </c>
      <c r="C674" t="s">
        <v>9378</v>
      </c>
      <c r="D674" t="s">
        <v>9378</v>
      </c>
      <c r="E674" t="s">
        <v>9353</v>
      </c>
    </row>
    <row r="675" spans="1:5" hidden="1">
      <c r="A675" t="s">
        <v>10580</v>
      </c>
      <c r="B675" t="s">
        <v>10581</v>
      </c>
      <c r="C675" t="s">
        <v>9378</v>
      </c>
      <c r="D675" t="s">
        <v>9378</v>
      </c>
      <c r="E675" t="s">
        <v>9378</v>
      </c>
    </row>
    <row r="676" spans="1:5" hidden="1">
      <c r="A676" t="s">
        <v>10582</v>
      </c>
      <c r="B676" t="s">
        <v>10583</v>
      </c>
      <c r="C676" t="s">
        <v>9378</v>
      </c>
      <c r="D676" t="s">
        <v>9378</v>
      </c>
      <c r="E676" t="s">
        <v>9378</v>
      </c>
    </row>
    <row r="677" spans="1:5" hidden="1">
      <c r="A677" t="s">
        <v>10584</v>
      </c>
      <c r="B677" t="s">
        <v>10585</v>
      </c>
      <c r="C677" t="s">
        <v>9378</v>
      </c>
      <c r="D677" t="s">
        <v>9378</v>
      </c>
      <c r="E677" t="s">
        <v>9378</v>
      </c>
    </row>
    <row r="678" spans="1:5" hidden="1">
      <c r="A678" t="s">
        <v>10586</v>
      </c>
      <c r="B678" t="s">
        <v>10587</v>
      </c>
      <c r="C678" t="s">
        <v>9378</v>
      </c>
      <c r="D678" t="s">
        <v>9378</v>
      </c>
      <c r="E678" t="s">
        <v>9378</v>
      </c>
    </row>
    <row r="679" spans="1:5" hidden="1">
      <c r="A679" t="s">
        <v>10588</v>
      </c>
      <c r="B679" t="s">
        <v>10589</v>
      </c>
      <c r="C679" t="s">
        <v>9378</v>
      </c>
      <c r="D679" t="s">
        <v>9378</v>
      </c>
      <c r="E679" t="s">
        <v>9378</v>
      </c>
    </row>
    <row r="680" spans="1:5" hidden="1">
      <c r="A680" t="s">
        <v>10590</v>
      </c>
      <c r="B680" t="s">
        <v>10591</v>
      </c>
      <c r="C680" t="s">
        <v>9378</v>
      </c>
      <c r="D680" t="s">
        <v>9378</v>
      </c>
      <c r="E680" t="s">
        <v>9378</v>
      </c>
    </row>
    <row r="681" spans="1:5" hidden="1">
      <c r="A681" t="s">
        <v>10592</v>
      </c>
      <c r="B681" t="s">
        <v>10593</v>
      </c>
      <c r="C681" t="s">
        <v>9378</v>
      </c>
      <c r="D681" t="s">
        <v>9378</v>
      </c>
      <c r="E681" t="s">
        <v>9378</v>
      </c>
    </row>
    <row r="682" spans="1:5" hidden="1">
      <c r="A682" t="s">
        <v>10594</v>
      </c>
      <c r="B682" t="s">
        <v>10595</v>
      </c>
      <c r="C682" t="s">
        <v>9378</v>
      </c>
      <c r="D682" t="s">
        <v>9378</v>
      </c>
      <c r="E682" t="s">
        <v>9378</v>
      </c>
    </row>
    <row r="683" spans="1:5">
      <c r="A683" s="81" t="s">
        <v>10596</v>
      </c>
      <c r="B683" t="s">
        <v>10597</v>
      </c>
      <c r="C683" t="s">
        <v>9369</v>
      </c>
      <c r="D683" t="s">
        <v>9369</v>
      </c>
      <c r="E683" t="s">
        <v>9369</v>
      </c>
    </row>
    <row r="684" spans="1:5" hidden="1">
      <c r="A684" t="s">
        <v>10598</v>
      </c>
      <c r="B684" t="s">
        <v>10599</v>
      </c>
      <c r="C684" t="s">
        <v>9378</v>
      </c>
      <c r="D684" t="s">
        <v>9378</v>
      </c>
      <c r="E684" t="s">
        <v>9378</v>
      </c>
    </row>
    <row r="685" spans="1:5">
      <c r="A685" s="81" t="s">
        <v>10600</v>
      </c>
      <c r="B685" t="s">
        <v>10601</v>
      </c>
      <c r="C685" t="s">
        <v>9369</v>
      </c>
      <c r="D685" t="s">
        <v>9369</v>
      </c>
      <c r="E685" t="s">
        <v>9369</v>
      </c>
    </row>
    <row r="686" spans="1:5" hidden="1">
      <c r="A686" t="s">
        <v>10602</v>
      </c>
      <c r="B686" t="s">
        <v>10603</v>
      </c>
      <c r="C686" t="s">
        <v>9378</v>
      </c>
      <c r="D686" t="s">
        <v>9378</v>
      </c>
      <c r="E686" t="s">
        <v>9378</v>
      </c>
    </row>
    <row r="687" spans="1:5" hidden="1">
      <c r="A687" t="s">
        <v>16</v>
      </c>
      <c r="B687" t="s">
        <v>17</v>
      </c>
      <c r="C687" t="s">
        <v>9378</v>
      </c>
      <c r="D687" t="s">
        <v>9378</v>
      </c>
      <c r="E687" t="s">
        <v>9378</v>
      </c>
    </row>
    <row r="688" spans="1:5" hidden="1">
      <c r="A688" t="s">
        <v>22</v>
      </c>
      <c r="B688" t="s">
        <v>23</v>
      </c>
      <c r="C688" t="s">
        <v>9378</v>
      </c>
      <c r="D688" t="s">
        <v>9378</v>
      </c>
      <c r="E688" t="s">
        <v>9378</v>
      </c>
    </row>
    <row r="689" spans="1:5" hidden="1">
      <c r="A689" t="s">
        <v>13</v>
      </c>
      <c r="B689" t="s">
        <v>14</v>
      </c>
      <c r="C689" t="s">
        <v>9378</v>
      </c>
      <c r="D689" t="s">
        <v>9378</v>
      </c>
      <c r="E689" t="s">
        <v>9378</v>
      </c>
    </row>
    <row r="690" spans="1:5" hidden="1">
      <c r="A690" t="s">
        <v>19</v>
      </c>
      <c r="B690" t="s">
        <v>20</v>
      </c>
      <c r="C690" t="s">
        <v>9378</v>
      </c>
      <c r="D690" t="s">
        <v>9378</v>
      </c>
      <c r="E690" t="s">
        <v>9378</v>
      </c>
    </row>
    <row r="691" spans="1:5" hidden="1">
      <c r="A691" t="s">
        <v>10604</v>
      </c>
      <c r="B691" t="s">
        <v>10605</v>
      </c>
      <c r="C691" t="s">
        <v>9378</v>
      </c>
      <c r="D691" t="s">
        <v>9378</v>
      </c>
      <c r="E691" t="s">
        <v>9378</v>
      </c>
    </row>
    <row r="692" spans="1:5" hidden="1">
      <c r="A692" t="s">
        <v>10606</v>
      </c>
      <c r="B692" t="s">
        <v>10607</v>
      </c>
      <c r="C692" t="s">
        <v>9378</v>
      </c>
      <c r="D692" t="s">
        <v>9378</v>
      </c>
      <c r="E692" t="s">
        <v>9378</v>
      </c>
    </row>
    <row r="693" spans="1:5" hidden="1">
      <c r="A693" t="s">
        <v>350</v>
      </c>
      <c r="B693" t="s">
        <v>10608</v>
      </c>
      <c r="C693" t="s">
        <v>9378</v>
      </c>
      <c r="D693" t="s">
        <v>9378</v>
      </c>
      <c r="E693" t="s">
        <v>9378</v>
      </c>
    </row>
    <row r="694" spans="1:5" hidden="1">
      <c r="A694" t="s">
        <v>151</v>
      </c>
      <c r="B694" t="s">
        <v>152</v>
      </c>
      <c r="C694" t="s">
        <v>9378</v>
      </c>
      <c r="D694" t="s">
        <v>9378</v>
      </c>
      <c r="E694" t="s">
        <v>9378</v>
      </c>
    </row>
    <row r="695" spans="1:5" hidden="1">
      <c r="A695" t="s">
        <v>157</v>
      </c>
      <c r="B695" t="s">
        <v>158</v>
      </c>
      <c r="C695" t="s">
        <v>9378</v>
      </c>
      <c r="D695" t="s">
        <v>9378</v>
      </c>
      <c r="E695" t="s">
        <v>9378</v>
      </c>
    </row>
    <row r="696" spans="1:5" hidden="1">
      <c r="A696" t="s">
        <v>10609</v>
      </c>
      <c r="B696" t="s">
        <v>10610</v>
      </c>
      <c r="C696" t="s">
        <v>9378</v>
      </c>
      <c r="D696" t="s">
        <v>9378</v>
      </c>
      <c r="E696" t="s">
        <v>9378</v>
      </c>
    </row>
    <row r="697" spans="1:5" hidden="1">
      <c r="A697" t="s">
        <v>344</v>
      </c>
      <c r="B697" t="s">
        <v>10611</v>
      </c>
      <c r="C697" t="s">
        <v>9378</v>
      </c>
      <c r="D697" t="s">
        <v>9378</v>
      </c>
      <c r="E697" t="s">
        <v>9378</v>
      </c>
    </row>
    <row r="698" spans="1:5" hidden="1">
      <c r="A698" t="s">
        <v>145</v>
      </c>
      <c r="B698" t="s">
        <v>10612</v>
      </c>
      <c r="C698" t="s">
        <v>9378</v>
      </c>
      <c r="D698" t="s">
        <v>9378</v>
      </c>
      <c r="E698" t="s">
        <v>9378</v>
      </c>
    </row>
    <row r="699" spans="1:5" hidden="1">
      <c r="A699" t="s">
        <v>142</v>
      </c>
      <c r="B699" t="s">
        <v>10613</v>
      </c>
      <c r="C699" t="s">
        <v>9378</v>
      </c>
      <c r="D699" t="s">
        <v>9378</v>
      </c>
      <c r="E699" t="s">
        <v>9378</v>
      </c>
    </row>
    <row r="700" spans="1:5">
      <c r="A700" s="81" t="s">
        <v>10614</v>
      </c>
      <c r="B700" t="s">
        <v>10615</v>
      </c>
      <c r="C700" t="s">
        <v>9369</v>
      </c>
      <c r="D700" t="s">
        <v>9369</v>
      </c>
      <c r="E700" t="s">
        <v>9369</v>
      </c>
    </row>
    <row r="701" spans="1:5" hidden="1">
      <c r="A701" t="s">
        <v>148</v>
      </c>
      <c r="B701" t="s">
        <v>10616</v>
      </c>
      <c r="C701" t="s">
        <v>9378</v>
      </c>
      <c r="D701" t="s">
        <v>9378</v>
      </c>
      <c r="E701" t="s">
        <v>9378</v>
      </c>
    </row>
    <row r="702" spans="1:5" hidden="1">
      <c r="A702" t="s">
        <v>356</v>
      </c>
      <c r="B702" t="s">
        <v>10617</v>
      </c>
      <c r="C702" t="s">
        <v>9378</v>
      </c>
      <c r="D702" t="s">
        <v>9378</v>
      </c>
      <c r="E702" t="s">
        <v>9378</v>
      </c>
    </row>
    <row r="703" spans="1:5" hidden="1">
      <c r="A703" t="s">
        <v>10618</v>
      </c>
      <c r="B703" t="s">
        <v>10619</v>
      </c>
      <c r="C703" t="s">
        <v>9378</v>
      </c>
      <c r="D703" t="s">
        <v>9378</v>
      </c>
      <c r="E703" t="s">
        <v>9378</v>
      </c>
    </row>
    <row r="704" spans="1:5" hidden="1">
      <c r="A704" t="s">
        <v>160</v>
      </c>
      <c r="B704" t="s">
        <v>10620</v>
      </c>
      <c r="C704" t="s">
        <v>9378</v>
      </c>
      <c r="D704" t="s">
        <v>9378</v>
      </c>
      <c r="E704" t="s">
        <v>9378</v>
      </c>
    </row>
    <row r="705" spans="1:5" hidden="1">
      <c r="A705" t="s">
        <v>181</v>
      </c>
      <c r="B705" t="s">
        <v>10621</v>
      </c>
      <c r="C705" t="s">
        <v>9378</v>
      </c>
      <c r="D705" t="s">
        <v>9378</v>
      </c>
      <c r="E705" t="s">
        <v>9378</v>
      </c>
    </row>
    <row r="706" spans="1:5" hidden="1">
      <c r="A706" t="s">
        <v>154</v>
      </c>
      <c r="B706" t="s">
        <v>155</v>
      </c>
      <c r="C706" t="s">
        <v>9378</v>
      </c>
      <c r="D706" t="s">
        <v>9378</v>
      </c>
      <c r="E706" t="s">
        <v>9405</v>
      </c>
    </row>
    <row r="707" spans="1:5" hidden="1">
      <c r="A707" t="s">
        <v>359</v>
      </c>
      <c r="B707" t="s">
        <v>360</v>
      </c>
      <c r="C707" t="s">
        <v>9378</v>
      </c>
      <c r="D707" t="s">
        <v>9378</v>
      </c>
      <c r="E707" t="s">
        <v>9405</v>
      </c>
    </row>
    <row r="708" spans="1:5" hidden="1">
      <c r="A708" t="s">
        <v>10622</v>
      </c>
      <c r="B708" t="s">
        <v>10623</v>
      </c>
      <c r="C708" t="s">
        <v>9378</v>
      </c>
      <c r="D708" t="s">
        <v>9378</v>
      </c>
      <c r="E708" t="s">
        <v>9405</v>
      </c>
    </row>
    <row r="709" spans="1:5" hidden="1">
      <c r="A709" t="s">
        <v>10624</v>
      </c>
      <c r="B709" t="s">
        <v>10625</v>
      </c>
      <c r="C709" t="s">
        <v>9378</v>
      </c>
      <c r="D709" t="s">
        <v>9378</v>
      </c>
      <c r="E709" t="s">
        <v>9405</v>
      </c>
    </row>
    <row r="710" spans="1:5" hidden="1">
      <c r="A710" t="s">
        <v>10626</v>
      </c>
      <c r="B710" t="s">
        <v>10627</v>
      </c>
      <c r="C710" t="s">
        <v>9378</v>
      </c>
      <c r="D710" t="s">
        <v>9378</v>
      </c>
      <c r="E710" t="s">
        <v>9405</v>
      </c>
    </row>
    <row r="711" spans="1:5" hidden="1">
      <c r="A711" t="s">
        <v>338</v>
      </c>
      <c r="B711" t="s">
        <v>339</v>
      </c>
      <c r="C711" t="s">
        <v>9378</v>
      </c>
      <c r="D711" t="s">
        <v>9378</v>
      </c>
      <c r="E711" t="s">
        <v>9405</v>
      </c>
    </row>
    <row r="712" spans="1:5" hidden="1">
      <c r="A712" t="s">
        <v>10628</v>
      </c>
      <c r="B712" t="s">
        <v>10629</v>
      </c>
      <c r="C712" t="s">
        <v>9378</v>
      </c>
      <c r="D712" t="s">
        <v>9378</v>
      </c>
      <c r="E712" t="s">
        <v>9405</v>
      </c>
    </row>
    <row r="713" spans="1:5" hidden="1">
      <c r="A713" t="s">
        <v>10630</v>
      </c>
      <c r="B713" t="s">
        <v>10631</v>
      </c>
      <c r="C713" t="s">
        <v>9378</v>
      </c>
      <c r="D713" t="s">
        <v>9378</v>
      </c>
      <c r="E713" t="s">
        <v>9405</v>
      </c>
    </row>
    <row r="714" spans="1:5" hidden="1">
      <c r="A714" t="s">
        <v>185</v>
      </c>
      <c r="B714" t="s">
        <v>10632</v>
      </c>
      <c r="C714" t="s">
        <v>9378</v>
      </c>
      <c r="D714" t="s">
        <v>9378</v>
      </c>
      <c r="E714" t="s">
        <v>9405</v>
      </c>
    </row>
    <row r="715" spans="1:5" hidden="1">
      <c r="A715" t="s">
        <v>10633</v>
      </c>
      <c r="B715" t="s">
        <v>10634</v>
      </c>
      <c r="C715" t="s">
        <v>9378</v>
      </c>
      <c r="D715" t="s">
        <v>9378</v>
      </c>
      <c r="E715" t="s">
        <v>9405</v>
      </c>
    </row>
    <row r="716" spans="1:5" hidden="1">
      <c r="A716" t="s">
        <v>269</v>
      </c>
      <c r="B716" t="s">
        <v>270</v>
      </c>
      <c r="C716" t="s">
        <v>9378</v>
      </c>
      <c r="D716" t="s">
        <v>9378</v>
      </c>
      <c r="E716" t="s">
        <v>9405</v>
      </c>
    </row>
    <row r="717" spans="1:5" hidden="1">
      <c r="A717" t="s">
        <v>10635</v>
      </c>
      <c r="B717" t="s">
        <v>10636</v>
      </c>
      <c r="C717" t="s">
        <v>9378</v>
      </c>
      <c r="D717" t="s">
        <v>9378</v>
      </c>
      <c r="E717" t="s">
        <v>9405</v>
      </c>
    </row>
    <row r="718" spans="1:5" hidden="1">
      <c r="A718" t="s">
        <v>320</v>
      </c>
      <c r="B718" t="s">
        <v>321</v>
      </c>
      <c r="C718" t="s">
        <v>9378</v>
      </c>
      <c r="D718" t="s">
        <v>9378</v>
      </c>
      <c r="E718" t="s">
        <v>9405</v>
      </c>
    </row>
    <row r="719" spans="1:5" hidden="1">
      <c r="A719" t="s">
        <v>10637</v>
      </c>
      <c r="B719" t="s">
        <v>10638</v>
      </c>
      <c r="C719" t="s">
        <v>9378</v>
      </c>
      <c r="D719" t="s">
        <v>9378</v>
      </c>
      <c r="E719" t="s">
        <v>9405</v>
      </c>
    </row>
    <row r="720" spans="1:5" hidden="1">
      <c r="A720" t="s">
        <v>43</v>
      </c>
      <c r="B720" t="s">
        <v>44</v>
      </c>
      <c r="C720" t="s">
        <v>9378</v>
      </c>
      <c r="D720" t="s">
        <v>9378</v>
      </c>
      <c r="E720" t="s">
        <v>9405</v>
      </c>
    </row>
    <row r="721" spans="1:5" hidden="1">
      <c r="A721" t="s">
        <v>188</v>
      </c>
      <c r="B721" t="s">
        <v>189</v>
      </c>
      <c r="C721" t="s">
        <v>9378</v>
      </c>
      <c r="D721" t="s">
        <v>9378</v>
      </c>
      <c r="E721" t="s">
        <v>9405</v>
      </c>
    </row>
    <row r="722" spans="1:5" hidden="1">
      <c r="A722" t="s">
        <v>10639</v>
      </c>
      <c r="B722" t="s">
        <v>10640</v>
      </c>
      <c r="C722" t="s">
        <v>9378</v>
      </c>
      <c r="D722" t="s">
        <v>9378</v>
      </c>
      <c r="E722" t="s">
        <v>9405</v>
      </c>
    </row>
    <row r="723" spans="1:5" hidden="1">
      <c r="A723" t="s">
        <v>10641</v>
      </c>
      <c r="B723" t="s">
        <v>10642</v>
      </c>
      <c r="C723" t="s">
        <v>9378</v>
      </c>
      <c r="D723" t="s">
        <v>9378</v>
      </c>
      <c r="E723" t="s">
        <v>9405</v>
      </c>
    </row>
    <row r="724" spans="1:5" hidden="1">
      <c r="A724" t="s">
        <v>10643</v>
      </c>
      <c r="B724" t="s">
        <v>10644</v>
      </c>
      <c r="C724" t="s">
        <v>9378</v>
      </c>
      <c r="D724" t="s">
        <v>9378</v>
      </c>
      <c r="E724" t="s">
        <v>9405</v>
      </c>
    </row>
    <row r="725" spans="1:5" hidden="1">
      <c r="A725" t="s">
        <v>308</v>
      </c>
      <c r="B725" t="s">
        <v>10645</v>
      </c>
      <c r="C725" t="s">
        <v>9378</v>
      </c>
      <c r="D725" t="s">
        <v>9378</v>
      </c>
      <c r="E725" t="s">
        <v>9405</v>
      </c>
    </row>
    <row r="726" spans="1:5" hidden="1">
      <c r="A726" t="s">
        <v>10646</v>
      </c>
      <c r="B726" t="s">
        <v>10647</v>
      </c>
      <c r="C726" t="s">
        <v>9378</v>
      </c>
      <c r="D726" t="s">
        <v>9378</v>
      </c>
      <c r="E726" t="s">
        <v>9405</v>
      </c>
    </row>
    <row r="727" spans="1:5" hidden="1">
      <c r="A727" t="s">
        <v>49</v>
      </c>
      <c r="B727" t="s">
        <v>10648</v>
      </c>
      <c r="C727" t="s">
        <v>9378</v>
      </c>
      <c r="D727" t="s">
        <v>9378</v>
      </c>
      <c r="E727" t="s">
        <v>9405</v>
      </c>
    </row>
    <row r="728" spans="1:5" hidden="1">
      <c r="A728" t="s">
        <v>10649</v>
      </c>
      <c r="B728" t="s">
        <v>10650</v>
      </c>
      <c r="C728" t="s">
        <v>9378</v>
      </c>
      <c r="D728" t="s">
        <v>9378</v>
      </c>
      <c r="E728" t="s">
        <v>9405</v>
      </c>
    </row>
    <row r="729" spans="1:5" hidden="1">
      <c r="A729" t="s">
        <v>64</v>
      </c>
      <c r="B729" t="s">
        <v>10651</v>
      </c>
      <c r="C729" t="s">
        <v>9378</v>
      </c>
      <c r="D729" t="s">
        <v>9378</v>
      </c>
      <c r="E729" t="s">
        <v>9405</v>
      </c>
    </row>
    <row r="730" spans="1:5" hidden="1">
      <c r="A730" t="s">
        <v>230</v>
      </c>
      <c r="B730" t="s">
        <v>231</v>
      </c>
      <c r="C730" t="s">
        <v>9378</v>
      </c>
      <c r="D730" t="s">
        <v>9378</v>
      </c>
      <c r="E730" t="s">
        <v>9405</v>
      </c>
    </row>
    <row r="731" spans="1:5" hidden="1">
      <c r="A731" t="s">
        <v>10652</v>
      </c>
      <c r="B731" t="s">
        <v>10653</v>
      </c>
      <c r="C731" t="s">
        <v>9378</v>
      </c>
      <c r="D731" t="s">
        <v>9378</v>
      </c>
      <c r="E731" t="s">
        <v>9405</v>
      </c>
    </row>
    <row r="732" spans="1:5" hidden="1">
      <c r="A732" t="s">
        <v>10654</v>
      </c>
      <c r="B732" t="s">
        <v>10655</v>
      </c>
      <c r="C732" t="s">
        <v>9378</v>
      </c>
      <c r="D732" t="s">
        <v>9378</v>
      </c>
      <c r="E732" t="s">
        <v>9405</v>
      </c>
    </row>
    <row r="733" spans="1:5" hidden="1">
      <c r="A733" t="s">
        <v>28</v>
      </c>
      <c r="B733" t="s">
        <v>29</v>
      </c>
      <c r="C733" t="s">
        <v>9378</v>
      </c>
      <c r="D733" t="s">
        <v>9378</v>
      </c>
      <c r="E733" t="s">
        <v>9405</v>
      </c>
    </row>
    <row r="734" spans="1:5" hidden="1">
      <c r="A734" t="s">
        <v>10656</v>
      </c>
      <c r="B734" t="s">
        <v>10657</v>
      </c>
      <c r="C734" t="s">
        <v>9378</v>
      </c>
      <c r="D734" t="s">
        <v>9378</v>
      </c>
      <c r="E734" t="s">
        <v>9405</v>
      </c>
    </row>
    <row r="735" spans="1:5" hidden="1">
      <c r="A735" t="s">
        <v>10658</v>
      </c>
      <c r="B735" t="s">
        <v>10659</v>
      </c>
      <c r="C735" t="s">
        <v>9378</v>
      </c>
      <c r="D735" t="s">
        <v>9378</v>
      </c>
      <c r="E735" t="s">
        <v>9405</v>
      </c>
    </row>
    <row r="736" spans="1:5" hidden="1">
      <c r="A736" t="s">
        <v>10660</v>
      </c>
      <c r="B736" t="s">
        <v>10661</v>
      </c>
      <c r="C736" t="s">
        <v>9378</v>
      </c>
      <c r="D736" t="s">
        <v>9378</v>
      </c>
      <c r="E736" t="s">
        <v>9405</v>
      </c>
    </row>
    <row r="737" spans="1:5" hidden="1">
      <c r="A737" t="s">
        <v>10662</v>
      </c>
      <c r="B737" t="s">
        <v>10663</v>
      </c>
      <c r="C737" t="s">
        <v>9378</v>
      </c>
      <c r="D737" t="s">
        <v>9378</v>
      </c>
      <c r="E737" t="s">
        <v>9405</v>
      </c>
    </row>
    <row r="738" spans="1:5" hidden="1">
      <c r="A738" t="s">
        <v>10664</v>
      </c>
      <c r="B738" t="s">
        <v>10665</v>
      </c>
      <c r="C738" t="s">
        <v>9378</v>
      </c>
      <c r="D738" t="s">
        <v>9378</v>
      </c>
      <c r="E738" t="s">
        <v>9405</v>
      </c>
    </row>
    <row r="739" spans="1:5" hidden="1">
      <c r="A739" t="s">
        <v>10666</v>
      </c>
      <c r="B739" t="s">
        <v>10667</v>
      </c>
      <c r="C739" t="s">
        <v>9378</v>
      </c>
      <c r="D739" t="s">
        <v>9378</v>
      </c>
      <c r="E739" t="s">
        <v>9405</v>
      </c>
    </row>
    <row r="740" spans="1:5" hidden="1">
      <c r="A740" t="s">
        <v>10668</v>
      </c>
      <c r="B740" t="s">
        <v>10669</v>
      </c>
      <c r="C740" t="s">
        <v>9378</v>
      </c>
      <c r="D740" t="s">
        <v>9378</v>
      </c>
      <c r="E740" t="s">
        <v>9405</v>
      </c>
    </row>
    <row r="741" spans="1:5" hidden="1">
      <c r="A741" t="s">
        <v>10670</v>
      </c>
      <c r="B741" t="s">
        <v>10671</v>
      </c>
      <c r="C741" t="s">
        <v>9378</v>
      </c>
      <c r="D741" t="s">
        <v>9378</v>
      </c>
      <c r="E741" t="s">
        <v>9405</v>
      </c>
    </row>
    <row r="742" spans="1:5" hidden="1">
      <c r="A742" t="s">
        <v>10672</v>
      </c>
      <c r="B742" t="s">
        <v>10673</v>
      </c>
      <c r="C742" t="s">
        <v>9378</v>
      </c>
      <c r="D742" t="s">
        <v>9378</v>
      </c>
      <c r="E742" t="s">
        <v>9405</v>
      </c>
    </row>
    <row r="743" spans="1:5" hidden="1">
      <c r="A743" t="s">
        <v>10674</v>
      </c>
      <c r="B743" t="s">
        <v>10675</v>
      </c>
      <c r="C743" t="s">
        <v>9378</v>
      </c>
      <c r="D743" t="s">
        <v>9378</v>
      </c>
      <c r="E743" t="s">
        <v>9405</v>
      </c>
    </row>
    <row r="744" spans="1:5" hidden="1">
      <c r="A744" t="s">
        <v>10676</v>
      </c>
      <c r="B744" t="s">
        <v>10677</v>
      </c>
      <c r="C744" t="s">
        <v>9378</v>
      </c>
      <c r="D744" t="s">
        <v>9378</v>
      </c>
      <c r="E744" t="s">
        <v>9405</v>
      </c>
    </row>
    <row r="745" spans="1:5" hidden="1">
      <c r="A745" t="s">
        <v>10678</v>
      </c>
      <c r="B745" t="s">
        <v>10679</v>
      </c>
      <c r="C745" t="s">
        <v>9378</v>
      </c>
      <c r="D745" t="s">
        <v>9378</v>
      </c>
      <c r="E745" t="s">
        <v>9405</v>
      </c>
    </row>
    <row r="746" spans="1:5" hidden="1">
      <c r="A746" t="s">
        <v>10680</v>
      </c>
      <c r="B746" t="s">
        <v>10681</v>
      </c>
      <c r="C746" t="s">
        <v>9378</v>
      </c>
      <c r="D746" t="s">
        <v>9378</v>
      </c>
      <c r="E746" t="s">
        <v>9405</v>
      </c>
    </row>
    <row r="747" spans="1:5" hidden="1">
      <c r="A747" t="s">
        <v>10682</v>
      </c>
      <c r="B747" t="s">
        <v>10683</v>
      </c>
      <c r="C747" t="s">
        <v>9378</v>
      </c>
      <c r="D747" t="s">
        <v>9378</v>
      </c>
      <c r="E747" t="s">
        <v>9405</v>
      </c>
    </row>
    <row r="748" spans="1:5" hidden="1">
      <c r="A748" t="s">
        <v>10684</v>
      </c>
      <c r="B748" t="s">
        <v>10685</v>
      </c>
      <c r="C748" t="s">
        <v>9378</v>
      </c>
      <c r="D748" t="s">
        <v>9378</v>
      </c>
      <c r="E748" t="s">
        <v>9405</v>
      </c>
    </row>
    <row r="749" spans="1:5" hidden="1">
      <c r="A749" t="s">
        <v>10686</v>
      </c>
      <c r="B749" t="s">
        <v>10687</v>
      </c>
      <c r="C749" t="s">
        <v>9378</v>
      </c>
      <c r="D749" t="s">
        <v>9378</v>
      </c>
      <c r="E749" t="s">
        <v>9405</v>
      </c>
    </row>
    <row r="750" spans="1:5" hidden="1">
      <c r="A750" t="s">
        <v>10688</v>
      </c>
      <c r="B750" t="s">
        <v>10689</v>
      </c>
      <c r="C750" t="s">
        <v>9378</v>
      </c>
      <c r="D750" t="s">
        <v>9378</v>
      </c>
      <c r="E750" t="s">
        <v>9405</v>
      </c>
    </row>
    <row r="751" spans="1:5" hidden="1">
      <c r="A751" t="s">
        <v>10690</v>
      </c>
      <c r="B751" t="s">
        <v>10691</v>
      </c>
      <c r="C751" t="s">
        <v>9378</v>
      </c>
      <c r="D751" t="s">
        <v>9378</v>
      </c>
      <c r="E751" t="s">
        <v>9405</v>
      </c>
    </row>
    <row r="752" spans="1:5" hidden="1">
      <c r="A752" t="s">
        <v>10692</v>
      </c>
      <c r="B752" t="s">
        <v>10693</v>
      </c>
      <c r="C752" t="s">
        <v>9378</v>
      </c>
      <c r="D752" t="s">
        <v>9378</v>
      </c>
      <c r="E752" t="s">
        <v>9405</v>
      </c>
    </row>
    <row r="753" spans="1:5" hidden="1">
      <c r="A753" t="s">
        <v>169</v>
      </c>
      <c r="B753" t="s">
        <v>170</v>
      </c>
      <c r="C753" t="s">
        <v>9378</v>
      </c>
      <c r="D753" t="s">
        <v>9378</v>
      </c>
      <c r="E753" t="s">
        <v>9378</v>
      </c>
    </row>
    <row r="754" spans="1:5" hidden="1">
      <c r="A754" t="s">
        <v>166</v>
      </c>
      <c r="B754" t="s">
        <v>10694</v>
      </c>
      <c r="C754" t="s">
        <v>9378</v>
      </c>
      <c r="D754" t="s">
        <v>9378</v>
      </c>
      <c r="E754" t="s">
        <v>9378</v>
      </c>
    </row>
    <row r="755" spans="1:5" hidden="1">
      <c r="A755" t="s">
        <v>163</v>
      </c>
      <c r="B755" t="s">
        <v>164</v>
      </c>
      <c r="C755" t="s">
        <v>9378</v>
      </c>
      <c r="D755" t="s">
        <v>9378</v>
      </c>
      <c r="E755" t="s">
        <v>9378</v>
      </c>
    </row>
    <row r="756" spans="1:5" hidden="1">
      <c r="A756" t="s">
        <v>272</v>
      </c>
      <c r="B756" t="s">
        <v>273</v>
      </c>
      <c r="C756" t="s">
        <v>9378</v>
      </c>
      <c r="D756" t="s">
        <v>9378</v>
      </c>
      <c r="E756" t="s">
        <v>9405</v>
      </c>
    </row>
    <row r="757" spans="1:5" hidden="1">
      <c r="A757" t="s">
        <v>10695</v>
      </c>
      <c r="B757" t="s">
        <v>10696</v>
      </c>
      <c r="C757" t="s">
        <v>9378</v>
      </c>
      <c r="D757" t="s">
        <v>9378</v>
      </c>
      <c r="E757" t="s">
        <v>9405</v>
      </c>
    </row>
    <row r="758" spans="1:5" hidden="1">
      <c r="A758" t="s">
        <v>10697</v>
      </c>
      <c r="B758" t="s">
        <v>10698</v>
      </c>
      <c r="C758" t="s">
        <v>9378</v>
      </c>
      <c r="D758" t="s">
        <v>9542</v>
      </c>
      <c r="E758" t="s">
        <v>9378</v>
      </c>
    </row>
    <row r="759" spans="1:5" hidden="1">
      <c r="A759" t="s">
        <v>353</v>
      </c>
      <c r="B759" t="s">
        <v>354</v>
      </c>
      <c r="C759" t="s">
        <v>9378</v>
      </c>
      <c r="D759" t="s">
        <v>9378</v>
      </c>
      <c r="E759" t="s">
        <v>9405</v>
      </c>
    </row>
    <row r="760" spans="1:5" hidden="1">
      <c r="A760" t="s">
        <v>347</v>
      </c>
      <c r="B760" t="s">
        <v>348</v>
      </c>
      <c r="C760" t="s">
        <v>9378</v>
      </c>
      <c r="D760" t="s">
        <v>9542</v>
      </c>
      <c r="E760" t="s">
        <v>9378</v>
      </c>
    </row>
    <row r="761" spans="1:5" hidden="1">
      <c r="A761" t="s">
        <v>10699</v>
      </c>
      <c r="B761" t="s">
        <v>10700</v>
      </c>
      <c r="C761" t="s">
        <v>9378</v>
      </c>
      <c r="D761" t="s">
        <v>9378</v>
      </c>
      <c r="E761" t="s">
        <v>9405</v>
      </c>
    </row>
    <row r="762" spans="1:5" hidden="1">
      <c r="A762" t="s">
        <v>10701</v>
      </c>
      <c r="B762" t="s">
        <v>10702</v>
      </c>
      <c r="C762" t="s">
        <v>9378</v>
      </c>
      <c r="D762" t="s">
        <v>9542</v>
      </c>
      <c r="E762" t="s">
        <v>9378</v>
      </c>
    </row>
    <row r="763" spans="1:5" hidden="1">
      <c r="A763" t="s">
        <v>10703</v>
      </c>
      <c r="B763" t="s">
        <v>10704</v>
      </c>
      <c r="C763" t="s">
        <v>9378</v>
      </c>
      <c r="D763" t="s">
        <v>9542</v>
      </c>
      <c r="E763" t="s">
        <v>9378</v>
      </c>
    </row>
    <row r="764" spans="1:5" hidden="1">
      <c r="A764" t="s">
        <v>175</v>
      </c>
      <c r="B764" t="s">
        <v>505</v>
      </c>
      <c r="C764" t="s">
        <v>9378</v>
      </c>
      <c r="D764" t="s">
        <v>9378</v>
      </c>
      <c r="E764" t="s">
        <v>9405</v>
      </c>
    </row>
    <row r="765" spans="1:5" hidden="1">
      <c r="A765" t="s">
        <v>362</v>
      </c>
      <c r="B765" t="s">
        <v>10705</v>
      </c>
      <c r="C765" t="s">
        <v>9378</v>
      </c>
      <c r="D765" t="s">
        <v>9378</v>
      </c>
      <c r="E765" t="s">
        <v>9405</v>
      </c>
    </row>
    <row r="766" spans="1:5" hidden="1">
      <c r="A766" t="s">
        <v>172</v>
      </c>
      <c r="B766" t="s">
        <v>10706</v>
      </c>
      <c r="C766" t="s">
        <v>9378</v>
      </c>
      <c r="D766" t="s">
        <v>9378</v>
      </c>
      <c r="E766" t="s">
        <v>9378</v>
      </c>
    </row>
    <row r="767" spans="1:5" hidden="1">
      <c r="A767" t="s">
        <v>178</v>
      </c>
      <c r="B767" t="s">
        <v>10707</v>
      </c>
      <c r="C767" t="s">
        <v>9378</v>
      </c>
      <c r="D767" t="s">
        <v>9378</v>
      </c>
      <c r="E767" t="s">
        <v>9378</v>
      </c>
    </row>
    <row r="768" spans="1:5" hidden="1">
      <c r="A768" t="s">
        <v>10708</v>
      </c>
      <c r="B768" t="s">
        <v>10709</v>
      </c>
      <c r="C768" t="s">
        <v>9378</v>
      </c>
      <c r="D768" t="s">
        <v>9378</v>
      </c>
      <c r="E768" t="s">
        <v>9378</v>
      </c>
    </row>
    <row r="769" spans="1:5">
      <c r="A769" s="81" t="s">
        <v>10710</v>
      </c>
      <c r="B769" t="s">
        <v>10711</v>
      </c>
      <c r="C769" t="s">
        <v>9369</v>
      </c>
      <c r="D769" t="s">
        <v>9369</v>
      </c>
      <c r="E769" t="s">
        <v>9369</v>
      </c>
    </row>
    <row r="770" spans="1:5">
      <c r="A770" s="81" t="s">
        <v>465</v>
      </c>
      <c r="B770" t="s">
        <v>466</v>
      </c>
      <c r="C770" t="s">
        <v>9369</v>
      </c>
      <c r="D770" t="s">
        <v>9369</v>
      </c>
      <c r="E770" t="s">
        <v>9369</v>
      </c>
    </row>
    <row r="771" spans="1:5">
      <c r="A771" s="81" t="s">
        <v>10712</v>
      </c>
      <c r="B771" t="s">
        <v>10713</v>
      </c>
      <c r="C771" t="s">
        <v>9369</v>
      </c>
      <c r="D771" t="s">
        <v>9369</v>
      </c>
      <c r="E771" t="s">
        <v>9369</v>
      </c>
    </row>
    <row r="772" spans="1:5">
      <c r="A772" s="81" t="s">
        <v>10714</v>
      </c>
      <c r="B772" t="s">
        <v>10715</v>
      </c>
      <c r="C772" t="s">
        <v>9369</v>
      </c>
      <c r="D772" t="s">
        <v>9369</v>
      </c>
      <c r="E772" t="s">
        <v>9369</v>
      </c>
    </row>
    <row r="773" spans="1:5">
      <c r="A773" s="81" t="s">
        <v>10716</v>
      </c>
      <c r="B773" t="s">
        <v>10717</v>
      </c>
      <c r="C773" t="s">
        <v>9369</v>
      </c>
      <c r="D773" t="s">
        <v>9369</v>
      </c>
      <c r="E773" t="s">
        <v>9369</v>
      </c>
    </row>
    <row r="774" spans="1:5">
      <c r="A774" s="81" t="s">
        <v>10718</v>
      </c>
      <c r="B774" t="s">
        <v>10719</v>
      </c>
      <c r="C774" t="s">
        <v>9369</v>
      </c>
      <c r="D774" t="s">
        <v>9369</v>
      </c>
      <c r="E774" t="s">
        <v>9369</v>
      </c>
    </row>
    <row r="775" spans="1:5">
      <c r="A775" s="81" t="s">
        <v>10720</v>
      </c>
      <c r="B775" t="s">
        <v>10721</v>
      </c>
      <c r="C775" t="s">
        <v>9369</v>
      </c>
      <c r="D775" t="s">
        <v>9369</v>
      </c>
      <c r="E775" t="s">
        <v>9369</v>
      </c>
    </row>
    <row r="776" spans="1:5">
      <c r="A776" s="81" t="s">
        <v>10722</v>
      </c>
      <c r="B776" t="s">
        <v>10723</v>
      </c>
      <c r="C776" t="s">
        <v>9369</v>
      </c>
      <c r="D776" t="s">
        <v>9369</v>
      </c>
      <c r="E776" t="s">
        <v>9369</v>
      </c>
    </row>
    <row r="777" spans="1:5">
      <c r="A777" s="81" t="s">
        <v>10724</v>
      </c>
      <c r="B777" t="s">
        <v>10725</v>
      </c>
      <c r="C777" t="s">
        <v>9369</v>
      </c>
      <c r="D777" t="s">
        <v>9369</v>
      </c>
      <c r="E777" t="s">
        <v>9369</v>
      </c>
    </row>
    <row r="778" spans="1:5">
      <c r="A778" s="81" t="s">
        <v>10726</v>
      </c>
      <c r="B778" t="s">
        <v>10727</v>
      </c>
      <c r="C778" t="s">
        <v>9369</v>
      </c>
      <c r="D778" t="s">
        <v>9369</v>
      </c>
      <c r="E778" t="s">
        <v>9369</v>
      </c>
    </row>
    <row r="779" spans="1:5">
      <c r="A779" s="81" t="s">
        <v>10728</v>
      </c>
      <c r="B779" t="s">
        <v>10729</v>
      </c>
      <c r="C779" t="s">
        <v>9369</v>
      </c>
      <c r="D779" t="s">
        <v>9369</v>
      </c>
      <c r="E779" t="s">
        <v>9369</v>
      </c>
    </row>
    <row r="780" spans="1:5">
      <c r="A780" s="81" t="s">
        <v>453</v>
      </c>
      <c r="B780" t="s">
        <v>454</v>
      </c>
      <c r="C780" t="s">
        <v>9369</v>
      </c>
      <c r="D780" t="s">
        <v>9369</v>
      </c>
      <c r="E780" t="s">
        <v>9369</v>
      </c>
    </row>
    <row r="781" spans="1:5">
      <c r="A781" s="81" t="s">
        <v>10730</v>
      </c>
      <c r="B781" t="s">
        <v>10731</v>
      </c>
      <c r="C781" t="s">
        <v>9369</v>
      </c>
      <c r="D781" t="s">
        <v>9369</v>
      </c>
      <c r="E781" t="s">
        <v>9369</v>
      </c>
    </row>
    <row r="782" spans="1:5">
      <c r="A782" s="81" t="s">
        <v>10732</v>
      </c>
      <c r="B782" t="s">
        <v>10733</v>
      </c>
      <c r="C782" t="s">
        <v>9369</v>
      </c>
      <c r="D782" t="s">
        <v>9369</v>
      </c>
      <c r="E782" t="s">
        <v>9369</v>
      </c>
    </row>
    <row r="783" spans="1:5">
      <c r="A783" s="81" t="s">
        <v>10734</v>
      </c>
      <c r="B783" t="s">
        <v>10735</v>
      </c>
      <c r="C783" t="s">
        <v>9369</v>
      </c>
      <c r="D783" t="s">
        <v>9369</v>
      </c>
      <c r="E783" t="s">
        <v>9369</v>
      </c>
    </row>
    <row r="784" spans="1:5">
      <c r="A784" s="81" t="s">
        <v>10736</v>
      </c>
      <c r="B784" t="s">
        <v>10737</v>
      </c>
      <c r="C784" t="s">
        <v>9369</v>
      </c>
      <c r="D784" t="s">
        <v>9369</v>
      </c>
      <c r="E784" t="s">
        <v>9369</v>
      </c>
    </row>
    <row r="785" spans="1:5">
      <c r="A785" s="81" t="s">
        <v>10738</v>
      </c>
      <c r="B785" t="s">
        <v>10739</v>
      </c>
      <c r="C785" t="s">
        <v>9369</v>
      </c>
      <c r="D785" t="s">
        <v>9369</v>
      </c>
      <c r="E785" t="s">
        <v>9369</v>
      </c>
    </row>
    <row r="786" spans="1:5">
      <c r="A786" s="81" t="s">
        <v>10740</v>
      </c>
      <c r="B786" t="s">
        <v>10741</v>
      </c>
      <c r="C786" t="s">
        <v>9369</v>
      </c>
      <c r="D786" t="s">
        <v>9369</v>
      </c>
      <c r="E786" t="s">
        <v>9369</v>
      </c>
    </row>
    <row r="787" spans="1:5">
      <c r="A787" s="81" t="s">
        <v>10742</v>
      </c>
      <c r="B787" t="s">
        <v>10743</v>
      </c>
      <c r="C787" t="s">
        <v>9369</v>
      </c>
      <c r="D787" t="s">
        <v>9369</v>
      </c>
      <c r="E787" t="s">
        <v>9369</v>
      </c>
    </row>
    <row r="788" spans="1:5">
      <c r="A788" s="81" t="s">
        <v>10744</v>
      </c>
      <c r="B788" t="s">
        <v>10745</v>
      </c>
      <c r="C788" t="s">
        <v>9369</v>
      </c>
      <c r="D788" t="s">
        <v>9369</v>
      </c>
      <c r="E788" t="s">
        <v>9369</v>
      </c>
    </row>
    <row r="789" spans="1:5">
      <c r="A789" s="81" t="s">
        <v>456</v>
      </c>
      <c r="B789" t="s">
        <v>457</v>
      </c>
      <c r="C789" t="s">
        <v>9369</v>
      </c>
      <c r="D789" t="s">
        <v>9369</v>
      </c>
      <c r="E789" t="s">
        <v>9369</v>
      </c>
    </row>
    <row r="790" spans="1:5">
      <c r="A790" s="81" t="s">
        <v>10746</v>
      </c>
      <c r="B790" t="s">
        <v>10747</v>
      </c>
      <c r="C790" t="s">
        <v>9369</v>
      </c>
      <c r="D790" t="s">
        <v>9369</v>
      </c>
      <c r="E790" t="s">
        <v>9369</v>
      </c>
    </row>
    <row r="791" spans="1:5">
      <c r="A791" s="81" t="s">
        <v>474</v>
      </c>
      <c r="B791" t="s">
        <v>475</v>
      </c>
      <c r="C791" t="s">
        <v>9369</v>
      </c>
      <c r="D791" t="s">
        <v>9369</v>
      </c>
      <c r="E791" t="s">
        <v>9369</v>
      </c>
    </row>
    <row r="792" spans="1:5">
      <c r="A792" s="81" t="s">
        <v>459</v>
      </c>
      <c r="B792" t="s">
        <v>460</v>
      </c>
      <c r="C792" t="s">
        <v>9369</v>
      </c>
      <c r="D792" t="s">
        <v>9369</v>
      </c>
      <c r="E792" t="s">
        <v>9369</v>
      </c>
    </row>
    <row r="793" spans="1:5">
      <c r="A793" s="81" t="s">
        <v>462</v>
      </c>
      <c r="B793" t="s">
        <v>463</v>
      </c>
      <c r="C793" t="s">
        <v>9369</v>
      </c>
      <c r="D793" t="s">
        <v>9369</v>
      </c>
      <c r="E793" t="s">
        <v>9369</v>
      </c>
    </row>
    <row r="794" spans="1:5">
      <c r="A794" s="81" t="s">
        <v>10748</v>
      </c>
      <c r="B794" t="s">
        <v>10749</v>
      </c>
      <c r="C794" t="s">
        <v>9369</v>
      </c>
      <c r="D794" t="s">
        <v>9369</v>
      </c>
      <c r="E794" t="s">
        <v>9369</v>
      </c>
    </row>
    <row r="795" spans="1:5">
      <c r="A795" s="81" t="s">
        <v>10750</v>
      </c>
      <c r="B795" t="s">
        <v>10751</v>
      </c>
      <c r="C795" t="s">
        <v>9369</v>
      </c>
      <c r="D795" t="s">
        <v>9369</v>
      </c>
      <c r="E795" t="s">
        <v>9369</v>
      </c>
    </row>
    <row r="796" spans="1:5">
      <c r="A796" s="81" t="s">
        <v>10752</v>
      </c>
      <c r="B796" t="s">
        <v>10753</v>
      </c>
      <c r="C796" t="s">
        <v>9369</v>
      </c>
      <c r="D796" t="s">
        <v>9369</v>
      </c>
      <c r="E796" t="s">
        <v>9369</v>
      </c>
    </row>
    <row r="797" spans="1:5">
      <c r="A797" s="81" t="s">
        <v>374</v>
      </c>
      <c r="B797" t="s">
        <v>375</v>
      </c>
      <c r="C797" t="s">
        <v>9369</v>
      </c>
      <c r="D797" t="s">
        <v>9369</v>
      </c>
      <c r="E797" t="s">
        <v>9369</v>
      </c>
    </row>
    <row r="798" spans="1:5">
      <c r="A798" s="81" t="s">
        <v>371</v>
      </c>
      <c r="B798" t="s">
        <v>372</v>
      </c>
      <c r="C798" t="s">
        <v>9369</v>
      </c>
      <c r="D798" t="s">
        <v>9369</v>
      </c>
      <c r="E798" t="s">
        <v>9369</v>
      </c>
    </row>
    <row r="799" spans="1:5">
      <c r="A799" s="81" t="s">
        <v>380</v>
      </c>
      <c r="B799" t="s">
        <v>381</v>
      </c>
      <c r="C799" t="s">
        <v>9369</v>
      </c>
      <c r="D799" t="s">
        <v>9369</v>
      </c>
      <c r="E799" t="s">
        <v>9369</v>
      </c>
    </row>
    <row r="800" spans="1:5">
      <c r="A800" s="81" t="s">
        <v>377</v>
      </c>
      <c r="B800" t="s">
        <v>378</v>
      </c>
      <c r="C800" t="s">
        <v>9369</v>
      </c>
      <c r="D800" t="s">
        <v>9369</v>
      </c>
      <c r="E800" t="s">
        <v>9369</v>
      </c>
    </row>
    <row r="801" spans="1:5">
      <c r="A801" s="81" t="s">
        <v>383</v>
      </c>
      <c r="B801" t="s">
        <v>384</v>
      </c>
      <c r="C801" t="s">
        <v>9369</v>
      </c>
      <c r="D801" t="s">
        <v>9369</v>
      </c>
      <c r="E801" t="s">
        <v>9369</v>
      </c>
    </row>
    <row r="802" spans="1:5">
      <c r="A802" s="81" t="s">
        <v>10754</v>
      </c>
      <c r="B802" t="s">
        <v>10755</v>
      </c>
      <c r="C802" t="s">
        <v>9369</v>
      </c>
      <c r="D802" t="s">
        <v>9369</v>
      </c>
      <c r="E802" t="s">
        <v>9369</v>
      </c>
    </row>
    <row r="803" spans="1:5">
      <c r="A803" s="81" t="s">
        <v>10756</v>
      </c>
      <c r="B803" t="s">
        <v>10757</v>
      </c>
      <c r="C803" t="s">
        <v>9369</v>
      </c>
      <c r="D803" t="s">
        <v>9369</v>
      </c>
      <c r="E803" t="s">
        <v>9369</v>
      </c>
    </row>
    <row r="804" spans="1:5">
      <c r="A804" s="81" t="s">
        <v>10758</v>
      </c>
      <c r="B804" t="s">
        <v>10759</v>
      </c>
      <c r="C804" t="s">
        <v>9369</v>
      </c>
      <c r="D804" t="s">
        <v>9369</v>
      </c>
      <c r="E804" t="s">
        <v>9369</v>
      </c>
    </row>
    <row r="805" spans="1:5">
      <c r="A805" s="81" t="s">
        <v>449</v>
      </c>
      <c r="B805" t="s">
        <v>450</v>
      </c>
      <c r="C805" t="s">
        <v>9369</v>
      </c>
      <c r="D805" t="s">
        <v>9369</v>
      </c>
      <c r="E805" t="s">
        <v>9369</v>
      </c>
    </row>
    <row r="806" spans="1:5">
      <c r="A806" s="81" t="s">
        <v>10760</v>
      </c>
      <c r="B806" t="s">
        <v>10761</v>
      </c>
      <c r="C806" t="s">
        <v>9369</v>
      </c>
      <c r="D806" t="s">
        <v>9369</v>
      </c>
      <c r="E806" t="s">
        <v>9369</v>
      </c>
    </row>
    <row r="807" spans="1:5">
      <c r="A807" s="81" t="s">
        <v>10762</v>
      </c>
      <c r="B807" t="s">
        <v>10763</v>
      </c>
      <c r="C807" t="s">
        <v>9369</v>
      </c>
      <c r="D807" t="s">
        <v>9369</v>
      </c>
      <c r="E807" t="s">
        <v>9369</v>
      </c>
    </row>
    <row r="808" spans="1:5">
      <c r="A808" s="81" t="s">
        <v>10764</v>
      </c>
      <c r="B808" t="s">
        <v>10765</v>
      </c>
      <c r="C808" t="s">
        <v>9369</v>
      </c>
      <c r="D808" t="s">
        <v>9369</v>
      </c>
      <c r="E808" t="s">
        <v>9369</v>
      </c>
    </row>
    <row r="809" spans="1:5">
      <c r="A809" s="81" t="s">
        <v>10766</v>
      </c>
      <c r="B809" t="s">
        <v>12753</v>
      </c>
      <c r="C809" t="s">
        <v>9369</v>
      </c>
      <c r="D809" t="s">
        <v>9369</v>
      </c>
      <c r="E809" t="s">
        <v>9369</v>
      </c>
    </row>
    <row r="810" spans="1:5">
      <c r="A810" s="81" t="s">
        <v>10767</v>
      </c>
      <c r="B810" t="s">
        <v>10768</v>
      </c>
      <c r="C810" t="s">
        <v>9369</v>
      </c>
      <c r="D810" t="s">
        <v>9369</v>
      </c>
      <c r="E810" t="s">
        <v>9369</v>
      </c>
    </row>
    <row r="811" spans="1:5">
      <c r="A811" s="81" t="s">
        <v>10769</v>
      </c>
      <c r="B811" t="s">
        <v>10770</v>
      </c>
      <c r="C811" t="s">
        <v>9369</v>
      </c>
      <c r="D811" t="s">
        <v>9369</v>
      </c>
      <c r="E811" t="s">
        <v>9369</v>
      </c>
    </row>
    <row r="812" spans="1:5">
      <c r="A812" s="81" t="s">
        <v>10771</v>
      </c>
      <c r="B812" t="s">
        <v>10772</v>
      </c>
      <c r="C812" t="s">
        <v>9369</v>
      </c>
      <c r="D812" t="s">
        <v>9369</v>
      </c>
      <c r="E812" t="s">
        <v>9369</v>
      </c>
    </row>
    <row r="813" spans="1:5">
      <c r="A813" s="81" t="s">
        <v>10773</v>
      </c>
      <c r="B813" t="s">
        <v>10774</v>
      </c>
      <c r="C813" t="s">
        <v>9369</v>
      </c>
      <c r="D813" t="s">
        <v>9369</v>
      </c>
      <c r="E813" t="s">
        <v>9369</v>
      </c>
    </row>
    <row r="814" spans="1:5">
      <c r="A814" s="81" t="s">
        <v>10775</v>
      </c>
      <c r="B814" t="s">
        <v>10776</v>
      </c>
      <c r="C814" t="s">
        <v>9369</v>
      </c>
      <c r="D814" t="s">
        <v>9369</v>
      </c>
      <c r="E814" t="s">
        <v>9369</v>
      </c>
    </row>
    <row r="815" spans="1:5">
      <c r="A815" s="81" t="s">
        <v>386</v>
      </c>
      <c r="B815" t="s">
        <v>387</v>
      </c>
      <c r="C815" t="s">
        <v>9369</v>
      </c>
      <c r="D815" t="s">
        <v>9369</v>
      </c>
      <c r="E815" t="s">
        <v>9369</v>
      </c>
    </row>
    <row r="816" spans="1:5">
      <c r="A816" s="81" t="s">
        <v>10777</v>
      </c>
      <c r="B816" t="s">
        <v>10778</v>
      </c>
      <c r="C816" t="s">
        <v>9369</v>
      </c>
      <c r="D816" t="s">
        <v>9369</v>
      </c>
      <c r="E816" t="s">
        <v>9369</v>
      </c>
    </row>
    <row r="817" spans="1:5">
      <c r="A817" s="81" t="s">
        <v>10779</v>
      </c>
      <c r="B817" t="s">
        <v>10780</v>
      </c>
      <c r="C817" t="s">
        <v>9369</v>
      </c>
      <c r="D817" t="s">
        <v>9369</v>
      </c>
      <c r="E817" t="s">
        <v>9369</v>
      </c>
    </row>
    <row r="818" spans="1:5">
      <c r="A818" s="81" t="s">
        <v>10781</v>
      </c>
      <c r="B818" t="s">
        <v>10782</v>
      </c>
      <c r="C818" t="s">
        <v>9369</v>
      </c>
      <c r="D818" t="s">
        <v>9369</v>
      </c>
      <c r="E818" t="s">
        <v>9369</v>
      </c>
    </row>
    <row r="819" spans="1:5">
      <c r="A819" s="81" t="s">
        <v>368</v>
      </c>
      <c r="B819" t="s">
        <v>369</v>
      </c>
      <c r="C819" t="s">
        <v>9369</v>
      </c>
      <c r="D819" t="s">
        <v>9369</v>
      </c>
      <c r="E819" t="s">
        <v>9369</v>
      </c>
    </row>
    <row r="820" spans="1:5">
      <c r="A820" s="81" t="s">
        <v>10783</v>
      </c>
      <c r="B820" t="s">
        <v>10784</v>
      </c>
      <c r="C820" t="s">
        <v>9369</v>
      </c>
      <c r="D820" t="s">
        <v>9369</v>
      </c>
      <c r="E820" t="s">
        <v>9369</v>
      </c>
    </row>
    <row r="821" spans="1:5">
      <c r="A821" s="81" t="s">
        <v>10785</v>
      </c>
      <c r="B821" t="s">
        <v>10786</v>
      </c>
      <c r="C821" t="s">
        <v>9369</v>
      </c>
      <c r="D821" t="s">
        <v>9369</v>
      </c>
      <c r="E821" t="s">
        <v>9369</v>
      </c>
    </row>
    <row r="822" spans="1:5">
      <c r="A822" s="81" t="s">
        <v>389</v>
      </c>
      <c r="B822" t="s">
        <v>390</v>
      </c>
      <c r="C822" t="s">
        <v>9369</v>
      </c>
      <c r="D822" t="s">
        <v>9369</v>
      </c>
      <c r="E822" t="s">
        <v>9369</v>
      </c>
    </row>
    <row r="823" spans="1:5">
      <c r="A823" s="81" t="s">
        <v>10787</v>
      </c>
      <c r="B823" t="s">
        <v>10788</v>
      </c>
      <c r="C823" t="s">
        <v>9369</v>
      </c>
      <c r="D823" t="s">
        <v>9369</v>
      </c>
      <c r="E823" t="s">
        <v>9369</v>
      </c>
    </row>
    <row r="824" spans="1:5">
      <c r="A824" s="81" t="s">
        <v>10789</v>
      </c>
      <c r="B824" t="s">
        <v>10790</v>
      </c>
      <c r="C824" t="s">
        <v>9369</v>
      </c>
      <c r="D824" t="s">
        <v>9369</v>
      </c>
      <c r="E824" t="s">
        <v>9369</v>
      </c>
    </row>
    <row r="825" spans="1:5">
      <c r="A825" s="81" t="s">
        <v>398</v>
      </c>
      <c r="B825" t="s">
        <v>399</v>
      </c>
      <c r="C825" t="s">
        <v>9369</v>
      </c>
      <c r="D825" t="s">
        <v>9369</v>
      </c>
      <c r="E825" t="s">
        <v>9369</v>
      </c>
    </row>
    <row r="826" spans="1:5">
      <c r="A826" s="81" t="s">
        <v>443</v>
      </c>
      <c r="B826" t="s">
        <v>444</v>
      </c>
      <c r="C826" t="s">
        <v>9369</v>
      </c>
      <c r="D826" t="s">
        <v>9369</v>
      </c>
      <c r="E826" t="s">
        <v>9369</v>
      </c>
    </row>
    <row r="827" spans="1:5">
      <c r="A827" s="81" t="s">
        <v>10791</v>
      </c>
      <c r="B827" t="s">
        <v>10792</v>
      </c>
      <c r="C827" t="s">
        <v>9369</v>
      </c>
      <c r="D827" t="s">
        <v>9369</v>
      </c>
      <c r="E827" t="s">
        <v>9369</v>
      </c>
    </row>
    <row r="828" spans="1:5">
      <c r="A828" s="81" t="s">
        <v>437</v>
      </c>
      <c r="B828" t="s">
        <v>438</v>
      </c>
      <c r="C828" t="s">
        <v>9369</v>
      </c>
      <c r="D828" t="s">
        <v>9369</v>
      </c>
      <c r="E828" t="s">
        <v>9369</v>
      </c>
    </row>
    <row r="829" spans="1:5">
      <c r="A829" s="81" t="s">
        <v>10793</v>
      </c>
      <c r="B829" t="s">
        <v>10794</v>
      </c>
      <c r="C829" t="s">
        <v>9369</v>
      </c>
      <c r="D829" t="s">
        <v>9369</v>
      </c>
      <c r="E829" t="s">
        <v>9369</v>
      </c>
    </row>
    <row r="830" spans="1:5">
      <c r="A830" s="81" t="s">
        <v>10795</v>
      </c>
      <c r="B830" t="s">
        <v>10796</v>
      </c>
      <c r="C830" t="s">
        <v>9369</v>
      </c>
      <c r="D830" t="s">
        <v>9369</v>
      </c>
      <c r="E830" t="s">
        <v>9369</v>
      </c>
    </row>
    <row r="831" spans="1:5">
      <c r="A831" s="81" t="s">
        <v>401</v>
      </c>
      <c r="B831" t="s">
        <v>402</v>
      </c>
      <c r="C831" t="s">
        <v>9369</v>
      </c>
      <c r="D831" t="s">
        <v>9369</v>
      </c>
      <c r="E831" t="s">
        <v>9369</v>
      </c>
    </row>
    <row r="832" spans="1:5">
      <c r="A832" s="81" t="s">
        <v>10797</v>
      </c>
      <c r="B832" t="s">
        <v>10798</v>
      </c>
      <c r="C832" t="s">
        <v>9369</v>
      </c>
      <c r="D832" t="s">
        <v>9369</v>
      </c>
      <c r="E832" t="s">
        <v>9369</v>
      </c>
    </row>
    <row r="833" spans="1:5">
      <c r="A833" s="81" t="s">
        <v>428</v>
      </c>
      <c r="B833" t="s">
        <v>429</v>
      </c>
      <c r="C833" t="s">
        <v>9369</v>
      </c>
      <c r="D833" t="s">
        <v>9369</v>
      </c>
      <c r="E833" t="s">
        <v>9369</v>
      </c>
    </row>
    <row r="834" spans="1:5">
      <c r="A834" s="81" t="s">
        <v>395</v>
      </c>
      <c r="B834" t="s">
        <v>396</v>
      </c>
      <c r="C834" t="s">
        <v>9369</v>
      </c>
      <c r="D834" t="s">
        <v>9369</v>
      </c>
      <c r="E834" t="s">
        <v>9369</v>
      </c>
    </row>
    <row r="835" spans="1:5">
      <c r="A835" s="81" t="s">
        <v>446</v>
      </c>
      <c r="B835" t="s">
        <v>447</v>
      </c>
      <c r="C835" t="s">
        <v>9369</v>
      </c>
      <c r="D835" t="s">
        <v>9369</v>
      </c>
      <c r="E835" t="s">
        <v>9369</v>
      </c>
    </row>
    <row r="836" spans="1:5">
      <c r="A836" s="81" t="s">
        <v>431</v>
      </c>
      <c r="B836" t="s">
        <v>432</v>
      </c>
      <c r="C836" t="s">
        <v>9369</v>
      </c>
      <c r="D836" t="s">
        <v>9369</v>
      </c>
      <c r="E836" t="s">
        <v>9369</v>
      </c>
    </row>
    <row r="837" spans="1:5">
      <c r="A837" s="83" t="s">
        <v>10799</v>
      </c>
      <c r="B837" t="s">
        <v>10800</v>
      </c>
      <c r="C837" t="s">
        <v>9369</v>
      </c>
      <c r="D837" t="s">
        <v>9369</v>
      </c>
      <c r="E837" t="s">
        <v>9369</v>
      </c>
    </row>
    <row r="838" spans="1:5">
      <c r="A838" s="81" t="s">
        <v>10801</v>
      </c>
      <c r="B838" t="s">
        <v>10802</v>
      </c>
      <c r="C838" t="s">
        <v>9369</v>
      </c>
      <c r="D838" t="s">
        <v>9369</v>
      </c>
      <c r="E838" t="s">
        <v>9369</v>
      </c>
    </row>
    <row r="839" spans="1:5">
      <c r="A839" s="81" t="s">
        <v>440</v>
      </c>
      <c r="B839" t="s">
        <v>441</v>
      </c>
      <c r="C839" t="s">
        <v>9369</v>
      </c>
      <c r="D839" t="s">
        <v>9369</v>
      </c>
      <c r="E839" t="s">
        <v>9369</v>
      </c>
    </row>
    <row r="840" spans="1:5">
      <c r="A840" s="81" t="s">
        <v>10803</v>
      </c>
      <c r="B840" t="s">
        <v>10804</v>
      </c>
      <c r="C840" t="s">
        <v>9369</v>
      </c>
      <c r="D840" t="s">
        <v>9369</v>
      </c>
      <c r="E840" t="s">
        <v>9369</v>
      </c>
    </row>
    <row r="841" spans="1:5">
      <c r="A841" s="81" t="s">
        <v>10805</v>
      </c>
      <c r="B841" t="s">
        <v>10806</v>
      </c>
      <c r="C841" t="s">
        <v>9369</v>
      </c>
      <c r="D841" t="s">
        <v>9369</v>
      </c>
      <c r="E841" t="s">
        <v>9369</v>
      </c>
    </row>
    <row r="842" spans="1:5">
      <c r="A842" s="81" t="s">
        <v>404</v>
      </c>
      <c r="B842" t="s">
        <v>405</v>
      </c>
      <c r="C842" t="s">
        <v>9369</v>
      </c>
      <c r="D842" t="s">
        <v>9369</v>
      </c>
      <c r="E842" t="s">
        <v>9369</v>
      </c>
    </row>
    <row r="843" spans="1:5">
      <c r="A843" s="81" t="s">
        <v>407</v>
      </c>
      <c r="B843" t="s">
        <v>408</v>
      </c>
      <c r="C843" t="s">
        <v>9369</v>
      </c>
      <c r="D843" t="s">
        <v>9369</v>
      </c>
      <c r="E843" t="s">
        <v>9369</v>
      </c>
    </row>
    <row r="844" spans="1:5">
      <c r="A844" s="81" t="s">
        <v>410</v>
      </c>
      <c r="B844" t="s">
        <v>411</v>
      </c>
      <c r="C844" t="s">
        <v>9369</v>
      </c>
      <c r="D844" t="s">
        <v>9369</v>
      </c>
      <c r="E844" t="s">
        <v>9369</v>
      </c>
    </row>
    <row r="845" spans="1:5" hidden="1">
      <c r="A845" t="s">
        <v>10807</v>
      </c>
      <c r="B845" t="s">
        <v>10808</v>
      </c>
      <c r="C845" t="s">
        <v>9378</v>
      </c>
      <c r="D845" t="s">
        <v>9378</v>
      </c>
      <c r="E845" t="s">
        <v>9378</v>
      </c>
    </row>
    <row r="846" spans="1:5" hidden="1">
      <c r="A846" t="s">
        <v>10809</v>
      </c>
      <c r="B846" t="s">
        <v>10810</v>
      </c>
      <c r="C846" t="s">
        <v>9378</v>
      </c>
      <c r="D846" t="s">
        <v>9378</v>
      </c>
      <c r="E846" t="s">
        <v>9378</v>
      </c>
    </row>
    <row r="847" spans="1:5" hidden="1">
      <c r="A847" t="s">
        <v>10811</v>
      </c>
      <c r="B847" t="s">
        <v>10812</v>
      </c>
      <c r="C847" t="s">
        <v>9378</v>
      </c>
      <c r="D847" t="s">
        <v>9378</v>
      </c>
      <c r="E847" t="s">
        <v>9378</v>
      </c>
    </row>
    <row r="848" spans="1:5" hidden="1">
      <c r="A848" t="s">
        <v>10813</v>
      </c>
      <c r="B848" t="s">
        <v>10814</v>
      </c>
      <c r="C848" t="s">
        <v>9378</v>
      </c>
      <c r="D848" t="s">
        <v>9378</v>
      </c>
      <c r="E848" t="s">
        <v>9378</v>
      </c>
    </row>
    <row r="849" spans="1:5" hidden="1">
      <c r="A849" t="s">
        <v>10815</v>
      </c>
      <c r="B849" t="s">
        <v>10816</v>
      </c>
      <c r="C849" t="s">
        <v>9378</v>
      </c>
      <c r="D849" t="s">
        <v>9378</v>
      </c>
      <c r="E849" t="s">
        <v>9378</v>
      </c>
    </row>
    <row r="850" spans="1:5" hidden="1">
      <c r="A850" t="s">
        <v>10817</v>
      </c>
      <c r="B850" t="s">
        <v>10818</v>
      </c>
      <c r="C850" t="s">
        <v>9378</v>
      </c>
      <c r="D850" t="s">
        <v>9378</v>
      </c>
      <c r="E850" t="s">
        <v>9378</v>
      </c>
    </row>
    <row r="851" spans="1:5" hidden="1">
      <c r="A851" t="s">
        <v>10819</v>
      </c>
      <c r="B851" t="s">
        <v>10820</v>
      </c>
      <c r="C851" t="s">
        <v>9378</v>
      </c>
      <c r="D851" t="s">
        <v>9378</v>
      </c>
      <c r="E851" t="s">
        <v>9378</v>
      </c>
    </row>
    <row r="852" spans="1:5" hidden="1">
      <c r="A852" t="s">
        <v>10821</v>
      </c>
      <c r="B852" t="s">
        <v>10822</v>
      </c>
      <c r="C852" t="s">
        <v>9378</v>
      </c>
      <c r="D852" t="s">
        <v>9378</v>
      </c>
      <c r="E852" t="s">
        <v>9378</v>
      </c>
    </row>
    <row r="853" spans="1:5">
      <c r="A853" s="81" t="s">
        <v>10823</v>
      </c>
      <c r="B853" t="s">
        <v>10824</v>
      </c>
      <c r="C853" t="s">
        <v>9369</v>
      </c>
      <c r="D853" t="s">
        <v>9369</v>
      </c>
      <c r="E853" t="s">
        <v>9369</v>
      </c>
    </row>
    <row r="854" spans="1:5" hidden="1">
      <c r="A854" t="s">
        <v>10825</v>
      </c>
      <c r="B854" t="s">
        <v>10826</v>
      </c>
      <c r="C854" t="s">
        <v>9378</v>
      </c>
      <c r="D854" t="s">
        <v>9378</v>
      </c>
      <c r="E854" t="s">
        <v>9378</v>
      </c>
    </row>
    <row r="855" spans="1:5" hidden="1">
      <c r="A855" t="s">
        <v>10827</v>
      </c>
      <c r="B855" t="s">
        <v>10828</v>
      </c>
      <c r="C855" t="s">
        <v>9378</v>
      </c>
      <c r="D855" t="s">
        <v>9378</v>
      </c>
      <c r="E855" t="s">
        <v>9378</v>
      </c>
    </row>
    <row r="856" spans="1:5">
      <c r="A856" s="81" t="s">
        <v>10829</v>
      </c>
      <c r="B856" t="s">
        <v>10830</v>
      </c>
      <c r="C856" t="s">
        <v>9369</v>
      </c>
      <c r="D856" t="s">
        <v>9369</v>
      </c>
      <c r="E856" t="s">
        <v>9369</v>
      </c>
    </row>
    <row r="857" spans="1:5" hidden="1">
      <c r="A857" t="s">
        <v>10831</v>
      </c>
      <c r="B857" t="s">
        <v>10832</v>
      </c>
      <c r="C857" t="s">
        <v>9378</v>
      </c>
      <c r="D857" t="s">
        <v>9378</v>
      </c>
      <c r="E857" t="s">
        <v>9378</v>
      </c>
    </row>
    <row r="858" spans="1:5">
      <c r="A858" s="81" t="s">
        <v>10833</v>
      </c>
      <c r="B858" t="s">
        <v>10834</v>
      </c>
      <c r="C858" t="s">
        <v>9369</v>
      </c>
      <c r="D858" t="s">
        <v>9369</v>
      </c>
      <c r="E858" t="s">
        <v>9369</v>
      </c>
    </row>
    <row r="859" spans="1:5" hidden="1">
      <c r="A859" t="s">
        <v>10835</v>
      </c>
      <c r="B859" t="s">
        <v>10836</v>
      </c>
      <c r="C859" t="s">
        <v>9378</v>
      </c>
      <c r="D859" t="s">
        <v>9378</v>
      </c>
      <c r="E859" t="s">
        <v>9378</v>
      </c>
    </row>
    <row r="860" spans="1:5" hidden="1">
      <c r="A860" t="s">
        <v>10837</v>
      </c>
      <c r="B860" t="s">
        <v>10838</v>
      </c>
      <c r="C860" t="s">
        <v>9378</v>
      </c>
      <c r="D860" t="s">
        <v>9378</v>
      </c>
      <c r="E860" t="s">
        <v>9405</v>
      </c>
    </row>
    <row r="861" spans="1:5" hidden="1">
      <c r="A861" t="s">
        <v>365</v>
      </c>
      <c r="B861" t="s">
        <v>10839</v>
      </c>
      <c r="C861" t="s">
        <v>9378</v>
      </c>
      <c r="D861" t="s">
        <v>9378</v>
      </c>
      <c r="E861" t="s">
        <v>9378</v>
      </c>
    </row>
    <row r="862" spans="1:5" hidden="1">
      <c r="A862" t="s">
        <v>10840</v>
      </c>
      <c r="B862" t="s">
        <v>10841</v>
      </c>
      <c r="C862" t="s">
        <v>9378</v>
      </c>
      <c r="D862" t="s">
        <v>9378</v>
      </c>
      <c r="E862" t="s">
        <v>9353</v>
      </c>
    </row>
    <row r="863" spans="1:5" hidden="1">
      <c r="A863" t="s">
        <v>10842</v>
      </c>
      <c r="B863" t="s">
        <v>10843</v>
      </c>
      <c r="C863" t="s">
        <v>9378</v>
      </c>
      <c r="D863" t="s">
        <v>9378</v>
      </c>
      <c r="E863" t="s">
        <v>9353</v>
      </c>
    </row>
    <row r="864" spans="1:5" hidden="1">
      <c r="A864" t="s">
        <v>10844</v>
      </c>
      <c r="B864" t="s">
        <v>10845</v>
      </c>
      <c r="C864" t="s">
        <v>9378</v>
      </c>
      <c r="D864" t="s">
        <v>9378</v>
      </c>
      <c r="E864" t="s">
        <v>9353</v>
      </c>
    </row>
    <row r="865" spans="1:5" hidden="1">
      <c r="A865" t="s">
        <v>10846</v>
      </c>
      <c r="B865" t="s">
        <v>10847</v>
      </c>
      <c r="C865" t="s">
        <v>9378</v>
      </c>
      <c r="D865" t="s">
        <v>9378</v>
      </c>
      <c r="E865" t="s">
        <v>9353</v>
      </c>
    </row>
    <row r="866" spans="1:5" hidden="1">
      <c r="A866" t="s">
        <v>10848</v>
      </c>
      <c r="B866" t="s">
        <v>10849</v>
      </c>
      <c r="C866" t="s">
        <v>9378</v>
      </c>
      <c r="D866" t="s">
        <v>9378</v>
      </c>
      <c r="E866" t="s">
        <v>9353</v>
      </c>
    </row>
    <row r="867" spans="1:5" hidden="1">
      <c r="A867" t="s">
        <v>10850</v>
      </c>
      <c r="B867" t="s">
        <v>10851</v>
      </c>
      <c r="C867" t="s">
        <v>9378</v>
      </c>
      <c r="D867" t="s">
        <v>9378</v>
      </c>
      <c r="E867" t="s">
        <v>9353</v>
      </c>
    </row>
    <row r="868" spans="1:5" hidden="1">
      <c r="A868" t="s">
        <v>10852</v>
      </c>
      <c r="B868" t="s">
        <v>10853</v>
      </c>
      <c r="C868" t="s">
        <v>9378</v>
      </c>
      <c r="D868" t="s">
        <v>9378</v>
      </c>
      <c r="E868" t="s">
        <v>9353</v>
      </c>
    </row>
    <row r="869" spans="1:5" hidden="1">
      <c r="A869" t="s">
        <v>10854</v>
      </c>
      <c r="B869" t="s">
        <v>10855</v>
      </c>
      <c r="C869" t="s">
        <v>9378</v>
      </c>
      <c r="D869" t="s">
        <v>9378</v>
      </c>
      <c r="E869" t="s">
        <v>9353</v>
      </c>
    </row>
    <row r="870" spans="1:5" hidden="1">
      <c r="A870" t="s">
        <v>10856</v>
      </c>
      <c r="B870" t="s">
        <v>10857</v>
      </c>
      <c r="C870" t="s">
        <v>9378</v>
      </c>
      <c r="D870" t="s">
        <v>9378</v>
      </c>
      <c r="E870" t="s">
        <v>9353</v>
      </c>
    </row>
    <row r="871" spans="1:5" hidden="1">
      <c r="A871" t="s">
        <v>10858</v>
      </c>
      <c r="B871" t="s">
        <v>10859</v>
      </c>
      <c r="C871" t="s">
        <v>9378</v>
      </c>
      <c r="D871" t="s">
        <v>9378</v>
      </c>
      <c r="E871" t="s">
        <v>9353</v>
      </c>
    </row>
    <row r="872" spans="1:5" hidden="1">
      <c r="A872" t="s">
        <v>10860</v>
      </c>
      <c r="B872" t="s">
        <v>10861</v>
      </c>
      <c r="C872" t="s">
        <v>9378</v>
      </c>
      <c r="D872" t="s">
        <v>9378</v>
      </c>
      <c r="E872" t="s">
        <v>9353</v>
      </c>
    </row>
    <row r="873" spans="1:5" hidden="1">
      <c r="A873" t="s">
        <v>200</v>
      </c>
      <c r="B873" t="s">
        <v>201</v>
      </c>
      <c r="C873" t="s">
        <v>9378</v>
      </c>
      <c r="D873" t="s">
        <v>9378</v>
      </c>
      <c r="E873" t="s">
        <v>9353</v>
      </c>
    </row>
    <row r="874" spans="1:5" hidden="1">
      <c r="A874" t="s">
        <v>10862</v>
      </c>
      <c r="B874" t="s">
        <v>10863</v>
      </c>
      <c r="C874" t="s">
        <v>9378</v>
      </c>
      <c r="D874" t="s">
        <v>9378</v>
      </c>
      <c r="E874" t="s">
        <v>9353</v>
      </c>
    </row>
    <row r="875" spans="1:5" hidden="1">
      <c r="A875" t="s">
        <v>10864</v>
      </c>
      <c r="B875" t="s">
        <v>10865</v>
      </c>
      <c r="C875" t="s">
        <v>9378</v>
      </c>
      <c r="D875" t="s">
        <v>9378</v>
      </c>
      <c r="E875" t="s">
        <v>9353</v>
      </c>
    </row>
    <row r="876" spans="1:5" hidden="1">
      <c r="A876" t="s">
        <v>10866</v>
      </c>
      <c r="B876" t="s">
        <v>10867</v>
      </c>
      <c r="C876" t="s">
        <v>9378</v>
      </c>
      <c r="D876" t="s">
        <v>9378</v>
      </c>
      <c r="E876" t="s">
        <v>9353</v>
      </c>
    </row>
    <row r="877" spans="1:5" hidden="1">
      <c r="A877" t="s">
        <v>10868</v>
      </c>
      <c r="B877" t="s">
        <v>10869</v>
      </c>
      <c r="C877" t="s">
        <v>9378</v>
      </c>
      <c r="D877" t="s">
        <v>9378</v>
      </c>
      <c r="E877" t="s">
        <v>9353</v>
      </c>
    </row>
    <row r="878" spans="1:5" hidden="1">
      <c r="A878" t="s">
        <v>10870</v>
      </c>
      <c r="B878" t="s">
        <v>10871</v>
      </c>
      <c r="C878" t="s">
        <v>9378</v>
      </c>
      <c r="D878" t="s">
        <v>9378</v>
      </c>
      <c r="E878" t="s">
        <v>9353</v>
      </c>
    </row>
    <row r="879" spans="1:5" hidden="1">
      <c r="A879" t="s">
        <v>10872</v>
      </c>
      <c r="B879" t="s">
        <v>10873</v>
      </c>
      <c r="C879" t="s">
        <v>9378</v>
      </c>
      <c r="D879" t="s">
        <v>9378</v>
      </c>
      <c r="E879" t="s">
        <v>9353</v>
      </c>
    </row>
    <row r="880" spans="1:5" hidden="1">
      <c r="A880" t="s">
        <v>10874</v>
      </c>
      <c r="B880" t="s">
        <v>10875</v>
      </c>
      <c r="C880" t="s">
        <v>9378</v>
      </c>
      <c r="D880" t="s">
        <v>9378</v>
      </c>
      <c r="E880" t="s">
        <v>9353</v>
      </c>
    </row>
    <row r="881" spans="1:5" hidden="1">
      <c r="A881" t="s">
        <v>10876</v>
      </c>
      <c r="B881" t="s">
        <v>10877</v>
      </c>
      <c r="C881" t="s">
        <v>9378</v>
      </c>
      <c r="D881" t="s">
        <v>9378</v>
      </c>
      <c r="E881" t="s">
        <v>9353</v>
      </c>
    </row>
    <row r="882" spans="1:5" hidden="1">
      <c r="A882" t="s">
        <v>10878</v>
      </c>
      <c r="B882" t="s">
        <v>10879</v>
      </c>
      <c r="C882" t="s">
        <v>9378</v>
      </c>
      <c r="D882" t="s">
        <v>9378</v>
      </c>
      <c r="E882" t="s">
        <v>9353</v>
      </c>
    </row>
    <row r="883" spans="1:5" hidden="1">
      <c r="A883" t="s">
        <v>10880</v>
      </c>
      <c r="B883" t="s">
        <v>10881</v>
      </c>
      <c r="C883" t="s">
        <v>9378</v>
      </c>
      <c r="D883" t="s">
        <v>9378</v>
      </c>
      <c r="E883" t="s">
        <v>9353</v>
      </c>
    </row>
    <row r="884" spans="1:5" hidden="1">
      <c r="A884" t="s">
        <v>10882</v>
      </c>
      <c r="B884" t="s">
        <v>10883</v>
      </c>
      <c r="C884" t="s">
        <v>9378</v>
      </c>
      <c r="D884" t="s">
        <v>9378</v>
      </c>
      <c r="E884" t="s">
        <v>9353</v>
      </c>
    </row>
    <row r="885" spans="1:5" hidden="1">
      <c r="A885" t="s">
        <v>10884</v>
      </c>
      <c r="B885" t="s">
        <v>10885</v>
      </c>
      <c r="C885" t="s">
        <v>9378</v>
      </c>
      <c r="D885" t="s">
        <v>9378</v>
      </c>
      <c r="E885" t="s">
        <v>9353</v>
      </c>
    </row>
    <row r="886" spans="1:5" hidden="1">
      <c r="A886" t="s">
        <v>10886</v>
      </c>
      <c r="B886" t="s">
        <v>10887</v>
      </c>
      <c r="C886" t="s">
        <v>9378</v>
      </c>
      <c r="D886" t="s">
        <v>9378</v>
      </c>
      <c r="E886" t="s">
        <v>9353</v>
      </c>
    </row>
    <row r="887" spans="1:5" hidden="1">
      <c r="A887" t="s">
        <v>10888</v>
      </c>
      <c r="B887" t="s">
        <v>10889</v>
      </c>
      <c r="C887" t="s">
        <v>9378</v>
      </c>
      <c r="D887" t="s">
        <v>9378</v>
      </c>
      <c r="E887" t="s">
        <v>9353</v>
      </c>
    </row>
    <row r="888" spans="1:5" hidden="1">
      <c r="A888" t="s">
        <v>10890</v>
      </c>
      <c r="B888" t="s">
        <v>10891</v>
      </c>
      <c r="C888" t="s">
        <v>9378</v>
      </c>
      <c r="D888" t="s">
        <v>9378</v>
      </c>
      <c r="E888" t="s">
        <v>9353</v>
      </c>
    </row>
    <row r="889" spans="1:5" hidden="1">
      <c r="A889" t="s">
        <v>10892</v>
      </c>
      <c r="B889" t="s">
        <v>10893</v>
      </c>
      <c r="C889" t="s">
        <v>9378</v>
      </c>
      <c r="D889" t="s">
        <v>9378</v>
      </c>
      <c r="E889" t="s">
        <v>9353</v>
      </c>
    </row>
    <row r="890" spans="1:5" hidden="1">
      <c r="A890" t="s">
        <v>10894</v>
      </c>
      <c r="B890" t="s">
        <v>10895</v>
      </c>
      <c r="C890" t="s">
        <v>9378</v>
      </c>
      <c r="D890" t="s">
        <v>9378</v>
      </c>
      <c r="E890" t="s">
        <v>9353</v>
      </c>
    </row>
    <row r="891" spans="1:5" hidden="1">
      <c r="A891" t="s">
        <v>10896</v>
      </c>
      <c r="B891" t="s">
        <v>10897</v>
      </c>
      <c r="C891" t="s">
        <v>9378</v>
      </c>
      <c r="D891" t="s">
        <v>9378</v>
      </c>
      <c r="E891" t="s">
        <v>9353</v>
      </c>
    </row>
    <row r="892" spans="1:5" hidden="1">
      <c r="A892" t="s">
        <v>10898</v>
      </c>
      <c r="B892" t="s">
        <v>10899</v>
      </c>
      <c r="C892" t="s">
        <v>9378</v>
      </c>
      <c r="D892" t="s">
        <v>9378</v>
      </c>
      <c r="E892" t="s">
        <v>9353</v>
      </c>
    </row>
    <row r="893" spans="1:5" hidden="1">
      <c r="A893" t="s">
        <v>10900</v>
      </c>
      <c r="B893" t="s">
        <v>10901</v>
      </c>
      <c r="C893" t="s">
        <v>9378</v>
      </c>
      <c r="D893" t="s">
        <v>9378</v>
      </c>
      <c r="E893" t="s">
        <v>9353</v>
      </c>
    </row>
    <row r="894" spans="1:5" hidden="1">
      <c r="A894" t="s">
        <v>10902</v>
      </c>
      <c r="B894" t="s">
        <v>10903</v>
      </c>
      <c r="C894" t="s">
        <v>9378</v>
      </c>
      <c r="D894" t="s">
        <v>9378</v>
      </c>
      <c r="E894" t="s">
        <v>9353</v>
      </c>
    </row>
    <row r="895" spans="1:5" hidden="1">
      <c r="A895" t="s">
        <v>10904</v>
      </c>
      <c r="B895" t="s">
        <v>10905</v>
      </c>
      <c r="C895" t="s">
        <v>9378</v>
      </c>
      <c r="D895" t="s">
        <v>9378</v>
      </c>
      <c r="E895" t="s">
        <v>9353</v>
      </c>
    </row>
    <row r="896" spans="1:5" hidden="1">
      <c r="A896" t="s">
        <v>10906</v>
      </c>
      <c r="B896" t="s">
        <v>10907</v>
      </c>
      <c r="C896" t="s">
        <v>9378</v>
      </c>
      <c r="D896" t="s">
        <v>9378</v>
      </c>
      <c r="E896" t="s">
        <v>9353</v>
      </c>
    </row>
    <row r="897" spans="1:5" hidden="1">
      <c r="A897" t="s">
        <v>10908</v>
      </c>
      <c r="B897" t="s">
        <v>10909</v>
      </c>
      <c r="C897" t="s">
        <v>9378</v>
      </c>
      <c r="D897" t="s">
        <v>9378</v>
      </c>
      <c r="E897" t="s">
        <v>9353</v>
      </c>
    </row>
    <row r="898" spans="1:5" hidden="1">
      <c r="A898" t="s">
        <v>10910</v>
      </c>
      <c r="B898" t="s">
        <v>10911</v>
      </c>
      <c r="C898" t="s">
        <v>9378</v>
      </c>
      <c r="D898" t="s">
        <v>9378</v>
      </c>
      <c r="E898" t="s">
        <v>9353</v>
      </c>
    </row>
    <row r="899" spans="1:5" hidden="1">
      <c r="A899" t="s">
        <v>287</v>
      </c>
      <c r="B899" t="s">
        <v>10912</v>
      </c>
      <c r="C899" t="s">
        <v>9378</v>
      </c>
      <c r="D899" t="s">
        <v>9378</v>
      </c>
      <c r="E899" t="s">
        <v>9353</v>
      </c>
    </row>
    <row r="900" spans="1:5" hidden="1">
      <c r="A900" t="s">
        <v>10913</v>
      </c>
      <c r="B900" t="s">
        <v>10914</v>
      </c>
      <c r="C900" t="s">
        <v>9378</v>
      </c>
      <c r="D900" t="s">
        <v>9378</v>
      </c>
      <c r="E900" t="s">
        <v>9353</v>
      </c>
    </row>
    <row r="901" spans="1:5" hidden="1">
      <c r="A901" t="s">
        <v>10915</v>
      </c>
      <c r="B901" t="s">
        <v>10916</v>
      </c>
      <c r="C901" t="s">
        <v>9378</v>
      </c>
      <c r="D901" t="s">
        <v>9378</v>
      </c>
      <c r="E901" t="s">
        <v>9353</v>
      </c>
    </row>
    <row r="902" spans="1:5" hidden="1">
      <c r="A902" t="s">
        <v>10917</v>
      </c>
      <c r="B902" t="s">
        <v>10918</v>
      </c>
      <c r="C902" t="s">
        <v>9378</v>
      </c>
      <c r="D902" t="s">
        <v>9378</v>
      </c>
      <c r="E902" t="s">
        <v>9353</v>
      </c>
    </row>
    <row r="903" spans="1:5" hidden="1">
      <c r="A903" t="s">
        <v>245</v>
      </c>
      <c r="B903" t="s">
        <v>246</v>
      </c>
      <c r="C903" t="s">
        <v>9378</v>
      </c>
      <c r="D903" t="s">
        <v>9378</v>
      </c>
      <c r="E903" t="s">
        <v>9353</v>
      </c>
    </row>
    <row r="904" spans="1:5" hidden="1">
      <c r="A904" t="s">
        <v>10919</v>
      </c>
      <c r="B904" t="s">
        <v>10920</v>
      </c>
      <c r="C904" t="s">
        <v>9378</v>
      </c>
      <c r="D904" t="s">
        <v>9378</v>
      </c>
      <c r="E904" t="s">
        <v>9353</v>
      </c>
    </row>
    <row r="905" spans="1:5" hidden="1">
      <c r="A905" t="s">
        <v>10921</v>
      </c>
      <c r="B905" t="s">
        <v>10922</v>
      </c>
      <c r="C905" t="s">
        <v>9378</v>
      </c>
      <c r="D905" t="s">
        <v>9378</v>
      </c>
      <c r="E905" t="s">
        <v>9353</v>
      </c>
    </row>
    <row r="906" spans="1:5" hidden="1">
      <c r="A906" t="s">
        <v>10923</v>
      </c>
      <c r="B906" t="s">
        <v>10924</v>
      </c>
      <c r="C906" t="s">
        <v>9378</v>
      </c>
      <c r="D906" t="s">
        <v>9378</v>
      </c>
      <c r="E906" t="s">
        <v>9353</v>
      </c>
    </row>
    <row r="907" spans="1:5" hidden="1">
      <c r="A907" t="s">
        <v>10925</v>
      </c>
      <c r="B907" t="s">
        <v>10926</v>
      </c>
      <c r="C907" t="s">
        <v>9378</v>
      </c>
      <c r="D907" t="s">
        <v>9378</v>
      </c>
      <c r="E907" t="s">
        <v>9353</v>
      </c>
    </row>
    <row r="908" spans="1:5" hidden="1">
      <c r="A908" t="s">
        <v>10927</v>
      </c>
      <c r="B908" t="s">
        <v>10928</v>
      </c>
      <c r="C908" t="s">
        <v>9378</v>
      </c>
      <c r="D908" t="s">
        <v>9378</v>
      </c>
      <c r="E908" t="s">
        <v>9353</v>
      </c>
    </row>
    <row r="909" spans="1:5" hidden="1">
      <c r="A909" t="s">
        <v>10929</v>
      </c>
      <c r="B909" t="s">
        <v>10930</v>
      </c>
      <c r="C909" t="s">
        <v>9378</v>
      </c>
      <c r="D909" t="s">
        <v>9378</v>
      </c>
      <c r="E909" t="s">
        <v>9353</v>
      </c>
    </row>
    <row r="910" spans="1:5" hidden="1">
      <c r="A910" t="s">
        <v>10931</v>
      </c>
      <c r="B910" t="s">
        <v>10932</v>
      </c>
      <c r="C910" t="s">
        <v>9378</v>
      </c>
      <c r="D910" t="s">
        <v>9378</v>
      </c>
      <c r="E910" t="s">
        <v>9353</v>
      </c>
    </row>
    <row r="911" spans="1:5" hidden="1">
      <c r="A911" t="s">
        <v>10933</v>
      </c>
      <c r="B911" t="s">
        <v>10934</v>
      </c>
      <c r="C911" t="s">
        <v>9378</v>
      </c>
      <c r="D911" t="s">
        <v>9378</v>
      </c>
      <c r="E911" t="s">
        <v>9353</v>
      </c>
    </row>
    <row r="912" spans="1:5" hidden="1">
      <c r="A912" t="s">
        <v>10935</v>
      </c>
      <c r="B912" t="s">
        <v>10936</v>
      </c>
      <c r="C912" t="s">
        <v>9378</v>
      </c>
      <c r="D912" t="s">
        <v>9378</v>
      </c>
      <c r="E912" t="s">
        <v>9353</v>
      </c>
    </row>
    <row r="913" spans="1:5" hidden="1">
      <c r="A913" t="s">
        <v>10937</v>
      </c>
      <c r="B913" t="s">
        <v>10938</v>
      </c>
      <c r="C913" t="s">
        <v>9378</v>
      </c>
      <c r="D913" t="s">
        <v>9378</v>
      </c>
      <c r="E913" t="s">
        <v>9353</v>
      </c>
    </row>
    <row r="914" spans="1:5" hidden="1">
      <c r="A914" t="s">
        <v>10939</v>
      </c>
      <c r="B914" t="s">
        <v>10940</v>
      </c>
      <c r="C914" t="s">
        <v>9378</v>
      </c>
      <c r="D914" t="s">
        <v>9378</v>
      </c>
      <c r="E914" t="s">
        <v>9353</v>
      </c>
    </row>
    <row r="915" spans="1:5" hidden="1">
      <c r="A915" t="s">
        <v>10941</v>
      </c>
      <c r="B915" t="s">
        <v>10942</v>
      </c>
      <c r="C915" t="s">
        <v>9378</v>
      </c>
      <c r="D915" t="s">
        <v>9378</v>
      </c>
      <c r="E915" t="s">
        <v>9353</v>
      </c>
    </row>
    <row r="916" spans="1:5" hidden="1">
      <c r="A916" t="s">
        <v>10943</v>
      </c>
      <c r="B916" t="s">
        <v>10944</v>
      </c>
      <c r="C916" t="s">
        <v>9378</v>
      </c>
      <c r="D916" t="s">
        <v>9378</v>
      </c>
      <c r="E916" t="s">
        <v>9353</v>
      </c>
    </row>
    <row r="917" spans="1:5" hidden="1">
      <c r="A917" t="s">
        <v>293</v>
      </c>
      <c r="B917" t="s">
        <v>294</v>
      </c>
      <c r="C917" t="s">
        <v>9378</v>
      </c>
      <c r="D917" t="s">
        <v>9378</v>
      </c>
      <c r="E917" t="s">
        <v>9353</v>
      </c>
    </row>
    <row r="918" spans="1:5" hidden="1">
      <c r="A918" t="s">
        <v>10945</v>
      </c>
      <c r="B918" t="s">
        <v>10946</v>
      </c>
      <c r="C918" t="s">
        <v>9378</v>
      </c>
      <c r="D918" t="s">
        <v>9378</v>
      </c>
      <c r="E918" t="s">
        <v>9353</v>
      </c>
    </row>
    <row r="919" spans="1:5" hidden="1">
      <c r="A919" t="s">
        <v>10947</v>
      </c>
      <c r="B919" t="s">
        <v>10948</v>
      </c>
      <c r="C919" t="s">
        <v>9378</v>
      </c>
      <c r="D919" t="s">
        <v>9378</v>
      </c>
      <c r="E919" t="s">
        <v>9353</v>
      </c>
    </row>
    <row r="920" spans="1:5" hidden="1">
      <c r="A920" t="s">
        <v>10949</v>
      </c>
      <c r="B920" t="s">
        <v>10950</v>
      </c>
      <c r="C920" t="s">
        <v>9378</v>
      </c>
      <c r="D920" t="s">
        <v>9378</v>
      </c>
      <c r="E920" t="s">
        <v>9353</v>
      </c>
    </row>
    <row r="921" spans="1:5" hidden="1">
      <c r="A921" t="s">
        <v>10951</v>
      </c>
      <c r="B921" t="s">
        <v>10952</v>
      </c>
      <c r="C921" t="s">
        <v>9378</v>
      </c>
      <c r="D921" t="s">
        <v>9378</v>
      </c>
      <c r="E921" t="s">
        <v>9353</v>
      </c>
    </row>
    <row r="922" spans="1:5" hidden="1">
      <c r="A922" t="s">
        <v>10953</v>
      </c>
      <c r="B922" t="s">
        <v>10954</v>
      </c>
      <c r="C922" t="s">
        <v>9378</v>
      </c>
      <c r="D922" t="s">
        <v>9378</v>
      </c>
      <c r="E922" t="s">
        <v>9353</v>
      </c>
    </row>
    <row r="923" spans="1:5" hidden="1">
      <c r="A923" t="s">
        <v>10955</v>
      </c>
      <c r="B923" t="s">
        <v>10956</v>
      </c>
      <c r="C923" t="s">
        <v>9378</v>
      </c>
      <c r="D923" t="s">
        <v>9378</v>
      </c>
      <c r="E923" t="s">
        <v>9353</v>
      </c>
    </row>
    <row r="924" spans="1:5" hidden="1">
      <c r="A924" t="s">
        <v>67</v>
      </c>
      <c r="B924" t="s">
        <v>68</v>
      </c>
      <c r="C924" t="s">
        <v>9378</v>
      </c>
      <c r="D924" t="s">
        <v>9378</v>
      </c>
      <c r="E924" t="s">
        <v>9353</v>
      </c>
    </row>
    <row r="925" spans="1:5" hidden="1">
      <c r="A925" t="s">
        <v>10957</v>
      </c>
      <c r="B925" t="s">
        <v>10958</v>
      </c>
      <c r="C925" t="s">
        <v>9378</v>
      </c>
      <c r="D925" t="s">
        <v>9378</v>
      </c>
      <c r="E925" t="s">
        <v>9353</v>
      </c>
    </row>
    <row r="926" spans="1:5" hidden="1">
      <c r="A926" t="s">
        <v>10959</v>
      </c>
      <c r="B926" t="s">
        <v>10960</v>
      </c>
      <c r="C926" t="s">
        <v>9378</v>
      </c>
      <c r="D926" t="s">
        <v>9378</v>
      </c>
      <c r="E926" t="s">
        <v>9353</v>
      </c>
    </row>
    <row r="927" spans="1:5" hidden="1">
      <c r="A927" t="s">
        <v>10961</v>
      </c>
      <c r="B927" t="s">
        <v>10962</v>
      </c>
      <c r="C927" t="s">
        <v>9378</v>
      </c>
      <c r="D927" t="s">
        <v>9378</v>
      </c>
      <c r="E927" t="s">
        <v>9353</v>
      </c>
    </row>
    <row r="928" spans="1:5" hidden="1">
      <c r="A928" t="s">
        <v>10963</v>
      </c>
      <c r="B928" t="s">
        <v>10964</v>
      </c>
      <c r="C928" t="s">
        <v>9378</v>
      </c>
      <c r="D928" t="s">
        <v>9378</v>
      </c>
      <c r="E928" t="s">
        <v>9353</v>
      </c>
    </row>
    <row r="929" spans="1:5" hidden="1">
      <c r="A929" t="s">
        <v>10965</v>
      </c>
      <c r="B929" t="s">
        <v>10966</v>
      </c>
      <c r="C929" t="s">
        <v>9378</v>
      </c>
      <c r="D929" t="s">
        <v>9378</v>
      </c>
      <c r="E929" t="s">
        <v>9353</v>
      </c>
    </row>
    <row r="930" spans="1:5" hidden="1">
      <c r="A930" t="s">
        <v>10967</v>
      </c>
      <c r="B930" t="s">
        <v>10968</v>
      </c>
      <c r="C930" t="s">
        <v>9378</v>
      </c>
      <c r="D930" t="s">
        <v>9378</v>
      </c>
      <c r="E930" t="s">
        <v>9353</v>
      </c>
    </row>
    <row r="931" spans="1:5" hidden="1">
      <c r="A931" t="s">
        <v>10969</v>
      </c>
      <c r="B931" t="s">
        <v>10970</v>
      </c>
      <c r="C931" t="s">
        <v>9378</v>
      </c>
      <c r="D931" t="s">
        <v>9378</v>
      </c>
      <c r="E931" t="s">
        <v>9353</v>
      </c>
    </row>
    <row r="932" spans="1:5" hidden="1">
      <c r="A932" t="s">
        <v>10971</v>
      </c>
      <c r="B932" t="s">
        <v>10972</v>
      </c>
      <c r="C932" t="s">
        <v>9378</v>
      </c>
      <c r="D932" t="s">
        <v>9378</v>
      </c>
      <c r="E932" t="s">
        <v>9353</v>
      </c>
    </row>
    <row r="933" spans="1:5" hidden="1">
      <c r="A933" t="s">
        <v>10973</v>
      </c>
      <c r="B933" t="s">
        <v>10974</v>
      </c>
      <c r="C933" t="s">
        <v>9378</v>
      </c>
      <c r="D933" t="s">
        <v>9378</v>
      </c>
      <c r="E933" t="s">
        <v>9353</v>
      </c>
    </row>
    <row r="934" spans="1:5" hidden="1">
      <c r="A934" t="s">
        <v>10975</v>
      </c>
      <c r="B934" t="s">
        <v>10976</v>
      </c>
      <c r="C934" t="s">
        <v>9378</v>
      </c>
      <c r="D934" t="s">
        <v>9378</v>
      </c>
      <c r="E934" t="s">
        <v>9353</v>
      </c>
    </row>
    <row r="935" spans="1:5" hidden="1">
      <c r="A935" t="s">
        <v>10977</v>
      </c>
      <c r="B935" t="s">
        <v>10978</v>
      </c>
      <c r="C935" t="s">
        <v>9378</v>
      </c>
      <c r="D935" t="s">
        <v>9378</v>
      </c>
      <c r="E935" t="s">
        <v>9353</v>
      </c>
    </row>
    <row r="936" spans="1:5" hidden="1">
      <c r="A936" t="s">
        <v>10979</v>
      </c>
      <c r="B936" t="s">
        <v>10980</v>
      </c>
      <c r="C936" t="s">
        <v>9378</v>
      </c>
      <c r="D936" t="s">
        <v>9378</v>
      </c>
      <c r="E936" t="s">
        <v>9353</v>
      </c>
    </row>
    <row r="937" spans="1:5" hidden="1">
      <c r="A937" t="s">
        <v>10981</v>
      </c>
      <c r="B937" t="s">
        <v>10982</v>
      </c>
      <c r="C937" t="s">
        <v>9378</v>
      </c>
      <c r="D937" t="s">
        <v>9378</v>
      </c>
      <c r="E937" t="s">
        <v>9353</v>
      </c>
    </row>
    <row r="938" spans="1:5" hidden="1">
      <c r="A938" t="s">
        <v>10983</v>
      </c>
      <c r="B938" t="s">
        <v>10984</v>
      </c>
      <c r="C938" t="s">
        <v>9378</v>
      </c>
      <c r="D938" t="s">
        <v>9378</v>
      </c>
      <c r="E938" t="s">
        <v>9353</v>
      </c>
    </row>
    <row r="939" spans="1:5" hidden="1">
      <c r="A939" t="s">
        <v>10985</v>
      </c>
      <c r="B939" t="s">
        <v>10986</v>
      </c>
      <c r="C939" t="s">
        <v>9378</v>
      </c>
      <c r="D939" t="s">
        <v>9378</v>
      </c>
      <c r="E939" t="s">
        <v>9353</v>
      </c>
    </row>
    <row r="940" spans="1:5" hidden="1">
      <c r="A940" t="s">
        <v>10987</v>
      </c>
      <c r="B940" t="s">
        <v>10988</v>
      </c>
      <c r="C940" t="s">
        <v>9378</v>
      </c>
      <c r="D940" t="s">
        <v>9378</v>
      </c>
      <c r="E940" t="s">
        <v>9353</v>
      </c>
    </row>
    <row r="941" spans="1:5" hidden="1">
      <c r="A941" t="s">
        <v>10989</v>
      </c>
      <c r="B941" t="s">
        <v>10990</v>
      </c>
      <c r="C941" t="s">
        <v>9378</v>
      </c>
      <c r="D941" t="s">
        <v>9378</v>
      </c>
      <c r="E941" t="s">
        <v>9353</v>
      </c>
    </row>
    <row r="942" spans="1:5" hidden="1">
      <c r="A942" t="s">
        <v>10991</v>
      </c>
      <c r="B942" t="s">
        <v>10992</v>
      </c>
      <c r="C942" t="s">
        <v>9378</v>
      </c>
      <c r="D942" t="s">
        <v>9378</v>
      </c>
      <c r="E942" t="s">
        <v>9353</v>
      </c>
    </row>
    <row r="943" spans="1:5" hidden="1">
      <c r="A943" t="s">
        <v>10993</v>
      </c>
      <c r="B943" t="s">
        <v>10994</v>
      </c>
      <c r="C943" t="s">
        <v>9378</v>
      </c>
      <c r="D943" t="s">
        <v>9378</v>
      </c>
      <c r="E943" t="s">
        <v>9353</v>
      </c>
    </row>
    <row r="944" spans="1:5" hidden="1">
      <c r="A944" t="s">
        <v>10995</v>
      </c>
      <c r="B944" t="s">
        <v>10996</v>
      </c>
      <c r="C944" t="s">
        <v>9378</v>
      </c>
      <c r="D944" t="s">
        <v>9378</v>
      </c>
      <c r="E944" t="s">
        <v>9353</v>
      </c>
    </row>
    <row r="945" spans="1:10" hidden="1">
      <c r="A945" t="s">
        <v>10997</v>
      </c>
      <c r="B945" t="s">
        <v>10998</v>
      </c>
      <c r="C945" t="s">
        <v>9378</v>
      </c>
      <c r="D945" t="s">
        <v>9378</v>
      </c>
      <c r="E945" t="s">
        <v>9353</v>
      </c>
    </row>
    <row r="946" spans="1:10" hidden="1">
      <c r="A946" t="s">
        <v>10999</v>
      </c>
      <c r="B946" t="s">
        <v>11000</v>
      </c>
      <c r="C946" t="s">
        <v>9378</v>
      </c>
      <c r="D946" t="s">
        <v>9378</v>
      </c>
      <c r="E946" t="s">
        <v>9353</v>
      </c>
    </row>
    <row r="947" spans="1:10" hidden="1">
      <c r="A947" t="s">
        <v>11001</v>
      </c>
      <c r="B947" t="s">
        <v>11002</v>
      </c>
      <c r="C947" t="s">
        <v>9378</v>
      </c>
      <c r="D947" t="s">
        <v>9378</v>
      </c>
      <c r="E947" t="s">
        <v>9353</v>
      </c>
    </row>
    <row r="948" spans="1:10" ht="18.75" hidden="1">
      <c r="A948" t="s">
        <v>11003</v>
      </c>
      <c r="B948" t="s">
        <v>11004</v>
      </c>
      <c r="C948" t="s">
        <v>9378</v>
      </c>
      <c r="D948" t="s">
        <v>9378</v>
      </c>
      <c r="E948" t="s">
        <v>9353</v>
      </c>
      <c r="J948" s="34"/>
    </row>
    <row r="949" spans="1:10" hidden="1">
      <c r="A949" t="s">
        <v>11005</v>
      </c>
      <c r="B949" t="s">
        <v>11006</v>
      </c>
      <c r="C949" t="s">
        <v>9378</v>
      </c>
      <c r="D949" t="s">
        <v>9378</v>
      </c>
      <c r="E949" t="s">
        <v>9378</v>
      </c>
    </row>
    <row r="950" spans="1:10" hidden="1">
      <c r="A950" t="s">
        <v>11007</v>
      </c>
      <c r="B950" t="s">
        <v>11008</v>
      </c>
      <c r="C950" t="s">
        <v>9378</v>
      </c>
      <c r="D950" t="s">
        <v>9378</v>
      </c>
      <c r="E950" t="s">
        <v>9378</v>
      </c>
    </row>
    <row r="951" spans="1:10" hidden="1">
      <c r="A951" t="s">
        <v>11009</v>
      </c>
      <c r="B951" t="s">
        <v>11010</v>
      </c>
      <c r="C951" t="s">
        <v>9378</v>
      </c>
      <c r="D951" t="s">
        <v>9378</v>
      </c>
      <c r="E951" t="s">
        <v>9378</v>
      </c>
    </row>
    <row r="952" spans="1:10" hidden="1">
      <c r="A952" t="s">
        <v>11011</v>
      </c>
      <c r="B952" t="s">
        <v>11012</v>
      </c>
      <c r="C952" t="s">
        <v>9378</v>
      </c>
      <c r="D952" t="s">
        <v>9378</v>
      </c>
      <c r="E952" t="s">
        <v>9378</v>
      </c>
    </row>
    <row r="953" spans="1:10" hidden="1">
      <c r="A953" t="s">
        <v>11013</v>
      </c>
      <c r="B953" t="s">
        <v>11014</v>
      </c>
      <c r="C953" t="s">
        <v>9378</v>
      </c>
      <c r="D953" t="s">
        <v>9378</v>
      </c>
      <c r="E953" t="s">
        <v>9378</v>
      </c>
    </row>
    <row r="954" spans="1:10" hidden="1">
      <c r="A954" t="s">
        <v>11015</v>
      </c>
      <c r="B954" t="s">
        <v>11016</v>
      </c>
      <c r="C954" t="s">
        <v>9378</v>
      </c>
      <c r="D954" t="s">
        <v>9378</v>
      </c>
      <c r="E954" t="s">
        <v>9405</v>
      </c>
    </row>
    <row r="955" spans="1:10" hidden="1">
      <c r="A955" t="s">
        <v>11017</v>
      </c>
      <c r="B955" t="s">
        <v>11018</v>
      </c>
      <c r="C955" t="s">
        <v>9378</v>
      </c>
      <c r="D955" t="s">
        <v>9542</v>
      </c>
      <c r="E955" t="s">
        <v>9378</v>
      </c>
    </row>
    <row r="956" spans="1:10" hidden="1">
      <c r="A956" t="s">
        <v>11019</v>
      </c>
      <c r="B956" t="s">
        <v>11020</v>
      </c>
      <c r="C956" t="s">
        <v>9378</v>
      </c>
      <c r="D956" t="s">
        <v>9378</v>
      </c>
      <c r="E956" t="s">
        <v>9378</v>
      </c>
    </row>
    <row r="957" spans="1:10" hidden="1">
      <c r="A957" t="s">
        <v>11021</v>
      </c>
      <c r="B957" t="s">
        <v>11022</v>
      </c>
      <c r="C957" t="s">
        <v>9378</v>
      </c>
      <c r="D957" t="s">
        <v>9378</v>
      </c>
      <c r="E957" t="s">
        <v>9378</v>
      </c>
    </row>
    <row r="958" spans="1:10" hidden="1">
      <c r="A958" t="s">
        <v>11023</v>
      </c>
      <c r="B958" t="s">
        <v>11024</v>
      </c>
      <c r="C958" t="s">
        <v>9378</v>
      </c>
      <c r="D958" t="s">
        <v>9378</v>
      </c>
      <c r="E958" t="s">
        <v>9378</v>
      </c>
    </row>
    <row r="959" spans="1:10">
      <c r="A959" s="81" t="s">
        <v>11025</v>
      </c>
      <c r="B959" t="s">
        <v>11026</v>
      </c>
      <c r="C959" t="s">
        <v>9369</v>
      </c>
      <c r="D959" t="s">
        <v>9369</v>
      </c>
      <c r="E959" t="s">
        <v>9369</v>
      </c>
    </row>
    <row r="960" spans="1:10" hidden="1">
      <c r="A960" t="s">
        <v>11027</v>
      </c>
      <c r="B960" t="s">
        <v>11028</v>
      </c>
      <c r="C960" t="s">
        <v>9378</v>
      </c>
      <c r="D960" t="s">
        <v>9378</v>
      </c>
      <c r="E960" t="s">
        <v>9378</v>
      </c>
    </row>
    <row r="961" spans="1:5" hidden="1">
      <c r="A961" t="s">
        <v>11029</v>
      </c>
      <c r="B961" t="s">
        <v>11030</v>
      </c>
      <c r="C961" t="s">
        <v>9378</v>
      </c>
      <c r="D961" t="s">
        <v>9378</v>
      </c>
      <c r="E961" t="s">
        <v>9405</v>
      </c>
    </row>
    <row r="962" spans="1:5" hidden="1">
      <c r="A962" t="s">
        <v>11031</v>
      </c>
      <c r="B962" t="s">
        <v>11032</v>
      </c>
      <c r="C962" t="s">
        <v>9378</v>
      </c>
      <c r="D962" t="s">
        <v>9378</v>
      </c>
      <c r="E962" t="s">
        <v>9405</v>
      </c>
    </row>
    <row r="963" spans="1:5" hidden="1">
      <c r="A963" t="s">
        <v>11033</v>
      </c>
      <c r="B963" t="s">
        <v>11034</v>
      </c>
      <c r="C963" t="s">
        <v>9378</v>
      </c>
      <c r="D963" t="s">
        <v>9378</v>
      </c>
      <c r="E963" t="s">
        <v>9405</v>
      </c>
    </row>
    <row r="964" spans="1:5" hidden="1">
      <c r="A964" t="s">
        <v>11035</v>
      </c>
      <c r="B964" t="s">
        <v>11036</v>
      </c>
      <c r="C964" t="s">
        <v>9378</v>
      </c>
      <c r="D964" t="s">
        <v>9378</v>
      </c>
      <c r="E964" t="s">
        <v>9405</v>
      </c>
    </row>
    <row r="965" spans="1:5" hidden="1">
      <c r="A965" t="s">
        <v>11037</v>
      </c>
      <c r="B965" t="s">
        <v>11038</v>
      </c>
      <c r="C965" t="s">
        <v>9378</v>
      </c>
      <c r="D965" t="s">
        <v>9378</v>
      </c>
      <c r="E965" t="s">
        <v>9405</v>
      </c>
    </row>
    <row r="966" spans="1:5" hidden="1">
      <c r="A966" t="s">
        <v>11039</v>
      </c>
      <c r="B966" t="s">
        <v>11040</v>
      </c>
      <c r="C966" t="s">
        <v>9378</v>
      </c>
      <c r="D966" t="s">
        <v>9378</v>
      </c>
      <c r="E966" t="s">
        <v>9378</v>
      </c>
    </row>
    <row r="967" spans="1:5" hidden="1">
      <c r="A967" t="s">
        <v>11041</v>
      </c>
      <c r="B967" t="s">
        <v>11042</v>
      </c>
      <c r="C967" t="s">
        <v>9378</v>
      </c>
      <c r="D967" t="s">
        <v>9378</v>
      </c>
      <c r="E967" t="s">
        <v>9378</v>
      </c>
    </row>
    <row r="968" spans="1:5">
      <c r="A968" s="81" t="s">
        <v>483</v>
      </c>
      <c r="B968" t="s">
        <v>484</v>
      </c>
      <c r="C968" t="s">
        <v>9369</v>
      </c>
      <c r="D968" t="s">
        <v>9369</v>
      </c>
      <c r="E968" t="s">
        <v>9369</v>
      </c>
    </row>
    <row r="969" spans="1:5" hidden="1">
      <c r="A969" t="s">
        <v>11043</v>
      </c>
      <c r="B969" t="s">
        <v>11044</v>
      </c>
      <c r="C969" t="s">
        <v>9378</v>
      </c>
      <c r="D969" t="s">
        <v>9378</v>
      </c>
      <c r="E969" t="s">
        <v>9378</v>
      </c>
    </row>
    <row r="970" spans="1:5" hidden="1">
      <c r="A970" t="s">
        <v>11045</v>
      </c>
      <c r="B970" t="s">
        <v>11046</v>
      </c>
      <c r="C970" t="s">
        <v>9378</v>
      </c>
      <c r="D970" t="s">
        <v>9378</v>
      </c>
      <c r="E970" t="s">
        <v>9378</v>
      </c>
    </row>
    <row r="971" spans="1:5" hidden="1">
      <c r="A971" t="s">
        <v>11047</v>
      </c>
      <c r="B971" t="s">
        <v>11048</v>
      </c>
      <c r="C971" t="s">
        <v>9378</v>
      </c>
      <c r="D971" t="s">
        <v>9378</v>
      </c>
      <c r="E971" t="s">
        <v>9378</v>
      </c>
    </row>
    <row r="972" spans="1:5" hidden="1">
      <c r="A972" t="s">
        <v>11049</v>
      </c>
      <c r="B972" t="s">
        <v>11050</v>
      </c>
      <c r="C972" t="s">
        <v>9378</v>
      </c>
      <c r="D972" t="s">
        <v>9378</v>
      </c>
      <c r="E972" t="s">
        <v>9378</v>
      </c>
    </row>
    <row r="973" spans="1:5">
      <c r="A973" s="81" t="s">
        <v>11051</v>
      </c>
      <c r="B973" t="s">
        <v>11052</v>
      </c>
      <c r="C973" t="s">
        <v>9369</v>
      </c>
      <c r="D973" t="s">
        <v>9369</v>
      </c>
      <c r="E973" t="s">
        <v>9369</v>
      </c>
    </row>
    <row r="974" spans="1:5" hidden="1">
      <c r="A974" t="s">
        <v>11053</v>
      </c>
      <c r="B974" t="s">
        <v>11054</v>
      </c>
      <c r="C974" t="s">
        <v>9378</v>
      </c>
      <c r="D974" t="s">
        <v>9378</v>
      </c>
      <c r="E974" t="s">
        <v>9378</v>
      </c>
    </row>
    <row r="975" spans="1:5">
      <c r="A975" s="81" t="s">
        <v>12471</v>
      </c>
      <c r="B975" t="s">
        <v>12467</v>
      </c>
      <c r="C975" t="s">
        <v>9369</v>
      </c>
      <c r="D975" t="s">
        <v>9369</v>
      </c>
      <c r="E975" t="s">
        <v>9369</v>
      </c>
    </row>
    <row r="976" spans="1:5">
      <c r="A976" s="81" t="s">
        <v>12472</v>
      </c>
      <c r="B976" t="s">
        <v>12468</v>
      </c>
      <c r="C976" t="s">
        <v>9369</v>
      </c>
      <c r="D976" t="s">
        <v>9369</v>
      </c>
      <c r="E976" t="s">
        <v>9369</v>
      </c>
    </row>
    <row r="977" spans="1:5">
      <c r="A977" s="85" t="s">
        <v>12717</v>
      </c>
      <c r="B977" t="s">
        <v>12476</v>
      </c>
      <c r="C977" t="s">
        <v>9369</v>
      </c>
      <c r="D977" t="s">
        <v>9369</v>
      </c>
      <c r="E977" t="s">
        <v>9369</v>
      </c>
    </row>
    <row r="978" spans="1:5">
      <c r="A978" s="81" t="s">
        <v>12828</v>
      </c>
      <c r="B978" t="s">
        <v>12825</v>
      </c>
      <c r="C978" t="s">
        <v>9369</v>
      </c>
      <c r="D978" t="s">
        <v>9369</v>
      </c>
      <c r="E978" t="s">
        <v>9369</v>
      </c>
    </row>
    <row r="979" spans="1:5">
      <c r="A979" s="81" t="s">
        <v>13413</v>
      </c>
      <c r="B979" t="s">
        <v>13414</v>
      </c>
      <c r="C979" t="s">
        <v>9369</v>
      </c>
      <c r="D979" t="s">
        <v>9369</v>
      </c>
      <c r="E979" t="s">
        <v>9369</v>
      </c>
    </row>
    <row r="980" spans="1:5">
      <c r="A980" s="82" t="s">
        <v>13524</v>
      </c>
      <c r="B980" s="84" t="s">
        <v>13521</v>
      </c>
      <c r="C980" t="s">
        <v>9369</v>
      </c>
      <c r="D980" t="s">
        <v>9369</v>
      </c>
      <c r="E980" t="s">
        <v>9369</v>
      </c>
    </row>
    <row r="981" spans="1:5">
      <c r="A981" s="82" t="s">
        <v>13525</v>
      </c>
      <c r="B981" s="84" t="s">
        <v>13522</v>
      </c>
      <c r="C981" t="s">
        <v>9369</v>
      </c>
      <c r="D981" t="s">
        <v>9369</v>
      </c>
      <c r="E981" t="s">
        <v>9369</v>
      </c>
    </row>
    <row r="982" spans="1:5">
      <c r="A982" s="82" t="s">
        <v>13526</v>
      </c>
      <c r="B982" s="79" t="s">
        <v>13523</v>
      </c>
      <c r="C982" t="s">
        <v>9369</v>
      </c>
      <c r="D982" t="s">
        <v>9369</v>
      </c>
      <c r="E982" t="s">
        <v>9369</v>
      </c>
    </row>
  </sheetData>
  <conditionalFormatting sqref="A1:A1048576">
    <cfRule type="duplicateValues" dxfId="17" priority="1"/>
  </conditionalFormatting>
  <conditionalFormatting sqref="A977">
    <cfRule type="duplicateValues" dxfId="16" priority="2"/>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E237"/>
  <sheetViews>
    <sheetView topLeftCell="A220" zoomScale="85" zoomScaleNormal="85" workbookViewId="0">
      <selection activeCell="C244" sqref="C244"/>
    </sheetView>
  </sheetViews>
  <sheetFormatPr defaultColWidth="9" defaultRowHeight="18.75"/>
  <cols>
    <col min="1" max="1" width="23" style="7" customWidth="1"/>
    <col min="2" max="2" width="15.7109375" style="7" bestFit="1" customWidth="1"/>
    <col min="3" max="3" width="94.140625" style="7" bestFit="1" customWidth="1"/>
    <col min="4" max="4" width="17.85546875" style="7" customWidth="1"/>
    <col min="5" max="5" width="27.42578125" style="7" customWidth="1"/>
    <col min="6" max="16384" width="9" style="7"/>
  </cols>
  <sheetData>
    <row r="1" spans="1:5">
      <c r="A1" s="7" t="s">
        <v>9348</v>
      </c>
      <c r="B1" s="7" t="s">
        <v>486</v>
      </c>
      <c r="C1" s="7" t="s">
        <v>487</v>
      </c>
      <c r="D1" s="8" t="s">
        <v>0</v>
      </c>
      <c r="E1" s="7" t="s">
        <v>1</v>
      </c>
    </row>
    <row r="2" spans="1:5">
      <c r="A2" s="7" t="s">
        <v>2</v>
      </c>
      <c r="B2" s="20" t="s">
        <v>3</v>
      </c>
      <c r="C2" s="7" t="s">
        <v>4</v>
      </c>
      <c r="D2" s="8">
        <v>26095</v>
      </c>
      <c r="E2" s="7" t="s">
        <v>5</v>
      </c>
    </row>
    <row r="3" spans="1:5">
      <c r="A3" s="7" t="s">
        <v>6</v>
      </c>
      <c r="B3" s="20" t="s">
        <v>7</v>
      </c>
      <c r="C3" s="7" t="s">
        <v>8</v>
      </c>
      <c r="D3" s="8">
        <v>29645</v>
      </c>
      <c r="E3" s="7" t="s">
        <v>5</v>
      </c>
    </row>
    <row r="4" spans="1:5">
      <c r="A4" s="7" t="s">
        <v>9</v>
      </c>
      <c r="B4" s="20" t="s">
        <v>10</v>
      </c>
      <c r="C4" s="7" t="s">
        <v>11</v>
      </c>
      <c r="D4" s="8">
        <v>29645</v>
      </c>
      <c r="E4" s="7" t="s">
        <v>5</v>
      </c>
    </row>
    <row r="5" spans="1:5">
      <c r="A5" s="7" t="s">
        <v>12</v>
      </c>
      <c r="B5" s="20" t="s">
        <v>13</v>
      </c>
      <c r="C5" s="7" t="s">
        <v>14</v>
      </c>
      <c r="D5" s="8">
        <v>29568</v>
      </c>
      <c r="E5" s="7" t="s">
        <v>5</v>
      </c>
    </row>
    <row r="6" spans="1:5">
      <c r="A6" s="7" t="s">
        <v>15</v>
      </c>
      <c r="B6" s="20" t="s">
        <v>16</v>
      </c>
      <c r="C6" s="7" t="s">
        <v>17</v>
      </c>
      <c r="D6" s="8">
        <v>27600</v>
      </c>
      <c r="E6" s="7" t="s">
        <v>5</v>
      </c>
    </row>
    <row r="7" spans="1:5">
      <c r="A7" s="7" t="s">
        <v>18</v>
      </c>
      <c r="B7" s="20" t="s">
        <v>19</v>
      </c>
      <c r="C7" s="7" t="s">
        <v>20</v>
      </c>
      <c r="D7" s="8">
        <v>29568</v>
      </c>
      <c r="E7" s="7" t="s">
        <v>5</v>
      </c>
    </row>
    <row r="8" spans="1:5">
      <c r="A8" s="7" t="s">
        <v>21</v>
      </c>
      <c r="B8" s="20" t="s">
        <v>22</v>
      </c>
      <c r="C8" s="7" t="s">
        <v>23</v>
      </c>
      <c r="D8" s="8">
        <v>29568</v>
      </c>
      <c r="E8" s="7" t="s">
        <v>5</v>
      </c>
    </row>
    <row r="9" spans="1:5">
      <c r="A9" s="7" t="s">
        <v>24</v>
      </c>
      <c r="B9" s="20" t="s">
        <v>25</v>
      </c>
      <c r="C9" s="7" t="s">
        <v>26</v>
      </c>
      <c r="D9" s="8">
        <v>18768</v>
      </c>
      <c r="E9" s="7" t="s">
        <v>5</v>
      </c>
    </row>
    <row r="10" spans="1:5">
      <c r="A10" s="7" t="s">
        <v>27</v>
      </c>
      <c r="B10" s="20" t="s">
        <v>28</v>
      </c>
      <c r="C10" s="7" t="s">
        <v>29</v>
      </c>
      <c r="D10" s="8">
        <v>19571</v>
      </c>
      <c r="E10" s="7" t="s">
        <v>5</v>
      </c>
    </row>
    <row r="11" spans="1:5">
      <c r="A11" s="7" t="s">
        <v>30</v>
      </c>
      <c r="B11" s="20" t="s">
        <v>31</v>
      </c>
      <c r="C11" s="7" t="s">
        <v>32</v>
      </c>
      <c r="D11" s="8">
        <v>24960</v>
      </c>
      <c r="E11" s="7" t="s">
        <v>5</v>
      </c>
    </row>
    <row r="12" spans="1:5">
      <c r="A12" s="7" t="s">
        <v>33</v>
      </c>
      <c r="B12" s="20" t="s">
        <v>34</v>
      </c>
      <c r="C12" s="7" t="s">
        <v>35</v>
      </c>
      <c r="D12" s="8">
        <v>20064</v>
      </c>
      <c r="E12" s="7" t="s">
        <v>5</v>
      </c>
    </row>
    <row r="13" spans="1:5">
      <c r="A13" s="7" t="s">
        <v>36</v>
      </c>
      <c r="B13" s="20" t="s">
        <v>37</v>
      </c>
      <c r="C13" s="7" t="s">
        <v>38</v>
      </c>
      <c r="D13" s="8">
        <v>24960</v>
      </c>
      <c r="E13" s="7" t="s">
        <v>5</v>
      </c>
    </row>
    <row r="14" spans="1:5">
      <c r="A14" s="7" t="s">
        <v>39</v>
      </c>
      <c r="B14" s="20" t="s">
        <v>40</v>
      </c>
      <c r="C14" s="7" t="s">
        <v>41</v>
      </c>
      <c r="D14" s="8">
        <v>24960</v>
      </c>
      <c r="E14" s="7" t="s">
        <v>5</v>
      </c>
    </row>
    <row r="15" spans="1:5">
      <c r="A15" s="7" t="s">
        <v>42</v>
      </c>
      <c r="B15" s="20" t="s">
        <v>43</v>
      </c>
      <c r="C15" s="7" t="s">
        <v>44</v>
      </c>
      <c r="D15" s="8">
        <v>43718</v>
      </c>
      <c r="E15" s="7" t="s">
        <v>5</v>
      </c>
    </row>
    <row r="16" spans="1:5">
      <c r="A16" s="7" t="s">
        <v>45</v>
      </c>
      <c r="B16" s="20" t="s">
        <v>46</v>
      </c>
      <c r="C16" s="7" t="s">
        <v>47</v>
      </c>
      <c r="D16" s="8">
        <v>27216</v>
      </c>
      <c r="E16" s="7" t="s">
        <v>5</v>
      </c>
    </row>
    <row r="17" spans="1:5">
      <c r="A17" s="7" t="s">
        <v>48</v>
      </c>
      <c r="B17" s="20" t="s">
        <v>49</v>
      </c>
      <c r="C17" s="7" t="s">
        <v>50</v>
      </c>
      <c r="D17" s="8">
        <v>48175</v>
      </c>
      <c r="E17" s="7" t="s">
        <v>5</v>
      </c>
    </row>
    <row r="18" spans="1:5">
      <c r="A18" s="7" t="s">
        <v>51</v>
      </c>
      <c r="B18" s="20" t="s">
        <v>52</v>
      </c>
      <c r="C18" s="7" t="s">
        <v>53</v>
      </c>
      <c r="D18" s="8">
        <v>45120</v>
      </c>
      <c r="E18" s="7" t="s">
        <v>5</v>
      </c>
    </row>
    <row r="19" spans="1:5">
      <c r="A19" s="7" t="s">
        <v>54</v>
      </c>
      <c r="B19" s="20" t="s">
        <v>55</v>
      </c>
      <c r="C19" s="7" t="s">
        <v>56</v>
      </c>
      <c r="D19" s="8">
        <v>27216</v>
      </c>
      <c r="E19" s="7" t="s">
        <v>5</v>
      </c>
    </row>
    <row r="20" spans="1:5">
      <c r="A20" s="7" t="s">
        <v>57</v>
      </c>
      <c r="B20" s="20" t="s">
        <v>58</v>
      </c>
      <c r="C20" s="7" t="s">
        <v>59</v>
      </c>
      <c r="D20" s="8">
        <v>24960</v>
      </c>
      <c r="E20" s="7" t="s">
        <v>5</v>
      </c>
    </row>
    <row r="21" spans="1:5">
      <c r="A21" s="7" t="s">
        <v>60</v>
      </c>
      <c r="B21" s="20" t="s">
        <v>61</v>
      </c>
      <c r="C21" s="7" t="s">
        <v>62</v>
      </c>
      <c r="D21" s="8">
        <v>24960</v>
      </c>
      <c r="E21" s="7" t="s">
        <v>5</v>
      </c>
    </row>
    <row r="22" spans="1:5">
      <c r="A22" s="7" t="s">
        <v>63</v>
      </c>
      <c r="B22" s="20" t="s">
        <v>64</v>
      </c>
      <c r="C22" s="7" t="s">
        <v>65</v>
      </c>
      <c r="D22" s="8">
        <v>24096</v>
      </c>
      <c r="E22" s="7" t="s">
        <v>5</v>
      </c>
    </row>
    <row r="23" spans="1:5">
      <c r="A23" s="7" t="s">
        <v>66</v>
      </c>
      <c r="B23" s="20" t="s">
        <v>67</v>
      </c>
      <c r="C23" s="7" t="s">
        <v>68</v>
      </c>
      <c r="D23" s="8">
        <v>29236</v>
      </c>
      <c r="E23" s="7" t="s">
        <v>5</v>
      </c>
    </row>
    <row r="24" spans="1:5">
      <c r="A24" s="7" t="s">
        <v>69</v>
      </c>
      <c r="B24" s="20" t="s">
        <v>70</v>
      </c>
      <c r="C24" s="7" t="s">
        <v>71</v>
      </c>
      <c r="D24" s="8">
        <v>24096</v>
      </c>
      <c r="E24" s="7" t="s">
        <v>5</v>
      </c>
    </row>
    <row r="25" spans="1:5">
      <c r="A25" s="7" t="s">
        <v>72</v>
      </c>
      <c r="B25" s="20" t="s">
        <v>73</v>
      </c>
      <c r="C25" s="7" t="s">
        <v>74</v>
      </c>
      <c r="D25" s="8">
        <v>24960</v>
      </c>
      <c r="E25" s="7" t="s">
        <v>5</v>
      </c>
    </row>
    <row r="26" spans="1:5">
      <c r="A26" s="7" t="s">
        <v>75</v>
      </c>
      <c r="B26" s="20" t="s">
        <v>76</v>
      </c>
      <c r="C26" s="7" t="s">
        <v>77</v>
      </c>
      <c r="D26" s="8">
        <v>16934</v>
      </c>
      <c r="E26" s="7" t="s">
        <v>5</v>
      </c>
    </row>
    <row r="27" spans="1:5">
      <c r="A27" s="7" t="s">
        <v>78</v>
      </c>
      <c r="B27" s="20" t="s">
        <v>79</v>
      </c>
      <c r="C27" s="7" t="s">
        <v>80</v>
      </c>
      <c r="D27" s="8">
        <v>22075</v>
      </c>
      <c r="E27" s="7" t="s">
        <v>5</v>
      </c>
    </row>
    <row r="28" spans="1:5">
      <c r="A28" s="7" t="s">
        <v>81</v>
      </c>
      <c r="B28" s="20" t="s">
        <v>82</v>
      </c>
      <c r="C28" s="7" t="s">
        <v>83</v>
      </c>
      <c r="D28" s="8">
        <v>9878</v>
      </c>
      <c r="E28" s="7" t="s">
        <v>5</v>
      </c>
    </row>
    <row r="29" spans="1:5">
      <c r="A29" s="7" t="s">
        <v>84</v>
      </c>
      <c r="B29" s="20" t="s">
        <v>85</v>
      </c>
      <c r="C29" s="7" t="s">
        <v>86</v>
      </c>
      <c r="D29" s="8">
        <v>25200</v>
      </c>
      <c r="E29" s="7" t="s">
        <v>5</v>
      </c>
    </row>
    <row r="30" spans="1:5">
      <c r="A30" s="7" t="s">
        <v>87</v>
      </c>
      <c r="B30" s="20" t="s">
        <v>88</v>
      </c>
      <c r="C30" s="7" t="s">
        <v>89</v>
      </c>
      <c r="D30" s="8">
        <v>17376</v>
      </c>
      <c r="E30" s="7" t="s">
        <v>5</v>
      </c>
    </row>
    <row r="31" spans="1:5">
      <c r="A31" s="7" t="s">
        <v>90</v>
      </c>
      <c r="B31" s="20" t="s">
        <v>91</v>
      </c>
      <c r="C31" s="7" t="s">
        <v>92</v>
      </c>
      <c r="D31" s="8">
        <v>25091</v>
      </c>
      <c r="E31" s="7" t="s">
        <v>5</v>
      </c>
    </row>
    <row r="32" spans="1:5">
      <c r="A32" s="7" t="s">
        <v>93</v>
      </c>
      <c r="B32" s="20" t="s">
        <v>94</v>
      </c>
      <c r="C32" s="7" t="s">
        <v>95</v>
      </c>
      <c r="D32" s="8">
        <v>9475</v>
      </c>
      <c r="E32" s="7" t="s">
        <v>5</v>
      </c>
    </row>
    <row r="33" spans="1:5">
      <c r="A33" s="7" t="s">
        <v>96</v>
      </c>
      <c r="B33" s="20" t="s">
        <v>97</v>
      </c>
      <c r="C33" s="7" t="s">
        <v>98</v>
      </c>
      <c r="D33" s="8">
        <v>28325</v>
      </c>
      <c r="E33" s="7" t="s">
        <v>5</v>
      </c>
    </row>
    <row r="34" spans="1:5">
      <c r="A34" s="7" t="s">
        <v>99</v>
      </c>
      <c r="B34" s="20" t="s">
        <v>100</v>
      </c>
      <c r="C34" s="7" t="s">
        <v>101</v>
      </c>
      <c r="D34" s="8">
        <v>27216</v>
      </c>
      <c r="E34" s="7" t="s">
        <v>5</v>
      </c>
    </row>
    <row r="35" spans="1:5">
      <c r="A35" s="7" t="s">
        <v>102</v>
      </c>
      <c r="B35" s="20" t="s">
        <v>103</v>
      </c>
      <c r="C35" s="7" t="s">
        <v>104</v>
      </c>
      <c r="D35" s="8">
        <v>22075</v>
      </c>
      <c r="E35" s="7" t="s">
        <v>5</v>
      </c>
    </row>
    <row r="36" spans="1:5">
      <c r="A36" s="7" t="s">
        <v>105</v>
      </c>
      <c r="B36" s="20" t="s">
        <v>106</v>
      </c>
      <c r="C36" s="7" t="s">
        <v>107</v>
      </c>
      <c r="D36" s="8">
        <v>16632</v>
      </c>
      <c r="E36" s="7" t="s">
        <v>5</v>
      </c>
    </row>
    <row r="37" spans="1:5">
      <c r="A37" s="7" t="s">
        <v>108</v>
      </c>
      <c r="B37" s="20" t="s">
        <v>109</v>
      </c>
      <c r="C37" s="7" t="s">
        <v>110</v>
      </c>
      <c r="D37" s="8">
        <v>9475</v>
      </c>
      <c r="E37" s="7" t="s">
        <v>5</v>
      </c>
    </row>
    <row r="38" spans="1:5">
      <c r="A38" s="7" t="s">
        <v>111</v>
      </c>
      <c r="B38" s="20" t="s">
        <v>112</v>
      </c>
      <c r="C38" s="7" t="s">
        <v>113</v>
      </c>
      <c r="D38" s="8">
        <v>25704</v>
      </c>
      <c r="E38" s="7" t="s">
        <v>5</v>
      </c>
    </row>
    <row r="39" spans="1:5">
      <c r="A39" s="7" t="s">
        <v>114</v>
      </c>
      <c r="B39" s="20" t="s">
        <v>115</v>
      </c>
      <c r="C39" s="7" t="s">
        <v>116</v>
      </c>
      <c r="D39" s="8">
        <v>8568</v>
      </c>
      <c r="E39" s="7" t="s">
        <v>5</v>
      </c>
    </row>
    <row r="40" spans="1:5">
      <c r="A40" s="7" t="s">
        <v>117</v>
      </c>
      <c r="B40" s="20" t="s">
        <v>118</v>
      </c>
      <c r="C40" s="7" t="s">
        <v>119</v>
      </c>
      <c r="D40" s="8">
        <v>5846</v>
      </c>
      <c r="E40" s="7" t="s">
        <v>5</v>
      </c>
    </row>
    <row r="41" spans="1:5">
      <c r="A41" s="7" t="s">
        <v>120</v>
      </c>
      <c r="B41" s="20" t="s">
        <v>121</v>
      </c>
      <c r="C41" s="7" t="s">
        <v>122</v>
      </c>
      <c r="D41" s="8">
        <v>22691</v>
      </c>
      <c r="E41" s="7" t="s">
        <v>5</v>
      </c>
    </row>
    <row r="42" spans="1:5">
      <c r="A42" s="7" t="s">
        <v>123</v>
      </c>
      <c r="B42" s="20" t="s">
        <v>124</v>
      </c>
      <c r="C42" s="7" t="s">
        <v>125</v>
      </c>
      <c r="D42" s="8">
        <v>8870</v>
      </c>
      <c r="E42" s="7" t="s">
        <v>5</v>
      </c>
    </row>
    <row r="43" spans="1:5">
      <c r="A43" s="7" t="s">
        <v>126</v>
      </c>
      <c r="B43" s="20" t="s">
        <v>127</v>
      </c>
      <c r="C43" s="7" t="s">
        <v>128</v>
      </c>
      <c r="D43" s="8">
        <v>6754</v>
      </c>
      <c r="E43" s="7" t="s">
        <v>5</v>
      </c>
    </row>
    <row r="44" spans="1:5">
      <c r="A44" s="7" t="s">
        <v>129</v>
      </c>
      <c r="B44" s="20" t="s">
        <v>130</v>
      </c>
      <c r="C44" s="7" t="s">
        <v>131</v>
      </c>
      <c r="D44" s="8">
        <v>22075</v>
      </c>
      <c r="E44" s="7" t="s">
        <v>5</v>
      </c>
    </row>
    <row r="45" spans="1:5">
      <c r="A45" s="7" t="s">
        <v>132</v>
      </c>
      <c r="B45" s="20" t="s">
        <v>506</v>
      </c>
      <c r="C45" s="7" t="s">
        <v>507</v>
      </c>
      <c r="D45" s="8">
        <v>22752</v>
      </c>
      <c r="E45" s="7" t="s">
        <v>5</v>
      </c>
    </row>
    <row r="46" spans="1:5">
      <c r="A46" s="7" t="s">
        <v>135</v>
      </c>
      <c r="B46" s="20" t="s">
        <v>136</v>
      </c>
      <c r="C46" s="7" t="s">
        <v>137</v>
      </c>
      <c r="D46" s="8">
        <v>24873</v>
      </c>
      <c r="E46" s="7" t="s">
        <v>5</v>
      </c>
    </row>
    <row r="47" spans="1:5">
      <c r="A47" s="7" t="s">
        <v>138</v>
      </c>
      <c r="B47" s="20" t="s">
        <v>139</v>
      </c>
      <c r="C47" s="7" t="s">
        <v>140</v>
      </c>
      <c r="D47" s="8">
        <v>6982</v>
      </c>
      <c r="E47" s="7" t="s">
        <v>5</v>
      </c>
    </row>
    <row r="48" spans="1:5">
      <c r="A48" s="7" t="s">
        <v>141</v>
      </c>
      <c r="B48" s="20" t="s">
        <v>142</v>
      </c>
      <c r="C48" s="7" t="s">
        <v>143</v>
      </c>
      <c r="D48" s="8">
        <v>65520</v>
      </c>
      <c r="E48" s="7" t="s">
        <v>5</v>
      </c>
    </row>
    <row r="49" spans="1:5">
      <c r="A49" s="7" t="s">
        <v>144</v>
      </c>
      <c r="B49" s="20" t="s">
        <v>145</v>
      </c>
      <c r="C49" s="7" t="s">
        <v>146</v>
      </c>
      <c r="D49" s="8">
        <v>55440</v>
      </c>
      <c r="E49" s="7" t="s">
        <v>5</v>
      </c>
    </row>
    <row r="50" spans="1:5">
      <c r="A50" s="7" t="s">
        <v>147</v>
      </c>
      <c r="B50" s="20" t="s">
        <v>148</v>
      </c>
      <c r="C50" s="7" t="s">
        <v>149</v>
      </c>
      <c r="D50" s="8">
        <v>26880</v>
      </c>
      <c r="E50" s="7" t="s">
        <v>5</v>
      </c>
    </row>
    <row r="51" spans="1:5">
      <c r="A51" s="7" t="s">
        <v>150</v>
      </c>
      <c r="B51" s="20" t="s">
        <v>151</v>
      </c>
      <c r="C51" s="7" t="s">
        <v>152</v>
      </c>
      <c r="D51" s="8">
        <v>87072</v>
      </c>
      <c r="E51" s="7" t="s">
        <v>5</v>
      </c>
    </row>
    <row r="52" spans="1:5">
      <c r="A52" s="7" t="s">
        <v>153</v>
      </c>
      <c r="B52" s="20" t="s">
        <v>154</v>
      </c>
      <c r="C52" s="7" t="s">
        <v>155</v>
      </c>
      <c r="D52" s="8">
        <v>32832</v>
      </c>
      <c r="E52" s="7" t="s">
        <v>5</v>
      </c>
    </row>
    <row r="53" spans="1:5">
      <c r="A53" s="7" t="s">
        <v>156</v>
      </c>
      <c r="B53" s="20" t="s">
        <v>157</v>
      </c>
      <c r="C53" s="7" t="s">
        <v>158</v>
      </c>
      <c r="D53" s="8">
        <v>52224</v>
      </c>
      <c r="E53" s="7" t="s">
        <v>5</v>
      </c>
    </row>
    <row r="54" spans="1:5">
      <c r="A54" s="7" t="s">
        <v>159</v>
      </c>
      <c r="B54" s="20" t="s">
        <v>160</v>
      </c>
      <c r="C54" s="7" t="s">
        <v>161</v>
      </c>
      <c r="D54" s="8">
        <v>29568</v>
      </c>
      <c r="E54" s="7" t="s">
        <v>5</v>
      </c>
    </row>
    <row r="55" spans="1:5">
      <c r="A55" s="7" t="s">
        <v>162</v>
      </c>
      <c r="B55" s="20" t="s">
        <v>163</v>
      </c>
      <c r="C55" s="7" t="s">
        <v>164</v>
      </c>
      <c r="D55" s="8">
        <v>11345</v>
      </c>
      <c r="E55" s="7" t="s">
        <v>5</v>
      </c>
    </row>
    <row r="56" spans="1:5">
      <c r="A56" s="7" t="s">
        <v>165</v>
      </c>
      <c r="B56" s="20" t="s">
        <v>166</v>
      </c>
      <c r="C56" s="7" t="s">
        <v>167</v>
      </c>
      <c r="D56" s="8">
        <v>11345</v>
      </c>
      <c r="E56" s="7" t="s">
        <v>5</v>
      </c>
    </row>
    <row r="57" spans="1:5">
      <c r="A57" s="7" t="s">
        <v>168</v>
      </c>
      <c r="B57" s="20" t="s">
        <v>169</v>
      </c>
      <c r="C57" s="7" t="s">
        <v>170</v>
      </c>
      <c r="D57" s="8">
        <v>11345</v>
      </c>
      <c r="E57" s="7" t="s">
        <v>5</v>
      </c>
    </row>
    <row r="58" spans="1:5">
      <c r="A58" s="7" t="s">
        <v>171</v>
      </c>
      <c r="B58" s="20" t="s">
        <v>172</v>
      </c>
      <c r="C58" s="7" t="s">
        <v>173</v>
      </c>
      <c r="D58" s="8">
        <v>11597</v>
      </c>
      <c r="E58" s="7" t="s">
        <v>5</v>
      </c>
    </row>
    <row r="59" spans="1:5">
      <c r="A59" s="7" t="s">
        <v>174</v>
      </c>
      <c r="B59" s="20" t="s">
        <v>175</v>
      </c>
      <c r="C59" s="7" t="s">
        <v>176</v>
      </c>
      <c r="D59" s="8">
        <v>26400</v>
      </c>
      <c r="E59" s="7" t="s">
        <v>5</v>
      </c>
    </row>
    <row r="60" spans="1:5">
      <c r="A60" s="7" t="s">
        <v>177</v>
      </c>
      <c r="B60" s="20" t="s">
        <v>178</v>
      </c>
      <c r="C60" s="7" t="s">
        <v>179</v>
      </c>
      <c r="D60" s="8">
        <v>11597</v>
      </c>
      <c r="E60" s="7" t="s">
        <v>5</v>
      </c>
    </row>
    <row r="61" spans="1:5">
      <c r="A61" s="7" t="s">
        <v>180</v>
      </c>
      <c r="B61" s="20" t="s">
        <v>181</v>
      </c>
      <c r="C61" s="7" t="s">
        <v>182</v>
      </c>
      <c r="D61" s="8">
        <v>29568</v>
      </c>
      <c r="E61" s="7" t="s">
        <v>5</v>
      </c>
    </row>
    <row r="62" spans="1:5">
      <c r="A62" s="7" t="s">
        <v>2</v>
      </c>
      <c r="B62" s="20" t="s">
        <v>3</v>
      </c>
      <c r="C62" s="7" t="s">
        <v>4</v>
      </c>
      <c r="D62" s="8">
        <v>26095</v>
      </c>
      <c r="E62" s="7" t="s">
        <v>183</v>
      </c>
    </row>
    <row r="63" spans="1:5">
      <c r="A63" s="7" t="s">
        <v>6</v>
      </c>
      <c r="B63" s="20" t="s">
        <v>7</v>
      </c>
      <c r="C63" s="7" t="s">
        <v>8</v>
      </c>
      <c r="D63" s="8">
        <v>29645</v>
      </c>
      <c r="E63" s="7" t="s">
        <v>183</v>
      </c>
    </row>
    <row r="64" spans="1:5">
      <c r="A64" s="7" t="s">
        <v>9</v>
      </c>
      <c r="B64" s="20" t="s">
        <v>10</v>
      </c>
      <c r="C64" s="7" t="s">
        <v>11</v>
      </c>
      <c r="D64" s="8">
        <v>29645</v>
      </c>
      <c r="E64" s="7" t="s">
        <v>183</v>
      </c>
    </row>
    <row r="65" spans="1:5">
      <c r="A65" s="7" t="s">
        <v>12</v>
      </c>
      <c r="B65" s="20" t="s">
        <v>13</v>
      </c>
      <c r="C65" s="7" t="s">
        <v>14</v>
      </c>
      <c r="D65" s="8">
        <v>29568</v>
      </c>
      <c r="E65" s="7" t="s">
        <v>183</v>
      </c>
    </row>
    <row r="66" spans="1:5">
      <c r="A66" s="7" t="s">
        <v>15</v>
      </c>
      <c r="B66" s="20" t="s">
        <v>16</v>
      </c>
      <c r="C66" s="7" t="s">
        <v>17</v>
      </c>
      <c r="D66" s="8">
        <v>27600</v>
      </c>
      <c r="E66" s="7" t="s">
        <v>183</v>
      </c>
    </row>
    <row r="67" spans="1:5">
      <c r="A67" s="7" t="s">
        <v>18</v>
      </c>
      <c r="B67" s="20" t="s">
        <v>19</v>
      </c>
      <c r="C67" s="7" t="s">
        <v>20</v>
      </c>
      <c r="D67" s="8">
        <v>29568</v>
      </c>
      <c r="E67" s="7" t="s">
        <v>183</v>
      </c>
    </row>
    <row r="68" spans="1:5">
      <c r="A68" s="7" t="s">
        <v>21</v>
      </c>
      <c r="B68" s="20" t="s">
        <v>22</v>
      </c>
      <c r="C68" s="7" t="s">
        <v>23</v>
      </c>
      <c r="D68" s="8">
        <v>29568</v>
      </c>
      <c r="E68" s="7" t="s">
        <v>183</v>
      </c>
    </row>
    <row r="69" spans="1:5">
      <c r="A69" s="7" t="s">
        <v>24</v>
      </c>
      <c r="B69" s="20" t="s">
        <v>25</v>
      </c>
      <c r="C69" s="7" t="s">
        <v>26</v>
      </c>
      <c r="D69" s="8">
        <v>18768</v>
      </c>
      <c r="E69" s="7" t="s">
        <v>183</v>
      </c>
    </row>
    <row r="70" spans="1:5">
      <c r="A70" s="7" t="s">
        <v>27</v>
      </c>
      <c r="B70" s="20" t="s">
        <v>28</v>
      </c>
      <c r="C70" s="7" t="s">
        <v>29</v>
      </c>
      <c r="D70" s="8">
        <v>19571</v>
      </c>
      <c r="E70" s="7" t="s">
        <v>183</v>
      </c>
    </row>
    <row r="71" spans="1:5">
      <c r="A71" s="7" t="s">
        <v>30</v>
      </c>
      <c r="B71" s="20" t="s">
        <v>31</v>
      </c>
      <c r="C71" s="7" t="s">
        <v>32</v>
      </c>
      <c r="D71" s="8">
        <v>24960</v>
      </c>
      <c r="E71" s="7" t="s">
        <v>183</v>
      </c>
    </row>
    <row r="72" spans="1:5">
      <c r="A72" s="7" t="s">
        <v>33</v>
      </c>
      <c r="B72" s="20" t="s">
        <v>34</v>
      </c>
      <c r="C72" s="7" t="s">
        <v>35</v>
      </c>
      <c r="D72" s="8">
        <v>20064</v>
      </c>
      <c r="E72" s="7" t="s">
        <v>183</v>
      </c>
    </row>
    <row r="73" spans="1:5">
      <c r="A73" s="7" t="s">
        <v>36</v>
      </c>
      <c r="B73" s="20" t="s">
        <v>37</v>
      </c>
      <c r="C73" s="7" t="s">
        <v>38</v>
      </c>
      <c r="D73" s="8">
        <v>24960</v>
      </c>
      <c r="E73" s="7" t="s">
        <v>183</v>
      </c>
    </row>
    <row r="74" spans="1:5">
      <c r="A74" s="7" t="s">
        <v>184</v>
      </c>
      <c r="B74" s="20" t="s">
        <v>185</v>
      </c>
      <c r="C74" s="7" t="s">
        <v>186</v>
      </c>
      <c r="D74" s="8">
        <v>38861</v>
      </c>
      <c r="E74" s="7" t="s">
        <v>183</v>
      </c>
    </row>
    <row r="75" spans="1:5">
      <c r="A75" s="7" t="s">
        <v>39</v>
      </c>
      <c r="B75" s="20" t="s">
        <v>40</v>
      </c>
      <c r="C75" s="7" t="s">
        <v>41</v>
      </c>
      <c r="D75" s="8">
        <v>24960</v>
      </c>
      <c r="E75" s="7" t="s">
        <v>183</v>
      </c>
    </row>
    <row r="76" spans="1:5">
      <c r="A76" s="7" t="s">
        <v>42</v>
      </c>
      <c r="B76" s="20" t="s">
        <v>43</v>
      </c>
      <c r="C76" s="7" t="s">
        <v>44</v>
      </c>
      <c r="D76" s="8">
        <v>43718</v>
      </c>
      <c r="E76" s="7" t="s">
        <v>183</v>
      </c>
    </row>
    <row r="77" spans="1:5">
      <c r="A77" s="7" t="s">
        <v>45</v>
      </c>
      <c r="B77" s="20" t="s">
        <v>46</v>
      </c>
      <c r="C77" s="7" t="s">
        <v>47</v>
      </c>
      <c r="D77" s="8">
        <v>27216</v>
      </c>
      <c r="E77" s="7" t="s">
        <v>183</v>
      </c>
    </row>
    <row r="78" spans="1:5">
      <c r="A78" s="7" t="s">
        <v>48</v>
      </c>
      <c r="B78" s="20" t="s">
        <v>49</v>
      </c>
      <c r="C78" s="7" t="s">
        <v>50</v>
      </c>
      <c r="D78" s="8">
        <v>48175</v>
      </c>
      <c r="E78" s="7" t="s">
        <v>183</v>
      </c>
    </row>
    <row r="79" spans="1:5">
      <c r="A79" s="7" t="s">
        <v>54</v>
      </c>
      <c r="B79" s="20" t="s">
        <v>55</v>
      </c>
      <c r="C79" s="7" t="s">
        <v>56</v>
      </c>
      <c r="D79" s="8">
        <v>27216</v>
      </c>
      <c r="E79" s="7" t="s">
        <v>183</v>
      </c>
    </row>
    <row r="80" spans="1:5">
      <c r="A80" s="7" t="s">
        <v>57</v>
      </c>
      <c r="B80" s="20" t="s">
        <v>58</v>
      </c>
      <c r="C80" s="7" t="s">
        <v>59</v>
      </c>
      <c r="D80" s="8">
        <v>24960</v>
      </c>
      <c r="E80" s="7" t="s">
        <v>183</v>
      </c>
    </row>
    <row r="81" spans="1:5">
      <c r="A81" s="7" t="s">
        <v>187</v>
      </c>
      <c r="B81" s="20" t="s">
        <v>188</v>
      </c>
      <c r="C81" s="7" t="s">
        <v>189</v>
      </c>
      <c r="D81" s="8">
        <v>85008</v>
      </c>
      <c r="E81" s="7" t="s">
        <v>183</v>
      </c>
    </row>
    <row r="82" spans="1:5">
      <c r="A82" s="7" t="s">
        <v>60</v>
      </c>
      <c r="B82" s="20" t="s">
        <v>61</v>
      </c>
      <c r="C82" s="7" t="s">
        <v>62</v>
      </c>
      <c r="D82" s="8">
        <v>24960</v>
      </c>
      <c r="E82" s="7" t="s">
        <v>183</v>
      </c>
    </row>
    <row r="83" spans="1:5">
      <c r="A83" s="7" t="s">
        <v>63</v>
      </c>
      <c r="B83" s="20" t="s">
        <v>64</v>
      </c>
      <c r="C83" s="7" t="s">
        <v>65</v>
      </c>
      <c r="D83" s="8">
        <v>24096</v>
      </c>
      <c r="E83" s="7" t="s">
        <v>183</v>
      </c>
    </row>
    <row r="84" spans="1:5">
      <c r="A84" s="7" t="s">
        <v>190</v>
      </c>
      <c r="B84" s="20" t="s">
        <v>191</v>
      </c>
      <c r="C84" s="7" t="s">
        <v>192</v>
      </c>
      <c r="D84" s="8">
        <v>47376</v>
      </c>
      <c r="E84" s="7" t="s">
        <v>183</v>
      </c>
    </row>
    <row r="85" spans="1:5">
      <c r="A85" s="7" t="s">
        <v>66</v>
      </c>
      <c r="B85" s="20" t="s">
        <v>67</v>
      </c>
      <c r="C85" s="7" t="s">
        <v>68</v>
      </c>
      <c r="D85" s="8">
        <v>29236</v>
      </c>
      <c r="E85" s="7" t="s">
        <v>183</v>
      </c>
    </row>
    <row r="86" spans="1:5">
      <c r="A86" s="7" t="s">
        <v>69</v>
      </c>
      <c r="B86" s="20" t="s">
        <v>70</v>
      </c>
      <c r="C86" s="7" t="s">
        <v>71</v>
      </c>
      <c r="D86" s="8">
        <v>24096</v>
      </c>
      <c r="E86" s="7" t="s">
        <v>183</v>
      </c>
    </row>
    <row r="87" spans="1:5">
      <c r="A87" s="7" t="s">
        <v>72</v>
      </c>
      <c r="B87" s="20" t="s">
        <v>73</v>
      </c>
      <c r="C87" s="7" t="s">
        <v>74</v>
      </c>
      <c r="D87" s="8">
        <v>24960</v>
      </c>
      <c r="E87" s="7" t="s">
        <v>183</v>
      </c>
    </row>
    <row r="88" spans="1:5">
      <c r="A88" s="7" t="s">
        <v>193</v>
      </c>
      <c r="B88" s="20" t="s">
        <v>194</v>
      </c>
      <c r="C88" s="7" t="s">
        <v>195</v>
      </c>
      <c r="D88" s="8">
        <v>24960</v>
      </c>
      <c r="E88" s="7" t="s">
        <v>183</v>
      </c>
    </row>
    <row r="89" spans="1:5">
      <c r="A89" s="7" t="s">
        <v>75</v>
      </c>
      <c r="B89" s="20" t="s">
        <v>76</v>
      </c>
      <c r="C89" s="7" t="s">
        <v>77</v>
      </c>
      <c r="D89" s="8">
        <v>16934</v>
      </c>
      <c r="E89" s="7" t="s">
        <v>183</v>
      </c>
    </row>
    <row r="90" spans="1:5">
      <c r="A90" s="7" t="s">
        <v>78</v>
      </c>
      <c r="B90" s="20" t="s">
        <v>79</v>
      </c>
      <c r="C90" s="7" t="s">
        <v>80</v>
      </c>
      <c r="D90" s="8">
        <v>22075</v>
      </c>
      <c r="E90" s="7" t="s">
        <v>183</v>
      </c>
    </row>
    <row r="91" spans="1:5">
      <c r="A91" s="7" t="s">
        <v>196</v>
      </c>
      <c r="B91" s="20" t="s">
        <v>197</v>
      </c>
      <c r="C91" s="7" t="s">
        <v>198</v>
      </c>
      <c r="D91" s="8">
        <v>30720</v>
      </c>
      <c r="E91" s="7" t="s">
        <v>183</v>
      </c>
    </row>
    <row r="92" spans="1:5">
      <c r="A92" s="7" t="s">
        <v>199</v>
      </c>
      <c r="B92" s="20" t="s">
        <v>200</v>
      </c>
      <c r="C92" s="7" t="s">
        <v>201</v>
      </c>
      <c r="D92" s="8">
        <v>61067</v>
      </c>
      <c r="E92" s="7" t="s">
        <v>183</v>
      </c>
    </row>
    <row r="93" spans="1:5">
      <c r="A93" s="7" t="s">
        <v>202</v>
      </c>
      <c r="B93" s="20" t="s">
        <v>203</v>
      </c>
      <c r="C93" s="7" t="s">
        <v>204</v>
      </c>
      <c r="D93" s="8">
        <v>28512</v>
      </c>
      <c r="E93" s="7" t="s">
        <v>183</v>
      </c>
    </row>
    <row r="94" spans="1:5">
      <c r="A94" s="7" t="s">
        <v>81</v>
      </c>
      <c r="B94" s="20" t="s">
        <v>82</v>
      </c>
      <c r="C94" s="7" t="s">
        <v>83</v>
      </c>
      <c r="D94" s="8">
        <v>9878</v>
      </c>
      <c r="E94" s="7" t="s">
        <v>183</v>
      </c>
    </row>
    <row r="95" spans="1:5">
      <c r="A95" s="7" t="s">
        <v>205</v>
      </c>
      <c r="B95" s="20" t="s">
        <v>206</v>
      </c>
      <c r="C95" s="7" t="s">
        <v>207</v>
      </c>
      <c r="D95" s="8">
        <v>24960</v>
      </c>
      <c r="E95" s="7" t="s">
        <v>183</v>
      </c>
    </row>
    <row r="96" spans="1:5">
      <c r="A96" s="7" t="s">
        <v>84</v>
      </c>
      <c r="B96" s="20" t="s">
        <v>85</v>
      </c>
      <c r="C96" s="7" t="s">
        <v>86</v>
      </c>
      <c r="D96" s="8">
        <v>25200</v>
      </c>
      <c r="E96" s="7" t="s">
        <v>183</v>
      </c>
    </row>
    <row r="97" spans="1:5">
      <c r="A97" s="7" t="s">
        <v>87</v>
      </c>
      <c r="B97" s="20" t="s">
        <v>88</v>
      </c>
      <c r="C97" s="7" t="s">
        <v>89</v>
      </c>
      <c r="D97" s="8">
        <v>17376</v>
      </c>
      <c r="E97" s="7" t="s">
        <v>183</v>
      </c>
    </row>
    <row r="98" spans="1:5">
      <c r="A98" s="7" t="s">
        <v>208</v>
      </c>
      <c r="B98" s="20" t="s">
        <v>209</v>
      </c>
      <c r="C98" s="7" t="s">
        <v>210</v>
      </c>
      <c r="D98" s="8">
        <v>32116</v>
      </c>
      <c r="E98" s="7" t="s">
        <v>183</v>
      </c>
    </row>
    <row r="99" spans="1:5">
      <c r="A99" s="7" t="s">
        <v>90</v>
      </c>
      <c r="B99" s="20" t="s">
        <v>91</v>
      </c>
      <c r="C99" s="7" t="s">
        <v>92</v>
      </c>
      <c r="D99" s="8">
        <v>25091</v>
      </c>
      <c r="E99" s="7" t="s">
        <v>183</v>
      </c>
    </row>
    <row r="100" spans="1:5">
      <c r="A100" s="7" t="s">
        <v>211</v>
      </c>
      <c r="B100" s="20" t="s">
        <v>212</v>
      </c>
      <c r="C100" s="7" t="s">
        <v>213</v>
      </c>
      <c r="D100" s="8">
        <v>27837</v>
      </c>
      <c r="E100" s="7" t="s">
        <v>183</v>
      </c>
    </row>
    <row r="101" spans="1:5">
      <c r="A101" s="7" t="s">
        <v>214</v>
      </c>
      <c r="B101" s="20" t="s">
        <v>215</v>
      </c>
      <c r="C101" s="7" t="s">
        <v>216</v>
      </c>
      <c r="D101" s="8">
        <v>24960</v>
      </c>
      <c r="E101" s="7" t="s">
        <v>183</v>
      </c>
    </row>
    <row r="102" spans="1:5">
      <c r="A102" s="7" t="s">
        <v>93</v>
      </c>
      <c r="B102" s="20" t="s">
        <v>94</v>
      </c>
      <c r="C102" s="7" t="s">
        <v>95</v>
      </c>
      <c r="D102" s="8">
        <v>9475</v>
      </c>
      <c r="E102" s="7" t="s">
        <v>183</v>
      </c>
    </row>
    <row r="103" spans="1:5">
      <c r="A103" s="7" t="s">
        <v>217</v>
      </c>
      <c r="B103" s="20" t="s">
        <v>218</v>
      </c>
      <c r="C103" s="7" t="s">
        <v>219</v>
      </c>
      <c r="D103" s="8">
        <v>17424</v>
      </c>
      <c r="E103" s="7" t="s">
        <v>183</v>
      </c>
    </row>
    <row r="104" spans="1:5">
      <c r="A104" s="7" t="s">
        <v>220</v>
      </c>
      <c r="B104" s="20" t="s">
        <v>221</v>
      </c>
      <c r="C104" s="7" t="s">
        <v>222</v>
      </c>
      <c r="D104" s="8">
        <v>25200</v>
      </c>
      <c r="E104" s="7" t="s">
        <v>183</v>
      </c>
    </row>
    <row r="105" spans="1:5">
      <c r="A105" s="7" t="s">
        <v>96</v>
      </c>
      <c r="B105" s="20" t="s">
        <v>97</v>
      </c>
      <c r="C105" s="7" t="s">
        <v>98</v>
      </c>
      <c r="D105" s="8">
        <v>28325</v>
      </c>
      <c r="E105" s="7" t="s">
        <v>183</v>
      </c>
    </row>
    <row r="106" spans="1:5">
      <c r="A106" s="7" t="s">
        <v>99</v>
      </c>
      <c r="B106" s="20" t="s">
        <v>100</v>
      </c>
      <c r="C106" s="7" t="s">
        <v>101</v>
      </c>
      <c r="D106" s="8">
        <v>27216</v>
      </c>
      <c r="E106" s="7" t="s">
        <v>183</v>
      </c>
    </row>
    <row r="107" spans="1:5">
      <c r="A107" s="7" t="s">
        <v>223</v>
      </c>
      <c r="B107" s="20" t="s">
        <v>224</v>
      </c>
      <c r="C107" s="7" t="s">
        <v>225</v>
      </c>
      <c r="D107" s="8">
        <v>16632</v>
      </c>
      <c r="E107" s="7" t="s">
        <v>183</v>
      </c>
    </row>
    <row r="108" spans="1:5">
      <c r="A108" s="7" t="s">
        <v>102</v>
      </c>
      <c r="B108" s="20" t="s">
        <v>103</v>
      </c>
      <c r="C108" s="7" t="s">
        <v>104</v>
      </c>
      <c r="D108" s="8">
        <v>22075</v>
      </c>
      <c r="E108" s="7" t="s">
        <v>183</v>
      </c>
    </row>
    <row r="109" spans="1:5">
      <c r="A109" s="7" t="s">
        <v>226</v>
      </c>
      <c r="B109" s="20" t="s">
        <v>227</v>
      </c>
      <c r="C109" s="7" t="s">
        <v>228</v>
      </c>
      <c r="D109" s="8">
        <v>24960</v>
      </c>
      <c r="E109" s="7" t="s">
        <v>183</v>
      </c>
    </row>
    <row r="110" spans="1:5">
      <c r="A110" s="7" t="s">
        <v>229</v>
      </c>
      <c r="B110" s="20" t="s">
        <v>230</v>
      </c>
      <c r="C110" s="7" t="s">
        <v>231</v>
      </c>
      <c r="D110" s="8">
        <v>18168</v>
      </c>
      <c r="E110" s="7" t="s">
        <v>183</v>
      </c>
    </row>
    <row r="111" spans="1:5">
      <c r="A111" s="7" t="s">
        <v>105</v>
      </c>
      <c r="B111" s="20" t="s">
        <v>106</v>
      </c>
      <c r="C111" s="7" t="s">
        <v>107</v>
      </c>
      <c r="D111" s="8">
        <v>16632</v>
      </c>
      <c r="E111" s="7" t="s">
        <v>183</v>
      </c>
    </row>
    <row r="112" spans="1:5">
      <c r="A112" s="7" t="s">
        <v>232</v>
      </c>
      <c r="B112" s="20" t="s">
        <v>233</v>
      </c>
      <c r="C112" s="7" t="s">
        <v>234</v>
      </c>
      <c r="D112" s="8">
        <v>27720</v>
      </c>
      <c r="E112" s="7" t="s">
        <v>183</v>
      </c>
    </row>
    <row r="113" spans="1:5">
      <c r="A113" s="7" t="s">
        <v>235</v>
      </c>
      <c r="B113" s="20" t="s">
        <v>236</v>
      </c>
      <c r="C113" s="7" t="s">
        <v>237</v>
      </c>
      <c r="D113" s="8">
        <v>22085</v>
      </c>
      <c r="E113" s="7" t="s">
        <v>183</v>
      </c>
    </row>
    <row r="114" spans="1:5">
      <c r="A114" s="7" t="s">
        <v>108</v>
      </c>
      <c r="B114" s="20" t="s">
        <v>109</v>
      </c>
      <c r="C114" s="7" t="s">
        <v>110</v>
      </c>
      <c r="D114" s="8">
        <v>9475</v>
      </c>
      <c r="E114" s="7" t="s">
        <v>183</v>
      </c>
    </row>
    <row r="115" spans="1:5">
      <c r="A115" s="7" t="s">
        <v>111</v>
      </c>
      <c r="B115" s="20" t="s">
        <v>112</v>
      </c>
      <c r="C115" s="7" t="s">
        <v>113</v>
      </c>
      <c r="D115" s="8">
        <v>25704</v>
      </c>
      <c r="E115" s="7" t="s">
        <v>183</v>
      </c>
    </row>
    <row r="116" spans="1:5">
      <c r="A116" s="7" t="s">
        <v>114</v>
      </c>
      <c r="B116" s="20" t="s">
        <v>115</v>
      </c>
      <c r="C116" s="7" t="s">
        <v>116</v>
      </c>
      <c r="D116" s="8">
        <v>8568</v>
      </c>
      <c r="E116" s="7" t="s">
        <v>183</v>
      </c>
    </row>
    <row r="117" spans="1:5">
      <c r="A117" s="7" t="s">
        <v>238</v>
      </c>
      <c r="B117" s="20" t="s">
        <v>239</v>
      </c>
      <c r="C117" s="7" t="s">
        <v>240</v>
      </c>
      <c r="D117" s="8">
        <v>18648</v>
      </c>
      <c r="E117" s="7" t="s">
        <v>183</v>
      </c>
    </row>
    <row r="118" spans="1:5">
      <c r="A118" s="7" t="s">
        <v>117</v>
      </c>
      <c r="B118" s="20" t="s">
        <v>118</v>
      </c>
      <c r="C118" s="7" t="s">
        <v>119</v>
      </c>
      <c r="D118" s="8">
        <v>5846</v>
      </c>
      <c r="E118" s="7" t="s">
        <v>183</v>
      </c>
    </row>
    <row r="119" spans="1:5">
      <c r="A119" s="7" t="s">
        <v>241</v>
      </c>
      <c r="B119" s="20" t="s">
        <v>242</v>
      </c>
      <c r="C119" s="7" t="s">
        <v>243</v>
      </c>
      <c r="D119" s="8">
        <v>50181</v>
      </c>
      <c r="E119" s="7" t="s">
        <v>183</v>
      </c>
    </row>
    <row r="120" spans="1:5">
      <c r="A120" s="7" t="s">
        <v>244</v>
      </c>
      <c r="B120" s="20" t="s">
        <v>245</v>
      </c>
      <c r="C120" s="7" t="s">
        <v>246</v>
      </c>
      <c r="D120" s="8">
        <v>106933</v>
      </c>
      <c r="E120" s="7" t="s">
        <v>183</v>
      </c>
    </row>
    <row r="121" spans="1:5">
      <c r="A121" s="7" t="s">
        <v>247</v>
      </c>
      <c r="B121" s="20" t="s">
        <v>248</v>
      </c>
      <c r="C121" s="7" t="s">
        <v>249</v>
      </c>
      <c r="D121" s="8">
        <v>27720</v>
      </c>
      <c r="E121" s="7" t="s">
        <v>183</v>
      </c>
    </row>
    <row r="122" spans="1:5">
      <c r="A122" s="7" t="s">
        <v>120</v>
      </c>
      <c r="B122" s="20" t="s">
        <v>121</v>
      </c>
      <c r="C122" s="7" t="s">
        <v>122</v>
      </c>
      <c r="D122" s="8">
        <v>22691</v>
      </c>
      <c r="E122" s="7" t="s">
        <v>183</v>
      </c>
    </row>
    <row r="123" spans="1:5">
      <c r="A123" s="7" t="s">
        <v>250</v>
      </c>
      <c r="B123" s="20" t="s">
        <v>251</v>
      </c>
      <c r="C123" s="7" t="s">
        <v>252</v>
      </c>
      <c r="D123" s="8">
        <v>6221</v>
      </c>
      <c r="E123" s="7" t="s">
        <v>183</v>
      </c>
    </row>
    <row r="124" spans="1:5">
      <c r="A124" s="7" t="s">
        <v>253</v>
      </c>
      <c r="B124" s="20" t="s">
        <v>254</v>
      </c>
      <c r="C124" s="7" t="s">
        <v>255</v>
      </c>
      <c r="D124" s="8">
        <v>31111</v>
      </c>
      <c r="E124" s="7" t="s">
        <v>183</v>
      </c>
    </row>
    <row r="125" spans="1:5">
      <c r="A125" s="7" t="s">
        <v>256</v>
      </c>
      <c r="B125" s="20" t="s">
        <v>257</v>
      </c>
      <c r="C125" s="7" t="s">
        <v>258</v>
      </c>
      <c r="D125" s="8">
        <v>13745</v>
      </c>
      <c r="E125" s="7" t="s">
        <v>183</v>
      </c>
    </row>
    <row r="126" spans="1:5">
      <c r="A126" s="7" t="s">
        <v>259</v>
      </c>
      <c r="B126" s="20" t="s">
        <v>260</v>
      </c>
      <c r="C126" s="7" t="s">
        <v>261</v>
      </c>
      <c r="D126" s="8">
        <v>13152</v>
      </c>
      <c r="E126" s="7" t="s">
        <v>183</v>
      </c>
    </row>
    <row r="127" spans="1:5">
      <c r="A127" s="7" t="s">
        <v>262</v>
      </c>
      <c r="B127" s="20" t="s">
        <v>263</v>
      </c>
      <c r="C127" s="7" t="s">
        <v>264</v>
      </c>
      <c r="D127" s="8">
        <v>22691</v>
      </c>
      <c r="E127" s="7" t="s">
        <v>183</v>
      </c>
    </row>
    <row r="128" spans="1:5">
      <c r="A128" s="7" t="s">
        <v>265</v>
      </c>
      <c r="B128" s="20" t="s">
        <v>266</v>
      </c>
      <c r="C128" s="7" t="s">
        <v>267</v>
      </c>
      <c r="D128" s="8">
        <v>24960</v>
      </c>
      <c r="E128" s="7" t="s">
        <v>183</v>
      </c>
    </row>
    <row r="129" spans="1:5">
      <c r="A129" s="7" t="s">
        <v>268</v>
      </c>
      <c r="B129" s="20" t="s">
        <v>269</v>
      </c>
      <c r="C129" s="7" t="s">
        <v>270</v>
      </c>
      <c r="D129" s="8">
        <v>90816</v>
      </c>
      <c r="E129" s="7" t="s">
        <v>183</v>
      </c>
    </row>
    <row r="130" spans="1:5">
      <c r="A130" s="7" t="s">
        <v>123</v>
      </c>
      <c r="B130" s="20" t="s">
        <v>124</v>
      </c>
      <c r="C130" s="7" t="s">
        <v>125</v>
      </c>
      <c r="D130" s="8">
        <v>8870</v>
      </c>
      <c r="E130" s="7" t="s">
        <v>183</v>
      </c>
    </row>
    <row r="131" spans="1:5">
      <c r="A131" s="7" t="s">
        <v>271</v>
      </c>
      <c r="B131" s="20" t="s">
        <v>272</v>
      </c>
      <c r="C131" s="7" t="s">
        <v>273</v>
      </c>
      <c r="D131" s="8">
        <v>42937</v>
      </c>
      <c r="E131" s="7" t="s">
        <v>183</v>
      </c>
    </row>
    <row r="132" spans="1:5">
      <c r="A132" s="7" t="s">
        <v>126</v>
      </c>
      <c r="B132" s="20" t="s">
        <v>127</v>
      </c>
      <c r="C132" s="7" t="s">
        <v>128</v>
      </c>
      <c r="D132" s="8">
        <v>6754</v>
      </c>
      <c r="E132" s="7" t="s">
        <v>183</v>
      </c>
    </row>
    <row r="133" spans="1:5">
      <c r="A133" s="7" t="s">
        <v>274</v>
      </c>
      <c r="B133" s="20" t="s">
        <v>275</v>
      </c>
      <c r="C133" s="7" t="s">
        <v>276</v>
      </c>
      <c r="D133" s="8">
        <v>31111</v>
      </c>
      <c r="E133" s="7" t="s">
        <v>183</v>
      </c>
    </row>
    <row r="134" spans="1:5">
      <c r="A134" s="7" t="s">
        <v>277</v>
      </c>
      <c r="B134" s="20" t="s">
        <v>278</v>
      </c>
      <c r="C134" s="7" t="s">
        <v>279</v>
      </c>
      <c r="D134" s="8">
        <v>22691</v>
      </c>
      <c r="E134" s="7" t="s">
        <v>183</v>
      </c>
    </row>
    <row r="135" spans="1:5">
      <c r="A135" s="7" t="s">
        <v>280</v>
      </c>
      <c r="B135" s="20" t="s">
        <v>281</v>
      </c>
      <c r="C135" s="7" t="s">
        <v>282</v>
      </c>
      <c r="D135" s="8">
        <v>8770</v>
      </c>
      <c r="E135" s="7" t="s">
        <v>183</v>
      </c>
    </row>
    <row r="136" spans="1:5">
      <c r="A136" s="7" t="s">
        <v>283</v>
      </c>
      <c r="B136" s="20" t="s">
        <v>284</v>
      </c>
      <c r="C136" s="7" t="s">
        <v>285</v>
      </c>
      <c r="D136" s="8">
        <v>6221</v>
      </c>
      <c r="E136" s="7" t="s">
        <v>183</v>
      </c>
    </row>
    <row r="137" spans="1:5">
      <c r="A137" s="7" t="s">
        <v>286</v>
      </c>
      <c r="B137" s="20" t="s">
        <v>287</v>
      </c>
      <c r="C137" s="7" t="s">
        <v>288</v>
      </c>
      <c r="D137" s="8">
        <v>119289</v>
      </c>
      <c r="E137" s="7" t="s">
        <v>183</v>
      </c>
    </row>
    <row r="138" spans="1:5">
      <c r="A138" s="7" t="s">
        <v>289</v>
      </c>
      <c r="B138" s="20" t="s">
        <v>290</v>
      </c>
      <c r="C138" s="7" t="s">
        <v>291</v>
      </c>
      <c r="D138" s="8">
        <v>25704</v>
      </c>
      <c r="E138" s="7" t="s">
        <v>183</v>
      </c>
    </row>
    <row r="139" spans="1:5">
      <c r="A139" s="7" t="s">
        <v>292</v>
      </c>
      <c r="B139" s="20" t="s">
        <v>293</v>
      </c>
      <c r="C139" s="7" t="s">
        <v>294</v>
      </c>
      <c r="D139" s="8">
        <v>25920</v>
      </c>
      <c r="E139" s="7" t="s">
        <v>183</v>
      </c>
    </row>
    <row r="140" spans="1:5">
      <c r="A140" s="7" t="s">
        <v>129</v>
      </c>
      <c r="B140" s="20" t="s">
        <v>130</v>
      </c>
      <c r="C140" s="7" t="s">
        <v>131</v>
      </c>
      <c r="D140" s="8">
        <v>22075</v>
      </c>
      <c r="E140" s="7" t="s">
        <v>183</v>
      </c>
    </row>
    <row r="141" spans="1:5">
      <c r="A141" s="7" t="s">
        <v>295</v>
      </c>
      <c r="B141" s="20" t="s">
        <v>296</v>
      </c>
      <c r="C141" s="7" t="s">
        <v>297</v>
      </c>
      <c r="D141" s="8">
        <v>22691</v>
      </c>
      <c r="E141" s="7" t="s">
        <v>183</v>
      </c>
    </row>
    <row r="142" spans="1:5">
      <c r="A142" s="7" t="s">
        <v>132</v>
      </c>
      <c r="B142" s="20" t="s">
        <v>506</v>
      </c>
      <c r="C142" s="7" t="s">
        <v>507</v>
      </c>
      <c r="D142" s="8">
        <v>22752</v>
      </c>
      <c r="E142" s="7" t="s">
        <v>183</v>
      </c>
    </row>
    <row r="143" spans="1:5">
      <c r="A143" s="7" t="s">
        <v>298</v>
      </c>
      <c r="B143" s="20" t="s">
        <v>299</v>
      </c>
      <c r="C143" s="7" t="s">
        <v>300</v>
      </c>
      <c r="D143" s="8">
        <v>28512</v>
      </c>
      <c r="E143" s="7" t="s">
        <v>183</v>
      </c>
    </row>
    <row r="144" spans="1:5">
      <c r="A144" s="7" t="s">
        <v>301</v>
      </c>
      <c r="B144" s="20" t="s">
        <v>302</v>
      </c>
      <c r="C144" s="7" t="s">
        <v>303</v>
      </c>
      <c r="D144" s="8">
        <v>22075</v>
      </c>
      <c r="E144" s="7" t="s">
        <v>183</v>
      </c>
    </row>
    <row r="145" spans="1:5">
      <c r="A145" s="7" t="s">
        <v>304</v>
      </c>
      <c r="B145" s="20" t="s">
        <v>305</v>
      </c>
      <c r="C145" s="7" t="s">
        <v>306</v>
      </c>
      <c r="D145" s="8">
        <v>46255</v>
      </c>
      <c r="E145" s="7" t="s">
        <v>183</v>
      </c>
    </row>
    <row r="146" spans="1:5">
      <c r="A146" s="7" t="s">
        <v>307</v>
      </c>
      <c r="B146" s="20" t="s">
        <v>308</v>
      </c>
      <c r="C146" s="7" t="s">
        <v>309</v>
      </c>
      <c r="D146" s="8">
        <v>105380</v>
      </c>
      <c r="E146" s="7" t="s">
        <v>183</v>
      </c>
    </row>
    <row r="147" spans="1:5">
      <c r="A147" s="7" t="s">
        <v>310</v>
      </c>
      <c r="B147" s="20" t="s">
        <v>311</v>
      </c>
      <c r="C147" s="7" t="s">
        <v>312</v>
      </c>
      <c r="D147" s="8">
        <v>9475</v>
      </c>
      <c r="E147" s="7" t="s">
        <v>183</v>
      </c>
    </row>
    <row r="148" spans="1:5">
      <c r="A148" s="7" t="s">
        <v>313</v>
      </c>
      <c r="B148" s="20" t="s">
        <v>314</v>
      </c>
      <c r="C148" s="7" t="s">
        <v>315</v>
      </c>
      <c r="D148" s="8">
        <v>22691</v>
      </c>
      <c r="E148" s="7" t="s">
        <v>183</v>
      </c>
    </row>
    <row r="149" spans="1:5">
      <c r="A149" s="7" t="s">
        <v>316</v>
      </c>
      <c r="B149" s="20" t="s">
        <v>317</v>
      </c>
      <c r="C149" s="7" t="s">
        <v>318</v>
      </c>
      <c r="D149" s="8">
        <v>22075</v>
      </c>
      <c r="E149" s="7" t="s">
        <v>183</v>
      </c>
    </row>
    <row r="150" spans="1:5">
      <c r="A150" s="7" t="s">
        <v>319</v>
      </c>
      <c r="B150" s="20" t="s">
        <v>320</v>
      </c>
      <c r="C150" s="7" t="s">
        <v>321</v>
      </c>
      <c r="D150" s="8">
        <v>57600</v>
      </c>
      <c r="E150" s="7" t="s">
        <v>183</v>
      </c>
    </row>
    <row r="151" spans="1:5">
      <c r="A151" s="7" t="s">
        <v>322</v>
      </c>
      <c r="B151" s="20" t="s">
        <v>323</v>
      </c>
      <c r="C151" s="7" t="s">
        <v>324</v>
      </c>
      <c r="D151" s="8">
        <v>22691</v>
      </c>
      <c r="E151" s="7" t="s">
        <v>183</v>
      </c>
    </row>
    <row r="152" spans="1:5">
      <c r="A152" s="7" t="s">
        <v>325</v>
      </c>
      <c r="B152" s="20" t="s">
        <v>326</v>
      </c>
      <c r="C152" s="7" t="s">
        <v>327</v>
      </c>
      <c r="D152" s="8">
        <v>46327</v>
      </c>
      <c r="E152" s="7" t="s">
        <v>183</v>
      </c>
    </row>
    <row r="153" spans="1:5">
      <c r="A153" s="7" t="s">
        <v>135</v>
      </c>
      <c r="B153" s="20" t="s">
        <v>136</v>
      </c>
      <c r="C153" s="7" t="s">
        <v>137</v>
      </c>
      <c r="D153" s="8">
        <v>24873</v>
      </c>
      <c r="E153" s="7" t="s">
        <v>183</v>
      </c>
    </row>
    <row r="154" spans="1:5">
      <c r="A154" s="7" t="s">
        <v>328</v>
      </c>
      <c r="B154" s="20" t="s">
        <v>329</v>
      </c>
      <c r="C154" s="7" t="s">
        <v>330</v>
      </c>
      <c r="D154" s="8">
        <v>42654</v>
      </c>
      <c r="E154" s="7" t="s">
        <v>183</v>
      </c>
    </row>
    <row r="155" spans="1:5">
      <c r="A155" s="7" t="s">
        <v>331</v>
      </c>
      <c r="B155" s="20" t="s">
        <v>332</v>
      </c>
      <c r="C155" s="7" t="s">
        <v>333</v>
      </c>
      <c r="D155" s="8">
        <v>26400</v>
      </c>
      <c r="E155" s="7" t="s">
        <v>183</v>
      </c>
    </row>
    <row r="156" spans="1:5">
      <c r="A156" s="7" t="s">
        <v>334</v>
      </c>
      <c r="B156" s="20" t="s">
        <v>335</v>
      </c>
      <c r="C156" s="7" t="s">
        <v>336</v>
      </c>
      <c r="D156" s="8">
        <v>34925</v>
      </c>
      <c r="E156" s="7" t="s">
        <v>183</v>
      </c>
    </row>
    <row r="157" spans="1:5">
      <c r="A157" s="7" t="s">
        <v>337</v>
      </c>
      <c r="B157" s="20" t="s">
        <v>338</v>
      </c>
      <c r="C157" s="7" t="s">
        <v>339</v>
      </c>
      <c r="D157" s="8">
        <v>39744</v>
      </c>
      <c r="E157" s="7" t="s">
        <v>183</v>
      </c>
    </row>
    <row r="158" spans="1:5">
      <c r="A158" s="7" t="s">
        <v>340</v>
      </c>
      <c r="B158" s="20" t="s">
        <v>341</v>
      </c>
      <c r="C158" s="7" t="s">
        <v>342</v>
      </c>
      <c r="D158" s="8">
        <v>26400</v>
      </c>
      <c r="E158" s="7" t="s">
        <v>183</v>
      </c>
    </row>
    <row r="159" spans="1:5">
      <c r="A159" s="7" t="s">
        <v>138</v>
      </c>
      <c r="B159" s="20" t="s">
        <v>139</v>
      </c>
      <c r="C159" s="7" t="s">
        <v>140</v>
      </c>
      <c r="D159" s="8">
        <v>6982</v>
      </c>
      <c r="E159" s="7" t="s">
        <v>183</v>
      </c>
    </row>
    <row r="160" spans="1:5">
      <c r="A160" s="7" t="s">
        <v>343</v>
      </c>
      <c r="B160" s="20" t="s">
        <v>344</v>
      </c>
      <c r="C160" s="7" t="s">
        <v>345</v>
      </c>
      <c r="D160" s="8">
        <v>65520</v>
      </c>
      <c r="E160" s="7" t="s">
        <v>183</v>
      </c>
    </row>
    <row r="161" spans="1:5">
      <c r="A161" s="7" t="s">
        <v>141</v>
      </c>
      <c r="B161" s="20" t="s">
        <v>142</v>
      </c>
      <c r="C161" s="7" t="s">
        <v>143</v>
      </c>
      <c r="D161" s="8">
        <v>65520</v>
      </c>
      <c r="E161" s="7" t="s">
        <v>183</v>
      </c>
    </row>
    <row r="162" spans="1:5">
      <c r="A162" s="7" t="s">
        <v>346</v>
      </c>
      <c r="B162" s="20" t="s">
        <v>347</v>
      </c>
      <c r="C162" s="7" t="s">
        <v>348</v>
      </c>
      <c r="D162" s="8">
        <v>37113</v>
      </c>
      <c r="E162" s="7" t="s">
        <v>183</v>
      </c>
    </row>
    <row r="163" spans="1:5">
      <c r="A163" s="7" t="s">
        <v>349</v>
      </c>
      <c r="B163" s="20" t="s">
        <v>350</v>
      </c>
      <c r="C163" s="7" t="s">
        <v>351</v>
      </c>
      <c r="D163" s="8">
        <v>71568</v>
      </c>
      <c r="E163" s="7" t="s">
        <v>183</v>
      </c>
    </row>
    <row r="164" spans="1:5">
      <c r="A164" s="7" t="s">
        <v>352</v>
      </c>
      <c r="B164" s="20" t="s">
        <v>353</v>
      </c>
      <c r="C164" s="7" t="s">
        <v>354</v>
      </c>
      <c r="D164" s="8">
        <v>28865</v>
      </c>
      <c r="E164" s="7" t="s">
        <v>183</v>
      </c>
    </row>
    <row r="165" spans="1:5">
      <c r="A165" s="7" t="s">
        <v>144</v>
      </c>
      <c r="B165" s="20" t="s">
        <v>145</v>
      </c>
      <c r="C165" s="7" t="s">
        <v>146</v>
      </c>
      <c r="D165" s="8">
        <v>55440</v>
      </c>
      <c r="E165" s="7" t="s">
        <v>183</v>
      </c>
    </row>
    <row r="166" spans="1:5">
      <c r="A166" s="7" t="s">
        <v>147</v>
      </c>
      <c r="B166" s="20" t="s">
        <v>148</v>
      </c>
      <c r="C166" s="7" t="s">
        <v>149</v>
      </c>
      <c r="D166" s="8">
        <v>26880</v>
      </c>
      <c r="E166" s="7" t="s">
        <v>183</v>
      </c>
    </row>
    <row r="167" spans="1:5">
      <c r="A167" s="7" t="s">
        <v>355</v>
      </c>
      <c r="B167" s="20" t="s">
        <v>356</v>
      </c>
      <c r="C167" s="7" t="s">
        <v>357</v>
      </c>
      <c r="D167" s="8">
        <v>26880</v>
      </c>
      <c r="E167" s="7" t="s">
        <v>183</v>
      </c>
    </row>
    <row r="168" spans="1:5">
      <c r="A168" s="7" t="s">
        <v>150</v>
      </c>
      <c r="B168" s="20" t="s">
        <v>151</v>
      </c>
      <c r="C168" s="7" t="s">
        <v>152</v>
      </c>
      <c r="D168" s="8">
        <v>87072</v>
      </c>
      <c r="E168" s="7" t="s">
        <v>183</v>
      </c>
    </row>
    <row r="169" spans="1:5">
      <c r="A169" s="7" t="s">
        <v>153</v>
      </c>
      <c r="B169" s="20" t="s">
        <v>154</v>
      </c>
      <c r="C169" s="7" t="s">
        <v>155</v>
      </c>
      <c r="D169" s="8">
        <v>32832</v>
      </c>
      <c r="E169" s="7" t="s">
        <v>183</v>
      </c>
    </row>
    <row r="170" spans="1:5">
      <c r="A170" s="7" t="s">
        <v>358</v>
      </c>
      <c r="B170" s="20" t="s">
        <v>359</v>
      </c>
      <c r="C170" s="7" t="s">
        <v>360</v>
      </c>
      <c r="D170" s="8">
        <v>62208</v>
      </c>
      <c r="E170" s="7" t="s">
        <v>183</v>
      </c>
    </row>
    <row r="171" spans="1:5">
      <c r="A171" s="7" t="s">
        <v>156</v>
      </c>
      <c r="B171" s="20" t="s">
        <v>157</v>
      </c>
      <c r="C171" s="7" t="s">
        <v>158</v>
      </c>
      <c r="D171" s="8">
        <v>52224</v>
      </c>
      <c r="E171" s="7" t="s">
        <v>183</v>
      </c>
    </row>
    <row r="172" spans="1:5">
      <c r="A172" s="7" t="s">
        <v>159</v>
      </c>
      <c r="B172" s="20" t="s">
        <v>160</v>
      </c>
      <c r="C172" s="7" t="s">
        <v>161</v>
      </c>
      <c r="D172" s="8">
        <v>29568</v>
      </c>
      <c r="E172" s="7" t="s">
        <v>183</v>
      </c>
    </row>
    <row r="173" spans="1:5">
      <c r="A173" s="7" t="s">
        <v>162</v>
      </c>
      <c r="B173" s="20" t="s">
        <v>163</v>
      </c>
      <c r="C173" s="7" t="s">
        <v>164</v>
      </c>
      <c r="D173" s="8">
        <v>11345</v>
      </c>
      <c r="E173" s="7" t="s">
        <v>183</v>
      </c>
    </row>
    <row r="174" spans="1:5">
      <c r="A174" s="7" t="s">
        <v>165</v>
      </c>
      <c r="B174" s="20" t="s">
        <v>166</v>
      </c>
      <c r="C174" s="7" t="s">
        <v>167</v>
      </c>
      <c r="D174" s="8">
        <v>11345</v>
      </c>
      <c r="E174" s="7" t="s">
        <v>183</v>
      </c>
    </row>
    <row r="175" spans="1:5">
      <c r="A175" s="7" t="s">
        <v>168</v>
      </c>
      <c r="B175" s="20" t="s">
        <v>169</v>
      </c>
      <c r="C175" s="7" t="s">
        <v>170</v>
      </c>
      <c r="D175" s="8">
        <v>11345</v>
      </c>
      <c r="E175" s="7" t="s">
        <v>183</v>
      </c>
    </row>
    <row r="176" spans="1:5">
      <c r="A176" s="7" t="s">
        <v>171</v>
      </c>
      <c r="B176" s="20" t="s">
        <v>172</v>
      </c>
      <c r="C176" s="7" t="s">
        <v>173</v>
      </c>
      <c r="D176" s="8">
        <v>11597</v>
      </c>
      <c r="E176" s="7" t="s">
        <v>183</v>
      </c>
    </row>
    <row r="177" spans="1:5">
      <c r="A177" s="7" t="s">
        <v>174</v>
      </c>
      <c r="B177" s="20" t="s">
        <v>175</v>
      </c>
      <c r="C177" s="7" t="s">
        <v>176</v>
      </c>
      <c r="D177" s="8">
        <v>26400</v>
      </c>
      <c r="E177" s="7" t="s">
        <v>183</v>
      </c>
    </row>
    <row r="178" spans="1:5">
      <c r="A178" s="7" t="s">
        <v>177</v>
      </c>
      <c r="B178" s="20" t="s">
        <v>178</v>
      </c>
      <c r="C178" s="7" t="s">
        <v>179</v>
      </c>
      <c r="D178" s="8">
        <v>11597</v>
      </c>
      <c r="E178" s="7" t="s">
        <v>183</v>
      </c>
    </row>
    <row r="179" spans="1:5">
      <c r="A179" s="7" t="s">
        <v>180</v>
      </c>
      <c r="B179" s="20" t="s">
        <v>181</v>
      </c>
      <c r="C179" s="7" t="s">
        <v>182</v>
      </c>
      <c r="D179" s="8">
        <v>29568</v>
      </c>
      <c r="E179" s="7" t="s">
        <v>183</v>
      </c>
    </row>
    <row r="180" spans="1:5">
      <c r="A180" s="7" t="s">
        <v>361</v>
      </c>
      <c r="B180" s="20" t="s">
        <v>362</v>
      </c>
      <c r="C180" s="7" t="s">
        <v>363</v>
      </c>
      <c r="D180" s="8">
        <v>38400</v>
      </c>
      <c r="E180" s="7" t="s">
        <v>183</v>
      </c>
    </row>
    <row r="181" spans="1:5">
      <c r="A181" s="7" t="s">
        <v>364</v>
      </c>
      <c r="B181" s="20" t="s">
        <v>365</v>
      </c>
      <c r="C181" s="7" t="s">
        <v>366</v>
      </c>
      <c r="D181" s="8">
        <v>109440</v>
      </c>
      <c r="E181" s="7" t="s">
        <v>183</v>
      </c>
    </row>
    <row r="182" spans="1:5">
      <c r="A182" s="7" t="s">
        <v>367</v>
      </c>
      <c r="B182" s="20" t="s">
        <v>10777</v>
      </c>
      <c r="C182" s="7" t="s">
        <v>369</v>
      </c>
      <c r="D182" s="8">
        <v>84500</v>
      </c>
      <c r="E182" s="7" t="s">
        <v>500</v>
      </c>
    </row>
    <row r="183" spans="1:5">
      <c r="A183" s="7" t="s">
        <v>370</v>
      </c>
      <c r="B183" s="20" t="s">
        <v>371</v>
      </c>
      <c r="C183" s="7" t="s">
        <v>372</v>
      </c>
      <c r="D183" s="8">
        <v>35200</v>
      </c>
      <c r="E183" s="7" t="s">
        <v>500</v>
      </c>
    </row>
    <row r="184" spans="1:5">
      <c r="A184" s="7" t="s">
        <v>373</v>
      </c>
      <c r="B184" s="20" t="s">
        <v>374</v>
      </c>
      <c r="C184" s="7" t="s">
        <v>375</v>
      </c>
      <c r="D184" s="8">
        <v>79100</v>
      </c>
      <c r="E184" s="7" t="s">
        <v>500</v>
      </c>
    </row>
    <row r="185" spans="1:5">
      <c r="A185" s="7" t="s">
        <v>376</v>
      </c>
      <c r="B185" s="20" t="s">
        <v>377</v>
      </c>
      <c r="C185" s="7" t="s">
        <v>378</v>
      </c>
      <c r="D185" s="8">
        <v>38400</v>
      </c>
      <c r="E185" s="7" t="s">
        <v>500</v>
      </c>
    </row>
    <row r="186" spans="1:5">
      <c r="A186" s="7" t="s">
        <v>379</v>
      </c>
      <c r="B186" s="20" t="s">
        <v>380</v>
      </c>
      <c r="C186" s="7" t="s">
        <v>381</v>
      </c>
      <c r="D186" s="8">
        <v>84200</v>
      </c>
      <c r="E186" s="7" t="s">
        <v>500</v>
      </c>
    </row>
    <row r="187" spans="1:5">
      <c r="A187" s="7" t="s">
        <v>382</v>
      </c>
      <c r="B187" s="20" t="s">
        <v>383</v>
      </c>
      <c r="C187" s="7" t="s">
        <v>384</v>
      </c>
      <c r="D187" s="8">
        <v>84200</v>
      </c>
      <c r="E187" s="7" t="s">
        <v>500</v>
      </c>
    </row>
    <row r="188" spans="1:5">
      <c r="A188" s="7" t="s">
        <v>385</v>
      </c>
      <c r="B188" s="20" t="s">
        <v>386</v>
      </c>
      <c r="C188" s="7" t="s">
        <v>387</v>
      </c>
      <c r="D188" s="8">
        <v>38400</v>
      </c>
      <c r="E188" s="7" t="s">
        <v>500</v>
      </c>
    </row>
    <row r="189" spans="1:5">
      <c r="A189" s="7" t="s">
        <v>388</v>
      </c>
      <c r="B189" s="20" t="s">
        <v>389</v>
      </c>
      <c r="C189" s="7" t="s">
        <v>390</v>
      </c>
      <c r="D189" s="8">
        <v>96800</v>
      </c>
      <c r="E189" s="7" t="s">
        <v>500</v>
      </c>
    </row>
    <row r="190" spans="1:5">
      <c r="A190" s="7" t="s">
        <v>391</v>
      </c>
      <c r="B190" s="20" t="s">
        <v>392</v>
      </c>
      <c r="C190" s="7" t="s">
        <v>393</v>
      </c>
      <c r="D190" s="8">
        <v>84000</v>
      </c>
      <c r="E190" s="7" t="s">
        <v>500</v>
      </c>
    </row>
    <row r="191" spans="1:5">
      <c r="A191" s="7" t="s">
        <v>394</v>
      </c>
      <c r="B191" s="20" t="s">
        <v>395</v>
      </c>
      <c r="C191" s="7" t="s">
        <v>396</v>
      </c>
      <c r="D191" s="8">
        <v>49400</v>
      </c>
      <c r="E191" s="7" t="s">
        <v>500</v>
      </c>
    </row>
    <row r="192" spans="1:5">
      <c r="A192" s="7" t="s">
        <v>397</v>
      </c>
      <c r="B192" s="20" t="s">
        <v>398</v>
      </c>
      <c r="C192" s="7" t="s">
        <v>399</v>
      </c>
      <c r="D192" s="8">
        <v>49400</v>
      </c>
      <c r="E192" s="7" t="s">
        <v>500</v>
      </c>
    </row>
    <row r="193" spans="1:5">
      <c r="A193" s="7" t="s">
        <v>400</v>
      </c>
      <c r="B193" s="20" t="s">
        <v>401</v>
      </c>
      <c r="C193" s="7" t="s">
        <v>402</v>
      </c>
      <c r="D193" s="8">
        <v>17100</v>
      </c>
      <c r="E193" s="7" t="s">
        <v>500</v>
      </c>
    </row>
    <row r="194" spans="1:5">
      <c r="A194" s="7" t="s">
        <v>403</v>
      </c>
      <c r="B194" s="20" t="s">
        <v>404</v>
      </c>
      <c r="C194" s="7" t="s">
        <v>405</v>
      </c>
      <c r="D194" s="8">
        <v>21100</v>
      </c>
      <c r="E194" s="7" t="s">
        <v>500</v>
      </c>
    </row>
    <row r="195" spans="1:5">
      <c r="A195" s="7" t="s">
        <v>406</v>
      </c>
      <c r="B195" s="20" t="s">
        <v>407</v>
      </c>
      <c r="C195" s="7" t="s">
        <v>408</v>
      </c>
      <c r="D195" s="8">
        <v>52800</v>
      </c>
      <c r="E195" s="7" t="s">
        <v>500</v>
      </c>
    </row>
    <row r="196" spans="1:5">
      <c r="A196" s="7" t="s">
        <v>409</v>
      </c>
      <c r="B196" s="20" t="s">
        <v>410</v>
      </c>
      <c r="C196" s="7" t="s">
        <v>411</v>
      </c>
      <c r="D196" s="8">
        <v>20100</v>
      </c>
      <c r="E196" s="7" t="s">
        <v>500</v>
      </c>
    </row>
    <row r="197" spans="1:5">
      <c r="A197" s="7" t="s">
        <v>412</v>
      </c>
      <c r="B197" s="20" t="s">
        <v>413</v>
      </c>
      <c r="C197" s="7" t="s">
        <v>414</v>
      </c>
      <c r="D197" s="8">
        <v>50200</v>
      </c>
      <c r="E197" s="7" t="s">
        <v>500</v>
      </c>
    </row>
    <row r="198" spans="1:5">
      <c r="A198" s="7" t="s">
        <v>415</v>
      </c>
      <c r="B198" s="20" t="s">
        <v>10137</v>
      </c>
      <c r="C198" s="7" t="s">
        <v>10138</v>
      </c>
      <c r="D198" s="8">
        <v>55600</v>
      </c>
      <c r="E198" s="7" t="s">
        <v>500</v>
      </c>
    </row>
    <row r="199" spans="1:5">
      <c r="A199" s="7" t="s">
        <v>418</v>
      </c>
      <c r="B199" s="20" t="s">
        <v>419</v>
      </c>
      <c r="C199" s="7" t="s">
        <v>420</v>
      </c>
      <c r="D199" s="8">
        <v>53900</v>
      </c>
      <c r="E199" s="7" t="s">
        <v>500</v>
      </c>
    </row>
    <row r="200" spans="1:5">
      <c r="A200" s="7" t="s">
        <v>421</v>
      </c>
      <c r="B200" s="20" t="s">
        <v>422</v>
      </c>
      <c r="C200" s="7" t="s">
        <v>423</v>
      </c>
      <c r="D200" s="8">
        <v>13100</v>
      </c>
      <c r="E200" s="7" t="s">
        <v>500</v>
      </c>
    </row>
    <row r="201" spans="1:5">
      <c r="A201" s="7" t="s">
        <v>424</v>
      </c>
      <c r="B201" s="20" t="s">
        <v>425</v>
      </c>
      <c r="C201" s="7" t="s">
        <v>426</v>
      </c>
      <c r="D201" s="8">
        <v>55600</v>
      </c>
      <c r="E201" s="7" t="s">
        <v>500</v>
      </c>
    </row>
    <row r="202" spans="1:5">
      <c r="A202" s="7" t="s">
        <v>427</v>
      </c>
      <c r="B202" s="20" t="s">
        <v>428</v>
      </c>
      <c r="C202" s="7" t="s">
        <v>429</v>
      </c>
      <c r="D202" s="8">
        <v>74500</v>
      </c>
      <c r="E202" s="7" t="s">
        <v>500</v>
      </c>
    </row>
    <row r="203" spans="1:5">
      <c r="A203" s="7" t="s">
        <v>430</v>
      </c>
      <c r="B203" s="20" t="s">
        <v>431</v>
      </c>
      <c r="C203" s="7" t="s">
        <v>432</v>
      </c>
      <c r="D203" s="8">
        <v>84600</v>
      </c>
      <c r="E203" s="7" t="s">
        <v>500</v>
      </c>
    </row>
    <row r="204" spans="1:5">
      <c r="A204" s="7" t="s">
        <v>433</v>
      </c>
      <c r="B204" s="20" t="s">
        <v>10172</v>
      </c>
      <c r="C204" s="7" t="s">
        <v>435</v>
      </c>
      <c r="D204" s="8">
        <v>67700</v>
      </c>
      <c r="E204" s="7" t="s">
        <v>500</v>
      </c>
    </row>
    <row r="205" spans="1:5">
      <c r="A205" s="7" t="s">
        <v>436</v>
      </c>
      <c r="B205" s="20" t="s">
        <v>437</v>
      </c>
      <c r="C205" s="7" t="s">
        <v>438</v>
      </c>
      <c r="D205" s="8">
        <v>41200</v>
      </c>
      <c r="E205" s="7" t="s">
        <v>500</v>
      </c>
    </row>
    <row r="206" spans="1:5">
      <c r="A206" s="7" t="s">
        <v>439</v>
      </c>
      <c r="B206" s="20" t="s">
        <v>440</v>
      </c>
      <c r="C206" s="7" t="s">
        <v>441</v>
      </c>
      <c r="D206" s="8">
        <v>36300</v>
      </c>
      <c r="E206" s="7" t="s">
        <v>500</v>
      </c>
    </row>
    <row r="207" spans="1:5">
      <c r="A207" s="7" t="s">
        <v>442</v>
      </c>
      <c r="B207" s="20" t="s">
        <v>443</v>
      </c>
      <c r="C207" s="7" t="s">
        <v>444</v>
      </c>
      <c r="D207" s="8">
        <v>37000</v>
      </c>
      <c r="E207" s="7" t="s">
        <v>500</v>
      </c>
    </row>
    <row r="208" spans="1:5">
      <c r="A208" s="7" t="s">
        <v>445</v>
      </c>
      <c r="B208" s="20" t="s">
        <v>446</v>
      </c>
      <c r="C208" s="7" t="s">
        <v>447</v>
      </c>
      <c r="D208" s="8">
        <v>37000</v>
      </c>
      <c r="E208" s="7" t="s">
        <v>500</v>
      </c>
    </row>
    <row r="209" spans="1:5">
      <c r="A209" s="7" t="s">
        <v>448</v>
      </c>
      <c r="B209" s="20" t="s">
        <v>449</v>
      </c>
      <c r="C209" s="7" t="s">
        <v>450</v>
      </c>
      <c r="D209" s="8">
        <v>48384</v>
      </c>
      <c r="E209" s="7" t="s">
        <v>500</v>
      </c>
    </row>
    <row r="210" spans="1:5">
      <c r="A210" s="7" t="s">
        <v>451</v>
      </c>
      <c r="B210" s="20" t="s">
        <v>10762</v>
      </c>
      <c r="C210" s="7" t="s">
        <v>12345</v>
      </c>
      <c r="D210" s="8">
        <v>42000</v>
      </c>
      <c r="E210" s="7" t="s">
        <v>500</v>
      </c>
    </row>
    <row r="211" spans="1:5">
      <c r="A211" s="7" t="s">
        <v>452</v>
      </c>
      <c r="B211" s="20" t="s">
        <v>453</v>
      </c>
      <c r="C211" s="7" t="s">
        <v>454</v>
      </c>
      <c r="D211" s="8">
        <v>9300</v>
      </c>
      <c r="E211" s="7" t="s">
        <v>500</v>
      </c>
    </row>
    <row r="212" spans="1:5">
      <c r="A212" s="7" t="s">
        <v>455</v>
      </c>
      <c r="B212" s="20" t="s">
        <v>456</v>
      </c>
      <c r="C212" s="7" t="s">
        <v>457</v>
      </c>
      <c r="D212" s="8">
        <v>9300</v>
      </c>
      <c r="E212" s="7" t="s">
        <v>500</v>
      </c>
    </row>
    <row r="213" spans="1:5">
      <c r="A213" s="7" t="s">
        <v>458</v>
      </c>
      <c r="B213" s="20" t="s">
        <v>459</v>
      </c>
      <c r="C213" s="7" t="s">
        <v>460</v>
      </c>
      <c r="D213" s="8">
        <v>9300</v>
      </c>
      <c r="E213" s="7" t="s">
        <v>500</v>
      </c>
    </row>
    <row r="214" spans="1:5">
      <c r="A214" s="7" t="s">
        <v>461</v>
      </c>
      <c r="B214" s="20" t="s">
        <v>462</v>
      </c>
      <c r="C214" s="7" t="s">
        <v>463</v>
      </c>
      <c r="D214" s="8">
        <v>9300</v>
      </c>
      <c r="E214" s="7" t="s">
        <v>500</v>
      </c>
    </row>
    <row r="215" spans="1:5">
      <c r="A215" s="7" t="s">
        <v>464</v>
      </c>
      <c r="B215" s="20" t="s">
        <v>10710</v>
      </c>
      <c r="C215" s="7" t="s">
        <v>11075</v>
      </c>
      <c r="D215" s="8">
        <v>35500</v>
      </c>
      <c r="E215" s="7" t="s">
        <v>500</v>
      </c>
    </row>
    <row r="216" spans="1:5">
      <c r="A216" s="7" t="s">
        <v>467</v>
      </c>
      <c r="B216" s="20" t="s">
        <v>468</v>
      </c>
      <c r="C216" s="7" t="s">
        <v>469</v>
      </c>
      <c r="D216" s="8">
        <v>14200</v>
      </c>
      <c r="E216" s="7" t="s">
        <v>500</v>
      </c>
    </row>
    <row r="217" spans="1:5">
      <c r="A217" s="7" t="s">
        <v>470</v>
      </c>
      <c r="B217" s="20" t="s">
        <v>10766</v>
      </c>
      <c r="C217" s="7" t="s">
        <v>12753</v>
      </c>
      <c r="D217" s="8">
        <v>39150</v>
      </c>
      <c r="E217" s="7" t="s">
        <v>500</v>
      </c>
    </row>
    <row r="218" spans="1:5">
      <c r="A218" s="7" t="s">
        <v>473</v>
      </c>
      <c r="B218" s="20" t="s">
        <v>474</v>
      </c>
      <c r="C218" s="7" t="s">
        <v>475</v>
      </c>
      <c r="D218" s="8">
        <v>18300</v>
      </c>
      <c r="E218" s="7" t="s">
        <v>500</v>
      </c>
    </row>
    <row r="219" spans="1:5">
      <c r="A219" s="7" t="s">
        <v>476</v>
      </c>
      <c r="B219" s="20" t="s">
        <v>477</v>
      </c>
      <c r="C219" s="7" t="s">
        <v>478</v>
      </c>
      <c r="D219" s="8">
        <v>31524</v>
      </c>
      <c r="E219" s="7" t="s">
        <v>500</v>
      </c>
    </row>
    <row r="220" spans="1:5">
      <c r="A220" s="7" t="s">
        <v>479</v>
      </c>
      <c r="B220" s="20" t="s">
        <v>480</v>
      </c>
      <c r="C220" s="7" t="s">
        <v>481</v>
      </c>
      <c r="D220" s="8">
        <v>31524</v>
      </c>
      <c r="E220" s="7" t="s">
        <v>500</v>
      </c>
    </row>
    <row r="221" spans="1:5">
      <c r="A221" s="7" t="s">
        <v>482</v>
      </c>
      <c r="B221" s="20" t="s">
        <v>483</v>
      </c>
      <c r="C221" s="7" t="s">
        <v>484</v>
      </c>
      <c r="D221" s="8">
        <v>105000</v>
      </c>
      <c r="E221" s="7" t="s">
        <v>500</v>
      </c>
    </row>
    <row r="222" spans="1:5">
      <c r="A222" s="20" t="s">
        <v>11077</v>
      </c>
      <c r="B222" s="20" t="s">
        <v>10712</v>
      </c>
      <c r="C222" s="7" t="s">
        <v>11076</v>
      </c>
      <c r="D222" s="8">
        <v>33750</v>
      </c>
      <c r="E222" s="7" t="s">
        <v>500</v>
      </c>
    </row>
    <row r="223" spans="1:5">
      <c r="A223" s="20" t="s">
        <v>11078</v>
      </c>
      <c r="B223" s="20" t="s">
        <v>465</v>
      </c>
      <c r="C223" s="7" t="s">
        <v>12465</v>
      </c>
      <c r="D223" s="8">
        <v>70000</v>
      </c>
      <c r="E223" s="7" t="s">
        <v>500</v>
      </c>
    </row>
    <row r="224" spans="1:5">
      <c r="A224" s="7" t="s">
        <v>12459</v>
      </c>
      <c r="B224" s="20" t="s">
        <v>11025</v>
      </c>
      <c r="C224" s="7" t="s">
        <v>12466</v>
      </c>
      <c r="D224" s="8">
        <v>42000</v>
      </c>
      <c r="E224" s="7" t="s">
        <v>500</v>
      </c>
    </row>
    <row r="225" spans="1:5">
      <c r="A225" s="7" t="s">
        <v>12460</v>
      </c>
      <c r="B225" s="20" t="s">
        <v>12471</v>
      </c>
      <c r="C225" s="7" t="s">
        <v>12467</v>
      </c>
      <c r="D225" s="8">
        <v>16500</v>
      </c>
      <c r="E225" s="7" t="s">
        <v>500</v>
      </c>
    </row>
    <row r="226" spans="1:5">
      <c r="A226" s="7" t="s">
        <v>12461</v>
      </c>
      <c r="B226" s="20" t="s">
        <v>12472</v>
      </c>
      <c r="C226" s="7" t="s">
        <v>12468</v>
      </c>
      <c r="D226" s="8">
        <v>26000</v>
      </c>
      <c r="E226" s="7" t="s">
        <v>500</v>
      </c>
    </row>
    <row r="227" spans="1:5">
      <c r="A227" s="20" t="s">
        <v>12462</v>
      </c>
      <c r="B227" s="20" t="s">
        <v>10799</v>
      </c>
      <c r="C227" s="7" t="s">
        <v>10800</v>
      </c>
      <c r="D227" s="8">
        <v>82080</v>
      </c>
      <c r="E227" s="7" t="s">
        <v>500</v>
      </c>
    </row>
    <row r="228" spans="1:5">
      <c r="A228" s="7" t="s">
        <v>12463</v>
      </c>
      <c r="B228" s="20" t="s">
        <v>10748</v>
      </c>
      <c r="C228" s="7" t="s">
        <v>12469</v>
      </c>
      <c r="D228" s="8">
        <v>8837</v>
      </c>
      <c r="E228" s="7" t="s">
        <v>500</v>
      </c>
    </row>
    <row r="229" spans="1:5">
      <c r="A229" s="7" t="s">
        <v>12464</v>
      </c>
      <c r="B229" s="20" t="s">
        <v>10752</v>
      </c>
      <c r="C229" s="7" t="s">
        <v>12470</v>
      </c>
      <c r="D229" s="8">
        <v>8837</v>
      </c>
      <c r="E229" s="7" t="s">
        <v>500</v>
      </c>
    </row>
    <row r="230" spans="1:5">
      <c r="A230" s="20" t="s">
        <v>12475</v>
      </c>
      <c r="B230" s="35" t="s">
        <v>12717</v>
      </c>
      <c r="C230" s="7" t="s">
        <v>12476</v>
      </c>
      <c r="D230" s="8">
        <v>44000</v>
      </c>
      <c r="E230" s="7" t="s">
        <v>500</v>
      </c>
    </row>
    <row r="231" spans="1:5">
      <c r="A231" s="7" t="s">
        <v>12824</v>
      </c>
      <c r="B231" s="35" t="s">
        <v>12828</v>
      </c>
      <c r="C231" s="7" t="s">
        <v>12825</v>
      </c>
      <c r="D231" s="8">
        <v>36000</v>
      </c>
      <c r="E231" s="7" t="s">
        <v>500</v>
      </c>
    </row>
    <row r="232" spans="1:5">
      <c r="A232" s="7" t="s">
        <v>12826</v>
      </c>
      <c r="B232" s="35" t="s">
        <v>10542</v>
      </c>
      <c r="C232" s="7" t="s">
        <v>12827</v>
      </c>
      <c r="D232" s="8">
        <v>52000</v>
      </c>
      <c r="E232" s="7" t="s">
        <v>500</v>
      </c>
    </row>
    <row r="233" spans="1:5">
      <c r="A233" s="35" t="s">
        <v>13412</v>
      </c>
      <c r="B233" s="35" t="s">
        <v>13413</v>
      </c>
      <c r="C233" s="7" t="s">
        <v>13414</v>
      </c>
      <c r="D233" s="8">
        <v>31000</v>
      </c>
      <c r="E233" s="7" t="s">
        <v>500</v>
      </c>
    </row>
    <row r="234" spans="1:5">
      <c r="A234" s="87" t="s">
        <v>13527</v>
      </c>
      <c r="B234" s="86" t="s">
        <v>13524</v>
      </c>
      <c r="C234" s="88" t="s">
        <v>13521</v>
      </c>
      <c r="D234" s="8">
        <v>145000</v>
      </c>
      <c r="E234" s="7" t="s">
        <v>500</v>
      </c>
    </row>
    <row r="235" spans="1:5">
      <c r="A235" s="87" t="s">
        <v>13528</v>
      </c>
      <c r="B235" s="86" t="s">
        <v>13525</v>
      </c>
      <c r="C235" s="88" t="s">
        <v>13522</v>
      </c>
      <c r="D235" s="8">
        <v>36750</v>
      </c>
      <c r="E235" s="7" t="s">
        <v>500</v>
      </c>
    </row>
    <row r="236" spans="1:5">
      <c r="A236" s="77" t="s">
        <v>13529</v>
      </c>
      <c r="B236" s="86" t="s">
        <v>13526</v>
      </c>
      <c r="C236" s="88" t="s">
        <v>13523</v>
      </c>
      <c r="D236" s="80">
        <v>42000</v>
      </c>
      <c r="E236" s="7" t="s">
        <v>500</v>
      </c>
    </row>
    <row r="237" spans="1:5">
      <c r="A237" s="35" t="s">
        <v>13614</v>
      </c>
      <c r="B237" s="35" t="s">
        <v>10779</v>
      </c>
      <c r="C237" s="7" t="s">
        <v>13613</v>
      </c>
      <c r="D237" s="8">
        <v>20000</v>
      </c>
      <c r="E237" s="7" t="s">
        <v>500</v>
      </c>
    </row>
  </sheetData>
  <conditionalFormatting sqref="B2:B230 C231">
    <cfRule type="duplicateValues" dxfId="15" priority="2"/>
    <cfRule type="duplicateValues" dxfId="14" priority="7"/>
  </conditionalFormatting>
  <conditionalFormatting sqref="B2:B237">
    <cfRule type="duplicateValues" dxfId="13" priority="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8D907AB-841C-41C8-B298-8CB95E1197E5}">
          <x14:formula1>
            <xm:f>'Data Validation'!$C$2:$C$4</xm:f>
          </x14:formula1>
          <xm:sqref>E2:E237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5F0D-C6CB-4AC4-A8A2-65799F9BD1B7}">
  <sheetPr>
    <tabColor rgb="FFC00000"/>
    <pageSetUpPr fitToPage="1"/>
  </sheetPr>
  <dimension ref="A1:Q231"/>
  <sheetViews>
    <sheetView tabSelected="1" topLeftCell="A198" zoomScale="58" zoomScaleNormal="58" zoomScaleSheetLayoutView="40" workbookViewId="0">
      <selection activeCell="E234" sqref="E234"/>
    </sheetView>
  </sheetViews>
  <sheetFormatPr defaultColWidth="9" defaultRowHeight="21.75" customHeight="1"/>
  <cols>
    <col min="1" max="1" width="11.42578125" style="25" customWidth="1"/>
    <col min="2" max="2" width="34.7109375" style="3" bestFit="1" customWidth="1"/>
    <col min="3" max="3" width="17.140625" style="3" bestFit="1" customWidth="1"/>
    <col min="4" max="4" width="16.140625" style="3" bestFit="1" customWidth="1"/>
    <col min="5" max="6" width="22" style="3" bestFit="1" customWidth="1"/>
    <col min="7" max="7" width="26.85546875" style="3" customWidth="1"/>
    <col min="8" max="8" width="22" style="3" bestFit="1" customWidth="1"/>
    <col min="9" max="9" width="90.140625" style="3" bestFit="1" customWidth="1"/>
    <col min="10" max="10" width="16.7109375" style="3" bestFit="1" customWidth="1"/>
    <col min="11" max="11" width="20.85546875" style="7" bestFit="1" customWidth="1"/>
    <col min="12" max="12" width="25.5703125" style="3" bestFit="1" customWidth="1"/>
    <col min="13" max="13" width="27.5703125" style="3" bestFit="1" customWidth="1"/>
    <col min="14" max="14" width="23.5703125" style="3" bestFit="1" customWidth="1"/>
    <col min="15" max="15" width="71.140625" style="3" bestFit="1" customWidth="1"/>
    <col min="16" max="16" width="53" style="3" bestFit="1" customWidth="1"/>
    <col min="17" max="17" width="32.5703125" style="3" customWidth="1"/>
    <col min="18" max="16384" width="9" style="3"/>
  </cols>
  <sheetData>
    <row r="1" spans="1:17" s="1" customFormat="1" ht="21.75" customHeight="1">
      <c r="A1" s="24" t="s">
        <v>504</v>
      </c>
      <c r="B1" s="1" t="s">
        <v>488</v>
      </c>
      <c r="C1" s="1" t="s">
        <v>1</v>
      </c>
      <c r="D1" s="1" t="s">
        <v>495</v>
      </c>
      <c r="E1" s="1" t="s">
        <v>489</v>
      </c>
      <c r="F1" s="1" t="s">
        <v>490</v>
      </c>
      <c r="G1" s="1" t="s">
        <v>485</v>
      </c>
      <c r="H1" s="1" t="s">
        <v>486</v>
      </c>
      <c r="I1" s="1" t="s">
        <v>487</v>
      </c>
      <c r="J1" s="2" t="s">
        <v>0</v>
      </c>
      <c r="K1" s="54" t="s">
        <v>491</v>
      </c>
      <c r="L1" s="2" t="s">
        <v>492</v>
      </c>
      <c r="M1" s="2" t="s">
        <v>501</v>
      </c>
      <c r="N1" s="2" t="s">
        <v>493</v>
      </c>
      <c r="O1" s="2" t="s">
        <v>494</v>
      </c>
      <c r="P1" s="1" t="s">
        <v>509</v>
      </c>
      <c r="Q1" s="1" t="s">
        <v>12314</v>
      </c>
    </row>
    <row r="2" spans="1:17" s="27" customFormat="1" ht="18.75">
      <c r="A2" s="29">
        <f>ROW()-1</f>
        <v>1</v>
      </c>
      <c r="B2" s="23" t="s">
        <v>11232</v>
      </c>
      <c r="C2" s="23" t="s">
        <v>500</v>
      </c>
      <c r="D2" s="23" t="s">
        <v>496</v>
      </c>
      <c r="E2" s="23" t="s">
        <v>11231</v>
      </c>
      <c r="F2" s="23" t="s">
        <v>11233</v>
      </c>
      <c r="G2" s="23" t="s">
        <v>373</v>
      </c>
      <c r="H2" s="27" t="str">
        <f>VLOOKUP(gia_khuyen_mai[[#This Row],[Barcode]],'Giá gốc'!$A:$B,2,0)</f>
        <v>2145686</v>
      </c>
      <c r="I2" s="27" t="str">
        <f>VLOOKUP(gia_khuyen_mai[[#This Row],[Mã sản phẩm]],'Giá gốc'!$B:$C,2,0)</f>
        <v>Xúc xích hong khói 450g</v>
      </c>
      <c r="J2" s="30">
        <f>VLOOKUP(gia_khuyen_mai[[#This Row],[Mã sản phẩm]],'Giá gốc'!B:D,3,0)</f>
        <v>79100</v>
      </c>
      <c r="K2" s="55"/>
      <c r="L2" s="28">
        <f>ROUND((1-gia_khuyen_mai[[#This Row],[% Giảm giá]]) * gia_khuyen_mai[[#This Row],[Giá gốc]], 0)</f>
        <v>79100</v>
      </c>
      <c r="M2" s="28" t="s">
        <v>503</v>
      </c>
      <c r="N2" s="27" t="s">
        <v>410</v>
      </c>
      <c r="O2" s="27" t="str">
        <f>IFERROR(VLOOKUP(gia_khuyen_mai[[#This Row],[Mã hàng tặng]],'Giá gốc'!B:C,2,0),"")</f>
        <v>Xúc xích Hotdog 200g</v>
      </c>
      <c r="P2" s="23"/>
      <c r="Q2" s="27" t="str">
        <f>VLOOKUP(gia_khuyen_mai[[#This Row],[Mã sản phẩm]],product[[Mã sản phẩm]:[DS - ĐV]],3,0)</f>
        <v>Food Đức Việt</v>
      </c>
    </row>
    <row r="3" spans="1:17" ht="21.75" customHeight="1">
      <c r="A3" s="29">
        <f t="shared" ref="A3:A66" si="0">ROW()-1</f>
        <v>2</v>
      </c>
      <c r="B3" s="23" t="s">
        <v>11232</v>
      </c>
      <c r="C3" s="23" t="s">
        <v>500</v>
      </c>
      <c r="D3" s="23" t="s">
        <v>496</v>
      </c>
      <c r="E3" s="23" t="s">
        <v>11231</v>
      </c>
      <c r="F3" s="23" t="s">
        <v>11233</v>
      </c>
      <c r="G3" s="4" t="s">
        <v>476</v>
      </c>
      <c r="H3" s="3" t="str">
        <f>VLOOKUP(gia_khuyen_mai[[#This Row],[Barcode]],'Giá gốc'!$A:$B,2,0)</f>
        <v>2150337</v>
      </c>
      <c r="I3" s="3" t="str">
        <f>VLOOKUP(gia_khuyen_mai[[#This Row],[Mã sản phẩm]],'Giá gốc'!$B:$C,2,0)</f>
        <v>O'food Chả giò da xốp nhân thịt 300g</v>
      </c>
      <c r="J3" s="5">
        <f>VLOOKUP(gia_khuyen_mai[[#This Row],[Mã sản phẩm]],'Giá gốc'!B:D,3,0)</f>
        <v>31524</v>
      </c>
      <c r="K3" s="56">
        <v>0.3</v>
      </c>
      <c r="L3" s="6">
        <f>ROUND((1-gia_khuyen_mai[[#This Row],[% Giảm giá]]) * gia_khuyen_mai[[#This Row],[Giá gốc]], 0)</f>
        <v>22067</v>
      </c>
      <c r="M3" s="6"/>
      <c r="O3" s="3" t="str">
        <f>IFERROR(VLOOKUP(gia_khuyen_mai[[#This Row],[Mã hàng tặng]],'Giá gốc'!B:C,2,0),"")</f>
        <v/>
      </c>
      <c r="Q3" s="3" t="str">
        <f>VLOOKUP(gia_khuyen_mai[[#This Row],[Mã sản phẩm]],product[[Mã sản phẩm]:[DS - ĐV]],3,0)</f>
        <v>Food Đức Việt</v>
      </c>
    </row>
    <row r="4" spans="1:17" ht="21.75" customHeight="1">
      <c r="A4" s="29">
        <f t="shared" si="0"/>
        <v>3</v>
      </c>
      <c r="B4" s="23" t="s">
        <v>11232</v>
      </c>
      <c r="C4" s="23" t="s">
        <v>500</v>
      </c>
      <c r="D4" s="23" t="s">
        <v>496</v>
      </c>
      <c r="E4" s="23" t="s">
        <v>11231</v>
      </c>
      <c r="F4" s="23" t="s">
        <v>12344</v>
      </c>
      <c r="G4" s="4" t="s">
        <v>427</v>
      </c>
      <c r="H4" s="3" t="str">
        <f>VLOOKUP(gia_khuyen_mai[[#This Row],[Barcode]],'Giá gốc'!$A:$B,2,0)</f>
        <v>2145743</v>
      </c>
      <c r="I4" s="3" t="str">
        <f>VLOOKUP(gia_khuyen_mai[[#This Row],[Mã sản phẩm]],'Giá gốc'!$B:$C,2,0)</f>
        <v>Xúc xích sụn nướng Bulgogi 450g</v>
      </c>
      <c r="J4" s="5">
        <f>VLOOKUP(gia_khuyen_mai[[#This Row],[Mã sản phẩm]],'Giá gốc'!B:D,3,0)</f>
        <v>74500</v>
      </c>
      <c r="K4" s="56">
        <v>0.3</v>
      </c>
      <c r="L4" s="6">
        <f>ROUND((1-gia_khuyen_mai[[#This Row],[% Giảm giá]]) * gia_khuyen_mai[[#This Row],[Giá gốc]], 0)</f>
        <v>52150</v>
      </c>
      <c r="M4" s="6"/>
      <c r="O4" s="3" t="str">
        <f>IFERROR(VLOOKUP(gia_khuyen_mai[[#This Row],[Mã hàng tặng]],'Giá gốc'!B:C,2,0),"")</f>
        <v/>
      </c>
      <c r="Q4" s="3" t="str">
        <f>VLOOKUP(gia_khuyen_mai[[#This Row],[Mã sản phẩm]],product[[Mã sản phẩm]:[DS - ĐV]],3,0)</f>
        <v>Food Đức Việt</v>
      </c>
    </row>
    <row r="5" spans="1:17" ht="21.75" customHeight="1">
      <c r="A5" s="29">
        <f t="shared" si="0"/>
        <v>4</v>
      </c>
      <c r="B5" s="23" t="s">
        <v>11232</v>
      </c>
      <c r="C5" s="23" t="s">
        <v>500</v>
      </c>
      <c r="D5" s="23" t="s">
        <v>496</v>
      </c>
      <c r="E5" s="23" t="s">
        <v>11231</v>
      </c>
      <c r="F5" s="23" t="s">
        <v>11233</v>
      </c>
      <c r="G5" s="4" t="s">
        <v>397</v>
      </c>
      <c r="H5" s="3" t="str">
        <f>VLOOKUP(gia_khuyen_mai[[#This Row],[Barcode]],'Giá gốc'!$A:$B,2,0)</f>
        <v>2145726</v>
      </c>
      <c r="I5" s="3" t="str">
        <f>VLOOKUP(gia_khuyen_mai[[#This Row],[Mã sản phẩm]],'Giá gốc'!$B:$C,2,0)</f>
        <v>Xúc xích phô mai Cheesy 250g</v>
      </c>
      <c r="J5" s="5">
        <f>VLOOKUP(gia_khuyen_mai[[#This Row],[Mã sản phẩm]],'Giá gốc'!B:D,3,0)</f>
        <v>49400</v>
      </c>
      <c r="K5" s="56">
        <v>0.3</v>
      </c>
      <c r="L5" s="6">
        <f>ROUND((1-gia_khuyen_mai[[#This Row],[% Giảm giá]]) * gia_khuyen_mai[[#This Row],[Giá gốc]], 0)</f>
        <v>34580</v>
      </c>
      <c r="M5" s="6"/>
      <c r="O5" s="3" t="str">
        <f>IFERROR(VLOOKUP(gia_khuyen_mai[[#This Row],[Mã hàng tặng]],'Giá gốc'!B:C,2,0),"")</f>
        <v/>
      </c>
      <c r="Q5" s="3" t="str">
        <f>VLOOKUP(gia_khuyen_mai[[#This Row],[Mã sản phẩm]],product[[Mã sản phẩm]:[DS - ĐV]],3,0)</f>
        <v>Food Đức Việt</v>
      </c>
    </row>
    <row r="6" spans="1:17" ht="21.75" customHeight="1">
      <c r="A6" s="29">
        <f t="shared" si="0"/>
        <v>5</v>
      </c>
      <c r="B6" s="23" t="s">
        <v>11232</v>
      </c>
      <c r="C6" s="23" t="s">
        <v>500</v>
      </c>
      <c r="D6" s="23" t="s">
        <v>496</v>
      </c>
      <c r="E6" s="23" t="s">
        <v>11231</v>
      </c>
      <c r="F6" s="23" t="s">
        <v>11233</v>
      </c>
      <c r="G6" s="4" t="s">
        <v>464</v>
      </c>
      <c r="H6" s="3" t="str">
        <f>VLOOKUP(gia_khuyen_mai[[#This Row],[Barcode]],'Giá gốc'!$A:$B,2,0)</f>
        <v>2145622</v>
      </c>
      <c r="I6" s="3" t="str">
        <f>VLOOKUP(gia_khuyen_mai[[#This Row],[Mã sản phẩm]],'Giá gốc'!$B:$C,2,0)</f>
        <v>Kim chi 450</v>
      </c>
      <c r="J6" s="5">
        <f>VLOOKUP(gia_khuyen_mai[[#This Row],[Mã sản phẩm]],'Giá gốc'!B:D,3,0)</f>
        <v>35500</v>
      </c>
      <c r="K6" s="56">
        <v>0.3</v>
      </c>
      <c r="L6" s="6">
        <f>ROUND((1-gia_khuyen_mai[[#This Row],[% Giảm giá]]) * gia_khuyen_mai[[#This Row],[Giá gốc]], 0)</f>
        <v>24850</v>
      </c>
      <c r="M6" s="6"/>
      <c r="O6" s="3" t="str">
        <f>IFERROR(VLOOKUP(gia_khuyen_mai[[#This Row],[Mã hàng tặng]],'Giá gốc'!B:C,2,0),"")</f>
        <v/>
      </c>
      <c r="Q6" s="3" t="str">
        <f>VLOOKUP(gia_khuyen_mai[[#This Row],[Mã sản phẩm]],product[[Mã sản phẩm]:[DS - ĐV]],3,0)</f>
        <v>Food Đức Việt</v>
      </c>
    </row>
    <row r="7" spans="1:17" ht="21.75" customHeight="1">
      <c r="A7" s="29">
        <f t="shared" si="0"/>
        <v>6</v>
      </c>
      <c r="B7" s="23" t="s">
        <v>11232</v>
      </c>
      <c r="C7" s="23" t="s">
        <v>500</v>
      </c>
      <c r="D7" s="23" t="s">
        <v>496</v>
      </c>
      <c r="E7" s="23" t="s">
        <v>11231</v>
      </c>
      <c r="F7" s="23" t="s">
        <v>11233</v>
      </c>
      <c r="G7" s="4" t="s">
        <v>418</v>
      </c>
      <c r="H7" s="3" t="str">
        <f>VLOOKUP(gia_khuyen_mai[[#This Row],[Barcode]],'Giá gốc'!$A:$B,2,0)</f>
        <v>2145783</v>
      </c>
      <c r="I7" s="3" t="str">
        <f>VLOOKUP(gia_khuyen_mai[[#This Row],[Mã sản phẩm]],'Giá gốc'!$B:$C,2,0)</f>
        <v>Xúc xích Romas ( 50g) 500g</v>
      </c>
      <c r="J7" s="5">
        <f>VLOOKUP(gia_khuyen_mai[[#This Row],[Mã sản phẩm]],'Giá gốc'!B:D,3,0)</f>
        <v>53900</v>
      </c>
      <c r="K7" s="56">
        <v>0.25</v>
      </c>
      <c r="L7" s="6">
        <f>ROUND((1-gia_khuyen_mai[[#This Row],[% Giảm giá]]) * gia_khuyen_mai[[#This Row],[Giá gốc]], 0)</f>
        <v>40425</v>
      </c>
      <c r="M7" s="6"/>
      <c r="O7" s="3" t="str">
        <f>IFERROR(VLOOKUP(gia_khuyen_mai[[#This Row],[Mã hàng tặng]],'Giá gốc'!B:C,2,0),"")</f>
        <v/>
      </c>
      <c r="Q7" s="3" t="str">
        <f>VLOOKUP(gia_khuyen_mai[[#This Row],[Mã sản phẩm]],product[[Mã sản phẩm]:[DS - ĐV]],3,0)</f>
        <v>Food Đức Việt</v>
      </c>
    </row>
    <row r="8" spans="1:17" ht="21.75" customHeight="1">
      <c r="A8" s="29">
        <f t="shared" si="0"/>
        <v>7</v>
      </c>
      <c r="B8" s="23" t="s">
        <v>11232</v>
      </c>
      <c r="C8" s="23" t="s">
        <v>500</v>
      </c>
      <c r="D8" s="23" t="s">
        <v>496</v>
      </c>
      <c r="E8" s="23" t="s">
        <v>11231</v>
      </c>
      <c r="F8" s="23" t="s">
        <v>11233</v>
      </c>
      <c r="G8" s="4" t="s">
        <v>424</v>
      </c>
      <c r="H8" s="3" t="str">
        <f>VLOOKUP(gia_khuyen_mai[[#This Row],[Barcode]],'Giá gốc'!$A:$B,2,0)</f>
        <v>2145774</v>
      </c>
      <c r="I8" s="3" t="str">
        <f>VLOOKUP(gia_khuyen_mai[[#This Row],[Mã sản phẩm]],'Giá gốc'!$B:$C,2,0)</f>
        <v>Xúc xích Pari (50g) 500g</v>
      </c>
      <c r="J8" s="5">
        <f>VLOOKUP(gia_khuyen_mai[[#This Row],[Mã sản phẩm]],'Giá gốc'!B:D,3,0)</f>
        <v>55600</v>
      </c>
      <c r="K8" s="56">
        <v>0.22</v>
      </c>
      <c r="L8" s="6">
        <f>ROUND((1-gia_khuyen_mai[[#This Row],[% Giảm giá]]) * gia_khuyen_mai[[#This Row],[Giá gốc]], 0)</f>
        <v>43368</v>
      </c>
      <c r="M8" s="6"/>
      <c r="O8" s="3" t="str">
        <f>IFERROR(VLOOKUP(gia_khuyen_mai[[#This Row],[Mã hàng tặng]],'Giá gốc'!B:C,2,0),"")</f>
        <v/>
      </c>
      <c r="Q8" s="3" t="str">
        <f>VLOOKUP(gia_khuyen_mai[[#This Row],[Mã sản phẩm]],product[[Mã sản phẩm]:[DS - ĐV]],3,0)</f>
        <v>Food Đức Việt</v>
      </c>
    </row>
    <row r="9" spans="1:17" ht="21.75" customHeight="1">
      <c r="A9" s="29">
        <f t="shared" si="0"/>
        <v>8</v>
      </c>
      <c r="B9" s="4" t="s">
        <v>12309</v>
      </c>
      <c r="C9" s="4" t="s">
        <v>5</v>
      </c>
      <c r="D9" s="4" t="s">
        <v>496</v>
      </c>
      <c r="E9" s="23" t="s">
        <v>11231</v>
      </c>
      <c r="F9" s="4" t="s">
        <v>12310</v>
      </c>
      <c r="G9" s="3" t="s">
        <v>382</v>
      </c>
      <c r="H9" s="3" t="str">
        <f>VLOOKUP(gia_khuyen_mai[[#This Row],[Barcode]],'Giá gốc'!$A:$B,2,0)</f>
        <v>2145691</v>
      </c>
      <c r="I9" s="3" t="str">
        <f>VLOOKUP(gia_khuyen_mai[[#This Row],[Mã sản phẩm]],'Giá gốc'!$B:$C,2,0)</f>
        <v>Xúc xích viên hong khói 450g * 1EA</v>
      </c>
      <c r="J9" s="5">
        <f>VLOOKUP(gia_khuyen_mai[[#This Row],[Mã sản phẩm]],'Giá gốc'!B:D,3,0)</f>
        <v>84200</v>
      </c>
      <c r="K9" s="56"/>
      <c r="L9" s="6">
        <f>ROUND((1-gia_khuyen_mai[[#This Row],[% Giảm giá]]) * gia_khuyen_mai[[#This Row],[Giá gốc]], 0)</f>
        <v>84200</v>
      </c>
      <c r="M9" s="6" t="s">
        <v>503</v>
      </c>
      <c r="N9" s="4" t="s">
        <v>401</v>
      </c>
      <c r="O9" s="3" t="str">
        <f>IFERROR(VLOOKUP(gia_khuyen_mai[[#This Row],[Mã hàng tặng]],'Giá gốc'!B:C,2,0),"")</f>
        <v>Xúc xích phô mai Cheesy 70g * 30EA</v>
      </c>
      <c r="Q9" s="3" t="str">
        <f>VLOOKUP(gia_khuyen_mai[[#This Row],[Mã sản phẩm]],product[[Mã sản phẩm]:[DS - ĐV]],3,0)</f>
        <v>Food Đức Việt</v>
      </c>
    </row>
    <row r="10" spans="1:17" ht="21.75" customHeight="1">
      <c r="A10" s="29">
        <f t="shared" si="0"/>
        <v>9</v>
      </c>
      <c r="B10" s="4" t="s">
        <v>12317</v>
      </c>
      <c r="C10" s="4" t="s">
        <v>500</v>
      </c>
      <c r="D10" s="4" t="s">
        <v>496</v>
      </c>
      <c r="E10" s="4" t="s">
        <v>12315</v>
      </c>
      <c r="F10" s="4" t="s">
        <v>12440</v>
      </c>
      <c r="G10" s="4" t="s">
        <v>394</v>
      </c>
      <c r="H10" s="3" t="str">
        <f>VLOOKUP(gia_khuyen_mai[[#This Row],[Barcode]],'Giá gốc'!$A:$B,2,0)</f>
        <v>2145744</v>
      </c>
      <c r="I10" s="3" t="str">
        <f>VLOOKUP(gia_khuyen_mai[[#This Row],[Mã sản phẩm]],'Giá gốc'!$B:$C,2,0)</f>
        <v>Xúc xích bắp phô mai 250g</v>
      </c>
      <c r="J10" s="5">
        <f>VLOOKUP(gia_khuyen_mai[[#This Row],[Mã sản phẩm]],'Giá gốc'!B:D,3,0)</f>
        <v>49400</v>
      </c>
      <c r="K10" s="56">
        <v>0.3</v>
      </c>
      <c r="L10" s="6">
        <f>ROUND((1-gia_khuyen_mai[[#This Row],[% Giảm giá]]) * gia_khuyen_mai[[#This Row],[Giá gốc]], 0)</f>
        <v>34580</v>
      </c>
      <c r="M10" s="6"/>
      <c r="O10" s="3" t="str">
        <f>IFERROR(VLOOKUP(gia_khuyen_mai[[#This Row],[Mã hàng tặng]],'Giá gốc'!B:C,2,0),"")</f>
        <v/>
      </c>
      <c r="Q10" s="3" t="str">
        <f>VLOOKUP(gia_khuyen_mai[[#This Row],[Mã sản phẩm]],product[[Mã sản phẩm]:[DS - ĐV]],3,0)</f>
        <v>Food Đức Việt</v>
      </c>
    </row>
    <row r="11" spans="1:17" ht="21.75" customHeight="1">
      <c r="A11" s="29">
        <f t="shared" si="0"/>
        <v>10</v>
      </c>
      <c r="B11" s="4" t="s">
        <v>12317</v>
      </c>
      <c r="C11" s="4" t="s">
        <v>500</v>
      </c>
      <c r="D11" s="4" t="s">
        <v>496</v>
      </c>
      <c r="E11" s="4" t="s">
        <v>12315</v>
      </c>
      <c r="F11" s="4" t="s">
        <v>12316</v>
      </c>
      <c r="G11" s="4" t="s">
        <v>470</v>
      </c>
      <c r="H11" s="3" t="str">
        <f>VLOOKUP(gia_khuyen_mai[[#This Row],[Barcode]],'Giá gốc'!$A:$B,2,0)</f>
        <v>2145699</v>
      </c>
      <c r="I11" s="3" t="str">
        <f>VLOOKUP(gia_khuyen_mai[[#This Row],[Mã sản phẩm]],'Giá gốc'!$B:$C,2,0)</f>
        <v>Seoul's Hotdog Chiên xù 250g (Đ)</v>
      </c>
      <c r="J11" s="5">
        <f>VLOOKUP(gia_khuyen_mai[[#This Row],[Mã sản phẩm]],'Giá gốc'!B:D,3,0)</f>
        <v>39150</v>
      </c>
      <c r="K11" s="56">
        <v>0.22</v>
      </c>
      <c r="L11" s="6">
        <f>ROUND((1-gia_khuyen_mai[[#This Row],[% Giảm giá]]) * gia_khuyen_mai[[#This Row],[Giá gốc]], 0)</f>
        <v>30537</v>
      </c>
      <c r="M11" s="6"/>
      <c r="O11" s="3" t="str">
        <f>IFERROR(VLOOKUP(gia_khuyen_mai[[#This Row],[Mã hàng tặng]],'Giá gốc'!B:C,2,0),"")</f>
        <v/>
      </c>
      <c r="Q11" s="3" t="str">
        <f>VLOOKUP(gia_khuyen_mai[[#This Row],[Mã sản phẩm]],product[[Mã sản phẩm]:[DS - ĐV]],3,0)</f>
        <v>Food Đức Việt</v>
      </c>
    </row>
    <row r="12" spans="1:17" ht="21.75" customHeight="1">
      <c r="A12" s="29">
        <f t="shared" si="0"/>
        <v>11</v>
      </c>
      <c r="B12" s="4" t="s">
        <v>12317</v>
      </c>
      <c r="C12" s="4" t="s">
        <v>500</v>
      </c>
      <c r="D12" s="4" t="s">
        <v>496</v>
      </c>
      <c r="E12" s="4" t="s">
        <v>12315</v>
      </c>
      <c r="F12" s="4" t="s">
        <v>12440</v>
      </c>
      <c r="G12" s="4" t="s">
        <v>445</v>
      </c>
      <c r="H12" s="3" t="str">
        <f>VLOOKUP(gia_khuyen_mai[[#This Row],[Barcode]],'Giá gốc'!$A:$B,2,0)</f>
        <v>2145745</v>
      </c>
      <c r="I12" s="3" t="str">
        <f>VLOOKUP(gia_khuyen_mai[[#This Row],[Mã sản phẩm]],'Giá gốc'!$B:$C,2,0)</f>
        <v>Jăm bông hấp 200g</v>
      </c>
      <c r="J12" s="5">
        <f>VLOOKUP(gia_khuyen_mai[[#This Row],[Mã sản phẩm]],'Giá gốc'!B:D,3,0)</f>
        <v>37000</v>
      </c>
      <c r="K12" s="56">
        <v>0.15</v>
      </c>
      <c r="L12" s="6">
        <f>ROUND((1-gia_khuyen_mai[[#This Row],[% Giảm giá]]) * gia_khuyen_mai[[#This Row],[Giá gốc]], 0)</f>
        <v>31450</v>
      </c>
      <c r="M12" s="6"/>
      <c r="O12" s="3" t="str">
        <f>IFERROR(VLOOKUP(gia_khuyen_mai[[#This Row],[Mã hàng tặng]],'Giá gốc'!B:C,2,0),"")</f>
        <v/>
      </c>
      <c r="Q12" s="3" t="str">
        <f>VLOOKUP(gia_khuyen_mai[[#This Row],[Mã sản phẩm]],product[[Mã sản phẩm]:[DS - ĐV]],3,0)</f>
        <v>Food Đức Việt</v>
      </c>
    </row>
    <row r="13" spans="1:17" ht="21.75" customHeight="1">
      <c r="A13" s="29">
        <f t="shared" si="0"/>
        <v>12</v>
      </c>
      <c r="B13" s="4" t="s">
        <v>12317</v>
      </c>
      <c r="C13" s="4" t="s">
        <v>500</v>
      </c>
      <c r="D13" s="4" t="s">
        <v>496</v>
      </c>
      <c r="E13" s="4" t="s">
        <v>12315</v>
      </c>
      <c r="F13" s="4" t="s">
        <v>12316</v>
      </c>
      <c r="G13" s="4" t="s">
        <v>409</v>
      </c>
      <c r="H13" s="3" t="str">
        <f>VLOOKUP(gia_khuyen_mai[[#This Row],[Barcode]],'Giá gốc'!$A:$B,2,0)</f>
        <v>2145765</v>
      </c>
      <c r="I13" s="3" t="str">
        <f>VLOOKUP(gia_khuyen_mai[[#This Row],[Mã sản phẩm]],'Giá gốc'!$B:$C,2,0)</f>
        <v>Xúc xích Hotdog 200g</v>
      </c>
      <c r="J13" s="5">
        <f>VLOOKUP(gia_khuyen_mai[[#This Row],[Mã sản phẩm]],'Giá gốc'!B:D,3,0)</f>
        <v>20100</v>
      </c>
      <c r="K13" s="56">
        <v>0.2</v>
      </c>
      <c r="L13" s="6">
        <f>ROUND((1-gia_khuyen_mai[[#This Row],[% Giảm giá]]) * gia_khuyen_mai[[#This Row],[Giá gốc]], 0)</f>
        <v>16080</v>
      </c>
      <c r="M13" s="6"/>
      <c r="O13" s="3" t="str">
        <f>IFERROR(VLOOKUP(gia_khuyen_mai[[#This Row],[Mã hàng tặng]],'Giá gốc'!B:C,2,0),"")</f>
        <v/>
      </c>
      <c r="Q13" s="3" t="str">
        <f>VLOOKUP(gia_khuyen_mai[[#This Row],[Mã sản phẩm]],product[[Mã sản phẩm]:[DS - ĐV]],3,0)</f>
        <v>Food Đức Việt</v>
      </c>
    </row>
    <row r="14" spans="1:17" ht="21.75" customHeight="1">
      <c r="A14" s="29">
        <f t="shared" si="0"/>
        <v>13</v>
      </c>
      <c r="B14" s="4" t="s">
        <v>12317</v>
      </c>
      <c r="C14" s="4" t="s">
        <v>500</v>
      </c>
      <c r="D14" s="4" t="s">
        <v>496</v>
      </c>
      <c r="E14" s="4" t="s">
        <v>12315</v>
      </c>
      <c r="F14" s="4" t="s">
        <v>12316</v>
      </c>
      <c r="G14" s="4" t="s">
        <v>376</v>
      </c>
      <c r="H14" s="3" t="str">
        <f>VLOOKUP(gia_khuyen_mai[[#This Row],[Barcode]],'Giá gốc'!$A:$B,2,0)</f>
        <v>2145690</v>
      </c>
      <c r="I14" s="3" t="str">
        <f>VLOOKUP(gia_khuyen_mai[[#This Row],[Mã sản phẩm]],'Giá gốc'!$B:$C,2,0)</f>
        <v>Xúc xích vườn bia 200g * 1EA</v>
      </c>
      <c r="J14" s="5">
        <f>VLOOKUP(gia_khuyen_mai[[#This Row],[Mã sản phẩm]],'Giá gốc'!B:D,3,0)</f>
        <v>38400</v>
      </c>
      <c r="K14" s="56">
        <v>0.2</v>
      </c>
      <c r="L14" s="6">
        <f>ROUND((1-gia_khuyen_mai[[#This Row],[% Giảm giá]]) * gia_khuyen_mai[[#This Row],[Giá gốc]], 0)</f>
        <v>30720</v>
      </c>
      <c r="M14" s="6"/>
      <c r="O14" s="3" t="str">
        <f>IFERROR(VLOOKUP(gia_khuyen_mai[[#This Row],[Mã hàng tặng]],'Giá gốc'!B:C,2,0),"")</f>
        <v/>
      </c>
      <c r="Q14" s="3" t="str">
        <f>VLOOKUP(gia_khuyen_mai[[#This Row],[Mã sản phẩm]],product[[Mã sản phẩm]:[DS - ĐV]],3,0)</f>
        <v>Food Đức Việt</v>
      </c>
    </row>
    <row r="15" spans="1:17" ht="21.75" customHeight="1">
      <c r="A15" s="29">
        <f t="shared" si="0"/>
        <v>14</v>
      </c>
      <c r="B15" s="4" t="s">
        <v>12317</v>
      </c>
      <c r="C15" s="4" t="s">
        <v>500</v>
      </c>
      <c r="D15" s="4" t="s">
        <v>496</v>
      </c>
      <c r="E15" s="4" t="s">
        <v>12315</v>
      </c>
      <c r="F15" s="4" t="s">
        <v>12316</v>
      </c>
      <c r="G15" s="4" t="s">
        <v>403</v>
      </c>
      <c r="H15" s="3" t="str">
        <f>VLOOKUP(gia_khuyen_mai[[#This Row],[Barcode]],'Giá gốc'!$A:$B,2,0)</f>
        <v>2145762</v>
      </c>
      <c r="I15" s="3" t="str">
        <f>VLOOKUP(gia_khuyen_mai[[#This Row],[Mã sản phẩm]],'Giá gốc'!$B:$C,2,0)</f>
        <v>Xúc xích Cocktail 200g</v>
      </c>
      <c r="J15" s="5">
        <f>VLOOKUP(gia_khuyen_mai[[#This Row],[Mã sản phẩm]],'Giá gốc'!B:D,3,0)</f>
        <v>21100</v>
      </c>
      <c r="K15" s="56">
        <v>0.2</v>
      </c>
      <c r="L15" s="6">
        <f>ROUND((1-gia_khuyen_mai[[#This Row],[% Giảm giá]]) * gia_khuyen_mai[[#This Row],[Giá gốc]], 0)</f>
        <v>16880</v>
      </c>
      <c r="M15" s="6"/>
      <c r="O15" s="3" t="str">
        <f>IFERROR(VLOOKUP(gia_khuyen_mai[[#This Row],[Mã hàng tặng]],'Giá gốc'!B:C,2,0),"")</f>
        <v/>
      </c>
      <c r="Q15" s="3" t="str">
        <f>VLOOKUP(gia_khuyen_mai[[#This Row],[Mã sản phẩm]],product[[Mã sản phẩm]:[DS - ĐV]],3,0)</f>
        <v>Food Đức Việt</v>
      </c>
    </row>
    <row r="16" spans="1:17" ht="21.75" customHeight="1">
      <c r="A16" s="29">
        <f t="shared" si="0"/>
        <v>15</v>
      </c>
      <c r="B16" s="4" t="s">
        <v>12317</v>
      </c>
      <c r="C16" s="4" t="s">
        <v>500</v>
      </c>
      <c r="D16" s="4" t="s">
        <v>496</v>
      </c>
      <c r="E16" s="4" t="s">
        <v>12315</v>
      </c>
      <c r="F16" s="4" t="s">
        <v>12440</v>
      </c>
      <c r="G16" s="4" t="s">
        <v>479</v>
      </c>
      <c r="H16" s="3" t="str">
        <f>VLOOKUP(gia_khuyen_mai[[#This Row],[Barcode]],'Giá gốc'!$A:$B,2,0)</f>
        <v>2150338</v>
      </c>
      <c r="I16" s="3" t="str">
        <f>VLOOKUP(gia_khuyen_mai[[#This Row],[Mã sản phẩm]],'Giá gốc'!$B:$C,2,0)</f>
        <v>O'food Chả giò da xốp hải sản 300g</v>
      </c>
      <c r="J16" s="5">
        <f>VLOOKUP(gia_khuyen_mai[[#This Row],[Mã sản phẩm]],'Giá gốc'!B:D,3,0)</f>
        <v>31524</v>
      </c>
      <c r="K16" s="56">
        <v>0.3</v>
      </c>
      <c r="L16" s="6">
        <f>ROUND((1-gia_khuyen_mai[[#This Row],[% Giảm giá]]) * gia_khuyen_mai[[#This Row],[Giá gốc]], 0)</f>
        <v>22067</v>
      </c>
      <c r="M16" s="6"/>
      <c r="O16" s="3" t="str">
        <f>IFERROR(VLOOKUP(gia_khuyen_mai[[#This Row],[Mã hàng tặng]],'Giá gốc'!B:C,2,0),"")</f>
        <v/>
      </c>
      <c r="Q16" s="3" t="str">
        <f>VLOOKUP(gia_khuyen_mai[[#This Row],[Mã sản phẩm]],product[[Mã sản phẩm]:[DS - ĐV]],3,0)</f>
        <v>Food Đức Việt</v>
      </c>
    </row>
    <row r="17" spans="1:17" ht="21.75" customHeight="1">
      <c r="A17" s="29">
        <f t="shared" si="0"/>
        <v>16</v>
      </c>
      <c r="B17" s="4" t="s">
        <v>12317</v>
      </c>
      <c r="C17" s="4" t="s">
        <v>500</v>
      </c>
      <c r="D17" s="4" t="s">
        <v>496</v>
      </c>
      <c r="E17" s="4" t="s">
        <v>12315</v>
      </c>
      <c r="F17" s="4" t="s">
        <v>12316</v>
      </c>
      <c r="G17" s="4" t="s">
        <v>382</v>
      </c>
      <c r="H17" s="3" t="str">
        <f>VLOOKUP(gia_khuyen_mai[[#This Row],[Barcode]],'Giá gốc'!$A:$B,2,0)</f>
        <v>2145691</v>
      </c>
      <c r="I17" s="3" t="str">
        <f>VLOOKUP(gia_khuyen_mai[[#This Row],[Mã sản phẩm]],'Giá gốc'!$B:$C,2,0)</f>
        <v>Xúc xích viên hong khói 450g * 1EA</v>
      </c>
      <c r="J17" s="5">
        <f>VLOOKUP(gia_khuyen_mai[[#This Row],[Mã sản phẩm]],'Giá gốc'!B:D,3,0)</f>
        <v>84200</v>
      </c>
      <c r="K17" s="56"/>
      <c r="L17" s="6">
        <f>ROUND((1-gia_khuyen_mai[[#This Row],[% Giảm giá]]) * gia_khuyen_mai[[#This Row],[Giá gốc]], 0)</f>
        <v>84200</v>
      </c>
      <c r="M17" s="6" t="s">
        <v>503</v>
      </c>
      <c r="N17" s="3" t="s">
        <v>410</v>
      </c>
      <c r="O17" s="3" t="str">
        <f>IFERROR(VLOOKUP(gia_khuyen_mai[[#This Row],[Mã hàng tặng]],'Giá gốc'!B:C,2,0),"")</f>
        <v>Xúc xích Hotdog 200g</v>
      </c>
      <c r="Q17" s="3" t="str">
        <f>VLOOKUP(gia_khuyen_mai[[#This Row],[Mã sản phẩm]],product[[Mã sản phẩm]:[DS - ĐV]],3,0)</f>
        <v>Food Đức Việt</v>
      </c>
    </row>
    <row r="18" spans="1:17" ht="21.75" customHeight="1">
      <c r="A18" s="29">
        <f t="shared" si="0"/>
        <v>17</v>
      </c>
      <c r="B18" s="4" t="s">
        <v>12342</v>
      </c>
      <c r="C18" s="4" t="s">
        <v>500</v>
      </c>
      <c r="D18" s="4" t="s">
        <v>496</v>
      </c>
      <c r="E18" s="4" t="s">
        <v>11233</v>
      </c>
      <c r="F18" s="4" t="s">
        <v>12343</v>
      </c>
      <c r="G18" s="4" t="s">
        <v>379</v>
      </c>
      <c r="H18" s="3" t="str">
        <f>VLOOKUP(gia_khuyen_mai[[#This Row],[Barcode]],'Giá gốc'!$A:$B,2,0)</f>
        <v>2145689</v>
      </c>
      <c r="I18" s="3" t="str">
        <f>VLOOKUP(gia_khuyen_mai[[#This Row],[Mã sản phẩm]],'Giá gốc'!$B:$C,2,0)</f>
        <v>Xúc xích vườn bia 450g * 1EA</v>
      </c>
      <c r="J18" s="5">
        <f>VLOOKUP(gia_khuyen_mai[[#This Row],[Mã sản phẩm]],'Giá gốc'!B:D,3,0)</f>
        <v>84200</v>
      </c>
      <c r="K18" s="56"/>
      <c r="L18" s="6">
        <f>ROUND((1-gia_khuyen_mai[[#This Row],[% Giảm giá]]) * gia_khuyen_mai[[#This Row],[Giá gốc]], 0)</f>
        <v>84200</v>
      </c>
      <c r="M18" s="6" t="s">
        <v>503</v>
      </c>
      <c r="N18" s="3" t="s">
        <v>410</v>
      </c>
      <c r="O18" s="3" t="str">
        <f>IFERROR(VLOOKUP(gia_khuyen_mai[[#This Row],[Mã hàng tặng]],'Giá gốc'!B:C,2,0),"")</f>
        <v>Xúc xích Hotdog 200g</v>
      </c>
      <c r="Q18" s="3" t="str">
        <f>VLOOKUP(gia_khuyen_mai[[#This Row],[Mã sản phẩm]],product[[Mã sản phẩm]:[DS - ĐV]],3,0)</f>
        <v>Food Đức Việt</v>
      </c>
    </row>
    <row r="19" spans="1:17" ht="21.75" customHeight="1">
      <c r="A19" s="29">
        <f t="shared" si="0"/>
        <v>18</v>
      </c>
      <c r="B19" s="4" t="s">
        <v>12342</v>
      </c>
      <c r="C19" s="4" t="s">
        <v>500</v>
      </c>
      <c r="D19" s="4" t="s">
        <v>496</v>
      </c>
      <c r="E19" s="4" t="s">
        <v>11233</v>
      </c>
      <c r="F19" s="4" t="s">
        <v>12343</v>
      </c>
      <c r="G19" s="4" t="s">
        <v>427</v>
      </c>
      <c r="H19" s="3" t="str">
        <f>VLOOKUP(gia_khuyen_mai[[#This Row],[Barcode]],'Giá gốc'!$A:$B,2,0)</f>
        <v>2145743</v>
      </c>
      <c r="I19" s="3" t="str">
        <f>VLOOKUP(gia_khuyen_mai[[#This Row],[Mã sản phẩm]],'Giá gốc'!$B:$C,2,0)</f>
        <v>Xúc xích sụn nướng Bulgogi 450g</v>
      </c>
      <c r="J19" s="5">
        <f>VLOOKUP(gia_khuyen_mai[[#This Row],[Mã sản phẩm]],'Giá gốc'!B:D,3,0)</f>
        <v>74500</v>
      </c>
      <c r="K19" s="56">
        <v>0.3</v>
      </c>
      <c r="L19" s="6">
        <f>ROUND((1-gia_khuyen_mai[[#This Row],[% Giảm giá]]) * gia_khuyen_mai[[#This Row],[Giá gốc]], 0)</f>
        <v>52150</v>
      </c>
      <c r="M19" s="6"/>
      <c r="O19" s="3" t="str">
        <f>IFERROR(VLOOKUP(gia_khuyen_mai[[#This Row],[Mã hàng tặng]],'Giá gốc'!B:C,2,0),"")</f>
        <v/>
      </c>
      <c r="Q19" s="3" t="str">
        <f>VLOOKUP(gia_khuyen_mai[[#This Row],[Mã sản phẩm]],product[[Mã sản phẩm]:[DS - ĐV]],3,0)</f>
        <v>Food Đức Việt</v>
      </c>
    </row>
    <row r="20" spans="1:17" ht="21.75" customHeight="1">
      <c r="A20" s="29">
        <f t="shared" si="0"/>
        <v>19</v>
      </c>
      <c r="B20" s="4" t="s">
        <v>12342</v>
      </c>
      <c r="C20" s="4" t="s">
        <v>500</v>
      </c>
      <c r="D20" s="4" t="s">
        <v>496</v>
      </c>
      <c r="E20" s="4" t="s">
        <v>11233</v>
      </c>
      <c r="F20" s="4" t="s">
        <v>12343</v>
      </c>
      <c r="G20" s="3" t="s">
        <v>370</v>
      </c>
      <c r="H20" s="3" t="str">
        <f>VLOOKUP(gia_khuyen_mai[[#This Row],[Barcode]],'Giá gốc'!$A:$B,2,0)</f>
        <v>2145688</v>
      </c>
      <c r="I20" s="3" t="str">
        <f>VLOOKUP(gia_khuyen_mai[[#This Row],[Mã sản phẩm]],'Giá gốc'!$B:$C,2,0)</f>
        <v>Xúc xích hong khói 200g * 1EA</v>
      </c>
      <c r="J20" s="5">
        <f>VLOOKUP(gia_khuyen_mai[[#This Row],[Mã sản phẩm]],'Giá gốc'!B:D,3,0)</f>
        <v>35200</v>
      </c>
      <c r="K20" s="56">
        <v>0.2</v>
      </c>
      <c r="L20" s="6">
        <f>ROUND((1-gia_khuyen_mai[[#This Row],[% Giảm giá]]) * gia_khuyen_mai[[#This Row],[Giá gốc]], 0)</f>
        <v>28160</v>
      </c>
      <c r="M20" s="6"/>
      <c r="O20" s="3" t="str">
        <f>IFERROR(VLOOKUP(gia_khuyen_mai[[#This Row],[Mã hàng tặng]],'Giá gốc'!B:C,2,0),"")</f>
        <v/>
      </c>
      <c r="Q20" s="3" t="str">
        <f>VLOOKUP(gia_khuyen_mai[[#This Row],[Mã sản phẩm]],product[[Mã sản phẩm]:[DS - ĐV]],3,0)</f>
        <v>Food Đức Việt</v>
      </c>
    </row>
    <row r="21" spans="1:17" ht="21.75" customHeight="1">
      <c r="A21" s="29">
        <f t="shared" si="0"/>
        <v>20</v>
      </c>
      <c r="B21" s="4" t="s">
        <v>12342</v>
      </c>
      <c r="C21" s="4" t="s">
        <v>500</v>
      </c>
      <c r="D21" s="4" t="s">
        <v>496</v>
      </c>
      <c r="E21" s="4" t="s">
        <v>11233</v>
      </c>
      <c r="F21" s="4" t="s">
        <v>12343</v>
      </c>
      <c r="G21" s="3" t="s">
        <v>452</v>
      </c>
      <c r="H21" s="3" t="str">
        <f>VLOOKUP(gia_khuyen_mai[[#This Row],[Barcode]],'Giá gốc'!$A:$B,2,0)</f>
        <v>2145648</v>
      </c>
      <c r="I21" s="3" t="str">
        <f>VLOOKUP(gia_khuyen_mai[[#This Row],[Mã sản phẩm]],'Giá gốc'!$B:$C,2,0)</f>
        <v>Đức Việt Handy - xúc xích ăn liền vị heo 105g * 20EA</v>
      </c>
      <c r="J21" s="5">
        <f>VLOOKUP(gia_khuyen_mai[[#This Row],[Mã sản phẩm]],'Giá gốc'!B:D,3,0)</f>
        <v>9300</v>
      </c>
      <c r="K21" s="56">
        <v>0.22</v>
      </c>
      <c r="L21" s="6">
        <f>ROUND((1-gia_khuyen_mai[[#This Row],[% Giảm giá]]) * gia_khuyen_mai[[#This Row],[Giá gốc]], 0)</f>
        <v>7254</v>
      </c>
      <c r="M21" s="6"/>
      <c r="O21" s="3" t="str">
        <f>IFERROR(VLOOKUP(gia_khuyen_mai[[#This Row],[Mã hàng tặng]],'Giá gốc'!B:C,2,0),"")</f>
        <v/>
      </c>
      <c r="Q21" s="3" t="str">
        <f>VLOOKUP(gia_khuyen_mai[[#This Row],[Mã sản phẩm]],product[[Mã sản phẩm]:[DS - ĐV]],3,0)</f>
        <v>Food Đức Việt</v>
      </c>
    </row>
    <row r="22" spans="1:17" ht="21.75" customHeight="1">
      <c r="A22" s="29">
        <f t="shared" si="0"/>
        <v>21</v>
      </c>
      <c r="B22" s="4" t="s">
        <v>12342</v>
      </c>
      <c r="C22" s="4" t="s">
        <v>500</v>
      </c>
      <c r="D22" s="4" t="s">
        <v>496</v>
      </c>
      <c r="E22" s="4" t="s">
        <v>11233</v>
      </c>
      <c r="F22" s="4" t="s">
        <v>12343</v>
      </c>
      <c r="G22" s="3" t="s">
        <v>455</v>
      </c>
      <c r="H22" s="3" t="str">
        <f>VLOOKUP(gia_khuyen_mai[[#This Row],[Barcode]],'Giá gốc'!$A:$B,2,0)</f>
        <v>2145657</v>
      </c>
      <c r="I22" s="3" t="str">
        <f>VLOOKUP(gia_khuyen_mai[[#This Row],[Mã sản phẩm]],'Giá gốc'!$B:$C,2,0)</f>
        <v>Đức Việt Handy - xúc xích ăn liền vị bò 105g * 20EA</v>
      </c>
      <c r="J22" s="5">
        <f>VLOOKUP(gia_khuyen_mai[[#This Row],[Mã sản phẩm]],'Giá gốc'!B:D,3,0)</f>
        <v>9300</v>
      </c>
      <c r="K22" s="56">
        <v>0.22</v>
      </c>
      <c r="L22" s="6">
        <f>ROUND((1-gia_khuyen_mai[[#This Row],[% Giảm giá]]) * gia_khuyen_mai[[#This Row],[Giá gốc]], 0)</f>
        <v>7254</v>
      </c>
      <c r="M22" s="6"/>
      <c r="O22" s="3" t="str">
        <f>IFERROR(VLOOKUP(gia_khuyen_mai[[#This Row],[Mã hàng tặng]],'Giá gốc'!B:C,2,0),"")</f>
        <v/>
      </c>
      <c r="Q22" s="3" t="str">
        <f>VLOOKUP(gia_khuyen_mai[[#This Row],[Mã sản phẩm]],product[[Mã sản phẩm]:[DS - ĐV]],3,0)</f>
        <v>Food Đức Việt</v>
      </c>
    </row>
    <row r="23" spans="1:17" ht="21.75" customHeight="1">
      <c r="A23" s="29">
        <f t="shared" si="0"/>
        <v>22</v>
      </c>
      <c r="B23" s="4" t="s">
        <v>12342</v>
      </c>
      <c r="C23" s="4" t="s">
        <v>500</v>
      </c>
      <c r="D23" s="4" t="s">
        <v>496</v>
      </c>
      <c r="E23" s="4" t="s">
        <v>11233</v>
      </c>
      <c r="F23" s="4" t="s">
        <v>12343</v>
      </c>
      <c r="G23" s="3" t="s">
        <v>442</v>
      </c>
      <c r="H23" s="3" t="str">
        <f>VLOOKUP(gia_khuyen_mai[[#This Row],[Barcode]],'Giá gốc'!$A:$B,2,0)</f>
        <v>2145735</v>
      </c>
      <c r="I23" s="3" t="str">
        <f>VLOOKUP(gia_khuyen_mai[[#This Row],[Mã sản phẩm]],'Giá gốc'!$B:$C,2,0)</f>
        <v>Xúc xích tỏi 200g</v>
      </c>
      <c r="J23" s="5">
        <f>VLOOKUP(gia_khuyen_mai[[#This Row],[Mã sản phẩm]],'Giá gốc'!B:D,3,0)</f>
        <v>37000</v>
      </c>
      <c r="K23" s="56">
        <v>0.15</v>
      </c>
      <c r="L23" s="6">
        <f>ROUND((1-gia_khuyen_mai[[#This Row],[% Giảm giá]]) * gia_khuyen_mai[[#This Row],[Giá gốc]], 0)</f>
        <v>31450</v>
      </c>
      <c r="M23" s="6"/>
      <c r="O23" s="3" t="str">
        <f>IFERROR(VLOOKUP(gia_khuyen_mai[[#This Row],[Mã hàng tặng]],'Giá gốc'!B:C,2,0),"")</f>
        <v/>
      </c>
      <c r="Q23" s="3" t="str">
        <f>VLOOKUP(gia_khuyen_mai[[#This Row],[Mã sản phẩm]],product[[Mã sản phẩm]:[DS - ĐV]],3,0)</f>
        <v>Food Đức Việt</v>
      </c>
    </row>
    <row r="24" spans="1:17" ht="21.75" customHeight="1">
      <c r="A24" s="29">
        <f t="shared" si="0"/>
        <v>23</v>
      </c>
      <c r="B24" s="4" t="s">
        <v>12342</v>
      </c>
      <c r="C24" s="4" t="s">
        <v>500</v>
      </c>
      <c r="D24" s="4" t="s">
        <v>496</v>
      </c>
      <c r="E24" s="4" t="s">
        <v>11233</v>
      </c>
      <c r="F24" s="4" t="s">
        <v>12343</v>
      </c>
      <c r="G24" s="3" t="s">
        <v>448</v>
      </c>
      <c r="H24" s="3" t="str">
        <f>VLOOKUP(gia_khuyen_mai[[#This Row],[Barcode]],'Giá gốc'!$A:$B,2,0)</f>
        <v>2145695</v>
      </c>
      <c r="I24" s="3" t="str">
        <f>VLOOKUP(gia_khuyen_mai[[#This Row],[Mã sản phẩm]],'Giá gốc'!$B:$C,2,0)</f>
        <v>Seoul's Hotdog 350g</v>
      </c>
      <c r="J24" s="5">
        <f>VLOOKUP(gia_khuyen_mai[[#This Row],[Mã sản phẩm]],'Giá gốc'!B:D,3,0)</f>
        <v>48384</v>
      </c>
      <c r="K24" s="56">
        <v>0.25</v>
      </c>
      <c r="L24" s="6">
        <f>ROUND((1-gia_khuyen_mai[[#This Row],[% Giảm giá]]) * gia_khuyen_mai[[#This Row],[Giá gốc]], 0)</f>
        <v>36288</v>
      </c>
      <c r="M24" s="6"/>
      <c r="O24" s="3" t="str">
        <f>IFERROR(VLOOKUP(gia_khuyen_mai[[#This Row],[Mã hàng tặng]],'Giá gốc'!B:C,2,0),"")</f>
        <v/>
      </c>
      <c r="Q24" s="3" t="str">
        <f>VLOOKUP(gia_khuyen_mai[[#This Row],[Mã sản phẩm]],product[[Mã sản phẩm]:[DS - ĐV]],3,0)</f>
        <v>Food Đức Việt</v>
      </c>
    </row>
    <row r="25" spans="1:17" ht="21.75" customHeight="1">
      <c r="A25" s="29">
        <f t="shared" si="0"/>
        <v>24</v>
      </c>
      <c r="B25" s="4" t="s">
        <v>12342</v>
      </c>
      <c r="C25" s="4" t="s">
        <v>500</v>
      </c>
      <c r="D25" s="4" t="s">
        <v>496</v>
      </c>
      <c r="E25" s="4" t="s">
        <v>11233</v>
      </c>
      <c r="F25" s="4" t="s">
        <v>12343</v>
      </c>
      <c r="G25" s="3" t="s">
        <v>451</v>
      </c>
      <c r="H25" s="3" t="str">
        <f>VLOOKUP(gia_khuyen_mai[[#This Row],[Barcode]],'Giá gốc'!$A:$B,2,0)</f>
        <v>2145697</v>
      </c>
      <c r="I25" s="3" t="str">
        <f>VLOOKUP(gia_khuyen_mai[[#This Row],[Mã sản phẩm]],'Giá gốc'!$B:$C,2,0)</f>
        <v>Seoul nhân phô mai 250g</v>
      </c>
      <c r="J25" s="5">
        <f>VLOOKUP(gia_khuyen_mai[[#This Row],[Mã sản phẩm]],'Giá gốc'!B:D,3,0)</f>
        <v>42000</v>
      </c>
      <c r="K25" s="56">
        <v>0.25</v>
      </c>
      <c r="L25" s="6">
        <f>ROUND((1-gia_khuyen_mai[[#This Row],[% Giảm giá]]) * gia_khuyen_mai[[#This Row],[Giá gốc]], 0)</f>
        <v>31500</v>
      </c>
      <c r="M25" s="6"/>
      <c r="O25" s="3" t="str">
        <f>IFERROR(VLOOKUP(gia_khuyen_mai[[#This Row],[Mã hàng tặng]],'Giá gốc'!B:C,2,0),"")</f>
        <v/>
      </c>
      <c r="Q25" s="3" t="str">
        <f>VLOOKUP(gia_khuyen_mai[[#This Row],[Mã sản phẩm]],product[[Mã sản phẩm]:[DS - ĐV]],3,0)</f>
        <v>Food Đức Việt</v>
      </c>
    </row>
    <row r="26" spans="1:17" ht="21.75" customHeight="1">
      <c r="A26" s="29">
        <f t="shared" si="0"/>
        <v>25</v>
      </c>
      <c r="B26" s="4" t="s">
        <v>12342</v>
      </c>
      <c r="C26" s="4" t="s">
        <v>500</v>
      </c>
      <c r="D26" s="4" t="s">
        <v>496</v>
      </c>
      <c r="E26" s="4" t="s">
        <v>11233</v>
      </c>
      <c r="F26" s="4" t="s">
        <v>12343</v>
      </c>
      <c r="G26" s="3" t="s">
        <v>400</v>
      </c>
      <c r="H26" s="3" t="str">
        <f>VLOOKUP(gia_khuyen_mai[[#This Row],[Barcode]],'Giá gốc'!$A:$B,2,0)</f>
        <v>2145740</v>
      </c>
      <c r="I26" s="3" t="str">
        <f>VLOOKUP(gia_khuyen_mai[[#This Row],[Mã sản phẩm]],'Giá gốc'!$B:$C,2,0)</f>
        <v>Xúc xích phô mai Cheesy 70g * 30EA</v>
      </c>
      <c r="J26" s="5">
        <f>VLOOKUP(gia_khuyen_mai[[#This Row],[Mã sản phẩm]],'Giá gốc'!B:D,3,0)</f>
        <v>17100</v>
      </c>
      <c r="K26" s="56">
        <v>0.2</v>
      </c>
      <c r="L26" s="6">
        <f>ROUND((1-gia_khuyen_mai[[#This Row],[% Giảm giá]]) * gia_khuyen_mai[[#This Row],[Giá gốc]], 0)</f>
        <v>13680</v>
      </c>
      <c r="M26" s="6"/>
      <c r="O26" s="3" t="str">
        <f>IFERROR(VLOOKUP(gia_khuyen_mai[[#This Row],[Mã hàng tặng]],'Giá gốc'!B:C,2,0),"")</f>
        <v/>
      </c>
      <c r="Q26" s="3" t="str">
        <f>VLOOKUP(gia_khuyen_mai[[#This Row],[Mã sản phẩm]],product[[Mã sản phẩm]:[DS - ĐV]],3,0)</f>
        <v>Food Đức Việt</v>
      </c>
    </row>
    <row r="27" spans="1:17" ht="21.75" customHeight="1">
      <c r="A27" s="29">
        <f t="shared" si="0"/>
        <v>26</v>
      </c>
      <c r="B27" s="4" t="s">
        <v>12342</v>
      </c>
      <c r="C27" s="4" t="s">
        <v>500</v>
      </c>
      <c r="D27" s="4" t="s">
        <v>496</v>
      </c>
      <c r="E27" s="4" t="s">
        <v>11233</v>
      </c>
      <c r="F27" s="4" t="s">
        <v>12343</v>
      </c>
      <c r="G27" s="3" t="s">
        <v>421</v>
      </c>
      <c r="H27" s="3" t="str">
        <f>VLOOKUP(gia_khuyen_mai[[#This Row],[Barcode]],'Giá gốc'!$A:$B,2,0)</f>
        <v>2145791</v>
      </c>
      <c r="I27" s="3" t="str">
        <f>VLOOKUP(gia_khuyen_mai[[#This Row],[Mã sản phẩm]],'Giá gốc'!$B:$C,2,0)</f>
        <v>Xúc xích Romas 70g * 30EA</v>
      </c>
      <c r="J27" s="5">
        <f>VLOOKUP(gia_khuyen_mai[[#This Row],[Mã sản phẩm]],'Giá gốc'!B:D,3,0)</f>
        <v>13100</v>
      </c>
      <c r="K27" s="56">
        <v>0.2</v>
      </c>
      <c r="L27" s="6">
        <f>ROUND((1-gia_khuyen_mai[[#This Row],[% Giảm giá]]) * gia_khuyen_mai[[#This Row],[Giá gốc]], 0)</f>
        <v>10480</v>
      </c>
      <c r="M27" s="6"/>
      <c r="O27" s="3" t="str">
        <f>IFERROR(VLOOKUP(gia_khuyen_mai[[#This Row],[Mã hàng tặng]],'Giá gốc'!B:C,2,0),"")</f>
        <v/>
      </c>
      <c r="Q27" s="3" t="str">
        <f>VLOOKUP(gia_khuyen_mai[[#This Row],[Mã sản phẩm]],product[[Mã sản phẩm]:[DS - ĐV]],3,0)</f>
        <v>Food Đức Việt</v>
      </c>
    </row>
    <row r="28" spans="1:17" ht="21.75" customHeight="1">
      <c r="A28" s="29">
        <f t="shared" si="0"/>
        <v>27</v>
      </c>
      <c r="B28" s="4" t="s">
        <v>12342</v>
      </c>
      <c r="C28" s="4" t="s">
        <v>500</v>
      </c>
      <c r="D28" s="4" t="s">
        <v>496</v>
      </c>
      <c r="E28" s="4" t="s">
        <v>11233</v>
      </c>
      <c r="F28" s="4" t="s">
        <v>12343</v>
      </c>
      <c r="G28" s="3" t="s">
        <v>415</v>
      </c>
      <c r="H28" s="3" t="str">
        <f>VLOOKUP(gia_khuyen_mai[[#This Row],[Barcode]],'Giá gốc'!$A:$B,2,0)</f>
        <v>2145767</v>
      </c>
      <c r="I28" s="3" t="str">
        <f>VLOOKUP(gia_khuyen_mai[[#This Row],[Mã sản phẩm]],'Giá gốc'!$B:$C,2,0)</f>
        <v>Xúc xích Mỹ 500g</v>
      </c>
      <c r="J28" s="5">
        <f>VLOOKUP(gia_khuyen_mai[[#This Row],[Mã sản phẩm]],'Giá gốc'!B:D,3,0)</f>
        <v>55600</v>
      </c>
      <c r="K28" s="56">
        <v>0.22</v>
      </c>
      <c r="L28" s="6">
        <f>ROUND((1-gia_khuyen_mai[[#This Row],[% Giảm giá]]) * gia_khuyen_mai[[#This Row],[Giá gốc]], 0)</f>
        <v>43368</v>
      </c>
      <c r="M28" s="6"/>
      <c r="O28" s="3" t="str">
        <f>IFERROR(VLOOKUP(gia_khuyen_mai[[#This Row],[Mã hàng tặng]],'Giá gốc'!B:C,2,0),"")</f>
        <v/>
      </c>
      <c r="Q28" s="3" t="str">
        <f>VLOOKUP(gia_khuyen_mai[[#This Row],[Mã sản phẩm]],product[[Mã sản phẩm]:[DS - ĐV]],3,0)</f>
        <v>Food Đức Việt</v>
      </c>
    </row>
    <row r="29" spans="1:17" ht="21.75" customHeight="1">
      <c r="A29" s="29">
        <f t="shared" si="0"/>
        <v>28</v>
      </c>
      <c r="B29" s="4" t="s">
        <v>12438</v>
      </c>
      <c r="C29" s="4" t="s">
        <v>500</v>
      </c>
      <c r="D29" s="4" t="s">
        <v>496</v>
      </c>
      <c r="E29" s="4" t="s">
        <v>12316</v>
      </c>
      <c r="F29" s="4" t="s">
        <v>12439</v>
      </c>
      <c r="G29" s="7" t="s">
        <v>433</v>
      </c>
      <c r="H29" s="3" t="str">
        <f>VLOOKUP(gia_khuyen_mai[[#This Row],[Barcode]],'Giá gốc'!$A:$B,2,0)</f>
        <v>2146417</v>
      </c>
      <c r="I29" s="3" t="str">
        <f>VLOOKUP(gia_khuyen_mai[[#This Row],[Mã sản phẩm]],'Giá gốc'!$B:$C,2,0)</f>
        <v>Chân giò hong khói rút xương 300g</v>
      </c>
      <c r="J29" s="5">
        <f>VLOOKUP(gia_khuyen_mai[[#This Row],[Mã sản phẩm]],'Giá gốc'!B:D,3,0)</f>
        <v>67700</v>
      </c>
      <c r="K29" s="56">
        <v>0.2</v>
      </c>
      <c r="L29" s="6">
        <f>ROUND((1-gia_khuyen_mai[[#This Row],[% Giảm giá]]) * gia_khuyen_mai[[#This Row],[Giá gốc]], 0)</f>
        <v>54160</v>
      </c>
      <c r="M29" s="6"/>
      <c r="O29" s="3" t="str">
        <f>IFERROR(VLOOKUP(gia_khuyen_mai[[#This Row],[Mã hàng tặng]],'Giá gốc'!B:C,2,0),"")</f>
        <v/>
      </c>
      <c r="Q29" s="3" t="str">
        <f>VLOOKUP(gia_khuyen_mai[[#This Row],[Mã sản phẩm]],product[[Mã sản phẩm]:[DS - ĐV]],3,0)</f>
        <v>Food Đức Việt</v>
      </c>
    </row>
    <row r="30" spans="1:17" ht="21.75" customHeight="1">
      <c r="A30" s="29">
        <f t="shared" si="0"/>
        <v>29</v>
      </c>
      <c r="B30" s="4" t="s">
        <v>12438</v>
      </c>
      <c r="C30" s="4" t="s">
        <v>500</v>
      </c>
      <c r="D30" s="4" t="s">
        <v>496</v>
      </c>
      <c r="E30" s="4" t="s">
        <v>12316</v>
      </c>
      <c r="F30" s="4" t="s">
        <v>12439</v>
      </c>
      <c r="G30" s="3" t="s">
        <v>445</v>
      </c>
      <c r="H30" s="3" t="str">
        <f>VLOOKUP(gia_khuyen_mai[[#This Row],[Barcode]],'Giá gốc'!$A:$B,2,0)</f>
        <v>2145745</v>
      </c>
      <c r="I30" s="3" t="str">
        <f>VLOOKUP(gia_khuyen_mai[[#This Row],[Mã sản phẩm]],'Giá gốc'!$B:$C,2,0)</f>
        <v>Jăm bông hấp 200g</v>
      </c>
      <c r="J30" s="5">
        <f>VLOOKUP(gia_khuyen_mai[[#This Row],[Mã sản phẩm]],'Giá gốc'!B:D,3,0)</f>
        <v>37000</v>
      </c>
      <c r="K30" s="56">
        <v>0.15</v>
      </c>
      <c r="L30" s="6">
        <f>ROUND((1-gia_khuyen_mai[[#This Row],[% Giảm giá]]) * gia_khuyen_mai[[#This Row],[Giá gốc]], 0)</f>
        <v>31450</v>
      </c>
      <c r="M30" s="6"/>
      <c r="O30" s="3" t="str">
        <f>IFERROR(VLOOKUP(gia_khuyen_mai[[#This Row],[Mã hàng tặng]],'Giá gốc'!B:C,2,0),"")</f>
        <v/>
      </c>
      <c r="Q30" s="3" t="str">
        <f>VLOOKUP(gia_khuyen_mai[[#This Row],[Mã sản phẩm]],product[[Mã sản phẩm]:[DS - ĐV]],3,0)</f>
        <v>Food Đức Việt</v>
      </c>
    </row>
    <row r="31" spans="1:17" ht="21.75" customHeight="1">
      <c r="A31" s="29">
        <f t="shared" si="0"/>
        <v>30</v>
      </c>
      <c r="B31" s="4" t="s">
        <v>12438</v>
      </c>
      <c r="C31" s="4" t="s">
        <v>500</v>
      </c>
      <c r="D31" s="4" t="s">
        <v>496</v>
      </c>
      <c r="E31" s="4" t="s">
        <v>12316</v>
      </c>
      <c r="F31" s="4" t="s">
        <v>12439</v>
      </c>
      <c r="G31" s="7" t="s">
        <v>373</v>
      </c>
      <c r="H31" s="3" t="str">
        <f>VLOOKUP(gia_khuyen_mai[[#This Row],[Barcode]],'Giá gốc'!$A:$B,2,0)</f>
        <v>2145686</v>
      </c>
      <c r="I31" s="3" t="str">
        <f>VLOOKUP(gia_khuyen_mai[[#This Row],[Mã sản phẩm]],'Giá gốc'!$B:$C,2,0)</f>
        <v>Xúc xích hong khói 450g</v>
      </c>
      <c r="J31" s="5">
        <f>VLOOKUP(gia_khuyen_mai[[#This Row],[Mã sản phẩm]],'Giá gốc'!B:D,3,0)</f>
        <v>79100</v>
      </c>
      <c r="K31" s="56">
        <v>0.25</v>
      </c>
      <c r="L31" s="6">
        <f>ROUND((1-gia_khuyen_mai[[#This Row],[% Giảm giá]]) * gia_khuyen_mai[[#This Row],[Giá gốc]], 0)</f>
        <v>59325</v>
      </c>
      <c r="M31" s="6"/>
      <c r="O31" s="3" t="str">
        <f>IFERROR(VLOOKUP(gia_khuyen_mai[[#This Row],[Mã hàng tặng]],'Giá gốc'!B:C,2,0),"")</f>
        <v/>
      </c>
      <c r="Q31" s="3" t="str">
        <f>VLOOKUP(gia_khuyen_mai[[#This Row],[Mã sản phẩm]],product[[Mã sản phẩm]:[DS - ĐV]],3,0)</f>
        <v>Food Đức Việt</v>
      </c>
    </row>
    <row r="32" spans="1:17" ht="21.75" customHeight="1">
      <c r="A32" s="29">
        <f t="shared" si="0"/>
        <v>31</v>
      </c>
      <c r="B32" s="4" t="s">
        <v>12438</v>
      </c>
      <c r="C32" s="4" t="s">
        <v>500</v>
      </c>
      <c r="D32" s="4" t="s">
        <v>496</v>
      </c>
      <c r="E32" s="4" t="s">
        <v>12316</v>
      </c>
      <c r="F32" s="4" t="s">
        <v>12439</v>
      </c>
      <c r="G32" s="7" t="s">
        <v>397</v>
      </c>
      <c r="H32" s="3" t="str">
        <f>VLOOKUP(gia_khuyen_mai[[#This Row],[Barcode]],'Giá gốc'!$A:$B,2,0)</f>
        <v>2145726</v>
      </c>
      <c r="I32" s="3" t="str">
        <f>VLOOKUP(gia_khuyen_mai[[#This Row],[Mã sản phẩm]],'Giá gốc'!$B:$C,2,0)</f>
        <v>Xúc xích phô mai Cheesy 250g</v>
      </c>
      <c r="J32" s="5">
        <f>VLOOKUP(gia_khuyen_mai[[#This Row],[Mã sản phẩm]],'Giá gốc'!B:D,3,0)</f>
        <v>49400</v>
      </c>
      <c r="K32" s="56">
        <v>0.3</v>
      </c>
      <c r="L32" s="6">
        <f>ROUND((1-gia_khuyen_mai[[#This Row],[% Giảm giá]]) * gia_khuyen_mai[[#This Row],[Giá gốc]], 0)</f>
        <v>34580</v>
      </c>
      <c r="M32" s="6"/>
      <c r="O32" s="3" t="str">
        <f>IFERROR(VLOOKUP(gia_khuyen_mai[[#This Row],[Mã hàng tặng]],'Giá gốc'!B:C,2,0),"")</f>
        <v/>
      </c>
      <c r="Q32" s="3" t="str">
        <f>VLOOKUP(gia_khuyen_mai[[#This Row],[Mã sản phẩm]],product[[Mã sản phẩm]:[DS - ĐV]],3,0)</f>
        <v>Food Đức Việt</v>
      </c>
    </row>
    <row r="33" spans="1:17" ht="21.75" customHeight="1">
      <c r="A33" s="29">
        <f t="shared" si="0"/>
        <v>32</v>
      </c>
      <c r="B33" s="4" t="s">
        <v>12438</v>
      </c>
      <c r="C33" s="4" t="s">
        <v>500</v>
      </c>
      <c r="D33" s="4" t="s">
        <v>496</v>
      </c>
      <c r="E33" s="4" t="s">
        <v>12316</v>
      </c>
      <c r="F33" s="4" t="s">
        <v>12439</v>
      </c>
      <c r="G33" s="3" t="s">
        <v>418</v>
      </c>
      <c r="H33" s="3" t="str">
        <f>VLOOKUP(gia_khuyen_mai[[#This Row],[Barcode]],'Giá gốc'!$A:$B,2,0)</f>
        <v>2145783</v>
      </c>
      <c r="I33" s="3" t="str">
        <f>VLOOKUP(gia_khuyen_mai[[#This Row],[Mã sản phẩm]],'Giá gốc'!$B:$C,2,0)</f>
        <v>Xúc xích Romas ( 50g) 500g</v>
      </c>
      <c r="J33" s="5">
        <f>VLOOKUP(gia_khuyen_mai[[#This Row],[Mã sản phẩm]],'Giá gốc'!B:D,3,0)</f>
        <v>53900</v>
      </c>
      <c r="K33" s="56">
        <v>0.25</v>
      </c>
      <c r="L33" s="6">
        <f>ROUND((1-gia_khuyen_mai[[#This Row],[% Giảm giá]]) * gia_khuyen_mai[[#This Row],[Giá gốc]], 0)</f>
        <v>40425</v>
      </c>
      <c r="M33" s="6"/>
      <c r="O33" s="3" t="str">
        <f>IFERROR(VLOOKUP(gia_khuyen_mai[[#This Row],[Mã hàng tặng]],'Giá gốc'!B:C,2,0),"")</f>
        <v/>
      </c>
      <c r="Q33" s="3" t="str">
        <f>VLOOKUP(gia_khuyen_mai[[#This Row],[Mã sản phẩm]],product[[Mã sản phẩm]:[DS - ĐV]],3,0)</f>
        <v>Food Đức Việt</v>
      </c>
    </row>
    <row r="34" spans="1:17" ht="21.75" customHeight="1">
      <c r="A34" s="29">
        <f t="shared" si="0"/>
        <v>33</v>
      </c>
      <c r="B34" s="4" t="s">
        <v>12438</v>
      </c>
      <c r="C34" s="4" t="s">
        <v>500</v>
      </c>
      <c r="D34" s="4" t="s">
        <v>496</v>
      </c>
      <c r="E34" s="4" t="s">
        <v>12316</v>
      </c>
      <c r="F34" s="4" t="s">
        <v>12439</v>
      </c>
      <c r="G34" s="3" t="s">
        <v>394</v>
      </c>
      <c r="H34" s="3" t="str">
        <f>VLOOKUP(gia_khuyen_mai[[#This Row],[Barcode]],'Giá gốc'!$A:$B,2,0)</f>
        <v>2145744</v>
      </c>
      <c r="I34" s="3" t="str">
        <f>VLOOKUP(gia_khuyen_mai[[#This Row],[Mã sản phẩm]],'Giá gốc'!$B:$C,2,0)</f>
        <v>Xúc xích bắp phô mai 250g</v>
      </c>
      <c r="J34" s="5">
        <f>VLOOKUP(gia_khuyen_mai[[#This Row],[Mã sản phẩm]],'Giá gốc'!B:D,3,0)</f>
        <v>49400</v>
      </c>
      <c r="K34" s="56">
        <v>0.3</v>
      </c>
      <c r="L34" s="6">
        <f>ROUND((1-gia_khuyen_mai[[#This Row],[% Giảm giá]]) * gia_khuyen_mai[[#This Row],[Giá gốc]], 0)</f>
        <v>34580</v>
      </c>
      <c r="M34" s="6"/>
      <c r="O34" s="3" t="str">
        <f>IFERROR(VLOOKUP(gia_khuyen_mai[[#This Row],[Mã hàng tặng]],'Giá gốc'!B:C,2,0),"")</f>
        <v/>
      </c>
      <c r="Q34" s="3" t="str">
        <f>VLOOKUP(gia_khuyen_mai[[#This Row],[Mã sản phẩm]],product[[Mã sản phẩm]:[DS - ĐV]],3,0)</f>
        <v>Food Đức Việt</v>
      </c>
    </row>
    <row r="35" spans="1:17" ht="21.75" customHeight="1">
      <c r="A35" s="29">
        <f t="shared" si="0"/>
        <v>34</v>
      </c>
      <c r="B35" s="4" t="s">
        <v>12438</v>
      </c>
      <c r="C35" s="4" t="s">
        <v>500</v>
      </c>
      <c r="D35" s="4" t="s">
        <v>496</v>
      </c>
      <c r="E35" s="4" t="s">
        <v>12316</v>
      </c>
      <c r="F35" s="4" t="s">
        <v>12439</v>
      </c>
      <c r="G35" s="3" t="s">
        <v>476</v>
      </c>
      <c r="H35" s="3" t="str">
        <f>VLOOKUP(gia_khuyen_mai[[#This Row],[Barcode]],'Giá gốc'!$A:$B,2,0)</f>
        <v>2150337</v>
      </c>
      <c r="I35" s="3" t="str">
        <f>VLOOKUP(gia_khuyen_mai[[#This Row],[Mã sản phẩm]],'Giá gốc'!$B:$C,2,0)</f>
        <v>O'food Chả giò da xốp nhân thịt 300g</v>
      </c>
      <c r="J35" s="5">
        <f>VLOOKUP(gia_khuyen_mai[[#This Row],[Mã sản phẩm]],'Giá gốc'!B:D,3,0)</f>
        <v>31524</v>
      </c>
      <c r="K35" s="56">
        <v>0.35</v>
      </c>
      <c r="L35" s="6">
        <f>ROUND((1-gia_khuyen_mai[[#This Row],[% Giảm giá]]) * gia_khuyen_mai[[#This Row],[Giá gốc]], 0)</f>
        <v>20491</v>
      </c>
      <c r="M35" s="6"/>
      <c r="O35" s="3" t="str">
        <f>IFERROR(VLOOKUP(gia_khuyen_mai[[#This Row],[Mã hàng tặng]],'Giá gốc'!B:C,2,0),"")</f>
        <v/>
      </c>
      <c r="Q35" s="3" t="str">
        <f>VLOOKUP(gia_khuyen_mai[[#This Row],[Mã sản phẩm]],product[[Mã sản phẩm]:[DS - ĐV]],3,0)</f>
        <v>Food Đức Việt</v>
      </c>
    </row>
    <row r="36" spans="1:17" ht="21.75" customHeight="1">
      <c r="A36" s="29">
        <f t="shared" si="0"/>
        <v>35</v>
      </c>
      <c r="B36" s="4" t="s">
        <v>12438</v>
      </c>
      <c r="C36" s="4" t="s">
        <v>500</v>
      </c>
      <c r="D36" s="4" t="s">
        <v>496</v>
      </c>
      <c r="E36" s="4" t="s">
        <v>12316</v>
      </c>
      <c r="F36" s="4" t="s">
        <v>12439</v>
      </c>
      <c r="G36" s="3" t="s">
        <v>479</v>
      </c>
      <c r="H36" s="3" t="str">
        <f>VLOOKUP(gia_khuyen_mai[[#This Row],[Barcode]],'Giá gốc'!$A:$B,2,0)</f>
        <v>2150338</v>
      </c>
      <c r="I36" s="3" t="str">
        <f>VLOOKUP(gia_khuyen_mai[[#This Row],[Mã sản phẩm]],'Giá gốc'!$B:$C,2,0)</f>
        <v>O'food Chả giò da xốp hải sản 300g</v>
      </c>
      <c r="J36" s="5">
        <f>VLOOKUP(gia_khuyen_mai[[#This Row],[Mã sản phẩm]],'Giá gốc'!B:D,3,0)</f>
        <v>31524</v>
      </c>
      <c r="K36" s="56">
        <v>0.35</v>
      </c>
      <c r="L36" s="6">
        <f>ROUND((1-gia_khuyen_mai[[#This Row],[% Giảm giá]]) * gia_khuyen_mai[[#This Row],[Giá gốc]], 0)</f>
        <v>20491</v>
      </c>
      <c r="M36" s="6"/>
      <c r="O36" s="3" t="str">
        <f>IFERROR(VLOOKUP(gia_khuyen_mai[[#This Row],[Mã hàng tặng]],'Giá gốc'!B:C,2,0),"")</f>
        <v/>
      </c>
      <c r="Q36" s="3" t="str">
        <f>VLOOKUP(gia_khuyen_mai[[#This Row],[Mã sản phẩm]],product[[Mã sản phẩm]:[DS - ĐV]],3,0)</f>
        <v>Food Đức Việt</v>
      </c>
    </row>
    <row r="37" spans="1:17" ht="21.75" customHeight="1">
      <c r="A37" s="29">
        <f t="shared" si="0"/>
        <v>36</v>
      </c>
      <c r="B37" s="4" t="s">
        <v>12438</v>
      </c>
      <c r="C37" s="4" t="s">
        <v>500</v>
      </c>
      <c r="D37" s="4" t="s">
        <v>496</v>
      </c>
      <c r="E37" s="4" t="s">
        <v>12316</v>
      </c>
      <c r="F37" s="4" t="s">
        <v>12439</v>
      </c>
      <c r="G37" s="3" t="s">
        <v>458</v>
      </c>
      <c r="H37" s="3" t="str">
        <f>VLOOKUP(gia_khuyen_mai[[#This Row],[Barcode]],'Giá gốc'!$A:$B,2,0)</f>
        <v>2145680</v>
      </c>
      <c r="I37" s="3" t="str">
        <f>VLOOKUP(gia_khuyen_mai[[#This Row],[Mã sản phẩm]],'Giá gốc'!$B:$C,2,0)</f>
        <v>O'food Xúc xích Lắc Phô mai vị truyền thống 56g * 24EA</v>
      </c>
      <c r="J37" s="5">
        <f>VLOOKUP(gia_khuyen_mai[[#This Row],[Mã sản phẩm]],'Giá gốc'!B:D,3,0)</f>
        <v>9300</v>
      </c>
      <c r="K37" s="56">
        <v>0.2</v>
      </c>
      <c r="L37" s="6">
        <f>ROUND((1-gia_khuyen_mai[[#This Row],[% Giảm giá]]) * gia_khuyen_mai[[#This Row],[Giá gốc]], 0)</f>
        <v>7440</v>
      </c>
      <c r="M37" s="6"/>
      <c r="O37" s="3" t="str">
        <f>IFERROR(VLOOKUP(gia_khuyen_mai[[#This Row],[Mã hàng tặng]],'Giá gốc'!B:C,2,0),"")</f>
        <v/>
      </c>
      <c r="Q37" s="3" t="str">
        <f>VLOOKUP(gia_khuyen_mai[[#This Row],[Mã sản phẩm]],product[[Mã sản phẩm]:[DS - ĐV]],3,0)</f>
        <v>Food Đức Việt</v>
      </c>
    </row>
    <row r="38" spans="1:17" ht="21.75" customHeight="1">
      <c r="A38" s="29">
        <f t="shared" si="0"/>
        <v>37</v>
      </c>
      <c r="B38" s="4" t="s">
        <v>12438</v>
      </c>
      <c r="C38" s="4" t="s">
        <v>500</v>
      </c>
      <c r="D38" s="4" t="s">
        <v>496</v>
      </c>
      <c r="E38" s="4" t="s">
        <v>12316</v>
      </c>
      <c r="F38" s="4" t="s">
        <v>12439</v>
      </c>
      <c r="G38" s="3" t="s">
        <v>461</v>
      </c>
      <c r="H38" s="3" t="str">
        <f>VLOOKUP(gia_khuyen_mai[[#This Row],[Barcode]],'Giá gốc'!$A:$B,2,0)</f>
        <v>2145681</v>
      </c>
      <c r="I38" s="3" t="str">
        <f>VLOOKUP(gia_khuyen_mai[[#This Row],[Mã sản phẩm]],'Giá gốc'!$B:$C,2,0)</f>
        <v>O'food Xúc xích Lắc Phô mai vị dâu tây 56g * 24EA</v>
      </c>
      <c r="J38" s="5">
        <f>VLOOKUP(gia_khuyen_mai[[#This Row],[Mã sản phẩm]],'Giá gốc'!B:D,3,0)</f>
        <v>9300</v>
      </c>
      <c r="K38" s="56">
        <v>0.2</v>
      </c>
      <c r="L38" s="6">
        <f>ROUND((1-gia_khuyen_mai[[#This Row],[% Giảm giá]]) * gia_khuyen_mai[[#This Row],[Giá gốc]], 0)</f>
        <v>7440</v>
      </c>
      <c r="M38" s="6"/>
      <c r="O38" s="3" t="str">
        <f>IFERROR(VLOOKUP(gia_khuyen_mai[[#This Row],[Mã hàng tặng]],'Giá gốc'!B:C,2,0),"")</f>
        <v/>
      </c>
      <c r="Q38" s="3" t="str">
        <f>VLOOKUP(gia_khuyen_mai[[#This Row],[Mã sản phẩm]],product[[Mã sản phẩm]:[DS - ĐV]],3,0)</f>
        <v>Food Đức Việt</v>
      </c>
    </row>
    <row r="39" spans="1:17" ht="21.75" customHeight="1">
      <c r="A39" s="29">
        <f t="shared" si="0"/>
        <v>38</v>
      </c>
      <c r="B39" s="4" t="s">
        <v>12455</v>
      </c>
      <c r="C39" s="4" t="s">
        <v>500</v>
      </c>
      <c r="D39" s="4" t="s">
        <v>496</v>
      </c>
      <c r="E39" s="4" t="s">
        <v>12456</v>
      </c>
      <c r="F39" s="4" t="s">
        <v>12457</v>
      </c>
      <c r="G39" s="3" t="s">
        <v>382</v>
      </c>
      <c r="H39" s="3" t="str">
        <f>VLOOKUP(gia_khuyen_mai[[#This Row],[Barcode]],'Giá gốc'!$A:$B,2,0)</f>
        <v>2145691</v>
      </c>
      <c r="I39" s="3" t="str">
        <f>VLOOKUP(gia_khuyen_mai[[#This Row],[Mã sản phẩm]],'Giá gốc'!$B:$C,2,0)</f>
        <v>Xúc xích viên hong khói 450g * 1EA</v>
      </c>
      <c r="J39" s="5">
        <f>VLOOKUP(gia_khuyen_mai[[#This Row],[Mã sản phẩm]],'Giá gốc'!B:D,3,0)</f>
        <v>84200</v>
      </c>
      <c r="K39" s="56">
        <v>0.25</v>
      </c>
      <c r="L39" s="6">
        <f>ROUND((1-gia_khuyen_mai[[#This Row],[% Giảm giá]]) * gia_khuyen_mai[[#This Row],[Giá gốc]], 0)</f>
        <v>63150</v>
      </c>
      <c r="M39" s="6"/>
      <c r="O39" s="3" t="str">
        <f>IFERROR(VLOOKUP(gia_khuyen_mai[[#This Row],[Mã hàng tặng]],'Giá gốc'!B:C,2,0),"")</f>
        <v/>
      </c>
      <c r="Q39" s="3" t="str">
        <f>VLOOKUP(gia_khuyen_mai[[#This Row],[Mã sản phẩm]],product[[Mã sản phẩm]:[DS - ĐV]],3,0)</f>
        <v>Food Đức Việt</v>
      </c>
    </row>
    <row r="40" spans="1:17" ht="21.75" customHeight="1">
      <c r="A40" s="29">
        <f t="shared" si="0"/>
        <v>39</v>
      </c>
      <c r="B40" s="4" t="s">
        <v>12455</v>
      </c>
      <c r="C40" s="4" t="s">
        <v>500</v>
      </c>
      <c r="D40" s="4" t="s">
        <v>496</v>
      </c>
      <c r="E40" s="4" t="s">
        <v>12456</v>
      </c>
      <c r="F40" s="4" t="s">
        <v>12457</v>
      </c>
      <c r="G40" s="3" t="s">
        <v>473</v>
      </c>
      <c r="H40" s="3" t="str">
        <f>VLOOKUP(gia_khuyen_mai[[#This Row],[Barcode]],'Giá gốc'!$A:$B,2,0)</f>
        <v>2145679</v>
      </c>
      <c r="I40" s="3" t="str">
        <f>VLOOKUP(gia_khuyen_mai[[#This Row],[Mã sản phẩm]],'Giá gốc'!$B:$C,2,0)</f>
        <v>Đức Việt Handy- Xúc xích thịt heo muối hồng Himalaya 175g * 20EA</v>
      </c>
      <c r="J40" s="5">
        <f>VLOOKUP(gia_khuyen_mai[[#This Row],[Mã sản phẩm]],'Giá gốc'!B:D,3,0)</f>
        <v>18300</v>
      </c>
      <c r="K40" s="56">
        <v>0.25</v>
      </c>
      <c r="L40" s="6">
        <f>ROUND((1-gia_khuyen_mai[[#This Row],[% Giảm giá]]) * gia_khuyen_mai[[#This Row],[Giá gốc]], 0)</f>
        <v>13725</v>
      </c>
      <c r="M40" s="6"/>
      <c r="O40" s="3" t="str">
        <f>IFERROR(VLOOKUP(gia_khuyen_mai[[#This Row],[Mã hàng tặng]],'Giá gốc'!B:C,2,0),"")</f>
        <v/>
      </c>
      <c r="Q40" s="3" t="str">
        <f>VLOOKUP(gia_khuyen_mai[[#This Row],[Mã sản phẩm]],product[[Mã sản phẩm]:[DS - ĐV]],3,0)</f>
        <v>Food Đức Việt</v>
      </c>
    </row>
    <row r="41" spans="1:17" ht="21.75" customHeight="1">
      <c r="A41" s="29">
        <f t="shared" si="0"/>
        <v>40</v>
      </c>
      <c r="B41" s="4" t="s">
        <v>12455</v>
      </c>
      <c r="C41" s="4" t="s">
        <v>500</v>
      </c>
      <c r="D41" s="4" t="s">
        <v>496</v>
      </c>
      <c r="E41" s="4" t="s">
        <v>12456</v>
      </c>
      <c r="F41" s="4" t="s">
        <v>12457</v>
      </c>
      <c r="G41" s="3" t="s">
        <v>376</v>
      </c>
      <c r="H41" s="3" t="str">
        <f>VLOOKUP(gia_khuyen_mai[[#This Row],[Barcode]],'Giá gốc'!$A:$B,2,0)</f>
        <v>2145690</v>
      </c>
      <c r="I41" s="3" t="str">
        <f>VLOOKUP(gia_khuyen_mai[[#This Row],[Mã sản phẩm]],'Giá gốc'!$B:$C,2,0)</f>
        <v>Xúc xích vườn bia 200g * 1EA</v>
      </c>
      <c r="J41" s="5">
        <f>VLOOKUP(gia_khuyen_mai[[#This Row],[Mã sản phẩm]],'Giá gốc'!B:D,3,0)</f>
        <v>38400</v>
      </c>
      <c r="K41" s="56">
        <v>0.2</v>
      </c>
      <c r="L41" s="6">
        <f>ROUND((1-gia_khuyen_mai[[#This Row],[% Giảm giá]]) * gia_khuyen_mai[[#This Row],[Giá gốc]], 0)</f>
        <v>30720</v>
      </c>
      <c r="M41" s="6"/>
      <c r="O41" s="3" t="str">
        <f>IFERROR(VLOOKUP(gia_khuyen_mai[[#This Row],[Mã hàng tặng]],'Giá gốc'!B:C,2,0),"")</f>
        <v/>
      </c>
      <c r="Q41" s="3" t="str">
        <f>VLOOKUP(gia_khuyen_mai[[#This Row],[Mã sản phẩm]],product[[Mã sản phẩm]:[DS - ĐV]],3,0)</f>
        <v>Food Đức Việt</v>
      </c>
    </row>
    <row r="42" spans="1:17" ht="21.75" customHeight="1">
      <c r="A42" s="29">
        <f t="shared" si="0"/>
        <v>41</v>
      </c>
      <c r="B42" s="4" t="s">
        <v>12455</v>
      </c>
      <c r="C42" s="4" t="s">
        <v>500</v>
      </c>
      <c r="D42" s="4" t="s">
        <v>496</v>
      </c>
      <c r="E42" s="4" t="s">
        <v>12456</v>
      </c>
      <c r="F42" s="4" t="s">
        <v>12457</v>
      </c>
      <c r="G42" s="3" t="s">
        <v>436</v>
      </c>
      <c r="H42" s="3" t="str">
        <f>VLOOKUP(gia_khuyen_mai[[#This Row],[Barcode]],'Giá gốc'!$A:$B,2,0)</f>
        <v>2145737</v>
      </c>
      <c r="I42" s="3" t="str">
        <f>VLOOKUP(gia_khuyen_mai[[#This Row],[Mã sản phẩm]],'Giá gốc'!$B:$C,2,0)</f>
        <v>Thăn heo hong khói 200g</v>
      </c>
      <c r="J42" s="5">
        <f>VLOOKUP(gia_khuyen_mai[[#This Row],[Mã sản phẩm]],'Giá gốc'!B:D,3,0)</f>
        <v>41200</v>
      </c>
      <c r="K42" s="56">
        <v>0.15</v>
      </c>
      <c r="L42" s="6">
        <f>ROUND((1-gia_khuyen_mai[[#This Row],[% Giảm giá]]) * gia_khuyen_mai[[#This Row],[Giá gốc]], 0)</f>
        <v>35020</v>
      </c>
      <c r="M42" s="6"/>
      <c r="O42" s="3" t="str">
        <f>IFERROR(VLOOKUP(gia_khuyen_mai[[#This Row],[Mã hàng tặng]],'Giá gốc'!B:C,2,0),"")</f>
        <v/>
      </c>
      <c r="Q42" s="3" t="str">
        <f>VLOOKUP(gia_khuyen_mai[[#This Row],[Mã sản phẩm]],product[[Mã sản phẩm]:[DS - ĐV]],3,0)</f>
        <v>Food Đức Việt</v>
      </c>
    </row>
    <row r="43" spans="1:17" ht="21.75" customHeight="1">
      <c r="A43" s="29">
        <f t="shared" si="0"/>
        <v>42</v>
      </c>
      <c r="B43" s="4" t="s">
        <v>12455</v>
      </c>
      <c r="C43" s="4" t="s">
        <v>500</v>
      </c>
      <c r="D43" s="4" t="s">
        <v>496</v>
      </c>
      <c r="E43" s="4" t="s">
        <v>12456</v>
      </c>
      <c r="F43" s="4" t="s">
        <v>12457</v>
      </c>
      <c r="G43" s="3" t="s">
        <v>470</v>
      </c>
      <c r="H43" s="3" t="str">
        <f>VLOOKUP(gia_khuyen_mai[[#This Row],[Barcode]],'Giá gốc'!$A:$B,2,0)</f>
        <v>2145699</v>
      </c>
      <c r="I43" s="3" t="str">
        <f>VLOOKUP(gia_khuyen_mai[[#This Row],[Mã sản phẩm]],'Giá gốc'!$B:$C,2,0)</f>
        <v>Seoul's Hotdog Chiên xù 250g (Đ)</v>
      </c>
      <c r="J43" s="5">
        <f>VLOOKUP(gia_khuyen_mai[[#This Row],[Mã sản phẩm]],'Giá gốc'!B:D,3,0)</f>
        <v>39150</v>
      </c>
      <c r="K43" s="56">
        <v>0.25</v>
      </c>
      <c r="L43" s="6">
        <f>ROUND((1-gia_khuyen_mai[[#This Row],[% Giảm giá]]) * gia_khuyen_mai[[#This Row],[Giá gốc]], 0)</f>
        <v>29363</v>
      </c>
      <c r="M43" s="6"/>
      <c r="O43" s="3" t="str">
        <f>IFERROR(VLOOKUP(gia_khuyen_mai[[#This Row],[Mã hàng tặng]],'Giá gốc'!B:C,2,0),"")</f>
        <v/>
      </c>
      <c r="Q43" s="3" t="str">
        <f>VLOOKUP(gia_khuyen_mai[[#This Row],[Mã sản phẩm]],product[[Mã sản phẩm]:[DS - ĐV]],3,0)</f>
        <v>Food Đức Việt</v>
      </c>
    </row>
    <row r="44" spans="1:17" ht="21.75" customHeight="1">
      <c r="A44" s="29">
        <f t="shared" si="0"/>
        <v>43</v>
      </c>
      <c r="B44" s="4" t="s">
        <v>12455</v>
      </c>
      <c r="C44" s="4" t="s">
        <v>500</v>
      </c>
      <c r="D44" s="4" t="s">
        <v>496</v>
      </c>
      <c r="E44" s="4" t="s">
        <v>12456</v>
      </c>
      <c r="F44" s="4" t="s">
        <v>12457</v>
      </c>
      <c r="G44" s="3" t="s">
        <v>424</v>
      </c>
      <c r="H44" s="3" t="str">
        <f>VLOOKUP(gia_khuyen_mai[[#This Row],[Barcode]],'Giá gốc'!$A:$B,2,0)</f>
        <v>2145774</v>
      </c>
      <c r="I44" s="3" t="str">
        <f>VLOOKUP(gia_khuyen_mai[[#This Row],[Mã sản phẩm]],'Giá gốc'!$B:$C,2,0)</f>
        <v>Xúc xích Pari (50g) 500g</v>
      </c>
      <c r="J44" s="5">
        <f>VLOOKUP(gia_khuyen_mai[[#This Row],[Mã sản phẩm]],'Giá gốc'!B:D,3,0)</f>
        <v>55600</v>
      </c>
      <c r="K44" s="56">
        <v>0.22</v>
      </c>
      <c r="L44" s="6">
        <f>ROUND((1-gia_khuyen_mai[[#This Row],[% Giảm giá]]) * gia_khuyen_mai[[#This Row],[Giá gốc]], 0)</f>
        <v>43368</v>
      </c>
      <c r="M44" s="6"/>
      <c r="O44" s="3" t="str">
        <f>IFERROR(VLOOKUP(gia_khuyen_mai[[#This Row],[Mã hàng tặng]],'Giá gốc'!B:C,2,0),"")</f>
        <v/>
      </c>
      <c r="Q44" s="3" t="str">
        <f>VLOOKUP(gia_khuyen_mai[[#This Row],[Mã sản phẩm]],product[[Mã sản phẩm]:[DS - ĐV]],3,0)</f>
        <v>Food Đức Việt</v>
      </c>
    </row>
    <row r="45" spans="1:17" ht="21.75" customHeight="1">
      <c r="A45" s="29">
        <f t="shared" si="0"/>
        <v>44</v>
      </c>
      <c r="B45" s="4" t="s">
        <v>12455</v>
      </c>
      <c r="C45" s="4" t="s">
        <v>500</v>
      </c>
      <c r="D45" s="4" t="s">
        <v>496</v>
      </c>
      <c r="E45" s="4" t="s">
        <v>12456</v>
      </c>
      <c r="F45" s="4" t="s">
        <v>12457</v>
      </c>
      <c r="G45" s="3" t="s">
        <v>464</v>
      </c>
      <c r="H45" s="3" t="str">
        <f>VLOOKUP(gia_khuyen_mai[[#This Row],[Barcode]],'Giá gốc'!$A:$B,2,0)</f>
        <v>2145622</v>
      </c>
      <c r="I45" s="3" t="str">
        <f>VLOOKUP(gia_khuyen_mai[[#This Row],[Mã sản phẩm]],'Giá gốc'!$B:$C,2,0)</f>
        <v>Kim chi 450</v>
      </c>
      <c r="J45" s="5">
        <f>VLOOKUP(gia_khuyen_mai[[#This Row],[Mã sản phẩm]],'Giá gốc'!B:D,3,0)</f>
        <v>35500</v>
      </c>
      <c r="K45" s="56">
        <v>0.35</v>
      </c>
      <c r="L45" s="6">
        <f>ROUND((1-gia_khuyen_mai[[#This Row],[% Giảm giá]]) * gia_khuyen_mai[[#This Row],[Giá gốc]], 0)</f>
        <v>23075</v>
      </c>
      <c r="M45" s="6"/>
      <c r="O45" s="3" t="str">
        <f>IFERROR(VLOOKUP(gia_khuyen_mai[[#This Row],[Mã hàng tặng]],'Giá gốc'!B:C,2,0),"")</f>
        <v/>
      </c>
      <c r="Q45" s="3" t="str">
        <f>VLOOKUP(gia_khuyen_mai[[#This Row],[Mã sản phẩm]],product[[Mã sản phẩm]:[DS - ĐV]],3,0)</f>
        <v>Food Đức Việt</v>
      </c>
    </row>
    <row r="46" spans="1:17" ht="21.75" customHeight="1">
      <c r="A46" s="29">
        <f t="shared" si="0"/>
        <v>45</v>
      </c>
      <c r="B46" s="4" t="s">
        <v>12455</v>
      </c>
      <c r="C46" s="4" t="s">
        <v>500</v>
      </c>
      <c r="D46" s="4" t="s">
        <v>496</v>
      </c>
      <c r="E46" s="4" t="s">
        <v>12458</v>
      </c>
      <c r="F46" s="4" t="s">
        <v>12457</v>
      </c>
      <c r="G46" s="4" t="s">
        <v>427</v>
      </c>
      <c r="H46" s="3" t="str">
        <f>VLOOKUP(gia_khuyen_mai[[#This Row],[Barcode]],'Giá gốc'!$A:$B,2,0)</f>
        <v>2145743</v>
      </c>
      <c r="I46" s="3" t="str">
        <f>VLOOKUP(gia_khuyen_mai[[#This Row],[Mã sản phẩm]],'Giá gốc'!$B:$C,2,0)</f>
        <v>Xúc xích sụn nướng Bulgogi 450g</v>
      </c>
      <c r="J46" s="5">
        <f>VLOOKUP(gia_khuyen_mai[[#This Row],[Mã sản phẩm]],'Giá gốc'!B:D,3,0)</f>
        <v>74500</v>
      </c>
      <c r="K46" s="56">
        <v>0.3</v>
      </c>
      <c r="L46" s="6">
        <f>ROUND((1-gia_khuyen_mai[[#This Row],[% Giảm giá]]) * gia_khuyen_mai[[#This Row],[Giá gốc]], 0)</f>
        <v>52150</v>
      </c>
      <c r="M46" s="6"/>
      <c r="O46" s="3" t="str">
        <f>IFERROR(VLOOKUP(gia_khuyen_mai[[#This Row],[Mã hàng tặng]],'Giá gốc'!B:C,2,0),"")</f>
        <v/>
      </c>
      <c r="Q46" s="3" t="str">
        <f>VLOOKUP(gia_khuyen_mai[[#This Row],[Mã sản phẩm]],product[[Mã sản phẩm]:[DS - ĐV]],3,0)</f>
        <v>Food Đức Việt</v>
      </c>
    </row>
    <row r="47" spans="1:17" ht="21.75" customHeight="1">
      <c r="A47" s="29">
        <f t="shared" si="0"/>
        <v>46</v>
      </c>
      <c r="B47" s="4" t="s">
        <v>12455</v>
      </c>
      <c r="C47" s="4" t="s">
        <v>500</v>
      </c>
      <c r="D47" s="4" t="s">
        <v>496</v>
      </c>
      <c r="E47" s="4" t="s">
        <v>12458</v>
      </c>
      <c r="F47" s="4" t="s">
        <v>12457</v>
      </c>
      <c r="G47" s="7" t="s">
        <v>448</v>
      </c>
      <c r="H47" s="3" t="str">
        <f>VLOOKUP(gia_khuyen_mai[[#This Row],[Barcode]],'Giá gốc'!$A:$B,2,0)</f>
        <v>2145695</v>
      </c>
      <c r="I47" s="3" t="str">
        <f>VLOOKUP(gia_khuyen_mai[[#This Row],[Mã sản phẩm]],'Giá gốc'!$B:$C,2,0)</f>
        <v>Seoul's Hotdog 350g</v>
      </c>
      <c r="J47" s="5">
        <f>VLOOKUP(gia_khuyen_mai[[#This Row],[Mã sản phẩm]],'Giá gốc'!B:D,3,0)</f>
        <v>48384</v>
      </c>
      <c r="K47" s="56">
        <v>0.25</v>
      </c>
      <c r="L47" s="6">
        <f>ROUND((1-gia_khuyen_mai[[#This Row],[% Giảm giá]]) * gia_khuyen_mai[[#This Row],[Giá gốc]], 0)</f>
        <v>36288</v>
      </c>
      <c r="M47" s="6"/>
      <c r="O47" s="3" t="str">
        <f>IFERROR(VLOOKUP(gia_khuyen_mai[[#This Row],[Mã hàng tặng]],'Giá gốc'!B:C,2,0),"")</f>
        <v/>
      </c>
      <c r="Q47" s="3" t="str">
        <f>VLOOKUP(gia_khuyen_mai[[#This Row],[Mã sản phẩm]],product[[Mã sản phẩm]:[DS - ĐV]],3,0)</f>
        <v>Food Đức Việt</v>
      </c>
    </row>
    <row r="48" spans="1:17" ht="21.75" customHeight="1">
      <c r="A48" s="29">
        <f t="shared" si="0"/>
        <v>47</v>
      </c>
      <c r="B48" s="4" t="s">
        <v>12473</v>
      </c>
      <c r="C48" s="4" t="s">
        <v>183</v>
      </c>
      <c r="D48" s="4" t="s">
        <v>496</v>
      </c>
      <c r="E48" s="4" t="s">
        <v>12474</v>
      </c>
      <c r="F48" s="4" t="s">
        <v>12457</v>
      </c>
      <c r="G48" s="20" t="s">
        <v>11078</v>
      </c>
      <c r="H48" s="3" t="str">
        <f>VLOOKUP(gia_khuyen_mai[[#This Row],[Barcode]],'Giá gốc'!$A:$B,2,0)</f>
        <v>2145625</v>
      </c>
      <c r="I48" s="3" t="str">
        <f>VLOOKUP(gia_khuyen_mai[[#This Row],[Mã sản phẩm]],'Giá gốc'!$B:$C,2,0)</f>
        <v>Jongga Kim chi cải thảo cắt lát 1kg</v>
      </c>
      <c r="J48" s="5">
        <f>VLOOKUP(gia_khuyen_mai[[#This Row],[Mã sản phẩm]],'Giá gốc'!B:D,3,0)</f>
        <v>70000</v>
      </c>
      <c r="K48" s="56">
        <v>0.33</v>
      </c>
      <c r="L48" s="6">
        <f>ROUND((1-gia_khuyen_mai[[#This Row],[% Giảm giá]]) * gia_khuyen_mai[[#This Row],[Giá gốc]], 0)</f>
        <v>46900</v>
      </c>
      <c r="M48" s="6"/>
      <c r="O48" s="3" t="str">
        <f>IFERROR(VLOOKUP(gia_khuyen_mai[[#This Row],[Mã hàng tặng]],'Giá gốc'!B:C,2,0),"")</f>
        <v/>
      </c>
      <c r="Q48" s="3" t="str">
        <f>VLOOKUP(gia_khuyen_mai[[#This Row],[Mã sản phẩm]],product[[Mã sản phẩm]:[DS - ĐV]],3,0)</f>
        <v>Food Đức Việt</v>
      </c>
    </row>
    <row r="49" spans="1:17" ht="21.75" customHeight="1">
      <c r="A49" s="29">
        <f t="shared" si="0"/>
        <v>48</v>
      </c>
      <c r="B49" s="4" t="s">
        <v>12473</v>
      </c>
      <c r="C49" s="4" t="s">
        <v>183</v>
      </c>
      <c r="D49" s="4" t="s">
        <v>496</v>
      </c>
      <c r="E49" s="4" t="s">
        <v>12474</v>
      </c>
      <c r="F49" s="4" t="s">
        <v>12457</v>
      </c>
      <c r="G49" s="3" t="s">
        <v>12459</v>
      </c>
      <c r="H49" s="3" t="str">
        <f>VLOOKUP(gia_khuyen_mai[[#This Row],[Barcode]],'Giá gốc'!$A:$B,2,0)</f>
        <v>2151032</v>
      </c>
      <c r="I49" s="3" t="str">
        <f>VLOOKUP(gia_khuyen_mai[[#This Row],[Mã sản phẩm]],'Giá gốc'!$B:$C,2,0)</f>
        <v>Jongga Kim chi Củ cải 450g</v>
      </c>
      <c r="J49" s="5">
        <f>VLOOKUP(gia_khuyen_mai[[#This Row],[Mã sản phẩm]],'Giá gốc'!B:D,3,0)</f>
        <v>42000</v>
      </c>
      <c r="K49" s="56"/>
      <c r="L49" s="6">
        <f>ROUND((1-gia_khuyen_mai[[#This Row],[% Giảm giá]]) * gia_khuyen_mai[[#This Row],[Giá gốc]], 0)</f>
        <v>42000</v>
      </c>
      <c r="M49" s="6" t="s">
        <v>503</v>
      </c>
      <c r="N49" s="3" t="str">
        <f>VLOOKUP(gia_khuyen_mai[[#This Row],[Barcode]],'Giá gốc'!$A:$B,2,0)</f>
        <v>2151032</v>
      </c>
      <c r="O49" s="3" t="str">
        <f>IFERROR(VLOOKUP(gia_khuyen_mai[[#This Row],[Mã hàng tặng]],'Giá gốc'!B:C,2,0),"")</f>
        <v>Jongga Kim chi Củ cải 450g</v>
      </c>
      <c r="Q49" s="3" t="str">
        <f>VLOOKUP(gia_khuyen_mai[[#This Row],[Mã sản phẩm]],product[[Mã sản phẩm]:[DS - ĐV]],3,0)</f>
        <v>Food Đức Việt</v>
      </c>
    </row>
    <row r="50" spans="1:17" ht="21.75" customHeight="1">
      <c r="A50" s="29">
        <f t="shared" si="0"/>
        <v>49</v>
      </c>
      <c r="B50" s="4" t="s">
        <v>12473</v>
      </c>
      <c r="C50" s="4" t="s">
        <v>183</v>
      </c>
      <c r="D50" s="4" t="s">
        <v>496</v>
      </c>
      <c r="E50" s="4" t="s">
        <v>12474</v>
      </c>
      <c r="F50" s="4" t="s">
        <v>12457</v>
      </c>
      <c r="G50" s="3" t="s">
        <v>12460</v>
      </c>
      <c r="H50" s="3" t="str">
        <f>VLOOKUP(gia_khuyen_mai[[#This Row],[Barcode]],'Giá gốc'!$A:$B,2,0)</f>
        <v>2151140</v>
      </c>
      <c r="I50" s="3" t="str">
        <f>VLOOKUP(gia_khuyen_mai[[#This Row],[Mã sản phẩm]],'Giá gốc'!$B:$C,2,0)</f>
        <v>Jongga Kim chi Củ cải 150g</v>
      </c>
      <c r="J50" s="5">
        <f>VLOOKUP(gia_khuyen_mai[[#This Row],[Mã sản phẩm]],'Giá gốc'!B:D,3,0)</f>
        <v>16500</v>
      </c>
      <c r="K50" s="56">
        <v>0.33</v>
      </c>
      <c r="L50" s="6">
        <f>ROUND((1-gia_khuyen_mai[[#This Row],[% Giảm giá]]) * gia_khuyen_mai[[#This Row],[Giá gốc]], 0)</f>
        <v>11055</v>
      </c>
      <c r="M50" s="6"/>
      <c r="O50" s="3" t="str">
        <f>IFERROR(VLOOKUP(gia_khuyen_mai[[#This Row],[Mã hàng tặng]],'Giá gốc'!B:C,2,0),"")</f>
        <v/>
      </c>
      <c r="Q50" s="3" t="str">
        <f>VLOOKUP(gia_khuyen_mai[[#This Row],[Mã sản phẩm]],product[[Mã sản phẩm]:[DS - ĐV]],3,0)</f>
        <v>Food Đức Việt</v>
      </c>
    </row>
    <row r="51" spans="1:17" ht="21.75" customHeight="1">
      <c r="A51" s="29">
        <f t="shared" si="0"/>
        <v>50</v>
      </c>
      <c r="B51" s="4" t="s">
        <v>12473</v>
      </c>
      <c r="C51" s="4" t="s">
        <v>183</v>
      </c>
      <c r="D51" s="4" t="s">
        <v>496</v>
      </c>
      <c r="E51" s="4" t="s">
        <v>12474</v>
      </c>
      <c r="F51" s="4" t="s">
        <v>12457</v>
      </c>
      <c r="G51" s="3" t="s">
        <v>12461</v>
      </c>
      <c r="H51" s="3" t="str">
        <f>VLOOKUP(gia_khuyen_mai[[#This Row],[Barcode]],'Giá gốc'!$A:$B,2,0)</f>
        <v>2151765</v>
      </c>
      <c r="I51" s="3" t="str">
        <f>VLOOKUP(gia_khuyen_mai[[#This Row],[Mã sản phẩm]],'Giá gốc'!$B:$C,2,0)</f>
        <v>Ức gà hong khói 100g</v>
      </c>
      <c r="J51" s="5">
        <f>VLOOKUP(gia_khuyen_mai[[#This Row],[Mã sản phẩm]],'Giá gốc'!B:D,3,0)</f>
        <v>26000</v>
      </c>
      <c r="K51" s="56">
        <v>0.25</v>
      </c>
      <c r="L51" s="6">
        <f>ROUND((1-gia_khuyen_mai[[#This Row],[% Giảm giá]]) * gia_khuyen_mai[[#This Row],[Giá gốc]], 0)</f>
        <v>19500</v>
      </c>
      <c r="M51" s="6"/>
      <c r="O51" s="3" t="str">
        <f>IFERROR(VLOOKUP(gia_khuyen_mai[[#This Row],[Mã hàng tặng]],'Giá gốc'!B:C,2,0),"")</f>
        <v/>
      </c>
      <c r="Q51" s="3" t="str">
        <f>VLOOKUP(gia_khuyen_mai[[#This Row],[Mã sản phẩm]],product[[Mã sản phẩm]:[DS - ĐV]],3,0)</f>
        <v>Food Đức Việt</v>
      </c>
    </row>
    <row r="52" spans="1:17" ht="21.75" customHeight="1">
      <c r="A52" s="29">
        <f t="shared" si="0"/>
        <v>51</v>
      </c>
      <c r="B52" s="4" t="s">
        <v>12473</v>
      </c>
      <c r="C52" s="4" t="s">
        <v>183</v>
      </c>
      <c r="D52" s="4" t="s">
        <v>496</v>
      </c>
      <c r="E52" s="4" t="s">
        <v>12474</v>
      </c>
      <c r="F52" s="4" t="s">
        <v>12457</v>
      </c>
      <c r="G52" s="4" t="s">
        <v>12462</v>
      </c>
      <c r="H52" s="3" t="str">
        <f>VLOOKUP(gia_khuyen_mai[[#This Row],[Barcode]],'Giá gốc'!$A:$B,2,0)</f>
        <v>2145747</v>
      </c>
      <c r="I52" s="3" t="str">
        <f>VLOOKUP(gia_khuyen_mai[[#This Row],[Mã sản phẩm]],'Giá gốc'!$B:$C,2,0)</f>
        <v>Xúc xích thịt heo Bragenwurst 400g</v>
      </c>
      <c r="J52" s="5">
        <f>VLOOKUP(gia_khuyen_mai[[#This Row],[Mã sản phẩm]],'Giá gốc'!B:D,3,0)</f>
        <v>82080</v>
      </c>
      <c r="K52" s="56">
        <v>0.3</v>
      </c>
      <c r="L52" s="6">
        <f>ROUND((1-gia_khuyen_mai[[#This Row],[% Giảm giá]]) * gia_khuyen_mai[[#This Row],[Giá gốc]], 0)</f>
        <v>57456</v>
      </c>
      <c r="M52" s="6"/>
      <c r="O52" s="3" t="str">
        <f>IFERROR(VLOOKUP(gia_khuyen_mai[[#This Row],[Mã hàng tặng]],'Giá gốc'!B:C,2,0),"")</f>
        <v/>
      </c>
      <c r="Q52" s="3" t="str">
        <f>VLOOKUP(gia_khuyen_mai[[#This Row],[Mã sản phẩm]],product[[Mã sản phẩm]:[DS - ĐV]],3,0)</f>
        <v>Food Đức Việt</v>
      </c>
    </row>
    <row r="53" spans="1:17" ht="21.75" customHeight="1">
      <c r="A53" s="29">
        <f t="shared" si="0"/>
        <v>52</v>
      </c>
      <c r="B53" s="4" t="s">
        <v>12473</v>
      </c>
      <c r="C53" s="4" t="s">
        <v>183</v>
      </c>
      <c r="D53" s="4" t="s">
        <v>496</v>
      </c>
      <c r="E53" s="4" t="s">
        <v>12474</v>
      </c>
      <c r="F53" s="4" t="s">
        <v>12457</v>
      </c>
      <c r="G53" s="3" t="s">
        <v>12463</v>
      </c>
      <c r="H53" s="3" t="str">
        <f>VLOOKUP(gia_khuyen_mai[[#This Row],[Barcode]],'Giá gốc'!$A:$B,2,0)</f>
        <v>2145682</v>
      </c>
      <c r="I53" s="3" t="str">
        <f>VLOOKUP(gia_khuyen_mai[[#This Row],[Mã sản phẩm]],'Giá gốc'!$B:$C,2,0)</f>
        <v>O'Food - Xúc xích xốt Spaghetti 64g</v>
      </c>
      <c r="J53" s="5">
        <f>VLOOKUP(gia_khuyen_mai[[#This Row],[Mã sản phẩm]],'Giá gốc'!B:D,3,0)</f>
        <v>8837</v>
      </c>
      <c r="K53" s="56"/>
      <c r="L53" s="6">
        <f>ROUND((1-gia_khuyen_mai[[#This Row],[% Giảm giá]]) * gia_khuyen_mai[[#This Row],[Giá gốc]], 0)</f>
        <v>8837</v>
      </c>
      <c r="M53" s="6" t="s">
        <v>503</v>
      </c>
      <c r="N53" s="3" t="str">
        <f>VLOOKUP(gia_khuyen_mai[[#This Row],[Barcode]],'Giá gốc'!$A:$B,2,0)</f>
        <v>2145682</v>
      </c>
      <c r="O53" s="3" t="str">
        <f>IFERROR(VLOOKUP(gia_khuyen_mai[[#This Row],[Mã hàng tặng]],'Giá gốc'!B:C,2,0),"")</f>
        <v>O'Food - Xúc xích xốt Spaghetti 64g</v>
      </c>
      <c r="Q53" s="3" t="str">
        <f>VLOOKUP(gia_khuyen_mai[[#This Row],[Mã sản phẩm]],product[[Mã sản phẩm]:[DS - ĐV]],3,0)</f>
        <v>Food Đức Việt</v>
      </c>
    </row>
    <row r="54" spans="1:17" ht="21.75" customHeight="1">
      <c r="A54" s="29">
        <f t="shared" si="0"/>
        <v>53</v>
      </c>
      <c r="B54" s="4" t="s">
        <v>12473</v>
      </c>
      <c r="C54" s="4" t="s">
        <v>183</v>
      </c>
      <c r="D54" s="4" t="s">
        <v>496</v>
      </c>
      <c r="E54" s="4" t="s">
        <v>12474</v>
      </c>
      <c r="F54" s="4" t="s">
        <v>12457</v>
      </c>
      <c r="G54" s="3" t="s">
        <v>12464</v>
      </c>
      <c r="H54" s="3" t="str">
        <f>VLOOKUP(gia_khuyen_mai[[#This Row],[Barcode]],'Giá gốc'!$A:$B,2,0)</f>
        <v>2145684</v>
      </c>
      <c r="I54" s="3" t="str">
        <f>VLOOKUP(gia_khuyen_mai[[#This Row],[Mã sản phẩm]],'Giá gốc'!$B:$C,2,0)</f>
        <v>O'Food - Xúc xích xốt Tokpokki vị phô mai Hàn Quốc 64g</v>
      </c>
      <c r="J54" s="5">
        <f>VLOOKUP(gia_khuyen_mai[[#This Row],[Mã sản phẩm]],'Giá gốc'!B:D,3,0)</f>
        <v>8837</v>
      </c>
      <c r="K54" s="56"/>
      <c r="L54" s="6">
        <f>ROUND((1-gia_khuyen_mai[[#This Row],[% Giảm giá]]) * gia_khuyen_mai[[#This Row],[Giá gốc]], 0)</f>
        <v>8837</v>
      </c>
      <c r="M54" s="6" t="s">
        <v>503</v>
      </c>
      <c r="N54" s="3" t="str">
        <f>VLOOKUP(gia_khuyen_mai[[#This Row],[Barcode]],'Giá gốc'!$A:$B,2,0)</f>
        <v>2145684</v>
      </c>
      <c r="O54" s="3" t="str">
        <f>IFERROR(VLOOKUP(gia_khuyen_mai[[#This Row],[Mã hàng tặng]],'Giá gốc'!B:C,2,0),"")</f>
        <v>O'Food - Xúc xích xốt Tokpokki vị phô mai Hàn Quốc 64g</v>
      </c>
      <c r="Q54" s="3" t="str">
        <f>VLOOKUP(gia_khuyen_mai[[#This Row],[Mã sản phẩm]],product[[Mã sản phẩm]:[DS - ĐV]],3,0)</f>
        <v>Food Đức Việt</v>
      </c>
    </row>
    <row r="55" spans="1:17" ht="21.75" customHeight="1">
      <c r="A55" s="29">
        <f t="shared" si="0"/>
        <v>54</v>
      </c>
      <c r="B55" s="4" t="s">
        <v>12473</v>
      </c>
      <c r="C55" s="4" t="s">
        <v>183</v>
      </c>
      <c r="D55" s="4" t="s">
        <v>496</v>
      </c>
      <c r="E55" s="4" t="s">
        <v>12474</v>
      </c>
      <c r="F55" s="4" t="s">
        <v>12457</v>
      </c>
      <c r="G55" s="4" t="s">
        <v>12475</v>
      </c>
      <c r="H55" s="3" t="str">
        <f>VLOOKUP(gia_khuyen_mai[[#This Row],[Barcode]],'Giá gốc'!$A:$B,2,0)</f>
        <v>2149794</v>
      </c>
      <c r="I55" s="3" t="str">
        <f>VLOOKUP(gia_khuyen_mai[[#This Row],[Mã sản phẩm]],'Giá gốc'!$B:$C,2,0)</f>
        <v>Xúc xích Romas Light 500g</v>
      </c>
      <c r="J55" s="5">
        <f>VLOOKUP(gia_khuyen_mai[[#This Row],[Mã sản phẩm]],'Giá gốc'!B:D,3,0)</f>
        <v>44000</v>
      </c>
      <c r="K55" s="56"/>
      <c r="L55" s="6">
        <f>ROUND((1-gia_khuyen_mai[[#This Row],[% Giảm giá]]) * gia_khuyen_mai[[#This Row],[Giá gốc]], 0)</f>
        <v>44000</v>
      </c>
      <c r="M55" s="6" t="s">
        <v>503</v>
      </c>
      <c r="N55" s="4" t="s">
        <v>401</v>
      </c>
      <c r="O55" s="3" t="str">
        <f>IFERROR(VLOOKUP(gia_khuyen_mai[[#This Row],[Mã hàng tặng]],'Giá gốc'!B:C,2,0),"")</f>
        <v>Xúc xích phô mai Cheesy 70g * 30EA</v>
      </c>
      <c r="Q55" s="3" t="str">
        <f>VLOOKUP(gia_khuyen_mai[[#This Row],[Mã sản phẩm]],product[[Mã sản phẩm]:[DS - ĐV]],3,0)</f>
        <v>Food Đức Việt</v>
      </c>
    </row>
    <row r="56" spans="1:17" ht="21.75" customHeight="1">
      <c r="A56" s="29">
        <f t="shared" si="0"/>
        <v>55</v>
      </c>
      <c r="B56" s="4" t="s">
        <v>12473</v>
      </c>
      <c r="C56" s="4" t="s">
        <v>5</v>
      </c>
      <c r="D56" s="4" t="s">
        <v>496</v>
      </c>
      <c r="E56" s="4" t="s">
        <v>12721</v>
      </c>
      <c r="F56" s="4" t="s">
        <v>12842</v>
      </c>
      <c r="G56" s="3" t="s">
        <v>12459</v>
      </c>
      <c r="H56" s="3" t="str">
        <f>VLOOKUP(gia_khuyen_mai[[#This Row],[Barcode]],'Giá gốc'!$A:$B,2,0)</f>
        <v>2151032</v>
      </c>
      <c r="I56" s="3" t="str">
        <f>VLOOKUP(gia_khuyen_mai[[#This Row],[Mã sản phẩm]],'Giá gốc'!$B:$C,2,0)</f>
        <v>Jongga Kim chi Củ cải 450g</v>
      </c>
      <c r="J56" s="5">
        <f>VLOOKUP(gia_khuyen_mai[[#This Row],[Mã sản phẩm]],'Giá gốc'!B:D,3,0)</f>
        <v>42000</v>
      </c>
      <c r="K56" s="56"/>
      <c r="L56" s="6">
        <f>ROUND((1-gia_khuyen_mai[[#This Row],[% Giảm giá]]) * gia_khuyen_mai[[#This Row],[Giá gốc]], 0)</f>
        <v>42000</v>
      </c>
      <c r="M56" s="6" t="s">
        <v>503</v>
      </c>
      <c r="N56" s="3" t="str">
        <f>VLOOKUP(gia_khuyen_mai[[#This Row],[Barcode]],'Giá gốc'!$A:$B,2,0)</f>
        <v>2151032</v>
      </c>
      <c r="O56" s="3" t="str">
        <f>IFERROR(VLOOKUP(gia_khuyen_mai[[#This Row],[Mã hàng tặng]],'Giá gốc'!B:C,2,0),"")</f>
        <v>Jongga Kim chi Củ cải 450g</v>
      </c>
      <c r="Q56" s="3" t="str">
        <f>VLOOKUP(gia_khuyen_mai[[#This Row],[Mã sản phẩm]],product[[Mã sản phẩm]:[DS - ĐV]],3,0)</f>
        <v>Food Đức Việt</v>
      </c>
    </row>
    <row r="57" spans="1:17" ht="21.75" customHeight="1">
      <c r="A57" s="29">
        <f t="shared" si="0"/>
        <v>56</v>
      </c>
      <c r="B57" s="4" t="s">
        <v>12473</v>
      </c>
      <c r="C57" s="4" t="s">
        <v>5</v>
      </c>
      <c r="D57" s="4" t="s">
        <v>496</v>
      </c>
      <c r="E57" s="4" t="s">
        <v>12628</v>
      </c>
      <c r="F57" s="4" t="s">
        <v>12633</v>
      </c>
      <c r="G57" s="3" t="s">
        <v>12460</v>
      </c>
      <c r="H57" s="3" t="str">
        <f>VLOOKUP(gia_khuyen_mai[[#This Row],[Barcode]],'Giá gốc'!$A:$B,2,0)</f>
        <v>2151140</v>
      </c>
      <c r="I57" s="3" t="str">
        <f>VLOOKUP(gia_khuyen_mai[[#This Row],[Mã sản phẩm]],'Giá gốc'!$B:$C,2,0)</f>
        <v>Jongga Kim chi Củ cải 150g</v>
      </c>
      <c r="J57" s="5">
        <f>VLOOKUP(gia_khuyen_mai[[#This Row],[Mã sản phẩm]],'Giá gốc'!B:D,3,0)</f>
        <v>16500</v>
      </c>
      <c r="K57" s="56">
        <v>0.33</v>
      </c>
      <c r="L57" s="6">
        <f>ROUND((1-gia_khuyen_mai[[#This Row],[% Giảm giá]]) * gia_khuyen_mai[[#This Row],[Giá gốc]], 0)</f>
        <v>11055</v>
      </c>
      <c r="M57" s="6"/>
      <c r="O57" s="3" t="str">
        <f>IFERROR(VLOOKUP(gia_khuyen_mai[[#This Row],[Mã hàng tặng]],'Giá gốc'!B:C,2,0),"")</f>
        <v/>
      </c>
      <c r="Q57" s="3" t="str">
        <f>VLOOKUP(gia_khuyen_mai[[#This Row],[Mã sản phẩm]],product[[Mã sản phẩm]:[DS - ĐV]],3,0)</f>
        <v>Food Đức Việt</v>
      </c>
    </row>
    <row r="58" spans="1:17" ht="21.75" customHeight="1">
      <c r="A58" s="40">
        <f t="shared" si="0"/>
        <v>57</v>
      </c>
      <c r="B58" s="41" t="s">
        <v>12473</v>
      </c>
      <c r="C58" s="41" t="s">
        <v>5</v>
      </c>
      <c r="D58" s="41" t="s">
        <v>496</v>
      </c>
      <c r="E58" s="41" t="s">
        <v>12718</v>
      </c>
      <c r="F58" s="41" t="s">
        <v>12842</v>
      </c>
      <c r="G58" s="42" t="s">
        <v>12461</v>
      </c>
      <c r="H58" s="42" t="str">
        <f>VLOOKUP(gia_khuyen_mai[[#This Row],[Barcode]],'Giá gốc'!$A:$B,2,0)</f>
        <v>2151765</v>
      </c>
      <c r="I58" s="42" t="str">
        <f>VLOOKUP(gia_khuyen_mai[[#This Row],[Mã sản phẩm]],'Giá gốc'!$B:$C,2,0)</f>
        <v>Ức gà hong khói 100g</v>
      </c>
      <c r="J58" s="43">
        <f>VLOOKUP(gia_khuyen_mai[[#This Row],[Mã sản phẩm]],'Giá gốc'!B:D,3,0)</f>
        <v>26000</v>
      </c>
      <c r="K58" s="57">
        <v>0.25</v>
      </c>
      <c r="L58" s="44">
        <f>ROUND((1-gia_khuyen_mai[[#This Row],[% Giảm giá]]) * gia_khuyen_mai[[#This Row],[Giá gốc]], 0)</f>
        <v>19500</v>
      </c>
      <c r="M58" s="6"/>
      <c r="O58" s="3" t="str">
        <f>IFERROR(VLOOKUP(gia_khuyen_mai[[#This Row],[Mã hàng tặng]],'Giá gốc'!B:C,2,0),"")</f>
        <v/>
      </c>
      <c r="Q58" s="3" t="str">
        <f>VLOOKUP(gia_khuyen_mai[[#This Row],[Mã sản phẩm]],product[[Mã sản phẩm]:[DS - ĐV]],3,0)</f>
        <v>Food Đức Việt</v>
      </c>
    </row>
    <row r="59" spans="1:17" ht="21.75" customHeight="1">
      <c r="A59" s="29">
        <f t="shared" si="0"/>
        <v>58</v>
      </c>
      <c r="B59" s="4" t="s">
        <v>12473</v>
      </c>
      <c r="C59" s="4" t="s">
        <v>5</v>
      </c>
      <c r="D59" s="4" t="s">
        <v>496</v>
      </c>
      <c r="E59" s="4" t="s">
        <v>12718</v>
      </c>
      <c r="F59" s="4" t="s">
        <v>12628</v>
      </c>
      <c r="G59" s="4" t="s">
        <v>12462</v>
      </c>
      <c r="H59" s="3" t="str">
        <f>VLOOKUP(gia_khuyen_mai[[#This Row],[Barcode]],'Giá gốc'!$A:$B,2,0)</f>
        <v>2145747</v>
      </c>
      <c r="I59" s="3" t="str">
        <f>VLOOKUP(gia_khuyen_mai[[#This Row],[Mã sản phẩm]],'Giá gốc'!$B:$C,2,0)</f>
        <v>Xúc xích thịt heo Bragenwurst 400g</v>
      </c>
      <c r="J59" s="5">
        <f>VLOOKUP(gia_khuyen_mai[[#This Row],[Mã sản phẩm]],'Giá gốc'!B:D,3,0)</f>
        <v>82080</v>
      </c>
      <c r="K59" s="56">
        <v>0.3</v>
      </c>
      <c r="L59" s="6">
        <f>ROUND((1-gia_khuyen_mai[[#This Row],[% Giảm giá]]) * gia_khuyen_mai[[#This Row],[Giá gốc]], 0)</f>
        <v>57456</v>
      </c>
      <c r="M59" s="6"/>
      <c r="O59" s="3" t="str">
        <f>IFERROR(VLOOKUP(gia_khuyen_mai[[#This Row],[Mã hàng tặng]],'Giá gốc'!B:C,2,0),"")</f>
        <v/>
      </c>
      <c r="Q59" s="3" t="str">
        <f>VLOOKUP(gia_khuyen_mai[[#This Row],[Mã sản phẩm]],product[[Mã sản phẩm]:[DS - ĐV]],3,0)</f>
        <v>Food Đức Việt</v>
      </c>
    </row>
    <row r="60" spans="1:17" ht="21.75" customHeight="1">
      <c r="A60" s="29">
        <f t="shared" si="0"/>
        <v>59</v>
      </c>
      <c r="B60" s="4" t="s">
        <v>12473</v>
      </c>
      <c r="C60" s="4" t="s">
        <v>5</v>
      </c>
      <c r="D60" s="4" t="s">
        <v>496</v>
      </c>
      <c r="E60" s="4" t="s">
        <v>12629</v>
      </c>
      <c r="F60" s="4" t="s">
        <v>12633</v>
      </c>
      <c r="G60" s="3" t="s">
        <v>12463</v>
      </c>
      <c r="H60" s="3" t="str">
        <f>VLOOKUP(gia_khuyen_mai[[#This Row],[Barcode]],'Giá gốc'!$A:$B,2,0)</f>
        <v>2145682</v>
      </c>
      <c r="I60" s="3" t="str">
        <f>VLOOKUP(gia_khuyen_mai[[#This Row],[Mã sản phẩm]],'Giá gốc'!$B:$C,2,0)</f>
        <v>O'Food - Xúc xích xốt Spaghetti 64g</v>
      </c>
      <c r="J60" s="5">
        <f>VLOOKUP(gia_khuyen_mai[[#This Row],[Mã sản phẩm]],'Giá gốc'!B:D,3,0)</f>
        <v>8837</v>
      </c>
      <c r="K60" s="56"/>
      <c r="L60" s="6">
        <f>ROUND((1-gia_khuyen_mai[[#This Row],[% Giảm giá]]) * gia_khuyen_mai[[#This Row],[Giá gốc]], 0)</f>
        <v>8837</v>
      </c>
      <c r="M60" s="6" t="s">
        <v>503</v>
      </c>
      <c r="N60" s="3" t="str">
        <f>VLOOKUP(gia_khuyen_mai[[#This Row],[Barcode]],'Giá gốc'!$A:$B,2,0)</f>
        <v>2145682</v>
      </c>
      <c r="O60" s="3" t="str">
        <f>IFERROR(VLOOKUP(gia_khuyen_mai[[#This Row],[Mã hàng tặng]],'Giá gốc'!B:C,2,0),"")</f>
        <v>O'Food - Xúc xích xốt Spaghetti 64g</v>
      </c>
      <c r="Q60" s="3" t="str">
        <f>VLOOKUP(gia_khuyen_mai[[#This Row],[Mã sản phẩm]],product[[Mã sản phẩm]:[DS - ĐV]],3,0)</f>
        <v>Food Đức Việt</v>
      </c>
    </row>
    <row r="61" spans="1:17" ht="21.75" customHeight="1">
      <c r="A61" s="29">
        <f t="shared" si="0"/>
        <v>60</v>
      </c>
      <c r="B61" s="4" t="s">
        <v>12473</v>
      </c>
      <c r="C61" s="4" t="s">
        <v>5</v>
      </c>
      <c r="D61" s="4" t="s">
        <v>496</v>
      </c>
      <c r="E61" s="4" t="s">
        <v>12629</v>
      </c>
      <c r="F61" s="4" t="s">
        <v>12633</v>
      </c>
      <c r="G61" s="3" t="s">
        <v>12464</v>
      </c>
      <c r="H61" s="3" t="str">
        <f>VLOOKUP(gia_khuyen_mai[[#This Row],[Barcode]],'Giá gốc'!$A:$B,2,0)</f>
        <v>2145684</v>
      </c>
      <c r="I61" s="3" t="str">
        <f>VLOOKUP(gia_khuyen_mai[[#This Row],[Mã sản phẩm]],'Giá gốc'!$B:$C,2,0)</f>
        <v>O'Food - Xúc xích xốt Tokpokki vị phô mai Hàn Quốc 64g</v>
      </c>
      <c r="J61" s="5">
        <f>VLOOKUP(gia_khuyen_mai[[#This Row],[Mã sản phẩm]],'Giá gốc'!B:D,3,0)</f>
        <v>8837</v>
      </c>
      <c r="K61" s="56"/>
      <c r="L61" s="6">
        <f>ROUND((1-gia_khuyen_mai[[#This Row],[% Giảm giá]]) * gia_khuyen_mai[[#This Row],[Giá gốc]], 0)</f>
        <v>8837</v>
      </c>
      <c r="M61" s="6" t="s">
        <v>503</v>
      </c>
      <c r="N61" s="3" t="str">
        <f>VLOOKUP(gia_khuyen_mai[[#This Row],[Barcode]],'Giá gốc'!$A:$B,2,0)</f>
        <v>2145684</v>
      </c>
      <c r="O61" s="3" t="str">
        <f>IFERROR(VLOOKUP(gia_khuyen_mai[[#This Row],[Mã hàng tặng]],'Giá gốc'!B:C,2,0),"")</f>
        <v>O'Food - Xúc xích xốt Tokpokki vị phô mai Hàn Quốc 64g</v>
      </c>
      <c r="Q61" s="3" t="str">
        <f>VLOOKUP(gia_khuyen_mai[[#This Row],[Mã sản phẩm]],product[[Mã sản phẩm]:[DS - ĐV]],3,0)</f>
        <v>Food Đức Việt</v>
      </c>
    </row>
    <row r="62" spans="1:17" ht="21.75" customHeight="1">
      <c r="A62" s="29">
        <f t="shared" si="0"/>
        <v>61</v>
      </c>
      <c r="B62" s="4" t="s">
        <v>12632</v>
      </c>
      <c r="C62" s="4" t="s">
        <v>500</v>
      </c>
      <c r="D62" s="4" t="s">
        <v>496</v>
      </c>
      <c r="E62" s="4" t="s">
        <v>12631</v>
      </c>
      <c r="F62" s="4" t="s">
        <v>12628</v>
      </c>
      <c r="G62" s="3" t="s">
        <v>379</v>
      </c>
      <c r="H62" s="3" t="str">
        <f>VLOOKUP(gia_khuyen_mai[[#This Row],[Barcode]],'Giá gốc'!$A:$B,2,0)</f>
        <v>2145689</v>
      </c>
      <c r="I62" s="3" t="str">
        <f>VLOOKUP(gia_khuyen_mai[[#This Row],[Mã sản phẩm]],'Giá gốc'!$B:$C,2,0)</f>
        <v>Xúc xích vườn bia 450g * 1EA</v>
      </c>
      <c r="J62" s="5">
        <f>VLOOKUP(gia_khuyen_mai[[#This Row],[Mã sản phẩm]],'Giá gốc'!B:D,3,0)</f>
        <v>84200</v>
      </c>
      <c r="K62" s="56">
        <v>0.22</v>
      </c>
      <c r="L62" s="6">
        <f>ROUND((1-gia_khuyen_mai[[#This Row],[% Giảm giá]]) * gia_khuyen_mai[[#This Row],[Giá gốc]], 0)</f>
        <v>65676</v>
      </c>
      <c r="M62" s="6"/>
      <c r="O62" s="3" t="str">
        <f>IFERROR(VLOOKUP(gia_khuyen_mai[[#This Row],[Mã hàng tặng]],'Giá gốc'!B:C,2,0),"")</f>
        <v/>
      </c>
      <c r="Q62" s="3" t="str">
        <f>VLOOKUP(gia_khuyen_mai[[#This Row],[Mã sản phẩm]],product[[Mã sản phẩm]:[DS - ĐV]],3,0)</f>
        <v>Food Đức Việt</v>
      </c>
    </row>
    <row r="63" spans="1:17" ht="21.75" customHeight="1">
      <c r="A63" s="29">
        <f t="shared" si="0"/>
        <v>62</v>
      </c>
      <c r="B63" s="4" t="s">
        <v>12632</v>
      </c>
      <c r="C63" s="4" t="s">
        <v>500</v>
      </c>
      <c r="D63" s="4" t="s">
        <v>496</v>
      </c>
      <c r="E63" s="4" t="s">
        <v>12631</v>
      </c>
      <c r="F63" s="4" t="s">
        <v>12628</v>
      </c>
      <c r="G63" s="3" t="s">
        <v>385</v>
      </c>
      <c r="H63" s="3" t="str">
        <f>VLOOKUP(gia_khuyen_mai[[#This Row],[Barcode]],'Giá gốc'!$A:$B,2,0)</f>
        <v>2145714</v>
      </c>
      <c r="I63" s="3" t="str">
        <f>VLOOKUP(gia_khuyen_mai[[#This Row],[Mã sản phẩm]],'Giá gốc'!$B:$C,2,0)</f>
        <v>Xúc xích viên hong khói 200g</v>
      </c>
      <c r="J63" s="5">
        <f>VLOOKUP(gia_khuyen_mai[[#This Row],[Mã sản phẩm]],'Giá gốc'!B:D,3,0)</f>
        <v>38400</v>
      </c>
      <c r="K63" s="56">
        <v>0.2</v>
      </c>
      <c r="L63" s="6">
        <f>ROUND((1-gia_khuyen_mai[[#This Row],[% Giảm giá]]) * gia_khuyen_mai[[#This Row],[Giá gốc]], 0)</f>
        <v>30720</v>
      </c>
      <c r="M63" s="6"/>
      <c r="O63" s="3" t="str">
        <f>IFERROR(VLOOKUP(gia_khuyen_mai[[#This Row],[Mã hàng tặng]],'Giá gốc'!B:C,2,0),"")</f>
        <v/>
      </c>
      <c r="Q63" s="3" t="str">
        <f>VLOOKUP(gia_khuyen_mai[[#This Row],[Mã sản phẩm]],product[[Mã sản phẩm]:[DS - ĐV]],3,0)</f>
        <v>Food Đức Việt</v>
      </c>
    </row>
    <row r="64" spans="1:17" ht="21.75" customHeight="1">
      <c r="A64" s="29">
        <f t="shared" si="0"/>
        <v>63</v>
      </c>
      <c r="B64" s="4" t="s">
        <v>12632</v>
      </c>
      <c r="C64" s="4" t="s">
        <v>500</v>
      </c>
      <c r="D64" s="4" t="s">
        <v>496</v>
      </c>
      <c r="E64" s="4" t="s">
        <v>12631</v>
      </c>
      <c r="F64" s="4" t="s">
        <v>12628</v>
      </c>
      <c r="G64" s="3" t="s">
        <v>409</v>
      </c>
      <c r="H64" s="3" t="str">
        <f>VLOOKUP(gia_khuyen_mai[[#This Row],[Barcode]],'Giá gốc'!$A:$B,2,0)</f>
        <v>2145765</v>
      </c>
      <c r="I64" s="3" t="str">
        <f>VLOOKUP(gia_khuyen_mai[[#This Row],[Mã sản phẩm]],'Giá gốc'!$B:$C,2,0)</f>
        <v>Xúc xích Hotdog 200g</v>
      </c>
      <c r="J64" s="5">
        <f>VLOOKUP(gia_khuyen_mai[[#This Row],[Mã sản phẩm]],'Giá gốc'!B:D,3,0)</f>
        <v>20100</v>
      </c>
      <c r="K64" s="56">
        <v>0.2</v>
      </c>
      <c r="L64" s="6">
        <f>ROUND((1-gia_khuyen_mai[[#This Row],[% Giảm giá]]) * gia_khuyen_mai[[#This Row],[Giá gốc]], 0)</f>
        <v>16080</v>
      </c>
      <c r="M64" s="6"/>
      <c r="O64" s="3" t="str">
        <f>IFERROR(VLOOKUP(gia_khuyen_mai[[#This Row],[Mã hàng tặng]],'Giá gốc'!B:C,2,0),"")</f>
        <v/>
      </c>
      <c r="Q64" s="3" t="str">
        <f>VLOOKUP(gia_khuyen_mai[[#This Row],[Mã sản phẩm]],product[[Mã sản phẩm]:[DS - ĐV]],3,0)</f>
        <v>Food Đức Việt</v>
      </c>
    </row>
    <row r="65" spans="1:17" ht="21.75" customHeight="1">
      <c r="A65" s="29">
        <f t="shared" si="0"/>
        <v>64</v>
      </c>
      <c r="B65" s="4" t="s">
        <v>12632</v>
      </c>
      <c r="C65" s="4" t="s">
        <v>500</v>
      </c>
      <c r="D65" s="4" t="s">
        <v>496</v>
      </c>
      <c r="E65" s="4" t="s">
        <v>12631</v>
      </c>
      <c r="F65" s="4" t="s">
        <v>12628</v>
      </c>
      <c r="G65" s="3" t="s">
        <v>403</v>
      </c>
      <c r="H65" s="3" t="str">
        <f>VLOOKUP(gia_khuyen_mai[[#This Row],[Barcode]],'Giá gốc'!$A:$B,2,0)</f>
        <v>2145762</v>
      </c>
      <c r="I65" s="3" t="str">
        <f>VLOOKUP(gia_khuyen_mai[[#This Row],[Mã sản phẩm]],'Giá gốc'!$B:$C,2,0)</f>
        <v>Xúc xích Cocktail 200g</v>
      </c>
      <c r="J65" s="5">
        <f>VLOOKUP(gia_khuyen_mai[[#This Row],[Mã sản phẩm]],'Giá gốc'!B:D,3,0)</f>
        <v>21100</v>
      </c>
      <c r="K65" s="56">
        <v>0.2</v>
      </c>
      <c r="L65" s="6">
        <f>ROUND((1-gia_khuyen_mai[[#This Row],[% Giảm giá]]) * gia_khuyen_mai[[#This Row],[Giá gốc]], 0)</f>
        <v>16880</v>
      </c>
      <c r="M65" s="6"/>
      <c r="O65" s="3" t="str">
        <f>IFERROR(VLOOKUP(gia_khuyen_mai[[#This Row],[Mã hàng tặng]],'Giá gốc'!B:C,2,0),"")</f>
        <v/>
      </c>
      <c r="Q65" s="3" t="str">
        <f>VLOOKUP(gia_khuyen_mai[[#This Row],[Mã sản phẩm]],product[[Mã sản phẩm]:[DS - ĐV]],3,0)</f>
        <v>Food Đức Việt</v>
      </c>
    </row>
    <row r="66" spans="1:17" ht="21.75" customHeight="1">
      <c r="A66" s="29">
        <f t="shared" si="0"/>
        <v>65</v>
      </c>
      <c r="B66" s="4" t="s">
        <v>12632</v>
      </c>
      <c r="C66" s="4" t="s">
        <v>500</v>
      </c>
      <c r="D66" s="4" t="s">
        <v>496</v>
      </c>
      <c r="E66" s="4" t="s">
        <v>12631</v>
      </c>
      <c r="F66" s="4" t="s">
        <v>12628</v>
      </c>
      <c r="G66" s="3" t="s">
        <v>482</v>
      </c>
      <c r="H66" s="3" t="str">
        <f>VLOOKUP(gia_khuyen_mai[[#This Row],[Barcode]],'Giá gốc'!$A:$B,2,0)</f>
        <v>2150771</v>
      </c>
      <c r="I66" s="3" t="str">
        <f>VLOOKUP(gia_khuyen_mai[[#This Row],[Mã sản phẩm]],'Giá gốc'!$B:$C,2,0)</f>
        <v>Lạp xưởng tươi (62g) 500g</v>
      </c>
      <c r="J66" s="5">
        <f>VLOOKUP(gia_khuyen_mai[[#This Row],[Mã sản phẩm]],'Giá gốc'!B:D,3,0)</f>
        <v>105000</v>
      </c>
      <c r="K66" s="56">
        <v>0.2</v>
      </c>
      <c r="L66" s="6">
        <f>ROUND((1-gia_khuyen_mai[[#This Row],[% Giảm giá]]) * gia_khuyen_mai[[#This Row],[Giá gốc]], 0)</f>
        <v>84000</v>
      </c>
      <c r="M66" s="6"/>
      <c r="O66" s="3" t="str">
        <f>IFERROR(VLOOKUP(gia_khuyen_mai[[#This Row],[Mã hàng tặng]],'Giá gốc'!B:C,2,0),"")</f>
        <v/>
      </c>
      <c r="Q66" s="3" t="str">
        <f>VLOOKUP(gia_khuyen_mai[[#This Row],[Mã sản phẩm]],product[[Mã sản phẩm]:[DS - ĐV]],3,0)</f>
        <v>Food Đức Việt</v>
      </c>
    </row>
    <row r="67" spans="1:17" ht="21.75" customHeight="1">
      <c r="A67" s="29">
        <f t="shared" ref="A67:A93" si="1">ROW()-1</f>
        <v>66</v>
      </c>
      <c r="B67" s="4" t="s">
        <v>12632</v>
      </c>
      <c r="C67" s="4" t="s">
        <v>500</v>
      </c>
      <c r="D67" s="4" t="s">
        <v>496</v>
      </c>
      <c r="E67" s="4" t="s">
        <v>12631</v>
      </c>
      <c r="F67" s="4" t="s">
        <v>12628</v>
      </c>
      <c r="G67" s="3" t="s">
        <v>415</v>
      </c>
      <c r="H67" s="3" t="str">
        <f>VLOOKUP(gia_khuyen_mai[[#This Row],[Barcode]],'Giá gốc'!$A:$B,2,0)</f>
        <v>2145767</v>
      </c>
      <c r="I67" s="3" t="str">
        <f>VLOOKUP(gia_khuyen_mai[[#This Row],[Mã sản phẩm]],'Giá gốc'!$B:$C,2,0)</f>
        <v>Xúc xích Mỹ 500g</v>
      </c>
      <c r="J67" s="5">
        <f>VLOOKUP(gia_khuyen_mai[[#This Row],[Mã sản phẩm]],'Giá gốc'!B:D,3,0)</f>
        <v>55600</v>
      </c>
      <c r="K67" s="56">
        <v>0.2</v>
      </c>
      <c r="L67" s="6">
        <f>ROUND((1-gia_khuyen_mai[[#This Row],[% Giảm giá]]) * gia_khuyen_mai[[#This Row],[Giá gốc]], 0)</f>
        <v>44480</v>
      </c>
      <c r="M67" s="6"/>
      <c r="O67" s="3" t="str">
        <f>IFERROR(VLOOKUP(gia_khuyen_mai[[#This Row],[Mã hàng tặng]],'Giá gốc'!B:C,2,0),"")</f>
        <v/>
      </c>
      <c r="Q67" s="3" t="str">
        <f>VLOOKUP(gia_khuyen_mai[[#This Row],[Mã sản phẩm]],product[[Mã sản phẩm]:[DS - ĐV]],3,0)</f>
        <v>Food Đức Việt</v>
      </c>
    </row>
    <row r="68" spans="1:17" ht="21.75" customHeight="1">
      <c r="A68" s="29">
        <f t="shared" si="1"/>
        <v>67</v>
      </c>
      <c r="B68" s="4" t="s">
        <v>12632</v>
      </c>
      <c r="C68" s="4" t="s">
        <v>500</v>
      </c>
      <c r="D68" s="4" t="s">
        <v>496</v>
      </c>
      <c r="E68" s="4" t="s">
        <v>12631</v>
      </c>
      <c r="F68" s="4" t="s">
        <v>12628</v>
      </c>
      <c r="G68" s="3" t="s">
        <v>451</v>
      </c>
      <c r="H68" s="3" t="str">
        <f>VLOOKUP(gia_khuyen_mai[[#This Row],[Barcode]],'Giá gốc'!$A:$B,2,0)</f>
        <v>2145697</v>
      </c>
      <c r="I68" s="3" t="str">
        <f>VLOOKUP(gia_khuyen_mai[[#This Row],[Mã sản phẩm]],'Giá gốc'!$B:$C,2,0)</f>
        <v>Seoul nhân phô mai 250g</v>
      </c>
      <c r="J68" s="5">
        <f>VLOOKUP(gia_khuyen_mai[[#This Row],[Mã sản phẩm]],'Giá gốc'!B:D,3,0)</f>
        <v>42000</v>
      </c>
      <c r="K68" s="56">
        <v>0.22</v>
      </c>
      <c r="L68" s="6">
        <f>ROUND((1-gia_khuyen_mai[[#This Row],[% Giảm giá]]) * gia_khuyen_mai[[#This Row],[Giá gốc]], 0)</f>
        <v>32760</v>
      </c>
      <c r="M68" s="6"/>
      <c r="O68" s="3" t="str">
        <f>IFERROR(VLOOKUP(gia_khuyen_mai[[#This Row],[Mã hàng tặng]],'Giá gốc'!B:C,2,0),"")</f>
        <v/>
      </c>
      <c r="Q68" s="3" t="str">
        <f>VLOOKUP(gia_khuyen_mai[[#This Row],[Mã sản phẩm]],product[[Mã sản phẩm]:[DS - ĐV]],3,0)</f>
        <v>Food Đức Việt</v>
      </c>
    </row>
    <row r="69" spans="1:17" ht="21.75" customHeight="1">
      <c r="A69" s="29">
        <f t="shared" si="1"/>
        <v>68</v>
      </c>
      <c r="B69" s="4" t="s">
        <v>12632</v>
      </c>
      <c r="C69" s="4" t="s">
        <v>500</v>
      </c>
      <c r="D69" s="4" t="s">
        <v>496</v>
      </c>
      <c r="E69" s="4" t="s">
        <v>12631</v>
      </c>
      <c r="F69" s="4" t="s">
        <v>12628</v>
      </c>
      <c r="G69" s="3" t="s">
        <v>452</v>
      </c>
      <c r="H69" s="3" t="str">
        <f>VLOOKUP(gia_khuyen_mai[[#This Row],[Barcode]],'Giá gốc'!$A:$B,2,0)</f>
        <v>2145648</v>
      </c>
      <c r="I69" s="3" t="str">
        <f>VLOOKUP(gia_khuyen_mai[[#This Row],[Mã sản phẩm]],'Giá gốc'!$B:$C,2,0)</f>
        <v>Đức Việt Handy - xúc xích ăn liền vị heo 105g * 20EA</v>
      </c>
      <c r="J69" s="5">
        <f>VLOOKUP(gia_khuyen_mai[[#This Row],[Mã sản phẩm]],'Giá gốc'!B:D,3,0)</f>
        <v>9300</v>
      </c>
      <c r="K69" s="56">
        <v>0.2</v>
      </c>
      <c r="L69" s="6">
        <f>ROUND((1-gia_khuyen_mai[[#This Row],[% Giảm giá]]) * gia_khuyen_mai[[#This Row],[Giá gốc]], 0)</f>
        <v>7440</v>
      </c>
      <c r="M69" s="6"/>
      <c r="O69" s="3" t="str">
        <f>IFERROR(VLOOKUP(gia_khuyen_mai[[#This Row],[Mã hàng tặng]],'Giá gốc'!B:C,2,0),"")</f>
        <v/>
      </c>
      <c r="Q69" s="3" t="str">
        <f>VLOOKUP(gia_khuyen_mai[[#This Row],[Mã sản phẩm]],product[[Mã sản phẩm]:[DS - ĐV]],3,0)</f>
        <v>Food Đức Việt</v>
      </c>
    </row>
    <row r="70" spans="1:17" ht="21.75" customHeight="1">
      <c r="A70" s="29">
        <f t="shared" si="1"/>
        <v>69</v>
      </c>
      <c r="B70" s="4" t="s">
        <v>12632</v>
      </c>
      <c r="C70" s="4" t="s">
        <v>500</v>
      </c>
      <c r="D70" s="4" t="s">
        <v>496</v>
      </c>
      <c r="E70" s="4" t="s">
        <v>12631</v>
      </c>
      <c r="F70" s="4" t="s">
        <v>12628</v>
      </c>
      <c r="G70" s="3" t="s">
        <v>455</v>
      </c>
      <c r="H70" s="3" t="str">
        <f>VLOOKUP(gia_khuyen_mai[[#This Row],[Barcode]],'Giá gốc'!$A:$B,2,0)</f>
        <v>2145657</v>
      </c>
      <c r="I70" s="3" t="str">
        <f>VLOOKUP(gia_khuyen_mai[[#This Row],[Mã sản phẩm]],'Giá gốc'!$B:$C,2,0)</f>
        <v>Đức Việt Handy - xúc xích ăn liền vị bò 105g * 20EA</v>
      </c>
      <c r="J70" s="5">
        <f>VLOOKUP(gia_khuyen_mai[[#This Row],[Mã sản phẩm]],'Giá gốc'!B:D,3,0)</f>
        <v>9300</v>
      </c>
      <c r="K70" s="56">
        <v>0.2</v>
      </c>
      <c r="L70" s="6">
        <f>ROUND((1-gia_khuyen_mai[[#This Row],[% Giảm giá]]) * gia_khuyen_mai[[#This Row],[Giá gốc]], 0)</f>
        <v>7440</v>
      </c>
      <c r="M70" s="6"/>
      <c r="O70" s="3" t="str">
        <f>IFERROR(VLOOKUP(gia_khuyen_mai[[#This Row],[Mã hàng tặng]],'Giá gốc'!B:C,2,0),"")</f>
        <v/>
      </c>
      <c r="Q70" s="3" t="str">
        <f>VLOOKUP(gia_khuyen_mai[[#This Row],[Mã sản phẩm]],product[[Mã sản phẩm]:[DS - ĐV]],3,0)</f>
        <v>Food Đức Việt</v>
      </c>
    </row>
    <row r="71" spans="1:17" ht="21.75" customHeight="1">
      <c r="A71" s="29">
        <f t="shared" si="1"/>
        <v>70</v>
      </c>
      <c r="B71" s="4" t="s">
        <v>12632</v>
      </c>
      <c r="C71" s="4" t="s">
        <v>500</v>
      </c>
      <c r="D71" s="4" t="s">
        <v>496</v>
      </c>
      <c r="E71" s="4" t="s">
        <v>12631</v>
      </c>
      <c r="F71" s="4" t="s">
        <v>12628</v>
      </c>
      <c r="G71" s="3" t="s">
        <v>467</v>
      </c>
      <c r="H71" s="3" t="str">
        <f>VLOOKUP(gia_khuyen_mai[[#This Row],[Barcode]],'Giá gốc'!$A:$B,2,0)</f>
        <v>2148987</v>
      </c>
      <c r="I71" s="3" t="str">
        <f>VLOOKUP(gia_khuyen_mai[[#This Row],[Mã sản phẩm]],'Giá gốc'!$B:$C,2,0)</f>
        <v>Kimchi cải thảo cắt lát 150g * 30EA</v>
      </c>
      <c r="J71" s="5">
        <f>VLOOKUP(gia_khuyen_mai[[#This Row],[Mã sản phẩm]],'Giá gốc'!B:D,3,0)</f>
        <v>14200</v>
      </c>
      <c r="K71" s="56">
        <v>0.2</v>
      </c>
      <c r="L71" s="6">
        <f>ROUND((1-gia_khuyen_mai[[#This Row],[% Giảm giá]]) * gia_khuyen_mai[[#This Row],[Giá gốc]], 0)</f>
        <v>11360</v>
      </c>
      <c r="M71" s="6"/>
      <c r="O71" s="3" t="str">
        <f>IFERROR(VLOOKUP(gia_khuyen_mai[[#This Row],[Mã hàng tặng]],'Giá gốc'!B:C,2,0),"")</f>
        <v/>
      </c>
      <c r="Q71" s="3" t="str">
        <f>VLOOKUP(gia_khuyen_mai[[#This Row],[Mã sản phẩm]],product[[Mã sản phẩm]:[DS - ĐV]],3,0)</f>
        <v>Food Đức Việt</v>
      </c>
    </row>
    <row r="72" spans="1:17" ht="21.75" customHeight="1">
      <c r="A72" s="29">
        <f t="shared" si="1"/>
        <v>71</v>
      </c>
      <c r="B72" s="4" t="s">
        <v>12716</v>
      </c>
      <c r="C72" s="4" t="s">
        <v>500</v>
      </c>
      <c r="D72" s="4" t="s">
        <v>496</v>
      </c>
      <c r="E72" s="4" t="s">
        <v>12629</v>
      </c>
      <c r="F72" s="4" t="s">
        <v>12630</v>
      </c>
      <c r="G72" s="3" t="s">
        <v>373</v>
      </c>
      <c r="H72" s="3" t="str">
        <f>VLOOKUP(gia_khuyen_mai[[#This Row],[Barcode]],'Giá gốc'!$A:$B,2,0)</f>
        <v>2145686</v>
      </c>
      <c r="I72" s="3" t="str">
        <f>VLOOKUP(gia_khuyen_mai[[#This Row],[Mã sản phẩm]],'Giá gốc'!$B:$C,2,0)</f>
        <v>Xúc xích hong khói 450g</v>
      </c>
      <c r="J72" s="5">
        <f>VLOOKUP(gia_khuyen_mai[[#This Row],[Mã sản phẩm]],'Giá gốc'!B:D,3,0)</f>
        <v>79100</v>
      </c>
      <c r="K72" s="56">
        <v>0.22</v>
      </c>
      <c r="L72" s="6">
        <f>ROUND((1-gia_khuyen_mai[[#This Row],[% Giảm giá]]) * gia_khuyen_mai[[#This Row],[Giá gốc]], 0)</f>
        <v>61698</v>
      </c>
      <c r="M72" s="6"/>
      <c r="O72" s="3" t="str">
        <f>IFERROR(VLOOKUP(gia_khuyen_mai[[#This Row],[Mã hàng tặng]],'Giá gốc'!B:C,2,0),"")</f>
        <v/>
      </c>
      <c r="Q72" s="3" t="str">
        <f>VLOOKUP(gia_khuyen_mai[[#This Row],[Mã sản phẩm]],product[[Mã sản phẩm]:[DS - ĐV]],3,0)</f>
        <v>Food Đức Việt</v>
      </c>
    </row>
    <row r="73" spans="1:17" ht="21.75" customHeight="1">
      <c r="A73" s="29">
        <f t="shared" si="1"/>
        <v>72</v>
      </c>
      <c r="B73" s="4" t="s">
        <v>12716</v>
      </c>
      <c r="C73" s="4" t="s">
        <v>500</v>
      </c>
      <c r="D73" s="4" t="s">
        <v>496</v>
      </c>
      <c r="E73" s="4" t="s">
        <v>12629</v>
      </c>
      <c r="F73" s="4" t="s">
        <v>12630</v>
      </c>
      <c r="G73" s="7" t="s">
        <v>397</v>
      </c>
      <c r="H73" s="3" t="str">
        <f>VLOOKUP(gia_khuyen_mai[[#This Row],[Barcode]],'Giá gốc'!$A:$B,2,0)</f>
        <v>2145726</v>
      </c>
      <c r="I73" s="3" t="str">
        <f>VLOOKUP(gia_khuyen_mai[[#This Row],[Mã sản phẩm]],'Giá gốc'!$B:$C,2,0)</f>
        <v>Xúc xích phô mai Cheesy 250g</v>
      </c>
      <c r="J73" s="5">
        <f>VLOOKUP(gia_khuyen_mai[[#This Row],[Mã sản phẩm]],'Giá gốc'!B:D,3,0)</f>
        <v>49400</v>
      </c>
      <c r="K73" s="56">
        <v>0.25</v>
      </c>
      <c r="L73" s="6">
        <f>ROUND((1-gia_khuyen_mai[[#This Row],[% Giảm giá]]) * gia_khuyen_mai[[#This Row],[Giá gốc]], 0)</f>
        <v>37050</v>
      </c>
      <c r="M73" s="6"/>
      <c r="O73" s="3" t="str">
        <f>IFERROR(VLOOKUP(gia_khuyen_mai[[#This Row],[Mã hàng tặng]],'Giá gốc'!B:C,2,0),"")</f>
        <v/>
      </c>
      <c r="Q73" s="3" t="str">
        <f>VLOOKUP(gia_khuyen_mai[[#This Row],[Mã sản phẩm]],product[[Mã sản phẩm]:[DS - ĐV]],3,0)</f>
        <v>Food Đức Việt</v>
      </c>
    </row>
    <row r="74" spans="1:17" ht="21.75" customHeight="1">
      <c r="A74" s="29">
        <f t="shared" si="1"/>
        <v>73</v>
      </c>
      <c r="B74" s="4" t="s">
        <v>12716</v>
      </c>
      <c r="C74" s="4" t="s">
        <v>500</v>
      </c>
      <c r="D74" s="4" t="s">
        <v>496</v>
      </c>
      <c r="E74" s="4" t="s">
        <v>12629</v>
      </c>
      <c r="F74" s="4" t="s">
        <v>12630</v>
      </c>
      <c r="G74" s="7" t="s">
        <v>418</v>
      </c>
      <c r="H74" s="3" t="str">
        <f>VLOOKUP(gia_khuyen_mai[[#This Row],[Barcode]],'Giá gốc'!$A:$B,2,0)</f>
        <v>2145783</v>
      </c>
      <c r="I74" s="3" t="str">
        <f>VLOOKUP(gia_khuyen_mai[[#This Row],[Mã sản phẩm]],'Giá gốc'!$B:$C,2,0)</f>
        <v>Xúc xích Romas ( 50g) 500g</v>
      </c>
      <c r="J74" s="5">
        <f>VLOOKUP(gia_khuyen_mai[[#This Row],[Mã sản phẩm]],'Giá gốc'!B:D,3,0)</f>
        <v>53900</v>
      </c>
      <c r="K74" s="56">
        <v>0.22</v>
      </c>
      <c r="L74" s="6">
        <f>ROUND((1-gia_khuyen_mai[[#This Row],[% Giảm giá]]) * gia_khuyen_mai[[#This Row],[Giá gốc]], 0)</f>
        <v>42042</v>
      </c>
      <c r="M74" s="6"/>
      <c r="O74" s="3" t="str">
        <f>IFERROR(VLOOKUP(gia_khuyen_mai[[#This Row],[Mã hàng tặng]],'Giá gốc'!B:C,2,0),"")</f>
        <v/>
      </c>
      <c r="Q74" s="3" t="str">
        <f>VLOOKUP(gia_khuyen_mai[[#This Row],[Mã sản phẩm]],product[[Mã sản phẩm]:[DS - ĐV]],3,0)</f>
        <v>Food Đức Việt</v>
      </c>
    </row>
    <row r="75" spans="1:17" ht="21.75" customHeight="1">
      <c r="A75" s="29">
        <f t="shared" si="1"/>
        <v>74</v>
      </c>
      <c r="B75" s="4" t="s">
        <v>12716</v>
      </c>
      <c r="C75" s="4" t="s">
        <v>500</v>
      </c>
      <c r="D75" s="4" t="s">
        <v>496</v>
      </c>
      <c r="E75" s="4" t="s">
        <v>12629</v>
      </c>
      <c r="F75" s="4" t="s">
        <v>12630</v>
      </c>
      <c r="G75" s="7" t="s">
        <v>406</v>
      </c>
      <c r="H75" s="3" t="str">
        <f>VLOOKUP(gia_khuyen_mai[[#This Row],[Barcode]],'Giá gốc'!$A:$B,2,0)</f>
        <v>2145764</v>
      </c>
      <c r="I75" s="3" t="str">
        <f>VLOOKUP(gia_khuyen_mai[[#This Row],[Mã sản phẩm]],'Giá gốc'!$B:$C,2,0)</f>
        <v>Xúc xích Cocktail 500g</v>
      </c>
      <c r="J75" s="5">
        <f>VLOOKUP(gia_khuyen_mai[[#This Row],[Mã sản phẩm]],'Giá gốc'!B:D,3,0)</f>
        <v>52800</v>
      </c>
      <c r="K75" s="56">
        <v>0.2</v>
      </c>
      <c r="L75" s="6">
        <f>ROUND((1-gia_khuyen_mai[[#This Row],[% Giảm giá]]) * gia_khuyen_mai[[#This Row],[Giá gốc]], 0)</f>
        <v>42240</v>
      </c>
      <c r="M75" s="6"/>
      <c r="O75" s="3" t="str">
        <f>IFERROR(VLOOKUP(gia_khuyen_mai[[#This Row],[Mã hàng tặng]],'Giá gốc'!B:C,2,0),"")</f>
        <v/>
      </c>
      <c r="Q75" s="3" t="str">
        <f>VLOOKUP(gia_khuyen_mai[[#This Row],[Mã sản phẩm]],product[[Mã sản phẩm]:[DS - ĐV]],3,0)</f>
        <v>Food Đức Việt</v>
      </c>
    </row>
    <row r="76" spans="1:17" ht="21.75" customHeight="1">
      <c r="A76" s="29">
        <f t="shared" si="1"/>
        <v>75</v>
      </c>
      <c r="B76" s="4" t="s">
        <v>12716</v>
      </c>
      <c r="C76" s="4" t="s">
        <v>500</v>
      </c>
      <c r="D76" s="4" t="s">
        <v>496</v>
      </c>
      <c r="E76" s="4" t="s">
        <v>12629</v>
      </c>
      <c r="F76" s="4" t="s">
        <v>12630</v>
      </c>
      <c r="G76" s="7" t="s">
        <v>458</v>
      </c>
      <c r="H76" s="3" t="str">
        <f>VLOOKUP(gia_khuyen_mai[[#This Row],[Barcode]],'Giá gốc'!$A:$B,2,0)</f>
        <v>2145680</v>
      </c>
      <c r="I76" s="3" t="str">
        <f>VLOOKUP(gia_khuyen_mai[[#This Row],[Mã sản phẩm]],'Giá gốc'!$B:$C,2,0)</f>
        <v>O'food Xúc xích Lắc Phô mai vị truyền thống 56g * 24EA</v>
      </c>
      <c r="J76" s="5">
        <f>VLOOKUP(gia_khuyen_mai[[#This Row],[Mã sản phẩm]],'Giá gốc'!B:D,3,0)</f>
        <v>9300</v>
      </c>
      <c r="K76" s="56">
        <v>0.2</v>
      </c>
      <c r="L76" s="6">
        <v>7069</v>
      </c>
      <c r="M76" s="6"/>
      <c r="O76" s="3" t="str">
        <f>IFERROR(VLOOKUP(gia_khuyen_mai[[#This Row],[Mã hàng tặng]],'Giá gốc'!B:C,2,0),"")</f>
        <v/>
      </c>
      <c r="Q76" s="3" t="str">
        <f>VLOOKUP(gia_khuyen_mai[[#This Row],[Mã sản phẩm]],product[[Mã sản phẩm]:[DS - ĐV]],3,0)</f>
        <v>Food Đức Việt</v>
      </c>
    </row>
    <row r="77" spans="1:17" ht="21.75" customHeight="1">
      <c r="A77" s="29">
        <f t="shared" si="1"/>
        <v>76</v>
      </c>
      <c r="B77" s="4" t="s">
        <v>12716</v>
      </c>
      <c r="C77" s="4" t="s">
        <v>500</v>
      </c>
      <c r="D77" s="4" t="s">
        <v>496</v>
      </c>
      <c r="E77" s="4" t="s">
        <v>12629</v>
      </c>
      <c r="F77" s="4" t="s">
        <v>12630</v>
      </c>
      <c r="G77" s="7" t="s">
        <v>461</v>
      </c>
      <c r="H77" s="3" t="str">
        <f>VLOOKUP(gia_khuyen_mai[[#This Row],[Barcode]],'Giá gốc'!$A:$B,2,0)</f>
        <v>2145681</v>
      </c>
      <c r="I77" s="3" t="str">
        <f>VLOOKUP(gia_khuyen_mai[[#This Row],[Mã sản phẩm]],'Giá gốc'!$B:$C,2,0)</f>
        <v>O'food Xúc xích Lắc Phô mai vị dâu tây 56g * 24EA</v>
      </c>
      <c r="J77" s="5">
        <f>VLOOKUP(gia_khuyen_mai[[#This Row],[Mã sản phẩm]],'Giá gốc'!B:D,3,0)</f>
        <v>9300</v>
      </c>
      <c r="K77" s="56">
        <v>0.2</v>
      </c>
      <c r="L77" s="6">
        <v>7069</v>
      </c>
      <c r="M77" s="6"/>
      <c r="O77" s="3" t="str">
        <f>IFERROR(VLOOKUP(gia_khuyen_mai[[#This Row],[Mã hàng tặng]],'Giá gốc'!B:C,2,0),"")</f>
        <v/>
      </c>
      <c r="Q77" s="3" t="str">
        <f>VLOOKUP(gia_khuyen_mai[[#This Row],[Mã sản phẩm]],product[[Mã sản phẩm]:[DS - ĐV]],3,0)</f>
        <v>Food Đức Việt</v>
      </c>
    </row>
    <row r="78" spans="1:17" ht="21.75" customHeight="1">
      <c r="A78" s="29">
        <f t="shared" si="1"/>
        <v>77</v>
      </c>
      <c r="B78" s="4" t="s">
        <v>12716</v>
      </c>
      <c r="C78" s="4" t="s">
        <v>5</v>
      </c>
      <c r="D78" s="4" t="s">
        <v>496</v>
      </c>
      <c r="E78" s="4" t="s">
        <v>12629</v>
      </c>
      <c r="F78" s="4" t="s">
        <v>12630</v>
      </c>
      <c r="G78" s="7" t="s">
        <v>479</v>
      </c>
      <c r="H78" s="3" t="str">
        <f>VLOOKUP(gia_khuyen_mai[[#This Row],[Barcode]],'Giá gốc'!$A:$B,2,0)</f>
        <v>2150338</v>
      </c>
      <c r="I78" s="3" t="str">
        <f>VLOOKUP(gia_khuyen_mai[[#This Row],[Mã sản phẩm]],'Giá gốc'!$B:$C,2,0)</f>
        <v>O'food Chả giò da xốp hải sản 300g</v>
      </c>
      <c r="J78" s="5">
        <f>VLOOKUP(gia_khuyen_mai[[#This Row],[Mã sản phẩm]],'Giá gốc'!B:D,3,0)</f>
        <v>31524</v>
      </c>
      <c r="K78" s="56">
        <v>0.3</v>
      </c>
      <c r="L78" s="6">
        <f>ROUND((1-gia_khuyen_mai[[#This Row],[% Giảm giá]]) * gia_khuyen_mai[[#This Row],[Giá gốc]], 0)</f>
        <v>22067</v>
      </c>
      <c r="M78" s="6"/>
      <c r="O78" s="3" t="str">
        <f>IFERROR(VLOOKUP(gia_khuyen_mai[[#This Row],[Mã hàng tặng]],'Giá gốc'!B:C,2,0),"")</f>
        <v/>
      </c>
      <c r="Q78" s="3" t="str">
        <f>VLOOKUP(gia_khuyen_mai[[#This Row],[Mã sản phẩm]],product[[Mã sản phẩm]:[DS - ĐV]],3,0)</f>
        <v>Food Đức Việt</v>
      </c>
    </row>
    <row r="79" spans="1:17" ht="21.75" customHeight="1">
      <c r="A79" s="29">
        <f t="shared" si="1"/>
        <v>78</v>
      </c>
      <c r="B79" s="4" t="s">
        <v>12716</v>
      </c>
      <c r="C79" s="4" t="s">
        <v>500</v>
      </c>
      <c r="D79" s="4" t="s">
        <v>496</v>
      </c>
      <c r="E79" s="4" t="s">
        <v>12629</v>
      </c>
      <c r="F79" s="4" t="s">
        <v>12630</v>
      </c>
      <c r="G79" s="7" t="s">
        <v>464</v>
      </c>
      <c r="H79" s="3" t="str">
        <f>VLOOKUP(gia_khuyen_mai[[#This Row],[Barcode]],'Giá gốc'!$A:$B,2,0)</f>
        <v>2145622</v>
      </c>
      <c r="I79" s="3" t="str">
        <f>VLOOKUP(gia_khuyen_mai[[#This Row],[Mã sản phẩm]],'Giá gốc'!$B:$C,2,0)</f>
        <v>Kim chi 450</v>
      </c>
      <c r="J79" s="5">
        <f>VLOOKUP(gia_khuyen_mai[[#This Row],[Mã sản phẩm]],'Giá gốc'!B:D,3,0)</f>
        <v>35500</v>
      </c>
      <c r="K79" s="56">
        <v>0.3</v>
      </c>
      <c r="L79" s="6">
        <f>ROUND((1-gia_khuyen_mai[[#This Row],[% Giảm giá]]) * gia_khuyen_mai[[#This Row],[Giá gốc]], 0)</f>
        <v>24850</v>
      </c>
      <c r="M79" s="6"/>
      <c r="O79" s="3" t="str">
        <f>IFERROR(VLOOKUP(gia_khuyen_mai[[#This Row],[Mã hàng tặng]],'Giá gốc'!B:C,2,0),"")</f>
        <v/>
      </c>
      <c r="Q79" s="3" t="str">
        <f>VLOOKUP(gia_khuyen_mai[[#This Row],[Mã sản phẩm]],product[[Mã sản phẩm]:[DS - ĐV]],3,0)</f>
        <v>Food Đức Việt</v>
      </c>
    </row>
    <row r="80" spans="1:17" ht="21.75" customHeight="1">
      <c r="A80" s="29">
        <f t="shared" si="1"/>
        <v>79</v>
      </c>
      <c r="B80" s="4" t="s">
        <v>12719</v>
      </c>
      <c r="C80" s="4" t="s">
        <v>5</v>
      </c>
      <c r="D80" s="4" t="s">
        <v>496</v>
      </c>
      <c r="E80" s="4" t="s">
        <v>12720</v>
      </c>
      <c r="F80" s="4" t="s">
        <v>12630</v>
      </c>
      <c r="G80" s="7" t="s">
        <v>476</v>
      </c>
      <c r="H80" s="3" t="str">
        <f>VLOOKUP(gia_khuyen_mai[[#This Row],[Barcode]],'Giá gốc'!$A:$B,2,0)</f>
        <v>2150337</v>
      </c>
      <c r="I80" s="3" t="str">
        <f>VLOOKUP(gia_khuyen_mai[[#This Row],[Mã sản phẩm]],'Giá gốc'!$B:$C,2,0)</f>
        <v>O'food Chả giò da xốp nhân thịt 300g</v>
      </c>
      <c r="J80" s="5">
        <f>VLOOKUP(gia_khuyen_mai[[#This Row],[Mã sản phẩm]],'Giá gốc'!B:D,3,0)</f>
        <v>31524</v>
      </c>
      <c r="K80" s="56"/>
      <c r="L80" s="6">
        <f>ROUND((1-gia_khuyen_mai[[#This Row],[% Giảm giá]]) * gia_khuyen_mai[[#This Row],[Giá gốc]], 0)</f>
        <v>31524</v>
      </c>
      <c r="M80" s="6" t="s">
        <v>503</v>
      </c>
      <c r="N80" s="3" t="str">
        <f>VLOOKUP(gia_khuyen_mai[[#This Row],[Barcode]],'Giá gốc'!$A:$B,2,0)</f>
        <v>2150337</v>
      </c>
      <c r="O80" s="3" t="str">
        <f>IFERROR(VLOOKUP(gia_khuyen_mai[[#This Row],[Mã hàng tặng]],'Giá gốc'!B:C,2,0),"")</f>
        <v>O'food Chả giò da xốp nhân thịt 300g</v>
      </c>
      <c r="Q80" s="3" t="str">
        <f>VLOOKUP(gia_khuyen_mai[[#This Row],[Mã sản phẩm]],product[[Mã sản phẩm]:[DS - ĐV]],3,0)</f>
        <v>Food Đức Việt</v>
      </c>
    </row>
    <row r="81" spans="1:17" ht="21.75" customHeight="1">
      <c r="A81" s="29">
        <f t="shared" si="1"/>
        <v>80</v>
      </c>
      <c r="B81" s="4" t="s">
        <v>12719</v>
      </c>
      <c r="C81" s="4" t="s">
        <v>183</v>
      </c>
      <c r="D81" s="4" t="s">
        <v>496</v>
      </c>
      <c r="E81" s="4" t="s">
        <v>12722</v>
      </c>
      <c r="F81" s="4" t="s">
        <v>12630</v>
      </c>
      <c r="G81" s="7" t="s">
        <v>476</v>
      </c>
      <c r="H81" s="3" t="str">
        <f>VLOOKUP(gia_khuyen_mai[[#This Row],[Barcode]],'Giá gốc'!$A:$B,2,0)</f>
        <v>2150337</v>
      </c>
      <c r="I81" s="3" t="str">
        <f>VLOOKUP(gia_khuyen_mai[[#This Row],[Mã sản phẩm]],'Giá gốc'!$B:$C,2,0)</f>
        <v>O'food Chả giò da xốp nhân thịt 300g</v>
      </c>
      <c r="J81" s="5">
        <f>VLOOKUP(gia_khuyen_mai[[#This Row],[Mã sản phẩm]],'Giá gốc'!B:D,3,0)</f>
        <v>31524</v>
      </c>
      <c r="K81" s="56"/>
      <c r="L81" s="6">
        <f>ROUND((1-gia_khuyen_mai[[#This Row],[% Giảm giá]]) * gia_khuyen_mai[[#This Row],[Giá gốc]], 0)</f>
        <v>31524</v>
      </c>
      <c r="M81" s="6" t="s">
        <v>503</v>
      </c>
      <c r="N81" s="3" t="str">
        <f>VLOOKUP(gia_khuyen_mai[[#This Row],[Barcode]],'Giá gốc'!$A:$B,2,0)</f>
        <v>2150337</v>
      </c>
      <c r="O81" s="3" t="str">
        <f>IFERROR(VLOOKUP(gia_khuyen_mai[[#This Row],[Mã hàng tặng]],'Giá gốc'!B:C,2,0),"")</f>
        <v>O'food Chả giò da xốp nhân thịt 300g</v>
      </c>
      <c r="Q81" s="3" t="str">
        <f>VLOOKUP(gia_khuyen_mai[[#This Row],[Mã sản phẩm]],product[[Mã sản phẩm]:[DS - ĐV]],3,0)</f>
        <v>Food Đức Việt</v>
      </c>
    </row>
    <row r="82" spans="1:17" ht="21.75" customHeight="1">
      <c r="A82" s="29">
        <f t="shared" si="1"/>
        <v>81</v>
      </c>
      <c r="B82" s="4" t="s">
        <v>12719</v>
      </c>
      <c r="C82" s="4" t="s">
        <v>183</v>
      </c>
      <c r="D82" s="4" t="s">
        <v>496</v>
      </c>
      <c r="E82" s="4" t="s">
        <v>12722</v>
      </c>
      <c r="F82" s="4" t="s">
        <v>12630</v>
      </c>
      <c r="G82" s="7" t="s">
        <v>479</v>
      </c>
      <c r="H82" s="3" t="str">
        <f>VLOOKUP(gia_khuyen_mai[[#This Row],[Barcode]],'Giá gốc'!$A:$B,2,0)</f>
        <v>2150338</v>
      </c>
      <c r="I82" s="3" t="str">
        <f>VLOOKUP(gia_khuyen_mai[[#This Row],[Mã sản phẩm]],'Giá gốc'!$B:$C,2,0)</f>
        <v>O'food Chả giò da xốp hải sản 300g</v>
      </c>
      <c r="J82" s="5">
        <f>VLOOKUP(gia_khuyen_mai[[#This Row],[Mã sản phẩm]],'Giá gốc'!B:D,3,0)</f>
        <v>31524</v>
      </c>
      <c r="K82" s="56"/>
      <c r="L82" s="6">
        <f>ROUND((1-gia_khuyen_mai[[#This Row],[% Giảm giá]]) * gia_khuyen_mai[[#This Row],[Giá gốc]], 0)</f>
        <v>31524</v>
      </c>
      <c r="M82" s="6" t="s">
        <v>503</v>
      </c>
      <c r="N82" s="3" t="str">
        <f>VLOOKUP(gia_khuyen_mai[[#This Row],[Barcode]],'Giá gốc'!$A:$B,2,0)</f>
        <v>2150338</v>
      </c>
      <c r="O82" s="3" t="str">
        <f>IFERROR(VLOOKUP(gia_khuyen_mai[[#This Row],[Mã hàng tặng]],'Giá gốc'!B:C,2,0),"")</f>
        <v>O'food Chả giò da xốp hải sản 300g</v>
      </c>
      <c r="Q82" s="3" t="str">
        <f>VLOOKUP(gia_khuyen_mai[[#This Row],[Mã sản phẩm]],product[[Mã sản phẩm]:[DS - ĐV]],3,0)</f>
        <v>Food Đức Việt</v>
      </c>
    </row>
    <row r="83" spans="1:17" ht="21.75" customHeight="1">
      <c r="A83" s="29">
        <f t="shared" si="1"/>
        <v>82</v>
      </c>
      <c r="B83" s="4" t="s">
        <v>12822</v>
      </c>
      <c r="C83" s="4" t="s">
        <v>500</v>
      </c>
      <c r="D83" s="4" t="s">
        <v>496</v>
      </c>
      <c r="E83" s="4" t="s">
        <v>12628</v>
      </c>
      <c r="F83" s="4" t="s">
        <v>12633</v>
      </c>
      <c r="G83" s="7" t="s">
        <v>382</v>
      </c>
      <c r="H83" s="3" t="str">
        <f>VLOOKUP(gia_khuyen_mai[[#This Row],[Barcode]],'Giá gốc'!$A:$B,2,0)</f>
        <v>2145691</v>
      </c>
      <c r="I83" s="3" t="str">
        <f>VLOOKUP(gia_khuyen_mai[[#This Row],[Mã sản phẩm]],'Giá gốc'!$B:$C,2,0)</f>
        <v>Xúc xích viên hong khói 450g * 1EA</v>
      </c>
      <c r="J83" s="5">
        <f>VLOOKUP(gia_khuyen_mai[[#This Row],[Mã sản phẩm]],'Giá gốc'!B:D,3,0)</f>
        <v>84200</v>
      </c>
      <c r="K83" s="56"/>
      <c r="L83" s="6">
        <f>ROUND((1-gia_khuyen_mai[[#This Row],[% Giảm giá]]) * gia_khuyen_mai[[#This Row],[Giá gốc]], 0)</f>
        <v>84200</v>
      </c>
      <c r="M83" s="6" t="s">
        <v>503</v>
      </c>
      <c r="N83" s="20" t="s">
        <v>410</v>
      </c>
      <c r="O83" s="3" t="str">
        <f>IFERROR(VLOOKUP(gia_khuyen_mai[[#This Row],[Mã hàng tặng]],'Giá gốc'!B:C,2,0),"")</f>
        <v>Xúc xích Hotdog 200g</v>
      </c>
      <c r="Q83" s="3" t="str">
        <f>VLOOKUP(gia_khuyen_mai[[#This Row],[Mã sản phẩm]],product[[Mã sản phẩm]:[DS - ĐV]],3,0)</f>
        <v>Food Đức Việt</v>
      </c>
    </row>
    <row r="84" spans="1:17" ht="21.75" customHeight="1">
      <c r="A84" s="29">
        <f t="shared" si="1"/>
        <v>83</v>
      </c>
      <c r="B84" s="4" t="s">
        <v>12822</v>
      </c>
      <c r="C84" s="4" t="s">
        <v>500</v>
      </c>
      <c r="D84" s="4" t="s">
        <v>496</v>
      </c>
      <c r="E84" s="4" t="s">
        <v>12628</v>
      </c>
      <c r="F84" s="4" t="s">
        <v>12633</v>
      </c>
      <c r="G84" s="3" t="s">
        <v>376</v>
      </c>
      <c r="H84" s="3" t="str">
        <f>VLOOKUP(gia_khuyen_mai[[#This Row],[Barcode]],'Giá gốc'!$A:$B,2,0)</f>
        <v>2145690</v>
      </c>
      <c r="I84" s="3" t="str">
        <f>VLOOKUP(gia_khuyen_mai[[#This Row],[Mã sản phẩm]],'Giá gốc'!$B:$C,2,0)</f>
        <v>Xúc xích vườn bia 200g * 1EA</v>
      </c>
      <c r="J84" s="5">
        <f>VLOOKUP(gia_khuyen_mai[[#This Row],[Mã sản phẩm]],'Giá gốc'!B:D,3,0)</f>
        <v>38400</v>
      </c>
      <c r="K84" s="56">
        <v>0.2</v>
      </c>
      <c r="L84" s="6">
        <f>ROUND((1-gia_khuyen_mai[[#This Row],[% Giảm giá]]) * gia_khuyen_mai[[#This Row],[Giá gốc]], 0)</f>
        <v>30720</v>
      </c>
      <c r="M84" s="6"/>
      <c r="O84" s="3" t="str">
        <f>IFERROR(VLOOKUP(gia_khuyen_mai[[#This Row],[Mã hàng tặng]],'Giá gốc'!B:C,2,0),"")</f>
        <v/>
      </c>
      <c r="Q84" s="3" t="str">
        <f>VLOOKUP(gia_khuyen_mai[[#This Row],[Mã sản phẩm]],product[[Mã sản phẩm]:[DS - ĐV]],3,0)</f>
        <v>Food Đức Việt</v>
      </c>
    </row>
    <row r="85" spans="1:17" ht="21.75" customHeight="1">
      <c r="A85" s="29">
        <f t="shared" si="1"/>
        <v>84</v>
      </c>
      <c r="B85" s="4" t="s">
        <v>12822</v>
      </c>
      <c r="C85" s="4" t="s">
        <v>500</v>
      </c>
      <c r="D85" s="4" t="s">
        <v>496</v>
      </c>
      <c r="E85" s="4" t="s">
        <v>12628</v>
      </c>
      <c r="F85" s="4" t="s">
        <v>12633</v>
      </c>
      <c r="G85" s="3" t="s">
        <v>473</v>
      </c>
      <c r="H85" s="3" t="str">
        <f>VLOOKUP(gia_khuyen_mai[[#This Row],[Barcode]],'Giá gốc'!$A:$B,2,0)</f>
        <v>2145679</v>
      </c>
      <c r="I85" s="3" t="str">
        <f>VLOOKUP(gia_khuyen_mai[[#This Row],[Mã sản phẩm]],'Giá gốc'!$B:$C,2,0)</f>
        <v>Đức Việt Handy- Xúc xích thịt heo muối hồng Himalaya 175g * 20EA</v>
      </c>
      <c r="J85" s="5">
        <f>VLOOKUP(gia_khuyen_mai[[#This Row],[Mã sản phẩm]],'Giá gốc'!B:D,3,0)</f>
        <v>18300</v>
      </c>
      <c r="K85" s="56">
        <v>0.25</v>
      </c>
      <c r="L85" s="6">
        <f>ROUND((1-gia_khuyen_mai[[#This Row],[% Giảm giá]]) * gia_khuyen_mai[[#This Row],[Giá gốc]], 0)</f>
        <v>13725</v>
      </c>
      <c r="M85" s="6"/>
      <c r="O85" s="3" t="str">
        <f>IFERROR(VLOOKUP(gia_khuyen_mai[[#This Row],[Mã hàng tặng]],'Giá gốc'!B:C,2,0),"")</f>
        <v/>
      </c>
      <c r="Q85" s="3" t="str">
        <f>VLOOKUP(gia_khuyen_mai[[#This Row],[Mã sản phẩm]],product[[Mã sản phẩm]:[DS - ĐV]],3,0)</f>
        <v>Food Đức Việt</v>
      </c>
    </row>
    <row r="86" spans="1:17" ht="21.75" customHeight="1">
      <c r="A86" s="29">
        <f t="shared" si="1"/>
        <v>85</v>
      </c>
      <c r="B86" s="4" t="s">
        <v>12822</v>
      </c>
      <c r="C86" s="4" t="s">
        <v>500</v>
      </c>
      <c r="D86" s="4" t="s">
        <v>496</v>
      </c>
      <c r="E86" s="4" t="s">
        <v>12628</v>
      </c>
      <c r="F86" s="4" t="s">
        <v>12633</v>
      </c>
      <c r="G86" s="3" t="s">
        <v>448</v>
      </c>
      <c r="H86" s="3" t="str">
        <f>VLOOKUP(gia_khuyen_mai[[#This Row],[Barcode]],'Giá gốc'!$A:$B,2,0)</f>
        <v>2145695</v>
      </c>
      <c r="I86" s="3" t="str">
        <f>VLOOKUP(gia_khuyen_mai[[#This Row],[Mã sản phẩm]],'Giá gốc'!$B:$C,2,0)</f>
        <v>Seoul's Hotdog 350g</v>
      </c>
      <c r="J86" s="5">
        <f>VLOOKUP(gia_khuyen_mai[[#This Row],[Mã sản phẩm]],'Giá gốc'!B:D,3,0)</f>
        <v>48384</v>
      </c>
      <c r="K86" s="56">
        <v>0.25</v>
      </c>
      <c r="L86" s="6">
        <f>ROUND((1-gia_khuyen_mai[[#This Row],[% Giảm giá]]) * gia_khuyen_mai[[#This Row],[Giá gốc]], 0)</f>
        <v>36288</v>
      </c>
      <c r="M86" s="6"/>
      <c r="O86" s="3" t="str">
        <f>IFERROR(VLOOKUP(gia_khuyen_mai[[#This Row],[Mã hàng tặng]],'Giá gốc'!B:C,2,0),"")</f>
        <v/>
      </c>
      <c r="Q86" s="3" t="str">
        <f>VLOOKUP(gia_khuyen_mai[[#This Row],[Mã sản phẩm]],product[[Mã sản phẩm]:[DS - ĐV]],3,0)</f>
        <v>Food Đức Việt</v>
      </c>
    </row>
    <row r="87" spans="1:17" ht="21.75" customHeight="1">
      <c r="A87" s="29">
        <f t="shared" si="1"/>
        <v>86</v>
      </c>
      <c r="B87" s="4" t="s">
        <v>12822</v>
      </c>
      <c r="C87" s="4" t="s">
        <v>500</v>
      </c>
      <c r="D87" s="4" t="s">
        <v>496</v>
      </c>
      <c r="E87" s="4" t="s">
        <v>12628</v>
      </c>
      <c r="F87" s="4" t="s">
        <v>12633</v>
      </c>
      <c r="G87" s="3" t="s">
        <v>424</v>
      </c>
      <c r="H87" s="3" t="str">
        <f>VLOOKUP(gia_khuyen_mai[[#This Row],[Barcode]],'Giá gốc'!$A:$B,2,0)</f>
        <v>2145774</v>
      </c>
      <c r="I87" s="3" t="str">
        <f>VLOOKUP(gia_khuyen_mai[[#This Row],[Mã sản phẩm]],'Giá gốc'!$B:$C,2,0)</f>
        <v>Xúc xích Pari (50g) 500g</v>
      </c>
      <c r="J87" s="5">
        <f>VLOOKUP(gia_khuyen_mai[[#This Row],[Mã sản phẩm]],'Giá gốc'!B:D,3,0)</f>
        <v>55600</v>
      </c>
      <c r="K87" s="56">
        <v>0.22</v>
      </c>
      <c r="L87" s="6">
        <f>ROUND((1-gia_khuyen_mai[[#This Row],[% Giảm giá]]) * gia_khuyen_mai[[#This Row],[Giá gốc]], 0)</f>
        <v>43368</v>
      </c>
      <c r="M87" s="6"/>
      <c r="O87" s="3" t="str">
        <f>IFERROR(VLOOKUP(gia_khuyen_mai[[#This Row],[Mã hàng tặng]],'Giá gốc'!B:C,2,0),"")</f>
        <v/>
      </c>
      <c r="Q87" s="3" t="str">
        <f>VLOOKUP(gia_khuyen_mai[[#This Row],[Mã sản phẩm]],product[[Mã sản phẩm]:[DS - ĐV]],3,0)</f>
        <v>Food Đức Việt</v>
      </c>
    </row>
    <row r="88" spans="1:17" ht="21.75" customHeight="1">
      <c r="A88" s="29">
        <f t="shared" si="1"/>
        <v>87</v>
      </c>
      <c r="B88" s="4" t="s">
        <v>12822</v>
      </c>
      <c r="C88" s="4" t="s">
        <v>500</v>
      </c>
      <c r="D88" s="4" t="s">
        <v>496</v>
      </c>
      <c r="E88" s="4" t="s">
        <v>12628</v>
      </c>
      <c r="F88" s="4" t="s">
        <v>12633</v>
      </c>
      <c r="G88" s="3" t="s">
        <v>394</v>
      </c>
      <c r="H88" s="3" t="str">
        <f>VLOOKUP(gia_khuyen_mai[[#This Row],[Barcode]],'Giá gốc'!$A:$B,2,0)</f>
        <v>2145744</v>
      </c>
      <c r="I88" s="3" t="str">
        <f>VLOOKUP(gia_khuyen_mai[[#This Row],[Mã sản phẩm]],'Giá gốc'!$B:$C,2,0)</f>
        <v>Xúc xích bắp phô mai 250g</v>
      </c>
      <c r="J88" s="5">
        <f>VLOOKUP(gia_khuyen_mai[[#This Row],[Mã sản phẩm]],'Giá gốc'!B:D,3,0)</f>
        <v>49400</v>
      </c>
      <c r="K88" s="56">
        <v>0.25</v>
      </c>
      <c r="L88" s="6">
        <f>ROUND((1-gia_khuyen_mai[[#This Row],[% Giảm giá]]) * gia_khuyen_mai[[#This Row],[Giá gốc]], 0)</f>
        <v>37050</v>
      </c>
      <c r="M88" s="6"/>
      <c r="O88" s="3" t="str">
        <f>IFERROR(VLOOKUP(gia_khuyen_mai[[#This Row],[Mã hàng tặng]],'Giá gốc'!B:C,2,0),"")</f>
        <v/>
      </c>
      <c r="Q88" s="3" t="str">
        <f>VLOOKUP(gia_khuyen_mai[[#This Row],[Mã sản phẩm]],product[[Mã sản phẩm]:[DS - ĐV]],3,0)</f>
        <v>Food Đức Việt</v>
      </c>
    </row>
    <row r="89" spans="1:17" ht="21.75" customHeight="1">
      <c r="A89" s="29">
        <f t="shared" si="1"/>
        <v>88</v>
      </c>
      <c r="B89" s="4" t="s">
        <v>12822</v>
      </c>
      <c r="C89" s="4" t="s">
        <v>500</v>
      </c>
      <c r="D89" s="4" t="s">
        <v>496</v>
      </c>
      <c r="E89" s="4" t="s">
        <v>12628</v>
      </c>
      <c r="F89" s="4" t="s">
        <v>12633</v>
      </c>
      <c r="G89" s="3" t="s">
        <v>427</v>
      </c>
      <c r="H89" s="3" t="str">
        <f>VLOOKUP(gia_khuyen_mai[[#This Row],[Barcode]],'Giá gốc'!$A:$B,2,0)</f>
        <v>2145743</v>
      </c>
      <c r="I89" s="3" t="str">
        <f>VLOOKUP(gia_khuyen_mai[[#This Row],[Mã sản phẩm]],'Giá gốc'!$B:$C,2,0)</f>
        <v>Xúc xích sụn nướng Bulgogi 450g</v>
      </c>
      <c r="J89" s="5">
        <f>VLOOKUP(gia_khuyen_mai[[#This Row],[Mã sản phẩm]],'Giá gốc'!B:D,3,0)</f>
        <v>74500</v>
      </c>
      <c r="K89" s="56">
        <v>0.3</v>
      </c>
      <c r="L89" s="6">
        <f>ROUND((1-gia_khuyen_mai[[#This Row],[% Giảm giá]]) * gia_khuyen_mai[[#This Row],[Giá gốc]], 0)</f>
        <v>52150</v>
      </c>
      <c r="M89" s="6"/>
      <c r="O89" s="3" t="str">
        <f>IFERROR(VLOOKUP(gia_khuyen_mai[[#This Row],[Mã hàng tặng]],'Giá gốc'!B:C,2,0),"")</f>
        <v/>
      </c>
      <c r="Q89" s="3" t="str">
        <f>VLOOKUP(gia_khuyen_mai[[#This Row],[Mã sản phẩm]],product[[Mã sản phẩm]:[DS - ĐV]],3,0)</f>
        <v>Food Đức Việt</v>
      </c>
    </row>
    <row r="90" spans="1:17" ht="21.75" customHeight="1">
      <c r="A90" s="29">
        <f t="shared" si="1"/>
        <v>89</v>
      </c>
      <c r="B90" s="4" t="s">
        <v>12822</v>
      </c>
      <c r="C90" s="4" t="s">
        <v>500</v>
      </c>
      <c r="D90" s="4" t="s">
        <v>496</v>
      </c>
      <c r="E90" s="4" t="s">
        <v>12628</v>
      </c>
      <c r="F90" s="4" t="s">
        <v>12633</v>
      </c>
      <c r="G90" s="3" t="s">
        <v>412</v>
      </c>
      <c r="H90" s="3" t="str">
        <f>VLOOKUP(gia_khuyen_mai[[#This Row],[Barcode]],'Giá gốc'!$A:$B,2,0)</f>
        <v>2145768</v>
      </c>
      <c r="I90" s="3" t="str">
        <f>VLOOKUP(gia_khuyen_mai[[#This Row],[Mã sản phẩm]],'Giá gốc'!$B:$C,2,0)</f>
        <v>Xúc xích Hotdog 500g</v>
      </c>
      <c r="J90" s="5">
        <f>VLOOKUP(gia_khuyen_mai[[#This Row],[Mã sản phẩm]],'Giá gốc'!B:D,3,0)</f>
        <v>50200</v>
      </c>
      <c r="K90" s="56">
        <v>0.2</v>
      </c>
      <c r="L90" s="6">
        <f>ROUND((1-gia_khuyen_mai[[#This Row],[% Giảm giá]]) * gia_khuyen_mai[[#This Row],[Giá gốc]], 0)</f>
        <v>40160</v>
      </c>
      <c r="M90" s="6"/>
      <c r="O90" s="3" t="str">
        <f>IFERROR(VLOOKUP(gia_khuyen_mai[[#This Row],[Mã hàng tặng]],'Giá gốc'!B:C,2,0),"")</f>
        <v/>
      </c>
      <c r="Q90" s="3" t="str">
        <f>VLOOKUP(gia_khuyen_mai[[#This Row],[Mã sản phẩm]],product[[Mã sản phẩm]:[DS - ĐV]],3,0)</f>
        <v>Food Đức Việt</v>
      </c>
    </row>
    <row r="91" spans="1:17" ht="21.75" customHeight="1">
      <c r="A91" s="29">
        <f t="shared" si="1"/>
        <v>90</v>
      </c>
      <c r="B91" s="4" t="s">
        <v>12822</v>
      </c>
      <c r="C91" s="4" t="s">
        <v>500</v>
      </c>
      <c r="D91" s="4" t="s">
        <v>496</v>
      </c>
      <c r="E91" s="4" t="s">
        <v>12823</v>
      </c>
      <c r="F91" s="4" t="s">
        <v>12633</v>
      </c>
      <c r="G91" s="3" t="s">
        <v>476</v>
      </c>
      <c r="H91" s="3" t="str">
        <f>VLOOKUP(gia_khuyen_mai[[#This Row],[Barcode]],'Giá gốc'!$A:$B,2,0)</f>
        <v>2150337</v>
      </c>
      <c r="I91" s="3" t="str">
        <f>VLOOKUP(gia_khuyen_mai[[#This Row],[Mã sản phẩm]],'Giá gốc'!$B:$C,2,0)</f>
        <v>O'food Chả giò da xốp nhân thịt 300g</v>
      </c>
      <c r="J91" s="5">
        <f>VLOOKUP(gia_khuyen_mai[[#This Row],[Mã sản phẩm]],'Giá gốc'!B:D,3,0)</f>
        <v>31524</v>
      </c>
      <c r="K91" s="56">
        <v>0.3</v>
      </c>
      <c r="L91" s="6">
        <f>ROUND((1-gia_khuyen_mai[[#This Row],[% Giảm giá]]) * gia_khuyen_mai[[#This Row],[Giá gốc]], 0)</f>
        <v>22067</v>
      </c>
      <c r="M91" s="6"/>
      <c r="O91" s="3" t="str">
        <f>IFERROR(VLOOKUP(gia_khuyen_mai[[#This Row],[Mã hàng tặng]],'Giá gốc'!B:C,2,0),"")</f>
        <v/>
      </c>
      <c r="Q91" s="3" t="str">
        <f>VLOOKUP(gia_khuyen_mai[[#This Row],[Mã sản phẩm]],product[[Mã sản phẩm]:[DS - ĐV]],3,0)</f>
        <v>Food Đức Việt</v>
      </c>
    </row>
    <row r="92" spans="1:17" ht="21.75" customHeight="1">
      <c r="A92" s="29">
        <f t="shared" si="1"/>
        <v>91</v>
      </c>
      <c r="B92" s="4" t="s">
        <v>12822</v>
      </c>
      <c r="C92" s="4" t="s">
        <v>500</v>
      </c>
      <c r="D92" s="4" t="s">
        <v>496</v>
      </c>
      <c r="E92" s="4" t="s">
        <v>12628</v>
      </c>
      <c r="F92" s="4" t="s">
        <v>12935</v>
      </c>
      <c r="G92" s="3" t="s">
        <v>470</v>
      </c>
      <c r="H92" s="3" t="str">
        <f>VLOOKUP(gia_khuyen_mai[[#This Row],[Barcode]],'Giá gốc'!$A:$B,2,0)</f>
        <v>2145699</v>
      </c>
      <c r="I92" s="3" t="str">
        <f>VLOOKUP(gia_khuyen_mai[[#This Row],[Mã sản phẩm]],'Giá gốc'!$B:$C,2,0)</f>
        <v>Seoul's Hotdog Chiên xù 250g (Đ)</v>
      </c>
      <c r="J92" s="5">
        <f>VLOOKUP(gia_khuyen_mai[[#This Row],[Mã sản phẩm]],'Giá gốc'!B:D,3,0)</f>
        <v>39150</v>
      </c>
      <c r="K92" s="56">
        <v>0.22</v>
      </c>
      <c r="L92" s="6">
        <f>ROUND((1-gia_khuyen_mai[[#This Row],[% Giảm giá]]) * gia_khuyen_mai[[#This Row],[Giá gốc]], 0)</f>
        <v>30537</v>
      </c>
      <c r="M92" s="6"/>
      <c r="O92" s="3" t="str">
        <f>IFERROR(VLOOKUP(gia_khuyen_mai[[#This Row],[Mã hàng tặng]],'Giá gốc'!B:C,2,0),"")</f>
        <v/>
      </c>
      <c r="Q92" s="3" t="str">
        <f>VLOOKUP(gia_khuyen_mai[[#This Row],[Mã sản phẩm]],product[[Mã sản phẩm]:[DS - ĐV]],3,0)</f>
        <v>Food Đức Việt</v>
      </c>
    </row>
    <row r="93" spans="1:17" ht="21.75" customHeight="1">
      <c r="A93" s="29">
        <f t="shared" si="1"/>
        <v>92</v>
      </c>
      <c r="B93" s="4" t="s">
        <v>12822</v>
      </c>
      <c r="C93" s="4" t="s">
        <v>500</v>
      </c>
      <c r="D93" s="4" t="s">
        <v>496</v>
      </c>
      <c r="E93" s="4" t="s">
        <v>12628</v>
      </c>
      <c r="F93" s="4" t="s">
        <v>12633</v>
      </c>
      <c r="G93" s="3" t="s">
        <v>433</v>
      </c>
      <c r="H93" s="3" t="str">
        <f>VLOOKUP(gia_khuyen_mai[[#This Row],[Barcode]],'Giá gốc'!$A:$B,2,0)</f>
        <v>2146417</v>
      </c>
      <c r="I93" s="3" t="str">
        <f>VLOOKUP(gia_khuyen_mai[[#This Row],[Mã sản phẩm]],'Giá gốc'!$B:$C,2,0)</f>
        <v>Chân giò hong khói rút xương 300g</v>
      </c>
      <c r="J93" s="5">
        <f>VLOOKUP(gia_khuyen_mai[[#This Row],[Mã sản phẩm]],'Giá gốc'!B:D,3,0)</f>
        <v>67700</v>
      </c>
      <c r="K93" s="56">
        <v>0.2</v>
      </c>
      <c r="L93" s="6">
        <f>ROUND((1-gia_khuyen_mai[[#This Row],[% Giảm giá]]) * gia_khuyen_mai[[#This Row],[Giá gốc]], 0)</f>
        <v>54160</v>
      </c>
      <c r="M93" s="6"/>
      <c r="O93" s="3" t="str">
        <f>IFERROR(VLOOKUP(gia_khuyen_mai[[#This Row],[Mã hàng tặng]],'Giá gốc'!B:C,2,0),"")</f>
        <v/>
      </c>
      <c r="Q93" s="3" t="str">
        <f>VLOOKUP(gia_khuyen_mai[[#This Row],[Mã sản phẩm]],product[[Mã sản phẩm]:[DS - ĐV]],3,0)</f>
        <v>Food Đức Việt</v>
      </c>
    </row>
    <row r="94" spans="1:17" ht="21.75" customHeight="1">
      <c r="A94" s="38">
        <v>93</v>
      </c>
      <c r="B94" s="4" t="s">
        <v>12839</v>
      </c>
      <c r="C94" s="4" t="s">
        <v>183</v>
      </c>
      <c r="D94" s="4" t="s">
        <v>496</v>
      </c>
      <c r="E94" s="4" t="s">
        <v>12628</v>
      </c>
      <c r="F94" s="4" t="s">
        <v>12630</v>
      </c>
      <c r="G94" s="3" t="s">
        <v>12824</v>
      </c>
      <c r="H94" s="3" t="str">
        <f>VLOOKUP(gia_khuyen_mai[[#This Row],[Barcode]],'Giá gốc'!$A:$B,2,0)</f>
        <v>2151323</v>
      </c>
      <c r="I94" s="3" t="str">
        <f>VLOOKUP(gia_khuyen_mai[[#This Row],[Mã sản phẩm]],'Giá gốc'!$B:$C,2,0)</f>
        <v>OFOOD Tteokgalbi chả nướng HQ 200g</v>
      </c>
      <c r="J94" s="5">
        <f>VLOOKUP(gia_khuyen_mai[[#This Row],[Mã sản phẩm]],'Giá gốc'!B:D,3,0)</f>
        <v>36000</v>
      </c>
      <c r="K94" s="56"/>
      <c r="L94" s="6">
        <f>ROUND((1-gia_khuyen_mai[[#This Row],[% Giảm giá]]) * gia_khuyen_mai[[#This Row],[Giá gốc]], 0)</f>
        <v>36000</v>
      </c>
      <c r="M94" s="6" t="s">
        <v>503</v>
      </c>
      <c r="N94" s="3" t="str">
        <f>VLOOKUP(gia_khuyen_mai[[#This Row],[Barcode]],'Giá gốc'!$A:$B,2,0)</f>
        <v>2151323</v>
      </c>
      <c r="O94" s="3" t="str">
        <f>IFERROR(VLOOKUP(gia_khuyen_mai[[#This Row],[Mã hàng tặng]],'Giá gốc'!B:C,2,0),"")</f>
        <v>OFOOD Tteokgalbi chả nướng HQ 200g</v>
      </c>
      <c r="Q94" s="3" t="str">
        <f>VLOOKUP(gia_khuyen_mai[[#This Row],[Mã sản phẩm]],product[[Mã sản phẩm]:[DS - ĐV]],3,0)</f>
        <v>Food Đức Việt</v>
      </c>
    </row>
    <row r="95" spans="1:17" ht="21.75" customHeight="1">
      <c r="A95" s="38">
        <f>ROW()-1</f>
        <v>94</v>
      </c>
      <c r="B95" s="4" t="s">
        <v>12840</v>
      </c>
      <c r="C95" s="4" t="s">
        <v>500</v>
      </c>
      <c r="D95" s="4" t="s">
        <v>496</v>
      </c>
      <c r="E95" s="4" t="s">
        <v>12630</v>
      </c>
      <c r="F95" s="4" t="s">
        <v>12841</v>
      </c>
      <c r="G95" s="39" t="s">
        <v>379</v>
      </c>
      <c r="H95" s="3" t="str">
        <f>VLOOKUP(gia_khuyen_mai[[#This Row],[Barcode]],'Giá gốc'!$A:$B,2,0)</f>
        <v>2145689</v>
      </c>
      <c r="I95" s="3" t="str">
        <f>VLOOKUP(gia_khuyen_mai[[#This Row],[Mã sản phẩm]],'Giá gốc'!$B:$C,2,0)</f>
        <v>Xúc xích vườn bia 450g * 1EA</v>
      </c>
      <c r="J95" s="5">
        <f>VLOOKUP(gia_khuyen_mai[[#This Row],[Mã sản phẩm]],'Giá gốc'!B:D,3,0)</f>
        <v>84200</v>
      </c>
      <c r="K95" s="56">
        <v>0.05</v>
      </c>
      <c r="L95" s="6">
        <f>ROUND((1-gia_khuyen_mai[[#This Row],[% Giảm giá]]) * gia_khuyen_mai[[#This Row],[Giá gốc]], 0)</f>
        <v>79990</v>
      </c>
      <c r="M95" s="6" t="s">
        <v>503</v>
      </c>
      <c r="N95" s="20" t="s">
        <v>410</v>
      </c>
      <c r="O95" s="3" t="str">
        <f>IFERROR(VLOOKUP(gia_khuyen_mai[[#This Row],[Mã hàng tặng]],'Giá gốc'!B:C,2,0),"")</f>
        <v>Xúc xích Hotdog 200g</v>
      </c>
      <c r="Q95" s="3" t="str">
        <f>VLOOKUP(gia_khuyen_mai[[#This Row],[Mã sản phẩm]],product[[Mã sản phẩm]:[DS - ĐV]],3,0)</f>
        <v>Food Đức Việt</v>
      </c>
    </row>
    <row r="96" spans="1:17" ht="21.75" customHeight="1">
      <c r="A96" s="38">
        <f t="shared" ref="A96:A107" si="2">ROW()-1</f>
        <v>95</v>
      </c>
      <c r="B96" s="4" t="s">
        <v>12840</v>
      </c>
      <c r="C96" s="4" t="s">
        <v>500</v>
      </c>
      <c r="D96" s="4" t="s">
        <v>496</v>
      </c>
      <c r="E96" s="4" t="s">
        <v>12630</v>
      </c>
      <c r="F96" s="4" t="s">
        <v>12841</v>
      </c>
      <c r="G96" s="39" t="s">
        <v>385</v>
      </c>
      <c r="H96" s="3" t="str">
        <f>VLOOKUP(gia_khuyen_mai[[#This Row],[Barcode]],'Giá gốc'!$A:$B,2,0)</f>
        <v>2145714</v>
      </c>
      <c r="I96" s="3" t="str">
        <f>VLOOKUP(gia_khuyen_mai[[#This Row],[Mã sản phẩm]],'Giá gốc'!$B:$C,2,0)</f>
        <v>Xúc xích viên hong khói 200g</v>
      </c>
      <c r="J96" s="5">
        <f>VLOOKUP(gia_khuyen_mai[[#This Row],[Mã sản phẩm]],'Giá gốc'!B:D,3,0)</f>
        <v>38400</v>
      </c>
      <c r="K96" s="56">
        <v>0.2</v>
      </c>
      <c r="L96" s="6">
        <f>ROUND((1-gia_khuyen_mai[[#This Row],[% Giảm giá]]) * gia_khuyen_mai[[#This Row],[Giá gốc]], 0)</f>
        <v>30720</v>
      </c>
      <c r="M96" s="6"/>
      <c r="O96" s="3" t="str">
        <f>IFERROR(VLOOKUP(gia_khuyen_mai[[#This Row],[Mã hàng tặng]],'Giá gốc'!B:C,2,0),"")</f>
        <v/>
      </c>
      <c r="Q96" s="3" t="str">
        <f>VLOOKUP(gia_khuyen_mai[[#This Row],[Mã sản phẩm]],product[[Mã sản phẩm]:[DS - ĐV]],3,0)</f>
        <v>Food Đức Việt</v>
      </c>
    </row>
    <row r="97" spans="1:17" ht="21.75" customHeight="1">
      <c r="A97" s="38">
        <f t="shared" si="2"/>
        <v>96</v>
      </c>
      <c r="B97" s="4" t="s">
        <v>12840</v>
      </c>
      <c r="C97" s="4" t="s">
        <v>500</v>
      </c>
      <c r="D97" s="4" t="s">
        <v>496</v>
      </c>
      <c r="E97" s="4" t="s">
        <v>12630</v>
      </c>
      <c r="F97" s="4" t="s">
        <v>12841</v>
      </c>
      <c r="G97" s="39" t="s">
        <v>415</v>
      </c>
      <c r="H97" s="3" t="str">
        <f>VLOOKUP(gia_khuyen_mai[[#This Row],[Barcode]],'Giá gốc'!$A:$B,2,0)</f>
        <v>2145767</v>
      </c>
      <c r="I97" s="3" t="str">
        <f>VLOOKUP(gia_khuyen_mai[[#This Row],[Mã sản phẩm]],'Giá gốc'!$B:$C,2,0)</f>
        <v>Xúc xích Mỹ 500g</v>
      </c>
      <c r="J97" s="5">
        <f>VLOOKUP(gia_khuyen_mai[[#This Row],[Mã sản phẩm]],'Giá gốc'!B:D,3,0)</f>
        <v>55600</v>
      </c>
      <c r="K97" s="56">
        <v>0.2</v>
      </c>
      <c r="L97" s="6">
        <f>ROUND((1-gia_khuyen_mai[[#This Row],[% Giảm giá]]) * gia_khuyen_mai[[#This Row],[Giá gốc]], 0)</f>
        <v>44480</v>
      </c>
      <c r="M97" s="6"/>
      <c r="O97" s="3" t="str">
        <f>IFERROR(VLOOKUP(gia_khuyen_mai[[#This Row],[Mã hàng tặng]],'Giá gốc'!B:C,2,0),"")</f>
        <v/>
      </c>
      <c r="Q97" s="3" t="str">
        <f>VLOOKUP(gia_khuyen_mai[[#This Row],[Mã sản phẩm]],product[[Mã sản phẩm]:[DS - ĐV]],3,0)</f>
        <v>Food Đức Việt</v>
      </c>
    </row>
    <row r="98" spans="1:17" ht="21.75" customHeight="1">
      <c r="A98" s="38">
        <f t="shared" si="2"/>
        <v>97</v>
      </c>
      <c r="B98" s="4" t="s">
        <v>12840</v>
      </c>
      <c r="C98" s="4" t="s">
        <v>500</v>
      </c>
      <c r="D98" s="4" t="s">
        <v>496</v>
      </c>
      <c r="E98" s="4" t="s">
        <v>12630</v>
      </c>
      <c r="F98" s="4" t="s">
        <v>12841</v>
      </c>
      <c r="G98" s="39" t="s">
        <v>455</v>
      </c>
      <c r="H98" s="3" t="str">
        <f>VLOOKUP(gia_khuyen_mai[[#This Row],[Barcode]],'Giá gốc'!$A:$B,2,0)</f>
        <v>2145657</v>
      </c>
      <c r="I98" s="3" t="str">
        <f>VLOOKUP(gia_khuyen_mai[[#This Row],[Mã sản phẩm]],'Giá gốc'!$B:$C,2,0)</f>
        <v>Đức Việt Handy - xúc xích ăn liền vị bò 105g * 20EA</v>
      </c>
      <c r="J98" s="5">
        <f>VLOOKUP(gia_khuyen_mai[[#This Row],[Mã sản phẩm]],'Giá gốc'!B:D,3,0)</f>
        <v>9300</v>
      </c>
      <c r="K98" s="56">
        <v>0.2</v>
      </c>
      <c r="L98" s="6">
        <f>ROUND((1-gia_khuyen_mai[[#This Row],[% Giảm giá]]) * gia_khuyen_mai[[#This Row],[Giá gốc]], 0)</f>
        <v>7440</v>
      </c>
      <c r="M98" s="6"/>
      <c r="O98" s="3" t="str">
        <f>IFERROR(VLOOKUP(gia_khuyen_mai[[#This Row],[Mã hàng tặng]],'Giá gốc'!B:C,2,0),"")</f>
        <v/>
      </c>
      <c r="Q98" s="3" t="str">
        <f>VLOOKUP(gia_khuyen_mai[[#This Row],[Mã sản phẩm]],product[[Mã sản phẩm]:[DS - ĐV]],3,0)</f>
        <v>Food Đức Việt</v>
      </c>
    </row>
    <row r="99" spans="1:17" ht="21.75" customHeight="1">
      <c r="A99" s="38">
        <f t="shared" si="2"/>
        <v>98</v>
      </c>
      <c r="B99" s="4" t="s">
        <v>12840</v>
      </c>
      <c r="C99" s="4" t="s">
        <v>500</v>
      </c>
      <c r="D99" s="4" t="s">
        <v>496</v>
      </c>
      <c r="E99" s="4" t="s">
        <v>12630</v>
      </c>
      <c r="F99" s="4" t="s">
        <v>12841</v>
      </c>
      <c r="G99" s="39" t="s">
        <v>452</v>
      </c>
      <c r="H99" s="3" t="str">
        <f>VLOOKUP(gia_khuyen_mai[[#This Row],[Barcode]],'Giá gốc'!$A:$B,2,0)</f>
        <v>2145648</v>
      </c>
      <c r="I99" s="3" t="str">
        <f>VLOOKUP(gia_khuyen_mai[[#This Row],[Mã sản phẩm]],'Giá gốc'!$B:$C,2,0)</f>
        <v>Đức Việt Handy - xúc xích ăn liền vị heo 105g * 20EA</v>
      </c>
      <c r="J99" s="5">
        <f>VLOOKUP(gia_khuyen_mai[[#This Row],[Mã sản phẩm]],'Giá gốc'!B:D,3,0)</f>
        <v>9300</v>
      </c>
      <c r="K99" s="56">
        <v>0.2</v>
      </c>
      <c r="L99" s="6">
        <f>ROUND((1-gia_khuyen_mai[[#This Row],[% Giảm giá]]) * gia_khuyen_mai[[#This Row],[Giá gốc]], 0)</f>
        <v>7440</v>
      </c>
      <c r="M99" s="6"/>
      <c r="O99" s="3" t="str">
        <f>IFERROR(VLOOKUP(gia_khuyen_mai[[#This Row],[Mã hàng tặng]],'Giá gốc'!B:C,2,0),"")</f>
        <v/>
      </c>
      <c r="Q99" s="3" t="str">
        <f>VLOOKUP(gia_khuyen_mai[[#This Row],[Mã sản phẩm]],product[[Mã sản phẩm]:[DS - ĐV]],3,0)</f>
        <v>Food Đức Việt</v>
      </c>
    </row>
    <row r="100" spans="1:17" ht="21.75" customHeight="1">
      <c r="A100" s="38">
        <f t="shared" si="2"/>
        <v>99</v>
      </c>
      <c r="B100" s="4" t="s">
        <v>12840</v>
      </c>
      <c r="C100" s="4" t="s">
        <v>500</v>
      </c>
      <c r="D100" s="4" t="s">
        <v>496</v>
      </c>
      <c r="E100" s="4" t="s">
        <v>12630</v>
      </c>
      <c r="F100" s="4" t="s">
        <v>12841</v>
      </c>
      <c r="G100" s="39" t="s">
        <v>451</v>
      </c>
      <c r="H100" s="3" t="str">
        <f>VLOOKUP(gia_khuyen_mai[[#This Row],[Barcode]],'Giá gốc'!$A:$B,2,0)</f>
        <v>2145697</v>
      </c>
      <c r="I100" s="3" t="str">
        <f>VLOOKUP(gia_khuyen_mai[[#This Row],[Mã sản phẩm]],'Giá gốc'!$B:$C,2,0)</f>
        <v>Seoul nhân phô mai 250g</v>
      </c>
      <c r="J100" s="5">
        <f>VLOOKUP(gia_khuyen_mai[[#This Row],[Mã sản phẩm]],'Giá gốc'!B:D,3,0)</f>
        <v>42000</v>
      </c>
      <c r="K100" s="56">
        <v>0.22</v>
      </c>
      <c r="L100" s="6">
        <f>ROUND((1-gia_khuyen_mai[[#This Row],[% Giảm giá]]) * gia_khuyen_mai[[#This Row],[Giá gốc]], 0)</f>
        <v>32760</v>
      </c>
      <c r="M100" s="6"/>
      <c r="O100" s="3" t="str">
        <f>IFERROR(VLOOKUP(gia_khuyen_mai[[#This Row],[Mã hàng tặng]],'Giá gốc'!B:C,2,0),"")</f>
        <v/>
      </c>
      <c r="Q100" s="3" t="str">
        <f>VLOOKUP(gia_khuyen_mai[[#This Row],[Mã sản phẩm]],product[[Mã sản phẩm]:[DS - ĐV]],3,0)</f>
        <v>Food Đức Việt</v>
      </c>
    </row>
    <row r="101" spans="1:17" ht="21.75" customHeight="1">
      <c r="A101" s="38">
        <f t="shared" si="2"/>
        <v>100</v>
      </c>
      <c r="B101" s="4" t="s">
        <v>12840</v>
      </c>
      <c r="C101" s="4" t="s">
        <v>500</v>
      </c>
      <c r="D101" s="4" t="s">
        <v>496</v>
      </c>
      <c r="E101" s="4" t="s">
        <v>12630</v>
      </c>
      <c r="F101" s="4" t="s">
        <v>12841</v>
      </c>
      <c r="G101" s="39" t="s">
        <v>12459</v>
      </c>
      <c r="H101" s="3" t="str">
        <f>VLOOKUP(gia_khuyen_mai[[#This Row],[Barcode]],'Giá gốc'!$A:$B,2,0)</f>
        <v>2151032</v>
      </c>
      <c r="I101" s="3" t="str">
        <f>VLOOKUP(gia_khuyen_mai[[#This Row],[Mã sản phẩm]],'Giá gốc'!$B:$C,2,0)</f>
        <v>Jongga Kim chi Củ cải 450g</v>
      </c>
      <c r="J101" s="5">
        <f>VLOOKUP(gia_khuyen_mai[[#This Row],[Mã sản phẩm]],'Giá gốc'!B:D,3,0)</f>
        <v>42000</v>
      </c>
      <c r="K101" s="56">
        <v>0.3</v>
      </c>
      <c r="L101" s="6">
        <f>ROUND((1-gia_khuyen_mai[[#This Row],[% Giảm giá]]) * gia_khuyen_mai[[#This Row],[Giá gốc]], 0)</f>
        <v>29400</v>
      </c>
      <c r="M101" s="6"/>
      <c r="O101" s="3" t="str">
        <f>IFERROR(VLOOKUP(gia_khuyen_mai[[#This Row],[Mã hàng tặng]],'Giá gốc'!B:C,2,0),"")</f>
        <v/>
      </c>
      <c r="Q101" s="3" t="str">
        <f>VLOOKUP(gia_khuyen_mai[[#This Row],[Mã sản phẩm]],product[[Mã sản phẩm]:[DS - ĐV]],3,0)</f>
        <v>Food Đức Việt</v>
      </c>
    </row>
    <row r="102" spans="1:17" ht="21.75" customHeight="1">
      <c r="A102" s="38">
        <f t="shared" si="2"/>
        <v>101</v>
      </c>
      <c r="B102" s="4" t="s">
        <v>12840</v>
      </c>
      <c r="C102" s="4" t="s">
        <v>500</v>
      </c>
      <c r="D102" s="4" t="s">
        <v>496</v>
      </c>
      <c r="E102" s="4" t="s">
        <v>12630</v>
      </c>
      <c r="F102" s="4" t="s">
        <v>12841</v>
      </c>
      <c r="G102" s="39" t="s">
        <v>12461</v>
      </c>
      <c r="H102" s="3" t="str">
        <f>VLOOKUP(gia_khuyen_mai[[#This Row],[Barcode]],'Giá gốc'!$A:$B,2,0)</f>
        <v>2151765</v>
      </c>
      <c r="I102" s="3" t="str">
        <f>VLOOKUP(gia_khuyen_mai[[#This Row],[Mã sản phẩm]],'Giá gốc'!$B:$C,2,0)</f>
        <v>Ức gà hong khói 100g</v>
      </c>
      <c r="J102" s="5">
        <f>VLOOKUP(gia_khuyen_mai[[#This Row],[Mã sản phẩm]],'Giá gốc'!B:D,3,0)</f>
        <v>26000</v>
      </c>
      <c r="K102" s="56">
        <v>0.22</v>
      </c>
      <c r="L102" s="6">
        <f>ROUND((1-gia_khuyen_mai[[#This Row],[% Giảm giá]]) * gia_khuyen_mai[[#This Row],[Giá gốc]], 0)</f>
        <v>20280</v>
      </c>
      <c r="M102" s="6"/>
      <c r="O102" s="3" t="str">
        <f>IFERROR(VLOOKUP(gia_khuyen_mai[[#This Row],[Mã hàng tặng]],'Giá gốc'!B:C,2,0),"")</f>
        <v/>
      </c>
      <c r="Q102" s="3" t="str">
        <f>VLOOKUP(gia_khuyen_mai[[#This Row],[Mã sản phẩm]],product[[Mã sản phẩm]:[DS - ĐV]],3,0)</f>
        <v>Food Đức Việt</v>
      </c>
    </row>
    <row r="103" spans="1:17" ht="21.75" customHeight="1">
      <c r="A103" s="38">
        <f t="shared" si="2"/>
        <v>102</v>
      </c>
      <c r="B103" s="4" t="s">
        <v>12840</v>
      </c>
      <c r="C103" s="4" t="s">
        <v>500</v>
      </c>
      <c r="D103" s="4" t="s">
        <v>496</v>
      </c>
      <c r="E103" s="4" t="s">
        <v>12630</v>
      </c>
      <c r="F103" s="4" t="s">
        <v>12841</v>
      </c>
      <c r="G103" s="39" t="s">
        <v>482</v>
      </c>
      <c r="H103" s="3" t="str">
        <f>VLOOKUP(gia_khuyen_mai[[#This Row],[Barcode]],'Giá gốc'!$A:$B,2,0)</f>
        <v>2150771</v>
      </c>
      <c r="I103" s="3" t="str">
        <f>VLOOKUP(gia_khuyen_mai[[#This Row],[Mã sản phẩm]],'Giá gốc'!$B:$C,2,0)</f>
        <v>Lạp xưởng tươi (62g) 500g</v>
      </c>
      <c r="J103" s="5">
        <f>VLOOKUP(gia_khuyen_mai[[#This Row],[Mã sản phẩm]],'Giá gốc'!B:D,3,0)</f>
        <v>105000</v>
      </c>
      <c r="K103" s="56">
        <v>0.25</v>
      </c>
      <c r="L103" s="6">
        <f>ROUND((1-gia_khuyen_mai[[#This Row],[% Giảm giá]]) * gia_khuyen_mai[[#This Row],[Giá gốc]], 0)</f>
        <v>78750</v>
      </c>
      <c r="M103" s="6"/>
      <c r="O103" s="3" t="str">
        <f>IFERROR(VLOOKUP(gia_khuyen_mai[[#This Row],[Mã hàng tặng]],'Giá gốc'!B:C,2,0),"")</f>
        <v/>
      </c>
      <c r="Q103" s="3" t="str">
        <f>VLOOKUP(gia_khuyen_mai[[#This Row],[Mã sản phẩm]],product[[Mã sản phẩm]:[DS - ĐV]],3,0)</f>
        <v>Food Đức Việt</v>
      </c>
    </row>
    <row r="104" spans="1:17" ht="21.75" customHeight="1">
      <c r="A104" s="38">
        <f t="shared" si="2"/>
        <v>103</v>
      </c>
      <c r="B104" s="4" t="s">
        <v>12840</v>
      </c>
      <c r="C104" s="4" t="s">
        <v>500</v>
      </c>
      <c r="D104" s="4" t="s">
        <v>496</v>
      </c>
      <c r="E104" s="4" t="s">
        <v>12630</v>
      </c>
      <c r="F104" s="4" t="s">
        <v>12841</v>
      </c>
      <c r="G104" s="39" t="s">
        <v>467</v>
      </c>
      <c r="H104" s="3" t="str">
        <f>VLOOKUP(gia_khuyen_mai[[#This Row],[Barcode]],'Giá gốc'!$A:$B,2,0)</f>
        <v>2148987</v>
      </c>
      <c r="I104" s="3" t="str">
        <f>VLOOKUP(gia_khuyen_mai[[#This Row],[Mã sản phẩm]],'Giá gốc'!$B:$C,2,0)</f>
        <v>Kimchi cải thảo cắt lát 150g * 30EA</v>
      </c>
      <c r="J104" s="5">
        <f>VLOOKUP(gia_khuyen_mai[[#This Row],[Mã sản phẩm]],'Giá gốc'!B:D,3,0)</f>
        <v>14200</v>
      </c>
      <c r="K104" s="56">
        <v>0.25</v>
      </c>
      <c r="L104" s="6">
        <f>ROUND((1-gia_khuyen_mai[[#This Row],[% Giảm giá]]) * gia_khuyen_mai[[#This Row],[Giá gốc]], 0)</f>
        <v>10650</v>
      </c>
      <c r="M104" s="6"/>
      <c r="O104" s="3" t="str">
        <f>IFERROR(VLOOKUP(gia_khuyen_mai[[#This Row],[Mã hàng tặng]],'Giá gốc'!B:C,2,0),"")</f>
        <v/>
      </c>
      <c r="Q104" s="3" t="str">
        <f>VLOOKUP(gia_khuyen_mai[[#This Row],[Mã sản phẩm]],product[[Mã sản phẩm]:[DS - ĐV]],3,0)</f>
        <v>Food Đức Việt</v>
      </c>
    </row>
    <row r="105" spans="1:17" ht="21.75" customHeight="1">
      <c r="A105" s="38">
        <f t="shared" si="2"/>
        <v>104</v>
      </c>
      <c r="B105" s="4" t="s">
        <v>12840</v>
      </c>
      <c r="C105" s="4" t="s">
        <v>500</v>
      </c>
      <c r="D105" s="4" t="s">
        <v>496</v>
      </c>
      <c r="E105" s="4" t="s">
        <v>12630</v>
      </c>
      <c r="F105" s="4" t="s">
        <v>12841</v>
      </c>
      <c r="G105" s="39" t="s">
        <v>12475</v>
      </c>
      <c r="H105" s="3" t="str">
        <f>VLOOKUP(gia_khuyen_mai[[#This Row],[Barcode]],'Giá gốc'!$A:$B,2,0)</f>
        <v>2149794</v>
      </c>
      <c r="I105" s="3" t="str">
        <f>VLOOKUP(gia_khuyen_mai[[#This Row],[Mã sản phẩm]],'Giá gốc'!$B:$C,2,0)</f>
        <v>Xúc xích Romas Light 500g</v>
      </c>
      <c r="J105" s="5">
        <f>VLOOKUP(gia_khuyen_mai[[#This Row],[Mã sản phẩm]],'Giá gốc'!B:D,3,0)</f>
        <v>44000</v>
      </c>
      <c r="K105" s="56">
        <v>0.22</v>
      </c>
      <c r="L105" s="6">
        <f>ROUND((1-gia_khuyen_mai[[#This Row],[% Giảm giá]]) * gia_khuyen_mai[[#This Row],[Giá gốc]], 0)</f>
        <v>34320</v>
      </c>
      <c r="M105" s="6"/>
      <c r="O105" s="3" t="str">
        <f>IFERROR(VLOOKUP(gia_khuyen_mai[[#This Row],[Mã hàng tặng]],'Giá gốc'!B:C,2,0),"")</f>
        <v/>
      </c>
      <c r="Q105" s="3" t="str">
        <f>VLOOKUP(gia_khuyen_mai[[#This Row],[Mã sản phẩm]],product[[Mã sản phẩm]:[DS - ĐV]],3,0)</f>
        <v>Food Đức Việt</v>
      </c>
    </row>
    <row r="106" spans="1:17" ht="21.75" customHeight="1">
      <c r="A106" s="38">
        <f t="shared" si="2"/>
        <v>105</v>
      </c>
      <c r="B106" s="4" t="s">
        <v>12840</v>
      </c>
      <c r="C106" s="4" t="s">
        <v>500</v>
      </c>
      <c r="D106" s="4" t="s">
        <v>496</v>
      </c>
      <c r="E106" s="4" t="s">
        <v>12630</v>
      </c>
      <c r="F106" s="4" t="s">
        <v>12841</v>
      </c>
      <c r="G106" s="39" t="s">
        <v>12826</v>
      </c>
      <c r="H106" s="3" t="str">
        <f>VLOOKUP(gia_khuyen_mai[[#This Row],[Barcode]],'Giá gốc'!$A:$B,2,0)</f>
        <v>2145724</v>
      </c>
      <c r="I106" s="3" t="str">
        <f>VLOOKUP(gia_khuyen_mai[[#This Row],[Mã sản phẩm]],'Giá gốc'!$B:$C,2,0)</f>
        <v>ĐỨC VIỆT Xúc xích Keilbasa 200g</v>
      </c>
      <c r="J106" s="5">
        <f>VLOOKUP(gia_khuyen_mai[[#This Row],[Mã sản phẩm]],'Giá gốc'!B:D,3,0)</f>
        <v>52000</v>
      </c>
      <c r="K106" s="56">
        <v>0.3</v>
      </c>
      <c r="L106" s="6">
        <f>ROUND((1-gia_khuyen_mai[[#This Row],[% Giảm giá]]) * gia_khuyen_mai[[#This Row],[Giá gốc]], 0)</f>
        <v>36400</v>
      </c>
      <c r="M106" s="6"/>
      <c r="O106" s="3" t="str">
        <f>IFERROR(VLOOKUP(gia_khuyen_mai[[#This Row],[Mã hàng tặng]],'Giá gốc'!B:C,2,0),"")</f>
        <v/>
      </c>
      <c r="Q106" s="3" t="str">
        <f>VLOOKUP(gia_khuyen_mai[[#This Row],[Mã sản phẩm]],product[[Mã sản phẩm]:[DS - ĐV]],3,0)</f>
        <v>Food Đức Việt</v>
      </c>
    </row>
    <row r="107" spans="1:17" ht="21.75" customHeight="1">
      <c r="A107" s="38">
        <f t="shared" si="2"/>
        <v>106</v>
      </c>
      <c r="B107" s="4" t="s">
        <v>12840</v>
      </c>
      <c r="C107" s="4" t="s">
        <v>5</v>
      </c>
      <c r="D107" s="4" t="s">
        <v>496</v>
      </c>
      <c r="E107" s="4" t="s">
        <v>12823</v>
      </c>
      <c r="F107" s="4" t="s">
        <v>12841</v>
      </c>
      <c r="G107" s="4" t="s">
        <v>464</v>
      </c>
      <c r="H107" s="3" t="str">
        <f>VLOOKUP(gia_khuyen_mai[[#This Row],[Barcode]],'Giá gốc'!$A:$B,2,0)</f>
        <v>2145622</v>
      </c>
      <c r="I107" s="3" t="str">
        <f>VLOOKUP(gia_khuyen_mai[[#This Row],[Mã sản phẩm]],'Giá gốc'!$B:$C,2,0)</f>
        <v>Kim chi 450</v>
      </c>
      <c r="J107" s="5">
        <f>VLOOKUP(gia_khuyen_mai[[#This Row],[Mã sản phẩm]],'Giá gốc'!B:D,3,0)</f>
        <v>35500</v>
      </c>
      <c r="K107" s="56"/>
      <c r="L107" s="6">
        <f>ROUND((1-gia_khuyen_mai[[#This Row],[% Giảm giá]]) * gia_khuyen_mai[[#This Row],[Giá gốc]], 0)</f>
        <v>35500</v>
      </c>
      <c r="M107" s="6" t="s">
        <v>503</v>
      </c>
      <c r="N107" s="3" t="str">
        <f>VLOOKUP(gia_khuyen_mai[[#This Row],[Barcode]],'Giá gốc'!$A:$B,2,0)</f>
        <v>2145622</v>
      </c>
      <c r="O107" s="3" t="str">
        <f>IFERROR(VLOOKUP(gia_khuyen_mai[[#This Row],[Mã hàng tặng]],'Giá gốc'!B:C,2,0),"")</f>
        <v>Kim chi 450</v>
      </c>
      <c r="Q107" s="3" t="str">
        <f>VLOOKUP(gia_khuyen_mai[[#This Row],[Mã sản phẩm]],product[[Mã sản phẩm]:[DS - ĐV]],3,0)</f>
        <v>Food Đức Việt</v>
      </c>
    </row>
    <row r="108" spans="1:17" ht="21.75" customHeight="1">
      <c r="A108" s="38">
        <f t="shared" ref="A108:A116" si="3">ROW()-1</f>
        <v>107</v>
      </c>
      <c r="B108" s="4" t="s">
        <v>12933</v>
      </c>
      <c r="C108" s="4" t="s">
        <v>5</v>
      </c>
      <c r="D108" s="4" t="s">
        <v>496</v>
      </c>
      <c r="E108" s="4" t="s">
        <v>12633</v>
      </c>
      <c r="F108" s="4" t="s">
        <v>12934</v>
      </c>
      <c r="G108" s="3" t="s">
        <v>373</v>
      </c>
      <c r="H108" s="3" t="str">
        <f>VLOOKUP(gia_khuyen_mai[[#This Row],[Barcode]],'Giá gốc'!$A:$B,2,0)</f>
        <v>2145686</v>
      </c>
      <c r="I108" s="3" t="str">
        <f>VLOOKUP(gia_khuyen_mai[[#This Row],[Mã sản phẩm]],'Giá gốc'!$B:$C,2,0)</f>
        <v>Xúc xích hong khói 450g</v>
      </c>
      <c r="J108" s="5">
        <f>VLOOKUP(gia_khuyen_mai[[#This Row],[Mã sản phẩm]],'Giá gốc'!B:D,3,0)</f>
        <v>79100</v>
      </c>
      <c r="K108" s="56"/>
      <c r="L108" s="6">
        <f>ROUND((1-gia_khuyen_mai[[#This Row],[% Giảm giá]]) * gia_khuyen_mai[[#This Row],[Giá gốc]], 0)</f>
        <v>79100</v>
      </c>
      <c r="M108" s="6" t="s">
        <v>503</v>
      </c>
      <c r="N108" s="3" t="s">
        <v>404</v>
      </c>
      <c r="O108" s="3" t="str">
        <f>IFERROR(VLOOKUP(gia_khuyen_mai[[#This Row],[Mã hàng tặng]],'Giá gốc'!B:C,2,0),"")</f>
        <v>Xúc xích Cocktail 200g</v>
      </c>
      <c r="Q108" s="3" t="str">
        <f>VLOOKUP(gia_khuyen_mai[[#This Row],[Mã sản phẩm]],product[[Mã sản phẩm]:[DS - ĐV]],3,0)</f>
        <v>Food Đức Việt</v>
      </c>
    </row>
    <row r="109" spans="1:17" ht="21.75" customHeight="1">
      <c r="A109" s="38">
        <f t="shared" si="3"/>
        <v>108</v>
      </c>
      <c r="B109" s="4" t="s">
        <v>12933</v>
      </c>
      <c r="C109" s="4" t="s">
        <v>5</v>
      </c>
      <c r="D109" s="4" t="s">
        <v>496</v>
      </c>
      <c r="E109" s="4" t="s">
        <v>12633</v>
      </c>
      <c r="F109" s="4" t="s">
        <v>12934</v>
      </c>
      <c r="G109" s="3" t="s">
        <v>403</v>
      </c>
      <c r="H109" s="3" t="str">
        <f>VLOOKUP(gia_khuyen_mai[[#This Row],[Barcode]],'Giá gốc'!$A:$B,2,0)</f>
        <v>2145762</v>
      </c>
      <c r="I109" s="3" t="str">
        <f>VLOOKUP(gia_khuyen_mai[[#This Row],[Mã sản phẩm]],'Giá gốc'!$B:$C,2,0)</f>
        <v>Xúc xích Cocktail 200g</v>
      </c>
      <c r="J109" s="5">
        <f>VLOOKUP(gia_khuyen_mai[[#This Row],[Mã sản phẩm]],'Giá gốc'!B:D,3,0)</f>
        <v>21100</v>
      </c>
      <c r="K109" s="56">
        <v>0.2</v>
      </c>
      <c r="L109" s="6">
        <f>ROUND((1-gia_khuyen_mai[[#This Row],[% Giảm giá]]) * gia_khuyen_mai[[#This Row],[Giá gốc]], 0)</f>
        <v>16880</v>
      </c>
      <c r="M109" s="6"/>
      <c r="O109" s="3" t="str">
        <f>IFERROR(VLOOKUP(gia_khuyen_mai[[#This Row],[Mã hàng tặng]],'Giá gốc'!B:C,2,0),"")</f>
        <v/>
      </c>
      <c r="Q109" s="3" t="str">
        <f>VLOOKUP(gia_khuyen_mai[[#This Row],[Mã sản phẩm]],product[[Mã sản phẩm]:[DS - ĐV]],3,0)</f>
        <v>Food Đức Việt</v>
      </c>
    </row>
    <row r="110" spans="1:17" ht="21.75" customHeight="1">
      <c r="A110" s="38">
        <f t="shared" si="3"/>
        <v>109</v>
      </c>
      <c r="B110" s="4" t="s">
        <v>12933</v>
      </c>
      <c r="C110" s="4" t="s">
        <v>5</v>
      </c>
      <c r="D110" s="4" t="s">
        <v>496</v>
      </c>
      <c r="E110" s="4" t="s">
        <v>12633</v>
      </c>
      <c r="F110" s="4" t="s">
        <v>12934</v>
      </c>
      <c r="G110" s="3" t="s">
        <v>12462</v>
      </c>
      <c r="H110" s="3" t="str">
        <f>VLOOKUP(gia_khuyen_mai[[#This Row],[Barcode]],'Giá gốc'!$A:$B,2,0)</f>
        <v>2145747</v>
      </c>
      <c r="I110" s="3" t="str">
        <f>VLOOKUP(gia_khuyen_mai[[#This Row],[Mã sản phẩm]],'Giá gốc'!$B:$C,2,0)</f>
        <v>Xúc xích thịt heo Bragenwurst 400g</v>
      </c>
      <c r="J110" s="5">
        <f>VLOOKUP(gia_khuyen_mai[[#This Row],[Mã sản phẩm]],'Giá gốc'!B:D,3,0)</f>
        <v>82080</v>
      </c>
      <c r="K110" s="56">
        <v>0.3</v>
      </c>
      <c r="L110" s="6">
        <f>ROUND((1-gia_khuyen_mai[[#This Row],[% Giảm giá]]) * gia_khuyen_mai[[#This Row],[Giá gốc]], 0)</f>
        <v>57456</v>
      </c>
      <c r="M110" s="6"/>
      <c r="O110" s="3" t="str">
        <f>IFERROR(VLOOKUP(gia_khuyen_mai[[#This Row],[Mã hàng tặng]],'Giá gốc'!B:C,2,0),"")</f>
        <v/>
      </c>
      <c r="Q110" s="3" t="str">
        <f>VLOOKUP(gia_khuyen_mai[[#This Row],[Mã sản phẩm]],product[[Mã sản phẩm]:[DS - ĐV]],3,0)</f>
        <v>Food Đức Việt</v>
      </c>
    </row>
    <row r="111" spans="1:17" ht="21.75" customHeight="1">
      <c r="A111" s="38">
        <f t="shared" si="3"/>
        <v>110</v>
      </c>
      <c r="B111" s="4" t="s">
        <v>12933</v>
      </c>
      <c r="C111" s="4" t="s">
        <v>5</v>
      </c>
      <c r="D111" s="4" t="s">
        <v>496</v>
      </c>
      <c r="E111" s="4" t="s">
        <v>12633</v>
      </c>
      <c r="F111" s="4" t="s">
        <v>12934</v>
      </c>
      <c r="G111" s="3" t="s">
        <v>418</v>
      </c>
      <c r="H111" s="3" t="str">
        <f>VLOOKUP(gia_khuyen_mai[[#This Row],[Barcode]],'Giá gốc'!$A:$B,2,0)</f>
        <v>2145783</v>
      </c>
      <c r="I111" s="3" t="str">
        <f>VLOOKUP(gia_khuyen_mai[[#This Row],[Mã sản phẩm]],'Giá gốc'!$B:$C,2,0)</f>
        <v>Xúc xích Romas ( 50g) 500g</v>
      </c>
      <c r="J111" s="5">
        <f>VLOOKUP(gia_khuyen_mai[[#This Row],[Mã sản phẩm]],'Giá gốc'!B:D,3,0)</f>
        <v>53900</v>
      </c>
      <c r="K111" s="56">
        <v>0.22</v>
      </c>
      <c r="L111" s="6">
        <f>ROUND((1-gia_khuyen_mai[[#This Row],[% Giảm giá]]) * gia_khuyen_mai[[#This Row],[Giá gốc]], 0)</f>
        <v>42042</v>
      </c>
      <c r="M111" s="6"/>
      <c r="O111" s="3" t="str">
        <f>IFERROR(VLOOKUP(gia_khuyen_mai[[#This Row],[Mã hàng tặng]],'Giá gốc'!B:C,2,0),"")</f>
        <v/>
      </c>
      <c r="Q111" s="3" t="str">
        <f>VLOOKUP(gia_khuyen_mai[[#This Row],[Mã sản phẩm]],product[[Mã sản phẩm]:[DS - ĐV]],3,0)</f>
        <v>Food Đức Việt</v>
      </c>
    </row>
    <row r="112" spans="1:17" ht="21.75" customHeight="1">
      <c r="A112" s="38">
        <f t="shared" si="3"/>
        <v>111</v>
      </c>
      <c r="B112" s="4" t="s">
        <v>12933</v>
      </c>
      <c r="C112" s="4" t="s">
        <v>5</v>
      </c>
      <c r="D112" s="4" t="s">
        <v>496</v>
      </c>
      <c r="E112" s="4" t="s">
        <v>12633</v>
      </c>
      <c r="F112" s="4" t="s">
        <v>12934</v>
      </c>
      <c r="G112" s="3" t="s">
        <v>397</v>
      </c>
      <c r="H112" s="3" t="str">
        <f>VLOOKUP(gia_khuyen_mai[[#This Row],[Barcode]],'Giá gốc'!$A:$B,2,0)</f>
        <v>2145726</v>
      </c>
      <c r="I112" s="3" t="str">
        <f>VLOOKUP(gia_khuyen_mai[[#This Row],[Mã sản phẩm]],'Giá gốc'!$B:$C,2,0)</f>
        <v>Xúc xích phô mai Cheesy 250g</v>
      </c>
      <c r="J112" s="5">
        <f>VLOOKUP(gia_khuyen_mai[[#This Row],[Mã sản phẩm]],'Giá gốc'!B:D,3,0)</f>
        <v>49400</v>
      </c>
      <c r="K112" s="56">
        <v>0.25</v>
      </c>
      <c r="L112" s="6">
        <f>ROUND((1-gia_khuyen_mai[[#This Row],[% Giảm giá]]) * gia_khuyen_mai[[#This Row],[Giá gốc]], 0)</f>
        <v>37050</v>
      </c>
      <c r="M112" s="6"/>
      <c r="O112" s="3" t="str">
        <f>IFERROR(VLOOKUP(gia_khuyen_mai[[#This Row],[Mã hàng tặng]],'Giá gốc'!B:C,2,0),"")</f>
        <v/>
      </c>
      <c r="Q112" s="3" t="str">
        <f>VLOOKUP(gia_khuyen_mai[[#This Row],[Mã sản phẩm]],product[[Mã sản phẩm]:[DS - ĐV]],3,0)</f>
        <v>Food Đức Việt</v>
      </c>
    </row>
    <row r="113" spans="1:17" ht="21.75" customHeight="1">
      <c r="A113" s="38">
        <f t="shared" si="3"/>
        <v>112</v>
      </c>
      <c r="B113" s="4" t="s">
        <v>12933</v>
      </c>
      <c r="C113" s="4" t="s">
        <v>5</v>
      </c>
      <c r="D113" s="4" t="s">
        <v>496</v>
      </c>
      <c r="E113" s="4" t="s">
        <v>12633</v>
      </c>
      <c r="F113" s="4" t="s">
        <v>12934</v>
      </c>
      <c r="G113" s="3" t="s">
        <v>470</v>
      </c>
      <c r="H113" s="3" t="str">
        <f>VLOOKUP(gia_khuyen_mai[[#This Row],[Barcode]],'Giá gốc'!$A:$B,2,0)</f>
        <v>2145699</v>
      </c>
      <c r="I113" s="3" t="str">
        <f>VLOOKUP(gia_khuyen_mai[[#This Row],[Mã sản phẩm]],'Giá gốc'!$B:$C,2,0)</f>
        <v>Seoul's Hotdog Chiên xù 250g (Đ)</v>
      </c>
      <c r="J113" s="5">
        <f>VLOOKUP(gia_khuyen_mai[[#This Row],[Mã sản phẩm]],'Giá gốc'!B:D,3,0)</f>
        <v>39150</v>
      </c>
      <c r="K113" s="56">
        <v>0.25</v>
      </c>
      <c r="L113" s="6">
        <f>ROUND((1-gia_khuyen_mai[[#This Row],[% Giảm giá]]) * gia_khuyen_mai[[#This Row],[Giá gốc]], 0)</f>
        <v>29363</v>
      </c>
      <c r="M113" s="6"/>
      <c r="O113" s="3" t="str">
        <f>IFERROR(VLOOKUP(gia_khuyen_mai[[#This Row],[Mã hàng tặng]],'Giá gốc'!B:C,2,0),"")</f>
        <v/>
      </c>
      <c r="Q113" s="3" t="str">
        <f>VLOOKUP(gia_khuyen_mai[[#This Row],[Mã sản phẩm]],product[[Mã sản phẩm]:[DS - ĐV]],3,0)</f>
        <v>Food Đức Việt</v>
      </c>
    </row>
    <row r="114" spans="1:17" ht="21.75" customHeight="1">
      <c r="A114" s="38">
        <f t="shared" si="3"/>
        <v>113</v>
      </c>
      <c r="B114" s="4" t="s">
        <v>12933</v>
      </c>
      <c r="C114" s="4" t="s">
        <v>5</v>
      </c>
      <c r="D114" s="4" t="s">
        <v>496</v>
      </c>
      <c r="E114" s="4" t="s">
        <v>12936</v>
      </c>
      <c r="F114" s="4" t="s">
        <v>12934</v>
      </c>
      <c r="G114" s="4" t="s">
        <v>464</v>
      </c>
      <c r="H114" s="3" t="str">
        <f>VLOOKUP(gia_khuyen_mai[[#This Row],[Barcode]],'Giá gốc'!$A:$B,2,0)</f>
        <v>2145622</v>
      </c>
      <c r="I114" s="3" t="str">
        <f>VLOOKUP(gia_khuyen_mai[[#This Row],[Mã sản phẩm]],'Giá gốc'!$B:$C,2,0)</f>
        <v>Kim chi 450</v>
      </c>
      <c r="J114" s="5">
        <f>VLOOKUP(gia_khuyen_mai[[#This Row],[Mã sản phẩm]],'Giá gốc'!B:D,3,0)</f>
        <v>35500</v>
      </c>
      <c r="K114" s="56"/>
      <c r="L114" s="6">
        <f>ROUND((1-gia_khuyen_mai[[#This Row],[% Giảm giá]]) * gia_khuyen_mai[[#This Row],[Giá gốc]], 0)</f>
        <v>35500</v>
      </c>
      <c r="M114" s="6" t="s">
        <v>503</v>
      </c>
      <c r="N114" s="20" t="s">
        <v>12471</v>
      </c>
      <c r="O114" s="3" t="str">
        <f>IFERROR(VLOOKUP(gia_khuyen_mai[[#This Row],[Mã hàng tặng]],'Giá gốc'!B:C,2,0),"")</f>
        <v>Jongga Kim chi Củ cải 150g</v>
      </c>
      <c r="Q114" s="3" t="str">
        <f>VLOOKUP(gia_khuyen_mai[[#This Row],[Mã sản phẩm]],product[[Mã sản phẩm]:[DS - ĐV]],3,0)</f>
        <v>Food Đức Việt</v>
      </c>
    </row>
    <row r="115" spans="1:17" ht="21.75" customHeight="1">
      <c r="A115" s="38">
        <f t="shared" si="3"/>
        <v>114</v>
      </c>
      <c r="B115" s="4" t="s">
        <v>12933</v>
      </c>
      <c r="C115" s="4" t="s">
        <v>5</v>
      </c>
      <c r="D115" s="4" t="s">
        <v>496</v>
      </c>
      <c r="E115" s="4" t="s">
        <v>12947</v>
      </c>
      <c r="F115" s="4" t="s">
        <v>12934</v>
      </c>
      <c r="G115" s="3" t="s">
        <v>12460</v>
      </c>
      <c r="H115" s="3" t="str">
        <f>VLOOKUP(gia_khuyen_mai[[#This Row],[Barcode]],'Giá gốc'!$A:$B,2,0)</f>
        <v>2151140</v>
      </c>
      <c r="I115" s="3" t="str">
        <f>VLOOKUP(gia_khuyen_mai[[#This Row],[Mã sản phẩm]],'Giá gốc'!$B:$C,2,0)</f>
        <v>Jongga Kim chi Củ cải 150g</v>
      </c>
      <c r="J115" s="5">
        <f>VLOOKUP(gia_khuyen_mai[[#This Row],[Mã sản phẩm]],'Giá gốc'!B:D,3,0)</f>
        <v>16500</v>
      </c>
      <c r="K115" s="56">
        <v>0.25</v>
      </c>
      <c r="L115" s="6">
        <f>ROUND((1-gia_khuyen_mai[[#This Row],[% Giảm giá]]) * gia_khuyen_mai[[#This Row],[Giá gốc]], 0)</f>
        <v>12375</v>
      </c>
      <c r="M115" s="6"/>
      <c r="O115" s="3" t="str">
        <f>IFERROR(VLOOKUP(gia_khuyen_mai[[#This Row],[Mã hàng tặng]],'Giá gốc'!B:C,2,0),"")</f>
        <v/>
      </c>
      <c r="Q115" s="3" t="str">
        <f>VLOOKUP(gia_khuyen_mai[[#This Row],[Mã sản phẩm]],product[[Mã sản phẩm]:[DS - ĐV]],3,0)</f>
        <v>Food Đức Việt</v>
      </c>
    </row>
    <row r="116" spans="1:17" ht="21.75" customHeight="1">
      <c r="A116" s="38">
        <f t="shared" si="3"/>
        <v>115</v>
      </c>
      <c r="B116" s="4" t="s">
        <v>12933</v>
      </c>
      <c r="C116" s="4" t="s">
        <v>5</v>
      </c>
      <c r="D116" s="4" t="s">
        <v>496</v>
      </c>
      <c r="E116" s="4" t="s">
        <v>12633</v>
      </c>
      <c r="F116" s="4" t="s">
        <v>12934</v>
      </c>
      <c r="G116" s="3" t="s">
        <v>479</v>
      </c>
      <c r="H116" s="3" t="str">
        <f>VLOOKUP(gia_khuyen_mai[[#This Row],[Barcode]],'Giá gốc'!$A:$B,2,0)</f>
        <v>2150338</v>
      </c>
      <c r="I116" s="3" t="str">
        <f>VLOOKUP(gia_khuyen_mai[[#This Row],[Mã sản phẩm]],'Giá gốc'!$B:$C,2,0)</f>
        <v>O'food Chả giò da xốp hải sản 300g</v>
      </c>
      <c r="J116" s="5">
        <f>VLOOKUP(gia_khuyen_mai[[#This Row],[Mã sản phẩm]],'Giá gốc'!B:D,3,0)</f>
        <v>31524</v>
      </c>
      <c r="K116" s="56">
        <v>0.25</v>
      </c>
      <c r="L116" s="6">
        <f>ROUND((1-gia_khuyen_mai[[#This Row],[% Giảm giá]]) * gia_khuyen_mai[[#This Row],[Giá gốc]], 0)</f>
        <v>23643</v>
      </c>
      <c r="M116" s="6"/>
      <c r="O116" s="3" t="str">
        <f>IFERROR(VLOOKUP(gia_khuyen_mai[[#This Row],[Mã hàng tặng]],'Giá gốc'!B:C,2,0),"")</f>
        <v/>
      </c>
      <c r="Q116" s="3" t="str">
        <f>VLOOKUP(gia_khuyen_mai[[#This Row],[Mã sản phẩm]],product[[Mã sản phẩm]:[DS - ĐV]],3,0)</f>
        <v>Food Đức Việt</v>
      </c>
    </row>
    <row r="117" spans="1:17" ht="21.75" customHeight="1">
      <c r="A117" s="38">
        <f>ROW()-1</f>
        <v>116</v>
      </c>
      <c r="B117" s="4" t="s">
        <v>12948</v>
      </c>
      <c r="C117" s="4" t="s">
        <v>500</v>
      </c>
      <c r="D117" s="4" t="s">
        <v>496</v>
      </c>
      <c r="E117" s="4" t="s">
        <v>12936</v>
      </c>
      <c r="F117" s="4" t="s">
        <v>12949</v>
      </c>
      <c r="G117" s="39" t="s">
        <v>379</v>
      </c>
      <c r="H117" s="3" t="str">
        <f>VLOOKUP(gia_khuyen_mai[[#This Row],[Barcode]],'Giá gốc'!$A:$B,2,0)</f>
        <v>2145689</v>
      </c>
      <c r="I117" s="3" t="str">
        <f>VLOOKUP(gia_khuyen_mai[[#This Row],[Mã sản phẩm]],'Giá gốc'!$B:$C,2,0)</f>
        <v>Xúc xích vườn bia 450g * 1EA</v>
      </c>
      <c r="J117" s="5">
        <f>VLOOKUP(gia_khuyen_mai[[#This Row],[Mã sản phẩm]],'Giá gốc'!B:D,3,0)</f>
        <v>84200</v>
      </c>
      <c r="K117" s="56">
        <v>0.05</v>
      </c>
      <c r="L117" s="6">
        <f>ROUND((1-gia_khuyen_mai[[#This Row],[% Giảm giá]]) * gia_khuyen_mai[[#This Row],[Giá gốc]], 0)</f>
        <v>79990</v>
      </c>
      <c r="M117" s="6" t="s">
        <v>503</v>
      </c>
      <c r="N117" s="3" t="s">
        <v>404</v>
      </c>
      <c r="O117" s="3" t="str">
        <f>IFERROR(VLOOKUP(gia_khuyen_mai[[#This Row],[Mã hàng tặng]],'Giá gốc'!B:C,2,0),"")</f>
        <v>Xúc xích Cocktail 200g</v>
      </c>
      <c r="Q117" s="3" t="str">
        <f>VLOOKUP(gia_khuyen_mai[[#This Row],[Mã sản phẩm]],product[[Mã sản phẩm]:[DS - ĐV]],3,0)</f>
        <v>Food Đức Việt</v>
      </c>
    </row>
    <row r="118" spans="1:17" ht="21.75" customHeight="1">
      <c r="A118" s="38">
        <f t="shared" ref="A118:A127" si="4">ROW()-1</f>
        <v>117</v>
      </c>
      <c r="B118" s="4" t="s">
        <v>12948</v>
      </c>
      <c r="C118" s="4" t="s">
        <v>500</v>
      </c>
      <c r="D118" s="4" t="s">
        <v>496</v>
      </c>
      <c r="E118" s="4" t="s">
        <v>12936</v>
      </c>
      <c r="F118" s="4" t="s">
        <v>12949</v>
      </c>
      <c r="G118" s="39" t="s">
        <v>12459</v>
      </c>
      <c r="H118" s="3" t="str">
        <f>VLOOKUP(gia_khuyen_mai[[#This Row],[Barcode]],'Giá gốc'!$A:$B,2,0)</f>
        <v>2151032</v>
      </c>
      <c r="I118" s="3" t="str">
        <f>VLOOKUP(gia_khuyen_mai[[#This Row],[Mã sản phẩm]],'Giá gốc'!$B:$C,2,0)</f>
        <v>Jongga Kim chi Củ cải 450g</v>
      </c>
      <c r="J118" s="5">
        <f>VLOOKUP(gia_khuyen_mai[[#This Row],[Mã sản phẩm]],'Giá gốc'!B:D,3,0)</f>
        <v>42000</v>
      </c>
      <c r="K118" s="56">
        <v>0.3</v>
      </c>
      <c r="L118" s="6">
        <f>ROUND((1-gia_khuyen_mai[[#This Row],[% Giảm giá]]) * gia_khuyen_mai[[#This Row],[Giá gốc]], 0)</f>
        <v>29400</v>
      </c>
      <c r="M118" s="6"/>
      <c r="O118" s="3" t="str">
        <f>IFERROR(VLOOKUP(gia_khuyen_mai[[#This Row],[Mã hàng tặng]],'Giá gốc'!B:C,2,0),"")</f>
        <v/>
      </c>
      <c r="Q118" s="3" t="str">
        <f>VLOOKUP(gia_khuyen_mai[[#This Row],[Mã sản phẩm]],product[[Mã sản phẩm]:[DS - ĐV]],3,0)</f>
        <v>Food Đức Việt</v>
      </c>
    </row>
    <row r="119" spans="1:17" ht="21.75" customHeight="1">
      <c r="A119" s="38">
        <f t="shared" si="4"/>
        <v>118</v>
      </c>
      <c r="B119" s="4" t="s">
        <v>12948</v>
      </c>
      <c r="C119" s="4" t="s">
        <v>500</v>
      </c>
      <c r="D119" s="4" t="s">
        <v>496</v>
      </c>
      <c r="E119" s="4" t="s">
        <v>12936</v>
      </c>
      <c r="F119" s="4" t="s">
        <v>12949</v>
      </c>
      <c r="G119" s="39" t="s">
        <v>415</v>
      </c>
      <c r="H119" s="3" t="str">
        <f>VLOOKUP(gia_khuyen_mai[[#This Row],[Barcode]],'Giá gốc'!$A:$B,2,0)</f>
        <v>2145767</v>
      </c>
      <c r="I119" s="3" t="str">
        <f>VLOOKUP(gia_khuyen_mai[[#This Row],[Mã sản phẩm]],'Giá gốc'!$B:$C,2,0)</f>
        <v>Xúc xích Mỹ 500g</v>
      </c>
      <c r="J119" s="5">
        <f>VLOOKUP(gia_khuyen_mai[[#This Row],[Mã sản phẩm]],'Giá gốc'!B:D,3,0)</f>
        <v>55600</v>
      </c>
      <c r="K119" s="56">
        <v>0.2</v>
      </c>
      <c r="L119" s="6">
        <f>ROUND((1-gia_khuyen_mai[[#This Row],[% Giảm giá]]) * gia_khuyen_mai[[#This Row],[Giá gốc]], 0)</f>
        <v>44480</v>
      </c>
      <c r="M119" s="6"/>
      <c r="O119" s="3" t="str">
        <f>IFERROR(VLOOKUP(gia_khuyen_mai[[#This Row],[Mã hàng tặng]],'Giá gốc'!B:C,2,0),"")</f>
        <v/>
      </c>
      <c r="Q119" s="3" t="str">
        <f>VLOOKUP(gia_khuyen_mai[[#This Row],[Mã sản phẩm]],product[[Mã sản phẩm]:[DS - ĐV]],3,0)</f>
        <v>Food Đức Việt</v>
      </c>
    </row>
    <row r="120" spans="1:17" ht="21.75" customHeight="1">
      <c r="A120" s="38">
        <f t="shared" si="4"/>
        <v>119</v>
      </c>
      <c r="B120" s="4" t="s">
        <v>12948</v>
      </c>
      <c r="C120" s="4" t="s">
        <v>500</v>
      </c>
      <c r="D120" s="4" t="s">
        <v>496</v>
      </c>
      <c r="E120" s="4" t="s">
        <v>12841</v>
      </c>
      <c r="F120" s="4" t="s">
        <v>12949</v>
      </c>
      <c r="G120" s="39" t="s">
        <v>376</v>
      </c>
      <c r="H120" s="3" t="str">
        <f>VLOOKUP(gia_khuyen_mai[[#This Row],[Barcode]],'Giá gốc'!$A:$B,2,0)</f>
        <v>2145690</v>
      </c>
      <c r="I120" s="3" t="str">
        <f>VLOOKUP(gia_khuyen_mai[[#This Row],[Mã sản phẩm]],'Giá gốc'!$B:$C,2,0)</f>
        <v>Xúc xích vườn bia 200g * 1EA</v>
      </c>
      <c r="J120" s="5">
        <f>VLOOKUP(gia_khuyen_mai[[#This Row],[Mã sản phẩm]],'Giá gốc'!B:D,3,0)</f>
        <v>38400</v>
      </c>
      <c r="K120" s="56">
        <v>0.2</v>
      </c>
      <c r="L120" s="6">
        <f>ROUND((1-gia_khuyen_mai[[#This Row],[% Giảm giá]]) * gia_khuyen_mai[[#This Row],[Giá gốc]], 0)</f>
        <v>30720</v>
      </c>
      <c r="M120" s="6"/>
      <c r="O120" s="3" t="str">
        <f>IFERROR(VLOOKUP(gia_khuyen_mai[[#This Row],[Mã hàng tặng]],'Giá gốc'!B:C,2,0),"")</f>
        <v/>
      </c>
      <c r="Q120" s="3" t="str">
        <f>VLOOKUP(gia_khuyen_mai[[#This Row],[Mã sản phẩm]],product[[Mã sản phẩm]:[DS - ĐV]],3,0)</f>
        <v>Food Đức Việt</v>
      </c>
    </row>
    <row r="121" spans="1:17" ht="21.75" customHeight="1">
      <c r="A121" s="38">
        <f t="shared" si="4"/>
        <v>120</v>
      </c>
      <c r="B121" s="4" t="s">
        <v>12948</v>
      </c>
      <c r="C121" s="4" t="s">
        <v>500</v>
      </c>
      <c r="D121" s="4" t="s">
        <v>496</v>
      </c>
      <c r="E121" s="4" t="s">
        <v>12841</v>
      </c>
      <c r="F121" s="4" t="s">
        <v>12949</v>
      </c>
      <c r="G121" s="39" t="s">
        <v>394</v>
      </c>
      <c r="H121" s="3" t="str">
        <f>VLOOKUP(gia_khuyen_mai[[#This Row],[Barcode]],'Giá gốc'!$A:$B,2,0)</f>
        <v>2145744</v>
      </c>
      <c r="I121" s="3" t="str">
        <f>VLOOKUP(gia_khuyen_mai[[#This Row],[Mã sản phẩm]],'Giá gốc'!$B:$C,2,0)</f>
        <v>Xúc xích bắp phô mai 250g</v>
      </c>
      <c r="J121" s="5">
        <f>VLOOKUP(gia_khuyen_mai[[#This Row],[Mã sản phẩm]],'Giá gốc'!B:D,3,0)</f>
        <v>49400</v>
      </c>
      <c r="K121" s="56">
        <v>0.25</v>
      </c>
      <c r="L121" s="6">
        <f>ROUND((1-gia_khuyen_mai[[#This Row],[% Giảm giá]]) * gia_khuyen_mai[[#This Row],[Giá gốc]], 0)</f>
        <v>37050</v>
      </c>
      <c r="M121" s="6"/>
      <c r="O121" s="3" t="str">
        <f>IFERROR(VLOOKUP(gia_khuyen_mai[[#This Row],[Mã hàng tặng]],'Giá gốc'!B:C,2,0),"")</f>
        <v/>
      </c>
      <c r="Q121" s="3" t="str">
        <f>VLOOKUP(gia_khuyen_mai[[#This Row],[Mã sản phẩm]],product[[Mã sản phẩm]:[DS - ĐV]],3,0)</f>
        <v>Food Đức Việt</v>
      </c>
    </row>
    <row r="122" spans="1:17" ht="21.75" customHeight="1">
      <c r="A122" s="38">
        <f t="shared" si="4"/>
        <v>121</v>
      </c>
      <c r="B122" s="4" t="s">
        <v>12948</v>
      </c>
      <c r="C122" s="4" t="s">
        <v>500</v>
      </c>
      <c r="D122" s="4" t="s">
        <v>496</v>
      </c>
      <c r="E122" s="4" t="s">
        <v>12841</v>
      </c>
      <c r="F122" s="4" t="s">
        <v>12949</v>
      </c>
      <c r="G122" s="39" t="s">
        <v>427</v>
      </c>
      <c r="H122" s="3" t="str">
        <f>VLOOKUP(gia_khuyen_mai[[#This Row],[Barcode]],'Giá gốc'!$A:$B,2,0)</f>
        <v>2145743</v>
      </c>
      <c r="I122" s="3" t="str">
        <f>VLOOKUP(gia_khuyen_mai[[#This Row],[Mã sản phẩm]],'Giá gốc'!$B:$C,2,0)</f>
        <v>Xúc xích sụn nướng Bulgogi 450g</v>
      </c>
      <c r="J122" s="5">
        <f>VLOOKUP(gia_khuyen_mai[[#This Row],[Mã sản phẩm]],'Giá gốc'!B:D,3,0)</f>
        <v>74500</v>
      </c>
      <c r="K122" s="56"/>
      <c r="L122" s="6">
        <f>ROUND((1-gia_khuyen_mai[[#This Row],[% Giảm giá]]) * gia_khuyen_mai[[#This Row],[Giá gốc]], 0)</f>
        <v>74500</v>
      </c>
      <c r="M122" s="6" t="s">
        <v>503</v>
      </c>
      <c r="N122" s="20" t="s">
        <v>428</v>
      </c>
      <c r="O122" s="3" t="str">
        <f>IFERROR(VLOOKUP(gia_khuyen_mai[[#This Row],[Mã hàng tặng]],'Giá gốc'!B:C,2,0),"")</f>
        <v>Xúc xích sụn nướng Bulgogi 450g</v>
      </c>
      <c r="Q122" s="3" t="str">
        <f>VLOOKUP(gia_khuyen_mai[[#This Row],[Mã sản phẩm]],product[[Mã sản phẩm]:[DS - ĐV]],3,0)</f>
        <v>Food Đức Việt</v>
      </c>
    </row>
    <row r="123" spans="1:17" ht="21.75" customHeight="1">
      <c r="A123" s="38">
        <f t="shared" si="4"/>
        <v>122</v>
      </c>
      <c r="B123" s="4" t="s">
        <v>12948</v>
      </c>
      <c r="C123" s="4" t="s">
        <v>500</v>
      </c>
      <c r="D123" s="4" t="s">
        <v>496</v>
      </c>
      <c r="E123" s="4" t="s">
        <v>12841</v>
      </c>
      <c r="F123" s="4" t="s">
        <v>12949</v>
      </c>
      <c r="G123" s="39" t="s">
        <v>406</v>
      </c>
      <c r="H123" s="3" t="str">
        <f>VLOOKUP(gia_khuyen_mai[[#This Row],[Barcode]],'Giá gốc'!$A:$B,2,0)</f>
        <v>2145764</v>
      </c>
      <c r="I123" s="3" t="str">
        <f>VLOOKUP(gia_khuyen_mai[[#This Row],[Mã sản phẩm]],'Giá gốc'!$B:$C,2,0)</f>
        <v>Xúc xích Cocktail 500g</v>
      </c>
      <c r="J123" s="5">
        <f>VLOOKUP(gia_khuyen_mai[[#This Row],[Mã sản phẩm]],'Giá gốc'!B:D,3,0)</f>
        <v>52800</v>
      </c>
      <c r="K123" s="56">
        <v>0.2</v>
      </c>
      <c r="L123" s="6">
        <f>ROUND((1-gia_khuyen_mai[[#This Row],[% Giảm giá]]) * gia_khuyen_mai[[#This Row],[Giá gốc]], 0)</f>
        <v>42240</v>
      </c>
      <c r="M123" s="6"/>
      <c r="O123" s="3" t="str">
        <f>IFERROR(VLOOKUP(gia_khuyen_mai[[#This Row],[Mã hàng tặng]],'Giá gốc'!B:C,2,0),"")</f>
        <v/>
      </c>
      <c r="Q123" s="3" t="str">
        <f>VLOOKUP(gia_khuyen_mai[[#This Row],[Mã sản phẩm]],product[[Mã sản phẩm]:[DS - ĐV]],3,0)</f>
        <v>Food Đức Việt</v>
      </c>
    </row>
    <row r="124" spans="1:17" ht="21.75" customHeight="1">
      <c r="A124" s="38">
        <f t="shared" si="4"/>
        <v>123</v>
      </c>
      <c r="B124" s="4" t="s">
        <v>12948</v>
      </c>
      <c r="C124" s="4" t="s">
        <v>500</v>
      </c>
      <c r="D124" s="4" t="s">
        <v>496</v>
      </c>
      <c r="E124" s="4" t="s">
        <v>12841</v>
      </c>
      <c r="F124" s="4" t="s">
        <v>12949</v>
      </c>
      <c r="G124" s="39" t="s">
        <v>433</v>
      </c>
      <c r="H124" s="3" t="str">
        <f>VLOOKUP(gia_khuyen_mai[[#This Row],[Barcode]],'Giá gốc'!$A:$B,2,0)</f>
        <v>2146417</v>
      </c>
      <c r="I124" s="3" t="str">
        <f>VLOOKUP(gia_khuyen_mai[[#This Row],[Mã sản phẩm]],'Giá gốc'!$B:$C,2,0)</f>
        <v>Chân giò hong khói rút xương 300g</v>
      </c>
      <c r="J124" s="5">
        <f>VLOOKUP(gia_khuyen_mai[[#This Row],[Mã sản phẩm]],'Giá gốc'!B:D,3,0)</f>
        <v>67700</v>
      </c>
      <c r="K124" s="56">
        <v>0.2</v>
      </c>
      <c r="L124" s="6">
        <f>ROUND((1-gia_khuyen_mai[[#This Row],[% Giảm giá]]) * gia_khuyen_mai[[#This Row],[Giá gốc]], 0)</f>
        <v>54160</v>
      </c>
      <c r="M124" s="6"/>
      <c r="O124" s="3" t="str">
        <f>IFERROR(VLOOKUP(gia_khuyen_mai[[#This Row],[Mã hàng tặng]],'Giá gốc'!B:C,2,0),"")</f>
        <v/>
      </c>
      <c r="Q124" s="3" t="str">
        <f>VLOOKUP(gia_khuyen_mai[[#This Row],[Mã sản phẩm]],product[[Mã sản phẩm]:[DS - ĐV]],3,0)</f>
        <v>Food Đức Việt</v>
      </c>
    </row>
    <row r="125" spans="1:17" ht="21.75" customHeight="1">
      <c r="A125" s="38">
        <f t="shared" si="4"/>
        <v>124</v>
      </c>
      <c r="B125" s="4" t="s">
        <v>12948</v>
      </c>
      <c r="C125" s="4" t="s">
        <v>500</v>
      </c>
      <c r="D125" s="4" t="s">
        <v>496</v>
      </c>
      <c r="E125" s="4" t="s">
        <v>12936</v>
      </c>
      <c r="F125" s="4" t="s">
        <v>12949</v>
      </c>
      <c r="G125" s="39" t="s">
        <v>467</v>
      </c>
      <c r="H125" s="3" t="str">
        <f>VLOOKUP(gia_khuyen_mai[[#This Row],[Barcode]],'Giá gốc'!$A:$B,2,0)</f>
        <v>2148987</v>
      </c>
      <c r="I125" s="3" t="str">
        <f>VLOOKUP(gia_khuyen_mai[[#This Row],[Mã sản phẩm]],'Giá gốc'!$B:$C,2,0)</f>
        <v>Kimchi cải thảo cắt lát 150g * 30EA</v>
      </c>
      <c r="J125" s="5">
        <f>VLOOKUP(gia_khuyen_mai[[#This Row],[Mã sản phẩm]],'Giá gốc'!B:D,3,0)</f>
        <v>14200</v>
      </c>
      <c r="K125" s="56"/>
      <c r="L125" s="6">
        <f>ROUND((1-gia_khuyen_mai[[#This Row],[% Giảm giá]]) * gia_khuyen_mai[[#This Row],[Giá gốc]], 0)</f>
        <v>14200</v>
      </c>
      <c r="M125" s="6" t="s">
        <v>503</v>
      </c>
      <c r="N125" s="3" t="str">
        <f>VLOOKUP(gia_khuyen_mai[[#This Row],[Barcode]],'Giá gốc'!$A:$B,2,0)</f>
        <v>2148987</v>
      </c>
      <c r="O125" s="3" t="str">
        <f>IFERROR(VLOOKUP(gia_khuyen_mai[[#This Row],[Mã hàng tặng]],'Giá gốc'!B:C,2,0),"")</f>
        <v>Kimchi cải thảo cắt lát 150g * 30EA</v>
      </c>
      <c r="Q125" s="3" t="str">
        <f>VLOOKUP(gia_khuyen_mai[[#This Row],[Mã sản phẩm]],product[[Mã sản phẩm]:[DS - ĐV]],3,0)</f>
        <v>Food Đức Việt</v>
      </c>
    </row>
    <row r="126" spans="1:17" ht="21.75" customHeight="1">
      <c r="A126" s="38">
        <f t="shared" si="4"/>
        <v>125</v>
      </c>
      <c r="B126" s="4" t="s">
        <v>12948</v>
      </c>
      <c r="C126" s="4" t="s">
        <v>500</v>
      </c>
      <c r="D126" s="4" t="s">
        <v>496</v>
      </c>
      <c r="E126" s="4" t="s">
        <v>12841</v>
      </c>
      <c r="F126" s="4" t="s">
        <v>12949</v>
      </c>
      <c r="G126" s="39" t="s">
        <v>473</v>
      </c>
      <c r="H126" s="3" t="str">
        <f>VLOOKUP(gia_khuyen_mai[[#This Row],[Barcode]],'Giá gốc'!$A:$B,2,0)</f>
        <v>2145679</v>
      </c>
      <c r="I126" s="3" t="str">
        <f>VLOOKUP(gia_khuyen_mai[[#This Row],[Mã sản phẩm]],'Giá gốc'!$B:$C,2,0)</f>
        <v>Đức Việt Handy- Xúc xích thịt heo muối hồng Himalaya 175g * 20EA</v>
      </c>
      <c r="J126" s="5">
        <f>VLOOKUP(gia_khuyen_mai[[#This Row],[Mã sản phẩm]],'Giá gốc'!B:D,3,0)</f>
        <v>18300</v>
      </c>
      <c r="K126" s="56"/>
      <c r="L126" s="6">
        <f>ROUND((1-gia_khuyen_mai[[#This Row],[% Giảm giá]]) * gia_khuyen_mai[[#This Row],[Giá gốc]], 0)</f>
        <v>18300</v>
      </c>
      <c r="M126" s="6" t="s">
        <v>503</v>
      </c>
      <c r="N126" s="3" t="str">
        <f>VLOOKUP(gia_khuyen_mai[[#This Row],[Barcode]],'Giá gốc'!$A:$B,2,0)</f>
        <v>2145679</v>
      </c>
      <c r="O126" s="3" t="str">
        <f>IFERROR(VLOOKUP(gia_khuyen_mai[[#This Row],[Mã hàng tặng]],'Giá gốc'!B:C,2,0),"")</f>
        <v>Đức Việt Handy- Xúc xích thịt heo muối hồng Himalaya 175g * 20EA</v>
      </c>
      <c r="Q126" s="3" t="str">
        <f>VLOOKUP(gia_khuyen_mai[[#This Row],[Mã sản phẩm]],product[[Mã sản phẩm]:[DS - ĐV]],3,0)</f>
        <v>Food Đức Việt</v>
      </c>
    </row>
    <row r="127" spans="1:17" ht="21.75" customHeight="1">
      <c r="A127" s="38">
        <f t="shared" si="4"/>
        <v>126</v>
      </c>
      <c r="B127" s="4" t="s">
        <v>12948</v>
      </c>
      <c r="C127" s="4" t="s">
        <v>5</v>
      </c>
      <c r="D127" s="4" t="s">
        <v>496</v>
      </c>
      <c r="E127" s="4" t="s">
        <v>12841</v>
      </c>
      <c r="F127" s="4" t="s">
        <v>12949</v>
      </c>
      <c r="G127" s="39" t="s">
        <v>476</v>
      </c>
      <c r="H127" s="3" t="str">
        <f>VLOOKUP(gia_khuyen_mai[[#This Row],[Barcode]],'Giá gốc'!$A:$B,2,0)</f>
        <v>2150337</v>
      </c>
      <c r="I127" s="3" t="str">
        <f>VLOOKUP(gia_khuyen_mai[[#This Row],[Mã sản phẩm]],'Giá gốc'!$B:$C,2,0)</f>
        <v>O'food Chả giò da xốp nhân thịt 300g</v>
      </c>
      <c r="J127" s="5">
        <f>VLOOKUP(gia_khuyen_mai[[#This Row],[Mã sản phẩm]],'Giá gốc'!B:D,3,0)</f>
        <v>31524</v>
      </c>
      <c r="K127" s="56">
        <v>0.3</v>
      </c>
      <c r="L127" s="6">
        <f>ROUND((1-gia_khuyen_mai[[#This Row],[% Giảm giá]]) * gia_khuyen_mai[[#This Row],[Giá gốc]], 0)</f>
        <v>22067</v>
      </c>
      <c r="M127" s="6"/>
      <c r="O127" s="3" t="str">
        <f>IFERROR(VLOOKUP(gia_khuyen_mai[[#This Row],[Mã hàng tặng]],'Giá gốc'!B:C,2,0),"")</f>
        <v/>
      </c>
      <c r="Q127" s="3" t="str">
        <f>VLOOKUP(gia_khuyen_mai[[#This Row],[Mã sản phẩm]],product[[Mã sản phẩm]:[DS - ĐV]],3,0)</f>
        <v>Food Đức Việt</v>
      </c>
    </row>
    <row r="128" spans="1:17" ht="21.75" customHeight="1">
      <c r="A128" s="51">
        <f t="shared" ref="A128:A133" si="5">ROW()-1</f>
        <v>127</v>
      </c>
      <c r="B128" s="4" t="s">
        <v>13133</v>
      </c>
      <c r="C128" s="4" t="s">
        <v>500</v>
      </c>
      <c r="D128" s="4" t="s">
        <v>496</v>
      </c>
      <c r="E128" s="4" t="s">
        <v>13134</v>
      </c>
      <c r="F128" s="4" t="s">
        <v>13135</v>
      </c>
      <c r="G128" s="52" t="s">
        <v>382</v>
      </c>
      <c r="H128" s="3" t="str">
        <f>VLOOKUP(gia_khuyen_mai[[#This Row],[Barcode]],'Giá gốc'!$A:$B,2,0)</f>
        <v>2145691</v>
      </c>
      <c r="I128" s="3" t="str">
        <f>VLOOKUP(gia_khuyen_mai[[#This Row],[Mã sản phẩm]],'Giá gốc'!$B:$C,2,0)</f>
        <v>Xúc xích viên hong khói 450g * 1EA</v>
      </c>
      <c r="J128" s="53">
        <f>VLOOKUP(gia_khuyen_mai[[#This Row],[Mã sản phẩm]],'Giá gốc'!B:D,3,0)</f>
        <v>84200</v>
      </c>
      <c r="K128" s="59">
        <v>0.23</v>
      </c>
      <c r="L128" s="6">
        <f>ROUND((1-gia_khuyen_mai[[#This Row],[% Giảm giá]]) * gia_khuyen_mai[[#This Row],[Giá gốc]], 0)</f>
        <v>64834</v>
      </c>
      <c r="M128" s="6"/>
      <c r="O128" s="3" t="str">
        <f>IFERROR(VLOOKUP(gia_khuyen_mai[[#This Row],[Mã hàng tặng]],'Giá gốc'!B:C,2,0),"")</f>
        <v/>
      </c>
      <c r="Q128" s="3" t="str">
        <f>VLOOKUP(gia_khuyen_mai[[#This Row],[Mã sản phẩm]],product[[Mã sản phẩm]:[DS - ĐV]],3,0)</f>
        <v>Food Đức Việt</v>
      </c>
    </row>
    <row r="129" spans="1:17" ht="21.75" customHeight="1">
      <c r="A129" s="51">
        <f t="shared" si="5"/>
        <v>128</v>
      </c>
      <c r="B129" s="4" t="s">
        <v>13133</v>
      </c>
      <c r="C129" s="4" t="s">
        <v>500</v>
      </c>
      <c r="D129" s="4" t="s">
        <v>496</v>
      </c>
      <c r="E129" s="4" t="s">
        <v>13134</v>
      </c>
      <c r="F129" s="4" t="s">
        <v>13135</v>
      </c>
      <c r="G129" s="52" t="s">
        <v>409</v>
      </c>
      <c r="H129" s="3" t="str">
        <f>VLOOKUP(gia_khuyen_mai[[#This Row],[Barcode]],'Giá gốc'!$A:$B,2,0)</f>
        <v>2145765</v>
      </c>
      <c r="I129" s="3" t="str">
        <f>VLOOKUP(gia_khuyen_mai[[#This Row],[Mã sản phẩm]],'Giá gốc'!$B:$C,2,0)</f>
        <v>Xúc xích Hotdog 200g</v>
      </c>
      <c r="J129" s="53">
        <f>VLOOKUP(gia_khuyen_mai[[#This Row],[Mã sản phẩm]],'Giá gốc'!B:D,3,0)</f>
        <v>20100</v>
      </c>
      <c r="K129" s="60">
        <v>0.2</v>
      </c>
      <c r="L129" s="6">
        <f>ROUND((1-gia_khuyen_mai[[#This Row],[% Giảm giá]]) * gia_khuyen_mai[[#This Row],[Giá gốc]], 0)</f>
        <v>16080</v>
      </c>
      <c r="M129" s="6"/>
      <c r="O129" s="3" t="str">
        <f>IFERROR(VLOOKUP(gia_khuyen_mai[[#This Row],[Mã hàng tặng]],'Giá gốc'!B:C,2,0),"")</f>
        <v/>
      </c>
      <c r="Q129" s="3" t="str">
        <f>VLOOKUP(gia_khuyen_mai[[#This Row],[Mã sản phẩm]],product[[Mã sản phẩm]:[DS - ĐV]],3,0)</f>
        <v>Food Đức Việt</v>
      </c>
    </row>
    <row r="130" spans="1:17" ht="21.75" customHeight="1">
      <c r="A130" s="51">
        <f t="shared" si="5"/>
        <v>129</v>
      </c>
      <c r="B130" s="4" t="s">
        <v>13133</v>
      </c>
      <c r="C130" s="4" t="s">
        <v>500</v>
      </c>
      <c r="D130" s="4" t="s">
        <v>496</v>
      </c>
      <c r="E130" s="4" t="s">
        <v>13134</v>
      </c>
      <c r="F130" s="4" t="s">
        <v>13135</v>
      </c>
      <c r="G130" s="52" t="s">
        <v>464</v>
      </c>
      <c r="H130" s="3" t="str">
        <f>VLOOKUP(gia_khuyen_mai[[#This Row],[Barcode]],'Giá gốc'!$A:$B,2,0)</f>
        <v>2145622</v>
      </c>
      <c r="I130" s="3" t="str">
        <f>VLOOKUP(gia_khuyen_mai[[#This Row],[Mã sản phẩm]],'Giá gốc'!$B:$C,2,0)</f>
        <v>Kim chi 450</v>
      </c>
      <c r="J130" s="53">
        <f>VLOOKUP(gia_khuyen_mai[[#This Row],[Mã sản phẩm]],'Giá gốc'!B:D,3,0)</f>
        <v>35500</v>
      </c>
      <c r="K130" s="59">
        <v>0.3</v>
      </c>
      <c r="L130" s="6">
        <f>ROUND((1-gia_khuyen_mai[[#This Row],[% Giảm giá]]) * gia_khuyen_mai[[#This Row],[Giá gốc]], 0)</f>
        <v>24850</v>
      </c>
      <c r="M130" s="6"/>
      <c r="O130" s="3" t="str">
        <f>IFERROR(VLOOKUP(gia_khuyen_mai[[#This Row],[Mã hàng tặng]],'Giá gốc'!B:C,2,0),"")</f>
        <v/>
      </c>
      <c r="Q130" s="3" t="str">
        <f>VLOOKUP(gia_khuyen_mai[[#This Row],[Mã sản phẩm]],product[[Mã sản phẩm]:[DS - ĐV]],3,0)</f>
        <v>Food Đức Việt</v>
      </c>
    </row>
    <row r="131" spans="1:17" ht="21.75" customHeight="1">
      <c r="A131" s="51">
        <f t="shared" si="5"/>
        <v>130</v>
      </c>
      <c r="B131" s="4" t="s">
        <v>13133</v>
      </c>
      <c r="C131" s="4" t="s">
        <v>500</v>
      </c>
      <c r="D131" s="4" t="s">
        <v>496</v>
      </c>
      <c r="E131" s="4" t="s">
        <v>13134</v>
      </c>
      <c r="F131" s="4" t="s">
        <v>13135</v>
      </c>
      <c r="G131" s="52" t="s">
        <v>470</v>
      </c>
      <c r="H131" s="3" t="str">
        <f>VLOOKUP(gia_khuyen_mai[[#This Row],[Barcode]],'Giá gốc'!$A:$B,2,0)</f>
        <v>2145699</v>
      </c>
      <c r="I131" s="3" t="str">
        <f>VLOOKUP(gia_khuyen_mai[[#This Row],[Mã sản phẩm]],'Giá gốc'!$B:$C,2,0)</f>
        <v>Seoul's Hotdog Chiên xù 250g (Đ)</v>
      </c>
      <c r="J131" s="53">
        <f>VLOOKUP(gia_khuyen_mai[[#This Row],[Mã sản phẩm]],'Giá gốc'!B:D,3,0)</f>
        <v>39150</v>
      </c>
      <c r="K131" s="59">
        <v>0.25</v>
      </c>
      <c r="L131" s="6">
        <f>ROUND((1-gia_khuyen_mai[[#This Row],[% Giảm giá]]) * gia_khuyen_mai[[#This Row],[Giá gốc]], 0)</f>
        <v>29363</v>
      </c>
      <c r="M131" s="6"/>
      <c r="O131" s="3" t="str">
        <f>IFERROR(VLOOKUP(gia_khuyen_mai[[#This Row],[Mã hàng tặng]],'Giá gốc'!B:C,2,0),"")</f>
        <v/>
      </c>
      <c r="Q131" s="3" t="str">
        <f>VLOOKUP(gia_khuyen_mai[[#This Row],[Mã sản phẩm]],product[[Mã sản phẩm]:[DS - ĐV]],3,0)</f>
        <v>Food Đức Việt</v>
      </c>
    </row>
    <row r="132" spans="1:17" ht="21.75" customHeight="1">
      <c r="A132" s="51">
        <f t="shared" si="5"/>
        <v>131</v>
      </c>
      <c r="B132" s="4" t="s">
        <v>13133</v>
      </c>
      <c r="C132" s="4" t="s">
        <v>500</v>
      </c>
      <c r="D132" s="4" t="s">
        <v>496</v>
      </c>
      <c r="E132" s="4" t="s">
        <v>13134</v>
      </c>
      <c r="F132" s="4" t="s">
        <v>13135</v>
      </c>
      <c r="G132" s="52" t="s">
        <v>479</v>
      </c>
      <c r="H132" s="3" t="str">
        <f>VLOOKUP(gia_khuyen_mai[[#This Row],[Barcode]],'Giá gốc'!$A:$B,2,0)</f>
        <v>2150338</v>
      </c>
      <c r="I132" s="3" t="str">
        <f>VLOOKUP(gia_khuyen_mai[[#This Row],[Mã sản phẩm]],'Giá gốc'!$B:$C,2,0)</f>
        <v>O'food Chả giò da xốp hải sản 300g</v>
      </c>
      <c r="J132" s="53">
        <f>VLOOKUP(gia_khuyen_mai[[#This Row],[Mã sản phẩm]],'Giá gốc'!B:D,3,0)</f>
        <v>31524</v>
      </c>
      <c r="K132" s="60">
        <v>0.25</v>
      </c>
      <c r="L132" s="6">
        <f>ROUND((1-gia_khuyen_mai[[#This Row],[% Giảm giá]]) * gia_khuyen_mai[[#This Row],[Giá gốc]], 0)</f>
        <v>23643</v>
      </c>
      <c r="M132" s="6"/>
      <c r="O132" s="3" t="str">
        <f>IFERROR(VLOOKUP(gia_khuyen_mai[[#This Row],[Mã hàng tặng]],'Giá gốc'!B:C,2,0),"")</f>
        <v/>
      </c>
      <c r="Q132" s="3" t="str">
        <f>VLOOKUP(gia_khuyen_mai[[#This Row],[Mã sản phẩm]],product[[Mã sản phẩm]:[DS - ĐV]],3,0)</f>
        <v>Food Đức Việt</v>
      </c>
    </row>
    <row r="133" spans="1:17" ht="21.75" customHeight="1">
      <c r="A133" s="51">
        <f t="shared" si="5"/>
        <v>132</v>
      </c>
      <c r="B133" s="4" t="s">
        <v>13133</v>
      </c>
      <c r="C133" s="4" t="s">
        <v>500</v>
      </c>
      <c r="D133" s="4" t="s">
        <v>496</v>
      </c>
      <c r="E133" s="4" t="s">
        <v>13134</v>
      </c>
      <c r="F133" s="4" t="s">
        <v>13135</v>
      </c>
      <c r="G133" s="52" t="s">
        <v>12461</v>
      </c>
      <c r="H133" s="3" t="str">
        <f>VLOOKUP(gia_khuyen_mai[[#This Row],[Barcode]],'Giá gốc'!$A:$B,2,0)</f>
        <v>2151765</v>
      </c>
      <c r="I133" s="3" t="str">
        <f>VLOOKUP(gia_khuyen_mai[[#This Row],[Mã sản phẩm]],'Giá gốc'!$B:$C,2,0)</f>
        <v>Ức gà hong khói 100g</v>
      </c>
      <c r="J133" s="53">
        <f>VLOOKUP(gia_khuyen_mai[[#This Row],[Mã sản phẩm]],'Giá gốc'!B:D,3,0)</f>
        <v>26000</v>
      </c>
      <c r="K133" s="60">
        <v>0.22</v>
      </c>
      <c r="L133" s="6">
        <f>ROUND((1-gia_khuyen_mai[[#This Row],[% Giảm giá]]) * gia_khuyen_mai[[#This Row],[Giá gốc]], 0)</f>
        <v>20280</v>
      </c>
      <c r="M133" s="6"/>
      <c r="O133" s="3" t="str">
        <f>IFERROR(VLOOKUP(gia_khuyen_mai[[#This Row],[Mã hàng tặng]],'Giá gốc'!B:C,2,0),"")</f>
        <v/>
      </c>
      <c r="Q133" s="3" t="str">
        <f>VLOOKUP(gia_khuyen_mai[[#This Row],[Mã sản phẩm]],product[[Mã sản phẩm]:[DS - ĐV]],3,0)</f>
        <v>Food Đức Việt</v>
      </c>
    </row>
    <row r="134" spans="1:17" ht="21.75" customHeight="1">
      <c r="A134" s="51">
        <f>ROW()-1</f>
        <v>133</v>
      </c>
      <c r="B134" s="4" t="s">
        <v>13133</v>
      </c>
      <c r="C134" s="4" t="s">
        <v>5</v>
      </c>
      <c r="D134" s="4" t="s">
        <v>496</v>
      </c>
      <c r="E134" s="4" t="s">
        <v>13134</v>
      </c>
      <c r="F134" s="4" t="s">
        <v>13135</v>
      </c>
      <c r="G134" s="52" t="s">
        <v>418</v>
      </c>
      <c r="H134" s="3" t="str">
        <f>VLOOKUP(gia_khuyen_mai[[#This Row],[Barcode]],'Giá gốc'!$A:$B,2,0)</f>
        <v>2145783</v>
      </c>
      <c r="I134" s="3" t="str">
        <f>VLOOKUP(gia_khuyen_mai[[#This Row],[Mã sản phẩm]],'Giá gốc'!$B:$C,2,0)</f>
        <v>Xúc xích Romas ( 50g) 500g</v>
      </c>
      <c r="J134" s="53">
        <f>VLOOKUP(gia_khuyen_mai[[#This Row],[Mã sản phẩm]],'Giá gốc'!B:D,3,0)</f>
        <v>53900</v>
      </c>
      <c r="K134" s="58">
        <v>0.2</v>
      </c>
      <c r="L134" s="6">
        <f>ROUND((1-gia_khuyen_mai[[#This Row],[% Giảm giá]]) * gia_khuyen_mai[[#This Row],[Giá gốc]], 0)</f>
        <v>43120</v>
      </c>
      <c r="M134" s="6"/>
      <c r="O134" s="3" t="str">
        <f>IFERROR(VLOOKUP(gia_khuyen_mai[[#This Row],[Mã hàng tặng]],'Giá gốc'!B:C,2,0),"")</f>
        <v/>
      </c>
      <c r="Q134" s="3" t="str">
        <f>VLOOKUP(gia_khuyen_mai[[#This Row],[Mã sản phẩm]],product[[Mã sản phẩm]:[DS - ĐV]],3,0)</f>
        <v>Food Đức Việt</v>
      </c>
    </row>
    <row r="135" spans="1:17" ht="21.75" customHeight="1">
      <c r="A135" s="51">
        <f t="shared" ref="A135:A143" si="6">ROW()-1</f>
        <v>134</v>
      </c>
      <c r="B135" s="4" t="s">
        <v>13133</v>
      </c>
      <c r="C135" s="4" t="s">
        <v>183</v>
      </c>
      <c r="D135" s="4" t="s">
        <v>496</v>
      </c>
      <c r="E135" s="4" t="s">
        <v>13134</v>
      </c>
      <c r="F135" s="4" t="s">
        <v>13135</v>
      </c>
      <c r="G135" s="52" t="s">
        <v>400</v>
      </c>
      <c r="H135" s="3" t="str">
        <f>VLOOKUP(gia_khuyen_mai[[#This Row],[Barcode]],'Giá gốc'!$A:$B,2,0)</f>
        <v>2145740</v>
      </c>
      <c r="I135" s="3" t="str">
        <f>VLOOKUP(gia_khuyen_mai[[#This Row],[Mã sản phẩm]],'Giá gốc'!$B:$C,2,0)</f>
        <v>Xúc xích phô mai Cheesy 70g * 30EA</v>
      </c>
      <c r="J135" s="53">
        <f>VLOOKUP(gia_khuyen_mai[[#This Row],[Mã sản phẩm]],'Giá gốc'!B:D,3,0)</f>
        <v>17100</v>
      </c>
      <c r="K135" s="60">
        <v>0.2</v>
      </c>
      <c r="L135" s="6">
        <f>ROUND((1-gia_khuyen_mai[[#This Row],[% Giảm giá]]) * gia_khuyen_mai[[#This Row],[Giá gốc]], 0)</f>
        <v>13680</v>
      </c>
      <c r="M135" s="6"/>
      <c r="O135" s="3" t="str">
        <f>IFERROR(VLOOKUP(gia_khuyen_mai[[#This Row],[Mã hàng tặng]],'Giá gốc'!B:C,2,0),"")</f>
        <v/>
      </c>
      <c r="Q135" s="3" t="str">
        <f>VLOOKUP(gia_khuyen_mai[[#This Row],[Mã sản phẩm]],product[[Mã sản phẩm]:[DS - ĐV]],3,0)</f>
        <v>Food Đức Việt</v>
      </c>
    </row>
    <row r="136" spans="1:17" ht="21.75" customHeight="1">
      <c r="A136" s="51">
        <f t="shared" si="6"/>
        <v>135</v>
      </c>
      <c r="B136" s="4" t="s">
        <v>13133</v>
      </c>
      <c r="C136" s="4" t="s">
        <v>183</v>
      </c>
      <c r="D136" s="4" t="s">
        <v>496</v>
      </c>
      <c r="E136" s="4" t="s">
        <v>13134</v>
      </c>
      <c r="F136" s="4" t="s">
        <v>13135</v>
      </c>
      <c r="G136" s="52" t="s">
        <v>412</v>
      </c>
      <c r="H136" s="3" t="str">
        <f>VLOOKUP(gia_khuyen_mai[[#This Row],[Barcode]],'Giá gốc'!$A:$B,2,0)</f>
        <v>2145768</v>
      </c>
      <c r="I136" s="3" t="str">
        <f>VLOOKUP(gia_khuyen_mai[[#This Row],[Mã sản phẩm]],'Giá gốc'!$B:$C,2,0)</f>
        <v>Xúc xích Hotdog 500g</v>
      </c>
      <c r="J136" s="53">
        <f>VLOOKUP(gia_khuyen_mai[[#This Row],[Mã sản phẩm]],'Giá gốc'!B:D,3,0)</f>
        <v>50200</v>
      </c>
      <c r="K136" s="60">
        <v>0.2</v>
      </c>
      <c r="L136" s="6">
        <f>ROUND((1-gia_khuyen_mai[[#This Row],[% Giảm giá]]) * gia_khuyen_mai[[#This Row],[Giá gốc]], 0)</f>
        <v>40160</v>
      </c>
      <c r="M136" s="6"/>
      <c r="O136" s="3" t="str">
        <f>IFERROR(VLOOKUP(gia_khuyen_mai[[#This Row],[Mã hàng tặng]],'Giá gốc'!B:C,2,0),"")</f>
        <v/>
      </c>
      <c r="Q136" s="3" t="str">
        <f>VLOOKUP(gia_khuyen_mai[[#This Row],[Mã sản phẩm]],product[[Mã sản phẩm]:[DS - ĐV]],3,0)</f>
        <v>Food Đức Việt</v>
      </c>
    </row>
    <row r="137" spans="1:17" ht="21.75" customHeight="1">
      <c r="A137" s="51">
        <f t="shared" si="6"/>
        <v>136</v>
      </c>
      <c r="B137" s="4" t="s">
        <v>13133</v>
      </c>
      <c r="C137" s="4" t="s">
        <v>183</v>
      </c>
      <c r="D137" s="4" t="s">
        <v>496</v>
      </c>
      <c r="E137" s="4" t="s">
        <v>13134</v>
      </c>
      <c r="F137" s="4" t="s">
        <v>13135</v>
      </c>
      <c r="G137" s="52" t="s">
        <v>421</v>
      </c>
      <c r="H137" s="3" t="str">
        <f>VLOOKUP(gia_khuyen_mai[[#This Row],[Barcode]],'Giá gốc'!$A:$B,2,0)</f>
        <v>2145791</v>
      </c>
      <c r="I137" s="3" t="str">
        <f>VLOOKUP(gia_khuyen_mai[[#This Row],[Mã sản phẩm]],'Giá gốc'!$B:$C,2,0)</f>
        <v>Xúc xích Romas 70g * 30EA</v>
      </c>
      <c r="J137" s="53">
        <f>VLOOKUP(gia_khuyen_mai[[#This Row],[Mã sản phẩm]],'Giá gốc'!B:D,3,0)</f>
        <v>13100</v>
      </c>
      <c r="K137" s="60">
        <v>0.2</v>
      </c>
      <c r="L137" s="6">
        <f>ROUND((1-gia_khuyen_mai[[#This Row],[% Giảm giá]]) * gia_khuyen_mai[[#This Row],[Giá gốc]], 0)</f>
        <v>10480</v>
      </c>
      <c r="M137" s="6"/>
      <c r="O137" s="3" t="str">
        <f>IFERROR(VLOOKUP(gia_khuyen_mai[[#This Row],[Mã hàng tặng]],'Giá gốc'!B:C,2,0),"")</f>
        <v/>
      </c>
      <c r="Q137" s="3" t="str">
        <f>VLOOKUP(gia_khuyen_mai[[#This Row],[Mã sản phẩm]],product[[Mã sản phẩm]:[DS - ĐV]],3,0)</f>
        <v>Food Đức Việt</v>
      </c>
    </row>
    <row r="138" spans="1:17" ht="21.75" customHeight="1">
      <c r="A138" s="51">
        <f t="shared" si="6"/>
        <v>137</v>
      </c>
      <c r="B138" s="4" t="s">
        <v>13133</v>
      </c>
      <c r="C138" s="4" t="s">
        <v>183</v>
      </c>
      <c r="D138" s="4" t="s">
        <v>496</v>
      </c>
      <c r="E138" s="4" t="s">
        <v>13134</v>
      </c>
      <c r="F138" s="4" t="s">
        <v>13135</v>
      </c>
      <c r="G138" s="52" t="s">
        <v>448</v>
      </c>
      <c r="H138" s="3" t="str">
        <f>VLOOKUP(gia_khuyen_mai[[#This Row],[Barcode]],'Giá gốc'!$A:$B,2,0)</f>
        <v>2145695</v>
      </c>
      <c r="I138" s="3" t="str">
        <f>VLOOKUP(gia_khuyen_mai[[#This Row],[Mã sản phẩm]],'Giá gốc'!$B:$C,2,0)</f>
        <v>Seoul's Hotdog 350g</v>
      </c>
      <c r="J138" s="53">
        <f>VLOOKUP(gia_khuyen_mai[[#This Row],[Mã sản phẩm]],'Giá gốc'!B:D,3,0)</f>
        <v>48384</v>
      </c>
      <c r="K138" s="60">
        <v>0.25</v>
      </c>
      <c r="L138" s="6">
        <f>ROUND((1-gia_khuyen_mai[[#This Row],[% Giảm giá]]) * gia_khuyen_mai[[#This Row],[Giá gốc]], 0)</f>
        <v>36288</v>
      </c>
      <c r="M138" s="6"/>
      <c r="O138" s="3" t="str">
        <f>IFERROR(VLOOKUP(gia_khuyen_mai[[#This Row],[Mã hàng tặng]],'Giá gốc'!B:C,2,0),"")</f>
        <v/>
      </c>
      <c r="Q138" s="3" t="str">
        <f>VLOOKUP(gia_khuyen_mai[[#This Row],[Mã sản phẩm]],product[[Mã sản phẩm]:[DS - ĐV]],3,0)</f>
        <v>Food Đức Việt</v>
      </c>
    </row>
    <row r="139" spans="1:17" ht="21.75" customHeight="1">
      <c r="A139" s="51">
        <f t="shared" si="6"/>
        <v>138</v>
      </c>
      <c r="B139" s="4" t="s">
        <v>13133</v>
      </c>
      <c r="C139" s="4" t="s">
        <v>183</v>
      </c>
      <c r="D139" s="4" t="s">
        <v>496</v>
      </c>
      <c r="E139" s="4" t="s">
        <v>13134</v>
      </c>
      <c r="F139" s="4" t="s">
        <v>13135</v>
      </c>
      <c r="G139" s="52" t="s">
        <v>451</v>
      </c>
      <c r="H139" s="3" t="str">
        <f>VLOOKUP(gia_khuyen_mai[[#This Row],[Barcode]],'Giá gốc'!$A:$B,2,0)</f>
        <v>2145697</v>
      </c>
      <c r="I139" s="3" t="str">
        <f>VLOOKUP(gia_khuyen_mai[[#This Row],[Mã sản phẩm]],'Giá gốc'!$B:$C,2,0)</f>
        <v>Seoul nhân phô mai 250g</v>
      </c>
      <c r="J139" s="53">
        <f>VLOOKUP(gia_khuyen_mai[[#This Row],[Mã sản phẩm]],'Giá gốc'!B:D,3,0)</f>
        <v>42000</v>
      </c>
      <c r="K139" s="60">
        <v>0.22</v>
      </c>
      <c r="L139" s="6">
        <f>ROUND((1-gia_khuyen_mai[[#This Row],[% Giảm giá]]) * gia_khuyen_mai[[#This Row],[Giá gốc]], 0)</f>
        <v>32760</v>
      </c>
      <c r="M139" s="6"/>
      <c r="O139" s="3" t="str">
        <f>IFERROR(VLOOKUP(gia_khuyen_mai[[#This Row],[Mã hàng tặng]],'Giá gốc'!B:C,2,0),"")</f>
        <v/>
      </c>
      <c r="Q139" s="3" t="str">
        <f>VLOOKUP(gia_khuyen_mai[[#This Row],[Mã sản phẩm]],product[[Mã sản phẩm]:[DS - ĐV]],3,0)</f>
        <v>Food Đức Việt</v>
      </c>
    </row>
    <row r="140" spans="1:17" ht="21.75" customHeight="1">
      <c r="A140" s="51">
        <f t="shared" si="6"/>
        <v>139</v>
      </c>
      <c r="B140" s="4" t="s">
        <v>13133</v>
      </c>
      <c r="C140" s="4" t="s">
        <v>183</v>
      </c>
      <c r="D140" s="4" t="s">
        <v>496</v>
      </c>
      <c r="E140" s="4" t="s">
        <v>13134</v>
      </c>
      <c r="F140" s="4" t="s">
        <v>13135</v>
      </c>
      <c r="G140" s="52" t="s">
        <v>458</v>
      </c>
      <c r="H140" s="3" t="str">
        <f>VLOOKUP(gia_khuyen_mai[[#This Row],[Barcode]],'Giá gốc'!$A:$B,2,0)</f>
        <v>2145680</v>
      </c>
      <c r="I140" s="3" t="str">
        <f>VLOOKUP(gia_khuyen_mai[[#This Row],[Mã sản phẩm]],'Giá gốc'!$B:$C,2,0)</f>
        <v>O'food Xúc xích Lắc Phô mai vị truyền thống 56g * 24EA</v>
      </c>
      <c r="J140" s="53">
        <f>VLOOKUP(gia_khuyen_mai[[#This Row],[Mã sản phẩm]],'Giá gốc'!B:D,3,0)</f>
        <v>9300</v>
      </c>
      <c r="K140" s="60">
        <v>0.2</v>
      </c>
      <c r="L140" s="6">
        <f>ROUND((1-gia_khuyen_mai[[#This Row],[% Giảm giá]]) * gia_khuyen_mai[[#This Row],[Giá gốc]], 0)</f>
        <v>7440</v>
      </c>
      <c r="M140" s="6"/>
      <c r="O140" s="3" t="str">
        <f>IFERROR(VLOOKUP(gia_khuyen_mai[[#This Row],[Mã hàng tặng]],'Giá gốc'!B:C,2,0),"")</f>
        <v/>
      </c>
      <c r="Q140" s="3" t="str">
        <f>VLOOKUP(gia_khuyen_mai[[#This Row],[Mã sản phẩm]],product[[Mã sản phẩm]:[DS - ĐV]],3,0)</f>
        <v>Food Đức Việt</v>
      </c>
    </row>
    <row r="141" spans="1:17" ht="21.75" customHeight="1">
      <c r="A141" s="51">
        <f t="shared" si="6"/>
        <v>140</v>
      </c>
      <c r="B141" s="4" t="s">
        <v>13133</v>
      </c>
      <c r="C141" s="4" t="s">
        <v>183</v>
      </c>
      <c r="D141" s="4" t="s">
        <v>496</v>
      </c>
      <c r="E141" s="4" t="s">
        <v>13134</v>
      </c>
      <c r="F141" s="4" t="s">
        <v>13135</v>
      </c>
      <c r="G141" s="52" t="s">
        <v>461</v>
      </c>
      <c r="H141" s="3" t="str">
        <f>VLOOKUP(gia_khuyen_mai[[#This Row],[Barcode]],'Giá gốc'!$A:$B,2,0)</f>
        <v>2145681</v>
      </c>
      <c r="I141" s="3" t="str">
        <f>VLOOKUP(gia_khuyen_mai[[#This Row],[Mã sản phẩm]],'Giá gốc'!$B:$C,2,0)</f>
        <v>O'food Xúc xích Lắc Phô mai vị dâu tây 56g * 24EA</v>
      </c>
      <c r="J141" s="53">
        <f>VLOOKUP(gia_khuyen_mai[[#This Row],[Mã sản phẩm]],'Giá gốc'!B:D,3,0)</f>
        <v>9300</v>
      </c>
      <c r="K141" s="60">
        <v>0.2</v>
      </c>
      <c r="L141" s="6">
        <f>ROUND((1-gia_khuyen_mai[[#This Row],[% Giảm giá]]) * gia_khuyen_mai[[#This Row],[Giá gốc]], 0)</f>
        <v>7440</v>
      </c>
      <c r="M141" s="6"/>
      <c r="O141" s="3" t="str">
        <f>IFERROR(VLOOKUP(gia_khuyen_mai[[#This Row],[Mã hàng tặng]],'Giá gốc'!B:C,2,0),"")</f>
        <v/>
      </c>
      <c r="Q141" s="3" t="str">
        <f>VLOOKUP(gia_khuyen_mai[[#This Row],[Mã sản phẩm]],product[[Mã sản phẩm]:[DS - ĐV]],3,0)</f>
        <v>Food Đức Việt</v>
      </c>
    </row>
    <row r="142" spans="1:17" ht="21.75" customHeight="1">
      <c r="A142" s="51">
        <f t="shared" si="6"/>
        <v>141</v>
      </c>
      <c r="B142" s="4" t="s">
        <v>13133</v>
      </c>
      <c r="C142" s="4" t="s">
        <v>183</v>
      </c>
      <c r="D142" s="4" t="s">
        <v>496</v>
      </c>
      <c r="E142" s="4" t="s">
        <v>13134</v>
      </c>
      <c r="F142" s="4" t="s">
        <v>13135</v>
      </c>
      <c r="G142" s="52" t="s">
        <v>12826</v>
      </c>
      <c r="H142" s="3" t="str">
        <f>VLOOKUP(gia_khuyen_mai[[#This Row],[Barcode]],'Giá gốc'!$A:$B,2,0)</f>
        <v>2145724</v>
      </c>
      <c r="I142" s="3" t="str">
        <f>VLOOKUP(gia_khuyen_mai[[#This Row],[Mã sản phẩm]],'Giá gốc'!$B:$C,2,0)</f>
        <v>ĐỨC VIỆT Xúc xích Keilbasa 200g</v>
      </c>
      <c r="J142" s="53">
        <f>VLOOKUP(gia_khuyen_mai[[#This Row],[Mã sản phẩm]],'Giá gốc'!B:D,3,0)</f>
        <v>52000</v>
      </c>
      <c r="K142" s="60">
        <v>0.3</v>
      </c>
      <c r="L142" s="6">
        <f>ROUND((1-gia_khuyen_mai[[#This Row],[% Giảm giá]]) * gia_khuyen_mai[[#This Row],[Giá gốc]], 0)</f>
        <v>36400</v>
      </c>
      <c r="M142" s="6"/>
      <c r="O142" s="3" t="str">
        <f>IFERROR(VLOOKUP(gia_khuyen_mai[[#This Row],[Mã hàng tặng]],'Giá gốc'!B:C,2,0),"")</f>
        <v/>
      </c>
      <c r="Q142" s="3" t="str">
        <f>VLOOKUP(gia_khuyen_mai[[#This Row],[Mã sản phẩm]],product[[Mã sản phẩm]:[DS - ĐV]],3,0)</f>
        <v>Food Đức Việt</v>
      </c>
    </row>
    <row r="143" spans="1:17" ht="21.75" customHeight="1">
      <c r="A143" s="51">
        <f t="shared" si="6"/>
        <v>142</v>
      </c>
      <c r="B143" s="4" t="s">
        <v>13133</v>
      </c>
      <c r="C143" s="4" t="s">
        <v>183</v>
      </c>
      <c r="D143" s="4" t="s">
        <v>496</v>
      </c>
      <c r="E143" s="4" t="s">
        <v>13134</v>
      </c>
      <c r="F143" s="4" t="s">
        <v>13135</v>
      </c>
      <c r="G143" s="52" t="s">
        <v>12475</v>
      </c>
      <c r="H143" s="3" t="str">
        <f>VLOOKUP(gia_khuyen_mai[[#This Row],[Barcode]],'Giá gốc'!$A:$B,2,0)</f>
        <v>2149794</v>
      </c>
      <c r="I143" s="3" t="str">
        <f>VLOOKUP(gia_khuyen_mai[[#This Row],[Mã sản phẩm]],'Giá gốc'!$B:$C,2,0)</f>
        <v>Xúc xích Romas Light 500g</v>
      </c>
      <c r="J143" s="53">
        <f>VLOOKUP(gia_khuyen_mai[[#This Row],[Mã sản phẩm]],'Giá gốc'!B:D,3,0)</f>
        <v>44000</v>
      </c>
      <c r="K143" s="60">
        <v>0.22</v>
      </c>
      <c r="L143" s="6">
        <f>ROUND((1-gia_khuyen_mai[[#This Row],[% Giảm giá]]) * gia_khuyen_mai[[#This Row],[Giá gốc]], 0)</f>
        <v>34320</v>
      </c>
      <c r="M143" s="6"/>
      <c r="O143" s="3" t="str">
        <f>IFERROR(VLOOKUP(gia_khuyen_mai[[#This Row],[Mã hàng tặng]],'Giá gốc'!B:C,2,0),"")</f>
        <v/>
      </c>
      <c r="Q143" s="3" t="str">
        <f>VLOOKUP(gia_khuyen_mai[[#This Row],[Mã sản phẩm]],product[[Mã sản phẩm]:[DS - ĐV]],3,0)</f>
        <v>Food Đức Việt</v>
      </c>
    </row>
    <row r="144" spans="1:17" s="64" customFormat="1" ht="21.75" customHeight="1">
      <c r="A144" s="61">
        <f t="shared" ref="A144:A145" si="7">ROW()-1</f>
        <v>143</v>
      </c>
      <c r="B144" s="62" t="s">
        <v>13244</v>
      </c>
      <c r="C144" s="62" t="s">
        <v>183</v>
      </c>
      <c r="D144" s="62" t="s">
        <v>496</v>
      </c>
      <c r="E144" s="62" t="s">
        <v>13242</v>
      </c>
      <c r="F144" s="62" t="s">
        <v>13243</v>
      </c>
      <c r="G144" s="63" t="s">
        <v>367</v>
      </c>
      <c r="H144" s="64" t="str">
        <f>VLOOKUP(gia_khuyen_mai[[#This Row],[Barcode]],'Giá gốc'!$A:$B,2,0)</f>
        <v>2145715</v>
      </c>
      <c r="I144" s="64" t="str">
        <f>VLOOKUP(gia_khuyen_mai[[#This Row],[Mã sản phẩm]],'Giá gốc'!$B:$C,2,0)</f>
        <v>Xúc xích nướng ( 84) 500g</v>
      </c>
      <c r="J144" s="65">
        <f>VLOOKUP(gia_khuyen_mai[[#This Row],[Mã sản phẩm]],'Giá gốc'!B:D,3,0)</f>
        <v>84500</v>
      </c>
      <c r="K144" s="60">
        <v>0.22</v>
      </c>
      <c r="L144" s="66">
        <f>ROUND((1-gia_khuyen_mai[[#This Row],[% Giảm giá]]) * gia_khuyen_mai[[#This Row],[Giá gốc]], 0)</f>
        <v>65910</v>
      </c>
      <c r="M144" s="66"/>
      <c r="O144" s="64" t="str">
        <f>IFERROR(VLOOKUP(gia_khuyen_mai[[#This Row],[Mã hàng tặng]],'Giá gốc'!B:C,2,0),"")</f>
        <v/>
      </c>
      <c r="Q144" s="64" t="str">
        <f>VLOOKUP(gia_khuyen_mai[[#This Row],[Mã sản phẩm]],product[[Mã sản phẩm]:[DS - ĐV]],3,0)</f>
        <v>Food Đức Việt</v>
      </c>
    </row>
    <row r="145" spans="1:17" s="64" customFormat="1" ht="21.75" customHeight="1">
      <c r="A145" s="61">
        <f t="shared" si="7"/>
        <v>144</v>
      </c>
      <c r="B145" s="62" t="s">
        <v>13244</v>
      </c>
      <c r="C145" s="62" t="s">
        <v>183</v>
      </c>
      <c r="D145" s="62" t="s">
        <v>496</v>
      </c>
      <c r="E145" s="62" t="s">
        <v>13242</v>
      </c>
      <c r="F145" s="62" t="s">
        <v>13243</v>
      </c>
      <c r="G145" s="63" t="s">
        <v>388</v>
      </c>
      <c r="H145" s="64" t="str">
        <f>VLOOKUP(gia_khuyen_mai[[#This Row],[Barcode]],'Giá gốc'!$A:$B,2,0)</f>
        <v>2145721</v>
      </c>
      <c r="I145" s="64" t="str">
        <f>VLOOKUP(gia_khuyen_mai[[#This Row],[Mã sản phẩm]],'Giá gốc'!$B:$C,2,0)</f>
        <v>Xúc xích Becllin 500g</v>
      </c>
      <c r="J145" s="65">
        <f>VLOOKUP(gia_khuyen_mai[[#This Row],[Mã sản phẩm]],'Giá gốc'!B:D,3,0)</f>
        <v>96800</v>
      </c>
      <c r="K145" s="60">
        <v>0.2</v>
      </c>
      <c r="L145" s="66">
        <f>ROUND((1-gia_khuyen_mai[[#This Row],[% Giảm giá]]) * gia_khuyen_mai[[#This Row],[Giá gốc]], 0)</f>
        <v>77440</v>
      </c>
      <c r="M145" s="66"/>
      <c r="O145" s="64" t="str">
        <f>IFERROR(VLOOKUP(gia_khuyen_mai[[#This Row],[Mã hàng tặng]],'Giá gốc'!B:C,2,0),"")</f>
        <v/>
      </c>
      <c r="Q145" s="64" t="str">
        <f>VLOOKUP(gia_khuyen_mai[[#This Row],[Mã sản phẩm]],product[[Mã sản phẩm]:[DS - ĐV]],3,0)</f>
        <v>Food Đức Việt</v>
      </c>
    </row>
    <row r="146" spans="1:17" s="64" customFormat="1" ht="21.75" customHeight="1">
      <c r="A146" s="61">
        <f>ROW()-1</f>
        <v>145</v>
      </c>
      <c r="B146" s="62" t="s">
        <v>13244</v>
      </c>
      <c r="C146" s="62" t="s">
        <v>5</v>
      </c>
      <c r="D146" s="62" t="s">
        <v>496</v>
      </c>
      <c r="E146" s="62" t="s">
        <v>13242</v>
      </c>
      <c r="F146" s="62" t="s">
        <v>13243</v>
      </c>
      <c r="G146" s="63" t="s">
        <v>376</v>
      </c>
      <c r="H146" s="64" t="str">
        <f>VLOOKUP(gia_khuyen_mai[[#This Row],[Barcode]],'Giá gốc'!$A:$B,2,0)</f>
        <v>2145690</v>
      </c>
      <c r="I146" s="64" t="str">
        <f>VLOOKUP(gia_khuyen_mai[[#This Row],[Mã sản phẩm]],'Giá gốc'!$B:$C,2,0)</f>
        <v>Xúc xích vườn bia 200g * 1EA</v>
      </c>
      <c r="J146" s="65">
        <f>VLOOKUP(gia_khuyen_mai[[#This Row],[Mã sản phẩm]],'Giá gốc'!B:D,3,0)</f>
        <v>38400</v>
      </c>
      <c r="K146" s="67">
        <v>0.2</v>
      </c>
      <c r="L146" s="66">
        <f>ROUND((1-gia_khuyen_mai[[#This Row],[% Giảm giá]]) * gia_khuyen_mai[[#This Row],[Giá gốc]], 0)</f>
        <v>30720</v>
      </c>
      <c r="M146" s="66"/>
      <c r="O146" s="64" t="str">
        <f>IFERROR(VLOOKUP(gia_khuyen_mai[[#This Row],[Mã hàng tặng]],'Giá gốc'!B:C,2,0),"")</f>
        <v/>
      </c>
      <c r="Q146" s="64" t="str">
        <f>VLOOKUP(gia_khuyen_mai[[#This Row],[Mã sản phẩm]],product[[Mã sản phẩm]:[DS - ĐV]],3,0)</f>
        <v>Food Đức Việt</v>
      </c>
    </row>
    <row r="147" spans="1:17" s="64" customFormat="1" ht="21.75" customHeight="1">
      <c r="A147" s="61">
        <f>ROW()-1</f>
        <v>146</v>
      </c>
      <c r="B147" s="62" t="s">
        <v>13244</v>
      </c>
      <c r="C147" s="62" t="s">
        <v>5</v>
      </c>
      <c r="D147" s="62" t="s">
        <v>496</v>
      </c>
      <c r="E147" s="62" t="s">
        <v>13242</v>
      </c>
      <c r="F147" s="62" t="s">
        <v>13243</v>
      </c>
      <c r="G147" s="63" t="s">
        <v>12462</v>
      </c>
      <c r="H147" s="64" t="str">
        <f>VLOOKUP(gia_khuyen_mai[[#This Row],[Barcode]],'Giá gốc'!$A:$B,2,0)</f>
        <v>2145747</v>
      </c>
      <c r="I147" s="64" t="str">
        <f>VLOOKUP(gia_khuyen_mai[[#This Row],[Mã sản phẩm]],'Giá gốc'!$B:$C,2,0)</f>
        <v>Xúc xích thịt heo Bragenwurst 400g</v>
      </c>
      <c r="J147" s="65">
        <f>VLOOKUP(gia_khuyen_mai[[#This Row],[Mã sản phẩm]],'Giá gốc'!B:D,3,0)</f>
        <v>82080</v>
      </c>
      <c r="K147" s="67">
        <v>0.25</v>
      </c>
      <c r="L147" s="66">
        <f>ROUND((1-gia_khuyen_mai[[#This Row],[% Giảm giá]]) * gia_khuyen_mai[[#This Row],[Giá gốc]], 0)</f>
        <v>61560</v>
      </c>
      <c r="M147" s="66"/>
      <c r="O147" s="64" t="str">
        <f>IFERROR(VLOOKUP(gia_khuyen_mai[[#This Row],[Mã hàng tặng]],'Giá gốc'!B:C,2,0),"")</f>
        <v/>
      </c>
      <c r="Q147" s="64" t="str">
        <f>VLOOKUP(gia_khuyen_mai[[#This Row],[Mã sản phẩm]],product[[Mã sản phẩm]:[DS - ĐV]],3,0)</f>
        <v>Food Đức Việt</v>
      </c>
    </row>
    <row r="148" spans="1:17" s="64" customFormat="1" ht="21.75" customHeight="1">
      <c r="A148" s="61">
        <f>ROW()-1</f>
        <v>147</v>
      </c>
      <c r="B148" s="62" t="s">
        <v>13244</v>
      </c>
      <c r="C148" s="62" t="s">
        <v>183</v>
      </c>
      <c r="D148" s="62" t="s">
        <v>496</v>
      </c>
      <c r="E148" s="62" t="s">
        <v>13242</v>
      </c>
      <c r="F148" s="62" t="s">
        <v>13243</v>
      </c>
      <c r="G148" s="63" t="s">
        <v>12462</v>
      </c>
      <c r="H148" s="64" t="str">
        <f>VLOOKUP(gia_khuyen_mai[[#This Row],[Barcode]],'Giá gốc'!$A:$B,2,0)</f>
        <v>2145747</v>
      </c>
      <c r="I148" s="64" t="str">
        <f>VLOOKUP(gia_khuyen_mai[[#This Row],[Mã sản phẩm]],'Giá gốc'!$B:$C,2,0)</f>
        <v>Xúc xích thịt heo Bragenwurst 400g</v>
      </c>
      <c r="J148" s="65">
        <f>VLOOKUP(gia_khuyen_mai[[#This Row],[Mã sản phẩm]],'Giá gốc'!B:D,3,0)</f>
        <v>82080</v>
      </c>
      <c r="K148" s="67">
        <v>0.3</v>
      </c>
      <c r="L148" s="66">
        <f>ROUND((1-gia_khuyen_mai[[#This Row],[% Giảm giá]]) * gia_khuyen_mai[[#This Row],[Giá gốc]], 0)</f>
        <v>57456</v>
      </c>
      <c r="M148" s="66"/>
      <c r="O148" s="64" t="str">
        <f>IFERROR(VLOOKUP(gia_khuyen_mai[[#This Row],[Mã hàng tặng]],'Giá gốc'!B:C,2,0),"")</f>
        <v/>
      </c>
      <c r="Q148" s="64" t="str">
        <f>VLOOKUP(gia_khuyen_mai[[#This Row],[Mã sản phẩm]],product[[Mã sản phẩm]:[DS - ĐV]],3,0)</f>
        <v>Food Đức Việt</v>
      </c>
    </row>
    <row r="149" spans="1:17" s="64" customFormat="1" ht="21.75" customHeight="1">
      <c r="A149" s="61">
        <f t="shared" ref="A149:A151" si="8">ROW()-1</f>
        <v>148</v>
      </c>
      <c r="B149" s="62" t="s">
        <v>13244</v>
      </c>
      <c r="C149" s="62" t="s">
        <v>500</v>
      </c>
      <c r="D149" s="62" t="s">
        <v>496</v>
      </c>
      <c r="E149" s="62" t="s">
        <v>13242</v>
      </c>
      <c r="F149" s="62" t="s">
        <v>13243</v>
      </c>
      <c r="G149" s="63" t="s">
        <v>373</v>
      </c>
      <c r="H149" s="64" t="str">
        <f>VLOOKUP(gia_khuyen_mai[[#This Row],[Barcode]],'Giá gốc'!$A:$B,2,0)</f>
        <v>2145686</v>
      </c>
      <c r="I149" s="64" t="str">
        <f>VLOOKUP(gia_khuyen_mai[[#This Row],[Mã sản phẩm]],'Giá gốc'!$B:$C,2,0)</f>
        <v>Xúc xích hong khói 450g</v>
      </c>
      <c r="J149" s="65">
        <f>VLOOKUP(gia_khuyen_mai[[#This Row],[Mã sản phẩm]],'Giá gốc'!B:D,3,0)</f>
        <v>79100</v>
      </c>
      <c r="K149" s="59">
        <v>0.23</v>
      </c>
      <c r="L149" s="66">
        <f>ROUND((1-gia_khuyen_mai[[#This Row],[% Giảm giá]]) * gia_khuyen_mai[[#This Row],[Giá gốc]], 0)</f>
        <v>60907</v>
      </c>
      <c r="M149" s="66"/>
      <c r="O149" s="64" t="str">
        <f>IFERROR(VLOOKUP(gia_khuyen_mai[[#This Row],[Mã hàng tặng]],'Giá gốc'!B:C,2,0),"")</f>
        <v/>
      </c>
      <c r="Q149" s="64" t="str">
        <f>VLOOKUP(gia_khuyen_mai[[#This Row],[Mã sản phẩm]],product[[Mã sản phẩm]:[DS - ĐV]],3,0)</f>
        <v>Food Đức Việt</v>
      </c>
    </row>
    <row r="150" spans="1:17" s="64" customFormat="1" ht="21.75" customHeight="1">
      <c r="A150" s="61">
        <f t="shared" si="8"/>
        <v>149</v>
      </c>
      <c r="B150" s="62" t="s">
        <v>13244</v>
      </c>
      <c r="C150" s="62" t="s">
        <v>500</v>
      </c>
      <c r="D150" s="62" t="s">
        <v>496</v>
      </c>
      <c r="E150" s="62" t="s">
        <v>13242</v>
      </c>
      <c r="F150" s="62" t="s">
        <v>13243</v>
      </c>
      <c r="G150" s="63" t="s">
        <v>433</v>
      </c>
      <c r="H150" s="64" t="str">
        <f>VLOOKUP(gia_khuyen_mai[[#This Row],[Barcode]],'Giá gốc'!$A:$B,2,0)</f>
        <v>2146417</v>
      </c>
      <c r="I150" s="64" t="str">
        <f>VLOOKUP(gia_khuyen_mai[[#This Row],[Mã sản phẩm]],'Giá gốc'!$B:$C,2,0)</f>
        <v>Chân giò hong khói rút xương 300g</v>
      </c>
      <c r="J150" s="65">
        <f>VLOOKUP(gia_khuyen_mai[[#This Row],[Mã sản phẩm]],'Giá gốc'!B:D,3,0)</f>
        <v>67700</v>
      </c>
      <c r="K150" s="60">
        <v>0.23</v>
      </c>
      <c r="L150" s="66">
        <f>ROUND((1-gia_khuyen_mai[[#This Row],[% Giảm giá]]) * gia_khuyen_mai[[#This Row],[Giá gốc]], 0)</f>
        <v>52129</v>
      </c>
      <c r="M150" s="66"/>
      <c r="O150" s="64" t="str">
        <f>IFERROR(VLOOKUP(gia_khuyen_mai[[#This Row],[Mã hàng tặng]],'Giá gốc'!B:C,2,0),"")</f>
        <v/>
      </c>
      <c r="Q150" s="64" t="str">
        <f>VLOOKUP(gia_khuyen_mai[[#This Row],[Mã sản phẩm]],product[[Mã sản phẩm]:[DS - ĐV]],3,0)</f>
        <v>Food Đức Việt</v>
      </c>
    </row>
    <row r="151" spans="1:17" s="64" customFormat="1" ht="21.75" customHeight="1">
      <c r="A151" s="61">
        <f t="shared" si="8"/>
        <v>150</v>
      </c>
      <c r="B151" s="62" t="s">
        <v>13244</v>
      </c>
      <c r="C151" s="62" t="s">
        <v>500</v>
      </c>
      <c r="D151" s="62" t="s">
        <v>496</v>
      </c>
      <c r="E151" s="62" t="s">
        <v>13242</v>
      </c>
      <c r="F151" s="62" t="s">
        <v>13243</v>
      </c>
      <c r="G151" s="63" t="s">
        <v>12460</v>
      </c>
      <c r="H151" s="64" t="str">
        <f>VLOOKUP(gia_khuyen_mai[[#This Row],[Barcode]],'Giá gốc'!$A:$B,2,0)</f>
        <v>2151140</v>
      </c>
      <c r="I151" s="64" t="str">
        <f>VLOOKUP(gia_khuyen_mai[[#This Row],[Mã sản phẩm]],'Giá gốc'!$B:$C,2,0)</f>
        <v>Jongga Kim chi Củ cải 150g</v>
      </c>
      <c r="J151" s="65">
        <f>VLOOKUP(gia_khuyen_mai[[#This Row],[Mã sản phẩm]],'Giá gốc'!B:D,3,0)</f>
        <v>16500</v>
      </c>
      <c r="K151" s="60">
        <v>0.25</v>
      </c>
      <c r="L151" s="66">
        <f>ROUND((1-gia_khuyen_mai[[#This Row],[% Giảm giá]]) * gia_khuyen_mai[[#This Row],[Giá gốc]], 0)</f>
        <v>12375</v>
      </c>
      <c r="M151" s="66"/>
      <c r="O151" s="64" t="str">
        <f>IFERROR(VLOOKUP(gia_khuyen_mai[[#This Row],[Mã hàng tặng]],'Giá gốc'!B:C,2,0),"")</f>
        <v/>
      </c>
      <c r="Q151" s="64" t="str">
        <f>VLOOKUP(gia_khuyen_mai[[#This Row],[Mã sản phẩm]],product[[Mã sản phẩm]:[DS - ĐV]],3,0)</f>
        <v>Food Đức Việt</v>
      </c>
    </row>
    <row r="152" spans="1:17" s="64" customFormat="1" ht="21.75" customHeight="1">
      <c r="A152" s="61">
        <f>ROW()-1</f>
        <v>151</v>
      </c>
      <c r="B152" s="62" t="s">
        <v>13244</v>
      </c>
      <c r="C152" s="62" t="s">
        <v>500</v>
      </c>
      <c r="D152" s="62" t="s">
        <v>496</v>
      </c>
      <c r="E152" s="62" t="s">
        <v>13245</v>
      </c>
      <c r="F152" s="62" t="s">
        <v>13243</v>
      </c>
      <c r="G152" s="63" t="s">
        <v>470</v>
      </c>
      <c r="H152" s="64" t="str">
        <f>VLOOKUP(gia_khuyen_mai[[#This Row],[Barcode]],'Giá gốc'!$A:$B,2,0)</f>
        <v>2145699</v>
      </c>
      <c r="I152" s="64" t="str">
        <f>VLOOKUP(gia_khuyen_mai[[#This Row],[Mã sản phẩm]],'Giá gốc'!$B:$C,2,0)</f>
        <v>Seoul's Hotdog Chiên xù 250g (Đ)</v>
      </c>
      <c r="J152" s="65">
        <f>VLOOKUP(gia_khuyen_mai[[#This Row],[Mã sản phẩm]],'Giá gốc'!B:D,3,0)</f>
        <v>39150</v>
      </c>
      <c r="K152" s="67">
        <v>0.25</v>
      </c>
      <c r="L152" s="66">
        <f>ROUND((1-gia_khuyen_mai[[#This Row],[% Giảm giá]]) * gia_khuyen_mai[[#This Row],[Giá gốc]], 0)</f>
        <v>29363</v>
      </c>
      <c r="M152" s="66"/>
      <c r="O152" s="64" t="str">
        <f>IFERROR(VLOOKUP(gia_khuyen_mai[[#This Row],[Mã hàng tặng]],'Giá gốc'!B:C,2,0),"")</f>
        <v/>
      </c>
      <c r="Q152" s="64" t="str">
        <f>VLOOKUP(gia_khuyen_mai[[#This Row],[Mã sản phẩm]],product[[Mã sản phẩm]:[DS - ĐV]],3,0)</f>
        <v>Food Đức Việt</v>
      </c>
    </row>
    <row r="153" spans="1:17" s="64" customFormat="1" ht="21.75" customHeight="1">
      <c r="A153" s="61">
        <f t="shared" ref="A153:A154" si="9">ROW()-1</f>
        <v>152</v>
      </c>
      <c r="B153" s="62" t="s">
        <v>13133</v>
      </c>
      <c r="C153" s="62" t="s">
        <v>183</v>
      </c>
      <c r="D153" s="62" t="s">
        <v>496</v>
      </c>
      <c r="E153" s="62" t="s">
        <v>12934</v>
      </c>
      <c r="F153" s="62" t="s">
        <v>13135</v>
      </c>
      <c r="G153" s="63" t="s">
        <v>452</v>
      </c>
      <c r="H153" s="64" t="str">
        <f>VLOOKUP(gia_khuyen_mai[[#This Row],[Barcode]],'Giá gốc'!$A:$B,2,0)</f>
        <v>2145648</v>
      </c>
      <c r="I153" s="64" t="str">
        <f>VLOOKUP(gia_khuyen_mai[[#This Row],[Mã sản phẩm]],'Giá gốc'!$B:$C,2,0)</f>
        <v>Đức Việt Handy - xúc xích ăn liền vị heo 105g * 20EA</v>
      </c>
      <c r="J153" s="65">
        <f>VLOOKUP(gia_khuyen_mai[[#This Row],[Mã sản phẩm]],'Giá gốc'!B:D,3,0)</f>
        <v>9300</v>
      </c>
      <c r="K153" s="67">
        <v>0.3</v>
      </c>
      <c r="L153" s="66">
        <f>ROUND((1-gia_khuyen_mai[[#This Row],[% Giảm giá]]) * gia_khuyen_mai[[#This Row],[Giá gốc]], 0)</f>
        <v>6510</v>
      </c>
      <c r="M153" s="66"/>
      <c r="O153" s="64" t="str">
        <f>IFERROR(VLOOKUP(gia_khuyen_mai[[#This Row],[Mã hàng tặng]],'Giá gốc'!B:C,2,0),"")</f>
        <v/>
      </c>
      <c r="Q153" s="64" t="str">
        <f>VLOOKUP(gia_khuyen_mai[[#This Row],[Mã sản phẩm]],product[[Mã sản phẩm]:[DS - ĐV]],3,0)</f>
        <v>Food Đức Việt</v>
      </c>
    </row>
    <row r="154" spans="1:17" s="64" customFormat="1" ht="21.75" customHeight="1">
      <c r="A154" s="61">
        <f t="shared" si="9"/>
        <v>153</v>
      </c>
      <c r="B154" s="62" t="s">
        <v>13133</v>
      </c>
      <c r="C154" s="62" t="s">
        <v>183</v>
      </c>
      <c r="D154" s="62" t="s">
        <v>496</v>
      </c>
      <c r="E154" s="62" t="s">
        <v>12934</v>
      </c>
      <c r="F154" s="62" t="s">
        <v>13135</v>
      </c>
      <c r="G154" s="63" t="s">
        <v>455</v>
      </c>
      <c r="H154" s="64" t="str">
        <f>VLOOKUP(gia_khuyen_mai[[#This Row],[Barcode]],'Giá gốc'!$A:$B,2,0)</f>
        <v>2145657</v>
      </c>
      <c r="I154" s="64" t="str">
        <f>VLOOKUP(gia_khuyen_mai[[#This Row],[Mã sản phẩm]],'Giá gốc'!$B:$C,2,0)</f>
        <v>Đức Việt Handy - xúc xích ăn liền vị bò 105g * 20EA</v>
      </c>
      <c r="J154" s="65">
        <f>VLOOKUP(gia_khuyen_mai[[#This Row],[Mã sản phẩm]],'Giá gốc'!B:D,3,0)</f>
        <v>9300</v>
      </c>
      <c r="K154" s="67">
        <v>0.3</v>
      </c>
      <c r="L154" s="66">
        <f>ROUND((1-gia_khuyen_mai[[#This Row],[% Giảm giá]]) * gia_khuyen_mai[[#This Row],[Giá gốc]], 0)</f>
        <v>6510</v>
      </c>
      <c r="M154" s="66"/>
      <c r="O154" s="64" t="str">
        <f>IFERROR(VLOOKUP(gia_khuyen_mai[[#This Row],[Mã hàng tặng]],'Giá gốc'!B:C,2,0),"")</f>
        <v/>
      </c>
      <c r="Q154" s="64" t="str">
        <f>VLOOKUP(gia_khuyen_mai[[#This Row],[Mã sản phẩm]],product[[Mã sản phẩm]:[DS - ĐV]],3,0)</f>
        <v>Food Đức Việt</v>
      </c>
    </row>
    <row r="155" spans="1:17" s="64" customFormat="1" ht="21.75" customHeight="1">
      <c r="A155" s="61">
        <f>ROW()-1</f>
        <v>154</v>
      </c>
      <c r="B155" s="62" t="s">
        <v>13244</v>
      </c>
      <c r="C155" s="62" t="s">
        <v>183</v>
      </c>
      <c r="D155" s="62" t="s">
        <v>496</v>
      </c>
      <c r="E155" s="62" t="s">
        <v>13242</v>
      </c>
      <c r="F155" s="62" t="s">
        <v>13135</v>
      </c>
      <c r="G155" s="64" t="s">
        <v>397</v>
      </c>
      <c r="H155" s="64" t="str">
        <f>VLOOKUP(gia_khuyen_mai[[#This Row],[Barcode]],'Giá gốc'!$A:$B,2,0)</f>
        <v>2145726</v>
      </c>
      <c r="I155" s="64" t="str">
        <f>VLOOKUP(gia_khuyen_mai[[#This Row],[Mã sản phẩm]],'Giá gốc'!$B:$C,2,0)</f>
        <v>Xúc xích phô mai Cheesy 250g</v>
      </c>
      <c r="J155" s="65">
        <f>VLOOKUP(gia_khuyen_mai[[#This Row],[Mã sản phẩm]],'Giá gốc'!B:D,3,0)</f>
        <v>49400</v>
      </c>
      <c r="K155" s="67"/>
      <c r="L155" s="66">
        <f>ROUND((1-gia_khuyen_mai[[#This Row],[% Giảm giá]]) * gia_khuyen_mai[[#This Row],[Giá gốc]], 0)</f>
        <v>49400</v>
      </c>
      <c r="M155" s="66" t="s">
        <v>503</v>
      </c>
      <c r="N155" s="64" t="str">
        <f>VLOOKUP(gia_khuyen_mai[[#This Row],[Barcode]],'Giá gốc'!$A:$B,2,0)</f>
        <v>2145726</v>
      </c>
      <c r="O155" s="64" t="str">
        <f>IFERROR(VLOOKUP(gia_khuyen_mai[[#This Row],[Mã hàng tặng]],'Giá gốc'!B:C,2,0),"")</f>
        <v>Xúc xích phô mai Cheesy 250g</v>
      </c>
      <c r="Q155" s="64" t="str">
        <f>VLOOKUP(gia_khuyen_mai[[#This Row],[Mã sản phẩm]],product[[Mã sản phẩm]:[DS - ĐV]],3,0)</f>
        <v>Food Đức Việt</v>
      </c>
    </row>
    <row r="156" spans="1:17" s="64" customFormat="1" ht="21.75" customHeight="1">
      <c r="A156" s="61">
        <f>ROW()-1</f>
        <v>155</v>
      </c>
      <c r="B156" s="62" t="s">
        <v>13244</v>
      </c>
      <c r="C156" s="62" t="s">
        <v>183</v>
      </c>
      <c r="D156" s="62" t="s">
        <v>496</v>
      </c>
      <c r="E156" s="62" t="s">
        <v>13242</v>
      </c>
      <c r="F156" s="62" t="s">
        <v>13243</v>
      </c>
      <c r="G156" s="63" t="s">
        <v>418</v>
      </c>
      <c r="H156" s="64" t="str">
        <f>VLOOKUP(gia_khuyen_mai[[#This Row],[Barcode]],'Giá gốc'!$A:$B,2,0)</f>
        <v>2145783</v>
      </c>
      <c r="I156" s="64" t="str">
        <f>VLOOKUP(gia_khuyen_mai[[#This Row],[Mã sản phẩm]],'Giá gốc'!$B:$C,2,0)</f>
        <v>Xúc xích Romas ( 50g) 500g</v>
      </c>
      <c r="J156" s="65">
        <f>VLOOKUP(gia_khuyen_mai[[#This Row],[Mã sản phẩm]],'Giá gốc'!B:D,3,0)</f>
        <v>53900</v>
      </c>
      <c r="K156" s="67">
        <v>0.25</v>
      </c>
      <c r="L156" s="66">
        <f>ROUND((1-gia_khuyen_mai[[#This Row],[% Giảm giá]]) * gia_khuyen_mai[[#This Row],[Giá gốc]], 0)</f>
        <v>40425</v>
      </c>
      <c r="M156" s="66"/>
      <c r="O156" s="64" t="str">
        <f>IFERROR(VLOOKUP(gia_khuyen_mai[[#This Row],[Mã hàng tặng]],'Giá gốc'!B:C,2,0),"")</f>
        <v/>
      </c>
      <c r="Q156" s="64" t="str">
        <f>VLOOKUP(gia_khuyen_mai[[#This Row],[Mã sản phẩm]],product[[Mã sản phẩm]:[DS - ĐV]],3,0)</f>
        <v>Food Đức Việt</v>
      </c>
    </row>
    <row r="157" spans="1:17" s="64" customFormat="1" ht="21.75" customHeight="1">
      <c r="A157" s="61">
        <f t="shared" ref="A157:A158" si="10">ROW()-1</f>
        <v>156</v>
      </c>
      <c r="B157" s="62" t="s">
        <v>13244</v>
      </c>
      <c r="C157" s="62" t="s">
        <v>183</v>
      </c>
      <c r="D157" s="62" t="s">
        <v>496</v>
      </c>
      <c r="E157" s="62" t="s">
        <v>13245</v>
      </c>
      <c r="F157" s="62" t="s">
        <v>13243</v>
      </c>
      <c r="G157" s="68" t="s">
        <v>452</v>
      </c>
      <c r="H157" s="64" t="str">
        <f>VLOOKUP(gia_khuyen_mai[[#This Row],[Barcode]],'Giá gốc'!$A:$B,2,0)</f>
        <v>2145648</v>
      </c>
      <c r="I157" s="64" t="str">
        <f>VLOOKUP(gia_khuyen_mai[[#This Row],[Mã sản phẩm]],'Giá gốc'!$B:$C,2,0)</f>
        <v>Đức Việt Handy - xúc xích ăn liền vị heo 105g * 20EA</v>
      </c>
      <c r="J157" s="65">
        <f>VLOOKUP(gia_khuyen_mai[[#This Row],[Mã sản phẩm]],'Giá gốc'!B:D,3,0)</f>
        <v>9300</v>
      </c>
      <c r="K157" s="67">
        <v>0.22</v>
      </c>
      <c r="L157" s="66">
        <f>ROUND((1-gia_khuyen_mai[[#This Row],[% Giảm giá]]) * gia_khuyen_mai[[#This Row],[Giá gốc]], 0)</f>
        <v>7254</v>
      </c>
      <c r="M157" s="66"/>
      <c r="O157" s="64" t="str">
        <f>IFERROR(VLOOKUP(gia_khuyen_mai[[#This Row],[Mã hàng tặng]],'Giá gốc'!B:C,2,0),"")</f>
        <v/>
      </c>
      <c r="Q157" s="64" t="str">
        <f>VLOOKUP(gia_khuyen_mai[[#This Row],[Mã sản phẩm]],product[[Mã sản phẩm]:[DS - ĐV]],3,0)</f>
        <v>Food Đức Việt</v>
      </c>
    </row>
    <row r="158" spans="1:17" s="64" customFormat="1" ht="21.75" customHeight="1">
      <c r="A158" s="61">
        <f t="shared" si="10"/>
        <v>157</v>
      </c>
      <c r="B158" s="62" t="s">
        <v>13244</v>
      </c>
      <c r="C158" s="62" t="s">
        <v>183</v>
      </c>
      <c r="D158" s="62" t="s">
        <v>496</v>
      </c>
      <c r="E158" s="62" t="s">
        <v>13245</v>
      </c>
      <c r="F158" s="62" t="s">
        <v>13243</v>
      </c>
      <c r="G158" s="68" t="s">
        <v>455</v>
      </c>
      <c r="H158" s="64" t="str">
        <f>VLOOKUP(gia_khuyen_mai[[#This Row],[Barcode]],'Giá gốc'!$A:$B,2,0)</f>
        <v>2145657</v>
      </c>
      <c r="I158" s="64" t="str">
        <f>VLOOKUP(gia_khuyen_mai[[#This Row],[Mã sản phẩm]],'Giá gốc'!$B:$C,2,0)</f>
        <v>Đức Việt Handy - xúc xích ăn liền vị bò 105g * 20EA</v>
      </c>
      <c r="J158" s="65">
        <f>VLOOKUP(gia_khuyen_mai[[#This Row],[Mã sản phẩm]],'Giá gốc'!B:D,3,0)</f>
        <v>9300</v>
      </c>
      <c r="K158" s="67">
        <v>0.22</v>
      </c>
      <c r="L158" s="66">
        <f>ROUND((1-gia_khuyen_mai[[#This Row],[% Giảm giá]]) * gia_khuyen_mai[[#This Row],[Giá gốc]], 0)</f>
        <v>7254</v>
      </c>
      <c r="M158" s="66"/>
      <c r="O158" s="64" t="str">
        <f>IFERROR(VLOOKUP(gia_khuyen_mai[[#This Row],[Mã hàng tặng]],'Giá gốc'!B:C,2,0),"")</f>
        <v/>
      </c>
      <c r="Q158" s="64" t="str">
        <f>VLOOKUP(gia_khuyen_mai[[#This Row],[Mã sản phẩm]],product[[Mã sản phẩm]:[DS - ĐV]],3,0)</f>
        <v>Food Đức Việt</v>
      </c>
    </row>
    <row r="159" spans="1:17" s="64" customFormat="1" ht="21.75" customHeight="1">
      <c r="A159" s="38">
        <f>ROW()-1</f>
        <v>158</v>
      </c>
      <c r="B159" s="4" t="s">
        <v>13337</v>
      </c>
      <c r="C159" s="62" t="s">
        <v>183</v>
      </c>
      <c r="D159" s="62" t="s">
        <v>496</v>
      </c>
      <c r="E159" s="4" t="s">
        <v>13245</v>
      </c>
      <c r="F159" s="4" t="s">
        <v>13338</v>
      </c>
      <c r="G159" s="39" t="s">
        <v>376</v>
      </c>
      <c r="H159" s="3" t="str">
        <f>VLOOKUP(gia_khuyen_mai[[#This Row],[Barcode]],'Giá gốc'!$A:$B,2,0)</f>
        <v>2145690</v>
      </c>
      <c r="I159" s="3" t="str">
        <f>VLOOKUP(gia_khuyen_mai[[#This Row],[Mã sản phẩm]],'Giá gốc'!$B:$C,2,0)</f>
        <v>Xúc xích vườn bia 200g * 1EA</v>
      </c>
      <c r="J159" s="5">
        <f>VLOOKUP(gia_khuyen_mai[[#This Row],[Mã sản phẩm]],'Giá gốc'!B:D,3,0)</f>
        <v>38400</v>
      </c>
      <c r="K159" s="56">
        <v>0.2</v>
      </c>
      <c r="L159" s="6">
        <f>ROUND((1-gia_khuyen_mai[[#This Row],[% Giảm giá]]) * gia_khuyen_mai[[#This Row],[Giá gốc]], 0)</f>
        <v>30720</v>
      </c>
      <c r="M159" s="6"/>
      <c r="N159" s="3"/>
      <c r="O159" s="3" t="str">
        <f>IFERROR(VLOOKUP(gia_khuyen_mai[[#This Row],[Mã hàng tặng]],'Giá gốc'!B:C,2,0),"")</f>
        <v/>
      </c>
      <c r="P159" s="3"/>
      <c r="Q159" s="3" t="str">
        <f>VLOOKUP(gia_khuyen_mai[[#This Row],[Mã sản phẩm]],product[[Mã sản phẩm]:[DS - ĐV]],3,0)</f>
        <v>Food Đức Việt</v>
      </c>
    </row>
    <row r="160" spans="1:17" ht="21.75" customHeight="1">
      <c r="A160" s="38">
        <f t="shared" ref="A160:A165" si="11">ROW()-1</f>
        <v>159</v>
      </c>
      <c r="B160" s="4" t="s">
        <v>13337</v>
      </c>
      <c r="C160" s="62" t="s">
        <v>500</v>
      </c>
      <c r="D160" s="62" t="s">
        <v>496</v>
      </c>
      <c r="E160" s="4" t="s">
        <v>13245</v>
      </c>
      <c r="F160" s="4" t="s">
        <v>13338</v>
      </c>
      <c r="G160" s="39" t="s">
        <v>379</v>
      </c>
      <c r="H160" s="3" t="str">
        <f>VLOOKUP(gia_khuyen_mai[[#This Row],[Barcode]],'Giá gốc'!$A:$B,2,0)</f>
        <v>2145689</v>
      </c>
      <c r="I160" s="3" t="str">
        <f>VLOOKUP(gia_khuyen_mai[[#This Row],[Mã sản phẩm]],'Giá gốc'!$B:$C,2,0)</f>
        <v>Xúc xích vườn bia 450g * 1EA</v>
      </c>
      <c r="J160" s="5">
        <f>VLOOKUP(gia_khuyen_mai[[#This Row],[Mã sản phẩm]],'Giá gốc'!B:D,3,0)</f>
        <v>84200</v>
      </c>
      <c r="K160" s="56">
        <v>0.22</v>
      </c>
      <c r="L160" s="6">
        <f>ROUND((1-gia_khuyen_mai[[#This Row],[% Giảm giá]]) * gia_khuyen_mai[[#This Row],[Giá gốc]], 0)</f>
        <v>65676</v>
      </c>
      <c r="M160" s="6"/>
      <c r="O160" s="3" t="str">
        <f>IFERROR(VLOOKUP(gia_khuyen_mai[[#This Row],[Mã hàng tặng]],'Giá gốc'!B:C,2,0),"")</f>
        <v/>
      </c>
      <c r="Q160" s="3" t="str">
        <f>VLOOKUP(gia_khuyen_mai[[#This Row],[Mã sản phẩm]],product[[Mã sản phẩm]:[DS - ĐV]],3,0)</f>
        <v>Food Đức Việt</v>
      </c>
    </row>
    <row r="161" spans="1:17" ht="21.75" customHeight="1">
      <c r="A161" s="38">
        <f t="shared" si="11"/>
        <v>160</v>
      </c>
      <c r="B161" s="4" t="s">
        <v>13337</v>
      </c>
      <c r="C161" s="62" t="s">
        <v>500</v>
      </c>
      <c r="D161" s="62" t="s">
        <v>496</v>
      </c>
      <c r="E161" s="4" t="s">
        <v>13245</v>
      </c>
      <c r="F161" s="4" t="s">
        <v>13338</v>
      </c>
      <c r="G161" s="39" t="s">
        <v>394</v>
      </c>
      <c r="H161" s="3" t="str">
        <f>VLOOKUP(gia_khuyen_mai[[#This Row],[Barcode]],'Giá gốc'!$A:$B,2,0)</f>
        <v>2145744</v>
      </c>
      <c r="I161" s="3" t="str">
        <f>VLOOKUP(gia_khuyen_mai[[#This Row],[Mã sản phẩm]],'Giá gốc'!$B:$C,2,0)</f>
        <v>Xúc xích bắp phô mai 250g</v>
      </c>
      <c r="J161" s="5">
        <f>VLOOKUP(gia_khuyen_mai[[#This Row],[Mã sản phẩm]],'Giá gốc'!B:D,3,0)</f>
        <v>49400</v>
      </c>
      <c r="K161" s="56">
        <v>0.25</v>
      </c>
      <c r="L161" s="6">
        <f>ROUND((1-gia_khuyen_mai[[#This Row],[% Giảm giá]]) * gia_khuyen_mai[[#This Row],[Giá gốc]], 0)</f>
        <v>37050</v>
      </c>
      <c r="M161" s="6"/>
      <c r="O161" s="3" t="str">
        <f>IFERROR(VLOOKUP(gia_khuyen_mai[[#This Row],[Mã hàng tặng]],'Giá gốc'!B:C,2,0),"")</f>
        <v/>
      </c>
      <c r="Q161" s="3" t="str">
        <f>VLOOKUP(gia_khuyen_mai[[#This Row],[Mã sản phẩm]],product[[Mã sản phẩm]:[DS - ĐV]],3,0)</f>
        <v>Food Đức Việt</v>
      </c>
    </row>
    <row r="162" spans="1:17" ht="21.75" customHeight="1">
      <c r="A162" s="38">
        <f t="shared" si="11"/>
        <v>161</v>
      </c>
      <c r="B162" s="4" t="s">
        <v>13337</v>
      </c>
      <c r="C162" s="62" t="s">
        <v>500</v>
      </c>
      <c r="D162" s="62" t="s">
        <v>496</v>
      </c>
      <c r="E162" s="4" t="s">
        <v>13245</v>
      </c>
      <c r="F162" s="4" t="s">
        <v>13338</v>
      </c>
      <c r="G162" s="39" t="s">
        <v>415</v>
      </c>
      <c r="H162" s="3" t="str">
        <f>VLOOKUP(gia_khuyen_mai[[#This Row],[Barcode]],'Giá gốc'!$A:$B,2,0)</f>
        <v>2145767</v>
      </c>
      <c r="I162" s="3" t="str">
        <f>VLOOKUP(gia_khuyen_mai[[#This Row],[Mã sản phẩm]],'Giá gốc'!$B:$C,2,0)</f>
        <v>Xúc xích Mỹ 500g</v>
      </c>
      <c r="J162" s="5">
        <f>VLOOKUP(gia_khuyen_mai[[#This Row],[Mã sản phẩm]],'Giá gốc'!B:D,3,0)</f>
        <v>55600</v>
      </c>
      <c r="K162" s="56">
        <v>0.2</v>
      </c>
      <c r="L162" s="6">
        <f>ROUND((1-gia_khuyen_mai[[#This Row],[% Giảm giá]]) * gia_khuyen_mai[[#This Row],[Giá gốc]], 0)</f>
        <v>44480</v>
      </c>
      <c r="M162" s="6"/>
      <c r="O162" s="3" t="str">
        <f>IFERROR(VLOOKUP(gia_khuyen_mai[[#This Row],[Mã hàng tặng]],'Giá gốc'!B:C,2,0),"")</f>
        <v/>
      </c>
      <c r="Q162" s="3" t="str">
        <f>VLOOKUP(gia_khuyen_mai[[#This Row],[Mã sản phẩm]],product[[Mã sản phẩm]:[DS - ĐV]],3,0)</f>
        <v>Food Đức Việt</v>
      </c>
    </row>
    <row r="163" spans="1:17" ht="21.75" customHeight="1">
      <c r="A163" s="38">
        <f t="shared" si="11"/>
        <v>162</v>
      </c>
      <c r="B163" s="4" t="s">
        <v>13337</v>
      </c>
      <c r="C163" s="62" t="s">
        <v>183</v>
      </c>
      <c r="D163" s="62" t="s">
        <v>496</v>
      </c>
      <c r="E163" s="4" t="s">
        <v>13245</v>
      </c>
      <c r="F163" s="4" t="s">
        <v>13338</v>
      </c>
      <c r="G163" s="39" t="s">
        <v>424</v>
      </c>
      <c r="H163" s="3" t="str">
        <f>VLOOKUP(gia_khuyen_mai[[#This Row],[Barcode]],'Giá gốc'!$A:$B,2,0)</f>
        <v>2145774</v>
      </c>
      <c r="I163" s="3" t="str">
        <f>VLOOKUP(gia_khuyen_mai[[#This Row],[Mã sản phẩm]],'Giá gốc'!$B:$C,2,0)</f>
        <v>Xúc xích Pari (50g) 500g</v>
      </c>
      <c r="J163" s="5">
        <f>VLOOKUP(gia_khuyen_mai[[#This Row],[Mã sản phẩm]],'Giá gốc'!B:D,3,0)</f>
        <v>55600</v>
      </c>
      <c r="K163" s="56">
        <v>0.22</v>
      </c>
      <c r="L163" s="6">
        <f>ROUND((1-gia_khuyen_mai[[#This Row],[% Giảm giá]]) * gia_khuyen_mai[[#This Row],[Giá gốc]], 0)</f>
        <v>43368</v>
      </c>
      <c r="M163" s="6"/>
      <c r="O163" s="3" t="str">
        <f>IFERROR(VLOOKUP(gia_khuyen_mai[[#This Row],[Mã hàng tặng]],'Giá gốc'!B:C,2,0),"")</f>
        <v/>
      </c>
      <c r="Q163" s="3" t="str">
        <f>VLOOKUP(gia_khuyen_mai[[#This Row],[Mã sản phẩm]],product[[Mã sản phẩm]:[DS - ĐV]],3,0)</f>
        <v>Food Đức Việt</v>
      </c>
    </row>
    <row r="164" spans="1:17" ht="21.75" customHeight="1">
      <c r="A164" s="38">
        <f t="shared" si="11"/>
        <v>163</v>
      </c>
      <c r="B164" s="4" t="s">
        <v>13337</v>
      </c>
      <c r="C164" s="62" t="s">
        <v>500</v>
      </c>
      <c r="D164" s="62" t="s">
        <v>496</v>
      </c>
      <c r="E164" s="4" t="s">
        <v>13245</v>
      </c>
      <c r="F164" s="4" t="s">
        <v>13338</v>
      </c>
      <c r="G164" s="39" t="s">
        <v>427</v>
      </c>
      <c r="H164" s="3" t="str">
        <f>VLOOKUP(gia_khuyen_mai[[#This Row],[Barcode]],'Giá gốc'!$A:$B,2,0)</f>
        <v>2145743</v>
      </c>
      <c r="I164" s="3" t="str">
        <f>VLOOKUP(gia_khuyen_mai[[#This Row],[Mã sản phẩm]],'Giá gốc'!$B:$C,2,0)</f>
        <v>Xúc xích sụn nướng Bulgogi 450g</v>
      </c>
      <c r="J164" s="5">
        <f>VLOOKUP(gia_khuyen_mai[[#This Row],[Mã sản phẩm]],'Giá gốc'!B:D,3,0)</f>
        <v>74500</v>
      </c>
      <c r="K164" s="56">
        <v>0.3</v>
      </c>
      <c r="L164" s="6">
        <f>ROUND((1-gia_khuyen_mai[[#This Row],[% Giảm giá]]) * gia_khuyen_mai[[#This Row],[Giá gốc]], 0)</f>
        <v>52150</v>
      </c>
      <c r="M164" s="6"/>
      <c r="O164" s="3" t="str">
        <f>IFERROR(VLOOKUP(gia_khuyen_mai[[#This Row],[Mã hàng tặng]],'Giá gốc'!B:C,2,0),"")</f>
        <v/>
      </c>
      <c r="Q164" s="3" t="str">
        <f>VLOOKUP(gia_khuyen_mai[[#This Row],[Mã sản phẩm]],product[[Mã sản phẩm]:[DS - ĐV]],3,0)</f>
        <v>Food Đức Việt</v>
      </c>
    </row>
    <row r="165" spans="1:17" ht="21.75" customHeight="1">
      <c r="A165" s="38">
        <f t="shared" si="11"/>
        <v>164</v>
      </c>
      <c r="B165" s="4" t="s">
        <v>13337</v>
      </c>
      <c r="C165" s="62" t="s">
        <v>183</v>
      </c>
      <c r="D165" s="62" t="s">
        <v>496</v>
      </c>
      <c r="E165" s="4" t="s">
        <v>13245</v>
      </c>
      <c r="F165" s="4" t="s">
        <v>13338</v>
      </c>
      <c r="G165" s="39" t="s">
        <v>12824</v>
      </c>
      <c r="H165" s="3" t="str">
        <f>VLOOKUP(gia_khuyen_mai[[#This Row],[Barcode]],'Giá gốc'!$A:$B,2,0)</f>
        <v>2151323</v>
      </c>
      <c r="I165" s="3" t="str">
        <f>VLOOKUP(gia_khuyen_mai[[#This Row],[Mã sản phẩm]],'Giá gốc'!$B:$C,2,0)</f>
        <v>OFOOD Tteokgalbi chả nướng HQ 200g</v>
      </c>
      <c r="J165" s="5">
        <f>VLOOKUP(gia_khuyen_mai[[#This Row],[Mã sản phẩm]],'Giá gốc'!B:D,3,0)</f>
        <v>36000</v>
      </c>
      <c r="K165" s="56">
        <v>0.25</v>
      </c>
      <c r="L165" s="6">
        <f>ROUND((1-gia_khuyen_mai[[#This Row],[% Giảm giá]]) * gia_khuyen_mai[[#This Row],[Giá gốc]], 0)</f>
        <v>27000</v>
      </c>
      <c r="M165" s="6"/>
      <c r="O165" s="3" t="str">
        <f>IFERROR(VLOOKUP(gia_khuyen_mai[[#This Row],[Mã hàng tặng]],'Giá gốc'!B:C,2,0),"")</f>
        <v/>
      </c>
      <c r="Q165" s="3" t="str">
        <f>VLOOKUP(gia_khuyen_mai[[#This Row],[Mã sản phẩm]],product[[Mã sản phẩm]:[DS - ĐV]],3,0)</f>
        <v>Food Đức Việt</v>
      </c>
    </row>
    <row r="166" spans="1:17" ht="21.75" customHeight="1">
      <c r="A166" s="38">
        <f>ROW()-1</f>
        <v>165</v>
      </c>
      <c r="B166" s="4" t="s">
        <v>13337</v>
      </c>
      <c r="C166" s="62" t="s">
        <v>500</v>
      </c>
      <c r="D166" s="62" t="s">
        <v>496</v>
      </c>
      <c r="E166" s="4" t="s">
        <v>13245</v>
      </c>
      <c r="F166" s="4" t="s">
        <v>13338</v>
      </c>
      <c r="G166" s="39" t="s">
        <v>464</v>
      </c>
      <c r="H166" s="3" t="str">
        <f>VLOOKUP(gia_khuyen_mai[[#This Row],[Barcode]],'Giá gốc'!$A:$B,2,0)</f>
        <v>2145622</v>
      </c>
      <c r="I166" s="3" t="str">
        <f>VLOOKUP(gia_khuyen_mai[[#This Row],[Mã sản phẩm]],'Giá gốc'!$B:$C,2,0)</f>
        <v>Kim chi 450</v>
      </c>
      <c r="J166" s="5">
        <f>VLOOKUP(gia_khuyen_mai[[#This Row],[Mã sản phẩm]],'Giá gốc'!B:D,3,0)</f>
        <v>35500</v>
      </c>
      <c r="K166" s="56"/>
      <c r="L166" s="6">
        <f>ROUND((1-gia_khuyen_mai[[#This Row],[% Giảm giá]]) * gia_khuyen_mai[[#This Row],[Giá gốc]], 0)</f>
        <v>35500</v>
      </c>
      <c r="M166" s="6" t="s">
        <v>503</v>
      </c>
      <c r="N166" s="3" t="str">
        <f>VLOOKUP(gia_khuyen_mai[[#This Row],[Barcode]],'Giá gốc'!$A:$B,2,0)</f>
        <v>2145622</v>
      </c>
      <c r="O166" s="3" t="str">
        <f>IFERROR(VLOOKUP(gia_khuyen_mai[[#This Row],[Mã hàng tặng]],'Giá gốc'!B:C,2,0),"")</f>
        <v>Kim chi 450</v>
      </c>
      <c r="Q166" s="3" t="str">
        <f>VLOOKUP(gia_khuyen_mai[[#This Row],[Mã sản phẩm]],product[[Mã sản phẩm]:[DS - ĐV]],3,0)</f>
        <v>Food Đức Việt</v>
      </c>
    </row>
    <row r="167" spans="1:17" ht="21.75" customHeight="1">
      <c r="A167" s="38">
        <f>ROW()-1</f>
        <v>166</v>
      </c>
      <c r="B167" s="4" t="s">
        <v>13337</v>
      </c>
      <c r="C167" s="62" t="s">
        <v>5</v>
      </c>
      <c r="D167" s="62" t="s">
        <v>496</v>
      </c>
      <c r="E167" s="4" t="s">
        <v>13339</v>
      </c>
      <c r="F167" s="4" t="s">
        <v>13338</v>
      </c>
      <c r="G167" s="39" t="s">
        <v>376</v>
      </c>
      <c r="H167" s="3" t="str">
        <f>VLOOKUP(gia_khuyen_mai[[#This Row],[Barcode]],'Giá gốc'!$A:$B,2,0)</f>
        <v>2145690</v>
      </c>
      <c r="I167" s="3" t="str">
        <f>VLOOKUP(gia_khuyen_mai[[#This Row],[Mã sản phẩm]],'Giá gốc'!$B:$C,2,0)</f>
        <v>Xúc xích vườn bia 200g * 1EA</v>
      </c>
      <c r="J167" s="5">
        <f>VLOOKUP(gia_khuyen_mai[[#This Row],[Mã sản phẩm]],'Giá gốc'!B:D,3,0)</f>
        <v>38400</v>
      </c>
      <c r="K167" s="56">
        <v>0.2</v>
      </c>
      <c r="L167" s="6">
        <f>ROUND((1-gia_khuyen_mai[[#This Row],[% Giảm giá]]) * gia_khuyen_mai[[#This Row],[Giá gốc]], 0)</f>
        <v>30720</v>
      </c>
      <c r="M167" s="6"/>
      <c r="O167" s="3" t="str">
        <f>IFERROR(VLOOKUP(gia_khuyen_mai[[#This Row],[Mã hàng tặng]],'Giá gốc'!B:C,2,0),"")</f>
        <v/>
      </c>
      <c r="Q167" s="3" t="str">
        <f>VLOOKUP(gia_khuyen_mai[[#This Row],[Mã sản phẩm]],product[[Mã sản phẩm]:[DS - ĐV]],3,0)</f>
        <v>Food Đức Việt</v>
      </c>
    </row>
    <row r="168" spans="1:17" ht="21.75" customHeight="1">
      <c r="A168" s="38">
        <f>ROW()-1</f>
        <v>167</v>
      </c>
      <c r="B168" s="4" t="s">
        <v>13410</v>
      </c>
      <c r="C168" s="4" t="s">
        <v>183</v>
      </c>
      <c r="D168" s="62" t="s">
        <v>496</v>
      </c>
      <c r="E168" s="4" t="s">
        <v>13411</v>
      </c>
      <c r="F168" s="4" t="s">
        <v>13411</v>
      </c>
      <c r="G168" s="39" t="s">
        <v>445</v>
      </c>
      <c r="H168" s="3" t="str">
        <f>VLOOKUP(gia_khuyen_mai[[#This Row],[Barcode]],'Giá gốc'!$A:$B,2,0)</f>
        <v>2145745</v>
      </c>
      <c r="I168" s="3" t="str">
        <f>VLOOKUP(gia_khuyen_mai[[#This Row],[Mã sản phẩm]],'Giá gốc'!$B:$C,2,0)</f>
        <v>Jăm bông hấp 200g</v>
      </c>
      <c r="J168" s="5">
        <f>VLOOKUP(gia_khuyen_mai[[#This Row],[Mã sản phẩm]],'Giá gốc'!B:D,3,0)</f>
        <v>37000</v>
      </c>
      <c r="K168" s="56"/>
      <c r="L168" s="6">
        <f>ROUND((1-gia_khuyen_mai[[#This Row],[% Giảm giá]]) * gia_khuyen_mai[[#This Row],[Giá gốc]], 0)</f>
        <v>37000</v>
      </c>
      <c r="M168" s="6" t="s">
        <v>503</v>
      </c>
      <c r="N168" s="3" t="s">
        <v>13413</v>
      </c>
      <c r="O168" s="3" t="str">
        <f>IFERROR(VLOOKUP(gia_khuyen_mai[[#This Row],[Mã hàng tặng]],'Giá gốc'!B:C,2,0),"")</f>
        <v>Jăm bông Kimbap 170</v>
      </c>
      <c r="Q168" s="3" t="str">
        <f>VLOOKUP(gia_khuyen_mai[[#This Row],[Mã sản phẩm]],product[[Mã sản phẩm]:[DS - ĐV]],3,0)</f>
        <v>Food Đức Việt</v>
      </c>
    </row>
    <row r="169" spans="1:17" ht="21.75" customHeight="1">
      <c r="A169" s="38">
        <f t="shared" ref="A169:A170" si="12">ROW()-1</f>
        <v>168</v>
      </c>
      <c r="B169" s="4" t="s">
        <v>13410</v>
      </c>
      <c r="C169" s="4" t="s">
        <v>183</v>
      </c>
      <c r="D169" s="62" t="s">
        <v>496</v>
      </c>
      <c r="E169" s="4" t="s">
        <v>13411</v>
      </c>
      <c r="F169" s="4" t="s">
        <v>13411</v>
      </c>
      <c r="G169" s="39" t="s">
        <v>12475</v>
      </c>
      <c r="H169" s="3" t="str">
        <f>VLOOKUP(gia_khuyen_mai[[#This Row],[Barcode]],'Giá gốc'!$A:$B,2,0)</f>
        <v>2149794</v>
      </c>
      <c r="I169" s="3" t="str">
        <f>VLOOKUP(gia_khuyen_mai[[#This Row],[Mã sản phẩm]],'Giá gốc'!$B:$C,2,0)</f>
        <v>Xúc xích Romas Light 500g</v>
      </c>
      <c r="J169" s="5">
        <f>VLOOKUP(gia_khuyen_mai[[#This Row],[Mã sản phẩm]],'Giá gốc'!B:D,3,0)</f>
        <v>44000</v>
      </c>
      <c r="K169" s="56"/>
      <c r="L169" s="6">
        <f>ROUND((1-gia_khuyen_mai[[#This Row],[% Giảm giá]]) * gia_khuyen_mai[[#This Row],[Giá gốc]], 0)</f>
        <v>44000</v>
      </c>
      <c r="M169" s="6" t="s">
        <v>503</v>
      </c>
      <c r="N169" s="3" t="str">
        <f>VLOOKUP(gia_khuyen_mai[[#This Row],[Barcode]],'Giá gốc'!$A:$B,2,0)</f>
        <v>2149794</v>
      </c>
      <c r="O169" s="3" t="str">
        <f>IFERROR(VLOOKUP(gia_khuyen_mai[[#This Row],[Mã hàng tặng]],'Giá gốc'!B:C,2,0),"")</f>
        <v>Xúc xích Romas Light 500g</v>
      </c>
      <c r="Q169" s="3" t="str">
        <f>VLOOKUP(gia_khuyen_mai[[#This Row],[Mã sản phẩm]],product[[Mã sản phẩm]:[DS - ĐV]],3,0)</f>
        <v>Food Đức Việt</v>
      </c>
    </row>
    <row r="170" spans="1:17" ht="21.75" customHeight="1">
      <c r="A170" s="38">
        <f t="shared" si="12"/>
        <v>169</v>
      </c>
      <c r="B170" s="4" t="s">
        <v>13410</v>
      </c>
      <c r="C170" s="4" t="s">
        <v>183</v>
      </c>
      <c r="D170" s="62" t="s">
        <v>496</v>
      </c>
      <c r="E170" s="4" t="s">
        <v>13411</v>
      </c>
      <c r="F170" s="4" t="s">
        <v>13411</v>
      </c>
      <c r="G170" s="39" t="s">
        <v>385</v>
      </c>
      <c r="H170" s="3" t="str">
        <f>VLOOKUP(gia_khuyen_mai[[#This Row],[Barcode]],'Giá gốc'!$A:$B,2,0)</f>
        <v>2145714</v>
      </c>
      <c r="I170" s="3" t="str">
        <f>VLOOKUP(gia_khuyen_mai[[#This Row],[Mã sản phẩm]],'Giá gốc'!$B:$C,2,0)</f>
        <v>Xúc xích viên hong khói 200g</v>
      </c>
      <c r="J170" s="5">
        <f>VLOOKUP(gia_khuyen_mai[[#This Row],[Mã sản phẩm]],'Giá gốc'!B:D,3,0)</f>
        <v>38400</v>
      </c>
      <c r="K170" s="56"/>
      <c r="L170" s="6">
        <f>ROUND((1-gia_khuyen_mai[[#This Row],[% Giảm giá]]) * gia_khuyen_mai[[#This Row],[Giá gốc]], 0)</f>
        <v>38400</v>
      </c>
      <c r="M170" s="6" t="s">
        <v>503</v>
      </c>
      <c r="N170" s="39" t="s">
        <v>377</v>
      </c>
      <c r="O170" s="3" t="str">
        <f>IFERROR(VLOOKUP(gia_khuyen_mai[[#This Row],[Mã hàng tặng]],'Giá gốc'!B:C,2,0),"")</f>
        <v>Xúc xích vườn bia 200g * 1EA</v>
      </c>
      <c r="Q170" s="3" t="str">
        <f>VLOOKUP(gia_khuyen_mai[[#This Row],[Mã sản phẩm]],product[[Mã sản phẩm]:[DS - ĐV]],3,0)</f>
        <v>Food Đức Việt</v>
      </c>
    </row>
    <row r="171" spans="1:17" ht="21.75" customHeight="1">
      <c r="A171" s="38">
        <f>ROW()-1</f>
        <v>170</v>
      </c>
      <c r="B171" s="4" t="s">
        <v>13415</v>
      </c>
      <c r="C171" s="4" t="s">
        <v>183</v>
      </c>
      <c r="D171" s="62" t="s">
        <v>496</v>
      </c>
      <c r="E171" s="4" t="s">
        <v>13416</v>
      </c>
      <c r="F171" s="4" t="s">
        <v>13417</v>
      </c>
      <c r="G171" s="75" t="s">
        <v>382</v>
      </c>
      <c r="H171" s="3" t="str">
        <f>VLOOKUP(gia_khuyen_mai[[#This Row],[Barcode]],'Giá gốc'!$A:$B,2,0)</f>
        <v>2145691</v>
      </c>
      <c r="I171" s="3" t="str">
        <f>VLOOKUP(gia_khuyen_mai[[#This Row],[Mã sản phẩm]],'Giá gốc'!$B:$C,2,0)</f>
        <v>Xúc xích viên hong khói 450g * 1EA</v>
      </c>
      <c r="J171" s="5">
        <f>VLOOKUP(gia_khuyen_mai[[#This Row],[Mã sản phẩm]],'Giá gốc'!B:D,3,0)</f>
        <v>84200</v>
      </c>
      <c r="K171" s="56">
        <v>0.2</v>
      </c>
      <c r="L171" s="6">
        <f>ROUND((1-gia_khuyen_mai[[#This Row],[% Giảm giá]]) * gia_khuyen_mai[[#This Row],[Giá gốc]], 0)</f>
        <v>67360</v>
      </c>
      <c r="M171" s="6"/>
      <c r="O171" s="3" t="str">
        <f>IFERROR(VLOOKUP(gia_khuyen_mai[[#This Row],[Mã hàng tặng]],'Giá gốc'!B:C,2,0),"")</f>
        <v/>
      </c>
      <c r="Q171" s="3" t="str">
        <f>VLOOKUP(gia_khuyen_mai[[#This Row],[Mã sản phẩm]],product[[Mã sản phẩm]:[DS - ĐV]],3,0)</f>
        <v>Food Đức Việt</v>
      </c>
    </row>
    <row r="172" spans="1:17" ht="21.75" customHeight="1">
      <c r="A172" s="38">
        <f t="shared" ref="A172:A183" si="13">ROW()-1</f>
        <v>171</v>
      </c>
      <c r="B172" s="4" t="s">
        <v>13415</v>
      </c>
      <c r="C172" s="4" t="s">
        <v>183</v>
      </c>
      <c r="D172" s="62" t="s">
        <v>496</v>
      </c>
      <c r="E172" s="4" t="s">
        <v>13416</v>
      </c>
      <c r="F172" s="4" t="s">
        <v>13417</v>
      </c>
      <c r="G172" s="70" t="s">
        <v>400</v>
      </c>
      <c r="H172" s="3" t="str">
        <f>VLOOKUP(gia_khuyen_mai[[#This Row],[Barcode]],'Giá gốc'!$A:$B,2,0)</f>
        <v>2145740</v>
      </c>
      <c r="I172" s="3" t="str">
        <f>VLOOKUP(gia_khuyen_mai[[#This Row],[Mã sản phẩm]],'Giá gốc'!$B:$C,2,0)</f>
        <v>Xúc xích phô mai Cheesy 70g * 30EA</v>
      </c>
      <c r="J172" s="5">
        <f>VLOOKUP(gia_khuyen_mai[[#This Row],[Mã sản phẩm]],'Giá gốc'!B:D,3,0)</f>
        <v>17100</v>
      </c>
      <c r="K172" s="56">
        <v>0.2</v>
      </c>
      <c r="L172" s="6">
        <f>ROUND((1-gia_khuyen_mai[[#This Row],[% Giảm giá]]) * gia_khuyen_mai[[#This Row],[Giá gốc]], 0)</f>
        <v>13680</v>
      </c>
      <c r="M172" s="6"/>
      <c r="O172" s="3" t="str">
        <f>IFERROR(VLOOKUP(gia_khuyen_mai[[#This Row],[Mã hàng tặng]],'Giá gốc'!B:C,2,0),"")</f>
        <v/>
      </c>
      <c r="Q172" s="3" t="str">
        <f>VLOOKUP(gia_khuyen_mai[[#This Row],[Mã sản phẩm]],product[[Mã sản phẩm]:[DS - ĐV]],3,0)</f>
        <v>Food Đức Việt</v>
      </c>
    </row>
    <row r="173" spans="1:17" ht="21.75" customHeight="1">
      <c r="A173" s="38">
        <f t="shared" si="13"/>
        <v>172</v>
      </c>
      <c r="B173" s="4" t="s">
        <v>13415</v>
      </c>
      <c r="C173" s="4" t="s">
        <v>183</v>
      </c>
      <c r="D173" s="62" t="s">
        <v>496</v>
      </c>
      <c r="E173" s="4" t="s">
        <v>13416</v>
      </c>
      <c r="F173" s="4" t="s">
        <v>13417</v>
      </c>
      <c r="G173" s="70" t="s">
        <v>409</v>
      </c>
      <c r="H173" s="3" t="str">
        <f>VLOOKUP(gia_khuyen_mai[[#This Row],[Barcode]],'Giá gốc'!$A:$B,2,0)</f>
        <v>2145765</v>
      </c>
      <c r="I173" s="3" t="str">
        <f>VLOOKUP(gia_khuyen_mai[[#This Row],[Mã sản phẩm]],'Giá gốc'!$B:$C,2,0)</f>
        <v>Xúc xích Hotdog 200g</v>
      </c>
      <c r="J173" s="5">
        <f>VLOOKUP(gia_khuyen_mai[[#This Row],[Mã sản phẩm]],'Giá gốc'!B:D,3,0)</f>
        <v>20100</v>
      </c>
      <c r="K173" s="56">
        <v>0.2</v>
      </c>
      <c r="L173" s="6">
        <f>ROUND((1-gia_khuyen_mai[[#This Row],[% Giảm giá]]) * gia_khuyen_mai[[#This Row],[Giá gốc]], 0)</f>
        <v>16080</v>
      </c>
      <c r="M173" s="6"/>
      <c r="O173" s="3" t="str">
        <f>IFERROR(VLOOKUP(gia_khuyen_mai[[#This Row],[Mã hàng tặng]],'Giá gốc'!B:C,2,0),"")</f>
        <v/>
      </c>
      <c r="Q173" s="3" t="str">
        <f>VLOOKUP(gia_khuyen_mai[[#This Row],[Mã sản phẩm]],product[[Mã sản phẩm]:[DS - ĐV]],3,0)</f>
        <v>Food Đức Việt</v>
      </c>
    </row>
    <row r="174" spans="1:17" ht="21.75" customHeight="1">
      <c r="A174" s="38">
        <f t="shared" si="13"/>
        <v>173</v>
      </c>
      <c r="B174" s="4" t="s">
        <v>13415</v>
      </c>
      <c r="C174" s="4" t="s">
        <v>183</v>
      </c>
      <c r="D174" s="62" t="s">
        <v>496</v>
      </c>
      <c r="E174" s="4" t="s">
        <v>13416</v>
      </c>
      <c r="F174" s="4" t="s">
        <v>13417</v>
      </c>
      <c r="G174" s="70" t="s">
        <v>412</v>
      </c>
      <c r="H174" s="3" t="str">
        <f>VLOOKUP(gia_khuyen_mai[[#This Row],[Barcode]],'Giá gốc'!$A:$B,2,0)</f>
        <v>2145768</v>
      </c>
      <c r="I174" s="3" t="str">
        <f>VLOOKUP(gia_khuyen_mai[[#This Row],[Mã sản phẩm]],'Giá gốc'!$B:$C,2,0)</f>
        <v>Xúc xích Hotdog 500g</v>
      </c>
      <c r="J174" s="5">
        <f>VLOOKUP(gia_khuyen_mai[[#This Row],[Mã sản phẩm]],'Giá gốc'!B:D,3,0)</f>
        <v>50200</v>
      </c>
      <c r="K174" s="56">
        <v>0.2</v>
      </c>
      <c r="L174" s="6">
        <f>ROUND((1-gia_khuyen_mai[[#This Row],[% Giảm giá]]) * gia_khuyen_mai[[#This Row],[Giá gốc]], 0)</f>
        <v>40160</v>
      </c>
      <c r="M174" s="6"/>
      <c r="O174" s="3" t="str">
        <f>IFERROR(VLOOKUP(gia_khuyen_mai[[#This Row],[Mã hàng tặng]],'Giá gốc'!B:C,2,0),"")</f>
        <v/>
      </c>
      <c r="Q174" s="3" t="str">
        <f>VLOOKUP(gia_khuyen_mai[[#This Row],[Mã sản phẩm]],product[[Mã sản phẩm]:[DS - ĐV]],3,0)</f>
        <v>Food Đức Việt</v>
      </c>
    </row>
    <row r="175" spans="1:17" ht="21.75" customHeight="1">
      <c r="A175" s="38">
        <f t="shared" si="13"/>
        <v>174</v>
      </c>
      <c r="B175" s="4" t="s">
        <v>13415</v>
      </c>
      <c r="C175" s="4" t="s">
        <v>183</v>
      </c>
      <c r="D175" s="62" t="s">
        <v>496</v>
      </c>
      <c r="E175" s="4" t="s">
        <v>13416</v>
      </c>
      <c r="F175" s="4" t="s">
        <v>13417</v>
      </c>
      <c r="G175" s="70" t="s">
        <v>421</v>
      </c>
      <c r="H175" s="3" t="str">
        <f>VLOOKUP(gia_khuyen_mai[[#This Row],[Barcode]],'Giá gốc'!$A:$B,2,0)</f>
        <v>2145791</v>
      </c>
      <c r="I175" s="3" t="str">
        <f>VLOOKUP(gia_khuyen_mai[[#This Row],[Mã sản phẩm]],'Giá gốc'!$B:$C,2,0)</f>
        <v>Xúc xích Romas 70g * 30EA</v>
      </c>
      <c r="J175" s="5">
        <f>VLOOKUP(gia_khuyen_mai[[#This Row],[Mã sản phẩm]],'Giá gốc'!B:D,3,0)</f>
        <v>13100</v>
      </c>
      <c r="K175" s="56">
        <v>0.2</v>
      </c>
      <c r="L175" s="6">
        <f>ROUND((1-gia_khuyen_mai[[#This Row],[% Giảm giá]]) * gia_khuyen_mai[[#This Row],[Giá gốc]], 0)</f>
        <v>10480</v>
      </c>
      <c r="M175" s="6"/>
      <c r="O175" s="3" t="str">
        <f>IFERROR(VLOOKUP(gia_khuyen_mai[[#This Row],[Mã hàng tặng]],'Giá gốc'!B:C,2,0),"")</f>
        <v/>
      </c>
      <c r="Q175" s="3" t="str">
        <f>VLOOKUP(gia_khuyen_mai[[#This Row],[Mã sản phẩm]],product[[Mã sản phẩm]:[DS - ĐV]],3,0)</f>
        <v>Food Đức Việt</v>
      </c>
    </row>
    <row r="176" spans="1:17" ht="21.75" customHeight="1">
      <c r="A176" s="38">
        <f t="shared" si="13"/>
        <v>175</v>
      </c>
      <c r="B176" s="4" t="s">
        <v>13415</v>
      </c>
      <c r="C176" s="4" t="s">
        <v>183</v>
      </c>
      <c r="D176" s="62" t="s">
        <v>496</v>
      </c>
      <c r="E176" s="4" t="s">
        <v>13416</v>
      </c>
      <c r="F176" s="4" t="s">
        <v>13417</v>
      </c>
      <c r="G176" s="70" t="s">
        <v>458</v>
      </c>
      <c r="H176" s="3" t="str">
        <f>VLOOKUP(gia_khuyen_mai[[#This Row],[Barcode]],'Giá gốc'!$A:$B,2,0)</f>
        <v>2145680</v>
      </c>
      <c r="I176" s="3" t="str">
        <f>VLOOKUP(gia_khuyen_mai[[#This Row],[Mã sản phẩm]],'Giá gốc'!$B:$C,2,0)</f>
        <v>O'food Xúc xích Lắc Phô mai vị truyền thống 56g * 24EA</v>
      </c>
      <c r="J176" s="5">
        <f>VLOOKUP(gia_khuyen_mai[[#This Row],[Mã sản phẩm]],'Giá gốc'!B:D,3,0)</f>
        <v>9300</v>
      </c>
      <c r="K176" s="56">
        <v>0.2</v>
      </c>
      <c r="L176" s="6">
        <f>ROUND((1-gia_khuyen_mai[[#This Row],[% Giảm giá]]) * gia_khuyen_mai[[#This Row],[Giá gốc]], 0)</f>
        <v>7440</v>
      </c>
      <c r="M176" s="6"/>
      <c r="O176" s="3" t="str">
        <f>IFERROR(VLOOKUP(gia_khuyen_mai[[#This Row],[Mã hàng tặng]],'Giá gốc'!B:C,2,0),"")</f>
        <v/>
      </c>
      <c r="Q176" s="3" t="str">
        <f>VLOOKUP(gia_khuyen_mai[[#This Row],[Mã sản phẩm]],product[[Mã sản phẩm]:[DS - ĐV]],3,0)</f>
        <v>Food Đức Việt</v>
      </c>
    </row>
    <row r="177" spans="1:17" ht="21.75" customHeight="1">
      <c r="A177" s="38">
        <f t="shared" si="13"/>
        <v>176</v>
      </c>
      <c r="B177" s="4" t="s">
        <v>13415</v>
      </c>
      <c r="C177" s="4" t="s">
        <v>183</v>
      </c>
      <c r="D177" s="62" t="s">
        <v>496</v>
      </c>
      <c r="E177" s="4" t="s">
        <v>13416</v>
      </c>
      <c r="F177" s="4" t="s">
        <v>13417</v>
      </c>
      <c r="G177" s="70" t="s">
        <v>461</v>
      </c>
      <c r="H177" s="3" t="str">
        <f>VLOOKUP(gia_khuyen_mai[[#This Row],[Barcode]],'Giá gốc'!$A:$B,2,0)</f>
        <v>2145681</v>
      </c>
      <c r="I177" s="3" t="str">
        <f>VLOOKUP(gia_khuyen_mai[[#This Row],[Mã sản phẩm]],'Giá gốc'!$B:$C,2,0)</f>
        <v>O'food Xúc xích Lắc Phô mai vị dâu tây 56g * 24EA</v>
      </c>
      <c r="J177" s="5">
        <f>VLOOKUP(gia_khuyen_mai[[#This Row],[Mã sản phẩm]],'Giá gốc'!B:D,3,0)</f>
        <v>9300</v>
      </c>
      <c r="K177" s="56">
        <v>0.2</v>
      </c>
      <c r="L177" s="6">
        <f>ROUND((1-gia_khuyen_mai[[#This Row],[% Giảm giá]]) * gia_khuyen_mai[[#This Row],[Giá gốc]], 0)</f>
        <v>7440</v>
      </c>
      <c r="M177" s="6"/>
      <c r="O177" s="3" t="str">
        <f>IFERROR(VLOOKUP(gia_khuyen_mai[[#This Row],[Mã hàng tặng]],'Giá gốc'!B:C,2,0),"")</f>
        <v/>
      </c>
      <c r="Q177" s="3" t="str">
        <f>VLOOKUP(gia_khuyen_mai[[#This Row],[Mã sản phẩm]],product[[Mã sản phẩm]:[DS - ĐV]],3,0)</f>
        <v>Food Đức Việt</v>
      </c>
    </row>
    <row r="178" spans="1:17" ht="21.75" customHeight="1">
      <c r="A178" s="38">
        <f t="shared" si="13"/>
        <v>177</v>
      </c>
      <c r="B178" s="4" t="s">
        <v>13415</v>
      </c>
      <c r="C178" s="4" t="s">
        <v>183</v>
      </c>
      <c r="D178" s="62" t="s">
        <v>496</v>
      </c>
      <c r="E178" s="4" t="s">
        <v>13339</v>
      </c>
      <c r="F178" s="4" t="s">
        <v>13417</v>
      </c>
      <c r="G178" s="70" t="s">
        <v>470</v>
      </c>
      <c r="H178" s="3" t="str">
        <f>VLOOKUP(gia_khuyen_mai[[#This Row],[Barcode]],'Giá gốc'!$A:$B,2,0)</f>
        <v>2145699</v>
      </c>
      <c r="I178" s="3" t="str">
        <f>VLOOKUP(gia_khuyen_mai[[#This Row],[Mã sản phẩm]],'Giá gốc'!$B:$C,2,0)</f>
        <v>Seoul's Hotdog Chiên xù 250g (Đ)</v>
      </c>
      <c r="J178" s="5">
        <f>VLOOKUP(gia_khuyen_mai[[#This Row],[Mã sản phẩm]],'Giá gốc'!B:D,3,0)</f>
        <v>39150</v>
      </c>
      <c r="K178" s="56">
        <v>0.25</v>
      </c>
      <c r="L178" s="6">
        <f>ROUND((1-gia_khuyen_mai[[#This Row],[% Giảm giá]]) * gia_khuyen_mai[[#This Row],[Giá gốc]], 0)</f>
        <v>29363</v>
      </c>
      <c r="M178" s="6"/>
      <c r="O178" s="3" t="str">
        <f>IFERROR(VLOOKUP(gia_khuyen_mai[[#This Row],[Mã hàng tặng]],'Giá gốc'!B:C,2,0),"")</f>
        <v/>
      </c>
      <c r="Q178" s="3" t="str">
        <f>VLOOKUP(gia_khuyen_mai[[#This Row],[Mã sản phẩm]],product[[Mã sản phẩm]:[DS - ĐV]],3,0)</f>
        <v>Food Đức Việt</v>
      </c>
    </row>
    <row r="179" spans="1:17" ht="21.75" customHeight="1">
      <c r="A179" s="38">
        <f t="shared" si="13"/>
        <v>178</v>
      </c>
      <c r="B179" s="4" t="s">
        <v>13415</v>
      </c>
      <c r="C179" s="4" t="s">
        <v>183</v>
      </c>
      <c r="D179" s="62" t="s">
        <v>496</v>
      </c>
      <c r="E179" s="4" t="s">
        <v>13416</v>
      </c>
      <c r="F179" s="4" t="s">
        <v>13417</v>
      </c>
      <c r="G179" s="70" t="s">
        <v>476</v>
      </c>
      <c r="H179" s="3" t="str">
        <f>VLOOKUP(gia_khuyen_mai[[#This Row],[Barcode]],'Giá gốc'!$A:$B,2,0)</f>
        <v>2150337</v>
      </c>
      <c r="I179" s="3" t="str">
        <f>VLOOKUP(gia_khuyen_mai[[#This Row],[Mã sản phẩm]],'Giá gốc'!$B:$C,2,0)</f>
        <v>O'food Chả giò da xốp nhân thịt 300g</v>
      </c>
      <c r="J179" s="5">
        <f>VLOOKUP(gia_khuyen_mai[[#This Row],[Mã sản phẩm]],'Giá gốc'!B:D,3,0)</f>
        <v>31524</v>
      </c>
      <c r="K179" s="56">
        <v>0.25</v>
      </c>
      <c r="L179" s="6">
        <f>ROUND((1-gia_khuyen_mai[[#This Row],[% Giảm giá]]) * gia_khuyen_mai[[#This Row],[Giá gốc]], 0)</f>
        <v>23643</v>
      </c>
      <c r="M179" s="6"/>
      <c r="O179" s="3" t="str">
        <f>IFERROR(VLOOKUP(gia_khuyen_mai[[#This Row],[Mã hàng tặng]],'Giá gốc'!B:C,2,0),"")</f>
        <v/>
      </c>
      <c r="Q179" s="3" t="str">
        <f>VLOOKUP(gia_khuyen_mai[[#This Row],[Mã sản phẩm]],product[[Mã sản phẩm]:[DS - ĐV]],3,0)</f>
        <v>Food Đức Việt</v>
      </c>
    </row>
    <row r="180" spans="1:17" ht="21.75" customHeight="1">
      <c r="A180" s="38">
        <f t="shared" si="13"/>
        <v>179</v>
      </c>
      <c r="B180" s="4" t="s">
        <v>13415</v>
      </c>
      <c r="C180" s="4" t="s">
        <v>183</v>
      </c>
      <c r="D180" s="62" t="s">
        <v>496</v>
      </c>
      <c r="E180" s="4" t="s">
        <v>13416</v>
      </c>
      <c r="F180" s="4" t="s">
        <v>13417</v>
      </c>
      <c r="G180" s="70" t="s">
        <v>479</v>
      </c>
      <c r="H180" s="3" t="str">
        <f>VLOOKUP(gia_khuyen_mai[[#This Row],[Barcode]],'Giá gốc'!$A:$B,2,0)</f>
        <v>2150338</v>
      </c>
      <c r="I180" s="3" t="str">
        <f>VLOOKUP(gia_khuyen_mai[[#This Row],[Mã sản phẩm]],'Giá gốc'!$B:$C,2,0)</f>
        <v>O'food Chả giò da xốp hải sản 300g</v>
      </c>
      <c r="J180" s="5">
        <f>VLOOKUP(gia_khuyen_mai[[#This Row],[Mã sản phẩm]],'Giá gốc'!B:D,3,0)</f>
        <v>31524</v>
      </c>
      <c r="K180" s="56">
        <v>0.25</v>
      </c>
      <c r="L180" s="6">
        <f>ROUND((1-gia_khuyen_mai[[#This Row],[% Giảm giá]]) * gia_khuyen_mai[[#This Row],[Giá gốc]], 0)</f>
        <v>23643</v>
      </c>
      <c r="M180" s="6"/>
      <c r="O180" s="3" t="str">
        <f>IFERROR(VLOOKUP(gia_khuyen_mai[[#This Row],[Mã hàng tặng]],'Giá gốc'!B:C,2,0),"")</f>
        <v/>
      </c>
      <c r="Q180" s="3" t="str">
        <f>VLOOKUP(gia_khuyen_mai[[#This Row],[Mã sản phẩm]],product[[Mã sản phẩm]:[DS - ĐV]],3,0)</f>
        <v>Food Đức Việt</v>
      </c>
    </row>
    <row r="181" spans="1:17" ht="21.75" customHeight="1">
      <c r="A181" s="38">
        <f t="shared" si="13"/>
        <v>180</v>
      </c>
      <c r="B181" s="4" t="s">
        <v>13415</v>
      </c>
      <c r="C181" s="4" t="s">
        <v>183</v>
      </c>
      <c r="D181" s="62" t="s">
        <v>496</v>
      </c>
      <c r="E181" s="4" t="s">
        <v>13416</v>
      </c>
      <c r="F181" s="4" t="s">
        <v>13417</v>
      </c>
      <c r="G181" s="70" t="s">
        <v>12459</v>
      </c>
      <c r="H181" s="3" t="str">
        <f>VLOOKUP(gia_khuyen_mai[[#This Row],[Barcode]],'Giá gốc'!$A:$B,2,0)</f>
        <v>2151032</v>
      </c>
      <c r="I181" s="3" t="str">
        <f>VLOOKUP(gia_khuyen_mai[[#This Row],[Mã sản phẩm]],'Giá gốc'!$B:$C,2,0)</f>
        <v>Jongga Kim chi Củ cải 450g</v>
      </c>
      <c r="J181" s="5">
        <f>VLOOKUP(gia_khuyen_mai[[#This Row],[Mã sản phẩm]],'Giá gốc'!B:D,3,0)</f>
        <v>42000</v>
      </c>
      <c r="K181" s="56">
        <v>0.3</v>
      </c>
      <c r="L181" s="6">
        <f>ROUND((1-gia_khuyen_mai[[#This Row],[% Giảm giá]]) * gia_khuyen_mai[[#This Row],[Giá gốc]], 0)</f>
        <v>29400</v>
      </c>
      <c r="M181" s="6"/>
      <c r="O181" s="3" t="str">
        <f>IFERROR(VLOOKUP(gia_khuyen_mai[[#This Row],[Mã hàng tặng]],'Giá gốc'!B:C,2,0),"")</f>
        <v/>
      </c>
      <c r="Q181" s="3" t="str">
        <f>VLOOKUP(gia_khuyen_mai[[#This Row],[Mã sản phẩm]],product[[Mã sản phẩm]:[DS - ĐV]],3,0)</f>
        <v>Food Đức Việt</v>
      </c>
    </row>
    <row r="182" spans="1:17" ht="21.75" customHeight="1">
      <c r="A182" s="38">
        <f t="shared" si="13"/>
        <v>181</v>
      </c>
      <c r="B182" s="4" t="s">
        <v>13415</v>
      </c>
      <c r="C182" s="4" t="s">
        <v>183</v>
      </c>
      <c r="D182" s="62" t="s">
        <v>496</v>
      </c>
      <c r="E182" s="4" t="s">
        <v>13416</v>
      </c>
      <c r="F182" s="4" t="s">
        <v>13417</v>
      </c>
      <c r="G182" s="70" t="s">
        <v>12461</v>
      </c>
      <c r="H182" s="3" t="str">
        <f>VLOOKUP(gia_khuyen_mai[[#This Row],[Barcode]],'Giá gốc'!$A:$B,2,0)</f>
        <v>2151765</v>
      </c>
      <c r="I182" s="3" t="str">
        <f>VLOOKUP(gia_khuyen_mai[[#This Row],[Mã sản phẩm]],'Giá gốc'!$B:$C,2,0)</f>
        <v>Ức gà hong khói 100g</v>
      </c>
      <c r="J182" s="5">
        <f>VLOOKUP(gia_khuyen_mai[[#This Row],[Mã sản phẩm]],'Giá gốc'!B:D,3,0)</f>
        <v>26000</v>
      </c>
      <c r="K182" s="56">
        <v>0.22</v>
      </c>
      <c r="L182" s="6">
        <f>ROUND((1-gia_khuyen_mai[[#This Row],[% Giảm giá]]) * gia_khuyen_mai[[#This Row],[Giá gốc]], 0)</f>
        <v>20280</v>
      </c>
      <c r="M182" s="6"/>
      <c r="O182" s="3" t="str">
        <f>IFERROR(VLOOKUP(gia_khuyen_mai[[#This Row],[Mã hàng tặng]],'Giá gốc'!B:C,2,0),"")</f>
        <v/>
      </c>
      <c r="Q182" s="3" t="str">
        <f>VLOOKUP(gia_khuyen_mai[[#This Row],[Mã sản phẩm]],product[[Mã sản phẩm]:[DS - ĐV]],3,0)</f>
        <v>Food Đức Việt</v>
      </c>
    </row>
    <row r="183" spans="1:17" ht="21.75" customHeight="1">
      <c r="A183" s="38">
        <f t="shared" si="13"/>
        <v>182</v>
      </c>
      <c r="B183" s="4" t="s">
        <v>13415</v>
      </c>
      <c r="C183" s="4" t="s">
        <v>183</v>
      </c>
      <c r="D183" s="62" t="s">
        <v>496</v>
      </c>
      <c r="E183" s="4" t="s">
        <v>13416</v>
      </c>
      <c r="F183" s="4" t="s">
        <v>13417</v>
      </c>
      <c r="G183" s="70" t="s">
        <v>12475</v>
      </c>
      <c r="H183" s="3" t="str">
        <f>VLOOKUP(gia_khuyen_mai[[#This Row],[Barcode]],'Giá gốc'!$A:$B,2,0)</f>
        <v>2149794</v>
      </c>
      <c r="I183" s="3" t="str">
        <f>VLOOKUP(gia_khuyen_mai[[#This Row],[Mã sản phẩm]],'Giá gốc'!$B:$C,2,0)</f>
        <v>Xúc xích Romas Light 500g</v>
      </c>
      <c r="J183" s="5">
        <f>VLOOKUP(gia_khuyen_mai[[#This Row],[Mã sản phẩm]],'Giá gốc'!B:D,3,0)</f>
        <v>44000</v>
      </c>
      <c r="K183" s="56">
        <v>0.2</v>
      </c>
      <c r="L183" s="6">
        <f>ROUND((1-gia_khuyen_mai[[#This Row],[% Giảm giá]]) * gia_khuyen_mai[[#This Row],[Giá gốc]], 0)</f>
        <v>35200</v>
      </c>
      <c r="M183" s="6"/>
      <c r="O183" s="3" t="str">
        <f>IFERROR(VLOOKUP(gia_khuyen_mai[[#This Row],[Mã hàng tặng]],'Giá gốc'!B:C,2,0),"")</f>
        <v/>
      </c>
      <c r="Q183" s="3" t="str">
        <f>VLOOKUP(gia_khuyen_mai[[#This Row],[Mã sản phẩm]],product[[Mã sản phẩm]:[DS - ĐV]],3,0)</f>
        <v>Food Đức Việt</v>
      </c>
    </row>
    <row r="184" spans="1:17" ht="21.75" customHeight="1">
      <c r="A184" s="38">
        <f t="shared" ref="A184:A190" si="14">ROW()-1</f>
        <v>183</v>
      </c>
      <c r="B184" s="4" t="s">
        <v>13415</v>
      </c>
      <c r="C184" s="4" t="s">
        <v>5</v>
      </c>
      <c r="D184" s="62" t="s">
        <v>496</v>
      </c>
      <c r="E184" s="4" t="s">
        <v>13243</v>
      </c>
      <c r="F184" s="4" t="s">
        <v>13417</v>
      </c>
      <c r="G184" s="70" t="s">
        <v>382</v>
      </c>
      <c r="H184" s="3" t="str">
        <f>VLOOKUP(gia_khuyen_mai[[#This Row],[Barcode]],'Giá gốc'!$A:$B,2,0)</f>
        <v>2145691</v>
      </c>
      <c r="I184" s="3" t="str">
        <f>VLOOKUP(gia_khuyen_mai[[#This Row],[Mã sản phẩm]],'Giá gốc'!$B:$C,2,0)</f>
        <v>Xúc xích viên hong khói 450g * 1EA</v>
      </c>
      <c r="J184" s="5">
        <f>VLOOKUP(gia_khuyen_mai[[#This Row],[Mã sản phẩm]],'Giá gốc'!B:D,3,0)</f>
        <v>84200</v>
      </c>
      <c r="K184" s="56">
        <v>0.2</v>
      </c>
      <c r="L184" s="6">
        <f>ROUND((1-gia_khuyen_mai[[#This Row],[% Giảm giá]]) * gia_khuyen_mai[[#This Row],[Giá gốc]], 0)</f>
        <v>67360</v>
      </c>
      <c r="M184" s="6"/>
      <c r="O184" s="3" t="str">
        <f>IFERROR(VLOOKUP(gia_khuyen_mai[[#This Row],[Mã hàng tặng]],'Giá gốc'!B:C,2,0),"")</f>
        <v/>
      </c>
      <c r="Q184" s="3" t="str">
        <f>VLOOKUP(gia_khuyen_mai[[#This Row],[Mã sản phẩm]],product[[Mã sản phẩm]:[DS - ĐV]],3,0)</f>
        <v>Food Đức Việt</v>
      </c>
    </row>
    <row r="185" spans="1:17" ht="21.75" customHeight="1">
      <c r="A185" s="38">
        <f t="shared" si="14"/>
        <v>184</v>
      </c>
      <c r="B185" s="4" t="s">
        <v>13415</v>
      </c>
      <c r="C185" s="4" t="s">
        <v>5</v>
      </c>
      <c r="D185" s="62" t="s">
        <v>496</v>
      </c>
      <c r="E185" s="4" t="s">
        <v>13243</v>
      </c>
      <c r="F185" s="4" t="s">
        <v>13417</v>
      </c>
      <c r="G185" s="70" t="s">
        <v>409</v>
      </c>
      <c r="H185" s="3" t="str">
        <f>VLOOKUP(gia_khuyen_mai[[#This Row],[Barcode]],'Giá gốc'!$A:$B,2,0)</f>
        <v>2145765</v>
      </c>
      <c r="I185" s="3" t="str">
        <f>VLOOKUP(gia_khuyen_mai[[#This Row],[Mã sản phẩm]],'Giá gốc'!$B:$C,2,0)</f>
        <v>Xúc xích Hotdog 200g</v>
      </c>
      <c r="J185" s="5">
        <f>VLOOKUP(gia_khuyen_mai[[#This Row],[Mã sản phẩm]],'Giá gốc'!B:D,3,0)</f>
        <v>20100</v>
      </c>
      <c r="K185" s="56">
        <v>0.2</v>
      </c>
      <c r="L185" s="6">
        <f>ROUND((1-gia_khuyen_mai[[#This Row],[% Giảm giá]]) * gia_khuyen_mai[[#This Row],[Giá gốc]], 0)</f>
        <v>16080</v>
      </c>
      <c r="M185" s="6"/>
      <c r="O185" s="3" t="str">
        <f>IFERROR(VLOOKUP(gia_khuyen_mai[[#This Row],[Mã hàng tặng]],'Giá gốc'!B:C,2,0),"")</f>
        <v/>
      </c>
      <c r="Q185" s="3" t="str">
        <f>VLOOKUP(gia_khuyen_mai[[#This Row],[Mã sản phẩm]],product[[Mã sản phẩm]:[DS - ĐV]],3,0)</f>
        <v>Food Đức Việt</v>
      </c>
    </row>
    <row r="186" spans="1:17" ht="21.75" customHeight="1">
      <c r="A186" s="38">
        <f t="shared" si="14"/>
        <v>185</v>
      </c>
      <c r="B186" s="4" t="s">
        <v>13415</v>
      </c>
      <c r="C186" s="4" t="s">
        <v>5</v>
      </c>
      <c r="D186" s="62" t="s">
        <v>496</v>
      </c>
      <c r="E186" s="4" t="s">
        <v>13339</v>
      </c>
      <c r="F186" s="4" t="s">
        <v>13417</v>
      </c>
      <c r="G186" s="70" t="s">
        <v>470</v>
      </c>
      <c r="H186" s="3" t="str">
        <f>VLOOKUP(gia_khuyen_mai[[#This Row],[Barcode]],'Giá gốc'!$A:$B,2,0)</f>
        <v>2145699</v>
      </c>
      <c r="I186" s="3" t="str">
        <f>VLOOKUP(gia_khuyen_mai[[#This Row],[Mã sản phẩm]],'Giá gốc'!$B:$C,2,0)</f>
        <v>Seoul's Hotdog Chiên xù 250g (Đ)</v>
      </c>
      <c r="J186" s="5">
        <f>VLOOKUP(gia_khuyen_mai[[#This Row],[Mã sản phẩm]],'Giá gốc'!B:D,3,0)</f>
        <v>39150</v>
      </c>
      <c r="K186" s="56">
        <v>0.25</v>
      </c>
      <c r="L186" s="6">
        <f>ROUND((1-gia_khuyen_mai[[#This Row],[% Giảm giá]]) * gia_khuyen_mai[[#This Row],[Giá gốc]], 0)</f>
        <v>29363</v>
      </c>
      <c r="M186" s="6"/>
      <c r="O186" s="3" t="str">
        <f>IFERROR(VLOOKUP(gia_khuyen_mai[[#This Row],[Mã hàng tặng]],'Giá gốc'!B:C,2,0),"")</f>
        <v/>
      </c>
      <c r="Q186" s="3" t="str">
        <f>VLOOKUP(gia_khuyen_mai[[#This Row],[Mã sản phẩm]],product[[Mã sản phẩm]:[DS - ĐV]],3,0)</f>
        <v>Food Đức Việt</v>
      </c>
    </row>
    <row r="187" spans="1:17" ht="21.75" customHeight="1">
      <c r="A187" s="38">
        <f t="shared" si="14"/>
        <v>186</v>
      </c>
      <c r="B187" s="4" t="s">
        <v>13415</v>
      </c>
      <c r="C187" s="4" t="s">
        <v>5</v>
      </c>
      <c r="D187" s="62" t="s">
        <v>496</v>
      </c>
      <c r="E187" s="4" t="s">
        <v>13243</v>
      </c>
      <c r="F187" s="4" t="s">
        <v>13615</v>
      </c>
      <c r="G187" s="70" t="s">
        <v>476</v>
      </c>
      <c r="H187" s="3" t="str">
        <f>VLOOKUP(gia_khuyen_mai[[#This Row],[Barcode]],'Giá gốc'!$A:$B,2,0)</f>
        <v>2150337</v>
      </c>
      <c r="I187" s="3" t="str">
        <f>VLOOKUP(gia_khuyen_mai[[#This Row],[Mã sản phẩm]],'Giá gốc'!$B:$C,2,0)</f>
        <v>O'food Chả giò da xốp nhân thịt 300g</v>
      </c>
      <c r="J187" s="5">
        <f>VLOOKUP(gia_khuyen_mai[[#This Row],[Mã sản phẩm]],'Giá gốc'!B:D,3,0)</f>
        <v>31524</v>
      </c>
      <c r="K187" s="56">
        <v>0.25</v>
      </c>
      <c r="L187" s="6">
        <f>ROUND((1-gia_khuyen_mai[[#This Row],[% Giảm giá]]) * gia_khuyen_mai[[#This Row],[Giá gốc]], 0)</f>
        <v>23643</v>
      </c>
      <c r="M187" s="6"/>
      <c r="O187" s="3" t="str">
        <f>IFERROR(VLOOKUP(gia_khuyen_mai[[#This Row],[Mã hàng tặng]],'Giá gốc'!B:C,2,0),"")</f>
        <v/>
      </c>
      <c r="Q187" s="3" t="str">
        <f>VLOOKUP(gia_khuyen_mai[[#This Row],[Mã sản phẩm]],product[[Mã sản phẩm]:[DS - ĐV]],3,0)</f>
        <v>Food Đức Việt</v>
      </c>
    </row>
    <row r="188" spans="1:17" ht="21.75" customHeight="1">
      <c r="A188" s="38">
        <f t="shared" si="14"/>
        <v>187</v>
      </c>
      <c r="B188" s="4" t="s">
        <v>13415</v>
      </c>
      <c r="C188" s="4" t="s">
        <v>5</v>
      </c>
      <c r="D188" s="62" t="s">
        <v>496</v>
      </c>
      <c r="E188" s="4" t="s">
        <v>13243</v>
      </c>
      <c r="F188" s="4" t="s">
        <v>13615</v>
      </c>
      <c r="G188" s="70" t="s">
        <v>479</v>
      </c>
      <c r="H188" s="3" t="str">
        <f>VLOOKUP(gia_khuyen_mai[[#This Row],[Barcode]],'Giá gốc'!$A:$B,2,0)</f>
        <v>2150338</v>
      </c>
      <c r="I188" s="3" t="str">
        <f>VLOOKUP(gia_khuyen_mai[[#This Row],[Mã sản phẩm]],'Giá gốc'!$B:$C,2,0)</f>
        <v>O'food Chả giò da xốp hải sản 300g</v>
      </c>
      <c r="J188" s="5">
        <f>VLOOKUP(gia_khuyen_mai[[#This Row],[Mã sản phẩm]],'Giá gốc'!B:D,3,0)</f>
        <v>31524</v>
      </c>
      <c r="K188" s="56">
        <v>0.25</v>
      </c>
      <c r="L188" s="6">
        <f>ROUND((1-gia_khuyen_mai[[#This Row],[% Giảm giá]]) * gia_khuyen_mai[[#This Row],[Giá gốc]], 0)</f>
        <v>23643</v>
      </c>
      <c r="M188" s="6"/>
      <c r="O188" s="3" t="str">
        <f>IFERROR(VLOOKUP(gia_khuyen_mai[[#This Row],[Mã hàng tặng]],'Giá gốc'!B:C,2,0),"")</f>
        <v/>
      </c>
      <c r="Q188" s="3" t="str">
        <f>VLOOKUP(gia_khuyen_mai[[#This Row],[Mã sản phẩm]],product[[Mã sản phẩm]:[DS - ĐV]],3,0)</f>
        <v>Food Đức Việt</v>
      </c>
    </row>
    <row r="189" spans="1:17" ht="21.75" customHeight="1">
      <c r="A189" s="38">
        <f t="shared" si="14"/>
        <v>188</v>
      </c>
      <c r="B189" s="4" t="s">
        <v>13415</v>
      </c>
      <c r="C189" s="4" t="s">
        <v>5</v>
      </c>
      <c r="D189" s="62" t="s">
        <v>496</v>
      </c>
      <c r="E189" s="4" t="s">
        <v>13243</v>
      </c>
      <c r="F189" s="4" t="s">
        <v>13417</v>
      </c>
      <c r="G189" s="70" t="s">
        <v>12459</v>
      </c>
      <c r="H189" s="3" t="str">
        <f>VLOOKUP(gia_khuyen_mai[[#This Row],[Barcode]],'Giá gốc'!$A:$B,2,0)</f>
        <v>2151032</v>
      </c>
      <c r="I189" s="3" t="str">
        <f>VLOOKUP(gia_khuyen_mai[[#This Row],[Mã sản phẩm]],'Giá gốc'!$B:$C,2,0)</f>
        <v>Jongga Kim chi Củ cải 450g</v>
      </c>
      <c r="J189" s="5">
        <f>VLOOKUP(gia_khuyen_mai[[#This Row],[Mã sản phẩm]],'Giá gốc'!B:D,3,0)</f>
        <v>42000</v>
      </c>
      <c r="K189" s="56">
        <v>0.3</v>
      </c>
      <c r="L189" s="6">
        <f>ROUND((1-gia_khuyen_mai[[#This Row],[% Giảm giá]]) * gia_khuyen_mai[[#This Row],[Giá gốc]], 0)</f>
        <v>29400</v>
      </c>
      <c r="M189" s="6"/>
      <c r="O189" s="3" t="str">
        <f>IFERROR(VLOOKUP(gia_khuyen_mai[[#This Row],[Mã hàng tặng]],'Giá gốc'!B:C,2,0),"")</f>
        <v/>
      </c>
      <c r="Q189" s="3" t="str">
        <f>VLOOKUP(gia_khuyen_mai[[#This Row],[Mã sản phẩm]],product[[Mã sản phẩm]:[DS - ĐV]],3,0)</f>
        <v>Food Đức Việt</v>
      </c>
    </row>
    <row r="190" spans="1:17" ht="21.75" customHeight="1">
      <c r="A190" s="71">
        <f t="shared" si="14"/>
        <v>189</v>
      </c>
      <c r="B190" s="4" t="s">
        <v>13415</v>
      </c>
      <c r="C190" s="4" t="s">
        <v>5</v>
      </c>
      <c r="D190" s="62" t="s">
        <v>496</v>
      </c>
      <c r="E190" s="4" t="s">
        <v>13243</v>
      </c>
      <c r="F190" s="4" t="s">
        <v>13417</v>
      </c>
      <c r="G190" s="72" t="s">
        <v>12461</v>
      </c>
      <c r="H190" s="3" t="str">
        <f>VLOOKUP(gia_khuyen_mai[[#This Row],[Barcode]],'Giá gốc'!$A:$B,2,0)</f>
        <v>2151765</v>
      </c>
      <c r="I190" s="3" t="str">
        <f>VLOOKUP(gia_khuyen_mai[[#This Row],[Mã sản phẩm]],'Giá gốc'!$B:$C,2,0)</f>
        <v>Ức gà hong khói 100g</v>
      </c>
      <c r="J190" s="74">
        <f>VLOOKUP(gia_khuyen_mai[[#This Row],[Mã sản phẩm]],'Giá gốc'!B:D,3,0)</f>
        <v>26000</v>
      </c>
      <c r="K190" s="73">
        <v>0.22</v>
      </c>
      <c r="L190" s="6">
        <f>ROUND((1-gia_khuyen_mai[[#This Row],[% Giảm giá]]) * gia_khuyen_mai[[#This Row],[Giá gốc]], 0)</f>
        <v>20280</v>
      </c>
      <c r="M190" s="6"/>
      <c r="O190" s="3" t="str">
        <f>IFERROR(VLOOKUP(gia_khuyen_mai[[#This Row],[Mã hàng tặng]],'Giá gốc'!B:C,2,0),"")</f>
        <v/>
      </c>
      <c r="Q190" s="3" t="str">
        <f>VLOOKUP(gia_khuyen_mai[[#This Row],[Mã sản phẩm]],product[[Mã sản phẩm]:[DS - ĐV]],3,0)</f>
        <v>Food Đức Việt</v>
      </c>
    </row>
    <row r="191" spans="1:17" ht="21.75" customHeight="1">
      <c r="A191" s="38">
        <f>ROW()-1</f>
        <v>190</v>
      </c>
      <c r="B191" s="4" t="s">
        <v>13454</v>
      </c>
      <c r="C191" s="4" t="s">
        <v>500</v>
      </c>
      <c r="D191" s="62" t="s">
        <v>496</v>
      </c>
      <c r="E191" s="4" t="s">
        <v>13455</v>
      </c>
      <c r="F191" s="4" t="s">
        <v>13456</v>
      </c>
      <c r="G191" s="75" t="s">
        <v>373</v>
      </c>
      <c r="H191" s="3" t="str">
        <f>VLOOKUP(gia_khuyen_mai[[#This Row],[Barcode]],'Giá gốc'!$A:$B,2,0)</f>
        <v>2145686</v>
      </c>
      <c r="I191" s="3" t="str">
        <f>VLOOKUP(gia_khuyen_mai[[#This Row],[Mã sản phẩm]],'Giá gốc'!$B:$C,2,0)</f>
        <v>Xúc xích hong khói 450g</v>
      </c>
      <c r="J191" s="5">
        <f>VLOOKUP(gia_khuyen_mai[[#This Row],[Mã sản phẩm]],'Giá gốc'!B:D,3,0)</f>
        <v>79100</v>
      </c>
      <c r="K191" s="56">
        <v>0.2</v>
      </c>
      <c r="L191" s="6">
        <f>ROUND((1-gia_khuyen_mai[[#This Row],[% Giảm giá]]) * gia_khuyen_mai[[#This Row],[Giá gốc]], 0)</f>
        <v>63280</v>
      </c>
      <c r="M191" s="6"/>
      <c r="O191" s="3" t="str">
        <f>IFERROR(VLOOKUP(gia_khuyen_mai[[#This Row],[Mã hàng tặng]],'Giá gốc'!B:C,2,0),"")</f>
        <v/>
      </c>
      <c r="Q191" s="3" t="str">
        <f>VLOOKUP(gia_khuyen_mai[[#This Row],[Mã sản phẩm]],product[[Mã sản phẩm]:[DS - ĐV]],3,0)</f>
        <v>Food Đức Việt</v>
      </c>
    </row>
    <row r="192" spans="1:17" ht="21.75" customHeight="1">
      <c r="A192" s="38">
        <f t="shared" ref="A192:A194" si="15">ROW()-1</f>
        <v>191</v>
      </c>
      <c r="B192" s="4" t="s">
        <v>13454</v>
      </c>
      <c r="C192" s="4" t="s">
        <v>500</v>
      </c>
      <c r="D192" s="4" t="s">
        <v>496</v>
      </c>
      <c r="E192" s="4" t="s">
        <v>13455</v>
      </c>
      <c r="F192" s="4" t="s">
        <v>13456</v>
      </c>
      <c r="G192" s="75" t="s">
        <v>397</v>
      </c>
      <c r="H192" s="3" t="str">
        <f>VLOOKUP(gia_khuyen_mai[[#This Row],[Barcode]],'Giá gốc'!$A:$B,2,0)</f>
        <v>2145726</v>
      </c>
      <c r="I192" s="3" t="str">
        <f>VLOOKUP(gia_khuyen_mai[[#This Row],[Mã sản phẩm]],'Giá gốc'!$B:$C,2,0)</f>
        <v>Xúc xích phô mai Cheesy 250g</v>
      </c>
      <c r="J192" s="5">
        <f>VLOOKUP(gia_khuyen_mai[[#This Row],[Mã sản phẩm]],'Giá gốc'!B:D,3,0)</f>
        <v>49400</v>
      </c>
      <c r="K192" s="56">
        <v>0.25</v>
      </c>
      <c r="L192" s="6">
        <f>ROUND((1-gia_khuyen_mai[[#This Row],[% Giảm giá]]) * gia_khuyen_mai[[#This Row],[Giá gốc]], 0)</f>
        <v>37050</v>
      </c>
      <c r="M192" s="6"/>
      <c r="O192" s="3" t="str">
        <f>IFERROR(VLOOKUP(gia_khuyen_mai[[#This Row],[Mã hàng tặng]],'Giá gốc'!B:C,2,0),"")</f>
        <v/>
      </c>
      <c r="Q192" s="3" t="str">
        <f>VLOOKUP(gia_khuyen_mai[[#This Row],[Mã sản phẩm]],product[[Mã sản phẩm]:[DS - ĐV]],3,0)</f>
        <v>Food Đức Việt</v>
      </c>
    </row>
    <row r="193" spans="1:17" ht="21.75" customHeight="1">
      <c r="A193" s="38">
        <f t="shared" si="15"/>
        <v>192</v>
      </c>
      <c r="B193" s="4" t="s">
        <v>13454</v>
      </c>
      <c r="C193" s="4" t="s">
        <v>500</v>
      </c>
      <c r="D193" s="4" t="s">
        <v>496</v>
      </c>
      <c r="E193" s="4" t="s">
        <v>13455</v>
      </c>
      <c r="F193" s="4" t="s">
        <v>13456</v>
      </c>
      <c r="G193" s="75" t="s">
        <v>418</v>
      </c>
      <c r="H193" s="3" t="str">
        <f>VLOOKUP(gia_khuyen_mai[[#This Row],[Barcode]],'Giá gốc'!$A:$B,2,0)</f>
        <v>2145783</v>
      </c>
      <c r="I193" s="3" t="str">
        <f>VLOOKUP(gia_khuyen_mai[[#This Row],[Mã sản phẩm]],'Giá gốc'!$B:$C,2,0)</f>
        <v>Xúc xích Romas ( 50g) 500g</v>
      </c>
      <c r="J193" s="5">
        <f>VLOOKUP(gia_khuyen_mai[[#This Row],[Mã sản phẩm]],'Giá gốc'!B:D,3,0)</f>
        <v>53900</v>
      </c>
      <c r="K193" s="56">
        <v>0.25</v>
      </c>
      <c r="L193" s="6">
        <f>ROUND((1-gia_khuyen_mai[[#This Row],[% Giảm giá]]) * gia_khuyen_mai[[#This Row],[Giá gốc]], 0)</f>
        <v>40425</v>
      </c>
      <c r="M193" s="6"/>
      <c r="O193" s="3" t="str">
        <f>IFERROR(VLOOKUP(gia_khuyen_mai[[#This Row],[Mã hàng tặng]],'Giá gốc'!B:C,2,0),"")</f>
        <v/>
      </c>
      <c r="Q193" s="3" t="str">
        <f>VLOOKUP(gia_khuyen_mai[[#This Row],[Mã sản phẩm]],product[[Mã sản phẩm]:[DS - ĐV]],3,0)</f>
        <v>Food Đức Việt</v>
      </c>
    </row>
    <row r="194" spans="1:17" ht="21.75" customHeight="1">
      <c r="A194" s="38">
        <f t="shared" si="15"/>
        <v>193</v>
      </c>
      <c r="B194" s="4" t="s">
        <v>13454</v>
      </c>
      <c r="C194" s="4" t="s">
        <v>500</v>
      </c>
      <c r="D194" s="4" t="s">
        <v>496</v>
      </c>
      <c r="E194" s="4" t="s">
        <v>13455</v>
      </c>
      <c r="F194" s="4" t="s">
        <v>13456</v>
      </c>
      <c r="G194" s="75" t="s">
        <v>12460</v>
      </c>
      <c r="H194" s="3" t="str">
        <f>VLOOKUP(gia_khuyen_mai[[#This Row],[Barcode]],'Giá gốc'!$A:$B,2,0)</f>
        <v>2151140</v>
      </c>
      <c r="I194" s="3" t="str">
        <f>VLOOKUP(gia_khuyen_mai[[#This Row],[Mã sản phẩm]],'Giá gốc'!$B:$C,2,0)</f>
        <v>Jongga Kim chi Củ cải 150g</v>
      </c>
      <c r="J194" s="5">
        <f>VLOOKUP(gia_khuyen_mai[[#This Row],[Mã sản phẩm]],'Giá gốc'!B:D,3,0)</f>
        <v>16500</v>
      </c>
      <c r="K194" s="56">
        <v>0.25</v>
      </c>
      <c r="L194" s="6">
        <f>ROUND((1-gia_khuyen_mai[[#This Row],[% Giảm giá]]) * gia_khuyen_mai[[#This Row],[Giá gốc]], 0)</f>
        <v>12375</v>
      </c>
      <c r="M194" s="6"/>
      <c r="O194" s="3" t="str">
        <f>IFERROR(VLOOKUP(gia_khuyen_mai[[#This Row],[Mã hàng tặng]],'Giá gốc'!B:C,2,0),"")</f>
        <v/>
      </c>
      <c r="Q194" s="3" t="str">
        <f>VLOOKUP(gia_khuyen_mai[[#This Row],[Mã sản phẩm]],product[[Mã sản phẩm]:[DS - ĐV]],3,0)</f>
        <v>Food Đức Việt</v>
      </c>
    </row>
    <row r="195" spans="1:17" ht="21.75" customHeight="1">
      <c r="A195" s="71">
        <f>ROW()-1</f>
        <v>194</v>
      </c>
      <c r="B195" s="4" t="s">
        <v>13454</v>
      </c>
      <c r="C195" s="4" t="s">
        <v>183</v>
      </c>
      <c r="D195" s="4" t="s">
        <v>496</v>
      </c>
      <c r="E195" s="4" t="s">
        <v>13455</v>
      </c>
      <c r="F195" s="4" t="s">
        <v>13456</v>
      </c>
      <c r="G195" s="77" t="s">
        <v>12462</v>
      </c>
      <c r="H195" s="3" t="str">
        <f>VLOOKUP(gia_khuyen_mai[[#This Row],[Barcode]],'Giá gốc'!$A:$B,2,0)</f>
        <v>2145747</v>
      </c>
      <c r="I195" s="3" t="str">
        <f>VLOOKUP(gia_khuyen_mai[[#This Row],[Mã sản phẩm]],'Giá gốc'!$B:$C,2,0)</f>
        <v>Xúc xích thịt heo Bragenwurst 400g</v>
      </c>
      <c r="J195" s="74">
        <f>VLOOKUP(gia_khuyen_mai[[#This Row],[Mã sản phẩm]],'Giá gốc'!B:D,3,0)</f>
        <v>82080</v>
      </c>
      <c r="K195" s="73">
        <v>0.25</v>
      </c>
      <c r="L195" s="6">
        <f>ROUND((1-gia_khuyen_mai[[#This Row],[% Giảm giá]]) * gia_khuyen_mai[[#This Row],[Giá gốc]], 0)</f>
        <v>61560</v>
      </c>
      <c r="M195" s="6"/>
      <c r="O195" s="3" t="str">
        <f>IFERROR(VLOOKUP(gia_khuyen_mai[[#This Row],[Mã hàng tặng]],'Giá gốc'!B:C,2,0),"")</f>
        <v/>
      </c>
      <c r="Q195" s="3" t="str">
        <f>VLOOKUP(gia_khuyen_mai[[#This Row],[Mã sản phẩm]],product[[Mã sản phẩm]:[DS - ĐV]],3,0)</f>
        <v>Food Đức Việt</v>
      </c>
    </row>
    <row r="196" spans="1:17" ht="21.75" customHeight="1">
      <c r="A196" s="71">
        <f>ROW()-1</f>
        <v>195</v>
      </c>
      <c r="B196" s="4" t="s">
        <v>13454</v>
      </c>
      <c r="C196" s="4" t="s">
        <v>5</v>
      </c>
      <c r="D196" s="4" t="s">
        <v>496</v>
      </c>
      <c r="E196" s="4" t="s">
        <v>13455</v>
      </c>
      <c r="F196" s="4" t="s">
        <v>13456</v>
      </c>
      <c r="G196" s="77" t="s">
        <v>12462</v>
      </c>
      <c r="H196" s="3" t="str">
        <f>VLOOKUP(gia_khuyen_mai[[#This Row],[Barcode]],'Giá gốc'!$A:$B,2,0)</f>
        <v>2145747</v>
      </c>
      <c r="I196" s="3" t="str">
        <f>VLOOKUP(gia_khuyen_mai[[#This Row],[Mã sản phẩm]],'Giá gốc'!$B:$C,2,0)</f>
        <v>Xúc xích thịt heo Bragenwurst 400g</v>
      </c>
      <c r="J196" s="74">
        <f>VLOOKUP(gia_khuyen_mai[[#This Row],[Mã sản phẩm]],'Giá gốc'!B:D,3,0)</f>
        <v>82080</v>
      </c>
      <c r="K196" s="73">
        <v>0.2</v>
      </c>
      <c r="L196" s="6">
        <f>ROUND((1-gia_khuyen_mai[[#This Row],[% Giảm giá]]) * gia_khuyen_mai[[#This Row],[Giá gốc]], 0)</f>
        <v>65664</v>
      </c>
      <c r="M196" s="6"/>
      <c r="O196" s="3" t="str">
        <f>IFERROR(VLOOKUP(gia_khuyen_mai[[#This Row],[Mã hàng tặng]],'Giá gốc'!B:C,2,0),"")</f>
        <v/>
      </c>
      <c r="Q196" s="3" t="str">
        <f>VLOOKUP(gia_khuyen_mai[[#This Row],[Mã sản phẩm]],product[[Mã sản phẩm]:[DS - ĐV]],3,0)</f>
        <v>Food Đức Việt</v>
      </c>
    </row>
    <row r="197" spans="1:17" ht="21.75" customHeight="1">
      <c r="A197" s="38">
        <f t="shared" ref="A197:A201" si="16">ROW()-1</f>
        <v>196</v>
      </c>
      <c r="B197" s="4" t="s">
        <v>13454</v>
      </c>
      <c r="C197" s="4" t="s">
        <v>183</v>
      </c>
      <c r="D197" s="4" t="s">
        <v>496</v>
      </c>
      <c r="E197" s="4" t="s">
        <v>13455</v>
      </c>
      <c r="F197" s="4" t="s">
        <v>13456</v>
      </c>
      <c r="G197" s="70" t="s">
        <v>448</v>
      </c>
      <c r="H197" s="3" t="str">
        <f>VLOOKUP(gia_khuyen_mai[[#This Row],[Barcode]],'Giá gốc'!$A:$B,2,0)</f>
        <v>2145695</v>
      </c>
      <c r="I197" s="3" t="str">
        <f>VLOOKUP(gia_khuyen_mai[[#This Row],[Mã sản phẩm]],'Giá gốc'!$B:$C,2,0)</f>
        <v>Seoul's Hotdog 350g</v>
      </c>
      <c r="J197" s="5">
        <f>VLOOKUP(gia_khuyen_mai[[#This Row],[Mã sản phẩm]],'Giá gốc'!B:D,3,0)</f>
        <v>48384</v>
      </c>
      <c r="K197" s="56">
        <v>0.25</v>
      </c>
      <c r="L197" s="6">
        <f>ROUND((1-gia_khuyen_mai[[#This Row],[% Giảm giá]]) * gia_khuyen_mai[[#This Row],[Giá gốc]], 0)</f>
        <v>36288</v>
      </c>
      <c r="M197" s="6"/>
      <c r="O197" s="3" t="str">
        <f>IFERROR(VLOOKUP(gia_khuyen_mai[[#This Row],[Mã hàng tặng]],'Giá gốc'!B:C,2,0),"")</f>
        <v/>
      </c>
      <c r="Q197" s="3" t="str">
        <f>VLOOKUP(gia_khuyen_mai[[#This Row],[Mã sản phẩm]],product[[Mã sản phẩm]:[DS - ĐV]],3,0)</f>
        <v>Food Đức Việt</v>
      </c>
    </row>
    <row r="198" spans="1:17" ht="21.75" customHeight="1">
      <c r="A198" s="38">
        <f t="shared" si="16"/>
        <v>197</v>
      </c>
      <c r="B198" s="4" t="s">
        <v>13454</v>
      </c>
      <c r="C198" s="4" t="s">
        <v>183</v>
      </c>
      <c r="D198" s="4" t="s">
        <v>496</v>
      </c>
      <c r="E198" s="4" t="s">
        <v>13455</v>
      </c>
      <c r="F198" s="4" t="s">
        <v>13456</v>
      </c>
      <c r="G198" s="70" t="s">
        <v>451</v>
      </c>
      <c r="H198" s="3" t="str">
        <f>VLOOKUP(gia_khuyen_mai[[#This Row],[Barcode]],'Giá gốc'!$A:$B,2,0)</f>
        <v>2145697</v>
      </c>
      <c r="I198" s="3" t="str">
        <f>VLOOKUP(gia_khuyen_mai[[#This Row],[Mã sản phẩm]],'Giá gốc'!$B:$C,2,0)</f>
        <v>Seoul nhân phô mai 250g</v>
      </c>
      <c r="J198" s="5">
        <f>VLOOKUP(gia_khuyen_mai[[#This Row],[Mã sản phẩm]],'Giá gốc'!B:D,3,0)</f>
        <v>42000</v>
      </c>
      <c r="K198" s="56">
        <v>0.25</v>
      </c>
      <c r="L198" s="6">
        <f>ROUND((1-gia_khuyen_mai[[#This Row],[% Giảm giá]]) * gia_khuyen_mai[[#This Row],[Giá gốc]], 0)</f>
        <v>31500</v>
      </c>
      <c r="M198" s="6"/>
      <c r="O198" s="3" t="str">
        <f>IFERROR(VLOOKUP(gia_khuyen_mai[[#This Row],[Mã hàng tặng]],'Giá gốc'!B:C,2,0),"")</f>
        <v/>
      </c>
      <c r="Q198" s="3" t="str">
        <f>VLOOKUP(gia_khuyen_mai[[#This Row],[Mã sản phẩm]],product[[Mã sản phẩm]:[DS - ĐV]],3,0)</f>
        <v>Food Đức Việt</v>
      </c>
    </row>
    <row r="199" spans="1:17" ht="21.75" customHeight="1">
      <c r="A199" s="38">
        <f t="shared" si="16"/>
        <v>198</v>
      </c>
      <c r="B199" s="4" t="s">
        <v>13454</v>
      </c>
      <c r="C199" s="4" t="s">
        <v>183</v>
      </c>
      <c r="D199" s="4" t="s">
        <v>496</v>
      </c>
      <c r="E199" s="4" t="s">
        <v>13455</v>
      </c>
      <c r="F199" s="4" t="s">
        <v>13456</v>
      </c>
      <c r="G199" s="70" t="s">
        <v>452</v>
      </c>
      <c r="H199" s="3" t="str">
        <f>VLOOKUP(gia_khuyen_mai[[#This Row],[Barcode]],'Giá gốc'!$A:$B,2,0)</f>
        <v>2145648</v>
      </c>
      <c r="I199" s="3" t="str">
        <f>VLOOKUP(gia_khuyen_mai[[#This Row],[Mã sản phẩm]],'Giá gốc'!$B:$C,2,0)</f>
        <v>Đức Việt Handy - xúc xích ăn liền vị heo 105g * 20EA</v>
      </c>
      <c r="J199" s="5">
        <f>VLOOKUP(gia_khuyen_mai[[#This Row],[Mã sản phẩm]],'Giá gốc'!B:D,3,0)</f>
        <v>9300</v>
      </c>
      <c r="K199" s="56">
        <v>0.22</v>
      </c>
      <c r="L199" s="6">
        <f>ROUND((1-gia_khuyen_mai[[#This Row],[% Giảm giá]]) * gia_khuyen_mai[[#This Row],[Giá gốc]], 0)</f>
        <v>7254</v>
      </c>
      <c r="M199" s="6"/>
      <c r="O199" s="3" t="str">
        <f>IFERROR(VLOOKUP(gia_khuyen_mai[[#This Row],[Mã hàng tặng]],'Giá gốc'!B:C,2,0),"")</f>
        <v/>
      </c>
      <c r="Q199" s="3" t="str">
        <f>VLOOKUP(gia_khuyen_mai[[#This Row],[Mã sản phẩm]],product[[Mã sản phẩm]:[DS - ĐV]],3,0)</f>
        <v>Food Đức Việt</v>
      </c>
    </row>
    <row r="200" spans="1:17" ht="21.75" customHeight="1">
      <c r="A200" s="38">
        <f t="shared" si="16"/>
        <v>199</v>
      </c>
      <c r="B200" s="4" t="s">
        <v>13454</v>
      </c>
      <c r="C200" s="4" t="s">
        <v>183</v>
      </c>
      <c r="D200" s="4" t="s">
        <v>496</v>
      </c>
      <c r="E200" s="4" t="s">
        <v>13455</v>
      </c>
      <c r="F200" s="4" t="s">
        <v>13456</v>
      </c>
      <c r="G200" s="70" t="s">
        <v>455</v>
      </c>
      <c r="H200" s="3" t="str">
        <f>VLOOKUP(gia_khuyen_mai[[#This Row],[Barcode]],'Giá gốc'!$A:$B,2,0)</f>
        <v>2145657</v>
      </c>
      <c r="I200" s="3" t="str">
        <f>VLOOKUP(gia_khuyen_mai[[#This Row],[Mã sản phẩm]],'Giá gốc'!$B:$C,2,0)</f>
        <v>Đức Việt Handy - xúc xích ăn liền vị bò 105g * 20EA</v>
      </c>
      <c r="J200" s="5">
        <f>VLOOKUP(gia_khuyen_mai[[#This Row],[Mã sản phẩm]],'Giá gốc'!B:D,3,0)</f>
        <v>9300</v>
      </c>
      <c r="K200" s="56">
        <v>0.22</v>
      </c>
      <c r="L200" s="6">
        <f>ROUND((1-gia_khuyen_mai[[#This Row],[% Giảm giá]]) * gia_khuyen_mai[[#This Row],[Giá gốc]], 0)</f>
        <v>7254</v>
      </c>
      <c r="M200" s="6"/>
      <c r="O200" s="3" t="str">
        <f>IFERROR(VLOOKUP(gia_khuyen_mai[[#This Row],[Mã hàng tặng]],'Giá gốc'!B:C,2,0),"")</f>
        <v/>
      </c>
      <c r="Q200" s="3" t="str">
        <f>VLOOKUP(gia_khuyen_mai[[#This Row],[Mã sản phẩm]],product[[Mã sản phẩm]:[DS - ĐV]],3,0)</f>
        <v>Food Đức Việt</v>
      </c>
    </row>
    <row r="201" spans="1:17" ht="21.75" customHeight="1">
      <c r="A201" s="71">
        <f t="shared" si="16"/>
        <v>200</v>
      </c>
      <c r="B201" s="4" t="s">
        <v>13454</v>
      </c>
      <c r="C201" s="4" t="s">
        <v>183</v>
      </c>
      <c r="D201" s="4" t="s">
        <v>496</v>
      </c>
      <c r="E201" s="4" t="s">
        <v>13455</v>
      </c>
      <c r="F201" s="4" t="s">
        <v>13456</v>
      </c>
      <c r="G201" s="72" t="s">
        <v>11078</v>
      </c>
      <c r="H201" s="3" t="str">
        <f>VLOOKUP(gia_khuyen_mai[[#This Row],[Barcode]],'Giá gốc'!$A:$B,2,0)</f>
        <v>2145625</v>
      </c>
      <c r="I201" s="3" t="str">
        <f>VLOOKUP(gia_khuyen_mai[[#This Row],[Mã sản phẩm]],'Giá gốc'!$B:$C,2,0)</f>
        <v>Jongga Kim chi cải thảo cắt lát 1kg</v>
      </c>
      <c r="J201" s="74">
        <f>VLOOKUP(gia_khuyen_mai[[#This Row],[Mã sản phẩm]],'Giá gốc'!B:D,3,0)</f>
        <v>70000</v>
      </c>
      <c r="K201" s="73">
        <v>0.25</v>
      </c>
      <c r="L201" s="6">
        <f>ROUND((1-gia_khuyen_mai[[#This Row],[% Giảm giá]]) * gia_khuyen_mai[[#This Row],[Giá gốc]], 0)</f>
        <v>52500</v>
      </c>
      <c r="M201" s="6"/>
      <c r="O201" s="3" t="str">
        <f>IFERROR(VLOOKUP(gia_khuyen_mai[[#This Row],[Mã hàng tặng]],'Giá gốc'!B:C,2,0),"")</f>
        <v/>
      </c>
      <c r="Q201" s="3" t="str">
        <f>VLOOKUP(gia_khuyen_mai[[#This Row],[Mã sản phẩm]],product[[Mã sản phẩm]:[DS - ĐV]],3,0)</f>
        <v>Food Đức Việt</v>
      </c>
    </row>
    <row r="202" spans="1:17" ht="21.75" customHeight="1">
      <c r="A202" s="38">
        <f t="shared" ref="A202:A205" si="17">ROW()-1</f>
        <v>201</v>
      </c>
      <c r="B202" s="4" t="s">
        <v>13530</v>
      </c>
      <c r="C202" s="4" t="s">
        <v>183</v>
      </c>
      <c r="D202" s="4" t="s">
        <v>496</v>
      </c>
      <c r="E202" s="4" t="s">
        <v>13531</v>
      </c>
      <c r="F202" s="4" t="s">
        <v>13417</v>
      </c>
      <c r="G202" s="87" t="s">
        <v>13412</v>
      </c>
      <c r="H202" s="3" t="str">
        <f>VLOOKUP(gia_khuyen_mai[[#This Row],[Barcode]],'Giá gốc'!$A:$B,2,0)</f>
        <v>2153299</v>
      </c>
      <c r="I202" s="3" t="str">
        <f>VLOOKUP(gia_khuyen_mai[[#This Row],[Mã sản phẩm]],'Giá gốc'!$B:$C,2,0)</f>
        <v>Jăm bông Kimbap 170</v>
      </c>
      <c r="J202" s="5">
        <f>VLOOKUP(gia_khuyen_mai[[#This Row],[Mã sản phẩm]],'Giá gốc'!B:D,3,0)</f>
        <v>31000</v>
      </c>
      <c r="K202" s="56"/>
      <c r="L202" s="6">
        <f>ROUND((1-gia_khuyen_mai[[#This Row],[% Giảm giá]]) * gia_khuyen_mai[[#This Row],[Giá gốc]], 0)</f>
        <v>31000</v>
      </c>
      <c r="M202" s="6" t="s">
        <v>503</v>
      </c>
      <c r="N202" s="3" t="str">
        <f>VLOOKUP(gia_khuyen_mai[[#This Row],[Barcode]],'Giá gốc'!$A:$B,2,0)</f>
        <v>2153299</v>
      </c>
      <c r="O202" s="3" t="str">
        <f>IFERROR(VLOOKUP(gia_khuyen_mai[[#This Row],[Mã hàng tặng]],'Giá gốc'!B:C,2,0),"")</f>
        <v>Jăm bông Kimbap 170</v>
      </c>
      <c r="Q202" s="3" t="str">
        <f>VLOOKUP(gia_khuyen_mai[[#This Row],[Mã sản phẩm]],product[[Mã sản phẩm]:[DS - ĐV]],3,0)</f>
        <v>Food Đức Việt</v>
      </c>
    </row>
    <row r="203" spans="1:17" ht="21.75" customHeight="1">
      <c r="A203" s="38">
        <f t="shared" si="17"/>
        <v>202</v>
      </c>
      <c r="B203" s="4" t="s">
        <v>13530</v>
      </c>
      <c r="C203" s="4" t="s">
        <v>183</v>
      </c>
      <c r="D203" s="4" t="s">
        <v>496</v>
      </c>
      <c r="E203" s="4" t="s">
        <v>13531</v>
      </c>
      <c r="F203" s="4" t="s">
        <v>13417</v>
      </c>
      <c r="G203" s="87" t="s">
        <v>13527</v>
      </c>
      <c r="H203" s="3" t="str">
        <f>VLOOKUP(gia_khuyen_mai[[#This Row],[Barcode]],'Giá gốc'!$A:$B,2,0)</f>
        <v>2153297</v>
      </c>
      <c r="I203" s="3" t="str">
        <f>VLOOKUP(gia_khuyen_mai[[#This Row],[Mã sản phẩm]],'Giá gốc'!$B:$C,2,0)</f>
        <v>Dăm bông kimbap 1050g</v>
      </c>
      <c r="J203" s="5">
        <f>VLOOKUP(gia_khuyen_mai[[#This Row],[Mã sản phẩm]],'Giá gốc'!B:D,3,0)</f>
        <v>145000</v>
      </c>
      <c r="K203" s="56">
        <v>0.35</v>
      </c>
      <c r="L203" s="6">
        <f>ROUND((1-gia_khuyen_mai[[#This Row],[% Giảm giá]]) * gia_khuyen_mai[[#This Row],[Giá gốc]], 0)</f>
        <v>94250</v>
      </c>
      <c r="M203" s="6"/>
      <c r="O203" s="3" t="str">
        <f>IFERROR(VLOOKUP(gia_khuyen_mai[[#This Row],[Mã hàng tặng]],'Giá gốc'!B:C,2,0),"")</f>
        <v/>
      </c>
      <c r="Q203" s="3" t="str">
        <f>VLOOKUP(gia_khuyen_mai[[#This Row],[Mã sản phẩm]],product[[Mã sản phẩm]:[DS - ĐV]],3,0)</f>
        <v>Food Đức Việt</v>
      </c>
    </row>
    <row r="204" spans="1:17" ht="21.75" customHeight="1">
      <c r="A204" s="38">
        <f t="shared" si="17"/>
        <v>203</v>
      </c>
      <c r="B204" s="4" t="s">
        <v>13530</v>
      </c>
      <c r="C204" s="4" t="s">
        <v>183</v>
      </c>
      <c r="D204" s="4" t="s">
        <v>496</v>
      </c>
      <c r="E204" s="4" t="s">
        <v>13531</v>
      </c>
      <c r="F204" s="4" t="s">
        <v>13417</v>
      </c>
      <c r="G204" s="87" t="s">
        <v>13528</v>
      </c>
      <c r="H204" s="3" t="str">
        <f>VLOOKUP(gia_khuyen_mai[[#This Row],[Barcode]],'Giá gốc'!$A:$B,2,0)</f>
        <v>2153298</v>
      </c>
      <c r="I204" s="3" t="str">
        <f>VLOOKUP(gia_khuyen_mai[[#This Row],[Mã sản phẩm]],'Giá gốc'!$B:$C,2,0)</f>
        <v>Bánh gạo Hàn Quốc 500g</v>
      </c>
      <c r="J204" s="5">
        <f>VLOOKUP(gia_khuyen_mai[[#This Row],[Mã sản phẩm]],'Giá gốc'!B:D,3,0)</f>
        <v>36750</v>
      </c>
      <c r="K204" s="56">
        <v>0.35</v>
      </c>
      <c r="L204" s="6">
        <f>ROUND((1-gia_khuyen_mai[[#This Row],[% Giảm giá]]) * gia_khuyen_mai[[#This Row],[Giá gốc]], 0)</f>
        <v>23888</v>
      </c>
      <c r="M204" s="6"/>
      <c r="O204" s="3" t="str">
        <f>IFERROR(VLOOKUP(gia_khuyen_mai[[#This Row],[Mã hàng tặng]],'Giá gốc'!B:C,2,0),"")</f>
        <v/>
      </c>
      <c r="Q204" s="3" t="str">
        <f>VLOOKUP(gia_khuyen_mai[[#This Row],[Mã sản phẩm]],product[[Mã sản phẩm]:[DS - ĐV]],3,0)</f>
        <v>Food Đức Việt</v>
      </c>
    </row>
    <row r="205" spans="1:17" ht="21.75" customHeight="1">
      <c r="A205" s="71">
        <f t="shared" si="17"/>
        <v>204</v>
      </c>
      <c r="B205" s="4" t="s">
        <v>13530</v>
      </c>
      <c r="C205" s="4" t="s">
        <v>183</v>
      </c>
      <c r="D205" s="4" t="s">
        <v>496</v>
      </c>
      <c r="E205" s="4" t="s">
        <v>13531</v>
      </c>
      <c r="F205" s="4" t="s">
        <v>13417</v>
      </c>
      <c r="G205" s="77" t="s">
        <v>13529</v>
      </c>
      <c r="H205" s="3" t="str">
        <f>VLOOKUP(gia_khuyen_mai[[#This Row],[Barcode]],'Giá gốc'!$A:$B,2,0)</f>
        <v>2153300</v>
      </c>
      <c r="I205" s="3" t="str">
        <f>VLOOKUP(gia_khuyen_mai[[#This Row],[Mã sản phẩm]],'Giá gốc'!$B:$C,2,0)</f>
        <v>Tokpokki chả cá 350g</v>
      </c>
      <c r="J205" s="74">
        <f>VLOOKUP(gia_khuyen_mai[[#This Row],[Mã sản phẩm]],'Giá gốc'!B:D,3,0)</f>
        <v>42000</v>
      </c>
      <c r="K205" s="73">
        <v>0.35</v>
      </c>
      <c r="L205" s="6">
        <f>ROUND((1-gia_khuyen_mai[[#This Row],[% Giảm giá]]) * gia_khuyen_mai[[#This Row],[Giá gốc]], 0)</f>
        <v>27300</v>
      </c>
      <c r="M205" s="6"/>
      <c r="O205" s="3" t="str">
        <f>IFERROR(VLOOKUP(gia_khuyen_mai[[#This Row],[Mã hàng tặng]],'Giá gốc'!B:C,2,0),"")</f>
        <v/>
      </c>
      <c r="Q205" s="3" t="str">
        <f>VLOOKUP(gia_khuyen_mai[[#This Row],[Mã sản phẩm]],product[[Mã sản phẩm]:[DS - ĐV]],3,0)</f>
        <v>Food Đức Việt</v>
      </c>
    </row>
    <row r="206" spans="1:17" ht="21.75" customHeight="1">
      <c r="A206" s="38">
        <f>ROW()-1</f>
        <v>205</v>
      </c>
      <c r="B206" s="4" t="s">
        <v>13608</v>
      </c>
      <c r="C206" s="4" t="s">
        <v>183</v>
      </c>
      <c r="D206" s="4" t="s">
        <v>496</v>
      </c>
      <c r="E206" s="4" t="s">
        <v>13609</v>
      </c>
      <c r="F206" s="4" t="s">
        <v>13610</v>
      </c>
      <c r="G206" s="75" t="s">
        <v>391</v>
      </c>
      <c r="H206" s="3" t="str">
        <f>VLOOKUP(gia_khuyen_mai[[#This Row],[Barcode]],'Giá gốc'!$A:$B,2,0)</f>
        <v>2146404</v>
      </c>
      <c r="I206" s="3" t="str">
        <f>VLOOKUP(gia_khuyen_mai[[#This Row],[Mã sản phẩm]],'Giá gốc'!$B:$C,2,0)</f>
        <v>Xúc xích hong khói 500g (84)</v>
      </c>
      <c r="J206" s="5">
        <f>VLOOKUP(gia_khuyen_mai[[#This Row],[Mã sản phẩm]],'Giá gốc'!B:D,3,0)</f>
        <v>84000</v>
      </c>
      <c r="K206" s="56">
        <v>0.2</v>
      </c>
      <c r="L206" s="6">
        <f>ROUND((1-gia_khuyen_mai[[#This Row],[% Giảm giá]]) * gia_khuyen_mai[[#This Row],[Giá gốc]], 0)</f>
        <v>67200</v>
      </c>
      <c r="M206" s="6"/>
      <c r="O206" s="3" t="str">
        <f>IFERROR(VLOOKUP(gia_khuyen_mai[[#This Row],[Mã hàng tặng]],'Giá gốc'!B:C,2,0),"")</f>
        <v/>
      </c>
      <c r="Q206" s="3" t="str">
        <f>VLOOKUP(gia_khuyen_mai[[#This Row],[Mã sản phẩm]],product[[Mã sản phẩm]:[DS - ĐV]],3,0)</f>
        <v>Food Đức Việt</v>
      </c>
    </row>
    <row r="207" spans="1:17" ht="21.75" customHeight="1">
      <c r="A207" s="38">
        <f t="shared" ref="A207:A212" si="18">ROW()-1</f>
        <v>206</v>
      </c>
      <c r="B207" s="4" t="s">
        <v>13608</v>
      </c>
      <c r="C207" s="4" t="s">
        <v>500</v>
      </c>
      <c r="D207" s="4" t="s">
        <v>496</v>
      </c>
      <c r="E207" s="4" t="s">
        <v>13609</v>
      </c>
      <c r="F207" s="4" t="s">
        <v>13657</v>
      </c>
      <c r="G207" s="70" t="s">
        <v>379</v>
      </c>
      <c r="H207" s="3" t="str">
        <f>VLOOKUP(gia_khuyen_mai[[#This Row],[Barcode]],'Giá gốc'!$A:$B,2,0)</f>
        <v>2145689</v>
      </c>
      <c r="I207" s="3" t="str">
        <f>VLOOKUP(gia_khuyen_mai[[#This Row],[Mã sản phẩm]],'Giá gốc'!$B:$C,2,0)</f>
        <v>Xúc xích vườn bia 450g * 1EA</v>
      </c>
      <c r="J207" s="5">
        <f>VLOOKUP(gia_khuyen_mai[[#This Row],[Mã sản phẩm]],'Giá gốc'!B:D,3,0)</f>
        <v>84200</v>
      </c>
      <c r="K207" s="56"/>
      <c r="L207" s="6">
        <f>ROUND((1-gia_khuyen_mai[[#This Row],[% Giảm giá]]) * gia_khuyen_mai[[#This Row],[Giá gốc]], 0)</f>
        <v>84200</v>
      </c>
      <c r="M207" s="6" t="s">
        <v>503</v>
      </c>
      <c r="N207" s="3" t="s">
        <v>410</v>
      </c>
      <c r="O207" s="3" t="str">
        <f>IFERROR(VLOOKUP(gia_khuyen_mai[[#This Row],[Mã hàng tặng]],'Giá gốc'!B:C,2,0),"")</f>
        <v>Xúc xích Hotdog 200g</v>
      </c>
      <c r="Q207" s="3" t="str">
        <f>VLOOKUP(gia_khuyen_mai[[#This Row],[Mã sản phẩm]],product[[Mã sản phẩm]:[DS - ĐV]],3,0)</f>
        <v>Food Đức Việt</v>
      </c>
    </row>
    <row r="208" spans="1:17" ht="21.75" customHeight="1">
      <c r="A208" s="38">
        <f t="shared" si="18"/>
        <v>207</v>
      </c>
      <c r="B208" s="4" t="s">
        <v>13608</v>
      </c>
      <c r="C208" s="4" t="s">
        <v>500</v>
      </c>
      <c r="D208" s="4" t="s">
        <v>496</v>
      </c>
      <c r="E208" s="4" t="s">
        <v>13609</v>
      </c>
      <c r="F208" s="4" t="s">
        <v>13610</v>
      </c>
      <c r="G208" s="70" t="s">
        <v>385</v>
      </c>
      <c r="H208" s="3" t="str">
        <f>VLOOKUP(gia_khuyen_mai[[#This Row],[Barcode]],'Giá gốc'!$A:$B,2,0)</f>
        <v>2145714</v>
      </c>
      <c r="I208" s="3" t="str">
        <f>VLOOKUP(gia_khuyen_mai[[#This Row],[Mã sản phẩm]],'Giá gốc'!$B:$C,2,0)</f>
        <v>Xúc xích viên hong khói 200g</v>
      </c>
      <c r="J208" s="5">
        <f>VLOOKUP(gia_khuyen_mai[[#This Row],[Mã sản phẩm]],'Giá gốc'!B:D,3,0)</f>
        <v>38400</v>
      </c>
      <c r="K208" s="56">
        <v>0.2</v>
      </c>
      <c r="L208" s="6">
        <f>ROUND((1-gia_khuyen_mai[[#This Row],[% Giảm giá]]) * gia_khuyen_mai[[#This Row],[Giá gốc]], 0)</f>
        <v>30720</v>
      </c>
      <c r="M208" s="6"/>
      <c r="O208" s="3" t="str">
        <f>IFERROR(VLOOKUP(gia_khuyen_mai[[#This Row],[Mã hàng tặng]],'Giá gốc'!B:C,2,0),"")</f>
        <v/>
      </c>
      <c r="Q208" s="3" t="str">
        <f>VLOOKUP(gia_khuyen_mai[[#This Row],[Mã sản phẩm]],product[[Mã sản phẩm]:[DS - ĐV]],3,0)</f>
        <v>Food Đức Việt</v>
      </c>
    </row>
    <row r="209" spans="1:17" ht="21.75" customHeight="1">
      <c r="A209" s="38">
        <f t="shared" si="18"/>
        <v>208</v>
      </c>
      <c r="B209" s="4" t="s">
        <v>13608</v>
      </c>
      <c r="C209" s="4" t="s">
        <v>500</v>
      </c>
      <c r="D209" s="4" t="s">
        <v>496</v>
      </c>
      <c r="E209" s="4" t="s">
        <v>13609</v>
      </c>
      <c r="F209" s="4" t="s">
        <v>13610</v>
      </c>
      <c r="G209" s="70" t="s">
        <v>403</v>
      </c>
      <c r="H209" s="3" t="str">
        <f>VLOOKUP(gia_khuyen_mai[[#This Row],[Barcode]],'Giá gốc'!$A:$B,2,0)</f>
        <v>2145762</v>
      </c>
      <c r="I209" s="3" t="str">
        <f>VLOOKUP(gia_khuyen_mai[[#This Row],[Mã sản phẩm]],'Giá gốc'!$B:$C,2,0)</f>
        <v>Xúc xích Cocktail 200g</v>
      </c>
      <c r="J209" s="5">
        <f>VLOOKUP(gia_khuyen_mai[[#This Row],[Mã sản phẩm]],'Giá gốc'!B:D,3,0)</f>
        <v>21100</v>
      </c>
      <c r="K209" s="56">
        <v>0.2</v>
      </c>
      <c r="L209" s="6">
        <f>ROUND((1-gia_khuyen_mai[[#This Row],[% Giảm giá]]) * gia_khuyen_mai[[#This Row],[Giá gốc]], 0)</f>
        <v>16880</v>
      </c>
      <c r="M209" s="6"/>
      <c r="O209" s="3" t="str">
        <f>IFERROR(VLOOKUP(gia_khuyen_mai[[#This Row],[Mã hàng tặng]],'Giá gốc'!B:C,2,0),"")</f>
        <v/>
      </c>
      <c r="Q209" s="3" t="str">
        <f>VLOOKUP(gia_khuyen_mai[[#This Row],[Mã sản phẩm]],product[[Mã sản phẩm]:[DS - ĐV]],3,0)</f>
        <v>Food Đức Việt</v>
      </c>
    </row>
    <row r="210" spans="1:17" ht="21.75" customHeight="1">
      <c r="A210" s="38">
        <f t="shared" si="18"/>
        <v>209</v>
      </c>
      <c r="B210" s="4" t="s">
        <v>13608</v>
      </c>
      <c r="C210" s="4" t="s">
        <v>500</v>
      </c>
      <c r="D210" s="4" t="s">
        <v>496</v>
      </c>
      <c r="E210" s="4" t="s">
        <v>13609</v>
      </c>
      <c r="F210" s="4" t="s">
        <v>13610</v>
      </c>
      <c r="G210" s="70" t="s">
        <v>433</v>
      </c>
      <c r="H210" s="3" t="str">
        <f>VLOOKUP(gia_khuyen_mai[[#This Row],[Barcode]],'Giá gốc'!$A:$B,2,0)</f>
        <v>2146417</v>
      </c>
      <c r="I210" s="3" t="str">
        <f>VLOOKUP(gia_khuyen_mai[[#This Row],[Mã sản phẩm]],'Giá gốc'!$B:$C,2,0)</f>
        <v>Chân giò hong khói rút xương 300g</v>
      </c>
      <c r="J210" s="5">
        <f>VLOOKUP(gia_khuyen_mai[[#This Row],[Mã sản phẩm]],'Giá gốc'!B:D,3,0)</f>
        <v>67700</v>
      </c>
      <c r="K210" s="56">
        <v>0.2</v>
      </c>
      <c r="L210" s="6">
        <f>ROUND((1-gia_khuyen_mai[[#This Row],[% Giảm giá]]) * gia_khuyen_mai[[#This Row],[Giá gốc]], 0)</f>
        <v>54160</v>
      </c>
      <c r="M210" s="6"/>
      <c r="O210" s="3" t="str">
        <f>IFERROR(VLOOKUP(gia_khuyen_mai[[#This Row],[Mã hàng tặng]],'Giá gốc'!B:C,2,0),"")</f>
        <v/>
      </c>
      <c r="Q210" s="3" t="str">
        <f>VLOOKUP(gia_khuyen_mai[[#This Row],[Mã sản phẩm]],product[[Mã sản phẩm]:[DS - ĐV]],3,0)</f>
        <v>Food Đức Việt</v>
      </c>
    </row>
    <row r="211" spans="1:17" ht="21.75" customHeight="1">
      <c r="A211" s="38">
        <f t="shared" si="18"/>
        <v>210</v>
      </c>
      <c r="B211" s="4" t="s">
        <v>13608</v>
      </c>
      <c r="C211" s="4" t="s">
        <v>500</v>
      </c>
      <c r="D211" s="4" t="s">
        <v>496</v>
      </c>
      <c r="E211" s="4" t="s">
        <v>13609</v>
      </c>
      <c r="F211" s="4" t="s">
        <v>13610</v>
      </c>
      <c r="G211" s="70" t="s">
        <v>464</v>
      </c>
      <c r="H211" s="3" t="str">
        <f>VLOOKUP(gia_khuyen_mai[[#This Row],[Barcode]],'Giá gốc'!$A:$B,2,0)</f>
        <v>2145622</v>
      </c>
      <c r="I211" s="3" t="str">
        <f>VLOOKUP(gia_khuyen_mai[[#This Row],[Mã sản phẩm]],'Giá gốc'!$B:$C,2,0)</f>
        <v>Kim chi 450</v>
      </c>
      <c r="J211" s="5">
        <f>VLOOKUP(gia_khuyen_mai[[#This Row],[Mã sản phẩm]],'Giá gốc'!B:D,3,0)</f>
        <v>35500</v>
      </c>
      <c r="K211" s="56">
        <v>0.35</v>
      </c>
      <c r="L211" s="6">
        <f>ROUND((1-gia_khuyen_mai[[#This Row],[% Giảm giá]]) * gia_khuyen_mai[[#This Row],[Giá gốc]], 0)</f>
        <v>23075</v>
      </c>
      <c r="M211" s="6"/>
      <c r="O211" s="3" t="str">
        <f>IFERROR(VLOOKUP(gia_khuyen_mai[[#This Row],[Mã hàng tặng]],'Giá gốc'!B:C,2,0),"")</f>
        <v/>
      </c>
      <c r="Q211" s="3" t="str">
        <f>VLOOKUP(gia_khuyen_mai[[#This Row],[Mã sản phẩm]],product[[Mã sản phẩm]:[DS - ĐV]],3,0)</f>
        <v>Food Đức Việt</v>
      </c>
    </row>
    <row r="212" spans="1:17" ht="21.75" customHeight="1">
      <c r="A212" s="71">
        <f t="shared" si="18"/>
        <v>211</v>
      </c>
      <c r="B212" s="4" t="s">
        <v>13608</v>
      </c>
      <c r="C212" s="4" t="s">
        <v>500</v>
      </c>
      <c r="D212" s="4" t="s">
        <v>496</v>
      </c>
      <c r="E212" s="4" t="s">
        <v>13609</v>
      </c>
      <c r="F212" s="4" t="s">
        <v>13610</v>
      </c>
      <c r="G212" s="72" t="s">
        <v>12824</v>
      </c>
      <c r="H212" s="3" t="str">
        <f>VLOOKUP(gia_khuyen_mai[[#This Row],[Barcode]],'Giá gốc'!$A:$B,2,0)</f>
        <v>2151323</v>
      </c>
      <c r="I212" s="3" t="str">
        <f>VLOOKUP(gia_khuyen_mai[[#This Row],[Mã sản phẩm]],'Giá gốc'!$B:$C,2,0)</f>
        <v>OFOOD Tteokgalbi chả nướng HQ 200g</v>
      </c>
      <c r="J212" s="74">
        <f>VLOOKUP(gia_khuyen_mai[[#This Row],[Mã sản phẩm]],'Giá gốc'!B:D,3,0)</f>
        <v>36000</v>
      </c>
      <c r="K212" s="73">
        <v>0.25</v>
      </c>
      <c r="L212" s="6">
        <f>ROUND((1-gia_khuyen_mai[[#This Row],[% Giảm giá]]) * gia_khuyen_mai[[#This Row],[Giá gốc]], 0)</f>
        <v>27000</v>
      </c>
      <c r="M212" s="6"/>
      <c r="O212" s="3" t="str">
        <f>IFERROR(VLOOKUP(gia_khuyen_mai[[#This Row],[Mã hàng tặng]],'Giá gốc'!B:C,2,0),"")</f>
        <v/>
      </c>
      <c r="Q212" s="3" t="str">
        <f>VLOOKUP(gia_khuyen_mai[[#This Row],[Mã sản phẩm]],product[[Mã sản phẩm]:[DS - ĐV]],3,0)</f>
        <v>Food Đức Việt</v>
      </c>
    </row>
    <row r="213" spans="1:17" ht="21.75" customHeight="1">
      <c r="A213" s="38">
        <f>ROW()-1</f>
        <v>212</v>
      </c>
      <c r="B213" s="4" t="s">
        <v>13608</v>
      </c>
      <c r="C213" s="4" t="s">
        <v>500</v>
      </c>
      <c r="D213" s="4" t="s">
        <v>496</v>
      </c>
      <c r="E213" s="4" t="s">
        <v>13611</v>
      </c>
      <c r="F213" s="4" t="s">
        <v>13610</v>
      </c>
      <c r="G213" s="39" t="s">
        <v>12460</v>
      </c>
      <c r="H213" s="3" t="str">
        <f>VLOOKUP(gia_khuyen_mai[[#This Row],[Barcode]],'Giá gốc'!$A:$B,2,0)</f>
        <v>2151140</v>
      </c>
      <c r="I213" s="3" t="str">
        <f>VLOOKUP(gia_khuyen_mai[[#This Row],[Mã sản phẩm]],'Giá gốc'!$B:$C,2,0)</f>
        <v>Jongga Kim chi Củ cải 150g</v>
      </c>
      <c r="J213" s="5">
        <f>VLOOKUP(gia_khuyen_mai[[#This Row],[Mã sản phẩm]],'Giá gốc'!B:D,3,0)</f>
        <v>16500</v>
      </c>
      <c r="K213" s="56">
        <v>0.2</v>
      </c>
      <c r="L213" s="6">
        <f>ROUND((1-gia_khuyen_mai[[#This Row],[% Giảm giá]]) * gia_khuyen_mai[[#This Row],[Giá gốc]], 0)</f>
        <v>13200</v>
      </c>
      <c r="M213" s="6"/>
      <c r="O213" s="3" t="str">
        <f>IFERROR(VLOOKUP(gia_khuyen_mai[[#This Row],[Mã hàng tặng]],'Giá gốc'!B:C,2,0),"")</f>
        <v/>
      </c>
      <c r="Q213" s="3" t="str">
        <f>VLOOKUP(gia_khuyen_mai[[#This Row],[Mã sản phẩm]],product[[Mã sản phẩm]:[DS - ĐV]],3,0)</f>
        <v>Food Đức Việt</v>
      </c>
    </row>
    <row r="214" spans="1:17" ht="21.75" customHeight="1">
      <c r="A214" s="38">
        <f>ROW()-1</f>
        <v>213</v>
      </c>
      <c r="B214" s="4" t="s">
        <v>13612</v>
      </c>
      <c r="C214" s="4" t="s">
        <v>5</v>
      </c>
      <c r="D214" s="4" t="s">
        <v>496</v>
      </c>
      <c r="E214" s="4" t="s">
        <v>13609</v>
      </c>
      <c r="F214" s="4" t="s">
        <v>13417</v>
      </c>
      <c r="G214" s="70" t="s">
        <v>476</v>
      </c>
      <c r="H214" s="3" t="str">
        <f>VLOOKUP(gia_khuyen_mai[[#This Row],[Barcode]],'Giá gốc'!$A:$B,2,0)</f>
        <v>2150337</v>
      </c>
      <c r="I214" s="3" t="str">
        <f>VLOOKUP(gia_khuyen_mai[[#This Row],[Mã sản phẩm]],'Giá gốc'!$B:$C,2,0)</f>
        <v>O'food Chả giò da xốp nhân thịt 300g</v>
      </c>
      <c r="J214" s="5">
        <f>VLOOKUP(gia_khuyen_mai[[#This Row],[Mã sản phẩm]],'Giá gốc'!B:D,3,0)</f>
        <v>31524</v>
      </c>
      <c r="K214" s="56"/>
      <c r="L214" s="6">
        <f>ROUND((1-gia_khuyen_mai[[#This Row],[% Giảm giá]]) * gia_khuyen_mai[[#This Row],[Giá gốc]], 0)</f>
        <v>31524</v>
      </c>
      <c r="M214" s="6" t="s">
        <v>503</v>
      </c>
      <c r="N214" s="3" t="s">
        <v>10779</v>
      </c>
      <c r="O214" s="3" t="str">
        <f>IFERROR(VLOOKUP(gia_khuyen_mai[[#This Row],[Mã hàng tặng]],'Giá gốc'!B:C,2,0),"")</f>
        <v>Viên mực rong biển 300g</v>
      </c>
      <c r="Q214" s="3" t="str">
        <f>VLOOKUP(gia_khuyen_mai[[#This Row],[Mã sản phẩm]],product[[Mã sản phẩm]:[DS - ĐV]],3,0)</f>
        <v>Food Đức Việt</v>
      </c>
    </row>
    <row r="215" spans="1:17" ht="21.75" customHeight="1">
      <c r="A215" s="38">
        <f>ROW()-1</f>
        <v>214</v>
      </c>
      <c r="B215" s="4" t="s">
        <v>13612</v>
      </c>
      <c r="C215" s="4" t="s">
        <v>5</v>
      </c>
      <c r="D215" s="4" t="s">
        <v>496</v>
      </c>
      <c r="E215" s="4" t="s">
        <v>13609</v>
      </c>
      <c r="F215" s="4" t="s">
        <v>13417</v>
      </c>
      <c r="G215" s="70" t="s">
        <v>479</v>
      </c>
      <c r="H215" s="3" t="str">
        <f>VLOOKUP(gia_khuyen_mai[[#This Row],[Barcode]],'Giá gốc'!$A:$B,2,0)</f>
        <v>2150338</v>
      </c>
      <c r="I215" s="3" t="str">
        <f>VLOOKUP(gia_khuyen_mai[[#This Row],[Mã sản phẩm]],'Giá gốc'!$B:$C,2,0)</f>
        <v>O'food Chả giò da xốp hải sản 300g</v>
      </c>
      <c r="J215" s="5">
        <f>VLOOKUP(gia_khuyen_mai[[#This Row],[Mã sản phẩm]],'Giá gốc'!B:D,3,0)</f>
        <v>31524</v>
      </c>
      <c r="K215" s="56"/>
      <c r="L215" s="6">
        <f>ROUND((1-gia_khuyen_mai[[#This Row],[% Giảm giá]]) * gia_khuyen_mai[[#This Row],[Giá gốc]], 0)</f>
        <v>31524</v>
      </c>
      <c r="M215" s="6" t="s">
        <v>503</v>
      </c>
      <c r="N215" s="3" t="s">
        <v>10779</v>
      </c>
      <c r="O215" s="3" t="str">
        <f>IFERROR(VLOOKUP(gia_khuyen_mai[[#This Row],[Mã hàng tặng]],'Giá gốc'!B:C,2,0),"")</f>
        <v>Viên mực rong biển 300g</v>
      </c>
      <c r="Q215" s="3" t="str">
        <f>VLOOKUP(gia_khuyen_mai[[#This Row],[Mã sản phẩm]],product[[Mã sản phẩm]:[DS - ĐV]],3,0)</f>
        <v>Food Đức Việt</v>
      </c>
    </row>
    <row r="216" spans="1:17" ht="21.75" customHeight="1">
      <c r="A216" s="38">
        <f t="shared" ref="A216:A224" si="19">ROW()-1</f>
        <v>215</v>
      </c>
      <c r="B216" s="4" t="s">
        <v>13654</v>
      </c>
      <c r="C216" s="4" t="s">
        <v>500</v>
      </c>
      <c r="D216" s="4" t="s">
        <v>496</v>
      </c>
      <c r="E216" s="4" t="s">
        <v>13652</v>
      </c>
      <c r="F216" s="4" t="s">
        <v>13653</v>
      </c>
      <c r="G216" s="70" t="s">
        <v>382</v>
      </c>
      <c r="H216" s="3" t="str">
        <f>VLOOKUP(gia_khuyen_mai[[#This Row],[Barcode]],'Giá gốc'!$A:$B,2,0)</f>
        <v>2145691</v>
      </c>
      <c r="I216" s="3" t="str">
        <f>VLOOKUP(gia_khuyen_mai[[#This Row],[Mã sản phẩm]],'Giá gốc'!$B:$C,2,0)</f>
        <v>Xúc xích viên hong khói 450g * 1EA</v>
      </c>
      <c r="J216" s="5">
        <f>VLOOKUP(gia_khuyen_mai[[#This Row],[Mã sản phẩm]],'Giá gốc'!B:D,3,0)</f>
        <v>84200</v>
      </c>
      <c r="K216" s="56"/>
      <c r="L216" s="6">
        <f>ROUND((1-gia_khuyen_mai[[#This Row],[% Giảm giá]]) * gia_khuyen_mai[[#This Row],[Giá gốc]], 0)</f>
        <v>84200</v>
      </c>
      <c r="M216" s="6" t="s">
        <v>503</v>
      </c>
      <c r="N216" s="3" t="s">
        <v>410</v>
      </c>
      <c r="O216" s="3" t="str">
        <f>IFERROR(VLOOKUP(gia_khuyen_mai[[#This Row],[Mã hàng tặng]],'Giá gốc'!B:C,2,0),"")</f>
        <v>Xúc xích Hotdog 200g</v>
      </c>
      <c r="Q216" s="3" t="str">
        <f>VLOOKUP(gia_khuyen_mai[[#This Row],[Mã sản phẩm]],product[[Mã sản phẩm]:[DS - ĐV]],3,0)</f>
        <v>Food Đức Việt</v>
      </c>
    </row>
    <row r="217" spans="1:17" ht="21.75" customHeight="1">
      <c r="A217" s="38">
        <f t="shared" si="19"/>
        <v>216</v>
      </c>
      <c r="B217" s="4" t="s">
        <v>13654</v>
      </c>
      <c r="C217" s="4" t="s">
        <v>500</v>
      </c>
      <c r="D217" s="4" t="s">
        <v>496</v>
      </c>
      <c r="E217" s="4" t="s">
        <v>13652</v>
      </c>
      <c r="F217" s="4" t="s">
        <v>13653</v>
      </c>
      <c r="G217" s="70" t="s">
        <v>394</v>
      </c>
      <c r="H217" s="3" t="str">
        <f>VLOOKUP(gia_khuyen_mai[[#This Row],[Barcode]],'Giá gốc'!$A:$B,2,0)</f>
        <v>2145744</v>
      </c>
      <c r="I217" s="3" t="str">
        <f>VLOOKUP(gia_khuyen_mai[[#This Row],[Mã sản phẩm]],'Giá gốc'!$B:$C,2,0)</f>
        <v>Xúc xích bắp phô mai 250g</v>
      </c>
      <c r="J217" s="5">
        <f>VLOOKUP(gia_khuyen_mai[[#This Row],[Mã sản phẩm]],'Giá gốc'!B:D,3,0)</f>
        <v>49400</v>
      </c>
      <c r="K217" s="56">
        <v>0.25</v>
      </c>
      <c r="L217" s="6">
        <f>ROUND((1-gia_khuyen_mai[[#This Row],[% Giảm giá]]) * gia_khuyen_mai[[#This Row],[Giá gốc]], 0)</f>
        <v>37050</v>
      </c>
      <c r="M217" s="6"/>
      <c r="O217" s="3" t="str">
        <f>IFERROR(VLOOKUP(gia_khuyen_mai[[#This Row],[Mã hàng tặng]],'Giá gốc'!B:C,2,0),"")</f>
        <v/>
      </c>
      <c r="Q217" s="3" t="str">
        <f>VLOOKUP(gia_khuyen_mai[[#This Row],[Mã sản phẩm]],product[[Mã sản phẩm]:[DS - ĐV]],3,0)</f>
        <v>Food Đức Việt</v>
      </c>
    </row>
    <row r="218" spans="1:17" ht="21.75" customHeight="1">
      <c r="A218" s="38">
        <f t="shared" si="19"/>
        <v>217</v>
      </c>
      <c r="B218" s="4" t="s">
        <v>13654</v>
      </c>
      <c r="C218" s="4" t="s">
        <v>500</v>
      </c>
      <c r="D218" s="4" t="s">
        <v>496</v>
      </c>
      <c r="E218" s="4" t="s">
        <v>13652</v>
      </c>
      <c r="F218" s="4" t="s">
        <v>13653</v>
      </c>
      <c r="G218" s="70" t="s">
        <v>409</v>
      </c>
      <c r="H218" s="3" t="str">
        <f>VLOOKUP(gia_khuyen_mai[[#This Row],[Barcode]],'Giá gốc'!$A:$B,2,0)</f>
        <v>2145765</v>
      </c>
      <c r="I218" s="3" t="str">
        <f>VLOOKUP(gia_khuyen_mai[[#This Row],[Mã sản phẩm]],'Giá gốc'!$B:$C,2,0)</f>
        <v>Xúc xích Hotdog 200g</v>
      </c>
      <c r="J218" s="5">
        <f>VLOOKUP(gia_khuyen_mai[[#This Row],[Mã sản phẩm]],'Giá gốc'!B:D,3,0)</f>
        <v>20100</v>
      </c>
      <c r="K218" s="56">
        <v>0.25</v>
      </c>
      <c r="L218" s="6">
        <f>ROUND((1-gia_khuyen_mai[[#This Row],[% Giảm giá]]) * gia_khuyen_mai[[#This Row],[Giá gốc]], 0)</f>
        <v>15075</v>
      </c>
      <c r="M218" s="6"/>
      <c r="O218" s="3" t="str">
        <f>IFERROR(VLOOKUP(gia_khuyen_mai[[#This Row],[Mã hàng tặng]],'Giá gốc'!B:C,2,0),"")</f>
        <v/>
      </c>
      <c r="Q218" s="3" t="str">
        <f>VLOOKUP(gia_khuyen_mai[[#This Row],[Mã sản phẩm]],product[[Mã sản phẩm]:[DS - ĐV]],3,0)</f>
        <v>Food Đức Việt</v>
      </c>
    </row>
    <row r="219" spans="1:17" ht="21.75" customHeight="1">
      <c r="A219" s="38">
        <f t="shared" si="19"/>
        <v>218</v>
      </c>
      <c r="B219" s="4" t="s">
        <v>13654</v>
      </c>
      <c r="C219" s="4" t="s">
        <v>500</v>
      </c>
      <c r="D219" s="4" t="s">
        <v>496</v>
      </c>
      <c r="E219" s="4" t="s">
        <v>13652</v>
      </c>
      <c r="F219" s="4" t="s">
        <v>13653</v>
      </c>
      <c r="G219" s="70" t="s">
        <v>415</v>
      </c>
      <c r="H219" s="3" t="str">
        <f>VLOOKUP(gia_khuyen_mai[[#This Row],[Barcode]],'Giá gốc'!$A:$B,2,0)</f>
        <v>2145767</v>
      </c>
      <c r="I219" s="3" t="str">
        <f>VLOOKUP(gia_khuyen_mai[[#This Row],[Mã sản phẩm]],'Giá gốc'!$B:$C,2,0)</f>
        <v>Xúc xích Mỹ 500g</v>
      </c>
      <c r="J219" s="5">
        <f>VLOOKUP(gia_khuyen_mai[[#This Row],[Mã sản phẩm]],'Giá gốc'!B:D,3,0)</f>
        <v>55600</v>
      </c>
      <c r="K219" s="56">
        <v>0.2</v>
      </c>
      <c r="L219" s="6">
        <f>ROUND((1-gia_khuyen_mai[[#This Row],[% Giảm giá]]) * gia_khuyen_mai[[#This Row],[Giá gốc]], 0)</f>
        <v>44480</v>
      </c>
      <c r="M219" s="6"/>
      <c r="O219" s="3" t="str">
        <f>IFERROR(VLOOKUP(gia_khuyen_mai[[#This Row],[Mã hàng tặng]],'Giá gốc'!B:C,2,0),"")</f>
        <v/>
      </c>
      <c r="Q219" s="3" t="str">
        <f>VLOOKUP(gia_khuyen_mai[[#This Row],[Mã sản phẩm]],product[[Mã sản phẩm]:[DS - ĐV]],3,0)</f>
        <v>Food Đức Việt</v>
      </c>
    </row>
    <row r="220" spans="1:17" ht="21.75" customHeight="1">
      <c r="A220" s="38">
        <f t="shared" si="19"/>
        <v>219</v>
      </c>
      <c r="B220" s="4" t="s">
        <v>13654</v>
      </c>
      <c r="C220" s="4" t="s">
        <v>500</v>
      </c>
      <c r="D220" s="4" t="s">
        <v>496</v>
      </c>
      <c r="E220" s="4" t="s">
        <v>13652</v>
      </c>
      <c r="F220" s="4" t="s">
        <v>13653</v>
      </c>
      <c r="G220" s="70" t="s">
        <v>427</v>
      </c>
      <c r="H220" s="3" t="str">
        <f>VLOOKUP(gia_khuyen_mai[[#This Row],[Barcode]],'Giá gốc'!$A:$B,2,0)</f>
        <v>2145743</v>
      </c>
      <c r="I220" s="3" t="str">
        <f>VLOOKUP(gia_khuyen_mai[[#This Row],[Mã sản phẩm]],'Giá gốc'!$B:$C,2,0)</f>
        <v>Xúc xích sụn nướng Bulgogi 450g</v>
      </c>
      <c r="J220" s="5">
        <f>VLOOKUP(gia_khuyen_mai[[#This Row],[Mã sản phẩm]],'Giá gốc'!B:D,3,0)</f>
        <v>74500</v>
      </c>
      <c r="K220" s="56">
        <v>0.3</v>
      </c>
      <c r="L220" s="6">
        <f>ROUND((1-gia_khuyen_mai[[#This Row],[% Giảm giá]]) * gia_khuyen_mai[[#This Row],[Giá gốc]], 0)</f>
        <v>52150</v>
      </c>
      <c r="M220" s="6"/>
      <c r="O220" s="3" t="str">
        <f>IFERROR(VLOOKUP(gia_khuyen_mai[[#This Row],[Mã hàng tặng]],'Giá gốc'!B:C,2,0),"")</f>
        <v/>
      </c>
      <c r="Q220" s="3" t="str">
        <f>VLOOKUP(gia_khuyen_mai[[#This Row],[Mã sản phẩm]],product[[Mã sản phẩm]:[DS - ĐV]],3,0)</f>
        <v>Food Đức Việt</v>
      </c>
    </row>
    <row r="221" spans="1:17" ht="21.75" customHeight="1">
      <c r="A221" s="38">
        <f t="shared" si="19"/>
        <v>220</v>
      </c>
      <c r="B221" s="4" t="s">
        <v>13654</v>
      </c>
      <c r="C221" s="4" t="s">
        <v>500</v>
      </c>
      <c r="D221" s="4" t="s">
        <v>496</v>
      </c>
      <c r="E221" s="4" t="s">
        <v>13652</v>
      </c>
      <c r="F221" s="4" t="s">
        <v>13653</v>
      </c>
      <c r="G221" s="70" t="s">
        <v>470</v>
      </c>
      <c r="H221" s="3" t="str">
        <f>VLOOKUP(gia_khuyen_mai[[#This Row],[Barcode]],'Giá gốc'!$A:$B,2,0)</f>
        <v>2145699</v>
      </c>
      <c r="I221" s="3" t="str">
        <f>VLOOKUP(gia_khuyen_mai[[#This Row],[Mã sản phẩm]],'Giá gốc'!$B:$C,2,0)</f>
        <v>Seoul's Hotdog Chiên xù 250g (Đ)</v>
      </c>
      <c r="J221" s="5">
        <f>VLOOKUP(gia_khuyen_mai[[#This Row],[Mã sản phẩm]],'Giá gốc'!B:D,3,0)</f>
        <v>39150</v>
      </c>
      <c r="K221" s="56">
        <v>0.25</v>
      </c>
      <c r="L221" s="6">
        <f>ROUND((1-gia_khuyen_mai[[#This Row],[% Giảm giá]]) * gia_khuyen_mai[[#This Row],[Giá gốc]], 0)</f>
        <v>29363</v>
      </c>
      <c r="M221" s="6"/>
      <c r="O221" s="3" t="str">
        <f>IFERROR(VLOOKUP(gia_khuyen_mai[[#This Row],[Mã hàng tặng]],'Giá gốc'!B:C,2,0),"")</f>
        <v/>
      </c>
      <c r="Q221" s="3" t="str">
        <f>VLOOKUP(gia_khuyen_mai[[#This Row],[Mã sản phẩm]],product[[Mã sản phẩm]:[DS - ĐV]],3,0)</f>
        <v>Food Đức Việt</v>
      </c>
    </row>
    <row r="222" spans="1:17" ht="21.75" customHeight="1">
      <c r="A222" s="38">
        <f t="shared" si="19"/>
        <v>221</v>
      </c>
      <c r="B222" s="4" t="s">
        <v>13654</v>
      </c>
      <c r="C222" s="4" t="s">
        <v>500</v>
      </c>
      <c r="D222" s="4" t="s">
        <v>496</v>
      </c>
      <c r="E222" s="4" t="s">
        <v>13652</v>
      </c>
      <c r="F222" s="4" t="s">
        <v>13653</v>
      </c>
      <c r="G222" s="70" t="s">
        <v>482</v>
      </c>
      <c r="H222" s="3" t="str">
        <f>VLOOKUP(gia_khuyen_mai[[#This Row],[Barcode]],'Giá gốc'!$A:$B,2,0)</f>
        <v>2150771</v>
      </c>
      <c r="I222" s="3" t="str">
        <f>VLOOKUP(gia_khuyen_mai[[#This Row],[Mã sản phẩm]],'Giá gốc'!$B:$C,2,0)</f>
        <v>Lạp xưởng tươi (62g) 500g</v>
      </c>
      <c r="J222" s="5">
        <f>VLOOKUP(gia_khuyen_mai[[#This Row],[Mã sản phẩm]],'Giá gốc'!B:D,3,0)</f>
        <v>105000</v>
      </c>
      <c r="K222" s="56"/>
      <c r="L222" s="6">
        <f>ROUND((1-gia_khuyen_mai[[#This Row],[% Giảm giá]]) * gia_khuyen_mai[[#This Row],[Giá gốc]], 0)</f>
        <v>105000</v>
      </c>
      <c r="M222" s="6" t="s">
        <v>503</v>
      </c>
      <c r="N222" s="3" t="str">
        <f>VLOOKUP(gia_khuyen_mai[[#This Row],[Barcode]],'Giá gốc'!$A:$B,2,0)</f>
        <v>2150771</v>
      </c>
      <c r="O222" s="3" t="str">
        <f>IFERROR(VLOOKUP(gia_khuyen_mai[[#This Row],[Mã hàng tặng]],'Giá gốc'!B:C,2,0),"")</f>
        <v>Lạp xưởng tươi (62g) 500g</v>
      </c>
      <c r="Q222" s="3" t="str">
        <f>VLOOKUP(gia_khuyen_mai[[#This Row],[Mã sản phẩm]],product[[Mã sản phẩm]:[DS - ĐV]],3,0)</f>
        <v>Food Đức Việt</v>
      </c>
    </row>
    <row r="223" spans="1:17" ht="21.75" customHeight="1">
      <c r="A223" s="71">
        <f t="shared" si="19"/>
        <v>222</v>
      </c>
      <c r="B223" s="4" t="s">
        <v>13654</v>
      </c>
      <c r="C223" s="4" t="s">
        <v>183</v>
      </c>
      <c r="D223" s="4" t="s">
        <v>496</v>
      </c>
      <c r="E223" s="4" t="s">
        <v>13652</v>
      </c>
      <c r="F223" s="4" t="s">
        <v>13653</v>
      </c>
      <c r="G223" s="72" t="s">
        <v>12459</v>
      </c>
      <c r="H223" s="3" t="str">
        <f>VLOOKUP(gia_khuyen_mai[[#This Row],[Barcode]],'Giá gốc'!$A:$B,2,0)</f>
        <v>2151032</v>
      </c>
      <c r="I223" s="3" t="str">
        <f>VLOOKUP(gia_khuyen_mai[[#This Row],[Mã sản phẩm]],'Giá gốc'!$B:$C,2,0)</f>
        <v>Jongga Kim chi Củ cải 450g</v>
      </c>
      <c r="J223" s="74">
        <f>VLOOKUP(gia_khuyen_mai[[#This Row],[Mã sản phẩm]],'Giá gốc'!B:D,3,0)</f>
        <v>42000</v>
      </c>
      <c r="K223" s="73">
        <v>0.25</v>
      </c>
      <c r="L223" s="6">
        <f>ROUND((1-gia_khuyen_mai[[#This Row],[% Giảm giá]]) * gia_khuyen_mai[[#This Row],[Giá gốc]], 0)</f>
        <v>31500</v>
      </c>
      <c r="M223" s="6"/>
      <c r="O223" s="3" t="str">
        <f>IFERROR(VLOOKUP(gia_khuyen_mai[[#This Row],[Mã hàng tặng]],'Giá gốc'!B:C,2,0),"")</f>
        <v/>
      </c>
      <c r="Q223" s="3" t="str">
        <f>VLOOKUP(gia_khuyen_mai[[#This Row],[Mã sản phẩm]],product[[Mã sản phẩm]:[DS - ĐV]],3,0)</f>
        <v>Food Đức Việt</v>
      </c>
    </row>
    <row r="224" spans="1:17" ht="21.75" customHeight="1">
      <c r="A224" s="71">
        <f t="shared" si="19"/>
        <v>223</v>
      </c>
      <c r="B224" s="4" t="s">
        <v>13654</v>
      </c>
      <c r="C224" s="4" t="s">
        <v>5</v>
      </c>
      <c r="D224" s="4" t="s">
        <v>496</v>
      </c>
      <c r="E224" s="4" t="s">
        <v>13652</v>
      </c>
      <c r="F224" s="4" t="s">
        <v>13653</v>
      </c>
      <c r="G224" s="72" t="s">
        <v>12459</v>
      </c>
      <c r="H224" s="3" t="str">
        <f>VLOOKUP(gia_khuyen_mai[[#This Row],[Barcode]],'Giá gốc'!$A:$B,2,0)</f>
        <v>2151032</v>
      </c>
      <c r="I224" s="3" t="str">
        <f>VLOOKUP(gia_khuyen_mai[[#This Row],[Mã sản phẩm]],'Giá gốc'!$B:$C,2,0)</f>
        <v>Jongga Kim chi Củ cải 450g</v>
      </c>
      <c r="J224" s="74">
        <f>VLOOKUP(gia_khuyen_mai[[#This Row],[Mã sản phẩm]],'Giá gốc'!B:D,3,0)</f>
        <v>42000</v>
      </c>
      <c r="K224" s="73">
        <v>0.3</v>
      </c>
      <c r="L224" s="6">
        <f>ROUND((1-gia_khuyen_mai[[#This Row],[% Giảm giá]]) * gia_khuyen_mai[[#This Row],[Giá gốc]], 0)</f>
        <v>29400</v>
      </c>
      <c r="M224" s="6"/>
      <c r="O224" s="3" t="str">
        <f>IFERROR(VLOOKUP(gia_khuyen_mai[[#This Row],[Mã hàng tặng]],'Giá gốc'!B:C,2,0),"")</f>
        <v/>
      </c>
      <c r="Q224" s="3" t="str">
        <f>VLOOKUP(gia_khuyen_mai[[#This Row],[Mã sản phẩm]],product[[Mã sản phẩm]:[DS - ĐV]],3,0)</f>
        <v>Food Đức Việt</v>
      </c>
    </row>
    <row r="225" spans="1:17" ht="21.75" customHeight="1">
      <c r="A225" s="38">
        <f t="shared" ref="A225:A229" si="20">ROW()-1</f>
        <v>224</v>
      </c>
      <c r="B225" s="4" t="s">
        <v>13654</v>
      </c>
      <c r="C225" s="4" t="s">
        <v>183</v>
      </c>
      <c r="D225" s="4" t="s">
        <v>496</v>
      </c>
      <c r="E225" s="4" t="s">
        <v>13652</v>
      </c>
      <c r="F225" s="4" t="s">
        <v>13653</v>
      </c>
      <c r="G225" s="70" t="s">
        <v>412</v>
      </c>
      <c r="H225" s="3" t="str">
        <f>VLOOKUP(gia_khuyen_mai[[#This Row],[Barcode]],'Giá gốc'!$A:$B,2,0)</f>
        <v>2145768</v>
      </c>
      <c r="I225" s="3" t="str">
        <f>VLOOKUP(gia_khuyen_mai[[#This Row],[Mã sản phẩm]],'Giá gốc'!$B:$C,2,0)</f>
        <v>Xúc xích Hotdog 500g</v>
      </c>
      <c r="J225" s="5">
        <f>VLOOKUP(gia_khuyen_mai[[#This Row],[Mã sản phẩm]],'Giá gốc'!B:D,3,0)</f>
        <v>50200</v>
      </c>
      <c r="K225" s="56">
        <v>0.2</v>
      </c>
      <c r="L225" s="6">
        <f>ROUND((1-gia_khuyen_mai[[#This Row],[% Giảm giá]]) * gia_khuyen_mai[[#This Row],[Giá gốc]], 0)</f>
        <v>40160</v>
      </c>
      <c r="M225" s="6"/>
      <c r="O225" s="3" t="str">
        <f>IFERROR(VLOOKUP(gia_khuyen_mai[[#This Row],[Mã hàng tặng]],'Giá gốc'!B:C,2,0),"")</f>
        <v/>
      </c>
      <c r="Q225" s="3" t="str">
        <f>VLOOKUP(gia_khuyen_mai[[#This Row],[Mã sản phẩm]],product[[Mã sản phẩm]:[DS - ĐV]],3,0)</f>
        <v>Food Đức Việt</v>
      </c>
    </row>
    <row r="226" spans="1:17" ht="21.75" customHeight="1">
      <c r="A226" s="38">
        <f t="shared" si="20"/>
        <v>225</v>
      </c>
      <c r="B226" s="4" t="s">
        <v>13654</v>
      </c>
      <c r="C226" s="4" t="s">
        <v>183</v>
      </c>
      <c r="D226" s="4" t="s">
        <v>496</v>
      </c>
      <c r="E226" s="4" t="s">
        <v>13652</v>
      </c>
      <c r="F226" s="4" t="s">
        <v>13653</v>
      </c>
      <c r="G226" s="70" t="s">
        <v>424</v>
      </c>
      <c r="H226" s="3" t="str">
        <f>VLOOKUP(gia_khuyen_mai[[#This Row],[Barcode]],'Giá gốc'!$A:$B,2,0)</f>
        <v>2145774</v>
      </c>
      <c r="I226" s="3" t="str">
        <f>VLOOKUP(gia_khuyen_mai[[#This Row],[Mã sản phẩm]],'Giá gốc'!$B:$C,2,0)</f>
        <v>Xúc xích Pari (50g) 500g</v>
      </c>
      <c r="J226" s="5">
        <f>VLOOKUP(gia_khuyen_mai[[#This Row],[Mã sản phẩm]],'Giá gốc'!B:D,3,0)</f>
        <v>55600</v>
      </c>
      <c r="K226" s="56">
        <v>0.22</v>
      </c>
      <c r="L226" s="6">
        <f>ROUND((1-gia_khuyen_mai[[#This Row],[% Giảm giá]]) * gia_khuyen_mai[[#This Row],[Giá gốc]], 0)</f>
        <v>43368</v>
      </c>
      <c r="M226" s="6"/>
      <c r="O226" s="3" t="str">
        <f>IFERROR(VLOOKUP(gia_khuyen_mai[[#This Row],[Mã hàng tặng]],'Giá gốc'!B:C,2,0),"")</f>
        <v/>
      </c>
      <c r="Q226" s="3" t="str">
        <f>VLOOKUP(gia_khuyen_mai[[#This Row],[Mã sản phẩm]],product[[Mã sản phẩm]:[DS - ĐV]],3,0)</f>
        <v>Food Đức Việt</v>
      </c>
    </row>
    <row r="227" spans="1:17" ht="21.75" customHeight="1">
      <c r="A227" s="38">
        <f t="shared" si="20"/>
        <v>226</v>
      </c>
      <c r="B227" s="4" t="s">
        <v>13654</v>
      </c>
      <c r="C227" s="4" t="s">
        <v>183</v>
      </c>
      <c r="D227" s="4" t="s">
        <v>496</v>
      </c>
      <c r="E227" s="4" t="s">
        <v>13652</v>
      </c>
      <c r="F227" s="4" t="s">
        <v>13653</v>
      </c>
      <c r="G227" s="70" t="s">
        <v>458</v>
      </c>
      <c r="H227" s="3" t="str">
        <f>VLOOKUP(gia_khuyen_mai[[#This Row],[Barcode]],'Giá gốc'!$A:$B,2,0)</f>
        <v>2145680</v>
      </c>
      <c r="I227" s="3" t="str">
        <f>VLOOKUP(gia_khuyen_mai[[#This Row],[Mã sản phẩm]],'Giá gốc'!$B:$C,2,0)</f>
        <v>O'food Xúc xích Lắc Phô mai vị truyền thống 56g * 24EA</v>
      </c>
      <c r="J227" s="5">
        <f>VLOOKUP(gia_khuyen_mai[[#This Row],[Mã sản phẩm]],'Giá gốc'!B:D,3,0)</f>
        <v>9300</v>
      </c>
      <c r="K227" s="56">
        <v>0.25</v>
      </c>
      <c r="L227" s="6">
        <f>ROUND((1-gia_khuyen_mai[[#This Row],[% Giảm giá]]) * gia_khuyen_mai[[#This Row],[Giá gốc]], 0)</f>
        <v>6975</v>
      </c>
      <c r="M227" s="6"/>
      <c r="O227" s="3" t="str">
        <f>IFERROR(VLOOKUP(gia_khuyen_mai[[#This Row],[Mã hàng tặng]],'Giá gốc'!B:C,2,0),"")</f>
        <v/>
      </c>
      <c r="Q227" s="3" t="str">
        <f>VLOOKUP(gia_khuyen_mai[[#This Row],[Mã sản phẩm]],product[[Mã sản phẩm]:[DS - ĐV]],3,0)</f>
        <v>Food Đức Việt</v>
      </c>
    </row>
    <row r="228" spans="1:17" ht="21.75" customHeight="1">
      <c r="A228" s="38">
        <f t="shared" si="20"/>
        <v>227</v>
      </c>
      <c r="B228" s="4" t="s">
        <v>13654</v>
      </c>
      <c r="C228" s="4" t="s">
        <v>183</v>
      </c>
      <c r="D228" s="4" t="s">
        <v>496</v>
      </c>
      <c r="E228" s="4" t="s">
        <v>13652</v>
      </c>
      <c r="F228" s="4" t="s">
        <v>13653</v>
      </c>
      <c r="G228" s="70" t="s">
        <v>461</v>
      </c>
      <c r="H228" s="3" t="str">
        <f>VLOOKUP(gia_khuyen_mai[[#This Row],[Barcode]],'Giá gốc'!$A:$B,2,0)</f>
        <v>2145681</v>
      </c>
      <c r="I228" s="3" t="str">
        <f>VLOOKUP(gia_khuyen_mai[[#This Row],[Mã sản phẩm]],'Giá gốc'!$B:$C,2,0)</f>
        <v>O'food Xúc xích Lắc Phô mai vị dâu tây 56g * 24EA</v>
      </c>
      <c r="J228" s="5">
        <f>VLOOKUP(gia_khuyen_mai[[#This Row],[Mã sản phẩm]],'Giá gốc'!B:D,3,0)</f>
        <v>9300</v>
      </c>
      <c r="K228" s="56">
        <v>0.25</v>
      </c>
      <c r="L228" s="6">
        <f>ROUND((1-gia_khuyen_mai[[#This Row],[% Giảm giá]]) * gia_khuyen_mai[[#This Row],[Giá gốc]], 0)</f>
        <v>6975</v>
      </c>
      <c r="M228" s="6"/>
      <c r="O228" s="3" t="str">
        <f>IFERROR(VLOOKUP(gia_khuyen_mai[[#This Row],[Mã hàng tặng]],'Giá gốc'!B:C,2,0),"")</f>
        <v/>
      </c>
      <c r="Q228" s="3" t="str">
        <f>VLOOKUP(gia_khuyen_mai[[#This Row],[Mã sản phẩm]],product[[Mã sản phẩm]:[DS - ĐV]],3,0)</f>
        <v>Food Đức Việt</v>
      </c>
    </row>
    <row r="229" spans="1:17" ht="21.75" customHeight="1">
      <c r="A229" s="71">
        <f t="shared" si="20"/>
        <v>228</v>
      </c>
      <c r="B229" s="4" t="s">
        <v>13654</v>
      </c>
      <c r="C229" s="4" t="s">
        <v>183</v>
      </c>
      <c r="D229" s="4" t="s">
        <v>496</v>
      </c>
      <c r="E229" s="4" t="s">
        <v>13652</v>
      </c>
      <c r="F229" s="4" t="s">
        <v>13653</v>
      </c>
      <c r="G229" s="72" t="s">
        <v>12475</v>
      </c>
      <c r="H229" s="3" t="str">
        <f>VLOOKUP(gia_khuyen_mai[[#This Row],[Barcode]],'Giá gốc'!$A:$B,2,0)</f>
        <v>2149794</v>
      </c>
      <c r="I229" s="3" t="str">
        <f>VLOOKUP(gia_khuyen_mai[[#This Row],[Mã sản phẩm]],'Giá gốc'!$B:$C,2,0)</f>
        <v>Xúc xích Romas Light 500g</v>
      </c>
      <c r="J229" s="74">
        <f>VLOOKUP(gia_khuyen_mai[[#This Row],[Mã sản phẩm]],'Giá gốc'!B:D,3,0)</f>
        <v>44000</v>
      </c>
      <c r="K229" s="73">
        <v>0.2</v>
      </c>
      <c r="L229" s="6">
        <f>ROUND((1-gia_khuyen_mai[[#This Row],[% Giảm giá]]) * gia_khuyen_mai[[#This Row],[Giá gốc]], 0)</f>
        <v>35200</v>
      </c>
      <c r="M229" s="6"/>
      <c r="O229" s="3" t="str">
        <f>IFERROR(VLOOKUP(gia_khuyen_mai[[#This Row],[Mã hàng tặng]],'Giá gốc'!B:C,2,0),"")</f>
        <v/>
      </c>
      <c r="Q229" s="3" t="str">
        <f>VLOOKUP(gia_khuyen_mai[[#This Row],[Mã sản phẩm]],product[[Mã sản phẩm]:[DS - ĐV]],3,0)</f>
        <v>Food Đức Việt</v>
      </c>
    </row>
    <row r="230" spans="1:17" ht="21.75" customHeight="1">
      <c r="A230" s="38">
        <f>ROW()-1</f>
        <v>229</v>
      </c>
      <c r="B230" s="4" t="s">
        <v>13410</v>
      </c>
      <c r="C230" s="4" t="s">
        <v>183</v>
      </c>
      <c r="D230" s="4" t="s">
        <v>496</v>
      </c>
      <c r="E230" s="4" t="s">
        <v>13656</v>
      </c>
      <c r="F230" s="4" t="s">
        <v>13655</v>
      </c>
      <c r="G230" s="70" t="s">
        <v>476</v>
      </c>
      <c r="H230" s="3" t="str">
        <f>VLOOKUP(gia_khuyen_mai[[#This Row],[Barcode]],'Giá gốc'!$A:$B,2,0)</f>
        <v>2150337</v>
      </c>
      <c r="I230" s="3" t="str">
        <f>VLOOKUP(gia_khuyen_mai[[#This Row],[Mã sản phẩm]],'Giá gốc'!$B:$C,2,0)</f>
        <v>O'food Chả giò da xốp nhân thịt 300g</v>
      </c>
      <c r="J230" s="5">
        <f>VLOOKUP(gia_khuyen_mai[[#This Row],[Mã sản phẩm]],'Giá gốc'!B:D,3,0)</f>
        <v>31524</v>
      </c>
      <c r="K230" s="56"/>
      <c r="L230" s="6">
        <f>ROUND((1-gia_khuyen_mai[[#This Row],[% Giảm giá]]) * gia_khuyen_mai[[#This Row],[Giá gốc]], 0)</f>
        <v>31524</v>
      </c>
      <c r="M230" s="6" t="s">
        <v>503</v>
      </c>
      <c r="N230" s="3" t="str">
        <f>VLOOKUP(gia_khuyen_mai[[#This Row],[Barcode]],'Giá gốc'!$A:$B,2,0)</f>
        <v>2150337</v>
      </c>
      <c r="O230" s="3" t="str">
        <f>IFERROR(VLOOKUP(gia_khuyen_mai[[#This Row],[Mã hàng tặng]],'Giá gốc'!B:C,2,0),"")</f>
        <v>O'food Chả giò da xốp nhân thịt 300g</v>
      </c>
      <c r="Q230" s="3" t="str">
        <f>VLOOKUP(gia_khuyen_mai[[#This Row],[Mã sản phẩm]],product[[Mã sản phẩm]:[DS - ĐV]],3,0)</f>
        <v>Food Đức Việt</v>
      </c>
    </row>
    <row r="231" spans="1:17" ht="21.75" customHeight="1">
      <c r="A231" s="71">
        <f>ROW()-1</f>
        <v>230</v>
      </c>
      <c r="B231" s="4" t="s">
        <v>13608</v>
      </c>
      <c r="C231" s="4" t="s">
        <v>500</v>
      </c>
      <c r="D231" s="4" t="s">
        <v>496</v>
      </c>
      <c r="E231" s="4" t="s">
        <v>13658</v>
      </c>
      <c r="F231" s="4" t="s">
        <v>13610</v>
      </c>
      <c r="G231" s="72" t="s">
        <v>379</v>
      </c>
      <c r="H231" s="89" t="str">
        <f>VLOOKUP(gia_khuyen_mai[[#This Row],[Barcode]],'Giá gốc'!$A:$B,2,0)</f>
        <v>2145689</v>
      </c>
      <c r="I231" s="89" t="str">
        <f>VLOOKUP(gia_khuyen_mai[[#This Row],[Mã sản phẩm]],'Giá gốc'!$B:$C,2,0)</f>
        <v>Xúc xích vườn bia 450g * 1EA</v>
      </c>
      <c r="J231" s="74">
        <f>VLOOKUP(gia_khuyen_mai[[#This Row],[Mã sản phẩm]],'Giá gốc'!B:D,3,0)</f>
        <v>84200</v>
      </c>
      <c r="K231" s="73">
        <v>0.05</v>
      </c>
      <c r="L231" s="90">
        <f>ROUND((1-gia_khuyen_mai[[#This Row],[% Giảm giá]]) * gia_khuyen_mai[[#This Row],[Giá gốc]], 0)</f>
        <v>79990</v>
      </c>
      <c r="M231" s="6" t="s">
        <v>503</v>
      </c>
      <c r="N231" s="3" t="s">
        <v>410</v>
      </c>
      <c r="O231" s="89" t="str">
        <f>IFERROR(VLOOKUP(gia_khuyen_mai[[#This Row],[Mã hàng tặng]],'Giá gốc'!B:C,2,0),"")</f>
        <v>Xúc xích Hotdog 200g</v>
      </c>
      <c r="P231" s="91"/>
      <c r="Q231" s="89" t="str">
        <f>VLOOKUP(gia_khuyen_mai[[#This Row],[Mã sản phẩm]],product[[Mã sản phẩm]:[DS - ĐV]],3,0)</f>
        <v>Food Đức Việt</v>
      </c>
    </row>
  </sheetData>
  <phoneticPr fontId="5" type="noConversion"/>
  <conditionalFormatting sqref="N83">
    <cfRule type="duplicateValues" dxfId="12" priority="11"/>
    <cfRule type="duplicateValues" dxfId="11" priority="12"/>
  </conditionalFormatting>
  <conditionalFormatting sqref="N95">
    <cfRule type="duplicateValues" dxfId="10" priority="9"/>
    <cfRule type="duplicateValues" dxfId="9" priority="10"/>
  </conditionalFormatting>
  <conditionalFormatting sqref="N114">
    <cfRule type="duplicateValues" dxfId="8" priority="4"/>
    <cfRule type="duplicateValues" dxfId="7" priority="5"/>
    <cfRule type="duplicateValues" dxfId="6" priority="6"/>
  </conditionalFormatting>
  <conditionalFormatting sqref="N122">
    <cfRule type="duplicateValues" dxfId="5" priority="1"/>
    <cfRule type="duplicateValues" dxfId="4" priority="2"/>
    <cfRule type="duplicateValues" dxfId="3" priority="3"/>
  </conditionalFormatting>
  <pageMargins left="0.5" right="0.5" top="0.5" bottom="0.5" header="0.3" footer="0.3"/>
  <pageSetup paperSize="9" fitToHeight="0" orientation="landscape"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90C9ED7-468C-42F9-B08D-42418E5D0B72}">
          <x14:formula1>
            <xm:f>'Data Validation'!$A$2:$A$5</xm:f>
          </x14:formula1>
          <xm:sqref>D2:D8</xm:sqref>
        </x14:dataValidation>
        <x14:dataValidation type="list" allowBlank="1" showInputMessage="1" showErrorMessage="1" xr:uid="{C01B93F3-65D8-4994-9BED-BAA9D072DA55}">
          <x14:formula1>
            <xm:f>'Data Validation'!$C$2:$C$4</xm:f>
          </x14:formula1>
          <xm:sqref>C2:C231</xm:sqref>
        </x14:dataValidation>
        <x14:dataValidation type="list" allowBlank="1" showInputMessage="1" showErrorMessage="1" xr:uid="{70682026-A2D1-4D89-B7D7-4AB945F4B9A2}">
          <x14:formula1>
            <xm:f>'Data Validation'!$E$2:$E$3</xm:f>
          </x14:formula1>
          <xm:sqref>M2:M231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2A0AB-A9DE-4F4D-A979-EB19AA177A1E}">
  <sheetPr>
    <tabColor rgb="FFC00000"/>
  </sheetPr>
  <dimension ref="A1:I4171"/>
  <sheetViews>
    <sheetView topLeftCell="A4128" zoomScale="70" zoomScaleNormal="70" workbookViewId="0">
      <selection activeCell="E4155" sqref="E4155:E4171"/>
    </sheetView>
  </sheetViews>
  <sheetFormatPr defaultColWidth="21" defaultRowHeight="15"/>
  <cols>
    <col min="3" max="3" width="46" customWidth="1"/>
    <col min="4" max="4" width="60.7109375" hidden="1" customWidth="1"/>
    <col min="6" max="6" width="26.85546875" customWidth="1"/>
  </cols>
  <sheetData>
    <row r="1" spans="1:9">
      <c r="A1" s="12" t="s">
        <v>510</v>
      </c>
      <c r="B1" s="13" t="s">
        <v>1</v>
      </c>
      <c r="C1" s="13" t="s">
        <v>511</v>
      </c>
      <c r="D1" s="13" t="s">
        <v>512</v>
      </c>
      <c r="E1" s="13" t="s">
        <v>513</v>
      </c>
      <c r="F1" s="13" t="s">
        <v>515</v>
      </c>
      <c r="G1" s="13" t="s">
        <v>514</v>
      </c>
      <c r="H1" s="17" t="s">
        <v>9349</v>
      </c>
      <c r="I1" s="17" t="s">
        <v>11072</v>
      </c>
    </row>
    <row r="2" spans="1:9">
      <c r="A2" s="11" t="s">
        <v>7277</v>
      </c>
      <c r="B2" s="9" t="s">
        <v>5</v>
      </c>
      <c r="C2" s="10" t="e">
        <v>#N/A</v>
      </c>
      <c r="D2" s="10" t="s">
        <v>2219</v>
      </c>
      <c r="E2" s="9" t="s">
        <v>11201</v>
      </c>
      <c r="F2" s="10" t="str">
        <f>VLOOKUP(Table8[[#This Row],[Mã khách hàng]],code_khach_hang[],2,0)</f>
        <v>CHI NHÁNH HẢI DƯƠNG - CÔNG TY CỔ PHẦN DỊCH VỤ THƯƠNG MẠI TỔNG HỢP WINCOMMERCE</v>
      </c>
      <c r="G2" s="10" t="str">
        <f>VLOOKUP(Table8[[#This Row],[Mã khách hàng]],code_khach_hang[],3,0)</f>
        <v>Miền Bắc đặc biệt 3</v>
      </c>
      <c r="H2" t="str">
        <f>VLOOKUP(Table8[[#This Row],[Mã khách hàng]],'Khách hàng'!A:D,4,0)</f>
        <v>Food Đức Việt</v>
      </c>
      <c r="I2" t="str">
        <f>VLOOKUP(Table8[[#This Row],[Mã khách hàng]],'Khách hàng'!A:E,5,0)</f>
        <v>HN0040</v>
      </c>
    </row>
    <row r="3" spans="1:9">
      <c r="A3" s="14" t="s">
        <v>8115</v>
      </c>
      <c r="B3" s="15" t="s">
        <v>5</v>
      </c>
      <c r="C3" s="10" t="s">
        <v>8116</v>
      </c>
      <c r="D3" s="16" t="s">
        <v>518</v>
      </c>
      <c r="E3" s="15" t="s">
        <v>11193</v>
      </c>
      <c r="F3" s="16" t="str">
        <f>VLOOKUP(Table8[[#This Row],[Mã khách hàng]],code_khach_hang[],2,0)</f>
        <v>CHI NHÁNH BẮC NINH - CÔNG TY CỔ PHẦN DỊCH VỤ THƯƠNG MẠI TỔNG HỢP WINCOMMERCE</v>
      </c>
      <c r="G3" s="16" t="str">
        <f>VLOOKUP(Table8[[#This Row],[Mã khách hàng]],code_khach_hang[],3,0)</f>
        <v>Miền Bắc đặc biệt 2</v>
      </c>
      <c r="H3" t="str">
        <f>VLOOKUP(Table8[[#This Row],[Mã khách hàng]],'Khách hàng'!A:D,4,0)</f>
        <v>Food Đức Việt</v>
      </c>
      <c r="I3" t="str">
        <f>VLOOKUP(Table8[[#This Row],[Mã khách hàng]],'Khách hàng'!A:E,5,0)</f>
        <v>HN0040</v>
      </c>
    </row>
    <row r="4" spans="1:9">
      <c r="A4" s="14" t="s">
        <v>5271</v>
      </c>
      <c r="B4" s="15" t="s">
        <v>5</v>
      </c>
      <c r="C4" s="10" t="s">
        <v>5272</v>
      </c>
      <c r="D4" s="16" t="s">
        <v>523</v>
      </c>
      <c r="E4" s="15" t="s">
        <v>11193</v>
      </c>
      <c r="F4" s="16" t="str">
        <f>VLOOKUP(Table8[[#This Row],[Mã khách hàng]],code_khach_hang[],2,0)</f>
        <v>CHI NHÁNH BẮC NINH - CÔNG TY CỔ PHẦN DỊCH VỤ THƯƠNG MẠI TỔNG HỢP WINCOMMERCE</v>
      </c>
      <c r="G4" s="16" t="str">
        <f>VLOOKUP(Table8[[#This Row],[Mã khách hàng]],code_khach_hang[],3,0)</f>
        <v>Miền Bắc đặc biệt 2</v>
      </c>
      <c r="H4" t="str">
        <f>VLOOKUP(Table8[[#This Row],[Mã khách hàng]],'Khách hàng'!A:D,4,0)</f>
        <v>Food Đức Việt</v>
      </c>
      <c r="I4" t="str">
        <f>VLOOKUP(Table8[[#This Row],[Mã khách hàng]],'Khách hàng'!A:E,5,0)</f>
        <v>HN0040</v>
      </c>
    </row>
    <row r="5" spans="1:9">
      <c r="A5" s="14" t="s">
        <v>7300</v>
      </c>
      <c r="B5" s="15" t="s">
        <v>5</v>
      </c>
      <c r="C5" s="10" t="s">
        <v>7301</v>
      </c>
      <c r="D5" s="16" t="s">
        <v>526</v>
      </c>
      <c r="E5" s="15" t="s">
        <v>11193</v>
      </c>
      <c r="F5" s="16" t="str">
        <f>VLOOKUP(Table8[[#This Row],[Mã khách hàng]],code_khach_hang[],2,0)</f>
        <v>CHI NHÁNH BẮC NINH - CÔNG TY CỔ PHẦN DỊCH VỤ THƯƠNG MẠI TỔNG HỢP WINCOMMERCE</v>
      </c>
      <c r="G5" s="16" t="str">
        <f>VLOOKUP(Table8[[#This Row],[Mã khách hàng]],code_khach_hang[],3,0)</f>
        <v>Miền Bắc đặc biệt 2</v>
      </c>
      <c r="H5" t="str">
        <f>VLOOKUP(Table8[[#This Row],[Mã khách hàng]],'Khách hàng'!A:D,4,0)</f>
        <v>Food Đức Việt</v>
      </c>
      <c r="I5" t="str">
        <f>VLOOKUP(Table8[[#This Row],[Mã khách hàng]],'Khách hàng'!A:E,5,0)</f>
        <v>HN0040</v>
      </c>
    </row>
    <row r="6" spans="1:9">
      <c r="A6" s="14" t="s">
        <v>7810</v>
      </c>
      <c r="B6" s="15" t="s">
        <v>5</v>
      </c>
      <c r="C6" s="10" t="s">
        <v>7811</v>
      </c>
      <c r="D6" s="16" t="s">
        <v>530</v>
      </c>
      <c r="E6" s="15" t="s">
        <v>11193</v>
      </c>
      <c r="F6" s="16" t="str">
        <f>VLOOKUP(Table8[[#This Row],[Mã khách hàng]],code_khach_hang[],2,0)</f>
        <v>CHI NHÁNH BẮC NINH - CÔNG TY CỔ PHẦN DỊCH VỤ THƯƠNG MẠI TỔNG HỢP WINCOMMERCE</v>
      </c>
      <c r="G6" s="16" t="str">
        <f>VLOOKUP(Table8[[#This Row],[Mã khách hàng]],code_khach_hang[],3,0)</f>
        <v>Miền Bắc đặc biệt 2</v>
      </c>
      <c r="H6" t="str">
        <f>VLOOKUP(Table8[[#This Row],[Mã khách hàng]],'Khách hàng'!A:D,4,0)</f>
        <v>Food Đức Việt</v>
      </c>
      <c r="I6" t="str">
        <f>VLOOKUP(Table8[[#This Row],[Mã khách hàng]],'Khách hàng'!A:E,5,0)</f>
        <v>HN0040</v>
      </c>
    </row>
    <row r="7" spans="1:9">
      <c r="A7" s="14" t="s">
        <v>7556</v>
      </c>
      <c r="B7" s="15" t="s">
        <v>5</v>
      </c>
      <c r="C7" s="10" t="s">
        <v>7557</v>
      </c>
      <c r="D7" s="16" t="s">
        <v>534</v>
      </c>
      <c r="E7" s="15" t="s">
        <v>11193</v>
      </c>
      <c r="F7" s="16" t="str">
        <f>VLOOKUP(Table8[[#This Row],[Mã khách hàng]],code_khach_hang[],2,0)</f>
        <v>CHI NHÁNH BẮC NINH - CÔNG TY CỔ PHẦN DỊCH VỤ THƯƠNG MẠI TỔNG HỢP WINCOMMERCE</v>
      </c>
      <c r="G7" s="16" t="str">
        <f>VLOOKUP(Table8[[#This Row],[Mã khách hàng]],code_khach_hang[],3,0)</f>
        <v>Miền Bắc đặc biệt 2</v>
      </c>
      <c r="H7" t="str">
        <f>VLOOKUP(Table8[[#This Row],[Mã khách hàng]],'Khách hàng'!A:D,4,0)</f>
        <v>Food Đức Việt</v>
      </c>
      <c r="I7" t="str">
        <f>VLOOKUP(Table8[[#This Row],[Mã khách hàng]],'Khách hàng'!A:E,5,0)</f>
        <v>HN0040</v>
      </c>
    </row>
    <row r="8" spans="1:9">
      <c r="A8" s="14" t="s">
        <v>7986</v>
      </c>
      <c r="B8" s="15" t="s">
        <v>5</v>
      </c>
      <c r="C8" s="10" t="s">
        <v>7987</v>
      </c>
      <c r="D8" s="16" t="s">
        <v>537</v>
      </c>
      <c r="E8" s="15" t="s">
        <v>11193</v>
      </c>
      <c r="F8" s="16" t="str">
        <f>VLOOKUP(Table8[[#This Row],[Mã khách hàng]],code_khach_hang[],2,0)</f>
        <v>CHI NHÁNH BẮC NINH - CÔNG TY CỔ PHẦN DỊCH VỤ THƯƠNG MẠI TỔNG HỢP WINCOMMERCE</v>
      </c>
      <c r="G8" s="16" t="str">
        <f>VLOOKUP(Table8[[#This Row],[Mã khách hàng]],code_khach_hang[],3,0)</f>
        <v>Miền Bắc đặc biệt 2</v>
      </c>
      <c r="H8" t="str">
        <f>VLOOKUP(Table8[[#This Row],[Mã khách hàng]],'Khách hàng'!A:D,4,0)</f>
        <v>Food Đức Việt</v>
      </c>
      <c r="I8" t="str">
        <f>VLOOKUP(Table8[[#This Row],[Mã khách hàng]],'Khách hàng'!A:E,5,0)</f>
        <v>HN0040</v>
      </c>
    </row>
    <row r="9" spans="1:9">
      <c r="A9" s="14" t="s">
        <v>8192</v>
      </c>
      <c r="B9" s="15" t="s">
        <v>5</v>
      </c>
      <c r="C9" s="10" t="s">
        <v>8193</v>
      </c>
      <c r="D9" s="16" t="s">
        <v>540</v>
      </c>
      <c r="E9" s="15" t="s">
        <v>11193</v>
      </c>
      <c r="F9" s="16" t="str">
        <f>VLOOKUP(Table8[[#This Row],[Mã khách hàng]],code_khach_hang[],2,0)</f>
        <v>CHI NHÁNH BẮC NINH - CÔNG TY CỔ PHẦN DỊCH VỤ THƯƠNG MẠI TỔNG HỢP WINCOMMERCE</v>
      </c>
      <c r="G9" s="16" t="str">
        <f>VLOOKUP(Table8[[#This Row],[Mã khách hàng]],code_khach_hang[],3,0)</f>
        <v>Miền Bắc đặc biệt 2</v>
      </c>
      <c r="H9" t="str">
        <f>VLOOKUP(Table8[[#This Row],[Mã khách hàng]],'Khách hàng'!A:D,4,0)</f>
        <v>Food Đức Việt</v>
      </c>
      <c r="I9" t="str">
        <f>VLOOKUP(Table8[[#This Row],[Mã khách hàng]],'Khách hàng'!A:E,5,0)</f>
        <v>HN0040</v>
      </c>
    </row>
    <row r="10" spans="1:9">
      <c r="A10" s="14" t="s">
        <v>8260</v>
      </c>
      <c r="B10" s="15" t="s">
        <v>5</v>
      </c>
      <c r="C10" s="10" t="s">
        <v>8261</v>
      </c>
      <c r="D10" s="16" t="s">
        <v>543</v>
      </c>
      <c r="E10" s="15" t="s">
        <v>11193</v>
      </c>
      <c r="F10" s="16" t="str">
        <f>VLOOKUP(Table8[[#This Row],[Mã khách hàng]],code_khach_hang[],2,0)</f>
        <v>CHI NHÁNH BẮC NINH - CÔNG TY CỔ PHẦN DỊCH VỤ THƯƠNG MẠI TỔNG HỢP WINCOMMERCE</v>
      </c>
      <c r="G10" s="16" t="str">
        <f>VLOOKUP(Table8[[#This Row],[Mã khách hàng]],code_khach_hang[],3,0)</f>
        <v>Miền Bắc đặc biệt 2</v>
      </c>
      <c r="H10" t="str">
        <f>VLOOKUP(Table8[[#This Row],[Mã khách hàng]],'Khách hàng'!A:D,4,0)</f>
        <v>Food Đức Việt</v>
      </c>
      <c r="I10" t="str">
        <f>VLOOKUP(Table8[[#This Row],[Mã khách hàng]],'Khách hàng'!A:E,5,0)</f>
        <v>HN0040</v>
      </c>
    </row>
    <row r="11" spans="1:9">
      <c r="A11" s="14" t="s">
        <v>8559</v>
      </c>
      <c r="B11" s="15" t="s">
        <v>5</v>
      </c>
      <c r="C11" s="10" t="s">
        <v>8560</v>
      </c>
      <c r="D11" s="16" t="s">
        <v>546</v>
      </c>
      <c r="E11" s="15" t="s">
        <v>11193</v>
      </c>
      <c r="F11" s="16" t="str">
        <f>VLOOKUP(Table8[[#This Row],[Mã khách hàng]],code_khach_hang[],2,0)</f>
        <v>CHI NHÁNH BẮC NINH - CÔNG TY CỔ PHẦN DỊCH VỤ THƯƠNG MẠI TỔNG HỢP WINCOMMERCE</v>
      </c>
      <c r="G11" s="16" t="str">
        <f>VLOOKUP(Table8[[#This Row],[Mã khách hàng]],code_khach_hang[],3,0)</f>
        <v>Miền Bắc đặc biệt 2</v>
      </c>
      <c r="H11" t="str">
        <f>VLOOKUP(Table8[[#This Row],[Mã khách hàng]],'Khách hàng'!A:D,4,0)</f>
        <v>Food Đức Việt</v>
      </c>
      <c r="I11" t="str">
        <f>VLOOKUP(Table8[[#This Row],[Mã khách hàng]],'Khách hàng'!A:E,5,0)</f>
        <v>HN0040</v>
      </c>
    </row>
    <row r="12" spans="1:9">
      <c r="A12" s="14" t="s">
        <v>6202</v>
      </c>
      <c r="B12" s="15" t="s">
        <v>5</v>
      </c>
      <c r="C12" s="10" t="s">
        <v>6203</v>
      </c>
      <c r="D12" s="16" t="s">
        <v>549</v>
      </c>
      <c r="E12" s="15" t="s">
        <v>11193</v>
      </c>
      <c r="F12" s="16" t="str">
        <f>VLOOKUP(Table8[[#This Row],[Mã khách hàng]],code_khach_hang[],2,0)</f>
        <v>CHI NHÁNH BẮC NINH - CÔNG TY CỔ PHẦN DỊCH VỤ THƯƠNG MẠI TỔNG HỢP WINCOMMERCE</v>
      </c>
      <c r="G12" s="16" t="str">
        <f>VLOOKUP(Table8[[#This Row],[Mã khách hàng]],code_khach_hang[],3,0)</f>
        <v>Miền Bắc đặc biệt 2</v>
      </c>
      <c r="H12" t="str">
        <f>VLOOKUP(Table8[[#This Row],[Mã khách hàng]],'Khách hàng'!A:D,4,0)</f>
        <v>Food Đức Việt</v>
      </c>
      <c r="I12" t="str">
        <f>VLOOKUP(Table8[[#This Row],[Mã khách hàng]],'Khách hàng'!A:E,5,0)</f>
        <v>HN0040</v>
      </c>
    </row>
    <row r="13" spans="1:9">
      <c r="A13" s="14" t="s">
        <v>6312</v>
      </c>
      <c r="B13" s="15" t="s">
        <v>5</v>
      </c>
      <c r="C13" s="10" t="s">
        <v>6313</v>
      </c>
      <c r="D13" s="16" t="s">
        <v>552</v>
      </c>
      <c r="E13" s="15" t="s">
        <v>11193</v>
      </c>
      <c r="F13" s="16" t="str">
        <f>VLOOKUP(Table8[[#This Row],[Mã khách hàng]],code_khach_hang[],2,0)</f>
        <v>CHI NHÁNH BẮC NINH - CÔNG TY CỔ PHẦN DỊCH VỤ THƯƠNG MẠI TỔNG HỢP WINCOMMERCE</v>
      </c>
      <c r="G13" s="16" t="str">
        <f>VLOOKUP(Table8[[#This Row],[Mã khách hàng]],code_khach_hang[],3,0)</f>
        <v>Miền Bắc đặc biệt 2</v>
      </c>
      <c r="H13" t="str">
        <f>VLOOKUP(Table8[[#This Row],[Mã khách hàng]],'Khách hàng'!A:D,4,0)</f>
        <v>Food Đức Việt</v>
      </c>
      <c r="I13" t="str">
        <f>VLOOKUP(Table8[[#This Row],[Mã khách hàng]],'Khách hàng'!A:E,5,0)</f>
        <v>HN0040</v>
      </c>
    </row>
    <row r="14" spans="1:9">
      <c r="A14" s="14" t="s">
        <v>6542</v>
      </c>
      <c r="B14" s="15" t="s">
        <v>5</v>
      </c>
      <c r="C14" s="10" t="s">
        <v>6543</v>
      </c>
      <c r="D14" s="16" t="s">
        <v>555</v>
      </c>
      <c r="E14" s="15" t="s">
        <v>11193</v>
      </c>
      <c r="F14" s="16" t="str">
        <f>VLOOKUP(Table8[[#This Row],[Mã khách hàng]],code_khach_hang[],2,0)</f>
        <v>CHI NHÁNH BẮC NINH - CÔNG TY CỔ PHẦN DỊCH VỤ THƯƠNG MẠI TỔNG HỢP WINCOMMERCE</v>
      </c>
      <c r="G14" s="16" t="str">
        <f>VLOOKUP(Table8[[#This Row],[Mã khách hàng]],code_khach_hang[],3,0)</f>
        <v>Miền Bắc đặc biệt 2</v>
      </c>
      <c r="H14" t="str">
        <f>VLOOKUP(Table8[[#This Row],[Mã khách hàng]],'Khách hàng'!A:D,4,0)</f>
        <v>Food Đức Việt</v>
      </c>
      <c r="I14" t="str">
        <f>VLOOKUP(Table8[[#This Row],[Mã khách hàng]],'Khách hàng'!A:E,5,0)</f>
        <v>HN0040</v>
      </c>
    </row>
    <row r="15" spans="1:9">
      <c r="A15" s="14" t="s">
        <v>6872</v>
      </c>
      <c r="B15" s="15" t="s">
        <v>5</v>
      </c>
      <c r="C15" s="10" t="s">
        <v>6873</v>
      </c>
      <c r="D15" s="16" t="s">
        <v>558</v>
      </c>
      <c r="E15" s="15" t="s">
        <v>11193</v>
      </c>
      <c r="F15" s="16" t="str">
        <f>VLOOKUP(Table8[[#This Row],[Mã khách hàng]],code_khach_hang[],2,0)</f>
        <v>CHI NHÁNH BẮC NINH - CÔNG TY CỔ PHẦN DỊCH VỤ THƯƠNG MẠI TỔNG HỢP WINCOMMERCE</v>
      </c>
      <c r="G15" s="16" t="str">
        <f>VLOOKUP(Table8[[#This Row],[Mã khách hàng]],code_khach_hang[],3,0)</f>
        <v>Miền Bắc đặc biệt 2</v>
      </c>
      <c r="H15" t="str">
        <f>VLOOKUP(Table8[[#This Row],[Mã khách hàng]],'Khách hàng'!A:D,4,0)</f>
        <v>Food Đức Việt</v>
      </c>
      <c r="I15" t="str">
        <f>VLOOKUP(Table8[[#This Row],[Mã khách hàng]],'Khách hàng'!A:E,5,0)</f>
        <v>HN0040</v>
      </c>
    </row>
    <row r="16" spans="1:9">
      <c r="A16" s="14" t="s">
        <v>6998</v>
      </c>
      <c r="B16" s="15" t="s">
        <v>5</v>
      </c>
      <c r="C16" s="10" t="s">
        <v>6999</v>
      </c>
      <c r="D16" s="16" t="s">
        <v>561</v>
      </c>
      <c r="E16" s="15" t="s">
        <v>11193</v>
      </c>
      <c r="F16" s="16" t="str">
        <f>VLOOKUP(Table8[[#This Row],[Mã khách hàng]],code_khach_hang[],2,0)</f>
        <v>CHI NHÁNH BẮC NINH - CÔNG TY CỔ PHẦN DỊCH VỤ THƯƠNG MẠI TỔNG HỢP WINCOMMERCE</v>
      </c>
      <c r="G16" s="16" t="str">
        <f>VLOOKUP(Table8[[#This Row],[Mã khách hàng]],code_khach_hang[],3,0)</f>
        <v>Miền Bắc đặc biệt 2</v>
      </c>
      <c r="H16" t="str">
        <f>VLOOKUP(Table8[[#This Row],[Mã khách hàng]],'Khách hàng'!A:D,4,0)</f>
        <v>Food Đức Việt</v>
      </c>
      <c r="I16" t="str">
        <f>VLOOKUP(Table8[[#This Row],[Mã khách hàng]],'Khách hàng'!A:E,5,0)</f>
        <v>HN0040</v>
      </c>
    </row>
    <row r="17" spans="1:9">
      <c r="A17" s="14" t="s">
        <v>8097</v>
      </c>
      <c r="B17" s="15" t="s">
        <v>5</v>
      </c>
      <c r="C17" s="10" t="s">
        <v>8098</v>
      </c>
      <c r="D17" s="16" t="s">
        <v>564</v>
      </c>
      <c r="E17" s="15" t="s">
        <v>11193</v>
      </c>
      <c r="F17" s="16" t="str">
        <f>VLOOKUP(Table8[[#This Row],[Mã khách hàng]],code_khach_hang[],2,0)</f>
        <v>CHI NHÁNH BẮC NINH - CÔNG TY CỔ PHẦN DỊCH VỤ THƯƠNG MẠI TỔNG HỢP WINCOMMERCE</v>
      </c>
      <c r="G17" s="16" t="str">
        <f>VLOOKUP(Table8[[#This Row],[Mã khách hàng]],code_khach_hang[],3,0)</f>
        <v>Miền Bắc đặc biệt 2</v>
      </c>
      <c r="H17" t="str">
        <f>VLOOKUP(Table8[[#This Row],[Mã khách hàng]],'Khách hàng'!A:D,4,0)</f>
        <v>Food Đức Việt</v>
      </c>
      <c r="I17" t="str">
        <f>VLOOKUP(Table8[[#This Row],[Mã khách hàng]],'Khách hàng'!A:E,5,0)</f>
        <v>HN0040</v>
      </c>
    </row>
    <row r="18" spans="1:9">
      <c r="A18" s="14" t="s">
        <v>5653</v>
      </c>
      <c r="B18" s="15" t="s">
        <v>5</v>
      </c>
      <c r="C18" s="10" t="s">
        <v>5654</v>
      </c>
      <c r="D18" s="16" t="s">
        <v>567</v>
      </c>
      <c r="E18" s="15" t="s">
        <v>11193</v>
      </c>
      <c r="F18" s="16" t="str">
        <f>VLOOKUP(Table8[[#This Row],[Mã khách hàng]],code_khach_hang[],2,0)</f>
        <v>CHI NHÁNH BẮC NINH - CÔNG TY CỔ PHẦN DỊCH VỤ THƯƠNG MẠI TỔNG HỢP WINCOMMERCE</v>
      </c>
      <c r="G18" s="16" t="str">
        <f>VLOOKUP(Table8[[#This Row],[Mã khách hàng]],code_khach_hang[],3,0)</f>
        <v>Miền Bắc đặc biệt 2</v>
      </c>
      <c r="H18" t="str">
        <f>VLOOKUP(Table8[[#This Row],[Mã khách hàng]],'Khách hàng'!A:D,4,0)</f>
        <v>Food Đức Việt</v>
      </c>
      <c r="I18" t="str">
        <f>VLOOKUP(Table8[[#This Row],[Mã khách hàng]],'Khách hàng'!A:E,5,0)</f>
        <v>HN0040</v>
      </c>
    </row>
    <row r="19" spans="1:9">
      <c r="A19" s="14" t="s">
        <v>5774</v>
      </c>
      <c r="B19" s="15" t="s">
        <v>5</v>
      </c>
      <c r="C19" s="10" t="s">
        <v>5775</v>
      </c>
      <c r="D19" s="16" t="s">
        <v>570</v>
      </c>
      <c r="E19" s="15" t="s">
        <v>11193</v>
      </c>
      <c r="F19" s="16" t="str">
        <f>VLOOKUP(Table8[[#This Row],[Mã khách hàng]],code_khach_hang[],2,0)</f>
        <v>CHI NHÁNH BẮC NINH - CÔNG TY CỔ PHẦN DỊCH VỤ THƯƠNG MẠI TỔNG HỢP WINCOMMERCE</v>
      </c>
      <c r="G19" s="16" t="str">
        <f>VLOOKUP(Table8[[#This Row],[Mã khách hàng]],code_khach_hang[],3,0)</f>
        <v>Miền Bắc đặc biệt 2</v>
      </c>
      <c r="H19" t="str">
        <f>VLOOKUP(Table8[[#This Row],[Mã khách hàng]],'Khách hàng'!A:D,4,0)</f>
        <v>Food Đức Việt</v>
      </c>
      <c r="I19" t="str">
        <f>VLOOKUP(Table8[[#This Row],[Mã khách hàng]],'Khách hàng'!A:E,5,0)</f>
        <v>HN0040</v>
      </c>
    </row>
    <row r="20" spans="1:9">
      <c r="A20" s="14" t="s">
        <v>5830</v>
      </c>
      <c r="B20" s="15" t="s">
        <v>5</v>
      </c>
      <c r="C20" s="10" t="s">
        <v>5831</v>
      </c>
      <c r="D20" s="16" t="s">
        <v>573</v>
      </c>
      <c r="E20" s="15" t="s">
        <v>11193</v>
      </c>
      <c r="F20" s="16" t="str">
        <f>VLOOKUP(Table8[[#This Row],[Mã khách hàng]],code_khach_hang[],2,0)</f>
        <v>CHI NHÁNH BẮC NINH - CÔNG TY CỔ PHẦN DỊCH VỤ THƯƠNG MẠI TỔNG HỢP WINCOMMERCE</v>
      </c>
      <c r="G20" s="16" t="str">
        <f>VLOOKUP(Table8[[#This Row],[Mã khách hàng]],code_khach_hang[],3,0)</f>
        <v>Miền Bắc đặc biệt 2</v>
      </c>
      <c r="H20" t="str">
        <f>VLOOKUP(Table8[[#This Row],[Mã khách hàng]],'Khách hàng'!A:D,4,0)</f>
        <v>Food Đức Việt</v>
      </c>
      <c r="I20" t="str">
        <f>VLOOKUP(Table8[[#This Row],[Mã khách hàng]],'Khách hàng'!A:E,5,0)</f>
        <v>HN0040</v>
      </c>
    </row>
    <row r="21" spans="1:9">
      <c r="A21" s="14" t="s">
        <v>6064</v>
      </c>
      <c r="B21" s="15" t="s">
        <v>5</v>
      </c>
      <c r="C21" s="10" t="s">
        <v>6065</v>
      </c>
      <c r="D21" s="16" t="s">
        <v>576</v>
      </c>
      <c r="E21" s="15" t="s">
        <v>11193</v>
      </c>
      <c r="F21" s="16" t="str">
        <f>VLOOKUP(Table8[[#This Row],[Mã khách hàng]],code_khach_hang[],2,0)</f>
        <v>CHI NHÁNH BẮC NINH - CÔNG TY CỔ PHẦN DỊCH VỤ THƯƠNG MẠI TỔNG HỢP WINCOMMERCE</v>
      </c>
      <c r="G21" s="16" t="str">
        <f>VLOOKUP(Table8[[#This Row],[Mã khách hàng]],code_khach_hang[],3,0)</f>
        <v>Miền Bắc đặc biệt 2</v>
      </c>
      <c r="H21" t="str">
        <f>VLOOKUP(Table8[[#This Row],[Mã khách hàng]],'Khách hàng'!A:D,4,0)</f>
        <v>Food Đức Việt</v>
      </c>
      <c r="I21" t="str">
        <f>VLOOKUP(Table8[[#This Row],[Mã khách hàng]],'Khách hàng'!A:E,5,0)</f>
        <v>HN0040</v>
      </c>
    </row>
    <row r="22" spans="1:9">
      <c r="A22" s="14" t="s">
        <v>7559</v>
      </c>
      <c r="B22" s="15" t="s">
        <v>5</v>
      </c>
      <c r="C22" s="10" t="s">
        <v>7560</v>
      </c>
      <c r="D22" s="16" t="s">
        <v>579</v>
      </c>
      <c r="E22" s="15" t="s">
        <v>11193</v>
      </c>
      <c r="F22" s="16" t="str">
        <f>VLOOKUP(Table8[[#This Row],[Mã khách hàng]],code_khach_hang[],2,0)</f>
        <v>CHI NHÁNH BẮC NINH - CÔNG TY CỔ PHẦN DỊCH VỤ THƯƠNG MẠI TỔNG HỢP WINCOMMERCE</v>
      </c>
      <c r="G22" s="16" t="str">
        <f>VLOOKUP(Table8[[#This Row],[Mã khách hàng]],code_khach_hang[],3,0)</f>
        <v>Miền Bắc đặc biệt 2</v>
      </c>
      <c r="H22" t="str">
        <f>VLOOKUP(Table8[[#This Row],[Mã khách hàng]],'Khách hàng'!A:D,4,0)</f>
        <v>Food Đức Việt</v>
      </c>
      <c r="I22" t="str">
        <f>VLOOKUP(Table8[[#This Row],[Mã khách hàng]],'Khách hàng'!A:E,5,0)</f>
        <v>HN0040</v>
      </c>
    </row>
    <row r="23" spans="1:9">
      <c r="A23" s="14" t="s">
        <v>8535</v>
      </c>
      <c r="B23" s="15" t="s">
        <v>5</v>
      </c>
      <c r="C23" s="10" t="s">
        <v>8536</v>
      </c>
      <c r="D23" s="16" t="s">
        <v>582</v>
      </c>
      <c r="E23" s="15" t="s">
        <v>11193</v>
      </c>
      <c r="F23" s="16" t="str">
        <f>VLOOKUP(Table8[[#This Row],[Mã khách hàng]],code_khach_hang[],2,0)</f>
        <v>CHI NHÁNH BẮC NINH - CÔNG TY CỔ PHẦN DỊCH VỤ THƯƠNG MẠI TỔNG HỢP WINCOMMERCE</v>
      </c>
      <c r="G23" s="16" t="str">
        <f>VLOOKUP(Table8[[#This Row],[Mã khách hàng]],code_khach_hang[],3,0)</f>
        <v>Miền Bắc đặc biệt 2</v>
      </c>
      <c r="H23" t="str">
        <f>VLOOKUP(Table8[[#This Row],[Mã khách hàng]],'Khách hàng'!A:D,4,0)</f>
        <v>Food Đức Việt</v>
      </c>
      <c r="I23" t="str">
        <f>VLOOKUP(Table8[[#This Row],[Mã khách hàng]],'Khách hàng'!A:E,5,0)</f>
        <v>HN0040</v>
      </c>
    </row>
    <row r="24" spans="1:9">
      <c r="A24" s="14" t="s">
        <v>8729</v>
      </c>
      <c r="B24" s="15" t="s">
        <v>5</v>
      </c>
      <c r="C24" s="10" t="s">
        <v>8730</v>
      </c>
      <c r="D24" s="16" t="s">
        <v>585</v>
      </c>
      <c r="E24" s="15" t="s">
        <v>11193</v>
      </c>
      <c r="F24" s="16" t="str">
        <f>VLOOKUP(Table8[[#This Row],[Mã khách hàng]],code_khach_hang[],2,0)</f>
        <v>CHI NHÁNH BẮC NINH - CÔNG TY CỔ PHẦN DỊCH VỤ THƯƠNG MẠI TỔNG HỢP WINCOMMERCE</v>
      </c>
      <c r="G24" s="16" t="str">
        <f>VLOOKUP(Table8[[#This Row],[Mã khách hàng]],code_khach_hang[],3,0)</f>
        <v>Miền Bắc đặc biệt 2</v>
      </c>
      <c r="H24" t="str">
        <f>VLOOKUP(Table8[[#This Row],[Mã khách hàng]],'Khách hàng'!A:D,4,0)</f>
        <v>Food Đức Việt</v>
      </c>
      <c r="I24" t="str">
        <f>VLOOKUP(Table8[[#This Row],[Mã khách hàng]],'Khách hàng'!A:E,5,0)</f>
        <v>HN0040</v>
      </c>
    </row>
    <row r="25" spans="1:9">
      <c r="A25" s="14" t="s">
        <v>4464</v>
      </c>
      <c r="B25" s="15" t="s">
        <v>5</v>
      </c>
      <c r="C25" s="10" t="s">
        <v>4465</v>
      </c>
      <c r="D25" s="16" t="s">
        <v>588</v>
      </c>
      <c r="E25" s="15" t="s">
        <v>11193</v>
      </c>
      <c r="F25" s="16" t="str">
        <f>VLOOKUP(Table8[[#This Row],[Mã khách hàng]],code_khach_hang[],2,0)</f>
        <v>CHI NHÁNH BẮC NINH - CÔNG TY CỔ PHẦN DỊCH VỤ THƯƠNG MẠI TỔNG HỢP WINCOMMERCE</v>
      </c>
      <c r="G25" s="16" t="str">
        <f>VLOOKUP(Table8[[#This Row],[Mã khách hàng]],code_khach_hang[],3,0)</f>
        <v>Miền Bắc đặc biệt 2</v>
      </c>
      <c r="H25" t="str">
        <f>VLOOKUP(Table8[[#This Row],[Mã khách hàng]],'Khách hàng'!A:D,4,0)</f>
        <v>Food Đức Việt</v>
      </c>
      <c r="I25" t="str">
        <f>VLOOKUP(Table8[[#This Row],[Mã khách hàng]],'Khách hàng'!A:E,5,0)</f>
        <v>HN0040</v>
      </c>
    </row>
    <row r="26" spans="1:9">
      <c r="A26" s="14" t="s">
        <v>4545</v>
      </c>
      <c r="B26" s="15" t="s">
        <v>5</v>
      </c>
      <c r="C26" s="10" t="s">
        <v>4546</v>
      </c>
      <c r="D26" s="16" t="s">
        <v>591</v>
      </c>
      <c r="E26" s="15" t="s">
        <v>11193</v>
      </c>
      <c r="F26" s="16" t="str">
        <f>VLOOKUP(Table8[[#This Row],[Mã khách hàng]],code_khach_hang[],2,0)</f>
        <v>CHI NHÁNH BẮC NINH - CÔNG TY CỔ PHẦN DỊCH VỤ THƯƠNG MẠI TỔNG HỢP WINCOMMERCE</v>
      </c>
      <c r="G26" s="16" t="str">
        <f>VLOOKUP(Table8[[#This Row],[Mã khách hàng]],code_khach_hang[],3,0)</f>
        <v>Miền Bắc đặc biệt 2</v>
      </c>
      <c r="H26" t="str">
        <f>VLOOKUP(Table8[[#This Row],[Mã khách hàng]],'Khách hàng'!A:D,4,0)</f>
        <v>Food Đức Việt</v>
      </c>
      <c r="I26" t="str">
        <f>VLOOKUP(Table8[[#This Row],[Mã khách hàng]],'Khách hàng'!A:E,5,0)</f>
        <v>HN0040</v>
      </c>
    </row>
    <row r="27" spans="1:9">
      <c r="A27" s="14" t="s">
        <v>4665</v>
      </c>
      <c r="B27" s="15" t="s">
        <v>5</v>
      </c>
      <c r="C27" s="10" t="s">
        <v>4666</v>
      </c>
      <c r="D27" s="16" t="s">
        <v>594</v>
      </c>
      <c r="E27" s="15" t="s">
        <v>11193</v>
      </c>
      <c r="F27" s="16" t="str">
        <f>VLOOKUP(Table8[[#This Row],[Mã khách hàng]],code_khach_hang[],2,0)</f>
        <v>CHI NHÁNH BẮC NINH - CÔNG TY CỔ PHẦN DỊCH VỤ THƯƠNG MẠI TỔNG HỢP WINCOMMERCE</v>
      </c>
      <c r="G27" s="16" t="str">
        <f>VLOOKUP(Table8[[#This Row],[Mã khách hàng]],code_khach_hang[],3,0)</f>
        <v>Miền Bắc đặc biệt 2</v>
      </c>
      <c r="H27" t="str">
        <f>VLOOKUP(Table8[[#This Row],[Mã khách hàng]],'Khách hàng'!A:D,4,0)</f>
        <v>Food Đức Việt</v>
      </c>
      <c r="I27" t="str">
        <f>VLOOKUP(Table8[[#This Row],[Mã khách hàng]],'Khách hàng'!A:E,5,0)</f>
        <v>HN0040</v>
      </c>
    </row>
    <row r="28" spans="1:9">
      <c r="A28" s="14" t="s">
        <v>4680</v>
      </c>
      <c r="B28" s="15" t="s">
        <v>5</v>
      </c>
      <c r="C28" s="10" t="s">
        <v>4681</v>
      </c>
      <c r="D28" s="16" t="s">
        <v>597</v>
      </c>
      <c r="E28" s="15" t="s">
        <v>11193</v>
      </c>
      <c r="F28" s="16" t="str">
        <f>VLOOKUP(Table8[[#This Row],[Mã khách hàng]],code_khach_hang[],2,0)</f>
        <v>CHI NHÁNH BẮC NINH - CÔNG TY CỔ PHẦN DỊCH VỤ THƯƠNG MẠI TỔNG HỢP WINCOMMERCE</v>
      </c>
      <c r="G28" s="16" t="str">
        <f>VLOOKUP(Table8[[#This Row],[Mã khách hàng]],code_khach_hang[],3,0)</f>
        <v>Miền Bắc đặc biệt 2</v>
      </c>
      <c r="H28" t="str">
        <f>VLOOKUP(Table8[[#This Row],[Mã khách hàng]],'Khách hàng'!A:D,4,0)</f>
        <v>Food Đức Việt</v>
      </c>
      <c r="I28" t="str">
        <f>VLOOKUP(Table8[[#This Row],[Mã khách hàng]],'Khách hàng'!A:E,5,0)</f>
        <v>HN0040</v>
      </c>
    </row>
    <row r="29" spans="1:9">
      <c r="A29" s="14" t="s">
        <v>4773</v>
      </c>
      <c r="B29" s="15" t="s">
        <v>5</v>
      </c>
      <c r="C29" s="10" t="s">
        <v>4774</v>
      </c>
      <c r="D29" s="16" t="s">
        <v>600</v>
      </c>
      <c r="E29" s="15" t="s">
        <v>11193</v>
      </c>
      <c r="F29" s="16" t="str">
        <f>VLOOKUP(Table8[[#This Row],[Mã khách hàng]],code_khach_hang[],2,0)</f>
        <v>CHI NHÁNH BẮC NINH - CÔNG TY CỔ PHẦN DỊCH VỤ THƯƠNG MẠI TỔNG HỢP WINCOMMERCE</v>
      </c>
      <c r="G29" s="16" t="str">
        <f>VLOOKUP(Table8[[#This Row],[Mã khách hàng]],code_khach_hang[],3,0)</f>
        <v>Miền Bắc đặc biệt 2</v>
      </c>
      <c r="H29" t="str">
        <f>VLOOKUP(Table8[[#This Row],[Mã khách hàng]],'Khách hàng'!A:D,4,0)</f>
        <v>Food Đức Việt</v>
      </c>
      <c r="I29" t="str">
        <f>VLOOKUP(Table8[[#This Row],[Mã khách hàng]],'Khách hàng'!A:E,5,0)</f>
        <v>HN0040</v>
      </c>
    </row>
    <row r="30" spans="1:9">
      <c r="A30" s="14" t="s">
        <v>4797</v>
      </c>
      <c r="B30" s="15" t="s">
        <v>5</v>
      </c>
      <c r="C30" s="10" t="s">
        <v>4798</v>
      </c>
      <c r="D30" s="16" t="s">
        <v>603</v>
      </c>
      <c r="E30" s="15" t="s">
        <v>11193</v>
      </c>
      <c r="F30" s="16" t="str">
        <f>VLOOKUP(Table8[[#This Row],[Mã khách hàng]],code_khach_hang[],2,0)</f>
        <v>CHI NHÁNH BẮC NINH - CÔNG TY CỔ PHẦN DỊCH VỤ THƯƠNG MẠI TỔNG HỢP WINCOMMERCE</v>
      </c>
      <c r="G30" s="16" t="str">
        <f>VLOOKUP(Table8[[#This Row],[Mã khách hàng]],code_khach_hang[],3,0)</f>
        <v>Miền Bắc đặc biệt 2</v>
      </c>
      <c r="H30" t="str">
        <f>VLOOKUP(Table8[[#This Row],[Mã khách hàng]],'Khách hàng'!A:D,4,0)</f>
        <v>Food Đức Việt</v>
      </c>
      <c r="I30" t="str">
        <f>VLOOKUP(Table8[[#This Row],[Mã khách hàng]],'Khách hàng'!A:E,5,0)</f>
        <v>HN0040</v>
      </c>
    </row>
    <row r="31" spans="1:9">
      <c r="A31" s="14" t="s">
        <v>4836</v>
      </c>
      <c r="B31" s="15" t="s">
        <v>5</v>
      </c>
      <c r="C31" s="10" t="s">
        <v>4837</v>
      </c>
      <c r="D31" s="16" t="s">
        <v>606</v>
      </c>
      <c r="E31" s="15" t="s">
        <v>11193</v>
      </c>
      <c r="F31" s="16" t="str">
        <f>VLOOKUP(Table8[[#This Row],[Mã khách hàng]],code_khach_hang[],2,0)</f>
        <v>CHI NHÁNH BẮC NINH - CÔNG TY CỔ PHẦN DỊCH VỤ THƯƠNG MẠI TỔNG HỢP WINCOMMERCE</v>
      </c>
      <c r="G31" s="16" t="str">
        <f>VLOOKUP(Table8[[#This Row],[Mã khách hàng]],code_khach_hang[],3,0)</f>
        <v>Miền Bắc đặc biệt 2</v>
      </c>
      <c r="H31" t="str">
        <f>VLOOKUP(Table8[[#This Row],[Mã khách hàng]],'Khách hàng'!A:D,4,0)</f>
        <v>Food Đức Việt</v>
      </c>
      <c r="I31" t="str">
        <f>VLOOKUP(Table8[[#This Row],[Mã khách hàng]],'Khách hàng'!A:E,5,0)</f>
        <v>HN0040</v>
      </c>
    </row>
    <row r="32" spans="1:9">
      <c r="A32" s="14" t="s">
        <v>4953</v>
      </c>
      <c r="B32" s="15" t="s">
        <v>5</v>
      </c>
      <c r="C32" s="10" t="s">
        <v>4954</v>
      </c>
      <c r="D32" s="16" t="s">
        <v>609</v>
      </c>
      <c r="E32" s="15" t="s">
        <v>11193</v>
      </c>
      <c r="F32" s="16" t="str">
        <f>VLOOKUP(Table8[[#This Row],[Mã khách hàng]],code_khach_hang[],2,0)</f>
        <v>CHI NHÁNH BẮC NINH - CÔNG TY CỔ PHẦN DỊCH VỤ THƯƠNG MẠI TỔNG HỢP WINCOMMERCE</v>
      </c>
      <c r="G32" s="16" t="str">
        <f>VLOOKUP(Table8[[#This Row],[Mã khách hàng]],code_khach_hang[],3,0)</f>
        <v>Miền Bắc đặc biệt 2</v>
      </c>
      <c r="H32" t="str">
        <f>VLOOKUP(Table8[[#This Row],[Mã khách hàng]],'Khách hàng'!A:D,4,0)</f>
        <v>Food Đức Việt</v>
      </c>
      <c r="I32" t="str">
        <f>VLOOKUP(Table8[[#This Row],[Mã khách hàng]],'Khách hàng'!A:E,5,0)</f>
        <v>HN0040</v>
      </c>
    </row>
    <row r="33" spans="1:9">
      <c r="A33" s="14" t="s">
        <v>4971</v>
      </c>
      <c r="B33" s="15" t="s">
        <v>5</v>
      </c>
      <c r="C33" s="10" t="s">
        <v>4972</v>
      </c>
      <c r="D33" s="16" t="s">
        <v>612</v>
      </c>
      <c r="E33" s="15" t="s">
        <v>11193</v>
      </c>
      <c r="F33" s="16" t="str">
        <f>VLOOKUP(Table8[[#This Row],[Mã khách hàng]],code_khach_hang[],2,0)</f>
        <v>CHI NHÁNH BẮC NINH - CÔNG TY CỔ PHẦN DỊCH VỤ THƯƠNG MẠI TỔNG HỢP WINCOMMERCE</v>
      </c>
      <c r="G33" s="16" t="str">
        <f>VLOOKUP(Table8[[#This Row],[Mã khách hàng]],code_khach_hang[],3,0)</f>
        <v>Miền Bắc đặc biệt 2</v>
      </c>
      <c r="H33" t="str">
        <f>VLOOKUP(Table8[[#This Row],[Mã khách hàng]],'Khách hàng'!A:D,4,0)</f>
        <v>Food Đức Việt</v>
      </c>
      <c r="I33" t="str">
        <f>VLOOKUP(Table8[[#This Row],[Mã khách hàng]],'Khách hàng'!A:E,5,0)</f>
        <v>HN0040</v>
      </c>
    </row>
    <row r="34" spans="1:9">
      <c r="A34" s="14" t="s">
        <v>4989</v>
      </c>
      <c r="B34" s="15" t="s">
        <v>5</v>
      </c>
      <c r="C34" s="10" t="s">
        <v>4990</v>
      </c>
      <c r="D34" s="16" t="s">
        <v>615</v>
      </c>
      <c r="E34" s="15" t="s">
        <v>11193</v>
      </c>
      <c r="F34" s="16" t="str">
        <f>VLOOKUP(Table8[[#This Row],[Mã khách hàng]],code_khach_hang[],2,0)</f>
        <v>CHI NHÁNH BẮC NINH - CÔNG TY CỔ PHẦN DỊCH VỤ THƯƠNG MẠI TỔNG HỢP WINCOMMERCE</v>
      </c>
      <c r="G34" s="16" t="str">
        <f>VLOOKUP(Table8[[#This Row],[Mã khách hàng]],code_khach_hang[],3,0)</f>
        <v>Miền Bắc đặc biệt 2</v>
      </c>
      <c r="H34" t="str">
        <f>VLOOKUP(Table8[[#This Row],[Mã khách hàng]],'Khách hàng'!A:D,4,0)</f>
        <v>Food Đức Việt</v>
      </c>
      <c r="I34" t="str">
        <f>VLOOKUP(Table8[[#This Row],[Mã khách hàng]],'Khách hàng'!A:E,5,0)</f>
        <v>HN0040</v>
      </c>
    </row>
    <row r="35" spans="1:9">
      <c r="A35" s="14" t="s">
        <v>5118</v>
      </c>
      <c r="B35" s="15" t="s">
        <v>5</v>
      </c>
      <c r="C35" s="10" t="s">
        <v>5119</v>
      </c>
      <c r="D35" s="16" t="s">
        <v>618</v>
      </c>
      <c r="E35" s="15" t="s">
        <v>11193</v>
      </c>
      <c r="F35" s="16" t="str">
        <f>VLOOKUP(Table8[[#This Row],[Mã khách hàng]],code_khach_hang[],2,0)</f>
        <v>CHI NHÁNH BẮC NINH - CÔNG TY CỔ PHẦN DỊCH VỤ THƯƠNG MẠI TỔNG HỢP WINCOMMERCE</v>
      </c>
      <c r="G35" s="16" t="str">
        <f>VLOOKUP(Table8[[#This Row],[Mã khách hàng]],code_khach_hang[],3,0)</f>
        <v>Miền Bắc đặc biệt 2</v>
      </c>
      <c r="H35" t="str">
        <f>VLOOKUP(Table8[[#This Row],[Mã khách hàng]],'Khách hàng'!A:D,4,0)</f>
        <v>Food Đức Việt</v>
      </c>
      <c r="I35" t="str">
        <f>VLOOKUP(Table8[[#This Row],[Mã khách hàng]],'Khách hàng'!A:E,5,0)</f>
        <v>HN0040</v>
      </c>
    </row>
    <row r="36" spans="1:9">
      <c r="A36" s="14" t="s">
        <v>5121</v>
      </c>
      <c r="B36" s="15" t="s">
        <v>5</v>
      </c>
      <c r="C36" s="10" t="s">
        <v>5122</v>
      </c>
      <c r="D36" s="16" t="s">
        <v>621</v>
      </c>
      <c r="E36" s="15" t="s">
        <v>11193</v>
      </c>
      <c r="F36" s="16" t="str">
        <f>VLOOKUP(Table8[[#This Row],[Mã khách hàng]],code_khach_hang[],2,0)</f>
        <v>CHI NHÁNH BẮC NINH - CÔNG TY CỔ PHẦN DỊCH VỤ THƯƠNG MẠI TỔNG HỢP WINCOMMERCE</v>
      </c>
      <c r="G36" s="16" t="str">
        <f>VLOOKUP(Table8[[#This Row],[Mã khách hàng]],code_khach_hang[],3,0)</f>
        <v>Miền Bắc đặc biệt 2</v>
      </c>
      <c r="H36" t="str">
        <f>VLOOKUP(Table8[[#This Row],[Mã khách hàng]],'Khách hàng'!A:D,4,0)</f>
        <v>Food Đức Việt</v>
      </c>
      <c r="I36" t="str">
        <f>VLOOKUP(Table8[[#This Row],[Mã khách hàng]],'Khách hàng'!A:E,5,0)</f>
        <v>HN0040</v>
      </c>
    </row>
    <row r="37" spans="1:9">
      <c r="A37" s="14" t="s">
        <v>11079</v>
      </c>
      <c r="B37" s="15" t="s">
        <v>5</v>
      </c>
      <c r="C37" s="10" t="s">
        <v>13138</v>
      </c>
      <c r="D37" s="16" t="s">
        <v>624</v>
      </c>
      <c r="E37" s="15" t="s">
        <v>11193</v>
      </c>
      <c r="F37" s="16" t="str">
        <f>VLOOKUP(Table8[[#This Row],[Mã khách hàng]],code_khach_hang[],2,0)</f>
        <v>CHI NHÁNH BẮC NINH - CÔNG TY CỔ PHẦN DỊCH VỤ THƯƠNG MẠI TỔNG HỢP WINCOMMERCE</v>
      </c>
      <c r="G37" s="16" t="str">
        <f>VLOOKUP(Table8[[#This Row],[Mã khách hàng]],code_khach_hang[],3,0)</f>
        <v>Miền Bắc đặc biệt 2</v>
      </c>
      <c r="H37" t="str">
        <f>VLOOKUP(Table8[[#This Row],[Mã khách hàng]],'Khách hàng'!A:D,4,0)</f>
        <v>Food Đức Việt</v>
      </c>
      <c r="I37" t="str">
        <f>VLOOKUP(Table8[[#This Row],[Mã khách hàng]],'Khách hàng'!A:E,5,0)</f>
        <v>HN0040</v>
      </c>
    </row>
    <row r="38" spans="1:9">
      <c r="A38" s="14" t="s">
        <v>5427</v>
      </c>
      <c r="B38" s="15" t="s">
        <v>5</v>
      </c>
      <c r="C38" s="10" t="s">
        <v>5428</v>
      </c>
      <c r="D38" s="16" t="s">
        <v>627</v>
      </c>
      <c r="E38" s="15" t="s">
        <v>11193</v>
      </c>
      <c r="F38" s="16" t="str">
        <f>VLOOKUP(Table8[[#This Row],[Mã khách hàng]],code_khach_hang[],2,0)</f>
        <v>CHI NHÁNH BẮC NINH - CÔNG TY CỔ PHẦN DỊCH VỤ THƯƠNG MẠI TỔNG HỢP WINCOMMERCE</v>
      </c>
      <c r="G38" s="16" t="str">
        <f>VLOOKUP(Table8[[#This Row],[Mã khách hàng]],code_khach_hang[],3,0)</f>
        <v>Miền Bắc đặc biệt 2</v>
      </c>
      <c r="H38" t="str">
        <f>VLOOKUP(Table8[[#This Row],[Mã khách hàng]],'Khách hàng'!A:D,4,0)</f>
        <v>Food Đức Việt</v>
      </c>
      <c r="I38" t="str">
        <f>VLOOKUP(Table8[[#This Row],[Mã khách hàng]],'Khách hàng'!A:E,5,0)</f>
        <v>HN0040</v>
      </c>
    </row>
    <row r="39" spans="1:9">
      <c r="A39" s="14" t="s">
        <v>5538</v>
      </c>
      <c r="B39" s="15" t="s">
        <v>5</v>
      </c>
      <c r="C39" s="10" t="s">
        <v>5539</v>
      </c>
      <c r="D39" s="16" t="s">
        <v>630</v>
      </c>
      <c r="E39" s="15" t="s">
        <v>11193</v>
      </c>
      <c r="F39" s="16" t="str">
        <f>VLOOKUP(Table8[[#This Row],[Mã khách hàng]],code_khach_hang[],2,0)</f>
        <v>CHI NHÁNH BẮC NINH - CÔNG TY CỔ PHẦN DỊCH VỤ THƯƠNG MẠI TỔNG HỢP WINCOMMERCE</v>
      </c>
      <c r="G39" s="16" t="str">
        <f>VLOOKUP(Table8[[#This Row],[Mã khách hàng]],code_khach_hang[],3,0)</f>
        <v>Miền Bắc đặc biệt 2</v>
      </c>
      <c r="H39" t="str">
        <f>VLOOKUP(Table8[[#This Row],[Mã khách hàng]],'Khách hàng'!A:D,4,0)</f>
        <v>Food Đức Việt</v>
      </c>
      <c r="I39" t="str">
        <f>VLOOKUP(Table8[[#This Row],[Mã khách hàng]],'Khách hàng'!A:E,5,0)</f>
        <v>HN0040</v>
      </c>
    </row>
    <row r="40" spans="1:9">
      <c r="A40" s="14" t="s">
        <v>6058</v>
      </c>
      <c r="B40" s="15" t="s">
        <v>5</v>
      </c>
      <c r="C40" s="10" t="s">
        <v>6059</v>
      </c>
      <c r="D40" s="16" t="s">
        <v>633</v>
      </c>
      <c r="E40" s="15" t="s">
        <v>11193</v>
      </c>
      <c r="F40" s="16" t="str">
        <f>VLOOKUP(Table8[[#This Row],[Mã khách hàng]],code_khach_hang[],2,0)</f>
        <v>CHI NHÁNH BẮC NINH - CÔNG TY CỔ PHẦN DỊCH VỤ THƯƠNG MẠI TỔNG HỢP WINCOMMERCE</v>
      </c>
      <c r="G40" s="16" t="str">
        <f>VLOOKUP(Table8[[#This Row],[Mã khách hàng]],code_khach_hang[],3,0)</f>
        <v>Miền Bắc đặc biệt 2</v>
      </c>
      <c r="H40" t="str">
        <f>VLOOKUP(Table8[[#This Row],[Mã khách hàng]],'Khách hàng'!A:D,4,0)</f>
        <v>Food Đức Việt</v>
      </c>
      <c r="I40" t="str">
        <f>VLOOKUP(Table8[[#This Row],[Mã khách hàng]],'Khách hàng'!A:E,5,0)</f>
        <v>HN0040</v>
      </c>
    </row>
    <row r="41" spans="1:9">
      <c r="A41" s="14" t="s">
        <v>6219</v>
      </c>
      <c r="B41" s="15" t="s">
        <v>5</v>
      </c>
      <c r="C41" s="10" t="s">
        <v>6220</v>
      </c>
      <c r="D41" s="16" t="s">
        <v>636</v>
      </c>
      <c r="E41" s="15" t="s">
        <v>11193</v>
      </c>
      <c r="F41" s="16" t="str">
        <f>VLOOKUP(Table8[[#This Row],[Mã khách hàng]],code_khach_hang[],2,0)</f>
        <v>CHI NHÁNH BẮC NINH - CÔNG TY CỔ PHẦN DỊCH VỤ THƯƠNG MẠI TỔNG HỢP WINCOMMERCE</v>
      </c>
      <c r="G41" s="16" t="str">
        <f>VLOOKUP(Table8[[#This Row],[Mã khách hàng]],code_khach_hang[],3,0)</f>
        <v>Miền Bắc đặc biệt 2</v>
      </c>
      <c r="H41" t="str">
        <f>VLOOKUP(Table8[[#This Row],[Mã khách hàng]],'Khách hàng'!A:D,4,0)</f>
        <v>Food Đức Việt</v>
      </c>
      <c r="I41" t="str">
        <f>VLOOKUP(Table8[[#This Row],[Mã khách hàng]],'Khách hàng'!A:E,5,0)</f>
        <v>HN0040</v>
      </c>
    </row>
    <row r="42" spans="1:9">
      <c r="A42" s="14" t="s">
        <v>6222</v>
      </c>
      <c r="B42" s="15" t="s">
        <v>5</v>
      </c>
      <c r="C42" s="10" t="s">
        <v>6223</v>
      </c>
      <c r="D42" s="16" t="s">
        <v>639</v>
      </c>
      <c r="E42" s="15" t="s">
        <v>11193</v>
      </c>
      <c r="F42" s="16" t="str">
        <f>VLOOKUP(Table8[[#This Row],[Mã khách hàng]],code_khach_hang[],2,0)</f>
        <v>CHI NHÁNH BẮC NINH - CÔNG TY CỔ PHẦN DỊCH VỤ THƯƠNG MẠI TỔNG HỢP WINCOMMERCE</v>
      </c>
      <c r="G42" s="16" t="str">
        <f>VLOOKUP(Table8[[#This Row],[Mã khách hàng]],code_khach_hang[],3,0)</f>
        <v>Miền Bắc đặc biệt 2</v>
      </c>
      <c r="H42" t="str">
        <f>VLOOKUP(Table8[[#This Row],[Mã khách hàng]],'Khách hàng'!A:D,4,0)</f>
        <v>Food Đức Việt</v>
      </c>
      <c r="I42" t="str">
        <f>VLOOKUP(Table8[[#This Row],[Mã khách hàng]],'Khách hàng'!A:E,5,0)</f>
        <v>HN0040</v>
      </c>
    </row>
    <row r="43" spans="1:9">
      <c r="A43" s="14" t="s">
        <v>6860</v>
      </c>
      <c r="B43" s="15" t="s">
        <v>5</v>
      </c>
      <c r="C43" s="10" t="s">
        <v>6861</v>
      </c>
      <c r="D43" s="16" t="s">
        <v>642</v>
      </c>
      <c r="E43" s="15" t="s">
        <v>11193</v>
      </c>
      <c r="F43" s="16" t="str">
        <f>VLOOKUP(Table8[[#This Row],[Mã khách hàng]],code_khach_hang[],2,0)</f>
        <v>CHI NHÁNH BẮC NINH - CÔNG TY CỔ PHẦN DỊCH VỤ THƯƠNG MẠI TỔNG HỢP WINCOMMERCE</v>
      </c>
      <c r="G43" s="16" t="str">
        <f>VLOOKUP(Table8[[#This Row],[Mã khách hàng]],code_khach_hang[],3,0)</f>
        <v>Miền Bắc đặc biệt 2</v>
      </c>
      <c r="H43" t="str">
        <f>VLOOKUP(Table8[[#This Row],[Mã khách hàng]],'Khách hàng'!A:D,4,0)</f>
        <v>Food Đức Việt</v>
      </c>
      <c r="I43" t="str">
        <f>VLOOKUP(Table8[[#This Row],[Mã khách hàng]],'Khách hàng'!A:E,5,0)</f>
        <v>HN0040</v>
      </c>
    </row>
    <row r="44" spans="1:9">
      <c r="A44" s="14" t="s">
        <v>6965</v>
      </c>
      <c r="B44" s="15" t="s">
        <v>5</v>
      </c>
      <c r="C44" s="10" t="s">
        <v>6966</v>
      </c>
      <c r="D44" s="16" t="s">
        <v>645</v>
      </c>
      <c r="E44" s="15" t="s">
        <v>11193</v>
      </c>
      <c r="F44" s="16" t="str">
        <f>VLOOKUP(Table8[[#This Row],[Mã khách hàng]],code_khach_hang[],2,0)</f>
        <v>CHI NHÁNH BẮC NINH - CÔNG TY CỔ PHẦN DỊCH VỤ THƯƠNG MẠI TỔNG HỢP WINCOMMERCE</v>
      </c>
      <c r="G44" s="16" t="str">
        <f>VLOOKUP(Table8[[#This Row],[Mã khách hàng]],code_khach_hang[],3,0)</f>
        <v>Miền Bắc đặc biệt 2</v>
      </c>
      <c r="H44" t="str">
        <f>VLOOKUP(Table8[[#This Row],[Mã khách hàng]],'Khách hàng'!A:D,4,0)</f>
        <v>Food Đức Việt</v>
      </c>
      <c r="I44" t="str">
        <f>VLOOKUP(Table8[[#This Row],[Mã khách hàng]],'Khách hàng'!A:E,5,0)</f>
        <v>HN0040</v>
      </c>
    </row>
    <row r="45" spans="1:9">
      <c r="A45" s="14" t="s">
        <v>7324</v>
      </c>
      <c r="B45" s="15" t="s">
        <v>5</v>
      </c>
      <c r="C45" s="10" t="s">
        <v>7325</v>
      </c>
      <c r="D45" s="16" t="s">
        <v>648</v>
      </c>
      <c r="E45" s="15" t="s">
        <v>11193</v>
      </c>
      <c r="F45" s="16" t="str">
        <f>VLOOKUP(Table8[[#This Row],[Mã khách hàng]],code_khach_hang[],2,0)</f>
        <v>CHI NHÁNH BẮC NINH - CÔNG TY CỔ PHẦN DỊCH VỤ THƯƠNG MẠI TỔNG HỢP WINCOMMERCE</v>
      </c>
      <c r="G45" s="16" t="str">
        <f>VLOOKUP(Table8[[#This Row],[Mã khách hàng]],code_khach_hang[],3,0)</f>
        <v>Miền Bắc đặc biệt 2</v>
      </c>
      <c r="H45" t="str">
        <f>VLOOKUP(Table8[[#This Row],[Mã khách hàng]],'Khách hàng'!A:D,4,0)</f>
        <v>Food Đức Việt</v>
      </c>
      <c r="I45" t="str">
        <f>VLOOKUP(Table8[[#This Row],[Mã khách hàng]],'Khách hàng'!A:E,5,0)</f>
        <v>HN0040</v>
      </c>
    </row>
    <row r="46" spans="1:9">
      <c r="A46" s="14" t="s">
        <v>7440</v>
      </c>
      <c r="B46" s="15" t="s">
        <v>5</v>
      </c>
      <c r="C46" s="10" t="s">
        <v>7441</v>
      </c>
      <c r="D46" s="16" t="s">
        <v>649</v>
      </c>
      <c r="E46" s="15" t="s">
        <v>11193</v>
      </c>
      <c r="F46" s="16" t="str">
        <f>VLOOKUP(Table8[[#This Row],[Mã khách hàng]],code_khach_hang[],2,0)</f>
        <v>CHI NHÁNH BẮC NINH - CÔNG TY CỔ PHẦN DỊCH VỤ THƯƠNG MẠI TỔNG HỢP WINCOMMERCE</v>
      </c>
      <c r="G46" s="16" t="str">
        <f>VLOOKUP(Table8[[#This Row],[Mã khách hàng]],code_khach_hang[],3,0)</f>
        <v>Miền Bắc đặc biệt 2</v>
      </c>
      <c r="H46" t="str">
        <f>VLOOKUP(Table8[[#This Row],[Mã khách hàng]],'Khách hàng'!A:D,4,0)</f>
        <v>Food Đức Việt</v>
      </c>
      <c r="I46" t="str">
        <f>VLOOKUP(Table8[[#This Row],[Mã khách hàng]],'Khách hàng'!A:E,5,0)</f>
        <v>HN0040</v>
      </c>
    </row>
    <row r="47" spans="1:9">
      <c r="A47" s="14" t="s">
        <v>7933</v>
      </c>
      <c r="B47" s="15" t="s">
        <v>5</v>
      </c>
      <c r="C47" s="10" t="s">
        <v>7934</v>
      </c>
      <c r="D47" s="16" t="s">
        <v>654</v>
      </c>
      <c r="E47" s="15" t="s">
        <v>11193</v>
      </c>
      <c r="F47" s="16" t="str">
        <f>VLOOKUP(Table8[[#This Row],[Mã khách hàng]],code_khach_hang[],2,0)</f>
        <v>CHI NHÁNH BẮC NINH - CÔNG TY CỔ PHẦN DỊCH VỤ THƯƠNG MẠI TỔNG HỢP WINCOMMERCE</v>
      </c>
      <c r="G47" s="16" t="str">
        <f>VLOOKUP(Table8[[#This Row],[Mã khách hàng]],code_khach_hang[],3,0)</f>
        <v>Miền Bắc đặc biệt 2</v>
      </c>
      <c r="H47" t="str">
        <f>VLOOKUP(Table8[[#This Row],[Mã khách hàng]],'Khách hàng'!A:D,4,0)</f>
        <v>Food Đức Việt</v>
      </c>
      <c r="I47" t="str">
        <f>VLOOKUP(Table8[[#This Row],[Mã khách hàng]],'Khách hàng'!A:E,5,0)</f>
        <v>HN0040</v>
      </c>
    </row>
    <row r="48" spans="1:9">
      <c r="A48" s="14" t="s">
        <v>8239</v>
      </c>
      <c r="B48" s="15" t="s">
        <v>5</v>
      </c>
      <c r="C48" s="10" t="s">
        <v>8240</v>
      </c>
      <c r="D48" s="16" t="s">
        <v>657</v>
      </c>
      <c r="E48" s="15" t="s">
        <v>11193</v>
      </c>
      <c r="F48" s="16" t="str">
        <f>VLOOKUP(Table8[[#This Row],[Mã khách hàng]],code_khach_hang[],2,0)</f>
        <v>CHI NHÁNH BẮC NINH - CÔNG TY CỔ PHẦN DỊCH VỤ THƯƠNG MẠI TỔNG HỢP WINCOMMERCE</v>
      </c>
      <c r="G48" s="16" t="str">
        <f>VLOOKUP(Table8[[#This Row],[Mã khách hàng]],code_khach_hang[],3,0)</f>
        <v>Miền Bắc đặc biệt 2</v>
      </c>
      <c r="H48" t="str">
        <f>VLOOKUP(Table8[[#This Row],[Mã khách hàng]],'Khách hàng'!A:D,4,0)</f>
        <v>Food Đức Việt</v>
      </c>
      <c r="I48" t="str">
        <f>VLOOKUP(Table8[[#This Row],[Mã khách hàng]],'Khách hàng'!A:E,5,0)</f>
        <v>HN0040</v>
      </c>
    </row>
    <row r="49" spans="1:9">
      <c r="A49" s="14" t="s">
        <v>8518</v>
      </c>
      <c r="B49" s="15" t="s">
        <v>5</v>
      </c>
      <c r="C49" s="10" t="s">
        <v>8519</v>
      </c>
      <c r="D49" s="16" t="s">
        <v>660</v>
      </c>
      <c r="E49" s="15" t="s">
        <v>11193</v>
      </c>
      <c r="F49" s="16" t="str">
        <f>VLOOKUP(Table8[[#This Row],[Mã khách hàng]],code_khach_hang[],2,0)</f>
        <v>CHI NHÁNH BẮC NINH - CÔNG TY CỔ PHẦN DỊCH VỤ THƯƠNG MẠI TỔNG HỢP WINCOMMERCE</v>
      </c>
      <c r="G49" s="16" t="str">
        <f>VLOOKUP(Table8[[#This Row],[Mã khách hàng]],code_khach_hang[],3,0)</f>
        <v>Miền Bắc đặc biệt 2</v>
      </c>
      <c r="H49" t="str">
        <f>VLOOKUP(Table8[[#This Row],[Mã khách hàng]],'Khách hàng'!A:D,4,0)</f>
        <v>Food Đức Việt</v>
      </c>
      <c r="I49" t="str">
        <f>VLOOKUP(Table8[[#This Row],[Mã khách hàng]],'Khách hàng'!A:E,5,0)</f>
        <v>HN0040</v>
      </c>
    </row>
    <row r="50" spans="1:9">
      <c r="A50" s="14" t="s">
        <v>8532</v>
      </c>
      <c r="B50" s="15" t="s">
        <v>5</v>
      </c>
      <c r="C50" s="10" t="s">
        <v>8533</v>
      </c>
      <c r="D50" s="16" t="s">
        <v>663</v>
      </c>
      <c r="E50" s="15" t="s">
        <v>11193</v>
      </c>
      <c r="F50" s="16" t="str">
        <f>VLOOKUP(Table8[[#This Row],[Mã khách hàng]],code_khach_hang[],2,0)</f>
        <v>CHI NHÁNH BẮC NINH - CÔNG TY CỔ PHẦN DỊCH VỤ THƯƠNG MẠI TỔNG HỢP WINCOMMERCE</v>
      </c>
      <c r="G50" s="16" t="str">
        <f>VLOOKUP(Table8[[#This Row],[Mã khách hàng]],code_khach_hang[],3,0)</f>
        <v>Miền Bắc đặc biệt 2</v>
      </c>
      <c r="H50" t="str">
        <f>VLOOKUP(Table8[[#This Row],[Mã khách hàng]],'Khách hàng'!A:D,4,0)</f>
        <v>Food Đức Việt</v>
      </c>
      <c r="I50" t="str">
        <f>VLOOKUP(Table8[[#This Row],[Mã khách hàng]],'Khách hàng'!A:E,5,0)</f>
        <v>HN0040</v>
      </c>
    </row>
    <row r="51" spans="1:9">
      <c r="A51" s="14" t="s">
        <v>8741</v>
      </c>
      <c r="B51" s="15" t="s">
        <v>5</v>
      </c>
      <c r="C51" s="10" t="s">
        <v>8742</v>
      </c>
      <c r="D51" s="16" t="s">
        <v>666</v>
      </c>
      <c r="E51" s="15" t="s">
        <v>11193</v>
      </c>
      <c r="F51" s="16" t="str">
        <f>VLOOKUP(Table8[[#This Row],[Mã khách hàng]],code_khach_hang[],2,0)</f>
        <v>CHI NHÁNH BẮC NINH - CÔNG TY CỔ PHẦN DỊCH VỤ THƯƠNG MẠI TỔNG HỢP WINCOMMERCE</v>
      </c>
      <c r="G51" s="16" t="str">
        <f>VLOOKUP(Table8[[#This Row],[Mã khách hàng]],code_khach_hang[],3,0)</f>
        <v>Miền Bắc đặc biệt 2</v>
      </c>
      <c r="H51" t="str">
        <f>VLOOKUP(Table8[[#This Row],[Mã khách hàng]],'Khách hàng'!A:D,4,0)</f>
        <v>Food Đức Việt</v>
      </c>
      <c r="I51" t="str">
        <f>VLOOKUP(Table8[[#This Row],[Mã khách hàng]],'Khách hàng'!A:E,5,0)</f>
        <v>HN0040</v>
      </c>
    </row>
    <row r="52" spans="1:9">
      <c r="A52" s="14" t="s">
        <v>4518</v>
      </c>
      <c r="B52" s="15" t="s">
        <v>5</v>
      </c>
      <c r="C52" s="10" t="s">
        <v>4519</v>
      </c>
      <c r="D52" s="16" t="s">
        <v>669</v>
      </c>
      <c r="E52" s="15" t="s">
        <v>11193</v>
      </c>
      <c r="F52" s="16" t="str">
        <f>VLOOKUP(Table8[[#This Row],[Mã khách hàng]],code_khach_hang[],2,0)</f>
        <v>CHI NHÁNH BẮC NINH - CÔNG TY CỔ PHẦN DỊCH VỤ THƯƠNG MẠI TỔNG HỢP WINCOMMERCE</v>
      </c>
      <c r="G52" s="16" t="str">
        <f>VLOOKUP(Table8[[#This Row],[Mã khách hàng]],code_khach_hang[],3,0)</f>
        <v>Miền Bắc đặc biệt 2</v>
      </c>
      <c r="H52" t="str">
        <f>VLOOKUP(Table8[[#This Row],[Mã khách hàng]],'Khách hàng'!A:D,4,0)</f>
        <v>Food Đức Việt</v>
      </c>
      <c r="I52" t="str">
        <f>VLOOKUP(Table8[[#This Row],[Mã khách hàng]],'Khách hàng'!A:E,5,0)</f>
        <v>HN0040</v>
      </c>
    </row>
    <row r="53" spans="1:9">
      <c r="A53" s="14" t="s">
        <v>4581</v>
      </c>
      <c r="B53" s="15" t="s">
        <v>5</v>
      </c>
      <c r="C53" s="10" t="s">
        <v>4582</v>
      </c>
      <c r="D53" s="16" t="s">
        <v>672</v>
      </c>
      <c r="E53" s="15" t="s">
        <v>11193</v>
      </c>
      <c r="F53" s="16" t="str">
        <f>VLOOKUP(Table8[[#This Row],[Mã khách hàng]],code_khach_hang[],2,0)</f>
        <v>CHI NHÁNH BẮC NINH - CÔNG TY CỔ PHẦN DỊCH VỤ THƯƠNG MẠI TỔNG HỢP WINCOMMERCE</v>
      </c>
      <c r="G53" s="16" t="str">
        <f>VLOOKUP(Table8[[#This Row],[Mã khách hàng]],code_khach_hang[],3,0)</f>
        <v>Miền Bắc đặc biệt 2</v>
      </c>
      <c r="H53" t="str">
        <f>VLOOKUP(Table8[[#This Row],[Mã khách hàng]],'Khách hàng'!A:D,4,0)</f>
        <v>Food Đức Việt</v>
      </c>
      <c r="I53" t="str">
        <f>VLOOKUP(Table8[[#This Row],[Mã khách hàng]],'Khách hàng'!A:E,5,0)</f>
        <v>HN0040</v>
      </c>
    </row>
    <row r="54" spans="1:9">
      <c r="A54" s="14" t="s">
        <v>5022</v>
      </c>
      <c r="B54" s="15" t="s">
        <v>5</v>
      </c>
      <c r="C54" s="10" t="s">
        <v>5023</v>
      </c>
      <c r="D54" s="16" t="s">
        <v>675</v>
      </c>
      <c r="E54" s="15" t="s">
        <v>11193</v>
      </c>
      <c r="F54" s="16" t="str">
        <f>VLOOKUP(Table8[[#This Row],[Mã khách hàng]],code_khach_hang[],2,0)</f>
        <v>CHI NHÁNH BẮC NINH - CÔNG TY CỔ PHẦN DỊCH VỤ THƯƠNG MẠI TỔNG HỢP WINCOMMERCE</v>
      </c>
      <c r="G54" s="16" t="str">
        <f>VLOOKUP(Table8[[#This Row],[Mã khách hàng]],code_khach_hang[],3,0)</f>
        <v>Miền Bắc đặc biệt 2</v>
      </c>
      <c r="H54" t="str">
        <f>VLOOKUP(Table8[[#This Row],[Mã khách hàng]],'Khách hàng'!A:D,4,0)</f>
        <v>Food Đức Việt</v>
      </c>
      <c r="I54" t="str">
        <f>VLOOKUP(Table8[[#This Row],[Mã khách hàng]],'Khách hàng'!A:E,5,0)</f>
        <v>HN0040</v>
      </c>
    </row>
    <row r="55" spans="1:9">
      <c r="A55" s="14" t="s">
        <v>5106</v>
      </c>
      <c r="B55" s="15" t="s">
        <v>5</v>
      </c>
      <c r="C55" s="10" t="s">
        <v>5107</v>
      </c>
      <c r="D55" s="16" t="s">
        <v>678</v>
      </c>
      <c r="E55" s="15" t="s">
        <v>11193</v>
      </c>
      <c r="F55" s="16" t="str">
        <f>VLOOKUP(Table8[[#This Row],[Mã khách hàng]],code_khach_hang[],2,0)</f>
        <v>CHI NHÁNH BẮC NINH - CÔNG TY CỔ PHẦN DỊCH VỤ THƯƠNG MẠI TỔNG HỢP WINCOMMERCE</v>
      </c>
      <c r="G55" s="16" t="str">
        <f>VLOOKUP(Table8[[#This Row],[Mã khách hàng]],code_khach_hang[],3,0)</f>
        <v>Miền Bắc đặc biệt 2</v>
      </c>
      <c r="H55" t="str">
        <f>VLOOKUP(Table8[[#This Row],[Mã khách hàng]],'Khách hàng'!A:D,4,0)</f>
        <v>Food Đức Việt</v>
      </c>
      <c r="I55" t="str">
        <f>VLOOKUP(Table8[[#This Row],[Mã khách hàng]],'Khách hàng'!A:E,5,0)</f>
        <v>HN0040</v>
      </c>
    </row>
    <row r="56" spans="1:9">
      <c r="A56" s="14" t="s">
        <v>5244</v>
      </c>
      <c r="B56" s="15" t="s">
        <v>5</v>
      </c>
      <c r="C56" s="10" t="s">
        <v>5245</v>
      </c>
      <c r="D56" s="16" t="s">
        <v>680</v>
      </c>
      <c r="E56" s="15" t="s">
        <v>11193</v>
      </c>
      <c r="F56" s="16" t="str">
        <f>VLOOKUP(Table8[[#This Row],[Mã khách hàng]],code_khach_hang[],2,0)</f>
        <v>CHI NHÁNH BẮC NINH - CÔNG TY CỔ PHẦN DỊCH VỤ THƯƠNG MẠI TỔNG HỢP WINCOMMERCE</v>
      </c>
      <c r="G56" s="16" t="str">
        <f>VLOOKUP(Table8[[#This Row],[Mã khách hàng]],code_khach_hang[],3,0)</f>
        <v>Miền Bắc đặc biệt 2</v>
      </c>
      <c r="H56" t="str">
        <f>VLOOKUP(Table8[[#This Row],[Mã khách hàng]],'Khách hàng'!A:D,4,0)</f>
        <v>Food Đức Việt</v>
      </c>
      <c r="I56" t="str">
        <f>VLOOKUP(Table8[[#This Row],[Mã khách hàng]],'Khách hàng'!A:E,5,0)</f>
        <v>HN0040</v>
      </c>
    </row>
    <row r="57" spans="1:9">
      <c r="A57" s="14" t="s">
        <v>6749</v>
      </c>
      <c r="B57" s="15" t="s">
        <v>5</v>
      </c>
      <c r="C57" s="10" t="s">
        <v>6750</v>
      </c>
      <c r="D57" s="16" t="s">
        <v>683</v>
      </c>
      <c r="E57" s="15" t="s">
        <v>11193</v>
      </c>
      <c r="F57" s="16" t="str">
        <f>VLOOKUP(Table8[[#This Row],[Mã khách hàng]],code_khach_hang[],2,0)</f>
        <v>CHI NHÁNH BẮC NINH - CÔNG TY CỔ PHẦN DỊCH VỤ THƯƠNG MẠI TỔNG HỢP WINCOMMERCE</v>
      </c>
      <c r="G57" s="16" t="str">
        <f>VLOOKUP(Table8[[#This Row],[Mã khách hàng]],code_khach_hang[],3,0)</f>
        <v>Miền Bắc đặc biệt 2</v>
      </c>
      <c r="H57" t="str">
        <f>VLOOKUP(Table8[[#This Row],[Mã khách hàng]],'Khách hàng'!A:D,4,0)</f>
        <v>Food Đức Việt</v>
      </c>
      <c r="I57" t="str">
        <f>VLOOKUP(Table8[[#This Row],[Mã khách hàng]],'Khách hàng'!A:E,5,0)</f>
        <v>HN0040</v>
      </c>
    </row>
    <row r="58" spans="1:9">
      <c r="A58" s="14" t="s">
        <v>6914</v>
      </c>
      <c r="B58" s="15" t="s">
        <v>5</v>
      </c>
      <c r="C58" s="10" t="s">
        <v>6915</v>
      </c>
      <c r="D58" s="16" t="s">
        <v>686</v>
      </c>
      <c r="E58" s="15" t="s">
        <v>11193</v>
      </c>
      <c r="F58" s="16" t="str">
        <f>VLOOKUP(Table8[[#This Row],[Mã khách hàng]],code_khach_hang[],2,0)</f>
        <v>CHI NHÁNH BẮC NINH - CÔNG TY CỔ PHẦN DỊCH VỤ THƯƠNG MẠI TỔNG HỢP WINCOMMERCE</v>
      </c>
      <c r="G58" s="16" t="str">
        <f>VLOOKUP(Table8[[#This Row],[Mã khách hàng]],code_khach_hang[],3,0)</f>
        <v>Miền Bắc đặc biệt 2</v>
      </c>
      <c r="H58" t="str">
        <f>VLOOKUP(Table8[[#This Row],[Mã khách hàng]],'Khách hàng'!A:D,4,0)</f>
        <v>Food Đức Việt</v>
      </c>
      <c r="I58" t="str">
        <f>VLOOKUP(Table8[[#This Row],[Mã khách hàng]],'Khách hàng'!A:E,5,0)</f>
        <v>HN0040</v>
      </c>
    </row>
    <row r="59" spans="1:9">
      <c r="A59" s="14" t="s">
        <v>8688</v>
      </c>
      <c r="B59" s="15" t="s">
        <v>5</v>
      </c>
      <c r="C59" s="10" t="s">
        <v>8689</v>
      </c>
      <c r="D59" s="16" t="s">
        <v>689</v>
      </c>
      <c r="E59" s="15" t="s">
        <v>11193</v>
      </c>
      <c r="F59" s="16" t="str">
        <f>VLOOKUP(Table8[[#This Row],[Mã khách hàng]],code_khach_hang[],2,0)</f>
        <v>CHI NHÁNH BẮC NINH - CÔNG TY CỔ PHẦN DỊCH VỤ THƯƠNG MẠI TỔNG HỢP WINCOMMERCE</v>
      </c>
      <c r="G59" s="16" t="str">
        <f>VLOOKUP(Table8[[#This Row],[Mã khách hàng]],code_khach_hang[],3,0)</f>
        <v>Miền Bắc đặc biệt 2</v>
      </c>
      <c r="H59" t="str">
        <f>VLOOKUP(Table8[[#This Row],[Mã khách hàng]],'Khách hàng'!A:D,4,0)</f>
        <v>Food Đức Việt</v>
      </c>
      <c r="I59" t="str">
        <f>VLOOKUP(Table8[[#This Row],[Mã khách hàng]],'Khách hàng'!A:E,5,0)</f>
        <v>HN0040</v>
      </c>
    </row>
    <row r="60" spans="1:9">
      <c r="A60" s="14" t="s">
        <v>8480</v>
      </c>
      <c r="B60" s="15" t="s">
        <v>5</v>
      </c>
      <c r="C60" s="10" t="s">
        <v>8481</v>
      </c>
      <c r="D60" s="16" t="s">
        <v>692</v>
      </c>
      <c r="E60" s="15" t="s">
        <v>11193</v>
      </c>
      <c r="F60" s="16" t="str">
        <f>VLOOKUP(Table8[[#This Row],[Mã khách hàng]],code_khach_hang[],2,0)</f>
        <v>CHI NHÁNH BẮC NINH - CÔNG TY CỔ PHẦN DỊCH VỤ THƯƠNG MẠI TỔNG HỢP WINCOMMERCE</v>
      </c>
      <c r="G60" s="16" t="str">
        <f>VLOOKUP(Table8[[#This Row],[Mã khách hàng]],code_khach_hang[],3,0)</f>
        <v>Miền Bắc đặc biệt 2</v>
      </c>
      <c r="H60" t="str">
        <f>VLOOKUP(Table8[[#This Row],[Mã khách hàng]],'Khách hàng'!A:D,4,0)</f>
        <v>Food Đức Việt</v>
      </c>
      <c r="I60" t="str">
        <f>VLOOKUP(Table8[[#This Row],[Mã khách hàng]],'Khách hàng'!A:E,5,0)</f>
        <v>HN0040</v>
      </c>
    </row>
    <row r="61" spans="1:9">
      <c r="A61" s="14" t="s">
        <v>8617</v>
      </c>
      <c r="B61" s="15" t="s">
        <v>5</v>
      </c>
      <c r="C61" s="10" t="s">
        <v>8618</v>
      </c>
      <c r="D61" s="16" t="s">
        <v>695</v>
      </c>
      <c r="E61" s="15" t="s">
        <v>11193</v>
      </c>
      <c r="F61" s="16" t="str">
        <f>VLOOKUP(Table8[[#This Row],[Mã khách hàng]],code_khach_hang[],2,0)</f>
        <v>CHI NHÁNH BẮC NINH - CÔNG TY CỔ PHẦN DỊCH VỤ THƯƠNG MẠI TỔNG HỢP WINCOMMERCE</v>
      </c>
      <c r="G61" s="16" t="str">
        <f>VLOOKUP(Table8[[#This Row],[Mã khách hàng]],code_khach_hang[],3,0)</f>
        <v>Miền Bắc đặc biệt 2</v>
      </c>
      <c r="H61" t="str">
        <f>VLOOKUP(Table8[[#This Row],[Mã khách hàng]],'Khách hàng'!A:D,4,0)</f>
        <v>Food Đức Việt</v>
      </c>
      <c r="I61" t="str">
        <f>VLOOKUP(Table8[[#This Row],[Mã khách hàng]],'Khách hàng'!A:E,5,0)</f>
        <v>HN0040</v>
      </c>
    </row>
    <row r="62" spans="1:9">
      <c r="A62" s="14" t="s">
        <v>8853</v>
      </c>
      <c r="B62" s="15" t="s">
        <v>5</v>
      </c>
      <c r="C62" s="10" t="s">
        <v>8854</v>
      </c>
      <c r="D62" s="16" t="s">
        <v>698</v>
      </c>
      <c r="E62" s="15" t="s">
        <v>11193</v>
      </c>
      <c r="F62" s="16" t="str">
        <f>VLOOKUP(Table8[[#This Row],[Mã khách hàng]],code_khach_hang[],2,0)</f>
        <v>CHI NHÁNH BẮC NINH - CÔNG TY CỔ PHẦN DỊCH VỤ THƯƠNG MẠI TỔNG HỢP WINCOMMERCE</v>
      </c>
      <c r="G62" s="16" t="str">
        <f>VLOOKUP(Table8[[#This Row],[Mã khách hàng]],code_khach_hang[],3,0)</f>
        <v>Miền Bắc đặc biệt 2</v>
      </c>
      <c r="H62" t="str">
        <f>VLOOKUP(Table8[[#This Row],[Mã khách hàng]],'Khách hàng'!A:D,4,0)</f>
        <v>Food Đức Việt</v>
      </c>
      <c r="I62" t="str">
        <f>VLOOKUP(Table8[[#This Row],[Mã khách hàng]],'Khách hàng'!A:E,5,0)</f>
        <v>HN0040</v>
      </c>
    </row>
    <row r="63" spans="1:9">
      <c r="A63" s="14" t="s">
        <v>8794</v>
      </c>
      <c r="B63" s="15" t="s">
        <v>5</v>
      </c>
      <c r="C63" s="10" t="s">
        <v>8795</v>
      </c>
      <c r="D63" s="16" t="s">
        <v>701</v>
      </c>
      <c r="E63" s="15" t="s">
        <v>11193</v>
      </c>
      <c r="F63" s="16" t="str">
        <f>VLOOKUP(Table8[[#This Row],[Mã khách hàng]],code_khach_hang[],2,0)</f>
        <v>CHI NHÁNH BẮC NINH - CÔNG TY CỔ PHẦN DỊCH VỤ THƯƠNG MẠI TỔNG HỢP WINCOMMERCE</v>
      </c>
      <c r="G63" s="16" t="str">
        <f>VLOOKUP(Table8[[#This Row],[Mã khách hàng]],code_khach_hang[],3,0)</f>
        <v>Miền Bắc đặc biệt 2</v>
      </c>
      <c r="H63" t="str">
        <f>VLOOKUP(Table8[[#This Row],[Mã khách hàng]],'Khách hàng'!A:D,4,0)</f>
        <v>Food Đức Việt</v>
      </c>
      <c r="I63" t="str">
        <f>VLOOKUP(Table8[[#This Row],[Mã khách hàng]],'Khách hàng'!A:E,5,0)</f>
        <v>HN0040</v>
      </c>
    </row>
    <row r="64" spans="1:9">
      <c r="A64" s="14" t="s">
        <v>8821</v>
      </c>
      <c r="B64" s="15" t="s">
        <v>5</v>
      </c>
      <c r="C64" s="10" t="s">
        <v>8822</v>
      </c>
      <c r="D64" s="16" t="s">
        <v>704</v>
      </c>
      <c r="E64" s="15" t="s">
        <v>11193</v>
      </c>
      <c r="F64" s="16" t="str">
        <f>VLOOKUP(Table8[[#This Row],[Mã khách hàng]],code_khach_hang[],2,0)</f>
        <v>CHI NHÁNH BẮC NINH - CÔNG TY CỔ PHẦN DỊCH VỤ THƯƠNG MẠI TỔNG HỢP WINCOMMERCE</v>
      </c>
      <c r="G64" s="16" t="str">
        <f>VLOOKUP(Table8[[#This Row],[Mã khách hàng]],code_khach_hang[],3,0)</f>
        <v>Miền Bắc đặc biệt 2</v>
      </c>
      <c r="H64" t="str">
        <f>VLOOKUP(Table8[[#This Row],[Mã khách hàng]],'Khách hàng'!A:D,4,0)</f>
        <v>Food Đức Việt</v>
      </c>
      <c r="I64" t="str">
        <f>VLOOKUP(Table8[[#This Row],[Mã khách hàng]],'Khách hàng'!A:E,5,0)</f>
        <v>HN0040</v>
      </c>
    </row>
    <row r="65" spans="1:9">
      <c r="A65" s="14" t="s">
        <v>8735</v>
      </c>
      <c r="B65" s="15" t="s">
        <v>5</v>
      </c>
      <c r="C65" s="10" t="s">
        <v>8736</v>
      </c>
      <c r="D65" s="16" t="s">
        <v>706</v>
      </c>
      <c r="E65" s="15" t="s">
        <v>11193</v>
      </c>
      <c r="F65" s="16" t="str">
        <f>VLOOKUP(Table8[[#This Row],[Mã khách hàng]],code_khach_hang[],2,0)</f>
        <v>CHI NHÁNH BẮC NINH - CÔNG TY CỔ PHẦN DỊCH VỤ THƯƠNG MẠI TỔNG HỢP WINCOMMERCE</v>
      </c>
      <c r="G65" s="16" t="str">
        <f>VLOOKUP(Table8[[#This Row],[Mã khách hàng]],code_khach_hang[],3,0)</f>
        <v>Miền Bắc đặc biệt 2</v>
      </c>
      <c r="H65" t="str">
        <f>VLOOKUP(Table8[[#This Row],[Mã khách hàng]],'Khách hàng'!A:D,4,0)</f>
        <v>Food Đức Việt</v>
      </c>
      <c r="I65" t="str">
        <f>VLOOKUP(Table8[[#This Row],[Mã khách hàng]],'Khách hàng'!A:E,5,0)</f>
        <v>HN0040</v>
      </c>
    </row>
    <row r="66" spans="1:9">
      <c r="A66" s="14" t="s">
        <v>8771</v>
      </c>
      <c r="B66" s="15" t="s">
        <v>5</v>
      </c>
      <c r="C66" s="10" t="s">
        <v>8772</v>
      </c>
      <c r="D66" s="16" t="s">
        <v>709</v>
      </c>
      <c r="E66" s="15" t="s">
        <v>11193</v>
      </c>
      <c r="F66" s="16" t="str">
        <f>VLOOKUP(Table8[[#This Row],[Mã khách hàng]],code_khach_hang[],2,0)</f>
        <v>CHI NHÁNH BẮC NINH - CÔNG TY CỔ PHẦN DỊCH VỤ THƯƠNG MẠI TỔNG HỢP WINCOMMERCE</v>
      </c>
      <c r="G66" s="16" t="str">
        <f>VLOOKUP(Table8[[#This Row],[Mã khách hàng]],code_khach_hang[],3,0)</f>
        <v>Miền Bắc đặc biệt 2</v>
      </c>
      <c r="H66" t="str">
        <f>VLOOKUP(Table8[[#This Row],[Mã khách hàng]],'Khách hàng'!A:D,4,0)</f>
        <v>Food Đức Việt</v>
      </c>
      <c r="I66" t="str">
        <f>VLOOKUP(Table8[[#This Row],[Mã khách hàng]],'Khách hàng'!A:E,5,0)</f>
        <v>HN0040</v>
      </c>
    </row>
    <row r="67" spans="1:9">
      <c r="A67" s="14" t="s">
        <v>9067</v>
      </c>
      <c r="B67" s="15" t="s">
        <v>5</v>
      </c>
      <c r="C67" s="10" t="s">
        <v>9068</v>
      </c>
      <c r="D67" s="16" t="s">
        <v>712</v>
      </c>
      <c r="E67" s="15" t="s">
        <v>11193</v>
      </c>
      <c r="F67" s="16" t="str">
        <f>VLOOKUP(Table8[[#This Row],[Mã khách hàng]],code_khach_hang[],2,0)</f>
        <v>CHI NHÁNH BẮC NINH - CÔNG TY CỔ PHẦN DỊCH VỤ THƯƠNG MẠI TỔNG HỢP WINCOMMERCE</v>
      </c>
      <c r="G67" s="16" t="str">
        <f>VLOOKUP(Table8[[#This Row],[Mã khách hàng]],code_khach_hang[],3,0)</f>
        <v>Miền Bắc đặc biệt 2</v>
      </c>
      <c r="H67" t="str">
        <f>VLOOKUP(Table8[[#This Row],[Mã khách hàng]],'Khách hàng'!A:D,4,0)</f>
        <v>Food Đức Việt</v>
      </c>
      <c r="I67" t="str">
        <f>VLOOKUP(Table8[[#This Row],[Mã khách hàng]],'Khách hàng'!A:E,5,0)</f>
        <v>HN0040</v>
      </c>
    </row>
    <row r="68" spans="1:9">
      <c r="A68" s="14" t="s">
        <v>9025</v>
      </c>
      <c r="B68" s="15" t="s">
        <v>5</v>
      </c>
      <c r="C68" s="10" t="s">
        <v>9026</v>
      </c>
      <c r="D68" s="16" t="s">
        <v>715</v>
      </c>
      <c r="E68" s="15" t="s">
        <v>11193</v>
      </c>
      <c r="F68" s="16" t="str">
        <f>VLOOKUP(Table8[[#This Row],[Mã khách hàng]],code_khach_hang[],2,0)</f>
        <v>CHI NHÁNH BẮC NINH - CÔNG TY CỔ PHẦN DỊCH VỤ THƯƠNG MẠI TỔNG HỢP WINCOMMERCE</v>
      </c>
      <c r="G68" s="16" t="str">
        <f>VLOOKUP(Table8[[#This Row],[Mã khách hàng]],code_khach_hang[],3,0)</f>
        <v>Miền Bắc đặc biệt 2</v>
      </c>
      <c r="H68" t="str">
        <f>VLOOKUP(Table8[[#This Row],[Mã khách hàng]],'Khách hàng'!A:D,4,0)</f>
        <v>Food Đức Việt</v>
      </c>
      <c r="I68" t="str">
        <f>VLOOKUP(Table8[[#This Row],[Mã khách hàng]],'Khách hàng'!A:E,5,0)</f>
        <v>HN0040</v>
      </c>
    </row>
    <row r="69" spans="1:9">
      <c r="A69" s="14" t="s">
        <v>9022</v>
      </c>
      <c r="B69" s="15" t="s">
        <v>5</v>
      </c>
      <c r="C69" s="10" t="s">
        <v>9023</v>
      </c>
      <c r="D69" s="16" t="s">
        <v>718</v>
      </c>
      <c r="E69" s="15" t="s">
        <v>11193</v>
      </c>
      <c r="F69" s="16" t="str">
        <f>VLOOKUP(Table8[[#This Row],[Mã khách hàng]],code_khach_hang[],2,0)</f>
        <v>CHI NHÁNH BẮC NINH - CÔNG TY CỔ PHẦN DỊCH VỤ THƯƠNG MẠI TỔNG HỢP WINCOMMERCE</v>
      </c>
      <c r="G69" s="16" t="str">
        <f>VLOOKUP(Table8[[#This Row],[Mã khách hàng]],code_khach_hang[],3,0)</f>
        <v>Miền Bắc đặc biệt 2</v>
      </c>
      <c r="H69" t="str">
        <f>VLOOKUP(Table8[[#This Row],[Mã khách hàng]],'Khách hàng'!A:D,4,0)</f>
        <v>Food Đức Việt</v>
      </c>
      <c r="I69" t="str">
        <f>VLOOKUP(Table8[[#This Row],[Mã khách hàng]],'Khách hàng'!A:E,5,0)</f>
        <v>HN0040</v>
      </c>
    </row>
    <row r="70" spans="1:9">
      <c r="A70" s="14" t="s">
        <v>1369</v>
      </c>
      <c r="B70" s="15" t="s">
        <v>5</v>
      </c>
      <c r="C70" s="10" t="s">
        <v>1370</v>
      </c>
      <c r="D70" s="16" t="s">
        <v>721</v>
      </c>
      <c r="E70" s="15" t="s">
        <v>11193</v>
      </c>
      <c r="F70" s="16" t="str">
        <f>VLOOKUP(Table8[[#This Row],[Mã khách hàng]],code_khach_hang[],2,0)</f>
        <v>CHI NHÁNH BẮC NINH - CÔNG TY CỔ PHẦN DỊCH VỤ THƯƠNG MẠI TỔNG HỢP WINCOMMERCE</v>
      </c>
      <c r="G70" s="16" t="str">
        <f>VLOOKUP(Table8[[#This Row],[Mã khách hàng]],code_khach_hang[],3,0)</f>
        <v>Miền Bắc đặc biệt 2</v>
      </c>
      <c r="H70" t="str">
        <f>VLOOKUP(Table8[[#This Row],[Mã khách hàng]],'Khách hàng'!A:D,4,0)</f>
        <v>Food Đức Việt</v>
      </c>
      <c r="I70" t="str">
        <f>VLOOKUP(Table8[[#This Row],[Mã khách hàng]],'Khách hàng'!A:E,5,0)</f>
        <v>HN0040</v>
      </c>
    </row>
    <row r="71" spans="1:9">
      <c r="A71" s="14" t="s">
        <v>1444</v>
      </c>
      <c r="B71" s="15" t="s">
        <v>5</v>
      </c>
      <c r="C71" s="10" t="s">
        <v>1445</v>
      </c>
      <c r="D71" s="16" t="s">
        <v>724</v>
      </c>
      <c r="E71" s="15" t="s">
        <v>11193</v>
      </c>
      <c r="F71" s="16" t="str">
        <f>VLOOKUP(Table8[[#This Row],[Mã khách hàng]],code_khach_hang[],2,0)</f>
        <v>CHI NHÁNH BẮC NINH - CÔNG TY CỔ PHẦN DỊCH VỤ THƯƠNG MẠI TỔNG HỢP WINCOMMERCE</v>
      </c>
      <c r="G71" s="16" t="str">
        <f>VLOOKUP(Table8[[#This Row],[Mã khách hàng]],code_khach_hang[],3,0)</f>
        <v>Miền Bắc đặc biệt 2</v>
      </c>
      <c r="H71" t="str">
        <f>VLOOKUP(Table8[[#This Row],[Mã khách hàng]],'Khách hàng'!A:D,4,0)</f>
        <v>Food Đức Việt</v>
      </c>
      <c r="I71" t="str">
        <f>VLOOKUP(Table8[[#This Row],[Mã khách hàng]],'Khách hàng'!A:E,5,0)</f>
        <v>HN0040</v>
      </c>
    </row>
    <row r="72" spans="1:9">
      <c r="A72" s="14" t="s">
        <v>1701</v>
      </c>
      <c r="B72" s="15" t="s">
        <v>5</v>
      </c>
      <c r="C72" s="10" t="s">
        <v>1702</v>
      </c>
      <c r="D72" s="16" t="s">
        <v>727</v>
      </c>
      <c r="E72" s="15" t="s">
        <v>11193</v>
      </c>
      <c r="F72" s="16" t="str">
        <f>VLOOKUP(Table8[[#This Row],[Mã khách hàng]],code_khach_hang[],2,0)</f>
        <v>CHI NHÁNH BẮC NINH - CÔNG TY CỔ PHẦN DỊCH VỤ THƯƠNG MẠI TỔNG HỢP WINCOMMERCE</v>
      </c>
      <c r="G72" s="16" t="str">
        <f>VLOOKUP(Table8[[#This Row],[Mã khách hàng]],code_khach_hang[],3,0)</f>
        <v>Miền Bắc đặc biệt 2</v>
      </c>
      <c r="H72" t="str">
        <f>VLOOKUP(Table8[[#This Row],[Mã khách hàng]],'Khách hàng'!A:D,4,0)</f>
        <v>Food Đức Việt</v>
      </c>
      <c r="I72" t="str">
        <f>VLOOKUP(Table8[[#This Row],[Mã khách hàng]],'Khách hàng'!A:E,5,0)</f>
        <v>HN0040</v>
      </c>
    </row>
    <row r="73" spans="1:9">
      <c r="A73" s="14" t="s">
        <v>2542</v>
      </c>
      <c r="B73" s="15" t="s">
        <v>5</v>
      </c>
      <c r="C73" s="10" t="s">
        <v>2543</v>
      </c>
      <c r="D73" s="16" t="s">
        <v>729</v>
      </c>
      <c r="E73" s="15" t="s">
        <v>11193</v>
      </c>
      <c r="F73" s="16" t="str">
        <f>VLOOKUP(Table8[[#This Row],[Mã khách hàng]],code_khach_hang[],2,0)</f>
        <v>CHI NHÁNH BẮC NINH - CÔNG TY CỔ PHẦN DỊCH VỤ THƯƠNG MẠI TỔNG HỢP WINCOMMERCE</v>
      </c>
      <c r="G73" s="16" t="str">
        <f>VLOOKUP(Table8[[#This Row],[Mã khách hàng]],code_khach_hang[],3,0)</f>
        <v>Miền Bắc đặc biệt 2</v>
      </c>
      <c r="H73" t="str">
        <f>VLOOKUP(Table8[[#This Row],[Mã khách hàng]],'Khách hàng'!A:D,4,0)</f>
        <v>Food Đức Việt</v>
      </c>
      <c r="I73" t="str">
        <f>VLOOKUP(Table8[[#This Row],[Mã khách hàng]],'Khách hàng'!A:E,5,0)</f>
        <v>HN0040</v>
      </c>
    </row>
    <row r="74" spans="1:9">
      <c r="A74" s="14" t="s">
        <v>2241</v>
      </c>
      <c r="B74" s="15" t="s">
        <v>5</v>
      </c>
      <c r="C74" s="10" t="s">
        <v>2242</v>
      </c>
      <c r="D74" s="16" t="s">
        <v>732</v>
      </c>
      <c r="E74" s="15" t="s">
        <v>11193</v>
      </c>
      <c r="F74" s="16" t="str">
        <f>VLOOKUP(Table8[[#This Row],[Mã khách hàng]],code_khach_hang[],2,0)</f>
        <v>CHI NHÁNH BẮC NINH - CÔNG TY CỔ PHẦN DỊCH VỤ THƯƠNG MẠI TỔNG HỢP WINCOMMERCE</v>
      </c>
      <c r="G74" s="16" t="str">
        <f>VLOOKUP(Table8[[#This Row],[Mã khách hàng]],code_khach_hang[],3,0)</f>
        <v>Miền Bắc đặc biệt 2</v>
      </c>
      <c r="H74" t="str">
        <f>VLOOKUP(Table8[[#This Row],[Mã khách hàng]],'Khách hàng'!A:D,4,0)</f>
        <v>Food Đức Việt</v>
      </c>
      <c r="I74" t="str">
        <f>VLOOKUP(Table8[[#This Row],[Mã khách hàng]],'Khách hàng'!A:E,5,0)</f>
        <v>HN0040</v>
      </c>
    </row>
    <row r="75" spans="1:9">
      <c r="A75" s="14" t="s">
        <v>2616</v>
      </c>
      <c r="B75" s="15" t="s">
        <v>5</v>
      </c>
      <c r="C75" s="10" t="s">
        <v>2617</v>
      </c>
      <c r="D75" s="16" t="s">
        <v>735</v>
      </c>
      <c r="E75" s="15" t="s">
        <v>11193</v>
      </c>
      <c r="F75" s="16" t="str">
        <f>VLOOKUP(Table8[[#This Row],[Mã khách hàng]],code_khach_hang[],2,0)</f>
        <v>CHI NHÁNH BẮC NINH - CÔNG TY CỔ PHẦN DỊCH VỤ THƯƠNG MẠI TỔNG HỢP WINCOMMERCE</v>
      </c>
      <c r="G75" s="16" t="str">
        <f>VLOOKUP(Table8[[#This Row],[Mã khách hàng]],code_khach_hang[],3,0)</f>
        <v>Miền Bắc đặc biệt 2</v>
      </c>
      <c r="H75" t="str">
        <f>VLOOKUP(Table8[[#This Row],[Mã khách hàng]],'Khách hàng'!A:D,4,0)</f>
        <v>Food Đức Việt</v>
      </c>
      <c r="I75" t="str">
        <f>VLOOKUP(Table8[[#This Row],[Mã khách hàng]],'Khách hàng'!A:E,5,0)</f>
        <v>HN0040</v>
      </c>
    </row>
    <row r="76" spans="1:9">
      <c r="A76" s="14" t="s">
        <v>2649</v>
      </c>
      <c r="B76" s="15" t="s">
        <v>5</v>
      </c>
      <c r="C76" s="10" t="s">
        <v>2650</v>
      </c>
      <c r="D76" s="16" t="s">
        <v>738</v>
      </c>
      <c r="E76" s="15" t="s">
        <v>11193</v>
      </c>
      <c r="F76" s="16" t="str">
        <f>VLOOKUP(Table8[[#This Row],[Mã khách hàng]],code_khach_hang[],2,0)</f>
        <v>CHI NHÁNH BẮC NINH - CÔNG TY CỔ PHẦN DỊCH VỤ THƯƠNG MẠI TỔNG HỢP WINCOMMERCE</v>
      </c>
      <c r="G76" s="16" t="str">
        <f>VLOOKUP(Table8[[#This Row],[Mã khách hàng]],code_khach_hang[],3,0)</f>
        <v>Miền Bắc đặc biệt 2</v>
      </c>
      <c r="H76" t="str">
        <f>VLOOKUP(Table8[[#This Row],[Mã khách hàng]],'Khách hàng'!A:D,4,0)</f>
        <v>Food Đức Việt</v>
      </c>
      <c r="I76" t="str">
        <f>VLOOKUP(Table8[[#This Row],[Mã khách hàng]],'Khách hàng'!A:E,5,0)</f>
        <v>HN0040</v>
      </c>
    </row>
    <row r="77" spans="1:9">
      <c r="A77" s="14" t="s">
        <v>2816</v>
      </c>
      <c r="B77" s="15" t="s">
        <v>5</v>
      </c>
      <c r="C77" s="10" t="s">
        <v>2817</v>
      </c>
      <c r="D77" s="16" t="s">
        <v>740</v>
      </c>
      <c r="E77" s="15" t="s">
        <v>11193</v>
      </c>
      <c r="F77" s="16" t="str">
        <f>VLOOKUP(Table8[[#This Row],[Mã khách hàng]],code_khach_hang[],2,0)</f>
        <v>CHI NHÁNH BẮC NINH - CÔNG TY CỔ PHẦN DỊCH VỤ THƯƠNG MẠI TỔNG HỢP WINCOMMERCE</v>
      </c>
      <c r="G77" s="16" t="str">
        <f>VLOOKUP(Table8[[#This Row],[Mã khách hàng]],code_khach_hang[],3,0)</f>
        <v>Miền Bắc đặc biệt 2</v>
      </c>
      <c r="H77" t="str">
        <f>VLOOKUP(Table8[[#This Row],[Mã khách hàng]],'Khách hàng'!A:D,4,0)</f>
        <v>Food Đức Việt</v>
      </c>
      <c r="I77" t="str">
        <f>VLOOKUP(Table8[[#This Row],[Mã khách hàng]],'Khách hàng'!A:E,5,0)</f>
        <v>HN0040</v>
      </c>
    </row>
    <row r="78" spans="1:9">
      <c r="A78" s="14" t="s">
        <v>1509</v>
      </c>
      <c r="B78" s="15" t="s">
        <v>5</v>
      </c>
      <c r="C78" s="10" t="s">
        <v>1510</v>
      </c>
      <c r="D78" s="16" t="s">
        <v>743</v>
      </c>
      <c r="E78" s="15" t="s">
        <v>11193</v>
      </c>
      <c r="F78" s="16" t="str">
        <f>VLOOKUP(Table8[[#This Row],[Mã khách hàng]],code_khach_hang[],2,0)</f>
        <v>CHI NHÁNH BẮC NINH - CÔNG TY CỔ PHẦN DỊCH VỤ THƯƠNG MẠI TỔNG HỢP WINCOMMERCE</v>
      </c>
      <c r="G78" s="16" t="str">
        <f>VLOOKUP(Table8[[#This Row],[Mã khách hàng]],code_khach_hang[],3,0)</f>
        <v>Miền Bắc đặc biệt 2</v>
      </c>
      <c r="H78" t="str">
        <f>VLOOKUP(Table8[[#This Row],[Mã khách hàng]],'Khách hàng'!A:D,4,0)</f>
        <v>Food Đức Việt</v>
      </c>
      <c r="I78" t="str">
        <f>VLOOKUP(Table8[[#This Row],[Mã khách hàng]],'Khách hàng'!A:E,5,0)</f>
        <v>HN0040</v>
      </c>
    </row>
    <row r="79" spans="1:9">
      <c r="A79" s="14" t="s">
        <v>1540</v>
      </c>
      <c r="B79" s="15" t="s">
        <v>5</v>
      </c>
      <c r="C79" s="10" t="s">
        <v>1541</v>
      </c>
      <c r="D79" s="16" t="s">
        <v>746</v>
      </c>
      <c r="E79" s="15" t="s">
        <v>11193</v>
      </c>
      <c r="F79" s="16" t="str">
        <f>VLOOKUP(Table8[[#This Row],[Mã khách hàng]],code_khach_hang[],2,0)</f>
        <v>CHI NHÁNH BẮC NINH - CÔNG TY CỔ PHẦN DỊCH VỤ THƯƠNG MẠI TỔNG HỢP WINCOMMERCE</v>
      </c>
      <c r="G79" s="16" t="str">
        <f>VLOOKUP(Table8[[#This Row],[Mã khách hàng]],code_khach_hang[],3,0)</f>
        <v>Miền Bắc đặc biệt 2</v>
      </c>
      <c r="H79" t="str">
        <f>VLOOKUP(Table8[[#This Row],[Mã khách hàng]],'Khách hàng'!A:D,4,0)</f>
        <v>Food Đức Việt</v>
      </c>
      <c r="I79" t="str">
        <f>VLOOKUP(Table8[[#This Row],[Mã khách hàng]],'Khách hàng'!A:E,5,0)</f>
        <v>HN0040</v>
      </c>
    </row>
    <row r="80" spans="1:9">
      <c r="A80" s="14" t="s">
        <v>710</v>
      </c>
      <c r="B80" s="15" t="s">
        <v>183</v>
      </c>
      <c r="C80" s="10" t="s">
        <v>711</v>
      </c>
      <c r="D80" s="16" t="s">
        <v>749</v>
      </c>
      <c r="E80" s="15" t="s">
        <v>11193</v>
      </c>
      <c r="F80" s="16" t="str">
        <f>VLOOKUP(Table8[[#This Row],[Mã khách hàng]],code_khach_hang[],2,0)</f>
        <v>CHI NHÁNH BẮC NINH - CÔNG TY CỔ PHẦN DỊCH VỤ THƯƠNG MẠI TỔNG HỢP WINCOMMERCE</v>
      </c>
      <c r="G80" s="16" t="str">
        <f>VLOOKUP(Table8[[#This Row],[Mã khách hàng]],code_khach_hang[],3,0)</f>
        <v>Miền Bắc đặc biệt 2</v>
      </c>
      <c r="H80" t="str">
        <f>VLOOKUP(Table8[[#This Row],[Mã khách hàng]],'Khách hàng'!A:D,4,0)</f>
        <v>Food Đức Việt</v>
      </c>
      <c r="I80" t="str">
        <f>VLOOKUP(Table8[[#This Row],[Mã khách hàng]],'Khách hàng'!A:E,5,0)</f>
        <v>HN0040</v>
      </c>
    </row>
    <row r="81" spans="1:9">
      <c r="A81" s="14" t="s">
        <v>8328</v>
      </c>
      <c r="B81" s="15" t="s">
        <v>5</v>
      </c>
      <c r="C81" s="10" t="s">
        <v>8329</v>
      </c>
      <c r="D81" s="16" t="s">
        <v>752</v>
      </c>
      <c r="E81" s="15" t="s">
        <v>11197</v>
      </c>
      <c r="F81" s="16" t="str">
        <f>VLOOKUP(Table8[[#This Row],[Mã khách hàng]],code_khach_hang[],2,0)</f>
        <v>CHI NHÁNH QUẢNG NINH - CÔNG TY CỔ PHẦN DỊCH VỤ THƯƠNG MẠI TỔNG HỢP WINCOMMERCE</v>
      </c>
      <c r="G81" s="16" t="str">
        <f>VLOOKUP(Table8[[#This Row],[Mã khách hàng]],code_khach_hang[],3,0)</f>
        <v>Miền Bắc đặc biệt 3</v>
      </c>
      <c r="H81" t="str">
        <f>VLOOKUP(Table8[[#This Row],[Mã khách hàng]],'Khách hàng'!A:D,4,0)</f>
        <v>Food Đức Việt</v>
      </c>
      <c r="I81" t="str">
        <f>VLOOKUP(Table8[[#This Row],[Mã khách hàng]],'Khách hàng'!A:E,5,0)</f>
        <v>HN0040</v>
      </c>
    </row>
    <row r="82" spans="1:9">
      <c r="A82" s="14" t="s">
        <v>8434</v>
      </c>
      <c r="B82" s="15" t="s">
        <v>5</v>
      </c>
      <c r="C82" s="10" t="s">
        <v>8435</v>
      </c>
      <c r="D82" s="16" t="s">
        <v>755</v>
      </c>
      <c r="E82" s="15" t="s">
        <v>11197</v>
      </c>
      <c r="F82" s="16" t="str">
        <f>VLOOKUP(Table8[[#This Row],[Mã khách hàng]],code_khach_hang[],2,0)</f>
        <v>CHI NHÁNH QUẢNG NINH - CÔNG TY CỔ PHẦN DỊCH VỤ THƯƠNG MẠI TỔNG HỢP WINCOMMERCE</v>
      </c>
      <c r="G82" s="16" t="str">
        <f>VLOOKUP(Table8[[#This Row],[Mã khách hàng]],code_khach_hang[],3,0)</f>
        <v>Miền Bắc đặc biệt 3</v>
      </c>
      <c r="H82" t="str">
        <f>VLOOKUP(Table8[[#This Row],[Mã khách hàng]],'Khách hàng'!A:D,4,0)</f>
        <v>Food Đức Việt</v>
      </c>
      <c r="I82" t="str">
        <f>VLOOKUP(Table8[[#This Row],[Mã khách hàng]],'Khách hàng'!A:E,5,0)</f>
        <v>HN0040</v>
      </c>
    </row>
    <row r="83" spans="1:9">
      <c r="A83" s="14" t="s">
        <v>6067</v>
      </c>
      <c r="B83" s="15" t="s">
        <v>5</v>
      </c>
      <c r="C83" s="10" t="s">
        <v>6068</v>
      </c>
      <c r="D83" s="16" t="s">
        <v>758</v>
      </c>
      <c r="E83" s="15" t="s">
        <v>11197</v>
      </c>
      <c r="F83" s="16" t="str">
        <f>VLOOKUP(Table8[[#This Row],[Mã khách hàng]],code_khach_hang[],2,0)</f>
        <v>CHI NHÁNH QUẢNG NINH - CÔNG TY CỔ PHẦN DỊCH VỤ THƯƠNG MẠI TỔNG HỢP WINCOMMERCE</v>
      </c>
      <c r="G83" s="16" t="str">
        <f>VLOOKUP(Table8[[#This Row],[Mã khách hàng]],code_khach_hang[],3,0)</f>
        <v>Miền Bắc đặc biệt 3</v>
      </c>
      <c r="H83" t="str">
        <f>VLOOKUP(Table8[[#This Row],[Mã khách hàng]],'Khách hàng'!A:D,4,0)</f>
        <v>Food Đức Việt</v>
      </c>
      <c r="I83" t="str">
        <f>VLOOKUP(Table8[[#This Row],[Mã khách hàng]],'Khách hàng'!A:E,5,0)</f>
        <v>HN0040</v>
      </c>
    </row>
    <row r="84" spans="1:9">
      <c r="A84" s="14" t="s">
        <v>6085</v>
      </c>
      <c r="B84" s="15" t="s">
        <v>5</v>
      </c>
      <c r="C84" s="10" t="s">
        <v>6086</v>
      </c>
      <c r="D84" s="16" t="s">
        <v>761</v>
      </c>
      <c r="E84" s="14" t="s">
        <v>11197</v>
      </c>
      <c r="F84" s="16" t="str">
        <f>VLOOKUP(Table8[[#This Row],[Mã khách hàng]],code_khach_hang[],2,0)</f>
        <v>CHI NHÁNH QUẢNG NINH - CÔNG TY CỔ PHẦN DỊCH VỤ THƯƠNG MẠI TỔNG HỢP WINCOMMERCE</v>
      </c>
      <c r="G84" s="16" t="str">
        <f>VLOOKUP(Table8[[#This Row],[Mã khách hàng]],code_khach_hang[],3,0)</f>
        <v>Miền Bắc đặc biệt 3</v>
      </c>
      <c r="H84" t="str">
        <f>VLOOKUP(Table8[[#This Row],[Mã khách hàng]],'Khách hàng'!A:D,4,0)</f>
        <v>Food Đức Việt</v>
      </c>
      <c r="I84" t="str">
        <f>VLOOKUP(Table8[[#This Row],[Mã khách hàng]],'Khách hàng'!A:E,5,0)</f>
        <v>HN0040</v>
      </c>
    </row>
    <row r="85" spans="1:9">
      <c r="A85" s="14" t="s">
        <v>6103</v>
      </c>
      <c r="B85" s="15" t="s">
        <v>5</v>
      </c>
      <c r="C85" s="10" t="s">
        <v>6104</v>
      </c>
      <c r="D85" s="16" t="s">
        <v>764</v>
      </c>
      <c r="E85" s="15" t="s">
        <v>11197</v>
      </c>
      <c r="F85" s="16" t="str">
        <f>VLOOKUP(Table8[[#This Row],[Mã khách hàng]],code_khach_hang[],2,0)</f>
        <v>CHI NHÁNH QUẢNG NINH - CÔNG TY CỔ PHẦN DỊCH VỤ THƯƠNG MẠI TỔNG HỢP WINCOMMERCE</v>
      </c>
      <c r="G85" s="16" t="str">
        <f>VLOOKUP(Table8[[#This Row],[Mã khách hàng]],code_khach_hang[],3,0)</f>
        <v>Miền Bắc đặc biệt 3</v>
      </c>
      <c r="H85" t="str">
        <f>VLOOKUP(Table8[[#This Row],[Mã khách hàng]],'Khách hàng'!A:D,4,0)</f>
        <v>Food Đức Việt</v>
      </c>
      <c r="I85" t="str">
        <f>VLOOKUP(Table8[[#This Row],[Mã khách hàng]],'Khách hàng'!A:E,5,0)</f>
        <v>HN0040</v>
      </c>
    </row>
    <row r="86" spans="1:9">
      <c r="A86" s="14" t="s">
        <v>6863</v>
      </c>
      <c r="B86" s="15" t="s">
        <v>5</v>
      </c>
      <c r="C86" s="10" t="s">
        <v>6864</v>
      </c>
      <c r="D86" s="16" t="s">
        <v>767</v>
      </c>
      <c r="E86" s="15" t="s">
        <v>11197</v>
      </c>
      <c r="F86" s="16" t="str">
        <f>VLOOKUP(Table8[[#This Row],[Mã khách hàng]],code_khach_hang[],2,0)</f>
        <v>CHI NHÁNH QUẢNG NINH - CÔNG TY CỔ PHẦN DỊCH VỤ THƯƠNG MẠI TỔNG HỢP WINCOMMERCE</v>
      </c>
      <c r="G86" s="16" t="str">
        <f>VLOOKUP(Table8[[#This Row],[Mã khách hàng]],code_khach_hang[],3,0)</f>
        <v>Miền Bắc đặc biệt 3</v>
      </c>
      <c r="H86" t="str">
        <f>VLOOKUP(Table8[[#This Row],[Mã khách hàng]],'Khách hàng'!A:D,4,0)</f>
        <v>Food Đức Việt</v>
      </c>
      <c r="I86" t="str">
        <f>VLOOKUP(Table8[[#This Row],[Mã khách hàng]],'Khách hàng'!A:E,5,0)</f>
        <v>HN0040</v>
      </c>
    </row>
    <row r="87" spans="1:9">
      <c r="A87" s="14" t="s">
        <v>6995</v>
      </c>
      <c r="B87" s="15" t="s">
        <v>5</v>
      </c>
      <c r="C87" s="10" t="s">
        <v>6996</v>
      </c>
      <c r="D87" s="16" t="s">
        <v>770</v>
      </c>
      <c r="E87" s="15" t="s">
        <v>11197</v>
      </c>
      <c r="F87" s="16" t="str">
        <f>VLOOKUP(Table8[[#This Row],[Mã khách hàng]],code_khach_hang[],2,0)</f>
        <v>CHI NHÁNH QUẢNG NINH - CÔNG TY CỔ PHẦN DỊCH VỤ THƯƠNG MẠI TỔNG HỢP WINCOMMERCE</v>
      </c>
      <c r="G87" s="16" t="str">
        <f>VLOOKUP(Table8[[#This Row],[Mã khách hàng]],code_khach_hang[],3,0)</f>
        <v>Miền Bắc đặc biệt 3</v>
      </c>
      <c r="H87" t="str">
        <f>VLOOKUP(Table8[[#This Row],[Mã khách hàng]],'Khách hàng'!A:D,4,0)</f>
        <v>Food Đức Việt</v>
      </c>
      <c r="I87" t="str">
        <f>VLOOKUP(Table8[[#This Row],[Mã khách hàng]],'Khách hàng'!A:E,5,0)</f>
        <v>HN0040</v>
      </c>
    </row>
    <row r="88" spans="1:9">
      <c r="A88" s="14" t="s">
        <v>7303</v>
      </c>
      <c r="B88" s="15" t="s">
        <v>5</v>
      </c>
      <c r="C88" s="10" t="s">
        <v>7304</v>
      </c>
      <c r="D88" s="16" t="s">
        <v>773</v>
      </c>
      <c r="E88" s="15" t="s">
        <v>11197</v>
      </c>
      <c r="F88" s="16" t="str">
        <f>VLOOKUP(Table8[[#This Row],[Mã khách hàng]],code_khach_hang[],2,0)</f>
        <v>CHI NHÁNH QUẢNG NINH - CÔNG TY CỔ PHẦN DỊCH VỤ THƯƠNG MẠI TỔNG HỢP WINCOMMERCE</v>
      </c>
      <c r="G88" s="16" t="str">
        <f>VLOOKUP(Table8[[#This Row],[Mã khách hàng]],code_khach_hang[],3,0)</f>
        <v>Miền Bắc đặc biệt 3</v>
      </c>
      <c r="H88" t="str">
        <f>VLOOKUP(Table8[[#This Row],[Mã khách hàng]],'Khách hàng'!A:D,4,0)</f>
        <v>Food Đức Việt</v>
      </c>
      <c r="I88" t="str">
        <f>VLOOKUP(Table8[[#This Row],[Mã khách hàng]],'Khách hàng'!A:E,5,0)</f>
        <v>HN0040</v>
      </c>
    </row>
    <row r="89" spans="1:9">
      <c r="A89" s="14" t="s">
        <v>7327</v>
      </c>
      <c r="B89" s="15" t="s">
        <v>5</v>
      </c>
      <c r="C89" s="10" t="s">
        <v>7328</v>
      </c>
      <c r="D89" s="16" t="s">
        <v>776</v>
      </c>
      <c r="E89" s="15" t="s">
        <v>11197</v>
      </c>
      <c r="F89" s="16" t="str">
        <f>VLOOKUP(Table8[[#This Row],[Mã khách hàng]],code_khach_hang[],2,0)</f>
        <v>CHI NHÁNH QUẢNG NINH - CÔNG TY CỔ PHẦN DỊCH VỤ THƯƠNG MẠI TỔNG HỢP WINCOMMERCE</v>
      </c>
      <c r="G89" s="16" t="str">
        <f>VLOOKUP(Table8[[#This Row],[Mã khách hàng]],code_khach_hang[],3,0)</f>
        <v>Miền Bắc đặc biệt 3</v>
      </c>
      <c r="H89" t="str">
        <f>VLOOKUP(Table8[[#This Row],[Mã khách hàng]],'Khách hàng'!A:D,4,0)</f>
        <v>Food Đức Việt</v>
      </c>
      <c r="I89" t="str">
        <f>VLOOKUP(Table8[[#This Row],[Mã khách hàng]],'Khách hàng'!A:E,5,0)</f>
        <v>HN0040</v>
      </c>
    </row>
    <row r="90" spans="1:9">
      <c r="A90" s="14" t="s">
        <v>8082</v>
      </c>
      <c r="B90" s="15" t="s">
        <v>5</v>
      </c>
      <c r="C90" s="10" t="s">
        <v>8083</v>
      </c>
      <c r="D90" s="16" t="s">
        <v>779</v>
      </c>
      <c r="E90" s="15" t="s">
        <v>11197</v>
      </c>
      <c r="F90" s="16" t="str">
        <f>VLOOKUP(Table8[[#This Row],[Mã khách hàng]],code_khach_hang[],2,0)</f>
        <v>CHI NHÁNH QUẢNG NINH - CÔNG TY CỔ PHẦN DỊCH VỤ THƯƠNG MẠI TỔNG HỢP WINCOMMERCE</v>
      </c>
      <c r="G90" s="16" t="str">
        <f>VLOOKUP(Table8[[#This Row],[Mã khách hàng]],code_khach_hang[],3,0)</f>
        <v>Miền Bắc đặc biệt 3</v>
      </c>
      <c r="H90" t="str">
        <f>VLOOKUP(Table8[[#This Row],[Mã khách hàng]],'Khách hàng'!A:D,4,0)</f>
        <v>Food Đức Việt</v>
      </c>
      <c r="I90" t="str">
        <f>VLOOKUP(Table8[[#This Row],[Mã khách hàng]],'Khách hàng'!A:E,5,0)</f>
        <v>HN0040</v>
      </c>
    </row>
    <row r="91" spans="1:9">
      <c r="A91" s="14" t="s">
        <v>8112</v>
      </c>
      <c r="B91" s="15" t="s">
        <v>5</v>
      </c>
      <c r="C91" s="10" t="s">
        <v>8113</v>
      </c>
      <c r="D91" s="16" t="s">
        <v>782</v>
      </c>
      <c r="E91" s="15" t="s">
        <v>11197</v>
      </c>
      <c r="F91" s="16" t="str">
        <f>VLOOKUP(Table8[[#This Row],[Mã khách hàng]],code_khach_hang[],2,0)</f>
        <v>CHI NHÁNH QUẢNG NINH - CÔNG TY CỔ PHẦN DỊCH VỤ THƯƠNG MẠI TỔNG HỢP WINCOMMERCE</v>
      </c>
      <c r="G91" s="16" t="str">
        <f>VLOOKUP(Table8[[#This Row],[Mã khách hàng]],code_khach_hang[],3,0)</f>
        <v>Miền Bắc đặc biệt 3</v>
      </c>
      <c r="H91" t="str">
        <f>VLOOKUP(Table8[[#This Row],[Mã khách hàng]],'Khách hàng'!A:D,4,0)</f>
        <v>Food Đức Việt</v>
      </c>
      <c r="I91" t="str">
        <f>VLOOKUP(Table8[[#This Row],[Mã khách hàng]],'Khách hàng'!A:E,5,0)</f>
        <v>HN0040</v>
      </c>
    </row>
    <row r="92" spans="1:9">
      <c r="A92" s="14" t="s">
        <v>4380</v>
      </c>
      <c r="B92" s="15" t="s">
        <v>5</v>
      </c>
      <c r="C92" s="10" t="s">
        <v>4381</v>
      </c>
      <c r="D92" s="16" t="s">
        <v>785</v>
      </c>
      <c r="E92" s="15" t="s">
        <v>11197</v>
      </c>
      <c r="F92" s="16" t="str">
        <f>VLOOKUP(Table8[[#This Row],[Mã khách hàng]],code_khach_hang[],2,0)</f>
        <v>CHI NHÁNH QUẢNG NINH - CÔNG TY CỔ PHẦN DỊCH VỤ THƯƠNG MẠI TỔNG HỢP WINCOMMERCE</v>
      </c>
      <c r="G92" s="16" t="str">
        <f>VLOOKUP(Table8[[#This Row],[Mã khách hàng]],code_khach_hang[],3,0)</f>
        <v>Miền Bắc đặc biệt 3</v>
      </c>
      <c r="H92" t="str">
        <f>VLOOKUP(Table8[[#This Row],[Mã khách hàng]],'Khách hàng'!A:D,4,0)</f>
        <v>Food Đức Việt</v>
      </c>
      <c r="I92" t="str">
        <f>VLOOKUP(Table8[[#This Row],[Mã khách hàng]],'Khách hàng'!A:E,5,0)</f>
        <v>HN0040</v>
      </c>
    </row>
    <row r="93" spans="1:9">
      <c r="A93" s="14" t="s">
        <v>4392</v>
      </c>
      <c r="B93" s="15" t="s">
        <v>5</v>
      </c>
      <c r="C93" s="10" t="s">
        <v>4393</v>
      </c>
      <c r="D93" s="16" t="s">
        <v>788</v>
      </c>
      <c r="E93" s="15" t="s">
        <v>11197</v>
      </c>
      <c r="F93" s="16" t="str">
        <f>VLOOKUP(Table8[[#This Row],[Mã khách hàng]],code_khach_hang[],2,0)</f>
        <v>CHI NHÁNH QUẢNG NINH - CÔNG TY CỔ PHẦN DỊCH VỤ THƯƠNG MẠI TỔNG HỢP WINCOMMERCE</v>
      </c>
      <c r="G93" s="16" t="str">
        <f>VLOOKUP(Table8[[#This Row],[Mã khách hàng]],code_khach_hang[],3,0)</f>
        <v>Miền Bắc đặc biệt 3</v>
      </c>
      <c r="H93" t="str">
        <f>VLOOKUP(Table8[[#This Row],[Mã khách hàng]],'Khách hàng'!A:D,4,0)</f>
        <v>Food Đức Việt</v>
      </c>
      <c r="I93" t="str">
        <f>VLOOKUP(Table8[[#This Row],[Mã khách hàng]],'Khách hàng'!A:E,5,0)</f>
        <v>HN0040</v>
      </c>
    </row>
    <row r="94" spans="1:9">
      <c r="A94" s="14" t="s">
        <v>4437</v>
      </c>
      <c r="B94" s="15" t="s">
        <v>5</v>
      </c>
      <c r="C94" s="10" t="s">
        <v>4438</v>
      </c>
      <c r="D94" s="16" t="s">
        <v>791</v>
      </c>
      <c r="E94" s="15" t="s">
        <v>11197</v>
      </c>
      <c r="F94" s="16" t="str">
        <f>VLOOKUP(Table8[[#This Row],[Mã khách hàng]],code_khach_hang[],2,0)</f>
        <v>CHI NHÁNH QUẢNG NINH - CÔNG TY CỔ PHẦN DỊCH VỤ THƯƠNG MẠI TỔNG HỢP WINCOMMERCE</v>
      </c>
      <c r="G94" s="16" t="str">
        <f>VLOOKUP(Table8[[#This Row],[Mã khách hàng]],code_khach_hang[],3,0)</f>
        <v>Miền Bắc đặc biệt 3</v>
      </c>
      <c r="H94" t="str">
        <f>VLOOKUP(Table8[[#This Row],[Mã khách hàng]],'Khách hàng'!A:D,4,0)</f>
        <v>Food Đức Việt</v>
      </c>
      <c r="I94" t="str">
        <f>VLOOKUP(Table8[[#This Row],[Mã khách hàng]],'Khách hàng'!A:E,5,0)</f>
        <v>HN0040</v>
      </c>
    </row>
    <row r="95" spans="1:9">
      <c r="A95" s="14" t="s">
        <v>4500</v>
      </c>
      <c r="B95" s="15" t="s">
        <v>5</v>
      </c>
      <c r="C95" s="10" t="s">
        <v>4501</v>
      </c>
      <c r="D95" s="16" t="s">
        <v>794</v>
      </c>
      <c r="E95" s="15" t="s">
        <v>11197</v>
      </c>
      <c r="F95" s="16" t="str">
        <f>VLOOKUP(Table8[[#This Row],[Mã khách hàng]],code_khach_hang[],2,0)</f>
        <v>CHI NHÁNH QUẢNG NINH - CÔNG TY CỔ PHẦN DỊCH VỤ THƯƠNG MẠI TỔNG HỢP WINCOMMERCE</v>
      </c>
      <c r="G95" s="16" t="str">
        <f>VLOOKUP(Table8[[#This Row],[Mã khách hàng]],code_khach_hang[],3,0)</f>
        <v>Miền Bắc đặc biệt 3</v>
      </c>
      <c r="H95" t="str">
        <f>VLOOKUP(Table8[[#This Row],[Mã khách hàng]],'Khách hàng'!A:D,4,0)</f>
        <v>Food Đức Việt</v>
      </c>
      <c r="I95" t="str">
        <f>VLOOKUP(Table8[[#This Row],[Mã khách hàng]],'Khách hàng'!A:E,5,0)</f>
        <v>HN0040</v>
      </c>
    </row>
    <row r="96" spans="1:9">
      <c r="A96" s="14" t="s">
        <v>4512</v>
      </c>
      <c r="B96" s="15" t="s">
        <v>5</v>
      </c>
      <c r="C96" s="10" t="s">
        <v>4513</v>
      </c>
      <c r="D96" s="16" t="s">
        <v>797</v>
      </c>
      <c r="E96" s="15" t="s">
        <v>11197</v>
      </c>
      <c r="F96" s="16" t="str">
        <f>VLOOKUP(Table8[[#This Row],[Mã khách hàng]],code_khach_hang[],2,0)</f>
        <v>CHI NHÁNH QUẢNG NINH - CÔNG TY CỔ PHẦN DỊCH VỤ THƯƠNG MẠI TỔNG HỢP WINCOMMERCE</v>
      </c>
      <c r="G96" s="16" t="str">
        <f>VLOOKUP(Table8[[#This Row],[Mã khách hàng]],code_khach_hang[],3,0)</f>
        <v>Miền Bắc đặc biệt 3</v>
      </c>
      <c r="H96" t="str">
        <f>VLOOKUP(Table8[[#This Row],[Mã khách hàng]],'Khách hàng'!A:D,4,0)</f>
        <v>Food Đức Việt</v>
      </c>
      <c r="I96" t="str">
        <f>VLOOKUP(Table8[[#This Row],[Mã khách hàng]],'Khách hàng'!A:E,5,0)</f>
        <v>HN0040</v>
      </c>
    </row>
    <row r="97" spans="1:9">
      <c r="A97" s="14" t="s">
        <v>4737</v>
      </c>
      <c r="B97" s="15" t="s">
        <v>5</v>
      </c>
      <c r="C97" s="10" t="s">
        <v>4738</v>
      </c>
      <c r="D97" s="16" t="s">
        <v>800</v>
      </c>
      <c r="E97" s="15" t="s">
        <v>11197</v>
      </c>
      <c r="F97" s="16" t="str">
        <f>VLOOKUP(Table8[[#This Row],[Mã khách hàng]],code_khach_hang[],2,0)</f>
        <v>CHI NHÁNH QUẢNG NINH - CÔNG TY CỔ PHẦN DỊCH VỤ THƯƠNG MẠI TỔNG HỢP WINCOMMERCE</v>
      </c>
      <c r="G97" s="16" t="str">
        <f>VLOOKUP(Table8[[#This Row],[Mã khách hàng]],code_khach_hang[],3,0)</f>
        <v>Miền Bắc đặc biệt 3</v>
      </c>
      <c r="H97" t="str">
        <f>VLOOKUP(Table8[[#This Row],[Mã khách hàng]],'Khách hàng'!A:D,4,0)</f>
        <v>Food Đức Việt</v>
      </c>
      <c r="I97" t="str">
        <f>VLOOKUP(Table8[[#This Row],[Mã khách hàng]],'Khách hàng'!A:E,5,0)</f>
        <v>HN0040</v>
      </c>
    </row>
    <row r="98" spans="1:9">
      <c r="A98" s="14" t="s">
        <v>4863</v>
      </c>
      <c r="B98" s="15" t="s">
        <v>5</v>
      </c>
      <c r="C98" s="10" t="s">
        <v>4864</v>
      </c>
      <c r="D98" s="16" t="s">
        <v>803</v>
      </c>
      <c r="E98" s="15" t="s">
        <v>11197</v>
      </c>
      <c r="F98" s="16" t="str">
        <f>VLOOKUP(Table8[[#This Row],[Mã khách hàng]],code_khach_hang[],2,0)</f>
        <v>CHI NHÁNH QUẢNG NINH - CÔNG TY CỔ PHẦN DỊCH VỤ THƯƠNG MẠI TỔNG HỢP WINCOMMERCE</v>
      </c>
      <c r="G98" s="16" t="str">
        <f>VLOOKUP(Table8[[#This Row],[Mã khách hàng]],code_khach_hang[],3,0)</f>
        <v>Miền Bắc đặc biệt 3</v>
      </c>
      <c r="H98" t="str">
        <f>VLOOKUP(Table8[[#This Row],[Mã khách hàng]],'Khách hàng'!A:D,4,0)</f>
        <v>Food Đức Việt</v>
      </c>
      <c r="I98" t="str">
        <f>VLOOKUP(Table8[[#This Row],[Mã khách hàng]],'Khách hàng'!A:E,5,0)</f>
        <v>HN0040</v>
      </c>
    </row>
    <row r="99" spans="1:9">
      <c r="A99" s="14" t="s">
        <v>4941</v>
      </c>
      <c r="B99" s="15" t="s">
        <v>5</v>
      </c>
      <c r="C99" s="10" t="s">
        <v>4942</v>
      </c>
      <c r="D99" s="16" t="s">
        <v>806</v>
      </c>
      <c r="E99" s="15" t="s">
        <v>11197</v>
      </c>
      <c r="F99" s="16" t="str">
        <f>VLOOKUP(Table8[[#This Row],[Mã khách hàng]],code_khach_hang[],2,0)</f>
        <v>CHI NHÁNH QUẢNG NINH - CÔNG TY CỔ PHẦN DỊCH VỤ THƯƠNG MẠI TỔNG HỢP WINCOMMERCE</v>
      </c>
      <c r="G99" s="16" t="str">
        <f>VLOOKUP(Table8[[#This Row],[Mã khách hàng]],code_khach_hang[],3,0)</f>
        <v>Miền Bắc đặc biệt 3</v>
      </c>
      <c r="H99" t="str">
        <f>VLOOKUP(Table8[[#This Row],[Mã khách hàng]],'Khách hàng'!A:D,4,0)</f>
        <v>Food Đức Việt</v>
      </c>
      <c r="I99" t="str">
        <f>VLOOKUP(Table8[[#This Row],[Mã khách hàng]],'Khách hàng'!A:E,5,0)</f>
        <v>HN0040</v>
      </c>
    </row>
    <row r="100" spans="1:9">
      <c r="A100" s="14" t="s">
        <v>7125</v>
      </c>
      <c r="B100" s="15" t="s">
        <v>5</v>
      </c>
      <c r="C100" s="10" t="s">
        <v>7126</v>
      </c>
      <c r="D100" s="16" t="s">
        <v>809</v>
      </c>
      <c r="E100" s="15" t="s">
        <v>11197</v>
      </c>
      <c r="F100" s="16" t="str">
        <f>VLOOKUP(Table8[[#This Row],[Mã khách hàng]],code_khach_hang[],2,0)</f>
        <v>CHI NHÁNH QUẢNG NINH - CÔNG TY CỔ PHẦN DỊCH VỤ THƯƠNG MẠI TỔNG HỢP WINCOMMERCE</v>
      </c>
      <c r="G100" s="16" t="str">
        <f>VLOOKUP(Table8[[#This Row],[Mã khách hàng]],code_khach_hang[],3,0)</f>
        <v>Miền Bắc đặc biệt 3</v>
      </c>
      <c r="H100" t="str">
        <f>VLOOKUP(Table8[[#This Row],[Mã khách hàng]],'Khách hàng'!A:D,4,0)</f>
        <v>Food Đức Việt</v>
      </c>
      <c r="I100" t="str">
        <f>VLOOKUP(Table8[[#This Row],[Mã khách hàng]],'Khách hàng'!A:E,5,0)</f>
        <v>HN0040</v>
      </c>
    </row>
    <row r="101" spans="1:9">
      <c r="A101" s="14" t="s">
        <v>7333</v>
      </c>
      <c r="B101" s="15" t="s">
        <v>5</v>
      </c>
      <c r="C101" s="10" t="s">
        <v>7334</v>
      </c>
      <c r="D101" s="16" t="s">
        <v>812</v>
      </c>
      <c r="E101" s="15" t="s">
        <v>11197</v>
      </c>
      <c r="F101" s="16" t="str">
        <f>VLOOKUP(Table8[[#This Row],[Mã khách hàng]],code_khach_hang[],2,0)</f>
        <v>CHI NHÁNH QUẢNG NINH - CÔNG TY CỔ PHẦN DỊCH VỤ THƯƠNG MẠI TỔNG HỢP WINCOMMERCE</v>
      </c>
      <c r="G101" s="16" t="str">
        <f>VLOOKUP(Table8[[#This Row],[Mã khách hàng]],code_khach_hang[],3,0)</f>
        <v>Miền Bắc đặc biệt 3</v>
      </c>
      <c r="H101" t="str">
        <f>VLOOKUP(Table8[[#This Row],[Mã khách hàng]],'Khách hàng'!A:D,4,0)</f>
        <v>Food Đức Việt</v>
      </c>
      <c r="I101" t="str">
        <f>VLOOKUP(Table8[[#This Row],[Mã khách hàng]],'Khách hàng'!A:E,5,0)</f>
        <v>HN0040</v>
      </c>
    </row>
    <row r="102" spans="1:9">
      <c r="A102" s="14" t="s">
        <v>7840</v>
      </c>
      <c r="B102" s="15" t="s">
        <v>5</v>
      </c>
      <c r="C102" s="10" t="s">
        <v>7841</v>
      </c>
      <c r="D102" s="16" t="s">
        <v>815</v>
      </c>
      <c r="E102" s="15" t="s">
        <v>11197</v>
      </c>
      <c r="F102" s="16" t="str">
        <f>VLOOKUP(Table8[[#This Row],[Mã khách hàng]],code_khach_hang[],2,0)</f>
        <v>CHI NHÁNH QUẢNG NINH - CÔNG TY CỔ PHẦN DỊCH VỤ THƯƠNG MẠI TỔNG HỢP WINCOMMERCE</v>
      </c>
      <c r="G102" s="16" t="str">
        <f>VLOOKUP(Table8[[#This Row],[Mã khách hàng]],code_khach_hang[],3,0)</f>
        <v>Miền Bắc đặc biệt 3</v>
      </c>
      <c r="H102" t="str">
        <f>VLOOKUP(Table8[[#This Row],[Mã khách hàng]],'Khách hàng'!A:D,4,0)</f>
        <v>Food Đức Việt</v>
      </c>
      <c r="I102" t="str">
        <f>VLOOKUP(Table8[[#This Row],[Mã khách hàng]],'Khách hàng'!A:E,5,0)</f>
        <v>HN0040</v>
      </c>
    </row>
    <row r="103" spans="1:9">
      <c r="A103" s="14" t="s">
        <v>7889</v>
      </c>
      <c r="B103" s="15" t="s">
        <v>5</v>
      </c>
      <c r="C103" s="10" t="s">
        <v>7890</v>
      </c>
      <c r="D103" s="16" t="s">
        <v>818</v>
      </c>
      <c r="E103" s="15" t="s">
        <v>11197</v>
      </c>
      <c r="F103" s="16" t="str">
        <f>VLOOKUP(Table8[[#This Row],[Mã khách hàng]],code_khach_hang[],2,0)</f>
        <v>CHI NHÁNH QUẢNG NINH - CÔNG TY CỔ PHẦN DỊCH VỤ THƯƠNG MẠI TỔNG HỢP WINCOMMERCE</v>
      </c>
      <c r="G103" s="16" t="str">
        <f>VLOOKUP(Table8[[#This Row],[Mã khách hàng]],code_khach_hang[],3,0)</f>
        <v>Miền Bắc đặc biệt 3</v>
      </c>
      <c r="H103" t="str">
        <f>VLOOKUP(Table8[[#This Row],[Mã khách hàng]],'Khách hàng'!A:D,4,0)</f>
        <v>Food Đức Việt</v>
      </c>
      <c r="I103" t="str">
        <f>VLOOKUP(Table8[[#This Row],[Mã khách hàng]],'Khách hàng'!A:E,5,0)</f>
        <v>HN0040</v>
      </c>
    </row>
    <row r="104" spans="1:9">
      <c r="A104" s="14" t="s">
        <v>7128</v>
      </c>
      <c r="B104" s="15" t="s">
        <v>5</v>
      </c>
      <c r="C104" s="10" t="s">
        <v>7129</v>
      </c>
      <c r="D104" s="16" t="s">
        <v>821</v>
      </c>
      <c r="E104" s="15" t="s">
        <v>11197</v>
      </c>
      <c r="F104" s="16" t="str">
        <f>VLOOKUP(Table8[[#This Row],[Mã khách hàng]],code_khach_hang[],2,0)</f>
        <v>CHI NHÁNH QUẢNG NINH - CÔNG TY CỔ PHẦN DỊCH VỤ THƯƠNG MẠI TỔNG HỢP WINCOMMERCE</v>
      </c>
      <c r="G104" s="16" t="str">
        <f>VLOOKUP(Table8[[#This Row],[Mã khách hàng]],code_khach_hang[],3,0)</f>
        <v>Miền Bắc đặc biệt 3</v>
      </c>
      <c r="H104" t="str">
        <f>VLOOKUP(Table8[[#This Row],[Mã khách hàng]],'Khách hàng'!A:D,4,0)</f>
        <v>Food Đức Việt</v>
      </c>
      <c r="I104" t="str">
        <f>VLOOKUP(Table8[[#This Row],[Mã khách hàng]],'Khách hàng'!A:E,5,0)</f>
        <v>HN0040</v>
      </c>
    </row>
    <row r="105" spans="1:9">
      <c r="A105" s="14" t="s">
        <v>7174</v>
      </c>
      <c r="B105" s="15" t="s">
        <v>5</v>
      </c>
      <c r="C105" s="10" t="s">
        <v>7175</v>
      </c>
      <c r="D105" s="16" t="s">
        <v>824</v>
      </c>
      <c r="E105" s="15" t="s">
        <v>11197</v>
      </c>
      <c r="F105" s="16" t="str">
        <f>VLOOKUP(Table8[[#This Row],[Mã khách hàng]],code_khach_hang[],2,0)</f>
        <v>CHI NHÁNH QUẢNG NINH - CÔNG TY CỔ PHẦN DỊCH VỤ THƯƠNG MẠI TỔNG HỢP WINCOMMERCE</v>
      </c>
      <c r="G105" s="16" t="str">
        <f>VLOOKUP(Table8[[#This Row],[Mã khách hàng]],code_khach_hang[],3,0)</f>
        <v>Miền Bắc đặc biệt 3</v>
      </c>
      <c r="H105" t="str">
        <f>VLOOKUP(Table8[[#This Row],[Mã khách hàng]],'Khách hàng'!A:D,4,0)</f>
        <v>Food Đức Việt</v>
      </c>
      <c r="I105" t="str">
        <f>VLOOKUP(Table8[[#This Row],[Mã khách hàng]],'Khách hàng'!A:E,5,0)</f>
        <v>HN0040</v>
      </c>
    </row>
    <row r="106" spans="1:9">
      <c r="A106" s="14" t="s">
        <v>7205</v>
      </c>
      <c r="B106" s="15" t="s">
        <v>5</v>
      </c>
      <c r="C106" s="10" t="s">
        <v>7206</v>
      </c>
      <c r="D106" s="16" t="s">
        <v>827</v>
      </c>
      <c r="E106" s="15" t="s">
        <v>11197</v>
      </c>
      <c r="F106" s="16" t="str">
        <f>VLOOKUP(Table8[[#This Row],[Mã khách hàng]],code_khach_hang[],2,0)</f>
        <v>CHI NHÁNH QUẢNG NINH - CÔNG TY CỔ PHẦN DỊCH VỤ THƯƠNG MẠI TỔNG HỢP WINCOMMERCE</v>
      </c>
      <c r="G106" s="16" t="str">
        <f>VLOOKUP(Table8[[#This Row],[Mã khách hàng]],code_khach_hang[],3,0)</f>
        <v>Miền Bắc đặc biệt 3</v>
      </c>
      <c r="H106" t="str">
        <f>VLOOKUP(Table8[[#This Row],[Mã khách hàng]],'Khách hàng'!A:D,4,0)</f>
        <v>Food Đức Việt</v>
      </c>
      <c r="I106" t="str">
        <f>VLOOKUP(Table8[[#This Row],[Mã khách hàng]],'Khách hàng'!A:E,5,0)</f>
        <v>HN0040</v>
      </c>
    </row>
    <row r="107" spans="1:9">
      <c r="A107" s="14" t="s">
        <v>7336</v>
      </c>
      <c r="B107" s="15" t="s">
        <v>5</v>
      </c>
      <c r="C107" s="10" t="s">
        <v>7337</v>
      </c>
      <c r="D107" s="16" t="s">
        <v>830</v>
      </c>
      <c r="E107" s="15" t="s">
        <v>11197</v>
      </c>
      <c r="F107" s="16" t="str">
        <f>VLOOKUP(Table8[[#This Row],[Mã khách hàng]],code_khach_hang[],2,0)</f>
        <v>CHI NHÁNH QUẢNG NINH - CÔNG TY CỔ PHẦN DỊCH VỤ THƯƠNG MẠI TỔNG HỢP WINCOMMERCE</v>
      </c>
      <c r="G107" s="16" t="str">
        <f>VLOOKUP(Table8[[#This Row],[Mã khách hàng]],code_khach_hang[],3,0)</f>
        <v>Miền Bắc đặc biệt 3</v>
      </c>
      <c r="H107" t="str">
        <f>VLOOKUP(Table8[[#This Row],[Mã khách hàng]],'Khách hàng'!A:D,4,0)</f>
        <v>Food Đức Việt</v>
      </c>
      <c r="I107" t="str">
        <f>VLOOKUP(Table8[[#This Row],[Mã khách hàng]],'Khách hàng'!A:E,5,0)</f>
        <v>HN0040</v>
      </c>
    </row>
    <row r="108" spans="1:9">
      <c r="A108" s="14" t="s">
        <v>7452</v>
      </c>
      <c r="B108" s="15" t="s">
        <v>5</v>
      </c>
      <c r="C108" s="10" t="e">
        <v>#N/A</v>
      </c>
      <c r="D108" s="16" t="s">
        <v>833</v>
      </c>
      <c r="E108" s="15" t="s">
        <v>11197</v>
      </c>
      <c r="F108" s="16" t="str">
        <f>VLOOKUP(Table8[[#This Row],[Mã khách hàng]],code_khach_hang[],2,0)</f>
        <v>CHI NHÁNH QUẢNG NINH - CÔNG TY CỔ PHẦN DỊCH VỤ THƯƠNG MẠI TỔNG HỢP WINCOMMERCE</v>
      </c>
      <c r="G108" s="16" t="str">
        <f>VLOOKUP(Table8[[#This Row],[Mã khách hàng]],code_khach_hang[],3,0)</f>
        <v>Miền Bắc đặc biệt 3</v>
      </c>
      <c r="H108" t="str">
        <f>VLOOKUP(Table8[[#This Row],[Mã khách hàng]],'Khách hàng'!A:D,4,0)</f>
        <v>Food Đức Việt</v>
      </c>
      <c r="I108" t="str">
        <f>VLOOKUP(Table8[[#This Row],[Mã khách hàng]],'Khách hàng'!A:E,5,0)</f>
        <v>HN0040</v>
      </c>
    </row>
    <row r="109" spans="1:9">
      <c r="A109" s="14" t="s">
        <v>7625</v>
      </c>
      <c r="B109" s="15" t="s">
        <v>5</v>
      </c>
      <c r="C109" s="10" t="s">
        <v>7626</v>
      </c>
      <c r="D109" s="16" t="s">
        <v>836</v>
      </c>
      <c r="E109" s="15" t="s">
        <v>11197</v>
      </c>
      <c r="F109" s="16" t="str">
        <f>VLOOKUP(Table8[[#This Row],[Mã khách hàng]],code_khach_hang[],2,0)</f>
        <v>CHI NHÁNH QUẢNG NINH - CÔNG TY CỔ PHẦN DỊCH VỤ THƯƠNG MẠI TỔNG HỢP WINCOMMERCE</v>
      </c>
      <c r="G109" s="16" t="str">
        <f>VLOOKUP(Table8[[#This Row],[Mã khách hàng]],code_khach_hang[],3,0)</f>
        <v>Miền Bắc đặc biệt 3</v>
      </c>
      <c r="H109" t="str">
        <f>VLOOKUP(Table8[[#This Row],[Mã khách hàng]],'Khách hàng'!A:D,4,0)</f>
        <v>Food Đức Việt</v>
      </c>
      <c r="I109" t="str">
        <f>VLOOKUP(Table8[[#This Row],[Mã khách hàng]],'Khách hàng'!A:E,5,0)</f>
        <v>HN0040</v>
      </c>
    </row>
    <row r="110" spans="1:9">
      <c r="A110" s="14" t="s">
        <v>7783</v>
      </c>
      <c r="B110" s="15" t="s">
        <v>5</v>
      </c>
      <c r="C110" s="10" t="s">
        <v>7784</v>
      </c>
      <c r="D110" s="16" t="s">
        <v>839</v>
      </c>
      <c r="E110" s="15" t="s">
        <v>11197</v>
      </c>
      <c r="F110" s="16" t="str">
        <f>VLOOKUP(Table8[[#This Row],[Mã khách hàng]],code_khach_hang[],2,0)</f>
        <v>CHI NHÁNH QUẢNG NINH - CÔNG TY CỔ PHẦN DỊCH VỤ THƯƠNG MẠI TỔNG HỢP WINCOMMERCE</v>
      </c>
      <c r="G110" s="16" t="str">
        <f>VLOOKUP(Table8[[#This Row],[Mã khách hàng]],code_khach_hang[],3,0)</f>
        <v>Miền Bắc đặc biệt 3</v>
      </c>
      <c r="H110" t="str">
        <f>VLOOKUP(Table8[[#This Row],[Mã khách hàng]],'Khách hàng'!A:D,4,0)</f>
        <v>Food Đức Việt</v>
      </c>
      <c r="I110" t="str">
        <f>VLOOKUP(Table8[[#This Row],[Mã khách hàng]],'Khách hàng'!A:E,5,0)</f>
        <v>HN0040</v>
      </c>
    </row>
    <row r="111" spans="1:9">
      <c r="A111" s="14" t="s">
        <v>8648</v>
      </c>
      <c r="B111" s="15" t="s">
        <v>5</v>
      </c>
      <c r="C111" s="10" t="e">
        <v>#N/A</v>
      </c>
      <c r="D111" s="16" t="s">
        <v>842</v>
      </c>
      <c r="E111" s="15" t="s">
        <v>11197</v>
      </c>
      <c r="F111" s="16" t="str">
        <f>VLOOKUP(Table8[[#This Row],[Mã khách hàng]],code_khach_hang[],2,0)</f>
        <v>CHI NHÁNH QUẢNG NINH - CÔNG TY CỔ PHẦN DỊCH VỤ THƯƠNG MẠI TỔNG HỢP WINCOMMERCE</v>
      </c>
      <c r="G111" s="16" t="str">
        <f>VLOOKUP(Table8[[#This Row],[Mã khách hàng]],code_khach_hang[],3,0)</f>
        <v>Miền Bắc đặc biệt 3</v>
      </c>
      <c r="H111" t="str">
        <f>VLOOKUP(Table8[[#This Row],[Mã khách hàng]],'Khách hàng'!A:D,4,0)</f>
        <v>Food Đức Việt</v>
      </c>
      <c r="I111" t="str">
        <f>VLOOKUP(Table8[[#This Row],[Mã khách hàng]],'Khách hàng'!A:E,5,0)</f>
        <v>HN0040</v>
      </c>
    </row>
    <row r="112" spans="1:9">
      <c r="A112" s="14" t="s">
        <v>8680</v>
      </c>
      <c r="B112" s="15" t="s">
        <v>5</v>
      </c>
      <c r="C112" s="10" t="s">
        <v>8681</v>
      </c>
      <c r="D112" s="16" t="s">
        <v>845</v>
      </c>
      <c r="E112" s="15" t="s">
        <v>11197</v>
      </c>
      <c r="F112" s="16" t="str">
        <f>VLOOKUP(Table8[[#This Row],[Mã khách hàng]],code_khach_hang[],2,0)</f>
        <v>CHI NHÁNH QUẢNG NINH - CÔNG TY CỔ PHẦN DỊCH VỤ THƯƠNG MẠI TỔNG HỢP WINCOMMERCE</v>
      </c>
      <c r="G112" s="16" t="str">
        <f>VLOOKUP(Table8[[#This Row],[Mã khách hàng]],code_khach_hang[],3,0)</f>
        <v>Miền Bắc đặc biệt 3</v>
      </c>
      <c r="H112" t="str">
        <f>VLOOKUP(Table8[[#This Row],[Mã khách hàng]],'Khách hàng'!A:D,4,0)</f>
        <v>Food Đức Việt</v>
      </c>
      <c r="I112" t="str">
        <f>VLOOKUP(Table8[[#This Row],[Mã khách hàng]],'Khách hàng'!A:E,5,0)</f>
        <v>HN0040</v>
      </c>
    </row>
    <row r="113" spans="1:9">
      <c r="A113" s="14" t="s">
        <v>7511</v>
      </c>
      <c r="B113" s="15" t="s">
        <v>5</v>
      </c>
      <c r="C113" s="10" t="s">
        <v>7512</v>
      </c>
      <c r="D113" s="16" t="s">
        <v>848</v>
      </c>
      <c r="E113" s="15" t="s">
        <v>11197</v>
      </c>
      <c r="F113" s="16" t="str">
        <f>VLOOKUP(Table8[[#This Row],[Mã khách hàng]],code_khach_hang[],2,0)</f>
        <v>CHI NHÁNH QUẢNG NINH - CÔNG TY CỔ PHẦN DỊCH VỤ THƯƠNG MẠI TỔNG HỢP WINCOMMERCE</v>
      </c>
      <c r="G113" s="16" t="str">
        <f>VLOOKUP(Table8[[#This Row],[Mã khách hàng]],code_khach_hang[],3,0)</f>
        <v>Miền Bắc đặc biệt 3</v>
      </c>
      <c r="H113" t="str">
        <f>VLOOKUP(Table8[[#This Row],[Mã khách hàng]],'Khách hàng'!A:D,4,0)</f>
        <v>Food Đức Việt</v>
      </c>
      <c r="I113" t="str">
        <f>VLOOKUP(Table8[[#This Row],[Mã khách hàng]],'Khách hàng'!A:E,5,0)</f>
        <v>HN0040</v>
      </c>
    </row>
    <row r="114" spans="1:9">
      <c r="A114" s="14" t="s">
        <v>8812</v>
      </c>
      <c r="B114" s="15" t="s">
        <v>5</v>
      </c>
      <c r="C114" s="10" t="s">
        <v>8813</v>
      </c>
      <c r="D114" s="16" t="s">
        <v>851</v>
      </c>
      <c r="E114" s="15" t="s">
        <v>11197</v>
      </c>
      <c r="F114" s="16" t="str">
        <f>VLOOKUP(Table8[[#This Row],[Mã khách hàng]],code_khach_hang[],2,0)</f>
        <v>CHI NHÁNH QUẢNG NINH - CÔNG TY CỔ PHẦN DỊCH VỤ THƯƠNG MẠI TỔNG HỢP WINCOMMERCE</v>
      </c>
      <c r="G114" s="16" t="str">
        <f>VLOOKUP(Table8[[#This Row],[Mã khách hàng]],code_khach_hang[],3,0)</f>
        <v>Miền Bắc đặc biệt 3</v>
      </c>
      <c r="H114" t="str">
        <f>VLOOKUP(Table8[[#This Row],[Mã khách hàng]],'Khách hàng'!A:D,4,0)</f>
        <v>Food Đức Việt</v>
      </c>
      <c r="I114" t="str">
        <f>VLOOKUP(Table8[[#This Row],[Mã khách hàng]],'Khách hàng'!A:E,5,0)</f>
        <v>HN0040</v>
      </c>
    </row>
    <row r="115" spans="1:9">
      <c r="A115" s="14" t="s">
        <v>9055</v>
      </c>
      <c r="B115" s="15" t="s">
        <v>5</v>
      </c>
      <c r="C115" s="10" t="s">
        <v>9056</v>
      </c>
      <c r="D115" s="16" t="s">
        <v>854</v>
      </c>
      <c r="E115" s="15" t="s">
        <v>11197</v>
      </c>
      <c r="F115" s="16" t="str">
        <f>VLOOKUP(Table8[[#This Row],[Mã khách hàng]],code_khach_hang[],2,0)</f>
        <v>CHI NHÁNH QUẢNG NINH - CÔNG TY CỔ PHẦN DỊCH VỤ THƯƠNG MẠI TỔNG HỢP WINCOMMERCE</v>
      </c>
      <c r="G115" s="16" t="str">
        <f>VLOOKUP(Table8[[#This Row],[Mã khách hàng]],code_khach_hang[],3,0)</f>
        <v>Miền Bắc đặc biệt 3</v>
      </c>
      <c r="H115" t="str">
        <f>VLOOKUP(Table8[[#This Row],[Mã khách hàng]],'Khách hàng'!A:D,4,0)</f>
        <v>Food Đức Việt</v>
      </c>
      <c r="I115" t="str">
        <f>VLOOKUP(Table8[[#This Row],[Mã khách hàng]],'Khách hàng'!A:E,5,0)</f>
        <v>HN0040</v>
      </c>
    </row>
    <row r="116" spans="1:9">
      <c r="A116" s="14" t="s">
        <v>8983</v>
      </c>
      <c r="B116" s="15" t="s">
        <v>5</v>
      </c>
      <c r="C116" s="10" t="s">
        <v>8984</v>
      </c>
      <c r="D116" s="16" t="s">
        <v>857</v>
      </c>
      <c r="E116" s="15" t="s">
        <v>11197</v>
      </c>
      <c r="F116" s="16" t="str">
        <f>VLOOKUP(Table8[[#This Row],[Mã khách hàng]],code_khach_hang[],2,0)</f>
        <v>CHI NHÁNH QUẢNG NINH - CÔNG TY CỔ PHẦN DỊCH VỤ THƯƠNG MẠI TỔNG HỢP WINCOMMERCE</v>
      </c>
      <c r="G116" s="16" t="str">
        <f>VLOOKUP(Table8[[#This Row],[Mã khách hàng]],code_khach_hang[],3,0)</f>
        <v>Miền Bắc đặc biệt 3</v>
      </c>
      <c r="H116" t="str">
        <f>VLOOKUP(Table8[[#This Row],[Mã khách hàng]],'Khách hàng'!A:D,4,0)</f>
        <v>Food Đức Việt</v>
      </c>
      <c r="I116" t="str">
        <f>VLOOKUP(Table8[[#This Row],[Mã khách hàng]],'Khách hàng'!A:E,5,0)</f>
        <v>HN0040</v>
      </c>
    </row>
    <row r="117" spans="1:9">
      <c r="A117" s="14" t="s">
        <v>9099</v>
      </c>
      <c r="B117" s="15" t="s">
        <v>5</v>
      </c>
      <c r="C117" s="10" t="s">
        <v>9100</v>
      </c>
      <c r="D117" s="16" t="s">
        <v>860</v>
      </c>
      <c r="E117" s="15" t="s">
        <v>11197</v>
      </c>
      <c r="F117" s="16" t="str">
        <f>VLOOKUP(Table8[[#This Row],[Mã khách hàng]],code_khach_hang[],2,0)</f>
        <v>CHI NHÁNH QUẢNG NINH - CÔNG TY CỔ PHẦN DỊCH VỤ THƯƠNG MẠI TỔNG HỢP WINCOMMERCE</v>
      </c>
      <c r="G117" s="16" t="str">
        <f>VLOOKUP(Table8[[#This Row],[Mã khách hàng]],code_khach_hang[],3,0)</f>
        <v>Miền Bắc đặc biệt 3</v>
      </c>
      <c r="H117" t="str">
        <f>VLOOKUP(Table8[[#This Row],[Mã khách hàng]],'Khách hàng'!A:D,4,0)</f>
        <v>Food Đức Việt</v>
      </c>
      <c r="I117" t="str">
        <f>VLOOKUP(Table8[[#This Row],[Mã khách hàng]],'Khách hàng'!A:E,5,0)</f>
        <v>HN0040</v>
      </c>
    </row>
    <row r="118" spans="1:9">
      <c r="A118" s="14" t="s">
        <v>8494</v>
      </c>
      <c r="B118" s="15" t="s">
        <v>5</v>
      </c>
      <c r="C118" s="10" t="s">
        <v>8495</v>
      </c>
      <c r="D118" s="16" t="s">
        <v>863</v>
      </c>
      <c r="E118" s="15" t="s">
        <v>11197</v>
      </c>
      <c r="F118" s="16" t="str">
        <f>VLOOKUP(Table8[[#This Row],[Mã khách hàng]],code_khach_hang[],2,0)</f>
        <v>CHI NHÁNH QUẢNG NINH - CÔNG TY CỔ PHẦN DỊCH VỤ THƯƠNG MẠI TỔNG HỢP WINCOMMERCE</v>
      </c>
      <c r="G118" s="16" t="str">
        <f>VLOOKUP(Table8[[#This Row],[Mã khách hàng]],code_khach_hang[],3,0)</f>
        <v>Miền Bắc đặc biệt 3</v>
      </c>
      <c r="H118" t="str">
        <f>VLOOKUP(Table8[[#This Row],[Mã khách hàng]],'Khách hàng'!A:D,4,0)</f>
        <v>Food Đức Việt</v>
      </c>
      <c r="I118" t="str">
        <f>VLOOKUP(Table8[[#This Row],[Mã khách hàng]],'Khách hàng'!A:E,5,0)</f>
        <v>HN0040</v>
      </c>
    </row>
    <row r="119" spans="1:9">
      <c r="A119" s="14" t="s">
        <v>1519</v>
      </c>
      <c r="B119" s="15" t="s">
        <v>5</v>
      </c>
      <c r="C119" s="10" t="s">
        <v>1520</v>
      </c>
      <c r="D119" s="16" t="s">
        <v>866</v>
      </c>
      <c r="E119" s="15" t="s">
        <v>11197</v>
      </c>
      <c r="F119" s="16" t="str">
        <f>VLOOKUP(Table8[[#This Row],[Mã khách hàng]],code_khach_hang[],2,0)</f>
        <v>CHI NHÁNH QUẢNG NINH - CÔNG TY CỔ PHẦN DỊCH VỤ THƯƠNG MẠI TỔNG HỢP WINCOMMERCE</v>
      </c>
      <c r="G119" s="16" t="str">
        <f>VLOOKUP(Table8[[#This Row],[Mã khách hàng]],code_khach_hang[],3,0)</f>
        <v>Miền Bắc đặc biệt 3</v>
      </c>
      <c r="H119" t="str">
        <f>VLOOKUP(Table8[[#This Row],[Mã khách hàng]],'Khách hàng'!A:D,4,0)</f>
        <v>Food Đức Việt</v>
      </c>
      <c r="I119" t="str">
        <f>VLOOKUP(Table8[[#This Row],[Mã khách hàng]],'Khách hàng'!A:E,5,0)</f>
        <v>HN0040</v>
      </c>
    </row>
    <row r="120" spans="1:9">
      <c r="A120" s="14" t="s">
        <v>2063</v>
      </c>
      <c r="B120" s="15" t="s">
        <v>5</v>
      </c>
      <c r="C120" s="10" t="s">
        <v>2064</v>
      </c>
      <c r="D120" s="16" t="s">
        <v>869</v>
      </c>
      <c r="E120" s="15" t="s">
        <v>11197</v>
      </c>
      <c r="F120" s="16" t="str">
        <f>VLOOKUP(Table8[[#This Row],[Mã khách hàng]],code_khach_hang[],2,0)</f>
        <v>CHI NHÁNH QUẢNG NINH - CÔNG TY CỔ PHẦN DỊCH VỤ THƯƠNG MẠI TỔNG HỢP WINCOMMERCE</v>
      </c>
      <c r="G120" s="16" t="str">
        <f>VLOOKUP(Table8[[#This Row],[Mã khách hàng]],code_khach_hang[],3,0)</f>
        <v>Miền Bắc đặc biệt 3</v>
      </c>
      <c r="H120" t="str">
        <f>VLOOKUP(Table8[[#This Row],[Mã khách hàng]],'Khách hàng'!A:D,4,0)</f>
        <v>Food Đức Việt</v>
      </c>
      <c r="I120" t="str">
        <f>VLOOKUP(Table8[[#This Row],[Mã khách hàng]],'Khách hàng'!A:E,5,0)</f>
        <v>HN0040</v>
      </c>
    </row>
    <row r="121" spans="1:9">
      <c r="A121" s="14" t="s">
        <v>713</v>
      </c>
      <c r="B121" s="15" t="s">
        <v>183</v>
      </c>
      <c r="C121" s="10" t="s">
        <v>714</v>
      </c>
      <c r="D121" s="16" t="s">
        <v>872</v>
      </c>
      <c r="E121" s="15" t="s">
        <v>11197</v>
      </c>
      <c r="F121" s="16" t="str">
        <f>VLOOKUP(Table8[[#This Row],[Mã khách hàng]],code_khach_hang[],2,0)</f>
        <v>CHI NHÁNH QUẢNG NINH - CÔNG TY CỔ PHẦN DỊCH VỤ THƯƠNG MẠI TỔNG HỢP WINCOMMERCE</v>
      </c>
      <c r="G121" s="16" t="str">
        <f>VLOOKUP(Table8[[#This Row],[Mã khách hàng]],code_khach_hang[],3,0)</f>
        <v>Miền Bắc đặc biệt 3</v>
      </c>
      <c r="H121" t="str">
        <f>VLOOKUP(Table8[[#This Row],[Mã khách hàng]],'Khách hàng'!A:D,4,0)</f>
        <v>Food Đức Việt</v>
      </c>
      <c r="I121" t="str">
        <f>VLOOKUP(Table8[[#This Row],[Mã khách hàng]],'Khách hàng'!A:E,5,0)</f>
        <v>HN0040</v>
      </c>
    </row>
    <row r="122" spans="1:9">
      <c r="A122" s="14" t="s">
        <v>681</v>
      </c>
      <c r="B122" s="15" t="s">
        <v>183</v>
      </c>
      <c r="C122" s="10" t="s">
        <v>682</v>
      </c>
      <c r="D122" s="16" t="s">
        <v>875</v>
      </c>
      <c r="E122" s="15" t="s">
        <v>11197</v>
      </c>
      <c r="F122" s="16" t="str">
        <f>VLOOKUP(Table8[[#This Row],[Mã khách hàng]],code_khach_hang[],2,0)</f>
        <v>CHI NHÁNH QUẢNG NINH - CÔNG TY CỔ PHẦN DỊCH VỤ THƯƠNG MẠI TỔNG HỢP WINCOMMERCE</v>
      </c>
      <c r="G122" s="16" t="str">
        <f>VLOOKUP(Table8[[#This Row],[Mã khách hàng]],code_khach_hang[],3,0)</f>
        <v>Miền Bắc đặc biệt 3</v>
      </c>
      <c r="H122" t="str">
        <f>VLOOKUP(Table8[[#This Row],[Mã khách hàng]],'Khách hàng'!A:D,4,0)</f>
        <v>Food Đức Việt</v>
      </c>
      <c r="I122" t="str">
        <f>VLOOKUP(Table8[[#This Row],[Mã khách hàng]],'Khách hàng'!A:E,5,0)</f>
        <v>HN0040</v>
      </c>
    </row>
    <row r="123" spans="1:9">
      <c r="A123" s="14" t="s">
        <v>6503</v>
      </c>
      <c r="B123" s="15" t="s">
        <v>5</v>
      </c>
      <c r="C123" s="10" t="s">
        <v>6504</v>
      </c>
      <c r="D123" s="16" t="s">
        <v>878</v>
      </c>
      <c r="E123" s="15" t="s">
        <v>11198</v>
      </c>
      <c r="F123" s="16" t="str">
        <f>VLOOKUP(Table8[[#This Row],[Mã khách hàng]],code_khach_hang[],2,0)</f>
        <v>CHI NHÁNH HẢI PHÒNG - CÔNG TY CỔ PHẦN DỊCH VỤ THƯƠNG MẠI TỔNG HỢP WINCOMMERCE</v>
      </c>
      <c r="G123" s="16" t="str">
        <f>VLOOKUP(Table8[[#This Row],[Mã khách hàng]],code_khach_hang[],3,0)</f>
        <v>Miền Bắc đặc biệt 3</v>
      </c>
      <c r="H123" t="str">
        <f>VLOOKUP(Table8[[#This Row],[Mã khách hàng]],'Khách hàng'!A:D,4,0)</f>
        <v>Food Đức Việt</v>
      </c>
      <c r="I123" t="str">
        <f>VLOOKUP(Table8[[#This Row],[Mã khách hàng]],'Khách hàng'!A:E,5,0)</f>
        <v>HN0040</v>
      </c>
    </row>
    <row r="124" spans="1:9">
      <c r="A124" s="14" t="s">
        <v>7180</v>
      </c>
      <c r="B124" s="15" t="s">
        <v>5</v>
      </c>
      <c r="C124" s="10" t="s">
        <v>7181</v>
      </c>
      <c r="D124" s="16" t="s">
        <v>881</v>
      </c>
      <c r="E124" s="15" t="s">
        <v>11198</v>
      </c>
      <c r="F124" s="16" t="str">
        <f>VLOOKUP(Table8[[#This Row],[Mã khách hàng]],code_khach_hang[],2,0)</f>
        <v>CHI NHÁNH HẢI PHÒNG - CÔNG TY CỔ PHẦN DỊCH VỤ THƯƠNG MẠI TỔNG HỢP WINCOMMERCE</v>
      </c>
      <c r="G124" s="16" t="str">
        <f>VLOOKUP(Table8[[#This Row],[Mã khách hàng]],code_khach_hang[],3,0)</f>
        <v>Miền Bắc đặc biệt 3</v>
      </c>
      <c r="H124" t="str">
        <f>VLOOKUP(Table8[[#This Row],[Mã khách hàng]],'Khách hàng'!A:D,4,0)</f>
        <v>Food Đức Việt</v>
      </c>
      <c r="I124" t="str">
        <f>VLOOKUP(Table8[[#This Row],[Mã khách hàng]],'Khách hàng'!A:E,5,0)</f>
        <v>HN0040</v>
      </c>
    </row>
    <row r="125" spans="1:9">
      <c r="A125" s="14" t="s">
        <v>7463</v>
      </c>
      <c r="B125" s="15" t="s">
        <v>5</v>
      </c>
      <c r="C125" s="10" t="s">
        <v>7464</v>
      </c>
      <c r="D125" s="16" t="s">
        <v>884</v>
      </c>
      <c r="E125" s="15" t="s">
        <v>11198</v>
      </c>
      <c r="F125" s="16" t="str">
        <f>VLOOKUP(Table8[[#This Row],[Mã khách hàng]],code_khach_hang[],2,0)</f>
        <v>CHI NHÁNH HẢI PHÒNG - CÔNG TY CỔ PHẦN DỊCH VỤ THƯƠNG MẠI TỔNG HỢP WINCOMMERCE</v>
      </c>
      <c r="G125" s="16" t="str">
        <f>VLOOKUP(Table8[[#This Row],[Mã khách hàng]],code_khach_hang[],3,0)</f>
        <v>Miền Bắc đặc biệt 3</v>
      </c>
      <c r="H125" t="str">
        <f>VLOOKUP(Table8[[#This Row],[Mã khách hàng]],'Khách hàng'!A:D,4,0)</f>
        <v>Food Đức Việt</v>
      </c>
      <c r="I125" t="str">
        <f>VLOOKUP(Table8[[#This Row],[Mã khách hàng]],'Khách hàng'!A:E,5,0)</f>
        <v>HN0040</v>
      </c>
    </row>
    <row r="126" spans="1:9">
      <c r="A126" s="14" t="s">
        <v>7472</v>
      </c>
      <c r="B126" s="15" t="s">
        <v>5</v>
      </c>
      <c r="C126" s="10" t="s">
        <v>7473</v>
      </c>
      <c r="D126" s="16" t="s">
        <v>887</v>
      </c>
      <c r="E126" s="15" t="s">
        <v>11198</v>
      </c>
      <c r="F126" s="16" t="str">
        <f>VLOOKUP(Table8[[#This Row],[Mã khách hàng]],code_khach_hang[],2,0)</f>
        <v>CHI NHÁNH HẢI PHÒNG - CÔNG TY CỔ PHẦN DỊCH VỤ THƯƠNG MẠI TỔNG HỢP WINCOMMERCE</v>
      </c>
      <c r="G126" s="16" t="str">
        <f>VLOOKUP(Table8[[#This Row],[Mã khách hàng]],code_khach_hang[],3,0)</f>
        <v>Miền Bắc đặc biệt 3</v>
      </c>
      <c r="H126" t="str">
        <f>VLOOKUP(Table8[[#This Row],[Mã khách hàng]],'Khách hàng'!A:D,4,0)</f>
        <v>Food Đức Việt</v>
      </c>
      <c r="I126" t="str">
        <f>VLOOKUP(Table8[[#This Row],[Mã khách hàng]],'Khách hàng'!A:E,5,0)</f>
        <v>HN0040</v>
      </c>
    </row>
    <row r="127" spans="1:9">
      <c r="A127" s="14" t="s">
        <v>7622</v>
      </c>
      <c r="B127" s="15" t="s">
        <v>5</v>
      </c>
      <c r="C127" s="10" t="s">
        <v>7623</v>
      </c>
      <c r="D127" s="16" t="s">
        <v>890</v>
      </c>
      <c r="E127" s="15" t="s">
        <v>11198</v>
      </c>
      <c r="F127" s="16" t="str">
        <f>VLOOKUP(Table8[[#This Row],[Mã khách hàng]],code_khach_hang[],2,0)</f>
        <v>CHI NHÁNH HẢI PHÒNG - CÔNG TY CỔ PHẦN DỊCH VỤ THƯƠNG MẠI TỔNG HỢP WINCOMMERCE</v>
      </c>
      <c r="G127" s="16" t="str">
        <f>VLOOKUP(Table8[[#This Row],[Mã khách hàng]],code_khach_hang[],3,0)</f>
        <v>Miền Bắc đặc biệt 3</v>
      </c>
      <c r="H127" t="str">
        <f>VLOOKUP(Table8[[#This Row],[Mã khách hàng]],'Khách hàng'!A:D,4,0)</f>
        <v>Food Đức Việt</v>
      </c>
      <c r="I127" t="str">
        <f>VLOOKUP(Table8[[#This Row],[Mã khách hàng]],'Khách hàng'!A:E,5,0)</f>
        <v>HN0040</v>
      </c>
    </row>
    <row r="128" spans="1:9">
      <c r="A128" s="14" t="s">
        <v>7631</v>
      </c>
      <c r="B128" s="15" t="s">
        <v>5</v>
      </c>
      <c r="C128" s="10" t="s">
        <v>7632</v>
      </c>
      <c r="D128" s="16" t="s">
        <v>893</v>
      </c>
      <c r="E128" s="15" t="s">
        <v>11198</v>
      </c>
      <c r="F128" s="16" t="str">
        <f>VLOOKUP(Table8[[#This Row],[Mã khách hàng]],code_khach_hang[],2,0)</f>
        <v>CHI NHÁNH HẢI PHÒNG - CÔNG TY CỔ PHẦN DỊCH VỤ THƯƠNG MẠI TỔNG HỢP WINCOMMERCE</v>
      </c>
      <c r="G128" s="16" t="str">
        <f>VLOOKUP(Table8[[#This Row],[Mã khách hàng]],code_khach_hang[],3,0)</f>
        <v>Miền Bắc đặc biệt 3</v>
      </c>
      <c r="H128" t="str">
        <f>VLOOKUP(Table8[[#This Row],[Mã khách hàng]],'Khách hàng'!A:D,4,0)</f>
        <v>Food Đức Việt</v>
      </c>
      <c r="I128" t="str">
        <f>VLOOKUP(Table8[[#This Row],[Mã khách hàng]],'Khách hàng'!A:E,5,0)</f>
        <v>HN0040</v>
      </c>
    </row>
    <row r="129" spans="1:9">
      <c r="A129" s="14" t="s">
        <v>4314</v>
      </c>
      <c r="B129" s="15" t="s">
        <v>5</v>
      </c>
      <c r="C129" s="10" t="s">
        <v>4315</v>
      </c>
      <c r="D129" s="16" t="s">
        <v>896</v>
      </c>
      <c r="E129" s="15" t="s">
        <v>11198</v>
      </c>
      <c r="F129" s="16" t="str">
        <f>VLOOKUP(Table8[[#This Row],[Mã khách hàng]],code_khach_hang[],2,0)</f>
        <v>CHI NHÁNH HẢI PHÒNG - CÔNG TY CỔ PHẦN DỊCH VỤ THƯƠNG MẠI TỔNG HỢP WINCOMMERCE</v>
      </c>
      <c r="G129" s="16" t="str">
        <f>VLOOKUP(Table8[[#This Row],[Mã khách hàng]],code_khach_hang[],3,0)</f>
        <v>Miền Bắc đặc biệt 3</v>
      </c>
      <c r="H129" t="str">
        <f>VLOOKUP(Table8[[#This Row],[Mã khách hàng]],'Khách hàng'!A:D,4,0)</f>
        <v>Food Đức Việt</v>
      </c>
      <c r="I129" t="str">
        <f>VLOOKUP(Table8[[#This Row],[Mã khách hàng]],'Khách hàng'!A:E,5,0)</f>
        <v>HN0040</v>
      </c>
    </row>
    <row r="130" spans="1:9">
      <c r="A130" s="14" t="s">
        <v>4473</v>
      </c>
      <c r="B130" s="15" t="s">
        <v>5</v>
      </c>
      <c r="C130" s="10" t="s">
        <v>4474</v>
      </c>
      <c r="D130" s="16" t="s">
        <v>899</v>
      </c>
      <c r="E130" s="15" t="s">
        <v>11198</v>
      </c>
      <c r="F130" s="16" t="str">
        <f>VLOOKUP(Table8[[#This Row],[Mã khách hàng]],code_khach_hang[],2,0)</f>
        <v>CHI NHÁNH HẢI PHÒNG - CÔNG TY CỔ PHẦN DỊCH VỤ THƯƠNG MẠI TỔNG HỢP WINCOMMERCE</v>
      </c>
      <c r="G130" s="16" t="str">
        <f>VLOOKUP(Table8[[#This Row],[Mã khách hàng]],code_khach_hang[],3,0)</f>
        <v>Miền Bắc đặc biệt 3</v>
      </c>
      <c r="H130" t="str">
        <f>VLOOKUP(Table8[[#This Row],[Mã khách hàng]],'Khách hàng'!A:D,4,0)</f>
        <v>Food Đức Việt</v>
      </c>
      <c r="I130" t="str">
        <f>VLOOKUP(Table8[[#This Row],[Mã khách hàng]],'Khách hàng'!A:E,5,0)</f>
        <v>HN0040</v>
      </c>
    </row>
    <row r="131" spans="1:9">
      <c r="A131" s="14" t="s">
        <v>4476</v>
      </c>
      <c r="B131" s="15" t="s">
        <v>5</v>
      </c>
      <c r="C131" s="10" t="s">
        <v>4477</v>
      </c>
      <c r="D131" s="16" t="s">
        <v>902</v>
      </c>
      <c r="E131" s="15" t="s">
        <v>11198</v>
      </c>
      <c r="F131" s="16" t="str">
        <f>VLOOKUP(Table8[[#This Row],[Mã khách hàng]],code_khach_hang[],2,0)</f>
        <v>CHI NHÁNH HẢI PHÒNG - CÔNG TY CỔ PHẦN DỊCH VỤ THƯƠNG MẠI TỔNG HỢP WINCOMMERCE</v>
      </c>
      <c r="G131" s="16" t="str">
        <f>VLOOKUP(Table8[[#This Row],[Mã khách hàng]],code_khach_hang[],3,0)</f>
        <v>Miền Bắc đặc biệt 3</v>
      </c>
      <c r="H131" t="str">
        <f>VLOOKUP(Table8[[#This Row],[Mã khách hàng]],'Khách hàng'!A:D,4,0)</f>
        <v>Food Đức Việt</v>
      </c>
      <c r="I131" t="str">
        <f>VLOOKUP(Table8[[#This Row],[Mã khách hàng]],'Khách hàng'!A:E,5,0)</f>
        <v>HN0040</v>
      </c>
    </row>
    <row r="132" spans="1:9">
      <c r="A132" s="14" t="s">
        <v>5824</v>
      </c>
      <c r="B132" s="15" t="s">
        <v>5</v>
      </c>
      <c r="C132" s="10" t="s">
        <v>5825</v>
      </c>
      <c r="D132" s="16" t="s">
        <v>905</v>
      </c>
      <c r="E132" s="15" t="s">
        <v>11198</v>
      </c>
      <c r="F132" s="16" t="str">
        <f>VLOOKUP(Table8[[#This Row],[Mã khách hàng]],code_khach_hang[],2,0)</f>
        <v>CHI NHÁNH HẢI PHÒNG - CÔNG TY CỔ PHẦN DỊCH VỤ THƯƠNG MẠI TỔNG HỢP WINCOMMERCE</v>
      </c>
      <c r="G132" s="16" t="str">
        <f>VLOOKUP(Table8[[#This Row],[Mã khách hàng]],code_khach_hang[],3,0)</f>
        <v>Miền Bắc đặc biệt 3</v>
      </c>
      <c r="H132" t="str">
        <f>VLOOKUP(Table8[[#This Row],[Mã khách hàng]],'Khách hàng'!A:D,4,0)</f>
        <v>Food Đức Việt</v>
      </c>
      <c r="I132" t="str">
        <f>VLOOKUP(Table8[[#This Row],[Mã khách hàng]],'Khách hàng'!A:E,5,0)</f>
        <v>HN0040</v>
      </c>
    </row>
    <row r="133" spans="1:9">
      <c r="A133" s="14" t="s">
        <v>5827</v>
      </c>
      <c r="B133" s="15" t="s">
        <v>5</v>
      </c>
      <c r="C133" s="10" t="s">
        <v>5828</v>
      </c>
      <c r="D133" s="16" t="s">
        <v>908</v>
      </c>
      <c r="E133" s="15" t="s">
        <v>11198</v>
      </c>
      <c r="F133" s="16" t="str">
        <f>VLOOKUP(Table8[[#This Row],[Mã khách hàng]],code_khach_hang[],2,0)</f>
        <v>CHI NHÁNH HẢI PHÒNG - CÔNG TY CỔ PHẦN DỊCH VỤ THƯƠNG MẠI TỔNG HỢP WINCOMMERCE</v>
      </c>
      <c r="G133" s="16" t="str">
        <f>VLOOKUP(Table8[[#This Row],[Mã khách hàng]],code_khach_hang[],3,0)</f>
        <v>Miền Bắc đặc biệt 3</v>
      </c>
      <c r="H133" t="str">
        <f>VLOOKUP(Table8[[#This Row],[Mã khách hàng]],'Khách hàng'!A:D,4,0)</f>
        <v>Food Đức Việt</v>
      </c>
      <c r="I133" t="str">
        <f>VLOOKUP(Table8[[#This Row],[Mã khách hàng]],'Khách hàng'!A:E,5,0)</f>
        <v>HN0040</v>
      </c>
    </row>
    <row r="134" spans="1:9">
      <c r="A134" s="14" t="s">
        <v>6061</v>
      </c>
      <c r="B134" s="15" t="s">
        <v>5</v>
      </c>
      <c r="C134" s="10" t="s">
        <v>6062</v>
      </c>
      <c r="D134" s="16" t="s">
        <v>911</v>
      </c>
      <c r="E134" s="15" t="s">
        <v>11198</v>
      </c>
      <c r="F134" s="16" t="str">
        <f>VLOOKUP(Table8[[#This Row],[Mã khách hàng]],code_khach_hang[],2,0)</f>
        <v>CHI NHÁNH HẢI PHÒNG - CÔNG TY CỔ PHẦN DỊCH VỤ THƯƠNG MẠI TỔNG HỢP WINCOMMERCE</v>
      </c>
      <c r="G134" s="16" t="str">
        <f>VLOOKUP(Table8[[#This Row],[Mã khách hàng]],code_khach_hang[],3,0)</f>
        <v>Miền Bắc đặc biệt 3</v>
      </c>
      <c r="H134" t="str">
        <f>VLOOKUP(Table8[[#This Row],[Mã khách hàng]],'Khách hàng'!A:D,4,0)</f>
        <v>Food Đức Việt</v>
      </c>
      <c r="I134" t="str">
        <f>VLOOKUP(Table8[[#This Row],[Mã khách hàng]],'Khách hàng'!A:E,5,0)</f>
        <v>HN0040</v>
      </c>
    </row>
    <row r="135" spans="1:9">
      <c r="A135" s="14" t="s">
        <v>6082</v>
      </c>
      <c r="B135" s="15" t="s">
        <v>5</v>
      </c>
      <c r="C135" s="10" t="s">
        <v>6083</v>
      </c>
      <c r="D135" s="16" t="s">
        <v>914</v>
      </c>
      <c r="E135" s="15" t="s">
        <v>11198</v>
      </c>
      <c r="F135" s="16" t="str">
        <f>VLOOKUP(Table8[[#This Row],[Mã khách hàng]],code_khach_hang[],2,0)</f>
        <v>CHI NHÁNH HẢI PHÒNG - CÔNG TY CỔ PHẦN DỊCH VỤ THƯƠNG MẠI TỔNG HỢP WINCOMMERCE</v>
      </c>
      <c r="G135" s="16" t="str">
        <f>VLOOKUP(Table8[[#This Row],[Mã khách hàng]],code_khach_hang[],3,0)</f>
        <v>Miền Bắc đặc biệt 3</v>
      </c>
      <c r="H135" t="str">
        <f>VLOOKUP(Table8[[#This Row],[Mã khách hàng]],'Khách hàng'!A:D,4,0)</f>
        <v>Food Đức Việt</v>
      </c>
      <c r="I135" t="str">
        <f>VLOOKUP(Table8[[#This Row],[Mã khách hàng]],'Khách hàng'!A:E,5,0)</f>
        <v>HN0040</v>
      </c>
    </row>
    <row r="136" spans="1:9">
      <c r="A136" s="14" t="s">
        <v>6193</v>
      </c>
      <c r="B136" s="15" t="s">
        <v>5</v>
      </c>
      <c r="C136" s="10" t="s">
        <v>6194</v>
      </c>
      <c r="D136" s="16" t="s">
        <v>917</v>
      </c>
      <c r="E136" s="15" t="s">
        <v>11198</v>
      </c>
      <c r="F136" s="16" t="str">
        <f>VLOOKUP(Table8[[#This Row],[Mã khách hàng]],code_khach_hang[],2,0)</f>
        <v>CHI NHÁNH HẢI PHÒNG - CÔNG TY CỔ PHẦN DỊCH VỤ THƯƠNG MẠI TỔNG HỢP WINCOMMERCE</v>
      </c>
      <c r="G136" s="16" t="str">
        <f>VLOOKUP(Table8[[#This Row],[Mã khách hàng]],code_khach_hang[],3,0)</f>
        <v>Miền Bắc đặc biệt 3</v>
      </c>
      <c r="H136" t="str">
        <f>VLOOKUP(Table8[[#This Row],[Mã khách hàng]],'Khách hàng'!A:D,4,0)</f>
        <v>Food Đức Việt</v>
      </c>
      <c r="I136" t="str">
        <f>VLOOKUP(Table8[[#This Row],[Mã khách hàng]],'Khách hàng'!A:E,5,0)</f>
        <v>HN0040</v>
      </c>
    </row>
    <row r="137" spans="1:9">
      <c r="A137" s="14" t="s">
        <v>6521</v>
      </c>
      <c r="B137" s="15" t="s">
        <v>5</v>
      </c>
      <c r="C137" s="10" t="s">
        <v>6522</v>
      </c>
      <c r="D137" s="16" t="s">
        <v>920</v>
      </c>
      <c r="E137" s="15" t="s">
        <v>11198</v>
      </c>
      <c r="F137" s="16" t="str">
        <f>VLOOKUP(Table8[[#This Row],[Mã khách hàng]],code_khach_hang[],2,0)</f>
        <v>CHI NHÁNH HẢI PHÒNG - CÔNG TY CỔ PHẦN DỊCH VỤ THƯƠNG MẠI TỔNG HỢP WINCOMMERCE</v>
      </c>
      <c r="G137" s="16" t="str">
        <f>VLOOKUP(Table8[[#This Row],[Mã khách hàng]],code_khach_hang[],3,0)</f>
        <v>Miền Bắc đặc biệt 3</v>
      </c>
      <c r="H137" t="str">
        <f>VLOOKUP(Table8[[#This Row],[Mã khách hàng]],'Khách hàng'!A:D,4,0)</f>
        <v>Food Đức Việt</v>
      </c>
      <c r="I137" t="str">
        <f>VLOOKUP(Table8[[#This Row],[Mã khách hàng]],'Khách hàng'!A:E,5,0)</f>
        <v>HN0040</v>
      </c>
    </row>
    <row r="138" spans="1:9">
      <c r="A138" s="14" t="s">
        <v>7162</v>
      </c>
      <c r="B138" s="15" t="s">
        <v>5</v>
      </c>
      <c r="C138" s="10" t="s">
        <v>7163</v>
      </c>
      <c r="D138" s="16" t="s">
        <v>923</v>
      </c>
      <c r="E138" s="15" t="s">
        <v>11198</v>
      </c>
      <c r="F138" s="16" t="str">
        <f>VLOOKUP(Table8[[#This Row],[Mã khách hàng]],code_khach_hang[],2,0)</f>
        <v>CHI NHÁNH HẢI PHÒNG - CÔNG TY CỔ PHẦN DỊCH VỤ THƯƠNG MẠI TỔNG HỢP WINCOMMERCE</v>
      </c>
      <c r="G138" s="16" t="str">
        <f>VLOOKUP(Table8[[#This Row],[Mã khách hàng]],code_khach_hang[],3,0)</f>
        <v>Miền Bắc đặc biệt 3</v>
      </c>
      <c r="H138" t="str">
        <f>VLOOKUP(Table8[[#This Row],[Mã khách hàng]],'Khách hàng'!A:D,4,0)</f>
        <v>Food Đức Việt</v>
      </c>
      <c r="I138" t="str">
        <f>VLOOKUP(Table8[[#This Row],[Mã khách hàng]],'Khách hàng'!A:E,5,0)</f>
        <v>HN0040</v>
      </c>
    </row>
    <row r="139" spans="1:9">
      <c r="A139" s="14" t="s">
        <v>7330</v>
      </c>
      <c r="B139" s="15" t="s">
        <v>5</v>
      </c>
      <c r="C139" s="10" t="s">
        <v>7331</v>
      </c>
      <c r="D139" s="16" t="s">
        <v>926</v>
      </c>
      <c r="E139" s="15" t="s">
        <v>11198</v>
      </c>
      <c r="F139" s="16" t="str">
        <f>VLOOKUP(Table8[[#This Row],[Mã khách hàng]],code_khach_hang[],2,0)</f>
        <v>CHI NHÁNH HẢI PHÒNG - CÔNG TY CỔ PHẦN DỊCH VỤ THƯƠNG MẠI TỔNG HỢP WINCOMMERCE</v>
      </c>
      <c r="G139" s="16" t="str">
        <f>VLOOKUP(Table8[[#This Row],[Mã khách hàng]],code_khach_hang[],3,0)</f>
        <v>Miền Bắc đặc biệt 3</v>
      </c>
      <c r="H139" t="str">
        <f>VLOOKUP(Table8[[#This Row],[Mã khách hàng]],'Khách hàng'!A:D,4,0)</f>
        <v>Food Đức Việt</v>
      </c>
      <c r="I139" t="str">
        <f>VLOOKUP(Table8[[#This Row],[Mã khách hàng]],'Khách hàng'!A:E,5,0)</f>
        <v>HN0040</v>
      </c>
    </row>
    <row r="140" spans="1:9">
      <c r="A140" s="14" t="s">
        <v>7640</v>
      </c>
      <c r="B140" s="15" t="s">
        <v>5</v>
      </c>
      <c r="C140" s="10" t="s">
        <v>7641</v>
      </c>
      <c r="D140" s="16" t="s">
        <v>929</v>
      </c>
      <c r="E140" s="15" t="s">
        <v>11198</v>
      </c>
      <c r="F140" s="16" t="str">
        <f>VLOOKUP(Table8[[#This Row],[Mã khách hàng]],code_khach_hang[],2,0)</f>
        <v>CHI NHÁNH HẢI PHÒNG - CÔNG TY CỔ PHẦN DỊCH VỤ THƯƠNG MẠI TỔNG HỢP WINCOMMERCE</v>
      </c>
      <c r="G140" s="16" t="str">
        <f>VLOOKUP(Table8[[#This Row],[Mã khách hàng]],code_khach_hang[],3,0)</f>
        <v>Miền Bắc đặc biệt 3</v>
      </c>
      <c r="H140" t="str">
        <f>VLOOKUP(Table8[[#This Row],[Mã khách hàng]],'Khách hàng'!A:D,4,0)</f>
        <v>Food Đức Việt</v>
      </c>
      <c r="I140" t="str">
        <f>VLOOKUP(Table8[[#This Row],[Mã khách hàng]],'Khách hàng'!A:E,5,0)</f>
        <v>HN0040</v>
      </c>
    </row>
    <row r="141" spans="1:9">
      <c r="A141" s="14" t="s">
        <v>7724</v>
      </c>
      <c r="B141" s="15" t="s">
        <v>5</v>
      </c>
      <c r="C141" s="10" t="s">
        <v>7725</v>
      </c>
      <c r="D141" s="16" t="s">
        <v>932</v>
      </c>
      <c r="E141" s="15" t="s">
        <v>11198</v>
      </c>
      <c r="F141" s="16" t="str">
        <f>VLOOKUP(Table8[[#This Row],[Mã khách hàng]],code_khach_hang[],2,0)</f>
        <v>CHI NHÁNH HẢI PHÒNG - CÔNG TY CỔ PHẦN DỊCH VỤ THƯƠNG MẠI TỔNG HỢP WINCOMMERCE</v>
      </c>
      <c r="G141" s="16" t="str">
        <f>VLOOKUP(Table8[[#This Row],[Mã khách hàng]],code_khach_hang[],3,0)</f>
        <v>Miền Bắc đặc biệt 3</v>
      </c>
      <c r="H141" t="str">
        <f>VLOOKUP(Table8[[#This Row],[Mã khách hàng]],'Khách hàng'!A:D,4,0)</f>
        <v>Food Đức Việt</v>
      </c>
      <c r="I141" t="str">
        <f>VLOOKUP(Table8[[#This Row],[Mã khách hàng]],'Khách hàng'!A:E,5,0)</f>
        <v>HN0040</v>
      </c>
    </row>
    <row r="142" spans="1:9">
      <c r="A142" s="14" t="s">
        <v>7780</v>
      </c>
      <c r="B142" s="15" t="s">
        <v>5</v>
      </c>
      <c r="C142" s="10" t="s">
        <v>7781</v>
      </c>
      <c r="D142" s="16" t="s">
        <v>935</v>
      </c>
      <c r="E142" s="15" t="s">
        <v>11198</v>
      </c>
      <c r="F142" s="16" t="str">
        <f>VLOOKUP(Table8[[#This Row],[Mã khách hàng]],code_khach_hang[],2,0)</f>
        <v>CHI NHÁNH HẢI PHÒNG - CÔNG TY CỔ PHẦN DỊCH VỤ THƯƠNG MẠI TỔNG HỢP WINCOMMERCE</v>
      </c>
      <c r="G142" s="16" t="str">
        <f>VLOOKUP(Table8[[#This Row],[Mã khách hàng]],code_khach_hang[],3,0)</f>
        <v>Miền Bắc đặc biệt 3</v>
      </c>
      <c r="H142" t="str">
        <f>VLOOKUP(Table8[[#This Row],[Mã khách hàng]],'Khách hàng'!A:D,4,0)</f>
        <v>Food Đức Việt</v>
      </c>
      <c r="I142" t="str">
        <f>VLOOKUP(Table8[[#This Row],[Mã khách hàng]],'Khách hàng'!A:E,5,0)</f>
        <v>HN0040</v>
      </c>
    </row>
    <row r="143" spans="1:9">
      <c r="A143" s="14" t="s">
        <v>7852</v>
      </c>
      <c r="B143" s="15" t="s">
        <v>5</v>
      </c>
      <c r="C143" s="10" t="s">
        <v>7853</v>
      </c>
      <c r="D143" s="16" t="s">
        <v>938</v>
      </c>
      <c r="E143" s="15" t="s">
        <v>11198</v>
      </c>
      <c r="F143" s="16" t="str">
        <f>VLOOKUP(Table8[[#This Row],[Mã khách hàng]],code_khach_hang[],2,0)</f>
        <v>CHI NHÁNH HẢI PHÒNG - CÔNG TY CỔ PHẦN DỊCH VỤ THƯƠNG MẠI TỔNG HỢP WINCOMMERCE</v>
      </c>
      <c r="G143" s="16" t="str">
        <f>VLOOKUP(Table8[[#This Row],[Mã khách hàng]],code_khach_hang[],3,0)</f>
        <v>Miền Bắc đặc biệt 3</v>
      </c>
      <c r="H143" t="str">
        <f>VLOOKUP(Table8[[#This Row],[Mã khách hàng]],'Khách hàng'!A:D,4,0)</f>
        <v>Food Đức Việt</v>
      </c>
      <c r="I143" t="str">
        <f>VLOOKUP(Table8[[#This Row],[Mã khách hàng]],'Khách hàng'!A:E,5,0)</f>
        <v>HN0040</v>
      </c>
    </row>
    <row r="144" spans="1:9">
      <c r="A144" s="14" t="s">
        <v>11080</v>
      </c>
      <c r="B144" s="15" t="s">
        <v>5</v>
      </c>
      <c r="C144" s="10" t="s">
        <v>13139</v>
      </c>
      <c r="D144" s="16" t="s">
        <v>941</v>
      </c>
      <c r="E144" s="15" t="s">
        <v>11198</v>
      </c>
      <c r="F144" s="16" t="str">
        <f>VLOOKUP(Table8[[#This Row],[Mã khách hàng]],code_khach_hang[],2,0)</f>
        <v>CHI NHÁNH HẢI PHÒNG - CÔNG TY CỔ PHẦN DỊCH VỤ THƯƠNG MẠI TỔNG HỢP WINCOMMERCE</v>
      </c>
      <c r="G144" s="16" t="str">
        <f>VLOOKUP(Table8[[#This Row],[Mã khách hàng]],code_khach_hang[],3,0)</f>
        <v>Miền Bắc đặc biệt 3</v>
      </c>
      <c r="H144" t="str">
        <f>VLOOKUP(Table8[[#This Row],[Mã khách hàng]],'Khách hàng'!A:D,4,0)</f>
        <v>Food Đức Việt</v>
      </c>
      <c r="I144" t="str">
        <f>VLOOKUP(Table8[[#This Row],[Mã khách hàng]],'Khách hàng'!A:E,5,0)</f>
        <v>HN0040</v>
      </c>
    </row>
    <row r="145" spans="1:9">
      <c r="A145" s="14" t="s">
        <v>4284</v>
      </c>
      <c r="B145" s="15" t="s">
        <v>5</v>
      </c>
      <c r="C145" s="10" t="s">
        <v>4285</v>
      </c>
      <c r="D145" s="16" t="s">
        <v>944</v>
      </c>
      <c r="E145" s="15" t="s">
        <v>11198</v>
      </c>
      <c r="F145" s="16" t="str">
        <f>VLOOKUP(Table8[[#This Row],[Mã khách hàng]],code_khach_hang[],2,0)</f>
        <v>CHI NHÁNH HẢI PHÒNG - CÔNG TY CỔ PHẦN DỊCH VỤ THƯƠNG MẠI TỔNG HỢP WINCOMMERCE</v>
      </c>
      <c r="G145" s="16" t="str">
        <f>VLOOKUP(Table8[[#This Row],[Mã khách hàng]],code_khach_hang[],3,0)</f>
        <v>Miền Bắc đặc biệt 3</v>
      </c>
      <c r="H145" t="str">
        <f>VLOOKUP(Table8[[#This Row],[Mã khách hàng]],'Khách hàng'!A:D,4,0)</f>
        <v>Food Đức Việt</v>
      </c>
      <c r="I145" t="str">
        <f>VLOOKUP(Table8[[#This Row],[Mã khách hàng]],'Khách hàng'!A:E,5,0)</f>
        <v>HN0040</v>
      </c>
    </row>
    <row r="146" spans="1:9">
      <c r="A146" s="14" t="s">
        <v>11081</v>
      </c>
      <c r="B146" s="15" t="s">
        <v>5</v>
      </c>
      <c r="C146" s="10" t="e">
        <v>#N/A</v>
      </c>
      <c r="D146" s="16" t="s">
        <v>947</v>
      </c>
      <c r="E146" s="15" t="s">
        <v>11198</v>
      </c>
      <c r="F146" s="16" t="str">
        <f>VLOOKUP(Table8[[#This Row],[Mã khách hàng]],code_khach_hang[],2,0)</f>
        <v>CHI NHÁNH HẢI PHÒNG - CÔNG TY CỔ PHẦN DỊCH VỤ THƯƠNG MẠI TỔNG HỢP WINCOMMERCE</v>
      </c>
      <c r="G146" s="16" t="str">
        <f>VLOOKUP(Table8[[#This Row],[Mã khách hàng]],code_khach_hang[],3,0)</f>
        <v>Miền Bắc đặc biệt 3</v>
      </c>
      <c r="H146" t="str">
        <f>VLOOKUP(Table8[[#This Row],[Mã khách hàng]],'Khách hàng'!A:D,4,0)</f>
        <v>Food Đức Việt</v>
      </c>
      <c r="I146" t="str">
        <f>VLOOKUP(Table8[[#This Row],[Mã khách hàng]],'Khách hàng'!A:E,5,0)</f>
        <v>HN0040</v>
      </c>
    </row>
    <row r="147" spans="1:9">
      <c r="A147" s="14" t="s">
        <v>4833</v>
      </c>
      <c r="B147" s="15" t="s">
        <v>5</v>
      </c>
      <c r="C147" s="10" t="s">
        <v>4834</v>
      </c>
      <c r="D147" s="16" t="s">
        <v>950</v>
      </c>
      <c r="E147" s="15" t="s">
        <v>11198</v>
      </c>
      <c r="F147" s="16" t="str">
        <f>VLOOKUP(Table8[[#This Row],[Mã khách hàng]],code_khach_hang[],2,0)</f>
        <v>CHI NHÁNH HẢI PHÒNG - CÔNG TY CỔ PHẦN DỊCH VỤ THƯƠNG MẠI TỔNG HỢP WINCOMMERCE</v>
      </c>
      <c r="G147" s="16" t="str">
        <f>VLOOKUP(Table8[[#This Row],[Mã khách hàng]],code_khach_hang[],3,0)</f>
        <v>Miền Bắc đặc biệt 3</v>
      </c>
      <c r="H147" t="str">
        <f>VLOOKUP(Table8[[#This Row],[Mã khách hàng]],'Khách hàng'!A:D,4,0)</f>
        <v>Food Đức Việt</v>
      </c>
      <c r="I147" t="str">
        <f>VLOOKUP(Table8[[#This Row],[Mã khách hàng]],'Khách hàng'!A:E,5,0)</f>
        <v>HN0040</v>
      </c>
    </row>
    <row r="148" spans="1:9">
      <c r="A148" s="14" t="s">
        <v>6175</v>
      </c>
      <c r="B148" s="15" t="s">
        <v>5</v>
      </c>
      <c r="C148" s="10" t="s">
        <v>6176</v>
      </c>
      <c r="D148" s="16" t="s">
        <v>953</v>
      </c>
      <c r="E148" s="15" t="s">
        <v>11198</v>
      </c>
      <c r="F148" s="16" t="str">
        <f>VLOOKUP(Table8[[#This Row],[Mã khách hàng]],code_khach_hang[],2,0)</f>
        <v>CHI NHÁNH HẢI PHÒNG - CÔNG TY CỔ PHẦN DỊCH VỤ THƯƠNG MẠI TỔNG HỢP WINCOMMERCE</v>
      </c>
      <c r="G148" s="16" t="str">
        <f>VLOOKUP(Table8[[#This Row],[Mã khách hàng]],code_khach_hang[],3,0)</f>
        <v>Miền Bắc đặc biệt 3</v>
      </c>
      <c r="H148" t="str">
        <f>VLOOKUP(Table8[[#This Row],[Mã khách hàng]],'Khách hàng'!A:D,4,0)</f>
        <v>Food Đức Việt</v>
      </c>
      <c r="I148" t="str">
        <f>VLOOKUP(Table8[[#This Row],[Mã khách hàng]],'Khách hàng'!A:E,5,0)</f>
        <v>HN0040</v>
      </c>
    </row>
    <row r="149" spans="1:9">
      <c r="A149" s="14" t="s">
        <v>6381</v>
      </c>
      <c r="B149" s="15" t="s">
        <v>5</v>
      </c>
      <c r="C149" s="10" t="s">
        <v>6382</v>
      </c>
      <c r="D149" s="16" t="s">
        <v>956</v>
      </c>
      <c r="E149" s="15" t="s">
        <v>11198</v>
      </c>
      <c r="F149" s="16" t="str">
        <f>VLOOKUP(Table8[[#This Row],[Mã khách hàng]],code_khach_hang[],2,0)</f>
        <v>CHI NHÁNH HẢI PHÒNG - CÔNG TY CỔ PHẦN DỊCH VỤ THƯƠNG MẠI TỔNG HỢP WINCOMMERCE</v>
      </c>
      <c r="G149" s="16" t="str">
        <f>VLOOKUP(Table8[[#This Row],[Mã khách hàng]],code_khach_hang[],3,0)</f>
        <v>Miền Bắc đặc biệt 3</v>
      </c>
      <c r="H149" t="str">
        <f>VLOOKUP(Table8[[#This Row],[Mã khách hàng]],'Khách hàng'!A:D,4,0)</f>
        <v>Food Đức Việt</v>
      </c>
      <c r="I149" t="str">
        <f>VLOOKUP(Table8[[#This Row],[Mã khách hàng]],'Khách hàng'!A:E,5,0)</f>
        <v>HN0040</v>
      </c>
    </row>
    <row r="150" spans="1:9">
      <c r="A150" s="14" t="s">
        <v>7721</v>
      </c>
      <c r="B150" s="15" t="s">
        <v>5</v>
      </c>
      <c r="C150" s="10" t="s">
        <v>7722</v>
      </c>
      <c r="D150" s="16" t="s">
        <v>959</v>
      </c>
      <c r="E150" s="15" t="s">
        <v>11198</v>
      </c>
      <c r="F150" s="16" t="str">
        <f>VLOOKUP(Table8[[#This Row],[Mã khách hàng]],code_khach_hang[],2,0)</f>
        <v>CHI NHÁNH HẢI PHÒNG - CÔNG TY CỔ PHẦN DỊCH VỤ THƯƠNG MẠI TỔNG HỢP WINCOMMERCE</v>
      </c>
      <c r="G150" s="16" t="str">
        <f>VLOOKUP(Table8[[#This Row],[Mã khách hàng]],code_khach_hang[],3,0)</f>
        <v>Miền Bắc đặc biệt 3</v>
      </c>
      <c r="H150" t="str">
        <f>VLOOKUP(Table8[[#This Row],[Mã khách hàng]],'Khách hàng'!A:D,4,0)</f>
        <v>Food Đức Việt</v>
      </c>
      <c r="I150" t="str">
        <f>VLOOKUP(Table8[[#This Row],[Mã khách hàng]],'Khách hàng'!A:E,5,0)</f>
        <v>HN0040</v>
      </c>
    </row>
    <row r="151" spans="1:9">
      <c r="A151" s="14" t="s">
        <v>8136</v>
      </c>
      <c r="B151" s="15" t="s">
        <v>5</v>
      </c>
      <c r="C151" s="10" t="s">
        <v>8137</v>
      </c>
      <c r="D151" s="16" t="s">
        <v>962</v>
      </c>
      <c r="E151" s="15" t="s">
        <v>11198</v>
      </c>
      <c r="F151" s="16" t="str">
        <f>VLOOKUP(Table8[[#This Row],[Mã khách hàng]],code_khach_hang[],2,0)</f>
        <v>CHI NHÁNH HẢI PHÒNG - CÔNG TY CỔ PHẦN DỊCH VỤ THƯƠNG MẠI TỔNG HỢP WINCOMMERCE</v>
      </c>
      <c r="G151" s="16" t="str">
        <f>VLOOKUP(Table8[[#This Row],[Mã khách hàng]],code_khach_hang[],3,0)</f>
        <v>Miền Bắc đặc biệt 3</v>
      </c>
      <c r="H151" t="str">
        <f>VLOOKUP(Table8[[#This Row],[Mã khách hàng]],'Khách hàng'!A:D,4,0)</f>
        <v>Food Đức Việt</v>
      </c>
      <c r="I151" t="str">
        <f>VLOOKUP(Table8[[#This Row],[Mã khách hàng]],'Khách hàng'!A:E,5,0)</f>
        <v>HN0040</v>
      </c>
    </row>
    <row r="152" spans="1:9">
      <c r="A152" s="14" t="s">
        <v>1325</v>
      </c>
      <c r="B152" s="15" t="s">
        <v>5</v>
      </c>
      <c r="C152" s="10" t="s">
        <v>1326</v>
      </c>
      <c r="D152" s="16" t="s">
        <v>965</v>
      </c>
      <c r="E152" s="15" t="s">
        <v>11198</v>
      </c>
      <c r="F152" s="16" t="str">
        <f>VLOOKUP(Table8[[#This Row],[Mã khách hàng]],code_khach_hang[],2,0)</f>
        <v>CHI NHÁNH HẢI PHÒNG - CÔNG TY CỔ PHẦN DỊCH VỤ THƯƠNG MẠI TỔNG HỢP WINCOMMERCE</v>
      </c>
      <c r="G152" s="16" t="str">
        <f>VLOOKUP(Table8[[#This Row],[Mã khách hàng]],code_khach_hang[],3,0)</f>
        <v>Miền Bắc đặc biệt 3</v>
      </c>
      <c r="H152" t="str">
        <f>VLOOKUP(Table8[[#This Row],[Mã khách hàng]],'Khách hàng'!A:D,4,0)</f>
        <v>Food Đức Việt</v>
      </c>
      <c r="I152" t="str">
        <f>VLOOKUP(Table8[[#This Row],[Mã khách hàng]],'Khách hàng'!A:E,5,0)</f>
        <v>HN0040</v>
      </c>
    </row>
    <row r="153" spans="1:9">
      <c r="A153" s="14" t="s">
        <v>4632</v>
      </c>
      <c r="B153" s="15" t="s">
        <v>5</v>
      </c>
      <c r="C153" s="10" t="s">
        <v>4633</v>
      </c>
      <c r="D153" s="16" t="s">
        <v>968</v>
      </c>
      <c r="E153" s="15" t="s">
        <v>11198</v>
      </c>
      <c r="F153" s="16" t="str">
        <f>VLOOKUP(Table8[[#This Row],[Mã khách hàng]],code_khach_hang[],2,0)</f>
        <v>CHI NHÁNH HẢI PHÒNG - CÔNG TY CỔ PHẦN DỊCH VỤ THƯƠNG MẠI TỔNG HỢP WINCOMMERCE</v>
      </c>
      <c r="G153" s="16" t="str">
        <f>VLOOKUP(Table8[[#This Row],[Mã khách hàng]],code_khach_hang[],3,0)</f>
        <v>Miền Bắc đặc biệt 3</v>
      </c>
      <c r="H153" t="str">
        <f>VLOOKUP(Table8[[#This Row],[Mã khách hàng]],'Khách hàng'!A:D,4,0)</f>
        <v>Food Đức Việt</v>
      </c>
      <c r="I153" t="str">
        <f>VLOOKUP(Table8[[#This Row],[Mã khách hàng]],'Khách hàng'!A:E,5,0)</f>
        <v>HN0040</v>
      </c>
    </row>
    <row r="154" spans="1:9">
      <c r="A154" s="14" t="s">
        <v>4932</v>
      </c>
      <c r="B154" s="15" t="s">
        <v>5</v>
      </c>
      <c r="C154" s="10" t="s">
        <v>4933</v>
      </c>
      <c r="D154" s="16" t="s">
        <v>971</v>
      </c>
      <c r="E154" s="15" t="s">
        <v>11198</v>
      </c>
      <c r="F154" s="16" t="str">
        <f>VLOOKUP(Table8[[#This Row],[Mã khách hàng]],code_khach_hang[],2,0)</f>
        <v>CHI NHÁNH HẢI PHÒNG - CÔNG TY CỔ PHẦN DỊCH VỤ THƯƠNG MẠI TỔNG HỢP WINCOMMERCE</v>
      </c>
      <c r="G154" s="16" t="str">
        <f>VLOOKUP(Table8[[#This Row],[Mã khách hàng]],code_khach_hang[],3,0)</f>
        <v>Miền Bắc đặc biệt 3</v>
      </c>
      <c r="H154" t="str">
        <f>VLOOKUP(Table8[[#This Row],[Mã khách hàng]],'Khách hàng'!A:D,4,0)</f>
        <v>Food Đức Việt</v>
      </c>
      <c r="I154" t="str">
        <f>VLOOKUP(Table8[[#This Row],[Mã khách hàng]],'Khách hàng'!A:E,5,0)</f>
        <v>HN0040</v>
      </c>
    </row>
    <row r="155" spans="1:9">
      <c r="A155" s="14" t="s">
        <v>5013</v>
      </c>
      <c r="B155" s="15" t="s">
        <v>5</v>
      </c>
      <c r="C155" s="10" t="s">
        <v>5014</v>
      </c>
      <c r="D155" s="16" t="s">
        <v>974</v>
      </c>
      <c r="E155" s="15" t="s">
        <v>11198</v>
      </c>
      <c r="F155" s="16" t="str">
        <f>VLOOKUP(Table8[[#This Row],[Mã khách hàng]],code_khach_hang[],2,0)</f>
        <v>CHI NHÁNH HẢI PHÒNG - CÔNG TY CỔ PHẦN DỊCH VỤ THƯƠNG MẠI TỔNG HỢP WINCOMMERCE</v>
      </c>
      <c r="G155" s="16" t="str">
        <f>VLOOKUP(Table8[[#This Row],[Mã khách hàng]],code_khach_hang[],3,0)</f>
        <v>Miền Bắc đặc biệt 3</v>
      </c>
      <c r="H155" t="str">
        <f>VLOOKUP(Table8[[#This Row],[Mã khách hàng]],'Khách hàng'!A:D,4,0)</f>
        <v>Food Đức Việt</v>
      </c>
      <c r="I155" t="str">
        <f>VLOOKUP(Table8[[#This Row],[Mã khách hàng]],'Khách hàng'!A:E,5,0)</f>
        <v>HN0040</v>
      </c>
    </row>
    <row r="156" spans="1:9">
      <c r="A156" s="14" t="s">
        <v>5526</v>
      </c>
      <c r="B156" s="15" t="s">
        <v>5</v>
      </c>
      <c r="C156" s="10" t="s">
        <v>5527</v>
      </c>
      <c r="D156" s="16" t="s">
        <v>977</v>
      </c>
      <c r="E156" s="15" t="s">
        <v>11198</v>
      </c>
      <c r="F156" s="16" t="str">
        <f>VLOOKUP(Table8[[#This Row],[Mã khách hàng]],code_khach_hang[],2,0)</f>
        <v>CHI NHÁNH HẢI PHÒNG - CÔNG TY CỔ PHẦN DỊCH VỤ THƯƠNG MẠI TỔNG HỢP WINCOMMERCE</v>
      </c>
      <c r="G156" s="16" t="str">
        <f>VLOOKUP(Table8[[#This Row],[Mã khách hàng]],code_khach_hang[],3,0)</f>
        <v>Miền Bắc đặc biệt 3</v>
      </c>
      <c r="H156" t="str">
        <f>VLOOKUP(Table8[[#This Row],[Mã khách hàng]],'Khách hàng'!A:D,4,0)</f>
        <v>Food Đức Việt</v>
      </c>
      <c r="I156" t="str">
        <f>VLOOKUP(Table8[[#This Row],[Mã khách hàng]],'Khách hàng'!A:E,5,0)</f>
        <v>HN0040</v>
      </c>
    </row>
    <row r="157" spans="1:9">
      <c r="A157" s="14" t="s">
        <v>5600</v>
      </c>
      <c r="B157" s="15" t="s">
        <v>5</v>
      </c>
      <c r="C157" s="10" t="s">
        <v>5601</v>
      </c>
      <c r="D157" s="16" t="s">
        <v>980</v>
      </c>
      <c r="E157" s="15" t="s">
        <v>11198</v>
      </c>
      <c r="F157" s="16" t="str">
        <f>VLOOKUP(Table8[[#This Row],[Mã khách hàng]],code_khach_hang[],2,0)</f>
        <v>CHI NHÁNH HẢI PHÒNG - CÔNG TY CỔ PHẦN DỊCH VỤ THƯƠNG MẠI TỔNG HỢP WINCOMMERCE</v>
      </c>
      <c r="G157" s="16" t="str">
        <f>VLOOKUP(Table8[[#This Row],[Mã khách hàng]],code_khach_hang[],3,0)</f>
        <v>Miền Bắc đặc biệt 3</v>
      </c>
      <c r="H157" t="str">
        <f>VLOOKUP(Table8[[#This Row],[Mã khách hàng]],'Khách hàng'!A:D,4,0)</f>
        <v>Food Đức Việt</v>
      </c>
      <c r="I157" t="str">
        <f>VLOOKUP(Table8[[#This Row],[Mã khách hàng]],'Khách hàng'!A:E,5,0)</f>
        <v>HN0040</v>
      </c>
    </row>
    <row r="158" spans="1:9">
      <c r="A158" s="14" t="s">
        <v>5762</v>
      </c>
      <c r="B158" s="15" t="s">
        <v>5</v>
      </c>
      <c r="C158" s="10" t="s">
        <v>5763</v>
      </c>
      <c r="D158" s="16" t="s">
        <v>983</v>
      </c>
      <c r="E158" s="15" t="s">
        <v>11198</v>
      </c>
      <c r="F158" s="16" t="str">
        <f>VLOOKUP(Table8[[#This Row],[Mã khách hàng]],code_khach_hang[],2,0)</f>
        <v>CHI NHÁNH HẢI PHÒNG - CÔNG TY CỔ PHẦN DỊCH VỤ THƯƠNG MẠI TỔNG HỢP WINCOMMERCE</v>
      </c>
      <c r="G158" s="16" t="str">
        <f>VLOOKUP(Table8[[#This Row],[Mã khách hàng]],code_khach_hang[],3,0)</f>
        <v>Miền Bắc đặc biệt 3</v>
      </c>
      <c r="H158" t="str">
        <f>VLOOKUP(Table8[[#This Row],[Mã khách hàng]],'Khách hàng'!A:D,4,0)</f>
        <v>Food Đức Việt</v>
      </c>
      <c r="I158" t="str">
        <f>VLOOKUP(Table8[[#This Row],[Mã khách hàng]],'Khách hàng'!A:E,5,0)</f>
        <v>HN0040</v>
      </c>
    </row>
    <row r="159" spans="1:9">
      <c r="A159" s="14" t="s">
        <v>6022</v>
      </c>
      <c r="B159" s="15" t="s">
        <v>5</v>
      </c>
      <c r="C159" s="10" t="s">
        <v>6023</v>
      </c>
      <c r="D159" s="16" t="s">
        <v>986</v>
      </c>
      <c r="E159" s="15" t="s">
        <v>11198</v>
      </c>
      <c r="F159" s="16" t="str">
        <f>VLOOKUP(Table8[[#This Row],[Mã khách hàng]],code_khach_hang[],2,0)</f>
        <v>CHI NHÁNH HẢI PHÒNG - CÔNG TY CỔ PHẦN DỊCH VỤ THƯƠNG MẠI TỔNG HỢP WINCOMMERCE</v>
      </c>
      <c r="G159" s="16" t="str">
        <f>VLOOKUP(Table8[[#This Row],[Mã khách hàng]],code_khach_hang[],3,0)</f>
        <v>Miền Bắc đặc biệt 3</v>
      </c>
      <c r="H159" t="str">
        <f>VLOOKUP(Table8[[#This Row],[Mã khách hàng]],'Khách hàng'!A:D,4,0)</f>
        <v>Food Đức Việt</v>
      </c>
      <c r="I159" t="str">
        <f>VLOOKUP(Table8[[#This Row],[Mã khách hàng]],'Khách hàng'!A:E,5,0)</f>
        <v>HN0040</v>
      </c>
    </row>
    <row r="160" spans="1:9">
      <c r="A160" s="14" t="s">
        <v>6127</v>
      </c>
      <c r="B160" s="15" t="s">
        <v>5</v>
      </c>
      <c r="C160" s="10" t="s">
        <v>6128</v>
      </c>
      <c r="D160" s="16" t="s">
        <v>989</v>
      </c>
      <c r="E160" s="15" t="s">
        <v>11198</v>
      </c>
      <c r="F160" s="16" t="str">
        <f>VLOOKUP(Table8[[#This Row],[Mã khách hàng]],code_khach_hang[],2,0)</f>
        <v>CHI NHÁNH HẢI PHÒNG - CÔNG TY CỔ PHẦN DỊCH VỤ THƯƠNG MẠI TỔNG HỢP WINCOMMERCE</v>
      </c>
      <c r="G160" s="16" t="str">
        <f>VLOOKUP(Table8[[#This Row],[Mã khách hàng]],code_khach_hang[],3,0)</f>
        <v>Miền Bắc đặc biệt 3</v>
      </c>
      <c r="H160" t="str">
        <f>VLOOKUP(Table8[[#This Row],[Mã khách hàng]],'Khách hàng'!A:D,4,0)</f>
        <v>Food Đức Việt</v>
      </c>
      <c r="I160" t="str">
        <f>VLOOKUP(Table8[[#This Row],[Mã khách hàng]],'Khách hàng'!A:E,5,0)</f>
        <v>HN0040</v>
      </c>
    </row>
    <row r="161" spans="1:9">
      <c r="A161" s="14" t="s">
        <v>6240</v>
      </c>
      <c r="B161" s="15" t="s">
        <v>5</v>
      </c>
      <c r="C161" s="10" t="s">
        <v>6241</v>
      </c>
      <c r="D161" s="16" t="s">
        <v>992</v>
      </c>
      <c r="E161" s="15" t="s">
        <v>11198</v>
      </c>
      <c r="F161" s="16" t="str">
        <f>VLOOKUP(Table8[[#This Row],[Mã khách hàng]],code_khach_hang[],2,0)</f>
        <v>CHI NHÁNH HẢI PHÒNG - CÔNG TY CỔ PHẦN DỊCH VỤ THƯƠNG MẠI TỔNG HỢP WINCOMMERCE</v>
      </c>
      <c r="G161" s="16" t="str">
        <f>VLOOKUP(Table8[[#This Row],[Mã khách hàng]],code_khach_hang[],3,0)</f>
        <v>Miền Bắc đặc biệt 3</v>
      </c>
      <c r="H161" t="str">
        <f>VLOOKUP(Table8[[#This Row],[Mã khách hàng]],'Khách hàng'!A:D,4,0)</f>
        <v>Food Đức Việt</v>
      </c>
      <c r="I161" t="str">
        <f>VLOOKUP(Table8[[#This Row],[Mã khách hàng]],'Khách hàng'!A:E,5,0)</f>
        <v>HN0040</v>
      </c>
    </row>
    <row r="162" spans="1:9">
      <c r="A162" s="14" t="s">
        <v>7402</v>
      </c>
      <c r="B162" s="15" t="s">
        <v>5</v>
      </c>
      <c r="C162" s="10" t="s">
        <v>7403</v>
      </c>
      <c r="D162" s="16" t="s">
        <v>995</v>
      </c>
      <c r="E162" s="15" t="s">
        <v>11198</v>
      </c>
      <c r="F162" s="16" t="str">
        <f>VLOOKUP(Table8[[#This Row],[Mã khách hàng]],code_khach_hang[],2,0)</f>
        <v>CHI NHÁNH HẢI PHÒNG - CÔNG TY CỔ PHẦN DỊCH VỤ THƯƠNG MẠI TỔNG HỢP WINCOMMERCE</v>
      </c>
      <c r="G162" s="16" t="str">
        <f>VLOOKUP(Table8[[#This Row],[Mã khách hàng]],code_khach_hang[],3,0)</f>
        <v>Miền Bắc đặc biệt 3</v>
      </c>
      <c r="H162" t="str">
        <f>VLOOKUP(Table8[[#This Row],[Mã khách hàng]],'Khách hàng'!A:D,4,0)</f>
        <v>Food Đức Việt</v>
      </c>
      <c r="I162" t="str">
        <f>VLOOKUP(Table8[[#This Row],[Mã khách hàng]],'Khách hàng'!A:E,5,0)</f>
        <v>HN0040</v>
      </c>
    </row>
    <row r="163" spans="1:9">
      <c r="A163" s="14" t="s">
        <v>1320</v>
      </c>
      <c r="B163" s="15" t="s">
        <v>5</v>
      </c>
      <c r="C163" s="10" t="s">
        <v>1321</v>
      </c>
      <c r="D163" s="16" t="s">
        <v>998</v>
      </c>
      <c r="E163" s="15" t="s">
        <v>11198</v>
      </c>
      <c r="F163" s="16" t="str">
        <f>VLOOKUP(Table8[[#This Row],[Mã khách hàng]],code_khach_hang[],2,0)</f>
        <v>CHI NHÁNH HẢI PHÒNG - CÔNG TY CỔ PHẦN DỊCH VỤ THƯƠNG MẠI TỔNG HỢP WINCOMMERCE</v>
      </c>
      <c r="G163" s="16" t="str">
        <f>VLOOKUP(Table8[[#This Row],[Mã khách hàng]],code_khach_hang[],3,0)</f>
        <v>Miền Bắc đặc biệt 3</v>
      </c>
      <c r="H163" t="str">
        <f>VLOOKUP(Table8[[#This Row],[Mã khách hàng]],'Khách hàng'!A:D,4,0)</f>
        <v>Food Đức Việt</v>
      </c>
      <c r="I163" t="str">
        <f>VLOOKUP(Table8[[#This Row],[Mã khách hàng]],'Khách hàng'!A:E,5,0)</f>
        <v>HN0040</v>
      </c>
    </row>
    <row r="164" spans="1:9">
      <c r="A164" s="14" t="s">
        <v>9300</v>
      </c>
      <c r="B164" s="15" t="s">
        <v>5</v>
      </c>
      <c r="C164" s="10" t="s">
        <v>9301</v>
      </c>
      <c r="D164" s="16" t="s">
        <v>1001</v>
      </c>
      <c r="E164" s="15" t="s">
        <v>11198</v>
      </c>
      <c r="F164" s="16" t="str">
        <f>VLOOKUP(Table8[[#This Row],[Mã khách hàng]],code_khach_hang[],2,0)</f>
        <v>CHI NHÁNH HẢI PHÒNG - CÔNG TY CỔ PHẦN DỊCH VỤ THƯƠNG MẠI TỔNG HỢP WINCOMMERCE</v>
      </c>
      <c r="G164" s="16" t="str">
        <f>VLOOKUP(Table8[[#This Row],[Mã khách hàng]],code_khach_hang[],3,0)</f>
        <v>Miền Bắc đặc biệt 3</v>
      </c>
      <c r="H164" t="str">
        <f>VLOOKUP(Table8[[#This Row],[Mã khách hàng]],'Khách hàng'!A:D,4,0)</f>
        <v>Food Đức Việt</v>
      </c>
      <c r="I164" t="str">
        <f>VLOOKUP(Table8[[#This Row],[Mã khách hàng]],'Khách hàng'!A:E,5,0)</f>
        <v>HN0040</v>
      </c>
    </row>
    <row r="165" spans="1:9">
      <c r="A165" s="14" t="s">
        <v>1334</v>
      </c>
      <c r="B165" s="15" t="s">
        <v>5</v>
      </c>
      <c r="C165" s="10" t="s">
        <v>1335</v>
      </c>
      <c r="D165" s="16" t="s">
        <v>1004</v>
      </c>
      <c r="E165" s="15" t="s">
        <v>11198</v>
      </c>
      <c r="F165" s="16" t="str">
        <f>VLOOKUP(Table8[[#This Row],[Mã khách hàng]],code_khach_hang[],2,0)</f>
        <v>CHI NHÁNH HẢI PHÒNG - CÔNG TY CỔ PHẦN DỊCH VỤ THƯƠNG MẠI TỔNG HỢP WINCOMMERCE</v>
      </c>
      <c r="G165" s="16" t="str">
        <f>VLOOKUP(Table8[[#This Row],[Mã khách hàng]],code_khach_hang[],3,0)</f>
        <v>Miền Bắc đặc biệt 3</v>
      </c>
      <c r="H165" t="str">
        <f>VLOOKUP(Table8[[#This Row],[Mã khách hàng]],'Khách hàng'!A:D,4,0)</f>
        <v>Food Đức Việt</v>
      </c>
      <c r="I165" t="str">
        <f>VLOOKUP(Table8[[#This Row],[Mã khách hàng]],'Khách hàng'!A:E,5,0)</f>
        <v>HN0040</v>
      </c>
    </row>
    <row r="166" spans="1:9">
      <c r="A166" s="14" t="s">
        <v>4143</v>
      </c>
      <c r="B166" s="15" t="s">
        <v>5</v>
      </c>
      <c r="C166" s="10" t="s">
        <v>4144</v>
      </c>
      <c r="D166" s="16" t="s">
        <v>1007</v>
      </c>
      <c r="E166" s="15" t="s">
        <v>11198</v>
      </c>
      <c r="F166" s="16" t="str">
        <f>VLOOKUP(Table8[[#This Row],[Mã khách hàng]],code_khach_hang[],2,0)</f>
        <v>CHI NHÁNH HẢI PHÒNG - CÔNG TY CỔ PHẦN DỊCH VỤ THƯƠNG MẠI TỔNG HỢP WINCOMMERCE</v>
      </c>
      <c r="G166" s="16" t="str">
        <f>VLOOKUP(Table8[[#This Row],[Mã khách hàng]],code_khach_hang[],3,0)</f>
        <v>Miền Bắc đặc biệt 3</v>
      </c>
      <c r="H166" t="str">
        <f>VLOOKUP(Table8[[#This Row],[Mã khách hàng]],'Khách hàng'!A:D,4,0)</f>
        <v>Food Đức Việt</v>
      </c>
      <c r="I166" t="str">
        <f>VLOOKUP(Table8[[#This Row],[Mã khách hàng]],'Khách hàng'!A:E,5,0)</f>
        <v>HN0040</v>
      </c>
    </row>
    <row r="167" spans="1:9">
      <c r="A167" s="14" t="s">
        <v>4167</v>
      </c>
      <c r="B167" s="15" t="s">
        <v>5</v>
      </c>
      <c r="C167" s="10" t="s">
        <v>4168</v>
      </c>
      <c r="D167" s="16" t="s">
        <v>1010</v>
      </c>
      <c r="E167" s="15" t="s">
        <v>11198</v>
      </c>
      <c r="F167" s="16" t="str">
        <f>VLOOKUP(Table8[[#This Row],[Mã khách hàng]],code_khach_hang[],2,0)</f>
        <v>CHI NHÁNH HẢI PHÒNG - CÔNG TY CỔ PHẦN DỊCH VỤ THƯƠNG MẠI TỔNG HỢP WINCOMMERCE</v>
      </c>
      <c r="G167" s="16" t="str">
        <f>VLOOKUP(Table8[[#This Row],[Mã khách hàng]],code_khach_hang[],3,0)</f>
        <v>Miền Bắc đặc biệt 3</v>
      </c>
      <c r="H167" t="str">
        <f>VLOOKUP(Table8[[#This Row],[Mã khách hàng]],'Khách hàng'!A:D,4,0)</f>
        <v>Food Đức Việt</v>
      </c>
      <c r="I167" t="str">
        <f>VLOOKUP(Table8[[#This Row],[Mã khách hàng]],'Khách hàng'!A:E,5,0)</f>
        <v>HN0040</v>
      </c>
    </row>
    <row r="168" spans="1:9">
      <c r="A168" s="14" t="s">
        <v>4170</v>
      </c>
      <c r="B168" s="15" t="s">
        <v>5</v>
      </c>
      <c r="C168" s="10" t="s">
        <v>4171</v>
      </c>
      <c r="D168" s="16" t="s">
        <v>1013</v>
      </c>
      <c r="E168" s="15" t="s">
        <v>11198</v>
      </c>
      <c r="F168" s="16" t="str">
        <f>VLOOKUP(Table8[[#This Row],[Mã khách hàng]],code_khach_hang[],2,0)</f>
        <v>CHI NHÁNH HẢI PHÒNG - CÔNG TY CỔ PHẦN DỊCH VỤ THƯƠNG MẠI TỔNG HỢP WINCOMMERCE</v>
      </c>
      <c r="G168" s="16" t="str">
        <f>VLOOKUP(Table8[[#This Row],[Mã khách hàng]],code_khach_hang[],3,0)</f>
        <v>Miền Bắc đặc biệt 3</v>
      </c>
      <c r="H168" t="str">
        <f>VLOOKUP(Table8[[#This Row],[Mã khách hàng]],'Khách hàng'!A:D,4,0)</f>
        <v>Food Đức Việt</v>
      </c>
      <c r="I168" t="str">
        <f>VLOOKUP(Table8[[#This Row],[Mã khách hàng]],'Khách hàng'!A:E,5,0)</f>
        <v>HN0040</v>
      </c>
    </row>
    <row r="169" spans="1:9">
      <c r="A169" s="14" t="s">
        <v>4245</v>
      </c>
      <c r="B169" s="15" t="s">
        <v>5</v>
      </c>
      <c r="C169" s="10" t="s">
        <v>4246</v>
      </c>
      <c r="D169" s="16" t="s">
        <v>1016</v>
      </c>
      <c r="E169" s="15" t="s">
        <v>11198</v>
      </c>
      <c r="F169" s="16" t="str">
        <f>VLOOKUP(Table8[[#This Row],[Mã khách hàng]],code_khach_hang[],2,0)</f>
        <v>CHI NHÁNH HẢI PHÒNG - CÔNG TY CỔ PHẦN DỊCH VỤ THƯƠNG MẠI TỔNG HỢP WINCOMMERCE</v>
      </c>
      <c r="G169" s="16" t="str">
        <f>VLOOKUP(Table8[[#This Row],[Mã khách hàng]],code_khach_hang[],3,0)</f>
        <v>Miền Bắc đặc biệt 3</v>
      </c>
      <c r="H169" t="str">
        <f>VLOOKUP(Table8[[#This Row],[Mã khách hàng]],'Khách hàng'!A:D,4,0)</f>
        <v>Food Đức Việt</v>
      </c>
      <c r="I169" t="str">
        <f>VLOOKUP(Table8[[#This Row],[Mã khách hàng]],'Khách hàng'!A:E,5,0)</f>
        <v>HN0040</v>
      </c>
    </row>
    <row r="170" spans="1:9">
      <c r="A170" s="14" t="s">
        <v>4287</v>
      </c>
      <c r="B170" s="15" t="s">
        <v>5</v>
      </c>
      <c r="C170" s="10" t="s">
        <v>4288</v>
      </c>
      <c r="D170" s="16" t="s">
        <v>1019</v>
      </c>
      <c r="E170" s="15" t="s">
        <v>11198</v>
      </c>
      <c r="F170" s="16" t="str">
        <f>VLOOKUP(Table8[[#This Row],[Mã khách hàng]],code_khach_hang[],2,0)</f>
        <v>CHI NHÁNH HẢI PHÒNG - CÔNG TY CỔ PHẦN DỊCH VỤ THƯƠNG MẠI TỔNG HỢP WINCOMMERCE</v>
      </c>
      <c r="G170" s="16" t="str">
        <f>VLOOKUP(Table8[[#This Row],[Mã khách hàng]],code_khach_hang[],3,0)</f>
        <v>Miền Bắc đặc biệt 3</v>
      </c>
      <c r="H170" t="str">
        <f>VLOOKUP(Table8[[#This Row],[Mã khách hàng]],'Khách hàng'!A:D,4,0)</f>
        <v>Food Đức Việt</v>
      </c>
      <c r="I170" t="str">
        <f>VLOOKUP(Table8[[#This Row],[Mã khách hàng]],'Khách hàng'!A:E,5,0)</f>
        <v>HN0040</v>
      </c>
    </row>
    <row r="171" spans="1:9">
      <c r="A171" s="14" t="s">
        <v>4332</v>
      </c>
      <c r="B171" s="15" t="s">
        <v>5</v>
      </c>
      <c r="C171" s="10" t="s">
        <v>4333</v>
      </c>
      <c r="D171" s="16" t="s">
        <v>1022</v>
      </c>
      <c r="E171" s="15" t="s">
        <v>11198</v>
      </c>
      <c r="F171" s="16" t="str">
        <f>VLOOKUP(Table8[[#This Row],[Mã khách hàng]],code_khach_hang[],2,0)</f>
        <v>CHI NHÁNH HẢI PHÒNG - CÔNG TY CỔ PHẦN DỊCH VỤ THƯƠNG MẠI TỔNG HỢP WINCOMMERCE</v>
      </c>
      <c r="G171" s="16" t="str">
        <f>VLOOKUP(Table8[[#This Row],[Mã khách hàng]],code_khach_hang[],3,0)</f>
        <v>Miền Bắc đặc biệt 3</v>
      </c>
      <c r="H171" t="str">
        <f>VLOOKUP(Table8[[#This Row],[Mã khách hàng]],'Khách hàng'!A:D,4,0)</f>
        <v>Food Đức Việt</v>
      </c>
      <c r="I171" t="str">
        <f>VLOOKUP(Table8[[#This Row],[Mã khách hàng]],'Khách hàng'!A:E,5,0)</f>
        <v>HN0040</v>
      </c>
    </row>
    <row r="172" spans="1:9">
      <c r="A172" s="14" t="s">
        <v>4362</v>
      </c>
      <c r="B172" s="15" t="s">
        <v>5</v>
      </c>
      <c r="C172" s="10" t="s">
        <v>4363</v>
      </c>
      <c r="D172" s="16" t="s">
        <v>1025</v>
      </c>
      <c r="E172" s="15" t="s">
        <v>11198</v>
      </c>
      <c r="F172" s="16" t="str">
        <f>VLOOKUP(Table8[[#This Row],[Mã khách hàng]],code_khach_hang[],2,0)</f>
        <v>CHI NHÁNH HẢI PHÒNG - CÔNG TY CỔ PHẦN DỊCH VỤ THƯƠNG MẠI TỔNG HỢP WINCOMMERCE</v>
      </c>
      <c r="G172" s="16" t="str">
        <f>VLOOKUP(Table8[[#This Row],[Mã khách hàng]],code_khach_hang[],3,0)</f>
        <v>Miền Bắc đặc biệt 3</v>
      </c>
      <c r="H172" t="str">
        <f>VLOOKUP(Table8[[#This Row],[Mã khách hàng]],'Khách hàng'!A:D,4,0)</f>
        <v>Food Đức Việt</v>
      </c>
      <c r="I172" t="str">
        <f>VLOOKUP(Table8[[#This Row],[Mã khách hàng]],'Khách hàng'!A:E,5,0)</f>
        <v>HN0040</v>
      </c>
    </row>
    <row r="173" spans="1:9">
      <c r="A173" s="14" t="s">
        <v>4674</v>
      </c>
      <c r="B173" s="15" t="s">
        <v>5</v>
      </c>
      <c r="C173" s="10" t="s">
        <v>4675</v>
      </c>
      <c r="D173" s="16" t="s">
        <v>1028</v>
      </c>
      <c r="E173" s="15" t="s">
        <v>11198</v>
      </c>
      <c r="F173" s="16" t="str">
        <f>VLOOKUP(Table8[[#This Row],[Mã khách hàng]],code_khach_hang[],2,0)</f>
        <v>CHI NHÁNH HẢI PHÒNG - CÔNG TY CỔ PHẦN DỊCH VỤ THƯƠNG MẠI TỔNG HỢP WINCOMMERCE</v>
      </c>
      <c r="G173" s="16" t="str">
        <f>VLOOKUP(Table8[[#This Row],[Mã khách hàng]],code_khach_hang[],3,0)</f>
        <v>Miền Bắc đặc biệt 3</v>
      </c>
      <c r="H173" t="str">
        <f>VLOOKUP(Table8[[#This Row],[Mã khách hàng]],'Khách hàng'!A:D,4,0)</f>
        <v>Food Đức Việt</v>
      </c>
      <c r="I173" t="str">
        <f>VLOOKUP(Table8[[#This Row],[Mã khách hàng]],'Khách hàng'!A:E,5,0)</f>
        <v>HN0040</v>
      </c>
    </row>
    <row r="174" spans="1:9">
      <c r="A174" s="14" t="s">
        <v>4692</v>
      </c>
      <c r="B174" s="15" t="s">
        <v>5</v>
      </c>
      <c r="C174" s="10" t="s">
        <v>4693</v>
      </c>
      <c r="D174" s="16" t="s">
        <v>1031</v>
      </c>
      <c r="E174" s="15" t="s">
        <v>11198</v>
      </c>
      <c r="F174" s="16" t="str">
        <f>VLOOKUP(Table8[[#This Row],[Mã khách hàng]],code_khach_hang[],2,0)</f>
        <v>CHI NHÁNH HẢI PHÒNG - CÔNG TY CỔ PHẦN DỊCH VỤ THƯƠNG MẠI TỔNG HỢP WINCOMMERCE</v>
      </c>
      <c r="G174" s="16" t="str">
        <f>VLOOKUP(Table8[[#This Row],[Mã khách hàng]],code_khach_hang[],3,0)</f>
        <v>Miền Bắc đặc biệt 3</v>
      </c>
      <c r="H174" t="str">
        <f>VLOOKUP(Table8[[#This Row],[Mã khách hàng]],'Khách hàng'!A:D,4,0)</f>
        <v>Food Đức Việt</v>
      </c>
      <c r="I174" t="str">
        <f>VLOOKUP(Table8[[#This Row],[Mã khách hàng]],'Khách hàng'!A:E,5,0)</f>
        <v>HN0040</v>
      </c>
    </row>
    <row r="175" spans="1:9">
      <c r="A175" s="14" t="s">
        <v>11082</v>
      </c>
      <c r="B175" s="15" t="s">
        <v>5</v>
      </c>
      <c r="C175" s="10" t="e">
        <v>#N/A</v>
      </c>
      <c r="D175" s="16" t="s">
        <v>1034</v>
      </c>
      <c r="E175" s="15" t="s">
        <v>11198</v>
      </c>
      <c r="F175" s="16" t="str">
        <f>VLOOKUP(Table8[[#This Row],[Mã khách hàng]],code_khach_hang[],2,0)</f>
        <v>CHI NHÁNH HẢI PHÒNG - CÔNG TY CỔ PHẦN DỊCH VỤ THƯƠNG MẠI TỔNG HỢP WINCOMMERCE</v>
      </c>
      <c r="G175" s="16" t="str">
        <f>VLOOKUP(Table8[[#This Row],[Mã khách hàng]],code_khach_hang[],3,0)</f>
        <v>Miền Bắc đặc biệt 3</v>
      </c>
      <c r="H175" t="str">
        <f>VLOOKUP(Table8[[#This Row],[Mã khách hàng]],'Khách hàng'!A:D,4,0)</f>
        <v>Food Đức Việt</v>
      </c>
      <c r="I175" t="str">
        <f>VLOOKUP(Table8[[#This Row],[Mã khách hàng]],'Khách hàng'!A:E,5,0)</f>
        <v>HN0040</v>
      </c>
    </row>
    <row r="176" spans="1:9">
      <c r="A176" s="14" t="s">
        <v>5043</v>
      </c>
      <c r="B176" s="15" t="s">
        <v>5</v>
      </c>
      <c r="C176" s="10" t="s">
        <v>5044</v>
      </c>
      <c r="D176" s="16" t="s">
        <v>1037</v>
      </c>
      <c r="E176" s="15" t="s">
        <v>11198</v>
      </c>
      <c r="F176" s="16" t="str">
        <f>VLOOKUP(Table8[[#This Row],[Mã khách hàng]],code_khach_hang[],2,0)</f>
        <v>CHI NHÁNH HẢI PHÒNG - CÔNG TY CỔ PHẦN DỊCH VỤ THƯƠNG MẠI TỔNG HỢP WINCOMMERCE</v>
      </c>
      <c r="G176" s="16" t="str">
        <f>VLOOKUP(Table8[[#This Row],[Mã khách hàng]],code_khach_hang[],3,0)</f>
        <v>Miền Bắc đặc biệt 3</v>
      </c>
      <c r="H176" t="str">
        <f>VLOOKUP(Table8[[#This Row],[Mã khách hàng]],'Khách hàng'!A:D,4,0)</f>
        <v>Food Đức Việt</v>
      </c>
      <c r="I176" t="str">
        <f>VLOOKUP(Table8[[#This Row],[Mã khách hàng]],'Khách hàng'!A:E,5,0)</f>
        <v>HN0040</v>
      </c>
    </row>
    <row r="177" spans="1:9">
      <c r="A177" s="14" t="s">
        <v>11083</v>
      </c>
      <c r="B177" s="15" t="s">
        <v>5</v>
      </c>
      <c r="C177" s="10" t="e">
        <v>#N/A</v>
      </c>
      <c r="D177" s="16" t="s">
        <v>1040</v>
      </c>
      <c r="E177" s="15" t="s">
        <v>11198</v>
      </c>
      <c r="F177" s="16" t="str">
        <f>VLOOKUP(Table8[[#This Row],[Mã khách hàng]],code_khach_hang[],2,0)</f>
        <v>CHI NHÁNH HẢI PHÒNG - CÔNG TY CỔ PHẦN DỊCH VỤ THƯƠNG MẠI TỔNG HỢP WINCOMMERCE</v>
      </c>
      <c r="G177" s="16" t="str">
        <f>VLOOKUP(Table8[[#This Row],[Mã khách hàng]],code_khach_hang[],3,0)</f>
        <v>Miền Bắc đặc biệt 3</v>
      </c>
      <c r="H177" t="str">
        <f>VLOOKUP(Table8[[#This Row],[Mã khách hàng]],'Khách hàng'!A:D,4,0)</f>
        <v>Food Đức Việt</v>
      </c>
      <c r="I177" t="str">
        <f>VLOOKUP(Table8[[#This Row],[Mã khách hàng]],'Khách hàng'!A:E,5,0)</f>
        <v>HN0040</v>
      </c>
    </row>
    <row r="178" spans="1:9">
      <c r="A178" s="14" t="s">
        <v>5484</v>
      </c>
      <c r="B178" s="15" t="s">
        <v>5</v>
      </c>
      <c r="C178" s="10" t="s">
        <v>5485</v>
      </c>
      <c r="D178" s="16" t="s">
        <v>1043</v>
      </c>
      <c r="E178" s="15" t="s">
        <v>11198</v>
      </c>
      <c r="F178" s="16" t="str">
        <f>VLOOKUP(Table8[[#This Row],[Mã khách hàng]],code_khach_hang[],2,0)</f>
        <v>CHI NHÁNH HẢI PHÒNG - CÔNG TY CỔ PHẦN DỊCH VỤ THƯƠNG MẠI TỔNG HỢP WINCOMMERCE</v>
      </c>
      <c r="G178" s="16" t="str">
        <f>VLOOKUP(Table8[[#This Row],[Mã khách hàng]],code_khach_hang[],3,0)</f>
        <v>Miền Bắc đặc biệt 3</v>
      </c>
      <c r="H178" t="str">
        <f>VLOOKUP(Table8[[#This Row],[Mã khách hàng]],'Khách hàng'!A:D,4,0)</f>
        <v>Food Đức Việt</v>
      </c>
      <c r="I178" t="str">
        <f>VLOOKUP(Table8[[#This Row],[Mã khách hàng]],'Khách hàng'!A:E,5,0)</f>
        <v>HN0040</v>
      </c>
    </row>
    <row r="179" spans="1:9">
      <c r="A179" s="14" t="s">
        <v>5656</v>
      </c>
      <c r="B179" s="15" t="s">
        <v>5</v>
      </c>
      <c r="C179" s="10" t="s">
        <v>5657</v>
      </c>
      <c r="D179" s="16" t="s">
        <v>1046</v>
      </c>
      <c r="E179" s="15" t="s">
        <v>11198</v>
      </c>
      <c r="F179" s="16" t="str">
        <f>VLOOKUP(Table8[[#This Row],[Mã khách hàng]],code_khach_hang[],2,0)</f>
        <v>CHI NHÁNH HẢI PHÒNG - CÔNG TY CỔ PHẦN DỊCH VỤ THƯƠNG MẠI TỔNG HỢP WINCOMMERCE</v>
      </c>
      <c r="G179" s="16" t="str">
        <f>VLOOKUP(Table8[[#This Row],[Mã khách hàng]],code_khach_hang[],3,0)</f>
        <v>Miền Bắc đặc biệt 3</v>
      </c>
      <c r="H179" t="str">
        <f>VLOOKUP(Table8[[#This Row],[Mã khách hàng]],'Khách hàng'!A:D,4,0)</f>
        <v>Food Đức Việt</v>
      </c>
      <c r="I179" t="str">
        <f>VLOOKUP(Table8[[#This Row],[Mã khách hàng]],'Khách hàng'!A:E,5,0)</f>
        <v>HN0040</v>
      </c>
    </row>
    <row r="180" spans="1:9">
      <c r="A180" s="14" t="s">
        <v>5860</v>
      </c>
      <c r="B180" s="15" t="s">
        <v>5</v>
      </c>
      <c r="C180" s="10" t="s">
        <v>5861</v>
      </c>
      <c r="D180" s="16" t="s">
        <v>1049</v>
      </c>
      <c r="E180" s="15" t="s">
        <v>11198</v>
      </c>
      <c r="F180" s="16" t="str">
        <f>VLOOKUP(Table8[[#This Row],[Mã khách hàng]],code_khach_hang[],2,0)</f>
        <v>CHI NHÁNH HẢI PHÒNG - CÔNG TY CỔ PHẦN DỊCH VỤ THƯƠNG MẠI TỔNG HỢP WINCOMMERCE</v>
      </c>
      <c r="G180" s="16" t="str">
        <f>VLOOKUP(Table8[[#This Row],[Mã khách hàng]],code_khach_hang[],3,0)</f>
        <v>Miền Bắc đặc biệt 3</v>
      </c>
      <c r="H180" t="str">
        <f>VLOOKUP(Table8[[#This Row],[Mã khách hàng]],'Khách hàng'!A:D,4,0)</f>
        <v>Food Đức Việt</v>
      </c>
      <c r="I180" t="str">
        <f>VLOOKUP(Table8[[#This Row],[Mã khách hàng]],'Khách hàng'!A:E,5,0)</f>
        <v>HN0040</v>
      </c>
    </row>
    <row r="181" spans="1:9">
      <c r="A181" s="14" t="s">
        <v>6172</v>
      </c>
      <c r="B181" s="15" t="s">
        <v>5</v>
      </c>
      <c r="C181" s="10" t="s">
        <v>6173</v>
      </c>
      <c r="D181" s="16" t="s">
        <v>1052</v>
      </c>
      <c r="E181" s="15" t="s">
        <v>11198</v>
      </c>
      <c r="F181" s="16" t="str">
        <f>VLOOKUP(Table8[[#This Row],[Mã khách hàng]],code_khach_hang[],2,0)</f>
        <v>CHI NHÁNH HẢI PHÒNG - CÔNG TY CỔ PHẦN DỊCH VỤ THƯƠNG MẠI TỔNG HỢP WINCOMMERCE</v>
      </c>
      <c r="G181" s="16" t="str">
        <f>VLOOKUP(Table8[[#This Row],[Mã khách hàng]],code_khach_hang[],3,0)</f>
        <v>Miền Bắc đặc biệt 3</v>
      </c>
      <c r="H181" t="str">
        <f>VLOOKUP(Table8[[#This Row],[Mã khách hàng]],'Khách hàng'!A:D,4,0)</f>
        <v>Food Đức Việt</v>
      </c>
      <c r="I181" t="str">
        <f>VLOOKUP(Table8[[#This Row],[Mã khách hàng]],'Khách hàng'!A:E,5,0)</f>
        <v>HN0040</v>
      </c>
    </row>
    <row r="182" spans="1:9">
      <c r="A182" s="14" t="s">
        <v>11084</v>
      </c>
      <c r="B182" s="15" t="s">
        <v>5</v>
      </c>
      <c r="C182" s="10" t="e">
        <v>#N/A</v>
      </c>
      <c r="D182" s="16" t="s">
        <v>1055</v>
      </c>
      <c r="E182" s="15" t="s">
        <v>11198</v>
      </c>
      <c r="F182" s="16" t="str">
        <f>VLOOKUP(Table8[[#This Row],[Mã khách hàng]],code_khach_hang[],2,0)</f>
        <v>CHI NHÁNH HẢI PHÒNG - CÔNG TY CỔ PHẦN DỊCH VỤ THƯƠNG MẠI TỔNG HỢP WINCOMMERCE</v>
      </c>
      <c r="G182" s="16" t="str">
        <f>VLOOKUP(Table8[[#This Row],[Mã khách hàng]],code_khach_hang[],3,0)</f>
        <v>Miền Bắc đặc biệt 3</v>
      </c>
      <c r="H182" t="str">
        <f>VLOOKUP(Table8[[#This Row],[Mã khách hàng]],'Khách hàng'!A:D,4,0)</f>
        <v>Food Đức Việt</v>
      </c>
      <c r="I182" t="str">
        <f>VLOOKUP(Table8[[#This Row],[Mã khách hàng]],'Khách hàng'!A:E,5,0)</f>
        <v>HN0040</v>
      </c>
    </row>
    <row r="183" spans="1:9">
      <c r="A183" s="14" t="s">
        <v>6596</v>
      </c>
      <c r="B183" s="15" t="s">
        <v>5</v>
      </c>
      <c r="C183" s="10" t="s">
        <v>6597</v>
      </c>
      <c r="D183" s="16" t="s">
        <v>1058</v>
      </c>
      <c r="E183" s="15" t="s">
        <v>11198</v>
      </c>
      <c r="F183" s="16" t="str">
        <f>VLOOKUP(Table8[[#This Row],[Mã khách hàng]],code_khach_hang[],2,0)</f>
        <v>CHI NHÁNH HẢI PHÒNG - CÔNG TY CỔ PHẦN DỊCH VỤ THƯƠNG MẠI TỔNG HỢP WINCOMMERCE</v>
      </c>
      <c r="G183" s="16" t="str">
        <f>VLOOKUP(Table8[[#This Row],[Mã khách hàng]],code_khach_hang[],3,0)</f>
        <v>Miền Bắc đặc biệt 3</v>
      </c>
      <c r="H183" t="str">
        <f>VLOOKUP(Table8[[#This Row],[Mã khách hàng]],'Khách hàng'!A:D,4,0)</f>
        <v>Food Đức Việt</v>
      </c>
      <c r="I183" t="str">
        <f>VLOOKUP(Table8[[#This Row],[Mã khách hàng]],'Khách hàng'!A:E,5,0)</f>
        <v>HN0040</v>
      </c>
    </row>
    <row r="184" spans="1:9">
      <c r="A184" s="14" t="s">
        <v>7071</v>
      </c>
      <c r="B184" s="15" t="s">
        <v>5</v>
      </c>
      <c r="C184" s="10" t="s">
        <v>7072</v>
      </c>
      <c r="D184" s="16" t="s">
        <v>1061</v>
      </c>
      <c r="E184" s="15" t="s">
        <v>11198</v>
      </c>
      <c r="F184" s="16" t="str">
        <f>VLOOKUP(Table8[[#This Row],[Mã khách hàng]],code_khach_hang[],2,0)</f>
        <v>CHI NHÁNH HẢI PHÒNG - CÔNG TY CỔ PHẦN DỊCH VỤ THƯƠNG MẠI TỔNG HỢP WINCOMMERCE</v>
      </c>
      <c r="G184" s="16" t="str">
        <f>VLOOKUP(Table8[[#This Row],[Mã khách hàng]],code_khach_hang[],3,0)</f>
        <v>Miền Bắc đặc biệt 3</v>
      </c>
      <c r="H184" t="str">
        <f>VLOOKUP(Table8[[#This Row],[Mã khách hàng]],'Khách hàng'!A:D,4,0)</f>
        <v>Food Đức Việt</v>
      </c>
      <c r="I184" t="str">
        <f>VLOOKUP(Table8[[#This Row],[Mã khách hàng]],'Khách hàng'!A:E,5,0)</f>
        <v>HN0040</v>
      </c>
    </row>
    <row r="185" spans="1:9">
      <c r="A185" s="14" t="s">
        <v>7565</v>
      </c>
      <c r="B185" s="15" t="s">
        <v>5</v>
      </c>
      <c r="C185" s="10" t="s">
        <v>7566</v>
      </c>
      <c r="D185" s="16" t="s">
        <v>1064</v>
      </c>
      <c r="E185" s="15" t="s">
        <v>11198</v>
      </c>
      <c r="F185" s="16" t="str">
        <f>VLOOKUP(Table8[[#This Row],[Mã khách hàng]],code_khach_hang[],2,0)</f>
        <v>CHI NHÁNH HẢI PHÒNG - CÔNG TY CỔ PHẦN DỊCH VỤ THƯƠNG MẠI TỔNG HỢP WINCOMMERCE</v>
      </c>
      <c r="G185" s="16" t="str">
        <f>VLOOKUP(Table8[[#This Row],[Mã khách hàng]],code_khach_hang[],3,0)</f>
        <v>Miền Bắc đặc biệt 3</v>
      </c>
      <c r="H185" t="str">
        <f>VLOOKUP(Table8[[#This Row],[Mã khách hàng]],'Khách hàng'!A:D,4,0)</f>
        <v>Food Đức Việt</v>
      </c>
      <c r="I185" t="str">
        <f>VLOOKUP(Table8[[#This Row],[Mã khách hàng]],'Khách hàng'!A:E,5,0)</f>
        <v>HN0040</v>
      </c>
    </row>
    <row r="186" spans="1:9">
      <c r="A186" s="14" t="s">
        <v>8298</v>
      </c>
      <c r="B186" s="15" t="s">
        <v>5</v>
      </c>
      <c r="C186" s="10" t="s">
        <v>8299</v>
      </c>
      <c r="D186" s="16" t="s">
        <v>1067</v>
      </c>
      <c r="E186" s="15" t="s">
        <v>11198</v>
      </c>
      <c r="F186" s="16" t="str">
        <f>VLOOKUP(Table8[[#This Row],[Mã khách hàng]],code_khach_hang[],2,0)</f>
        <v>CHI NHÁNH HẢI PHÒNG - CÔNG TY CỔ PHẦN DỊCH VỤ THƯƠNG MẠI TỔNG HỢP WINCOMMERCE</v>
      </c>
      <c r="G186" s="16" t="str">
        <f>VLOOKUP(Table8[[#This Row],[Mã khách hàng]],code_khach_hang[],3,0)</f>
        <v>Miền Bắc đặc biệt 3</v>
      </c>
      <c r="H186" t="str">
        <f>VLOOKUP(Table8[[#This Row],[Mã khách hàng]],'Khách hàng'!A:D,4,0)</f>
        <v>Food Đức Việt</v>
      </c>
      <c r="I186" t="str">
        <f>VLOOKUP(Table8[[#This Row],[Mã khách hàng]],'Khách hàng'!A:E,5,0)</f>
        <v>HN0040</v>
      </c>
    </row>
    <row r="187" spans="1:9">
      <c r="A187" s="14" t="s">
        <v>4242</v>
      </c>
      <c r="B187" s="15" t="s">
        <v>5</v>
      </c>
      <c r="C187" s="10" t="s">
        <v>4243</v>
      </c>
      <c r="D187" s="16" t="s">
        <v>1070</v>
      </c>
      <c r="E187" s="15" t="s">
        <v>11198</v>
      </c>
      <c r="F187" s="16" t="str">
        <f>VLOOKUP(Table8[[#This Row],[Mã khách hàng]],code_khach_hang[],2,0)</f>
        <v>CHI NHÁNH HẢI PHÒNG - CÔNG TY CỔ PHẦN DỊCH VỤ THƯƠNG MẠI TỔNG HỢP WINCOMMERCE</v>
      </c>
      <c r="G187" s="16" t="str">
        <f>VLOOKUP(Table8[[#This Row],[Mã khách hàng]],code_khach_hang[],3,0)</f>
        <v>Miền Bắc đặc biệt 3</v>
      </c>
      <c r="H187" t="str">
        <f>VLOOKUP(Table8[[#This Row],[Mã khách hàng]],'Khách hàng'!A:D,4,0)</f>
        <v>Food Đức Việt</v>
      </c>
      <c r="I187" t="str">
        <f>VLOOKUP(Table8[[#This Row],[Mã khách hàng]],'Khách hàng'!A:E,5,0)</f>
        <v>HN0040</v>
      </c>
    </row>
    <row r="188" spans="1:9">
      <c r="A188" s="14" t="s">
        <v>4317</v>
      </c>
      <c r="B188" s="15" t="s">
        <v>5</v>
      </c>
      <c r="C188" s="10" t="s">
        <v>4318</v>
      </c>
      <c r="D188" s="16" t="s">
        <v>1073</v>
      </c>
      <c r="E188" s="15" t="s">
        <v>11198</v>
      </c>
      <c r="F188" s="16" t="str">
        <f>VLOOKUP(Table8[[#This Row],[Mã khách hàng]],code_khach_hang[],2,0)</f>
        <v>CHI NHÁNH HẢI PHÒNG - CÔNG TY CỔ PHẦN DỊCH VỤ THƯƠNG MẠI TỔNG HỢP WINCOMMERCE</v>
      </c>
      <c r="G188" s="16" t="str">
        <f>VLOOKUP(Table8[[#This Row],[Mã khách hàng]],code_khach_hang[],3,0)</f>
        <v>Miền Bắc đặc biệt 3</v>
      </c>
      <c r="H188" t="str">
        <f>VLOOKUP(Table8[[#This Row],[Mã khách hàng]],'Khách hàng'!A:D,4,0)</f>
        <v>Food Đức Việt</v>
      </c>
      <c r="I188" t="str">
        <f>VLOOKUP(Table8[[#This Row],[Mã khách hàng]],'Khách hàng'!A:E,5,0)</f>
        <v>HN0040</v>
      </c>
    </row>
    <row r="189" spans="1:9">
      <c r="A189" s="14" t="s">
        <v>4329</v>
      </c>
      <c r="B189" s="15" t="s">
        <v>5</v>
      </c>
      <c r="C189" s="10" t="s">
        <v>4330</v>
      </c>
      <c r="D189" s="16" t="s">
        <v>1076</v>
      </c>
      <c r="E189" s="15" t="s">
        <v>11198</v>
      </c>
      <c r="F189" s="16" t="str">
        <f>VLOOKUP(Table8[[#This Row],[Mã khách hàng]],code_khach_hang[],2,0)</f>
        <v>CHI NHÁNH HẢI PHÒNG - CÔNG TY CỔ PHẦN DỊCH VỤ THƯƠNG MẠI TỔNG HỢP WINCOMMERCE</v>
      </c>
      <c r="G189" s="16" t="str">
        <f>VLOOKUP(Table8[[#This Row],[Mã khách hàng]],code_khach_hang[],3,0)</f>
        <v>Miền Bắc đặc biệt 3</v>
      </c>
      <c r="H189" t="str">
        <f>VLOOKUP(Table8[[#This Row],[Mã khách hàng]],'Khách hàng'!A:D,4,0)</f>
        <v>Food Đức Việt</v>
      </c>
      <c r="I189" t="str">
        <f>VLOOKUP(Table8[[#This Row],[Mã khách hàng]],'Khách hàng'!A:E,5,0)</f>
        <v>HN0040</v>
      </c>
    </row>
    <row r="190" spans="1:9">
      <c r="A190" s="14" t="s">
        <v>11085</v>
      </c>
      <c r="B190" s="15" t="s">
        <v>5</v>
      </c>
      <c r="C190" s="10" t="e">
        <v>#N/A</v>
      </c>
      <c r="D190" s="16" t="s">
        <v>1079</v>
      </c>
      <c r="E190" s="15" t="s">
        <v>11198</v>
      </c>
      <c r="F190" s="16" t="str">
        <f>VLOOKUP(Table8[[#This Row],[Mã khách hàng]],code_khach_hang[],2,0)</f>
        <v>CHI NHÁNH HẢI PHÒNG - CÔNG TY CỔ PHẦN DỊCH VỤ THƯƠNG MẠI TỔNG HỢP WINCOMMERCE</v>
      </c>
      <c r="G190" s="16" t="str">
        <f>VLOOKUP(Table8[[#This Row],[Mã khách hàng]],code_khach_hang[],3,0)</f>
        <v>Miền Bắc đặc biệt 3</v>
      </c>
      <c r="H190" t="str">
        <f>VLOOKUP(Table8[[#This Row],[Mã khách hàng]],'Khách hàng'!A:D,4,0)</f>
        <v>Food Đức Việt</v>
      </c>
      <c r="I190" t="str">
        <f>VLOOKUP(Table8[[#This Row],[Mã khách hàng]],'Khách hàng'!A:E,5,0)</f>
        <v>HN0040</v>
      </c>
    </row>
    <row r="191" spans="1:9">
      <c r="A191" s="14" t="s">
        <v>11086</v>
      </c>
      <c r="B191" s="15" t="s">
        <v>5</v>
      </c>
      <c r="C191" s="10" t="e">
        <v>#N/A</v>
      </c>
      <c r="D191" s="16" t="s">
        <v>1082</v>
      </c>
      <c r="E191" s="15" t="s">
        <v>11198</v>
      </c>
      <c r="F191" s="16" t="str">
        <f>VLOOKUP(Table8[[#This Row],[Mã khách hàng]],code_khach_hang[],2,0)</f>
        <v>CHI NHÁNH HẢI PHÒNG - CÔNG TY CỔ PHẦN DỊCH VỤ THƯƠNG MẠI TỔNG HỢP WINCOMMERCE</v>
      </c>
      <c r="G191" s="16" t="str">
        <f>VLOOKUP(Table8[[#This Row],[Mã khách hàng]],code_khach_hang[],3,0)</f>
        <v>Miền Bắc đặc biệt 3</v>
      </c>
      <c r="H191" t="str">
        <f>VLOOKUP(Table8[[#This Row],[Mã khách hàng]],'Khách hàng'!A:D,4,0)</f>
        <v>Food Đức Việt</v>
      </c>
      <c r="I191" t="str">
        <f>VLOOKUP(Table8[[#This Row],[Mã khách hàng]],'Khách hàng'!A:E,5,0)</f>
        <v>HN0040</v>
      </c>
    </row>
    <row r="192" spans="1:9">
      <c r="A192" s="14" t="s">
        <v>4911</v>
      </c>
      <c r="B192" s="15" t="s">
        <v>5</v>
      </c>
      <c r="C192" s="10" t="s">
        <v>4912</v>
      </c>
      <c r="D192" s="16" t="s">
        <v>1085</v>
      </c>
      <c r="E192" s="15" t="s">
        <v>11198</v>
      </c>
      <c r="F192" s="16" t="str">
        <f>VLOOKUP(Table8[[#This Row],[Mã khách hàng]],code_khach_hang[],2,0)</f>
        <v>CHI NHÁNH HẢI PHÒNG - CÔNG TY CỔ PHẦN DỊCH VỤ THƯƠNG MẠI TỔNG HỢP WINCOMMERCE</v>
      </c>
      <c r="G192" s="16" t="str">
        <f>VLOOKUP(Table8[[#This Row],[Mã khách hàng]],code_khach_hang[],3,0)</f>
        <v>Miền Bắc đặc biệt 3</v>
      </c>
      <c r="H192" t="str">
        <f>VLOOKUP(Table8[[#This Row],[Mã khách hàng]],'Khách hàng'!A:D,4,0)</f>
        <v>Food Đức Việt</v>
      </c>
      <c r="I192" t="str">
        <f>VLOOKUP(Table8[[#This Row],[Mã khách hàng]],'Khách hàng'!A:E,5,0)</f>
        <v>HN0040</v>
      </c>
    </row>
    <row r="193" spans="1:9">
      <c r="A193" s="14" t="s">
        <v>11087</v>
      </c>
      <c r="B193" s="15" t="s">
        <v>5</v>
      </c>
      <c r="C193" s="10" t="e">
        <v>#N/A</v>
      </c>
      <c r="D193" s="16" t="s">
        <v>1088</v>
      </c>
      <c r="E193" s="15" t="s">
        <v>11198</v>
      </c>
      <c r="F193" s="16" t="str">
        <f>VLOOKUP(Table8[[#This Row],[Mã khách hàng]],code_khach_hang[],2,0)</f>
        <v>CHI NHÁNH HẢI PHÒNG - CÔNG TY CỔ PHẦN DỊCH VỤ THƯƠNG MẠI TỔNG HỢP WINCOMMERCE</v>
      </c>
      <c r="G193" s="16" t="str">
        <f>VLOOKUP(Table8[[#This Row],[Mã khách hàng]],code_khach_hang[],3,0)</f>
        <v>Miền Bắc đặc biệt 3</v>
      </c>
      <c r="H193" t="str">
        <f>VLOOKUP(Table8[[#This Row],[Mã khách hàng]],'Khách hàng'!A:D,4,0)</f>
        <v>Food Đức Việt</v>
      </c>
      <c r="I193" t="str">
        <f>VLOOKUP(Table8[[#This Row],[Mã khách hàng]],'Khách hàng'!A:E,5,0)</f>
        <v>HN0040</v>
      </c>
    </row>
    <row r="194" spans="1:9">
      <c r="A194" s="14" t="s">
        <v>11088</v>
      </c>
      <c r="B194" s="15" t="s">
        <v>5</v>
      </c>
      <c r="C194" s="10" t="e">
        <v>#N/A</v>
      </c>
      <c r="D194" s="16" t="s">
        <v>1091</v>
      </c>
      <c r="E194" s="15" t="s">
        <v>11198</v>
      </c>
      <c r="F194" s="16" t="str">
        <f>VLOOKUP(Table8[[#This Row],[Mã khách hàng]],code_khach_hang[],2,0)</f>
        <v>CHI NHÁNH HẢI PHÒNG - CÔNG TY CỔ PHẦN DỊCH VỤ THƯƠNG MẠI TỔNG HỢP WINCOMMERCE</v>
      </c>
      <c r="G194" s="16" t="str">
        <f>VLOOKUP(Table8[[#This Row],[Mã khách hàng]],code_khach_hang[],3,0)</f>
        <v>Miền Bắc đặc biệt 3</v>
      </c>
      <c r="H194" t="str">
        <f>VLOOKUP(Table8[[#This Row],[Mã khách hàng]],'Khách hàng'!A:D,4,0)</f>
        <v>Food Đức Việt</v>
      </c>
      <c r="I194" t="str">
        <f>VLOOKUP(Table8[[#This Row],[Mã khách hàng]],'Khách hàng'!A:E,5,0)</f>
        <v>HN0040</v>
      </c>
    </row>
    <row r="195" spans="1:9">
      <c r="A195" s="14" t="s">
        <v>5659</v>
      </c>
      <c r="B195" s="15" t="s">
        <v>5</v>
      </c>
      <c r="C195" s="10" t="s">
        <v>5660</v>
      </c>
      <c r="D195" s="16" t="s">
        <v>1094</v>
      </c>
      <c r="E195" s="15" t="s">
        <v>11198</v>
      </c>
      <c r="F195" s="16" t="str">
        <f>VLOOKUP(Table8[[#This Row],[Mã khách hàng]],code_khach_hang[],2,0)</f>
        <v>CHI NHÁNH HẢI PHÒNG - CÔNG TY CỔ PHẦN DỊCH VỤ THƯƠNG MẠI TỔNG HỢP WINCOMMERCE</v>
      </c>
      <c r="G195" s="16" t="str">
        <f>VLOOKUP(Table8[[#This Row],[Mã khách hàng]],code_khach_hang[],3,0)</f>
        <v>Miền Bắc đặc biệt 3</v>
      </c>
      <c r="H195" t="str">
        <f>VLOOKUP(Table8[[#This Row],[Mã khách hàng]],'Khách hàng'!A:D,4,0)</f>
        <v>Food Đức Việt</v>
      </c>
      <c r="I195" t="str">
        <f>VLOOKUP(Table8[[#This Row],[Mã khách hàng]],'Khách hàng'!A:E,5,0)</f>
        <v>HN0040</v>
      </c>
    </row>
    <row r="196" spans="1:9">
      <c r="A196" s="14" t="s">
        <v>5887</v>
      </c>
      <c r="B196" s="15" t="s">
        <v>5</v>
      </c>
      <c r="C196" s="10" t="s">
        <v>5888</v>
      </c>
      <c r="D196" s="16" t="s">
        <v>1097</v>
      </c>
      <c r="E196" s="15" t="s">
        <v>11198</v>
      </c>
      <c r="F196" s="16" t="str">
        <f>VLOOKUP(Table8[[#This Row],[Mã khách hàng]],code_khach_hang[],2,0)</f>
        <v>CHI NHÁNH HẢI PHÒNG - CÔNG TY CỔ PHẦN DỊCH VỤ THƯƠNG MẠI TỔNG HỢP WINCOMMERCE</v>
      </c>
      <c r="G196" s="16" t="str">
        <f>VLOOKUP(Table8[[#This Row],[Mã khách hàng]],code_khach_hang[],3,0)</f>
        <v>Miền Bắc đặc biệt 3</v>
      </c>
      <c r="H196" t="str">
        <f>VLOOKUP(Table8[[#This Row],[Mã khách hàng]],'Khách hàng'!A:D,4,0)</f>
        <v>Food Đức Việt</v>
      </c>
      <c r="I196" t="str">
        <f>VLOOKUP(Table8[[#This Row],[Mã khách hàng]],'Khách hàng'!A:E,5,0)</f>
        <v>HN0040</v>
      </c>
    </row>
    <row r="197" spans="1:9">
      <c r="A197" s="14" t="s">
        <v>7159</v>
      </c>
      <c r="B197" s="15" t="s">
        <v>5</v>
      </c>
      <c r="C197" s="10" t="s">
        <v>7160</v>
      </c>
      <c r="D197" s="16" t="s">
        <v>1100</v>
      </c>
      <c r="E197" s="15" t="s">
        <v>11198</v>
      </c>
      <c r="F197" s="16" t="str">
        <f>VLOOKUP(Table8[[#This Row],[Mã khách hàng]],code_khach_hang[],2,0)</f>
        <v>CHI NHÁNH HẢI PHÒNG - CÔNG TY CỔ PHẦN DỊCH VỤ THƯƠNG MẠI TỔNG HỢP WINCOMMERCE</v>
      </c>
      <c r="G197" s="16" t="str">
        <f>VLOOKUP(Table8[[#This Row],[Mã khách hàng]],code_khach_hang[],3,0)</f>
        <v>Miền Bắc đặc biệt 3</v>
      </c>
      <c r="H197" t="str">
        <f>VLOOKUP(Table8[[#This Row],[Mã khách hàng]],'Khách hàng'!A:D,4,0)</f>
        <v>Food Đức Việt</v>
      </c>
      <c r="I197" t="str">
        <f>VLOOKUP(Table8[[#This Row],[Mã khách hàng]],'Khách hàng'!A:E,5,0)</f>
        <v>HN0040</v>
      </c>
    </row>
    <row r="198" spans="1:9">
      <c r="A198" s="14" t="s">
        <v>7924</v>
      </c>
      <c r="B198" s="15" t="s">
        <v>5</v>
      </c>
      <c r="C198" s="10" t="s">
        <v>7925</v>
      </c>
      <c r="D198" s="16" t="s">
        <v>1103</v>
      </c>
      <c r="E198" s="15" t="s">
        <v>11198</v>
      </c>
      <c r="F198" s="16" t="str">
        <f>VLOOKUP(Table8[[#This Row],[Mã khách hàng]],code_khach_hang[],2,0)</f>
        <v>CHI NHÁNH HẢI PHÒNG - CÔNG TY CỔ PHẦN DỊCH VỤ THƯƠNG MẠI TỔNG HỢP WINCOMMERCE</v>
      </c>
      <c r="G198" s="16" t="str">
        <f>VLOOKUP(Table8[[#This Row],[Mã khách hàng]],code_khach_hang[],3,0)</f>
        <v>Miền Bắc đặc biệt 3</v>
      </c>
      <c r="H198" t="str">
        <f>VLOOKUP(Table8[[#This Row],[Mã khách hàng]],'Khách hàng'!A:D,4,0)</f>
        <v>Food Đức Việt</v>
      </c>
      <c r="I198" t="str">
        <f>VLOOKUP(Table8[[#This Row],[Mã khách hàng]],'Khách hàng'!A:E,5,0)</f>
        <v>HN0040</v>
      </c>
    </row>
    <row r="199" spans="1:9">
      <c r="A199" s="14" t="s">
        <v>4470</v>
      </c>
      <c r="B199" s="15" t="s">
        <v>5</v>
      </c>
      <c r="C199" s="10" t="s">
        <v>4471</v>
      </c>
      <c r="D199" s="16" t="s">
        <v>1106</v>
      </c>
      <c r="E199" s="15" t="s">
        <v>11198</v>
      </c>
      <c r="F199" s="16" t="str">
        <f>VLOOKUP(Table8[[#This Row],[Mã khách hàng]],code_khach_hang[],2,0)</f>
        <v>CHI NHÁNH HẢI PHÒNG - CÔNG TY CỔ PHẦN DỊCH VỤ THƯƠNG MẠI TỔNG HỢP WINCOMMERCE</v>
      </c>
      <c r="G199" s="16" t="str">
        <f>VLOOKUP(Table8[[#This Row],[Mã khách hàng]],code_khach_hang[],3,0)</f>
        <v>Miền Bắc đặc biệt 3</v>
      </c>
      <c r="H199" t="str">
        <f>VLOOKUP(Table8[[#This Row],[Mã khách hàng]],'Khách hàng'!A:D,4,0)</f>
        <v>Food Đức Việt</v>
      </c>
      <c r="I199" t="str">
        <f>VLOOKUP(Table8[[#This Row],[Mã khách hàng]],'Khách hàng'!A:E,5,0)</f>
        <v>HN0040</v>
      </c>
    </row>
    <row r="200" spans="1:9">
      <c r="A200" s="14" t="s">
        <v>4983</v>
      </c>
      <c r="B200" s="15" t="s">
        <v>5</v>
      </c>
      <c r="C200" s="10" t="s">
        <v>4984</v>
      </c>
      <c r="D200" s="16" t="s">
        <v>1109</v>
      </c>
      <c r="E200" s="15" t="s">
        <v>11198</v>
      </c>
      <c r="F200" s="16" t="str">
        <f>VLOOKUP(Table8[[#This Row],[Mã khách hàng]],code_khach_hang[],2,0)</f>
        <v>CHI NHÁNH HẢI PHÒNG - CÔNG TY CỔ PHẦN DỊCH VỤ THƯƠNG MẠI TỔNG HỢP WINCOMMERCE</v>
      </c>
      <c r="G200" s="16" t="str">
        <f>VLOOKUP(Table8[[#This Row],[Mã khách hàng]],code_khach_hang[],3,0)</f>
        <v>Miền Bắc đặc biệt 3</v>
      </c>
      <c r="H200" t="str">
        <f>VLOOKUP(Table8[[#This Row],[Mã khách hàng]],'Khách hàng'!A:D,4,0)</f>
        <v>Food Đức Việt</v>
      </c>
      <c r="I200" t="str">
        <f>VLOOKUP(Table8[[#This Row],[Mã khách hàng]],'Khách hàng'!A:E,5,0)</f>
        <v>HN0040</v>
      </c>
    </row>
    <row r="201" spans="1:9">
      <c r="A201" s="14" t="s">
        <v>6321</v>
      </c>
      <c r="B201" s="15" t="s">
        <v>5</v>
      </c>
      <c r="C201" s="10" t="s">
        <v>6322</v>
      </c>
      <c r="D201" s="16" t="s">
        <v>1112</v>
      </c>
      <c r="E201" s="15" t="s">
        <v>11198</v>
      </c>
      <c r="F201" s="16" t="str">
        <f>VLOOKUP(Table8[[#This Row],[Mã khách hàng]],code_khach_hang[],2,0)</f>
        <v>CHI NHÁNH HẢI PHÒNG - CÔNG TY CỔ PHẦN DỊCH VỤ THƯƠNG MẠI TỔNG HỢP WINCOMMERCE</v>
      </c>
      <c r="G201" s="16" t="str">
        <f>VLOOKUP(Table8[[#This Row],[Mã khách hàng]],code_khach_hang[],3,0)</f>
        <v>Miền Bắc đặc biệt 3</v>
      </c>
      <c r="H201" t="str">
        <f>VLOOKUP(Table8[[#This Row],[Mã khách hàng]],'Khách hàng'!A:D,4,0)</f>
        <v>Food Đức Việt</v>
      </c>
      <c r="I201" t="str">
        <f>VLOOKUP(Table8[[#This Row],[Mã khách hàng]],'Khách hàng'!A:E,5,0)</f>
        <v>HN0040</v>
      </c>
    </row>
    <row r="202" spans="1:9">
      <c r="A202" s="14" t="s">
        <v>9303</v>
      </c>
      <c r="B202" s="15" t="s">
        <v>5</v>
      </c>
      <c r="C202" s="10" t="s">
        <v>9304</v>
      </c>
      <c r="D202" s="16" t="s">
        <v>1115</v>
      </c>
      <c r="E202" s="15" t="s">
        <v>11198</v>
      </c>
      <c r="F202" s="16" t="str">
        <f>VLOOKUP(Table8[[#This Row],[Mã khách hàng]],code_khach_hang[],2,0)</f>
        <v>CHI NHÁNH HẢI PHÒNG - CÔNG TY CỔ PHẦN DỊCH VỤ THƯƠNG MẠI TỔNG HỢP WINCOMMERCE</v>
      </c>
      <c r="G202" s="16" t="str">
        <f>VLOOKUP(Table8[[#This Row],[Mã khách hàng]],code_khach_hang[],3,0)</f>
        <v>Miền Bắc đặc biệt 3</v>
      </c>
      <c r="H202" t="str">
        <f>VLOOKUP(Table8[[#This Row],[Mã khách hàng]],'Khách hàng'!A:D,4,0)</f>
        <v>Food Đức Việt</v>
      </c>
      <c r="I202" t="str">
        <f>VLOOKUP(Table8[[#This Row],[Mã khách hàng]],'Khách hàng'!A:E,5,0)</f>
        <v>HN0040</v>
      </c>
    </row>
    <row r="203" spans="1:9">
      <c r="A203" s="14" t="s">
        <v>7080</v>
      </c>
      <c r="B203" s="15" t="s">
        <v>5</v>
      </c>
      <c r="C203" s="10" t="s">
        <v>7081</v>
      </c>
      <c r="D203" s="16" t="s">
        <v>1118</v>
      </c>
      <c r="E203" s="15" t="s">
        <v>11198</v>
      </c>
      <c r="F203" s="16" t="str">
        <f>VLOOKUP(Table8[[#This Row],[Mã khách hàng]],code_khach_hang[],2,0)</f>
        <v>CHI NHÁNH HẢI PHÒNG - CÔNG TY CỔ PHẦN DỊCH VỤ THƯƠNG MẠI TỔNG HỢP WINCOMMERCE</v>
      </c>
      <c r="G203" s="16" t="str">
        <f>VLOOKUP(Table8[[#This Row],[Mã khách hàng]],code_khach_hang[],3,0)</f>
        <v>Miền Bắc đặc biệt 3</v>
      </c>
      <c r="H203" t="str">
        <f>VLOOKUP(Table8[[#This Row],[Mã khách hàng]],'Khách hàng'!A:D,4,0)</f>
        <v>Food Đức Việt</v>
      </c>
      <c r="I203" t="str">
        <f>VLOOKUP(Table8[[#This Row],[Mã khách hàng]],'Khách hàng'!A:E,5,0)</f>
        <v>HN0040</v>
      </c>
    </row>
    <row r="204" spans="1:9">
      <c r="A204" s="14" t="s">
        <v>7354</v>
      </c>
      <c r="B204" s="15" t="s">
        <v>5</v>
      </c>
      <c r="C204" s="10" t="s">
        <v>7355</v>
      </c>
      <c r="D204" s="16" t="s">
        <v>1121</v>
      </c>
      <c r="E204" s="15" t="s">
        <v>11198</v>
      </c>
      <c r="F204" s="16" t="str">
        <f>VLOOKUP(Table8[[#This Row],[Mã khách hàng]],code_khach_hang[],2,0)</f>
        <v>CHI NHÁNH HẢI PHÒNG - CÔNG TY CỔ PHẦN DỊCH VỤ THƯƠNG MẠI TỔNG HỢP WINCOMMERCE</v>
      </c>
      <c r="G204" s="16" t="str">
        <f>VLOOKUP(Table8[[#This Row],[Mã khách hàng]],code_khach_hang[],3,0)</f>
        <v>Miền Bắc đặc biệt 3</v>
      </c>
      <c r="H204" t="str">
        <f>VLOOKUP(Table8[[#This Row],[Mã khách hàng]],'Khách hàng'!A:D,4,0)</f>
        <v>Food Đức Việt</v>
      </c>
      <c r="I204" t="str">
        <f>VLOOKUP(Table8[[#This Row],[Mã khách hàng]],'Khách hàng'!A:E,5,0)</f>
        <v>HN0040</v>
      </c>
    </row>
    <row r="205" spans="1:9">
      <c r="A205" s="14" t="s">
        <v>7469</v>
      </c>
      <c r="B205" s="15" t="s">
        <v>5</v>
      </c>
      <c r="C205" s="10" t="s">
        <v>7470</v>
      </c>
      <c r="D205" s="16" t="s">
        <v>1124</v>
      </c>
      <c r="E205" s="15" t="s">
        <v>11198</v>
      </c>
      <c r="F205" s="16" t="str">
        <f>VLOOKUP(Table8[[#This Row],[Mã khách hàng]],code_khach_hang[],2,0)</f>
        <v>CHI NHÁNH HẢI PHÒNG - CÔNG TY CỔ PHẦN DỊCH VỤ THƯƠNG MẠI TỔNG HỢP WINCOMMERCE</v>
      </c>
      <c r="G205" s="16" t="str">
        <f>VLOOKUP(Table8[[#This Row],[Mã khách hàng]],code_khach_hang[],3,0)</f>
        <v>Miền Bắc đặc biệt 3</v>
      </c>
      <c r="H205" t="str">
        <f>VLOOKUP(Table8[[#This Row],[Mã khách hàng]],'Khách hàng'!A:D,4,0)</f>
        <v>Food Đức Việt</v>
      </c>
      <c r="I205" t="str">
        <f>VLOOKUP(Table8[[#This Row],[Mã khách hàng]],'Khách hàng'!A:E,5,0)</f>
        <v>HN0040</v>
      </c>
    </row>
    <row r="206" spans="1:9">
      <c r="A206" s="14" t="s">
        <v>8055</v>
      </c>
      <c r="B206" s="15" t="s">
        <v>5</v>
      </c>
      <c r="C206" s="10" t="s">
        <v>8056</v>
      </c>
      <c r="D206" s="16" t="s">
        <v>1127</v>
      </c>
      <c r="E206" s="15" t="s">
        <v>11198</v>
      </c>
      <c r="F206" s="16" t="str">
        <f>VLOOKUP(Table8[[#This Row],[Mã khách hàng]],code_khach_hang[],2,0)</f>
        <v>CHI NHÁNH HẢI PHÒNG - CÔNG TY CỔ PHẦN DỊCH VỤ THƯƠNG MẠI TỔNG HỢP WINCOMMERCE</v>
      </c>
      <c r="G206" s="16" t="str">
        <f>VLOOKUP(Table8[[#This Row],[Mã khách hàng]],code_khach_hang[],3,0)</f>
        <v>Miền Bắc đặc biệt 3</v>
      </c>
      <c r="H206" t="str">
        <f>VLOOKUP(Table8[[#This Row],[Mã khách hàng]],'Khách hàng'!A:D,4,0)</f>
        <v>Food Đức Việt</v>
      </c>
      <c r="I206" t="str">
        <f>VLOOKUP(Table8[[#This Row],[Mã khách hàng]],'Khách hàng'!A:E,5,0)</f>
        <v>HN0040</v>
      </c>
    </row>
    <row r="207" spans="1:9">
      <c r="A207" s="14" t="s">
        <v>8100</v>
      </c>
      <c r="B207" s="15" t="s">
        <v>5</v>
      </c>
      <c r="C207" s="10" t="s">
        <v>8101</v>
      </c>
      <c r="D207" s="16" t="s">
        <v>1130</v>
      </c>
      <c r="E207" s="15" t="s">
        <v>11198</v>
      </c>
      <c r="F207" s="16" t="str">
        <f>VLOOKUP(Table8[[#This Row],[Mã khách hàng]],code_khach_hang[],2,0)</f>
        <v>CHI NHÁNH HẢI PHÒNG - CÔNG TY CỔ PHẦN DỊCH VỤ THƯƠNG MẠI TỔNG HỢP WINCOMMERCE</v>
      </c>
      <c r="G207" s="16" t="str">
        <f>VLOOKUP(Table8[[#This Row],[Mã khách hàng]],code_khach_hang[],3,0)</f>
        <v>Miền Bắc đặc biệt 3</v>
      </c>
      <c r="H207" t="str">
        <f>VLOOKUP(Table8[[#This Row],[Mã khách hàng]],'Khách hàng'!A:D,4,0)</f>
        <v>Food Đức Việt</v>
      </c>
      <c r="I207" t="str">
        <f>VLOOKUP(Table8[[#This Row],[Mã khách hàng]],'Khách hàng'!A:E,5,0)</f>
        <v>HN0040</v>
      </c>
    </row>
    <row r="208" spans="1:9">
      <c r="A208" s="14" t="s">
        <v>8399</v>
      </c>
      <c r="B208" s="15" t="s">
        <v>5</v>
      </c>
      <c r="C208" s="10" t="s">
        <v>8400</v>
      </c>
      <c r="D208" s="16" t="s">
        <v>1133</v>
      </c>
      <c r="E208" s="15" t="s">
        <v>11198</v>
      </c>
      <c r="F208" s="16" t="str">
        <f>VLOOKUP(Table8[[#This Row],[Mã khách hàng]],code_khach_hang[],2,0)</f>
        <v>CHI NHÁNH HẢI PHÒNG - CÔNG TY CỔ PHẦN DỊCH VỤ THƯƠNG MẠI TỔNG HỢP WINCOMMERCE</v>
      </c>
      <c r="G208" s="16" t="str">
        <f>VLOOKUP(Table8[[#This Row],[Mã khách hàng]],code_khach_hang[],3,0)</f>
        <v>Miền Bắc đặc biệt 3</v>
      </c>
      <c r="H208" t="str">
        <f>VLOOKUP(Table8[[#This Row],[Mã khách hàng]],'Khách hàng'!A:D,4,0)</f>
        <v>Food Đức Việt</v>
      </c>
      <c r="I208" t="str">
        <f>VLOOKUP(Table8[[#This Row],[Mã khách hàng]],'Khách hàng'!A:E,5,0)</f>
        <v>HN0040</v>
      </c>
    </row>
    <row r="209" spans="1:9">
      <c r="A209" s="14" t="s">
        <v>7697</v>
      </c>
      <c r="B209" s="15" t="s">
        <v>5</v>
      </c>
      <c r="C209" s="10" t="s">
        <v>7698</v>
      </c>
      <c r="D209" s="16" t="s">
        <v>1136</v>
      </c>
      <c r="E209" s="15" t="s">
        <v>11198</v>
      </c>
      <c r="F209" s="16" t="str">
        <f>VLOOKUP(Table8[[#This Row],[Mã khách hàng]],code_khach_hang[],2,0)</f>
        <v>CHI NHÁNH HẢI PHÒNG - CÔNG TY CỔ PHẦN DỊCH VỤ THƯƠNG MẠI TỔNG HỢP WINCOMMERCE</v>
      </c>
      <c r="G209" s="16" t="str">
        <f>VLOOKUP(Table8[[#This Row],[Mã khách hàng]],code_khach_hang[],3,0)</f>
        <v>Miền Bắc đặc biệt 3</v>
      </c>
      <c r="H209" t="str">
        <f>VLOOKUP(Table8[[#This Row],[Mã khách hàng]],'Khách hàng'!A:D,4,0)</f>
        <v>Food Đức Việt</v>
      </c>
      <c r="I209" t="str">
        <f>VLOOKUP(Table8[[#This Row],[Mã khách hàng]],'Khách hàng'!A:E,5,0)</f>
        <v>HN0040</v>
      </c>
    </row>
    <row r="210" spans="1:9">
      <c r="A210" s="14" t="s">
        <v>8413</v>
      </c>
      <c r="B210" s="15" t="s">
        <v>5</v>
      </c>
      <c r="C210" s="10" t="s">
        <v>8414</v>
      </c>
      <c r="D210" s="16" t="s">
        <v>1139</v>
      </c>
      <c r="E210" s="15" t="s">
        <v>11198</v>
      </c>
      <c r="F210" s="16" t="str">
        <f>VLOOKUP(Table8[[#This Row],[Mã khách hàng]],code_khach_hang[],2,0)</f>
        <v>CHI NHÁNH HẢI PHÒNG - CÔNG TY CỔ PHẦN DỊCH VỤ THƯƠNG MẠI TỔNG HỢP WINCOMMERCE</v>
      </c>
      <c r="G210" s="16" t="str">
        <f>VLOOKUP(Table8[[#This Row],[Mã khách hàng]],code_khach_hang[],3,0)</f>
        <v>Miền Bắc đặc biệt 3</v>
      </c>
      <c r="H210" t="str">
        <f>VLOOKUP(Table8[[#This Row],[Mã khách hàng]],'Khách hàng'!A:D,4,0)</f>
        <v>Food Đức Việt</v>
      </c>
      <c r="I210" t="str">
        <f>VLOOKUP(Table8[[#This Row],[Mã khách hàng]],'Khách hàng'!A:E,5,0)</f>
        <v>HN0040</v>
      </c>
    </row>
    <row r="211" spans="1:9">
      <c r="A211" s="14" t="s">
        <v>8838</v>
      </c>
      <c r="B211" s="15" t="s">
        <v>5</v>
      </c>
      <c r="C211" s="10" t="s">
        <v>8839</v>
      </c>
      <c r="D211" s="16" t="s">
        <v>1142</v>
      </c>
      <c r="E211" s="15" t="s">
        <v>11198</v>
      </c>
      <c r="F211" s="16" t="str">
        <f>VLOOKUP(Table8[[#This Row],[Mã khách hàng]],code_khach_hang[],2,0)</f>
        <v>CHI NHÁNH HẢI PHÒNG - CÔNG TY CỔ PHẦN DỊCH VỤ THƯƠNG MẠI TỔNG HỢP WINCOMMERCE</v>
      </c>
      <c r="G211" s="16" t="str">
        <f>VLOOKUP(Table8[[#This Row],[Mã khách hàng]],code_khach_hang[],3,0)</f>
        <v>Miền Bắc đặc biệt 3</v>
      </c>
      <c r="H211" t="str">
        <f>VLOOKUP(Table8[[#This Row],[Mã khách hàng]],'Khách hàng'!A:D,4,0)</f>
        <v>Food Đức Việt</v>
      </c>
      <c r="I211" t="str">
        <f>VLOOKUP(Table8[[#This Row],[Mã khách hàng]],'Khách hàng'!A:E,5,0)</f>
        <v>HN0040</v>
      </c>
    </row>
    <row r="212" spans="1:9">
      <c r="A212" s="14" t="s">
        <v>8762</v>
      </c>
      <c r="B212" s="15" t="s">
        <v>5</v>
      </c>
      <c r="C212" s="10" t="s">
        <v>8763</v>
      </c>
      <c r="D212" s="16" t="s">
        <v>1145</v>
      </c>
      <c r="E212" s="15" t="s">
        <v>11198</v>
      </c>
      <c r="F212" s="16" t="str">
        <f>VLOOKUP(Table8[[#This Row],[Mã khách hàng]],code_khach_hang[],2,0)</f>
        <v>CHI NHÁNH HẢI PHÒNG - CÔNG TY CỔ PHẦN DỊCH VỤ THƯƠNG MẠI TỔNG HỢP WINCOMMERCE</v>
      </c>
      <c r="G212" s="16" t="str">
        <f>VLOOKUP(Table8[[#This Row],[Mã khách hàng]],code_khach_hang[],3,0)</f>
        <v>Miền Bắc đặc biệt 3</v>
      </c>
      <c r="H212" t="str">
        <f>VLOOKUP(Table8[[#This Row],[Mã khách hàng]],'Khách hàng'!A:D,4,0)</f>
        <v>Food Đức Việt</v>
      </c>
      <c r="I212" t="str">
        <f>VLOOKUP(Table8[[#This Row],[Mã khách hàng]],'Khách hàng'!A:E,5,0)</f>
        <v>HN0040</v>
      </c>
    </row>
    <row r="213" spans="1:9">
      <c r="A213" s="14" t="s">
        <v>8711</v>
      </c>
      <c r="B213" s="15" t="s">
        <v>5</v>
      </c>
      <c r="C213" s="10" t="s">
        <v>8712</v>
      </c>
      <c r="D213" s="16" t="s">
        <v>1148</v>
      </c>
      <c r="E213" s="15" t="s">
        <v>11198</v>
      </c>
      <c r="F213" s="16" t="str">
        <f>VLOOKUP(Table8[[#This Row],[Mã khách hàng]],code_khach_hang[],2,0)</f>
        <v>CHI NHÁNH HẢI PHÒNG - CÔNG TY CỔ PHẦN DỊCH VỤ THƯƠNG MẠI TỔNG HỢP WINCOMMERCE</v>
      </c>
      <c r="G213" s="16" t="str">
        <f>VLOOKUP(Table8[[#This Row],[Mã khách hàng]],code_khach_hang[],3,0)</f>
        <v>Miền Bắc đặc biệt 3</v>
      </c>
      <c r="H213" t="str">
        <f>VLOOKUP(Table8[[#This Row],[Mã khách hàng]],'Khách hàng'!A:D,4,0)</f>
        <v>Food Đức Việt</v>
      </c>
      <c r="I213" t="str">
        <f>VLOOKUP(Table8[[#This Row],[Mã khách hàng]],'Khách hàng'!A:E,5,0)</f>
        <v>HN0040</v>
      </c>
    </row>
    <row r="214" spans="1:9">
      <c r="A214" s="14" t="s">
        <v>9016</v>
      </c>
      <c r="B214" s="15" t="s">
        <v>5</v>
      </c>
      <c r="C214" s="10" t="s">
        <v>9017</v>
      </c>
      <c r="D214" s="16" t="s">
        <v>1151</v>
      </c>
      <c r="E214" s="15" t="s">
        <v>11198</v>
      </c>
      <c r="F214" s="16" t="str">
        <f>VLOOKUP(Table8[[#This Row],[Mã khách hàng]],code_khach_hang[],2,0)</f>
        <v>CHI NHÁNH HẢI PHÒNG - CÔNG TY CỔ PHẦN DỊCH VỤ THƯƠNG MẠI TỔNG HỢP WINCOMMERCE</v>
      </c>
      <c r="G214" s="16" t="str">
        <f>VLOOKUP(Table8[[#This Row],[Mã khách hàng]],code_khach_hang[],3,0)</f>
        <v>Miền Bắc đặc biệt 3</v>
      </c>
      <c r="H214" t="str">
        <f>VLOOKUP(Table8[[#This Row],[Mã khách hàng]],'Khách hàng'!A:D,4,0)</f>
        <v>Food Đức Việt</v>
      </c>
      <c r="I214" t="str">
        <f>VLOOKUP(Table8[[#This Row],[Mã khách hàng]],'Khách hàng'!A:E,5,0)</f>
        <v>HN0040</v>
      </c>
    </row>
    <row r="215" spans="1:9">
      <c r="A215" s="14" t="s">
        <v>9046</v>
      </c>
      <c r="B215" s="15" t="s">
        <v>5</v>
      </c>
      <c r="C215" s="10" t="s">
        <v>9047</v>
      </c>
      <c r="D215" s="16" t="s">
        <v>1154</v>
      </c>
      <c r="E215" s="15" t="s">
        <v>11198</v>
      </c>
      <c r="F215" s="16" t="str">
        <f>VLOOKUP(Table8[[#This Row],[Mã khách hàng]],code_khach_hang[],2,0)</f>
        <v>CHI NHÁNH HẢI PHÒNG - CÔNG TY CỔ PHẦN DỊCH VỤ THƯƠNG MẠI TỔNG HỢP WINCOMMERCE</v>
      </c>
      <c r="G215" s="16" t="str">
        <f>VLOOKUP(Table8[[#This Row],[Mã khách hàng]],code_khach_hang[],3,0)</f>
        <v>Miền Bắc đặc biệt 3</v>
      </c>
      <c r="H215" t="str">
        <f>VLOOKUP(Table8[[#This Row],[Mã khách hàng]],'Khách hàng'!A:D,4,0)</f>
        <v>Food Đức Việt</v>
      </c>
      <c r="I215" t="str">
        <f>VLOOKUP(Table8[[#This Row],[Mã khách hàng]],'Khách hàng'!A:E,5,0)</f>
        <v>HN0040</v>
      </c>
    </row>
    <row r="216" spans="1:9">
      <c r="A216" s="14" t="s">
        <v>9102</v>
      </c>
      <c r="B216" s="15" t="s">
        <v>5</v>
      </c>
      <c r="C216" s="10" t="s">
        <v>9103</v>
      </c>
      <c r="D216" s="16" t="s">
        <v>1157</v>
      </c>
      <c r="E216" s="15" t="s">
        <v>11198</v>
      </c>
      <c r="F216" s="16" t="str">
        <f>VLOOKUP(Table8[[#This Row],[Mã khách hàng]],code_khach_hang[],2,0)</f>
        <v>CHI NHÁNH HẢI PHÒNG - CÔNG TY CỔ PHẦN DỊCH VỤ THƯƠNG MẠI TỔNG HỢP WINCOMMERCE</v>
      </c>
      <c r="G216" s="16" t="str">
        <f>VLOOKUP(Table8[[#This Row],[Mã khách hàng]],code_khach_hang[],3,0)</f>
        <v>Miền Bắc đặc biệt 3</v>
      </c>
      <c r="H216" t="str">
        <f>VLOOKUP(Table8[[#This Row],[Mã khách hàng]],'Khách hàng'!A:D,4,0)</f>
        <v>Food Đức Việt</v>
      </c>
      <c r="I216" t="str">
        <f>VLOOKUP(Table8[[#This Row],[Mã khách hàng]],'Khách hàng'!A:E,5,0)</f>
        <v>HN0040</v>
      </c>
    </row>
    <row r="217" spans="1:9">
      <c r="A217" s="14" t="s">
        <v>1362</v>
      </c>
      <c r="B217" s="15" t="s">
        <v>5</v>
      </c>
      <c r="C217" s="10" t="s">
        <v>1363</v>
      </c>
      <c r="D217" s="16" t="s">
        <v>1160</v>
      </c>
      <c r="E217" s="15" t="s">
        <v>11198</v>
      </c>
      <c r="F217" s="16" t="str">
        <f>VLOOKUP(Table8[[#This Row],[Mã khách hàng]],code_khach_hang[],2,0)</f>
        <v>CHI NHÁNH HẢI PHÒNG - CÔNG TY CỔ PHẦN DỊCH VỤ THƯƠNG MẠI TỔNG HỢP WINCOMMERCE</v>
      </c>
      <c r="G217" s="16" t="str">
        <f>VLOOKUP(Table8[[#This Row],[Mã khách hàng]],code_khach_hang[],3,0)</f>
        <v>Miền Bắc đặc biệt 3</v>
      </c>
      <c r="H217" t="str">
        <f>VLOOKUP(Table8[[#This Row],[Mã khách hàng]],'Khách hàng'!A:D,4,0)</f>
        <v>Food Đức Việt</v>
      </c>
      <c r="I217" t="str">
        <f>VLOOKUP(Table8[[#This Row],[Mã khách hàng]],'Khách hàng'!A:E,5,0)</f>
        <v>HN0040</v>
      </c>
    </row>
    <row r="218" spans="1:9">
      <c r="A218" s="14" t="s">
        <v>1467</v>
      </c>
      <c r="B218" s="15" t="s">
        <v>5</v>
      </c>
      <c r="C218" s="10" t="s">
        <v>1468</v>
      </c>
      <c r="D218" s="16" t="s">
        <v>1163</v>
      </c>
      <c r="E218" s="15" t="s">
        <v>11198</v>
      </c>
      <c r="F218" s="16" t="str">
        <f>VLOOKUP(Table8[[#This Row],[Mã khách hàng]],code_khach_hang[],2,0)</f>
        <v>CHI NHÁNH HẢI PHÒNG - CÔNG TY CỔ PHẦN DỊCH VỤ THƯƠNG MẠI TỔNG HỢP WINCOMMERCE</v>
      </c>
      <c r="G218" s="16" t="str">
        <f>VLOOKUP(Table8[[#This Row],[Mã khách hàng]],code_khach_hang[],3,0)</f>
        <v>Miền Bắc đặc biệt 3</v>
      </c>
      <c r="H218" t="str">
        <f>VLOOKUP(Table8[[#This Row],[Mã khách hàng]],'Khách hàng'!A:D,4,0)</f>
        <v>Food Đức Việt</v>
      </c>
      <c r="I218" t="str">
        <f>VLOOKUP(Table8[[#This Row],[Mã khách hàng]],'Khách hàng'!A:E,5,0)</f>
        <v>HN0040</v>
      </c>
    </row>
    <row r="219" spans="1:9">
      <c r="A219" s="14" t="s">
        <v>1635</v>
      </c>
      <c r="B219" s="15" t="s">
        <v>5</v>
      </c>
      <c r="C219" s="10" t="s">
        <v>1636</v>
      </c>
      <c r="D219" s="16" t="s">
        <v>1166</v>
      </c>
      <c r="E219" s="15" t="s">
        <v>11198</v>
      </c>
      <c r="F219" s="16" t="str">
        <f>VLOOKUP(Table8[[#This Row],[Mã khách hàng]],code_khach_hang[],2,0)</f>
        <v>CHI NHÁNH HẢI PHÒNG - CÔNG TY CỔ PHẦN DỊCH VỤ THƯƠNG MẠI TỔNG HỢP WINCOMMERCE</v>
      </c>
      <c r="G219" s="16" t="str">
        <f>VLOOKUP(Table8[[#This Row],[Mã khách hàng]],code_khach_hang[],3,0)</f>
        <v>Miền Bắc đặc biệt 3</v>
      </c>
      <c r="H219" t="str">
        <f>VLOOKUP(Table8[[#This Row],[Mã khách hàng]],'Khách hàng'!A:D,4,0)</f>
        <v>Food Đức Việt</v>
      </c>
      <c r="I219" t="str">
        <f>VLOOKUP(Table8[[#This Row],[Mã khách hàng]],'Khách hàng'!A:E,5,0)</f>
        <v>HN0040</v>
      </c>
    </row>
    <row r="220" spans="1:9">
      <c r="A220" s="14" t="s">
        <v>1850</v>
      </c>
      <c r="B220" s="15" t="s">
        <v>5</v>
      </c>
      <c r="C220" s="10" t="s">
        <v>1851</v>
      </c>
      <c r="D220" s="16" t="s">
        <v>1169</v>
      </c>
      <c r="E220" s="15" t="s">
        <v>11198</v>
      </c>
      <c r="F220" s="16" t="str">
        <f>VLOOKUP(Table8[[#This Row],[Mã khách hàng]],code_khach_hang[],2,0)</f>
        <v>CHI NHÁNH HẢI PHÒNG - CÔNG TY CỔ PHẦN DỊCH VỤ THƯƠNG MẠI TỔNG HỢP WINCOMMERCE</v>
      </c>
      <c r="G220" s="16" t="str">
        <f>VLOOKUP(Table8[[#This Row],[Mã khách hàng]],code_khach_hang[],3,0)</f>
        <v>Miền Bắc đặc biệt 3</v>
      </c>
      <c r="H220" t="str">
        <f>VLOOKUP(Table8[[#This Row],[Mã khách hàng]],'Khách hàng'!A:D,4,0)</f>
        <v>Food Đức Việt</v>
      </c>
      <c r="I220" t="str">
        <f>VLOOKUP(Table8[[#This Row],[Mã khách hàng]],'Khách hàng'!A:E,5,0)</f>
        <v>HN0040</v>
      </c>
    </row>
    <row r="221" spans="1:9">
      <c r="A221" s="14" t="s">
        <v>2007</v>
      </c>
      <c r="B221" s="15" t="s">
        <v>5</v>
      </c>
      <c r="C221" s="10" t="s">
        <v>2008</v>
      </c>
      <c r="D221" s="16" t="s">
        <v>1172</v>
      </c>
      <c r="E221" s="15" t="s">
        <v>11198</v>
      </c>
      <c r="F221" s="16" t="str">
        <f>VLOOKUP(Table8[[#This Row],[Mã khách hàng]],code_khach_hang[],2,0)</f>
        <v>CHI NHÁNH HẢI PHÒNG - CÔNG TY CỔ PHẦN DỊCH VỤ THƯƠNG MẠI TỔNG HỢP WINCOMMERCE</v>
      </c>
      <c r="G221" s="16" t="str">
        <f>VLOOKUP(Table8[[#This Row],[Mã khách hàng]],code_khach_hang[],3,0)</f>
        <v>Miền Bắc đặc biệt 3</v>
      </c>
      <c r="H221" t="str">
        <f>VLOOKUP(Table8[[#This Row],[Mã khách hàng]],'Khách hàng'!A:D,4,0)</f>
        <v>Food Đức Việt</v>
      </c>
      <c r="I221" t="str">
        <f>VLOOKUP(Table8[[#This Row],[Mã khách hàng]],'Khách hàng'!A:E,5,0)</f>
        <v>HN0040</v>
      </c>
    </row>
    <row r="222" spans="1:9">
      <c r="A222" s="14" t="s">
        <v>2548</v>
      </c>
      <c r="B222" s="15" t="s">
        <v>5</v>
      </c>
      <c r="C222" s="10" t="s">
        <v>2549</v>
      </c>
      <c r="D222" s="16" t="s">
        <v>1175</v>
      </c>
      <c r="E222" s="15" t="s">
        <v>11198</v>
      </c>
      <c r="F222" s="16" t="str">
        <f>VLOOKUP(Table8[[#This Row],[Mã khách hàng]],code_khach_hang[],2,0)</f>
        <v>CHI NHÁNH HẢI PHÒNG - CÔNG TY CỔ PHẦN DỊCH VỤ THƯƠNG MẠI TỔNG HỢP WINCOMMERCE</v>
      </c>
      <c r="G222" s="16" t="str">
        <f>VLOOKUP(Table8[[#This Row],[Mã khách hàng]],code_khach_hang[],3,0)</f>
        <v>Miền Bắc đặc biệt 3</v>
      </c>
      <c r="H222" t="str">
        <f>VLOOKUP(Table8[[#This Row],[Mã khách hàng]],'Khách hàng'!A:D,4,0)</f>
        <v>Food Đức Việt</v>
      </c>
      <c r="I222" t="str">
        <f>VLOOKUP(Table8[[#This Row],[Mã khách hàng]],'Khách hàng'!A:E,5,0)</f>
        <v>HN0040</v>
      </c>
    </row>
    <row r="223" spans="1:9">
      <c r="A223" s="14" t="s">
        <v>2804</v>
      </c>
      <c r="B223" s="15" t="s">
        <v>5</v>
      </c>
      <c r="C223" s="10" t="s">
        <v>2805</v>
      </c>
      <c r="D223" s="16" t="s">
        <v>1178</v>
      </c>
      <c r="E223" s="15" t="s">
        <v>11198</v>
      </c>
      <c r="F223" s="16" t="str">
        <f>VLOOKUP(Table8[[#This Row],[Mã khách hàng]],code_khach_hang[],2,0)</f>
        <v>CHI NHÁNH HẢI PHÒNG - CÔNG TY CỔ PHẦN DỊCH VỤ THƯƠNG MẠI TỔNG HỢP WINCOMMERCE</v>
      </c>
      <c r="G223" s="16" t="str">
        <f>VLOOKUP(Table8[[#This Row],[Mã khách hàng]],code_khach_hang[],3,0)</f>
        <v>Miền Bắc đặc biệt 3</v>
      </c>
      <c r="H223" t="str">
        <f>VLOOKUP(Table8[[#This Row],[Mã khách hàng]],'Khách hàng'!A:D,4,0)</f>
        <v>Food Đức Việt</v>
      </c>
      <c r="I223" t="str">
        <f>VLOOKUP(Table8[[#This Row],[Mã khách hàng]],'Khách hàng'!A:E,5,0)</f>
        <v>HN0040</v>
      </c>
    </row>
    <row r="224" spans="1:9">
      <c r="A224" s="14" t="s">
        <v>1496</v>
      </c>
      <c r="B224" s="15" t="s">
        <v>5</v>
      </c>
      <c r="C224" s="10" t="s">
        <v>1497</v>
      </c>
      <c r="D224" s="16" t="s">
        <v>1181</v>
      </c>
      <c r="E224" s="15" t="s">
        <v>11198</v>
      </c>
      <c r="F224" s="16" t="str">
        <f>VLOOKUP(Table8[[#This Row],[Mã khách hàng]],code_khach_hang[],2,0)</f>
        <v>CHI NHÁNH HẢI PHÒNG - CÔNG TY CỔ PHẦN DỊCH VỤ THƯƠNG MẠI TỔNG HỢP WINCOMMERCE</v>
      </c>
      <c r="G224" s="16" t="str">
        <f>VLOOKUP(Table8[[#This Row],[Mã khách hàng]],code_khach_hang[],3,0)</f>
        <v>Miền Bắc đặc biệt 3</v>
      </c>
      <c r="H224" t="str">
        <f>VLOOKUP(Table8[[#This Row],[Mã khách hàng]],'Khách hàng'!A:D,4,0)</f>
        <v>Food Đức Việt</v>
      </c>
      <c r="I224" t="str">
        <f>VLOOKUP(Table8[[#This Row],[Mã khách hàng]],'Khách hàng'!A:E,5,0)</f>
        <v>HN0040</v>
      </c>
    </row>
    <row r="225" spans="1:9">
      <c r="A225" s="14" t="s">
        <v>1549</v>
      </c>
      <c r="B225" s="15" t="s">
        <v>5</v>
      </c>
      <c r="C225" s="10" t="s">
        <v>1550</v>
      </c>
      <c r="D225" s="16" t="s">
        <v>1184</v>
      </c>
      <c r="E225" s="15" t="s">
        <v>11198</v>
      </c>
      <c r="F225" s="16" t="str">
        <f>VLOOKUP(Table8[[#This Row],[Mã khách hàng]],code_khach_hang[],2,0)</f>
        <v>CHI NHÁNH HẢI PHÒNG - CÔNG TY CỔ PHẦN DỊCH VỤ THƯƠNG MẠI TỔNG HỢP WINCOMMERCE</v>
      </c>
      <c r="G225" s="16" t="str">
        <f>VLOOKUP(Table8[[#This Row],[Mã khách hàng]],code_khach_hang[],3,0)</f>
        <v>Miền Bắc đặc biệt 3</v>
      </c>
      <c r="H225" t="str">
        <f>VLOOKUP(Table8[[#This Row],[Mã khách hàng]],'Khách hàng'!A:D,4,0)</f>
        <v>Food Đức Việt</v>
      </c>
      <c r="I225" t="str">
        <f>VLOOKUP(Table8[[#This Row],[Mã khách hàng]],'Khách hàng'!A:E,5,0)</f>
        <v>HN0040</v>
      </c>
    </row>
    <row r="226" spans="1:9">
      <c r="A226" s="14" t="s">
        <v>658</v>
      </c>
      <c r="B226" s="15" t="s">
        <v>183</v>
      </c>
      <c r="C226" s="10" t="s">
        <v>659</v>
      </c>
      <c r="D226" s="16" t="s">
        <v>1187</v>
      </c>
      <c r="E226" s="15" t="s">
        <v>11198</v>
      </c>
      <c r="F226" s="16" t="str">
        <f>VLOOKUP(Table8[[#This Row],[Mã khách hàng]],code_khach_hang[],2,0)</f>
        <v>CHI NHÁNH HẢI PHÒNG - CÔNG TY CỔ PHẦN DỊCH VỤ THƯƠNG MẠI TỔNG HỢP WINCOMMERCE</v>
      </c>
      <c r="G226" s="16" t="str">
        <f>VLOOKUP(Table8[[#This Row],[Mã khách hàng]],code_khach_hang[],3,0)</f>
        <v>Miền Bắc đặc biệt 3</v>
      </c>
      <c r="H226" t="str">
        <f>VLOOKUP(Table8[[#This Row],[Mã khách hàng]],'Khách hàng'!A:D,4,0)</f>
        <v>Food Đức Việt</v>
      </c>
      <c r="I226" t="str">
        <f>VLOOKUP(Table8[[#This Row],[Mã khách hàng]],'Khách hàng'!A:E,5,0)</f>
        <v>HN0040</v>
      </c>
    </row>
    <row r="227" spans="1:9">
      <c r="A227" s="14" t="s">
        <v>783</v>
      </c>
      <c r="B227" s="15" t="s">
        <v>5</v>
      </c>
      <c r="C227" s="10" t="s">
        <v>784</v>
      </c>
      <c r="D227" s="16" t="s">
        <v>1190</v>
      </c>
      <c r="E227" s="15" t="s">
        <v>11215</v>
      </c>
      <c r="F227" s="16" t="str">
        <f>VLOOKUP(Table8[[#This Row],[Mã khách hàng]],code_khach_hang[],2,0)</f>
        <v>CHI NHÁNH HÀ NỘI - CÔNG TY CỔ PHẦN DỊCH VỤ THƯƠNG MẠI TỔNG HỢP WINCOMMERCE</v>
      </c>
      <c r="G227" s="16" t="str">
        <f>VLOOKUP(Table8[[#This Row],[Mã khách hàng]],code_khach_hang[],3,0)</f>
        <v>Miền Bắc đặc biệt 1</v>
      </c>
      <c r="H227" t="str">
        <f>VLOOKUP(Table8[[#This Row],[Mã khách hàng]],'Khách hàng'!A:D,4,0)</f>
        <v>Food Đức Việt</v>
      </c>
      <c r="I227" t="str">
        <f>VLOOKUP(Table8[[#This Row],[Mã khách hàng]],'Khách hàng'!A:E,5,0)</f>
        <v>HN0040</v>
      </c>
    </row>
    <row r="228" spans="1:9">
      <c r="A228" s="14" t="s">
        <v>810</v>
      </c>
      <c r="B228" s="15" t="s">
        <v>5</v>
      </c>
      <c r="C228" s="10" t="s">
        <v>811</v>
      </c>
      <c r="D228" s="16" t="s">
        <v>1193</v>
      </c>
      <c r="E228" s="15" t="s">
        <v>11215</v>
      </c>
      <c r="F228" s="16" t="str">
        <f>VLOOKUP(Table8[[#This Row],[Mã khách hàng]],code_khach_hang[],2,0)</f>
        <v>CHI NHÁNH HÀ NỘI - CÔNG TY CỔ PHẦN DỊCH VỤ THƯƠNG MẠI TỔNG HỢP WINCOMMERCE</v>
      </c>
      <c r="G228" s="16" t="str">
        <f>VLOOKUP(Table8[[#This Row],[Mã khách hàng]],code_khach_hang[],3,0)</f>
        <v>Miền Bắc đặc biệt 1</v>
      </c>
      <c r="H228" t="str">
        <f>VLOOKUP(Table8[[#This Row],[Mã khách hàng]],'Khách hàng'!A:D,4,0)</f>
        <v>Food Đức Việt</v>
      </c>
      <c r="I228" t="str">
        <f>VLOOKUP(Table8[[#This Row],[Mã khách hàng]],'Khách hàng'!A:E,5,0)</f>
        <v>HN0040</v>
      </c>
    </row>
    <row r="229" spans="1:9">
      <c r="A229" s="14" t="s">
        <v>11089</v>
      </c>
      <c r="B229" s="15" t="s">
        <v>5</v>
      </c>
      <c r="C229" s="10" t="s">
        <v>13140</v>
      </c>
      <c r="D229" s="16" t="s">
        <v>1196</v>
      </c>
      <c r="E229" s="15" t="s">
        <v>11215</v>
      </c>
      <c r="F229" s="16" t="str">
        <f>VLOOKUP(Table8[[#This Row],[Mã khách hàng]],code_khach_hang[],2,0)</f>
        <v>CHI NHÁNH HÀ NỘI - CÔNG TY CỔ PHẦN DỊCH VỤ THƯƠNG MẠI TỔNG HỢP WINCOMMERCE</v>
      </c>
      <c r="G229" s="16" t="str">
        <f>VLOOKUP(Table8[[#This Row],[Mã khách hàng]],code_khach_hang[],3,0)</f>
        <v>Miền Bắc đặc biệt 1</v>
      </c>
      <c r="H229" t="str">
        <f>VLOOKUP(Table8[[#This Row],[Mã khách hàng]],'Khách hàng'!A:D,4,0)</f>
        <v>Food Đức Việt</v>
      </c>
      <c r="I229" t="str">
        <f>VLOOKUP(Table8[[#This Row],[Mã khách hàng]],'Khách hàng'!A:E,5,0)</f>
        <v>HN0040</v>
      </c>
    </row>
    <row r="230" spans="1:9">
      <c r="A230" s="14" t="s">
        <v>1140</v>
      </c>
      <c r="B230" s="15" t="s">
        <v>5</v>
      </c>
      <c r="C230" s="10" t="s">
        <v>1141</v>
      </c>
      <c r="D230" s="16" t="s">
        <v>1199</v>
      </c>
      <c r="E230" s="15" t="s">
        <v>11215</v>
      </c>
      <c r="F230" s="16" t="str">
        <f>VLOOKUP(Table8[[#This Row],[Mã khách hàng]],code_khach_hang[],2,0)</f>
        <v>CHI NHÁNH HÀ NỘI - CÔNG TY CỔ PHẦN DỊCH VỤ THƯƠNG MẠI TỔNG HỢP WINCOMMERCE</v>
      </c>
      <c r="G230" s="16" t="str">
        <f>VLOOKUP(Table8[[#This Row],[Mã khách hàng]],code_khach_hang[],3,0)</f>
        <v>Miền Bắc đặc biệt 1</v>
      </c>
      <c r="H230" t="str">
        <f>VLOOKUP(Table8[[#This Row],[Mã khách hàng]],'Khách hàng'!A:D,4,0)</f>
        <v>Food Đức Việt</v>
      </c>
      <c r="I230" t="str">
        <f>VLOOKUP(Table8[[#This Row],[Mã khách hàng]],'Khách hàng'!A:E,5,0)</f>
        <v>HN0040</v>
      </c>
    </row>
    <row r="231" spans="1:9">
      <c r="A231" s="14" t="s">
        <v>1182</v>
      </c>
      <c r="B231" s="15" t="s">
        <v>5</v>
      </c>
      <c r="C231" s="10" t="s">
        <v>1183</v>
      </c>
      <c r="D231" s="16" t="s">
        <v>1202</v>
      </c>
      <c r="E231" s="15" t="s">
        <v>11215</v>
      </c>
      <c r="F231" s="16" t="str">
        <f>VLOOKUP(Table8[[#This Row],[Mã khách hàng]],code_khach_hang[],2,0)</f>
        <v>CHI NHÁNH HÀ NỘI - CÔNG TY CỔ PHẦN DỊCH VỤ THƯƠNG MẠI TỔNG HỢP WINCOMMERCE</v>
      </c>
      <c r="G231" s="16" t="str">
        <f>VLOOKUP(Table8[[#This Row],[Mã khách hàng]],code_khach_hang[],3,0)</f>
        <v>Miền Bắc đặc biệt 1</v>
      </c>
      <c r="H231" t="str">
        <f>VLOOKUP(Table8[[#This Row],[Mã khách hàng]],'Khách hàng'!A:D,4,0)</f>
        <v>Food Đức Việt</v>
      </c>
      <c r="I231" t="str">
        <f>VLOOKUP(Table8[[#This Row],[Mã khách hàng]],'Khách hàng'!A:E,5,0)</f>
        <v>HN0040</v>
      </c>
    </row>
    <row r="232" spans="1:9">
      <c r="A232" s="14" t="s">
        <v>1263</v>
      </c>
      <c r="B232" s="15" t="s">
        <v>5</v>
      </c>
      <c r="C232" s="10" t="s">
        <v>1264</v>
      </c>
      <c r="D232" s="16" t="s">
        <v>1205</v>
      </c>
      <c r="E232" s="15" t="s">
        <v>11215</v>
      </c>
      <c r="F232" s="16" t="str">
        <f>VLOOKUP(Table8[[#This Row],[Mã khách hàng]],code_khach_hang[],2,0)</f>
        <v>CHI NHÁNH HÀ NỘI - CÔNG TY CỔ PHẦN DỊCH VỤ THƯƠNG MẠI TỔNG HỢP WINCOMMERCE</v>
      </c>
      <c r="G232" s="16" t="str">
        <f>VLOOKUP(Table8[[#This Row],[Mã khách hàng]],code_khach_hang[],3,0)</f>
        <v>Miền Bắc đặc biệt 1</v>
      </c>
      <c r="H232" t="str">
        <f>VLOOKUP(Table8[[#This Row],[Mã khách hàng]],'Khách hàng'!A:D,4,0)</f>
        <v>Food Đức Việt</v>
      </c>
      <c r="I232" t="str">
        <f>VLOOKUP(Table8[[#This Row],[Mã khách hàng]],'Khách hàng'!A:E,5,0)</f>
        <v>HN0040</v>
      </c>
    </row>
    <row r="233" spans="1:9">
      <c r="A233" s="14" t="s">
        <v>5007</v>
      </c>
      <c r="B233" s="15" t="s">
        <v>5</v>
      </c>
      <c r="C233" s="10" t="s">
        <v>5008</v>
      </c>
      <c r="D233" s="16" t="s">
        <v>1208</v>
      </c>
      <c r="E233" s="15" t="s">
        <v>11215</v>
      </c>
      <c r="F233" s="16" t="str">
        <f>VLOOKUP(Table8[[#This Row],[Mã khách hàng]],code_khach_hang[],2,0)</f>
        <v>CHI NHÁNH HÀ NỘI - CÔNG TY CỔ PHẦN DỊCH VỤ THƯƠNG MẠI TỔNG HỢP WINCOMMERCE</v>
      </c>
      <c r="G233" s="16" t="str">
        <f>VLOOKUP(Table8[[#This Row],[Mã khách hàng]],code_khach_hang[],3,0)</f>
        <v>Miền Bắc đặc biệt 1</v>
      </c>
      <c r="H233" t="str">
        <f>VLOOKUP(Table8[[#This Row],[Mã khách hàng]],'Khách hàng'!A:D,4,0)</f>
        <v>Food Đức Việt</v>
      </c>
      <c r="I233" t="str">
        <f>VLOOKUP(Table8[[#This Row],[Mã khách hàng]],'Khách hàng'!A:E,5,0)</f>
        <v>HN0040</v>
      </c>
    </row>
    <row r="234" spans="1:9">
      <c r="A234" s="14" t="s">
        <v>5544</v>
      </c>
      <c r="B234" s="15" t="s">
        <v>5</v>
      </c>
      <c r="C234" s="10" t="s">
        <v>5545</v>
      </c>
      <c r="D234" s="16" t="s">
        <v>1211</v>
      </c>
      <c r="E234" s="15" t="s">
        <v>11215</v>
      </c>
      <c r="F234" s="16" t="str">
        <f>VLOOKUP(Table8[[#This Row],[Mã khách hàng]],code_khach_hang[],2,0)</f>
        <v>CHI NHÁNH HÀ NỘI - CÔNG TY CỔ PHẦN DỊCH VỤ THƯƠNG MẠI TỔNG HỢP WINCOMMERCE</v>
      </c>
      <c r="G234" s="16" t="str">
        <f>VLOOKUP(Table8[[#This Row],[Mã khách hàng]],code_khach_hang[],3,0)</f>
        <v>Miền Bắc đặc biệt 1</v>
      </c>
      <c r="H234" t="str">
        <f>VLOOKUP(Table8[[#This Row],[Mã khách hàng]],'Khách hàng'!A:D,4,0)</f>
        <v>Food Đức Việt</v>
      </c>
      <c r="I234" t="str">
        <f>VLOOKUP(Table8[[#This Row],[Mã khách hàng]],'Khách hàng'!A:E,5,0)</f>
        <v>HN0040</v>
      </c>
    </row>
    <row r="235" spans="1:9">
      <c r="A235" s="14" t="s">
        <v>6695</v>
      </c>
      <c r="B235" s="15" t="s">
        <v>5</v>
      </c>
      <c r="C235" s="10" t="s">
        <v>6696</v>
      </c>
      <c r="D235" s="16" t="s">
        <v>1214</v>
      </c>
      <c r="E235" s="15" t="s">
        <v>11215</v>
      </c>
      <c r="F235" s="16" t="str">
        <f>VLOOKUP(Table8[[#This Row],[Mã khách hàng]],code_khach_hang[],2,0)</f>
        <v>CHI NHÁNH HÀ NỘI - CÔNG TY CỔ PHẦN DỊCH VỤ THƯƠNG MẠI TỔNG HỢP WINCOMMERCE</v>
      </c>
      <c r="G235" s="16" t="str">
        <f>VLOOKUP(Table8[[#This Row],[Mã khách hàng]],code_khach_hang[],3,0)</f>
        <v>Miền Bắc đặc biệt 1</v>
      </c>
      <c r="H235" t="str">
        <f>VLOOKUP(Table8[[#This Row],[Mã khách hàng]],'Khách hàng'!A:D,4,0)</f>
        <v>Food Đức Việt</v>
      </c>
      <c r="I235" t="str">
        <f>VLOOKUP(Table8[[#This Row],[Mã khách hàng]],'Khách hàng'!A:E,5,0)</f>
        <v>HN0040</v>
      </c>
    </row>
    <row r="236" spans="1:9">
      <c r="A236" s="14" t="s">
        <v>7807</v>
      </c>
      <c r="B236" s="15" t="s">
        <v>5</v>
      </c>
      <c r="C236" s="10" t="s">
        <v>7808</v>
      </c>
      <c r="D236" s="16" t="s">
        <v>1217</v>
      </c>
      <c r="E236" s="15" t="s">
        <v>11215</v>
      </c>
      <c r="F236" s="16" t="str">
        <f>VLOOKUP(Table8[[#This Row],[Mã khách hàng]],code_khach_hang[],2,0)</f>
        <v>CHI NHÁNH HÀ NỘI - CÔNG TY CỔ PHẦN DỊCH VỤ THƯƠNG MẠI TỔNG HỢP WINCOMMERCE</v>
      </c>
      <c r="G236" s="16" t="str">
        <f>VLOOKUP(Table8[[#This Row],[Mã khách hàng]],code_khach_hang[],3,0)</f>
        <v>Miền Bắc đặc biệt 1</v>
      </c>
      <c r="H236" t="str">
        <f>VLOOKUP(Table8[[#This Row],[Mã khách hàng]],'Khách hàng'!A:D,4,0)</f>
        <v>Food Đức Việt</v>
      </c>
      <c r="I236" t="str">
        <f>VLOOKUP(Table8[[#This Row],[Mã khách hàng]],'Khách hàng'!A:E,5,0)</f>
        <v>HN0040</v>
      </c>
    </row>
    <row r="237" spans="1:9">
      <c r="A237" s="14" t="s">
        <v>8181</v>
      </c>
      <c r="B237" s="15" t="s">
        <v>5</v>
      </c>
      <c r="C237" s="10" t="s">
        <v>8182</v>
      </c>
      <c r="D237" s="16" t="s">
        <v>1220</v>
      </c>
      <c r="E237" s="15" t="s">
        <v>11215</v>
      </c>
      <c r="F237" s="16" t="str">
        <f>VLOOKUP(Table8[[#This Row],[Mã khách hàng]],code_khach_hang[],2,0)</f>
        <v>CHI NHÁNH HÀ NỘI - CÔNG TY CỔ PHẦN DỊCH VỤ THƯƠNG MẠI TỔNG HỢP WINCOMMERCE</v>
      </c>
      <c r="G237" s="16" t="str">
        <f>VLOOKUP(Table8[[#This Row],[Mã khách hàng]],code_khach_hang[],3,0)</f>
        <v>Miền Bắc đặc biệt 1</v>
      </c>
      <c r="H237" t="str">
        <f>VLOOKUP(Table8[[#This Row],[Mã khách hàng]],'Khách hàng'!A:D,4,0)</f>
        <v>Food Đức Việt</v>
      </c>
      <c r="I237" t="str">
        <f>VLOOKUP(Table8[[#This Row],[Mã khách hàng]],'Khách hàng'!A:E,5,0)</f>
        <v>HN0040</v>
      </c>
    </row>
    <row r="238" spans="1:9">
      <c r="A238" s="14" t="s">
        <v>8195</v>
      </c>
      <c r="B238" s="15" t="s">
        <v>5</v>
      </c>
      <c r="C238" s="10" t="s">
        <v>8196</v>
      </c>
      <c r="D238" s="16" t="s">
        <v>1223</v>
      </c>
      <c r="E238" s="15" t="s">
        <v>11215</v>
      </c>
      <c r="F238" s="16" t="str">
        <f>VLOOKUP(Table8[[#This Row],[Mã khách hàng]],code_khach_hang[],2,0)</f>
        <v>CHI NHÁNH HÀ NỘI - CÔNG TY CỔ PHẦN DỊCH VỤ THƯƠNG MẠI TỔNG HỢP WINCOMMERCE</v>
      </c>
      <c r="G238" s="16" t="str">
        <f>VLOOKUP(Table8[[#This Row],[Mã khách hàng]],code_khach_hang[],3,0)</f>
        <v>Miền Bắc đặc biệt 1</v>
      </c>
      <c r="H238" t="str">
        <f>VLOOKUP(Table8[[#This Row],[Mã khách hàng]],'Khách hàng'!A:D,4,0)</f>
        <v>Food Đức Việt</v>
      </c>
      <c r="I238" t="str">
        <f>VLOOKUP(Table8[[#This Row],[Mã khách hàng]],'Khách hàng'!A:E,5,0)</f>
        <v>HN0040</v>
      </c>
    </row>
    <row r="239" spans="1:9">
      <c r="A239" s="14" t="s">
        <v>750</v>
      </c>
      <c r="B239" s="15" t="s">
        <v>5</v>
      </c>
      <c r="C239" s="10" t="s">
        <v>751</v>
      </c>
      <c r="D239" s="16" t="s">
        <v>1226</v>
      </c>
      <c r="E239" s="15" t="s">
        <v>11215</v>
      </c>
      <c r="F239" s="16" t="str">
        <f>VLOOKUP(Table8[[#This Row],[Mã khách hàng]],code_khach_hang[],2,0)</f>
        <v>CHI NHÁNH HÀ NỘI - CÔNG TY CỔ PHẦN DỊCH VỤ THƯƠNG MẠI TỔNG HỢP WINCOMMERCE</v>
      </c>
      <c r="G239" s="16" t="str">
        <f>VLOOKUP(Table8[[#This Row],[Mã khách hàng]],code_khach_hang[],3,0)</f>
        <v>Miền Bắc đặc biệt 1</v>
      </c>
      <c r="H239" t="str">
        <f>VLOOKUP(Table8[[#This Row],[Mã khách hàng]],'Khách hàng'!A:D,4,0)</f>
        <v>Food Đức Việt</v>
      </c>
      <c r="I239" t="str">
        <f>VLOOKUP(Table8[[#This Row],[Mã khách hàng]],'Khách hàng'!A:E,5,0)</f>
        <v>HN0040</v>
      </c>
    </row>
    <row r="240" spans="1:9">
      <c r="A240" s="14" t="s">
        <v>813</v>
      </c>
      <c r="B240" s="15" t="s">
        <v>5</v>
      </c>
      <c r="C240" s="10" t="s">
        <v>814</v>
      </c>
      <c r="D240" s="16" t="s">
        <v>1229</v>
      </c>
      <c r="E240" s="15" t="s">
        <v>11215</v>
      </c>
      <c r="F240" s="16" t="str">
        <f>VLOOKUP(Table8[[#This Row],[Mã khách hàng]],code_khach_hang[],2,0)</f>
        <v>CHI NHÁNH HÀ NỘI - CÔNG TY CỔ PHẦN DỊCH VỤ THƯƠNG MẠI TỔNG HỢP WINCOMMERCE</v>
      </c>
      <c r="G240" s="16" t="str">
        <f>VLOOKUP(Table8[[#This Row],[Mã khách hàng]],code_khach_hang[],3,0)</f>
        <v>Miền Bắc đặc biệt 1</v>
      </c>
      <c r="H240" t="str">
        <f>VLOOKUP(Table8[[#This Row],[Mã khách hàng]],'Khách hàng'!A:D,4,0)</f>
        <v>Food Đức Việt</v>
      </c>
      <c r="I240" t="str">
        <f>VLOOKUP(Table8[[#This Row],[Mã khách hàng]],'Khách hàng'!A:E,5,0)</f>
        <v>HN0040</v>
      </c>
    </row>
    <row r="241" spans="1:9">
      <c r="A241" s="14" t="s">
        <v>879</v>
      </c>
      <c r="B241" s="15" t="s">
        <v>5</v>
      </c>
      <c r="C241" s="10" t="s">
        <v>880</v>
      </c>
      <c r="D241" s="16" t="s">
        <v>1232</v>
      </c>
      <c r="E241" s="15" t="s">
        <v>11215</v>
      </c>
      <c r="F241" s="16" t="str">
        <f>VLOOKUP(Table8[[#This Row],[Mã khách hàng]],code_khach_hang[],2,0)</f>
        <v>CHI NHÁNH HÀ NỘI - CÔNG TY CỔ PHẦN DỊCH VỤ THƯƠNG MẠI TỔNG HỢP WINCOMMERCE</v>
      </c>
      <c r="G241" s="16" t="str">
        <f>VLOOKUP(Table8[[#This Row],[Mã khách hàng]],code_khach_hang[],3,0)</f>
        <v>Miền Bắc đặc biệt 1</v>
      </c>
      <c r="H241" t="str">
        <f>VLOOKUP(Table8[[#This Row],[Mã khách hàng]],'Khách hàng'!A:D,4,0)</f>
        <v>Food Đức Việt</v>
      </c>
      <c r="I241" t="str">
        <f>VLOOKUP(Table8[[#This Row],[Mã khách hàng]],'Khách hàng'!A:E,5,0)</f>
        <v>HN0040</v>
      </c>
    </row>
    <row r="242" spans="1:9">
      <c r="A242" s="14" t="s">
        <v>897</v>
      </c>
      <c r="B242" s="15" t="s">
        <v>5</v>
      </c>
      <c r="C242" s="10" t="s">
        <v>898</v>
      </c>
      <c r="D242" s="16" t="s">
        <v>1235</v>
      </c>
      <c r="E242" s="15" t="s">
        <v>11215</v>
      </c>
      <c r="F242" s="16" t="str">
        <f>VLOOKUP(Table8[[#This Row],[Mã khách hàng]],code_khach_hang[],2,0)</f>
        <v>CHI NHÁNH HÀ NỘI - CÔNG TY CỔ PHẦN DỊCH VỤ THƯƠNG MẠI TỔNG HỢP WINCOMMERCE</v>
      </c>
      <c r="G242" s="16" t="str">
        <f>VLOOKUP(Table8[[#This Row],[Mã khách hàng]],code_khach_hang[],3,0)</f>
        <v>Miền Bắc đặc biệt 1</v>
      </c>
      <c r="H242" t="str">
        <f>VLOOKUP(Table8[[#This Row],[Mã khách hàng]],'Khách hàng'!A:D,4,0)</f>
        <v>Food Đức Việt</v>
      </c>
      <c r="I242" t="str">
        <f>VLOOKUP(Table8[[#This Row],[Mã khách hàng]],'Khách hàng'!A:E,5,0)</f>
        <v>HN0040</v>
      </c>
    </row>
    <row r="243" spans="1:9">
      <c r="A243" s="14" t="s">
        <v>951</v>
      </c>
      <c r="B243" s="15" t="s">
        <v>5</v>
      </c>
      <c r="C243" s="10" t="s">
        <v>952</v>
      </c>
      <c r="D243" s="16" t="s">
        <v>1238</v>
      </c>
      <c r="E243" s="15" t="s">
        <v>11215</v>
      </c>
      <c r="F243" s="16" t="str">
        <f>VLOOKUP(Table8[[#This Row],[Mã khách hàng]],code_khach_hang[],2,0)</f>
        <v>CHI NHÁNH HÀ NỘI - CÔNG TY CỔ PHẦN DỊCH VỤ THƯƠNG MẠI TỔNG HỢP WINCOMMERCE</v>
      </c>
      <c r="G243" s="16" t="str">
        <f>VLOOKUP(Table8[[#This Row],[Mã khách hàng]],code_khach_hang[],3,0)</f>
        <v>Miền Bắc đặc biệt 1</v>
      </c>
      <c r="H243" t="str">
        <f>VLOOKUP(Table8[[#This Row],[Mã khách hàng]],'Khách hàng'!A:D,4,0)</f>
        <v>Food Đức Việt</v>
      </c>
      <c r="I243" t="str">
        <f>VLOOKUP(Table8[[#This Row],[Mã khách hàng]],'Khách hàng'!A:E,5,0)</f>
        <v>HN0040</v>
      </c>
    </row>
    <row r="244" spans="1:9">
      <c r="A244" s="14" t="s">
        <v>972</v>
      </c>
      <c r="B244" s="15" t="s">
        <v>5</v>
      </c>
      <c r="C244" s="10" t="s">
        <v>973</v>
      </c>
      <c r="D244" s="16" t="s">
        <v>1241</v>
      </c>
      <c r="E244" s="15" t="s">
        <v>11215</v>
      </c>
      <c r="F244" s="16" t="str">
        <f>VLOOKUP(Table8[[#This Row],[Mã khách hàng]],code_khach_hang[],2,0)</f>
        <v>CHI NHÁNH HÀ NỘI - CÔNG TY CỔ PHẦN DỊCH VỤ THƯƠNG MẠI TỔNG HỢP WINCOMMERCE</v>
      </c>
      <c r="G244" s="16" t="str">
        <f>VLOOKUP(Table8[[#This Row],[Mã khách hàng]],code_khach_hang[],3,0)</f>
        <v>Miền Bắc đặc biệt 1</v>
      </c>
      <c r="H244" t="str">
        <f>VLOOKUP(Table8[[#This Row],[Mã khách hàng]],'Khách hàng'!A:D,4,0)</f>
        <v>Food Đức Việt</v>
      </c>
      <c r="I244" t="str">
        <f>VLOOKUP(Table8[[#This Row],[Mã khách hàng]],'Khách hàng'!A:E,5,0)</f>
        <v>HN0040</v>
      </c>
    </row>
    <row r="245" spans="1:9">
      <c r="A245" s="14" t="s">
        <v>11090</v>
      </c>
      <c r="B245" s="15" t="s">
        <v>5</v>
      </c>
      <c r="C245" s="10" t="s">
        <v>13141</v>
      </c>
      <c r="D245" s="16" t="s">
        <v>1244</v>
      </c>
      <c r="E245" s="15" t="s">
        <v>11215</v>
      </c>
      <c r="F245" s="16" t="str">
        <f>VLOOKUP(Table8[[#This Row],[Mã khách hàng]],code_khach_hang[],2,0)</f>
        <v>CHI NHÁNH HÀ NỘI - CÔNG TY CỔ PHẦN DỊCH VỤ THƯƠNG MẠI TỔNG HỢP WINCOMMERCE</v>
      </c>
      <c r="G245" s="16" t="str">
        <f>VLOOKUP(Table8[[#This Row],[Mã khách hàng]],code_khach_hang[],3,0)</f>
        <v>Miền Bắc đặc biệt 1</v>
      </c>
      <c r="H245" t="str">
        <f>VLOOKUP(Table8[[#This Row],[Mã khách hàng]],'Khách hàng'!A:D,4,0)</f>
        <v>Food Đức Việt</v>
      </c>
      <c r="I245" t="str">
        <f>VLOOKUP(Table8[[#This Row],[Mã khách hàng]],'Khách hàng'!A:E,5,0)</f>
        <v>HN0040</v>
      </c>
    </row>
    <row r="246" spans="1:9">
      <c r="A246" s="14" t="s">
        <v>1029</v>
      </c>
      <c r="B246" s="15" t="s">
        <v>5</v>
      </c>
      <c r="C246" s="10" t="s">
        <v>1030</v>
      </c>
      <c r="D246" s="16" t="s">
        <v>1247</v>
      </c>
      <c r="E246" s="15" t="s">
        <v>11215</v>
      </c>
      <c r="F246" s="16" t="str">
        <f>VLOOKUP(Table8[[#This Row],[Mã khách hàng]],code_khach_hang[],2,0)</f>
        <v>CHI NHÁNH HÀ NỘI - CÔNG TY CỔ PHẦN DỊCH VỤ THƯƠNG MẠI TỔNG HỢP WINCOMMERCE</v>
      </c>
      <c r="G246" s="16" t="str">
        <f>VLOOKUP(Table8[[#This Row],[Mã khách hàng]],code_khach_hang[],3,0)</f>
        <v>Miền Bắc đặc biệt 1</v>
      </c>
      <c r="H246" t="str">
        <f>VLOOKUP(Table8[[#This Row],[Mã khách hàng]],'Khách hàng'!A:D,4,0)</f>
        <v>Food Đức Việt</v>
      </c>
      <c r="I246" t="str">
        <f>VLOOKUP(Table8[[#This Row],[Mã khách hàng]],'Khách hàng'!A:E,5,0)</f>
        <v>HN0040</v>
      </c>
    </row>
    <row r="247" spans="1:9">
      <c r="A247" s="14" t="s">
        <v>1032</v>
      </c>
      <c r="B247" s="15" t="s">
        <v>5</v>
      </c>
      <c r="C247" s="10" t="s">
        <v>1033</v>
      </c>
      <c r="D247" s="16" t="s">
        <v>1250</v>
      </c>
      <c r="E247" s="15" t="s">
        <v>11215</v>
      </c>
      <c r="F247" s="16" t="str">
        <f>VLOOKUP(Table8[[#This Row],[Mã khách hàng]],code_khach_hang[],2,0)</f>
        <v>CHI NHÁNH HÀ NỘI - CÔNG TY CỔ PHẦN DỊCH VỤ THƯƠNG MẠI TỔNG HỢP WINCOMMERCE</v>
      </c>
      <c r="G247" s="16" t="str">
        <f>VLOOKUP(Table8[[#This Row],[Mã khách hàng]],code_khach_hang[],3,0)</f>
        <v>Miền Bắc đặc biệt 1</v>
      </c>
      <c r="H247" t="str">
        <f>VLOOKUP(Table8[[#This Row],[Mã khách hàng]],'Khách hàng'!A:D,4,0)</f>
        <v>Food Đức Việt</v>
      </c>
      <c r="I247" t="str">
        <f>VLOOKUP(Table8[[#This Row],[Mã khách hàng]],'Khách hàng'!A:E,5,0)</f>
        <v>HN0040</v>
      </c>
    </row>
    <row r="248" spans="1:9">
      <c r="A248" s="14" t="s">
        <v>1077</v>
      </c>
      <c r="B248" s="15" t="s">
        <v>5</v>
      </c>
      <c r="C248" s="10" t="s">
        <v>1078</v>
      </c>
      <c r="D248" s="16" t="s">
        <v>1253</v>
      </c>
      <c r="E248" s="15" t="s">
        <v>11215</v>
      </c>
      <c r="F248" s="16" t="str">
        <f>VLOOKUP(Table8[[#This Row],[Mã khách hàng]],code_khach_hang[],2,0)</f>
        <v>CHI NHÁNH HÀ NỘI - CÔNG TY CỔ PHẦN DỊCH VỤ THƯƠNG MẠI TỔNG HỢP WINCOMMERCE</v>
      </c>
      <c r="G248" s="16" t="str">
        <f>VLOOKUP(Table8[[#This Row],[Mã khách hàng]],code_khach_hang[],3,0)</f>
        <v>Miền Bắc đặc biệt 1</v>
      </c>
      <c r="H248" t="str">
        <f>VLOOKUP(Table8[[#This Row],[Mã khách hàng]],'Khách hàng'!A:D,4,0)</f>
        <v>Food Đức Việt</v>
      </c>
      <c r="I248" t="str">
        <f>VLOOKUP(Table8[[#This Row],[Mã khách hàng]],'Khách hàng'!A:E,5,0)</f>
        <v>HN0040</v>
      </c>
    </row>
    <row r="249" spans="1:9">
      <c r="A249" s="14" t="s">
        <v>1215</v>
      </c>
      <c r="B249" s="15" t="s">
        <v>5</v>
      </c>
      <c r="C249" s="10" t="s">
        <v>1216</v>
      </c>
      <c r="D249" s="16" t="s">
        <v>1256</v>
      </c>
      <c r="E249" s="15" t="s">
        <v>11215</v>
      </c>
      <c r="F249" s="16" t="str">
        <f>VLOOKUP(Table8[[#This Row],[Mã khách hàng]],code_khach_hang[],2,0)</f>
        <v>CHI NHÁNH HÀ NỘI - CÔNG TY CỔ PHẦN DỊCH VỤ THƯƠNG MẠI TỔNG HỢP WINCOMMERCE</v>
      </c>
      <c r="G249" s="16" t="str">
        <f>VLOOKUP(Table8[[#This Row],[Mã khách hàng]],code_khach_hang[],3,0)</f>
        <v>Miền Bắc đặc biệt 1</v>
      </c>
      <c r="H249" t="str">
        <f>VLOOKUP(Table8[[#This Row],[Mã khách hàng]],'Khách hàng'!A:D,4,0)</f>
        <v>Food Đức Việt</v>
      </c>
      <c r="I249" t="str">
        <f>VLOOKUP(Table8[[#This Row],[Mã khách hàng]],'Khách hàng'!A:E,5,0)</f>
        <v>HN0040</v>
      </c>
    </row>
    <row r="250" spans="1:9">
      <c r="A250" s="14" t="s">
        <v>4230</v>
      </c>
      <c r="B250" s="15" t="s">
        <v>5</v>
      </c>
      <c r="C250" s="10" t="s">
        <v>4231</v>
      </c>
      <c r="D250" s="16" t="s">
        <v>1259</v>
      </c>
      <c r="E250" s="15" t="s">
        <v>11215</v>
      </c>
      <c r="F250" s="16" t="str">
        <f>VLOOKUP(Table8[[#This Row],[Mã khách hàng]],code_khach_hang[],2,0)</f>
        <v>CHI NHÁNH HÀ NỘI - CÔNG TY CỔ PHẦN DỊCH VỤ THƯƠNG MẠI TỔNG HỢP WINCOMMERCE</v>
      </c>
      <c r="G250" s="16" t="str">
        <f>VLOOKUP(Table8[[#This Row],[Mã khách hàng]],code_khach_hang[],3,0)</f>
        <v>Miền Bắc đặc biệt 1</v>
      </c>
      <c r="H250" t="str">
        <f>VLOOKUP(Table8[[#This Row],[Mã khách hàng]],'Khách hàng'!A:D,4,0)</f>
        <v>Food Đức Việt</v>
      </c>
      <c r="I250" t="str">
        <f>VLOOKUP(Table8[[#This Row],[Mã khách hàng]],'Khách hàng'!A:E,5,0)</f>
        <v>HN0040</v>
      </c>
    </row>
    <row r="251" spans="1:9">
      <c r="A251" s="14" t="s">
        <v>4857</v>
      </c>
      <c r="B251" s="15" t="s">
        <v>5</v>
      </c>
      <c r="C251" s="10" t="s">
        <v>4858</v>
      </c>
      <c r="D251" s="16" t="s">
        <v>1262</v>
      </c>
      <c r="E251" s="15" t="s">
        <v>11215</v>
      </c>
      <c r="F251" s="16" t="str">
        <f>VLOOKUP(Table8[[#This Row],[Mã khách hàng]],code_khach_hang[],2,0)</f>
        <v>CHI NHÁNH HÀ NỘI - CÔNG TY CỔ PHẦN DỊCH VỤ THƯƠNG MẠI TỔNG HỢP WINCOMMERCE</v>
      </c>
      <c r="G251" s="16" t="str">
        <f>VLOOKUP(Table8[[#This Row],[Mã khách hàng]],code_khach_hang[],3,0)</f>
        <v>Miền Bắc đặc biệt 1</v>
      </c>
      <c r="H251" t="str">
        <f>VLOOKUP(Table8[[#This Row],[Mã khách hàng]],'Khách hàng'!A:D,4,0)</f>
        <v>Food Đức Việt</v>
      </c>
      <c r="I251" t="str">
        <f>VLOOKUP(Table8[[#This Row],[Mã khách hàng]],'Khách hàng'!A:E,5,0)</f>
        <v>HN0040</v>
      </c>
    </row>
    <row r="252" spans="1:9">
      <c r="A252" s="14" t="s">
        <v>5085</v>
      </c>
      <c r="B252" s="15" t="s">
        <v>5</v>
      </c>
      <c r="C252" s="10" t="s">
        <v>5086</v>
      </c>
      <c r="D252" s="16" t="s">
        <v>1265</v>
      </c>
      <c r="E252" s="15" t="s">
        <v>11215</v>
      </c>
      <c r="F252" s="16" t="str">
        <f>VLOOKUP(Table8[[#This Row],[Mã khách hàng]],code_khach_hang[],2,0)</f>
        <v>CHI NHÁNH HÀ NỘI - CÔNG TY CỔ PHẦN DỊCH VỤ THƯƠNG MẠI TỔNG HỢP WINCOMMERCE</v>
      </c>
      <c r="G252" s="16" t="str">
        <f>VLOOKUP(Table8[[#This Row],[Mã khách hàng]],code_khach_hang[],3,0)</f>
        <v>Miền Bắc đặc biệt 1</v>
      </c>
      <c r="H252" t="str">
        <f>VLOOKUP(Table8[[#This Row],[Mã khách hàng]],'Khách hàng'!A:D,4,0)</f>
        <v>Food Đức Việt</v>
      </c>
      <c r="I252" t="str">
        <f>VLOOKUP(Table8[[#This Row],[Mã khách hàng]],'Khách hàng'!A:E,5,0)</f>
        <v>HN0040</v>
      </c>
    </row>
    <row r="253" spans="1:9">
      <c r="A253" s="14" t="s">
        <v>6602</v>
      </c>
      <c r="B253" s="15" t="s">
        <v>5</v>
      </c>
      <c r="C253" s="10" t="s">
        <v>6603</v>
      </c>
      <c r="D253" s="16" t="s">
        <v>1268</v>
      </c>
      <c r="E253" s="15" t="s">
        <v>11215</v>
      </c>
      <c r="F253" s="16" t="str">
        <f>VLOOKUP(Table8[[#This Row],[Mã khách hàng]],code_khach_hang[],2,0)</f>
        <v>CHI NHÁNH HÀ NỘI - CÔNG TY CỔ PHẦN DỊCH VỤ THƯƠNG MẠI TỔNG HỢP WINCOMMERCE</v>
      </c>
      <c r="G253" s="16" t="str">
        <f>VLOOKUP(Table8[[#This Row],[Mã khách hàng]],code_khach_hang[],3,0)</f>
        <v>Miền Bắc đặc biệt 1</v>
      </c>
      <c r="H253" t="str">
        <f>VLOOKUP(Table8[[#This Row],[Mã khách hàng]],'Khách hàng'!A:D,4,0)</f>
        <v>Food Đức Việt</v>
      </c>
      <c r="I253" t="str">
        <f>VLOOKUP(Table8[[#This Row],[Mã khách hàng]],'Khách hàng'!A:E,5,0)</f>
        <v>HN0040</v>
      </c>
    </row>
    <row r="254" spans="1:9">
      <c r="A254" s="14" t="s">
        <v>1116</v>
      </c>
      <c r="B254" s="15" t="s">
        <v>5</v>
      </c>
      <c r="C254" s="10" t="s">
        <v>1117</v>
      </c>
      <c r="D254" s="16" t="s">
        <v>1271</v>
      </c>
      <c r="E254" s="15" t="s">
        <v>11215</v>
      </c>
      <c r="F254" s="16" t="str">
        <f>VLOOKUP(Table8[[#This Row],[Mã khách hàng]],code_khach_hang[],2,0)</f>
        <v>CHI NHÁNH HÀ NỘI - CÔNG TY CỔ PHẦN DỊCH VỤ THƯƠNG MẠI TỔNG HỢP WINCOMMERCE</v>
      </c>
      <c r="G254" s="16" t="str">
        <f>VLOOKUP(Table8[[#This Row],[Mã khách hàng]],code_khach_hang[],3,0)</f>
        <v>Miền Bắc đặc biệt 1</v>
      </c>
      <c r="H254" t="str">
        <f>VLOOKUP(Table8[[#This Row],[Mã khách hàng]],'Khách hàng'!A:D,4,0)</f>
        <v>Food Đức Việt</v>
      </c>
      <c r="I254" t="str">
        <f>VLOOKUP(Table8[[#This Row],[Mã khách hàng]],'Khách hàng'!A:E,5,0)</f>
        <v>HN0040</v>
      </c>
    </row>
    <row r="255" spans="1:9">
      <c r="A255" s="14" t="s">
        <v>11091</v>
      </c>
      <c r="B255" s="15" t="s">
        <v>183</v>
      </c>
      <c r="C255" s="10" t="s">
        <v>13142</v>
      </c>
      <c r="D255" s="16" t="s">
        <v>1274</v>
      </c>
      <c r="E255" s="15" t="s">
        <v>11195</v>
      </c>
      <c r="F255" s="16" t="str">
        <f>VLOOKUP(Table8[[#This Row],[Mã khách hàng]],code_khach_hang[],2,0)</f>
        <v>CHI NHÁNH HÀ NỘI - CÔNG TY CỔ PHẦN DỊCH VỤ THƯƠNG MẠI TỔNG HỢP WINCOMMERCE</v>
      </c>
      <c r="G255" s="16" t="str">
        <f>VLOOKUP(Table8[[#This Row],[Mã khách hàng]],code_khach_hang[],3,0)</f>
        <v>Miền Bắc đặc biệt 2</v>
      </c>
      <c r="H255" t="str">
        <f>VLOOKUP(Table8[[#This Row],[Mã khách hàng]],'Khách hàng'!A:D,4,0)</f>
        <v>Food Đức Việt</v>
      </c>
      <c r="I255" t="str">
        <f>VLOOKUP(Table8[[#This Row],[Mã khách hàng]],'Khách hàng'!A:E,5,0)</f>
        <v>HN0040</v>
      </c>
    </row>
    <row r="256" spans="1:9">
      <c r="A256" s="14" t="s">
        <v>8671</v>
      </c>
      <c r="B256" s="15" t="s">
        <v>5</v>
      </c>
      <c r="C256" s="10" t="s">
        <v>8672</v>
      </c>
      <c r="D256" s="16" t="s">
        <v>1277</v>
      </c>
      <c r="E256" s="15" t="s">
        <v>11215</v>
      </c>
      <c r="F256" s="16" t="str">
        <f>VLOOKUP(Table8[[#This Row],[Mã khách hàng]],code_khach_hang[],2,0)</f>
        <v>CHI NHÁNH HÀ NỘI - CÔNG TY CỔ PHẦN DỊCH VỤ THƯƠNG MẠI TỔNG HỢP WINCOMMERCE</v>
      </c>
      <c r="G256" s="16" t="str">
        <f>VLOOKUP(Table8[[#This Row],[Mã khách hàng]],code_khach_hang[],3,0)</f>
        <v>Miền Bắc đặc biệt 1</v>
      </c>
      <c r="H256" t="str">
        <f>VLOOKUP(Table8[[#This Row],[Mã khách hàng]],'Khách hàng'!A:D,4,0)</f>
        <v>Food Đức Việt</v>
      </c>
      <c r="I256" t="str">
        <f>VLOOKUP(Table8[[#This Row],[Mã khách hàng]],'Khách hàng'!A:E,5,0)</f>
        <v>HN0040</v>
      </c>
    </row>
    <row r="257" spans="1:9">
      <c r="A257" s="14" t="s">
        <v>804</v>
      </c>
      <c r="B257" s="15" t="s">
        <v>5</v>
      </c>
      <c r="C257" s="10" t="s">
        <v>805</v>
      </c>
      <c r="D257" s="16" t="s">
        <v>1280</v>
      </c>
      <c r="E257" s="15" t="s">
        <v>11215</v>
      </c>
      <c r="F257" s="16" t="str">
        <f>VLOOKUP(Table8[[#This Row],[Mã khách hàng]],code_khach_hang[],2,0)</f>
        <v>CHI NHÁNH HÀ NỘI - CÔNG TY CỔ PHẦN DỊCH VỤ THƯƠNG MẠI TỔNG HỢP WINCOMMERCE</v>
      </c>
      <c r="G257" s="16" t="str">
        <f>VLOOKUP(Table8[[#This Row],[Mã khách hàng]],code_khach_hang[],3,0)</f>
        <v>Miền Bắc đặc biệt 1</v>
      </c>
      <c r="H257" t="str">
        <f>VLOOKUP(Table8[[#This Row],[Mã khách hàng]],'Khách hàng'!A:D,4,0)</f>
        <v>Food Đức Việt</v>
      </c>
      <c r="I257" t="str">
        <f>VLOOKUP(Table8[[#This Row],[Mã khách hàng]],'Khách hàng'!A:E,5,0)</f>
        <v>HN0040</v>
      </c>
    </row>
    <row r="258" spans="1:9">
      <c r="A258" s="14" t="s">
        <v>816</v>
      </c>
      <c r="B258" s="15" t="s">
        <v>5</v>
      </c>
      <c r="C258" s="10" t="s">
        <v>817</v>
      </c>
      <c r="D258" s="16" t="s">
        <v>1283</v>
      </c>
      <c r="E258" s="15" t="s">
        <v>11215</v>
      </c>
      <c r="F258" s="16" t="str">
        <f>VLOOKUP(Table8[[#This Row],[Mã khách hàng]],code_khach_hang[],2,0)</f>
        <v>CHI NHÁNH HÀ NỘI - CÔNG TY CỔ PHẦN DỊCH VỤ THƯƠNG MẠI TỔNG HỢP WINCOMMERCE</v>
      </c>
      <c r="G258" s="16" t="str">
        <f>VLOOKUP(Table8[[#This Row],[Mã khách hàng]],code_khach_hang[],3,0)</f>
        <v>Miền Bắc đặc biệt 1</v>
      </c>
      <c r="H258" t="str">
        <f>VLOOKUP(Table8[[#This Row],[Mã khách hàng]],'Khách hàng'!A:D,4,0)</f>
        <v>Food Đức Việt</v>
      </c>
      <c r="I258" t="str">
        <f>VLOOKUP(Table8[[#This Row],[Mã khách hàng]],'Khách hàng'!A:E,5,0)</f>
        <v>HN0040</v>
      </c>
    </row>
    <row r="259" spans="1:9">
      <c r="A259" s="14" t="s">
        <v>834</v>
      </c>
      <c r="B259" s="15" t="s">
        <v>5</v>
      </c>
      <c r="C259" s="10" t="s">
        <v>835</v>
      </c>
      <c r="D259" s="16" t="s">
        <v>1286</v>
      </c>
      <c r="E259" s="15" t="s">
        <v>11215</v>
      </c>
      <c r="F259" s="16" t="str">
        <f>VLOOKUP(Table8[[#This Row],[Mã khách hàng]],code_khach_hang[],2,0)</f>
        <v>CHI NHÁNH HÀ NỘI - CÔNG TY CỔ PHẦN DỊCH VỤ THƯƠNG MẠI TỔNG HỢP WINCOMMERCE</v>
      </c>
      <c r="G259" s="16" t="str">
        <f>VLOOKUP(Table8[[#This Row],[Mã khách hàng]],code_khach_hang[],3,0)</f>
        <v>Miền Bắc đặc biệt 1</v>
      </c>
      <c r="H259" t="str">
        <f>VLOOKUP(Table8[[#This Row],[Mã khách hàng]],'Khách hàng'!A:D,4,0)</f>
        <v>Food Đức Việt</v>
      </c>
      <c r="I259" t="str">
        <f>VLOOKUP(Table8[[#This Row],[Mã khách hàng]],'Khách hàng'!A:E,5,0)</f>
        <v>HN0040</v>
      </c>
    </row>
    <row r="260" spans="1:9">
      <c r="A260" s="14" t="s">
        <v>843</v>
      </c>
      <c r="B260" s="15" t="s">
        <v>5</v>
      </c>
      <c r="C260" s="10" t="s">
        <v>844</v>
      </c>
      <c r="D260" s="16" t="s">
        <v>1289</v>
      </c>
      <c r="E260" s="15" t="s">
        <v>11215</v>
      </c>
      <c r="F260" s="16" t="str">
        <f>VLOOKUP(Table8[[#This Row],[Mã khách hàng]],code_khach_hang[],2,0)</f>
        <v>CHI NHÁNH HÀ NỘI - CÔNG TY CỔ PHẦN DỊCH VỤ THƯƠNG MẠI TỔNG HỢP WINCOMMERCE</v>
      </c>
      <c r="G260" s="16" t="str">
        <f>VLOOKUP(Table8[[#This Row],[Mã khách hàng]],code_khach_hang[],3,0)</f>
        <v>Miền Bắc đặc biệt 1</v>
      </c>
      <c r="H260" t="str">
        <f>VLOOKUP(Table8[[#This Row],[Mã khách hàng]],'Khách hàng'!A:D,4,0)</f>
        <v>Food Đức Việt</v>
      </c>
      <c r="I260" t="str">
        <f>VLOOKUP(Table8[[#This Row],[Mã khách hàng]],'Khách hàng'!A:E,5,0)</f>
        <v>HN0040</v>
      </c>
    </row>
    <row r="261" spans="1:9">
      <c r="A261" s="14" t="s">
        <v>873</v>
      </c>
      <c r="B261" s="15" t="s">
        <v>5</v>
      </c>
      <c r="C261" s="10" t="s">
        <v>874</v>
      </c>
      <c r="D261" s="16" t="s">
        <v>1292</v>
      </c>
      <c r="E261" s="15" t="s">
        <v>11215</v>
      </c>
      <c r="F261" s="16" t="str">
        <f>VLOOKUP(Table8[[#This Row],[Mã khách hàng]],code_khach_hang[],2,0)</f>
        <v>CHI NHÁNH HÀ NỘI - CÔNG TY CỔ PHẦN DỊCH VỤ THƯƠNG MẠI TỔNG HỢP WINCOMMERCE</v>
      </c>
      <c r="G261" s="16" t="str">
        <f>VLOOKUP(Table8[[#This Row],[Mã khách hàng]],code_khach_hang[],3,0)</f>
        <v>Miền Bắc đặc biệt 1</v>
      </c>
      <c r="H261" t="str">
        <f>VLOOKUP(Table8[[#This Row],[Mã khách hàng]],'Khách hàng'!A:D,4,0)</f>
        <v>Food Đức Việt</v>
      </c>
      <c r="I261" t="str">
        <f>VLOOKUP(Table8[[#This Row],[Mã khách hàng]],'Khách hàng'!A:E,5,0)</f>
        <v>HN0040</v>
      </c>
    </row>
    <row r="262" spans="1:9">
      <c r="A262" s="14" t="s">
        <v>912</v>
      </c>
      <c r="B262" s="15" t="s">
        <v>5</v>
      </c>
      <c r="C262" s="10" t="s">
        <v>913</v>
      </c>
      <c r="D262" s="16" t="s">
        <v>1295</v>
      </c>
      <c r="E262" s="15" t="s">
        <v>11215</v>
      </c>
      <c r="F262" s="16" t="str">
        <f>VLOOKUP(Table8[[#This Row],[Mã khách hàng]],code_khach_hang[],2,0)</f>
        <v>CHI NHÁNH HÀ NỘI - CÔNG TY CỔ PHẦN DỊCH VỤ THƯƠNG MẠI TỔNG HỢP WINCOMMERCE</v>
      </c>
      <c r="G262" s="16" t="str">
        <f>VLOOKUP(Table8[[#This Row],[Mã khách hàng]],code_khach_hang[],3,0)</f>
        <v>Miền Bắc đặc biệt 1</v>
      </c>
      <c r="H262" t="str">
        <f>VLOOKUP(Table8[[#This Row],[Mã khách hàng]],'Khách hàng'!A:D,4,0)</f>
        <v>Food Đức Việt</v>
      </c>
      <c r="I262" t="str">
        <f>VLOOKUP(Table8[[#This Row],[Mã khách hàng]],'Khách hàng'!A:E,5,0)</f>
        <v>HN0040</v>
      </c>
    </row>
    <row r="263" spans="1:9">
      <c r="A263" s="14" t="s">
        <v>927</v>
      </c>
      <c r="B263" s="15" t="s">
        <v>5</v>
      </c>
      <c r="C263" s="10" t="s">
        <v>928</v>
      </c>
      <c r="D263" s="16" t="s">
        <v>1298</v>
      </c>
      <c r="E263" s="15" t="s">
        <v>11215</v>
      </c>
      <c r="F263" s="16" t="str">
        <f>VLOOKUP(Table8[[#This Row],[Mã khách hàng]],code_khach_hang[],2,0)</f>
        <v>CHI NHÁNH HÀ NỘI - CÔNG TY CỔ PHẦN DỊCH VỤ THƯƠNG MẠI TỔNG HỢP WINCOMMERCE</v>
      </c>
      <c r="G263" s="16" t="str">
        <f>VLOOKUP(Table8[[#This Row],[Mã khách hàng]],code_khach_hang[],3,0)</f>
        <v>Miền Bắc đặc biệt 1</v>
      </c>
      <c r="H263" t="str">
        <f>VLOOKUP(Table8[[#This Row],[Mã khách hàng]],'Khách hàng'!A:D,4,0)</f>
        <v>Food Đức Việt</v>
      </c>
      <c r="I263" t="str">
        <f>VLOOKUP(Table8[[#This Row],[Mã khách hàng]],'Khách hàng'!A:E,5,0)</f>
        <v>HN0040</v>
      </c>
    </row>
    <row r="264" spans="1:9">
      <c r="A264" s="14" t="s">
        <v>933</v>
      </c>
      <c r="B264" s="15" t="s">
        <v>5</v>
      </c>
      <c r="C264" s="10" t="s">
        <v>934</v>
      </c>
      <c r="D264" s="16" t="s">
        <v>1301</v>
      </c>
      <c r="E264" s="15" t="s">
        <v>11215</v>
      </c>
      <c r="F264" s="16" t="str">
        <f>VLOOKUP(Table8[[#This Row],[Mã khách hàng]],code_khach_hang[],2,0)</f>
        <v>CHI NHÁNH HÀ NỘI - CÔNG TY CỔ PHẦN DỊCH VỤ THƯƠNG MẠI TỔNG HỢP WINCOMMERCE</v>
      </c>
      <c r="G264" s="16" t="str">
        <f>VLOOKUP(Table8[[#This Row],[Mã khách hàng]],code_khach_hang[],3,0)</f>
        <v>Miền Bắc đặc biệt 1</v>
      </c>
      <c r="H264" t="str">
        <f>VLOOKUP(Table8[[#This Row],[Mã khách hàng]],'Khách hàng'!A:D,4,0)</f>
        <v>Food Đức Việt</v>
      </c>
      <c r="I264" t="str">
        <f>VLOOKUP(Table8[[#This Row],[Mã khách hàng]],'Khách hàng'!A:E,5,0)</f>
        <v>HN0040</v>
      </c>
    </row>
    <row r="265" spans="1:9">
      <c r="A265" s="14" t="s">
        <v>936</v>
      </c>
      <c r="B265" s="15" t="s">
        <v>5</v>
      </c>
      <c r="C265" s="10" t="s">
        <v>937</v>
      </c>
      <c r="D265" s="16" t="s">
        <v>1304</v>
      </c>
      <c r="E265" s="15" t="s">
        <v>11215</v>
      </c>
      <c r="F265" s="16" t="str">
        <f>VLOOKUP(Table8[[#This Row],[Mã khách hàng]],code_khach_hang[],2,0)</f>
        <v>CHI NHÁNH HÀ NỘI - CÔNG TY CỔ PHẦN DỊCH VỤ THƯƠNG MẠI TỔNG HỢP WINCOMMERCE</v>
      </c>
      <c r="G265" s="16" t="str">
        <f>VLOOKUP(Table8[[#This Row],[Mã khách hàng]],code_khach_hang[],3,0)</f>
        <v>Miền Bắc đặc biệt 1</v>
      </c>
      <c r="H265" t="str">
        <f>VLOOKUP(Table8[[#This Row],[Mã khách hàng]],'Khách hàng'!A:D,4,0)</f>
        <v>Food Đức Việt</v>
      </c>
      <c r="I265" t="str">
        <f>VLOOKUP(Table8[[#This Row],[Mã khách hàng]],'Khách hàng'!A:E,5,0)</f>
        <v>HN0040</v>
      </c>
    </row>
    <row r="266" spans="1:9">
      <c r="A266" s="14" t="s">
        <v>1005</v>
      </c>
      <c r="B266" s="15" t="s">
        <v>5</v>
      </c>
      <c r="C266" s="10" t="s">
        <v>1006</v>
      </c>
      <c r="D266" s="16" t="s">
        <v>1307</v>
      </c>
      <c r="E266" s="15" t="s">
        <v>11215</v>
      </c>
      <c r="F266" s="16" t="str">
        <f>VLOOKUP(Table8[[#This Row],[Mã khách hàng]],code_khach_hang[],2,0)</f>
        <v>CHI NHÁNH HÀ NỘI - CÔNG TY CỔ PHẦN DỊCH VỤ THƯƠNG MẠI TỔNG HỢP WINCOMMERCE</v>
      </c>
      <c r="G266" s="16" t="str">
        <f>VLOOKUP(Table8[[#This Row],[Mã khách hàng]],code_khach_hang[],3,0)</f>
        <v>Miền Bắc đặc biệt 1</v>
      </c>
      <c r="H266" t="str">
        <f>VLOOKUP(Table8[[#This Row],[Mã khách hàng]],'Khách hàng'!A:D,4,0)</f>
        <v>Food Đức Việt</v>
      </c>
      <c r="I266" t="str">
        <f>VLOOKUP(Table8[[#This Row],[Mã khách hàng]],'Khách hàng'!A:E,5,0)</f>
        <v>HN0040</v>
      </c>
    </row>
    <row r="267" spans="1:9">
      <c r="A267" s="14" t="s">
        <v>1125</v>
      </c>
      <c r="B267" s="15" t="s">
        <v>5</v>
      </c>
      <c r="C267" s="10" t="s">
        <v>1126</v>
      </c>
      <c r="D267" s="16" t="s">
        <v>1310</v>
      </c>
      <c r="E267" s="15" t="s">
        <v>11215</v>
      </c>
      <c r="F267" s="16" t="str">
        <f>VLOOKUP(Table8[[#This Row],[Mã khách hàng]],code_khach_hang[],2,0)</f>
        <v>CHI NHÁNH HÀ NỘI - CÔNG TY CỔ PHẦN DỊCH VỤ THƯƠNG MẠI TỔNG HỢP WINCOMMERCE</v>
      </c>
      <c r="G267" s="16" t="str">
        <f>VLOOKUP(Table8[[#This Row],[Mã khách hàng]],code_khach_hang[],3,0)</f>
        <v>Miền Bắc đặc biệt 1</v>
      </c>
      <c r="H267" t="str">
        <f>VLOOKUP(Table8[[#This Row],[Mã khách hàng]],'Khách hàng'!A:D,4,0)</f>
        <v>Food Đức Việt</v>
      </c>
      <c r="I267" t="str">
        <f>VLOOKUP(Table8[[#This Row],[Mã khách hàng]],'Khách hàng'!A:E,5,0)</f>
        <v>HN0040</v>
      </c>
    </row>
    <row r="268" spans="1:9">
      <c r="A268" s="14" t="s">
        <v>1134</v>
      </c>
      <c r="B268" s="15" t="s">
        <v>5</v>
      </c>
      <c r="C268" s="10" t="s">
        <v>1135</v>
      </c>
      <c r="D268" s="16" t="s">
        <v>1313</v>
      </c>
      <c r="E268" s="15" t="s">
        <v>11215</v>
      </c>
      <c r="F268" s="16" t="str">
        <f>VLOOKUP(Table8[[#This Row],[Mã khách hàng]],code_khach_hang[],2,0)</f>
        <v>CHI NHÁNH HÀ NỘI - CÔNG TY CỔ PHẦN DỊCH VỤ THƯƠNG MẠI TỔNG HỢP WINCOMMERCE</v>
      </c>
      <c r="G268" s="16" t="str">
        <f>VLOOKUP(Table8[[#This Row],[Mã khách hàng]],code_khach_hang[],3,0)</f>
        <v>Miền Bắc đặc biệt 1</v>
      </c>
      <c r="H268" t="str">
        <f>VLOOKUP(Table8[[#This Row],[Mã khách hàng]],'Khách hàng'!A:D,4,0)</f>
        <v>Food Đức Việt</v>
      </c>
      <c r="I268" t="str">
        <f>VLOOKUP(Table8[[#This Row],[Mã khách hàng]],'Khách hàng'!A:E,5,0)</f>
        <v>HN0040</v>
      </c>
    </row>
    <row r="269" spans="1:9">
      <c r="A269" s="14" t="s">
        <v>1161</v>
      </c>
      <c r="B269" s="15" t="s">
        <v>5</v>
      </c>
      <c r="C269" s="10" t="s">
        <v>1162</v>
      </c>
      <c r="D269" s="16" t="s">
        <v>1316</v>
      </c>
      <c r="E269" s="15" t="s">
        <v>11215</v>
      </c>
      <c r="F269" s="16" t="str">
        <f>VLOOKUP(Table8[[#This Row],[Mã khách hàng]],code_khach_hang[],2,0)</f>
        <v>CHI NHÁNH HÀ NỘI - CÔNG TY CỔ PHẦN DỊCH VỤ THƯƠNG MẠI TỔNG HỢP WINCOMMERCE</v>
      </c>
      <c r="G269" s="16" t="str">
        <f>VLOOKUP(Table8[[#This Row],[Mã khách hàng]],code_khach_hang[],3,0)</f>
        <v>Miền Bắc đặc biệt 1</v>
      </c>
      <c r="H269" t="str">
        <f>VLOOKUP(Table8[[#This Row],[Mã khách hàng]],'Khách hàng'!A:D,4,0)</f>
        <v>Food Đức Việt</v>
      </c>
      <c r="I269" t="str">
        <f>VLOOKUP(Table8[[#This Row],[Mã khách hàng]],'Khách hàng'!A:E,5,0)</f>
        <v>HN0040</v>
      </c>
    </row>
    <row r="270" spans="1:9">
      <c r="A270" s="14" t="s">
        <v>1185</v>
      </c>
      <c r="B270" s="15" t="s">
        <v>5</v>
      </c>
      <c r="C270" s="10" t="s">
        <v>1186</v>
      </c>
      <c r="D270" s="16" t="s">
        <v>1319</v>
      </c>
      <c r="E270" s="15" t="s">
        <v>11215</v>
      </c>
      <c r="F270" s="16" t="str">
        <f>VLOOKUP(Table8[[#This Row],[Mã khách hàng]],code_khach_hang[],2,0)</f>
        <v>CHI NHÁNH HÀ NỘI - CÔNG TY CỔ PHẦN DỊCH VỤ THƯƠNG MẠI TỔNG HỢP WINCOMMERCE</v>
      </c>
      <c r="G270" s="16" t="str">
        <f>VLOOKUP(Table8[[#This Row],[Mã khách hàng]],code_khach_hang[],3,0)</f>
        <v>Miền Bắc đặc biệt 1</v>
      </c>
      <c r="H270" t="str">
        <f>VLOOKUP(Table8[[#This Row],[Mã khách hàng]],'Khách hàng'!A:D,4,0)</f>
        <v>Food Đức Việt</v>
      </c>
      <c r="I270" t="str">
        <f>VLOOKUP(Table8[[#This Row],[Mã khách hàng]],'Khách hàng'!A:E,5,0)</f>
        <v>HN0040</v>
      </c>
    </row>
    <row r="271" spans="1:9">
      <c r="A271" s="14" t="s">
        <v>11092</v>
      </c>
      <c r="B271" s="15" t="s">
        <v>5</v>
      </c>
      <c r="C271" s="10" t="e">
        <v>#N/A</v>
      </c>
      <c r="D271" s="16" t="s">
        <v>1322</v>
      </c>
      <c r="E271" s="15" t="s">
        <v>11215</v>
      </c>
      <c r="F271" s="16" t="str">
        <f>VLOOKUP(Table8[[#This Row],[Mã khách hàng]],code_khach_hang[],2,0)</f>
        <v>CHI NHÁNH HÀ NỘI - CÔNG TY CỔ PHẦN DỊCH VỤ THƯƠNG MẠI TỔNG HỢP WINCOMMERCE</v>
      </c>
      <c r="G271" s="16" t="str">
        <f>VLOOKUP(Table8[[#This Row],[Mã khách hàng]],code_khach_hang[],3,0)</f>
        <v>Miền Bắc đặc biệt 1</v>
      </c>
      <c r="H271" t="str">
        <f>VLOOKUP(Table8[[#This Row],[Mã khách hàng]],'Khách hàng'!A:D,4,0)</f>
        <v>Food Đức Việt</v>
      </c>
      <c r="I271" t="str">
        <f>VLOOKUP(Table8[[#This Row],[Mã khách hàng]],'Khách hàng'!A:E,5,0)</f>
        <v>HN0040</v>
      </c>
    </row>
    <row r="272" spans="1:9">
      <c r="A272" s="14" t="s">
        <v>1269</v>
      </c>
      <c r="B272" s="15" t="s">
        <v>5</v>
      </c>
      <c r="C272" s="10" t="s">
        <v>1270</v>
      </c>
      <c r="D272" s="16" t="s">
        <v>1327</v>
      </c>
      <c r="E272" s="15" t="s">
        <v>11215</v>
      </c>
      <c r="F272" s="16" t="str">
        <f>VLOOKUP(Table8[[#This Row],[Mã khách hàng]],code_khach_hang[],2,0)</f>
        <v>CHI NHÁNH HÀ NỘI - CÔNG TY CỔ PHẦN DỊCH VỤ THƯƠNG MẠI TỔNG HỢP WINCOMMERCE</v>
      </c>
      <c r="G272" s="16" t="str">
        <f>VLOOKUP(Table8[[#This Row],[Mã khách hàng]],code_khach_hang[],3,0)</f>
        <v>Miền Bắc đặc biệt 1</v>
      </c>
      <c r="H272" t="str">
        <f>VLOOKUP(Table8[[#This Row],[Mã khách hàng]],'Khách hàng'!A:D,4,0)</f>
        <v>Food Đức Việt</v>
      </c>
      <c r="I272" t="str">
        <f>VLOOKUP(Table8[[#This Row],[Mã khách hàng]],'Khách hàng'!A:E,5,0)</f>
        <v>HN0040</v>
      </c>
    </row>
    <row r="273" spans="1:9">
      <c r="A273" s="14" t="s">
        <v>11093</v>
      </c>
      <c r="B273" s="15" t="s">
        <v>5</v>
      </c>
      <c r="C273" s="10" t="s">
        <v>13143</v>
      </c>
      <c r="D273" s="16" t="s">
        <v>1330</v>
      </c>
      <c r="E273" s="15" t="s">
        <v>11215</v>
      </c>
      <c r="F273" s="16" t="str">
        <f>VLOOKUP(Table8[[#This Row],[Mã khách hàng]],code_khach_hang[],2,0)</f>
        <v>CHI NHÁNH HÀ NỘI - CÔNG TY CỔ PHẦN DỊCH VỤ THƯƠNG MẠI TỔNG HỢP WINCOMMERCE</v>
      </c>
      <c r="G273" s="16" t="str">
        <f>VLOOKUP(Table8[[#This Row],[Mã khách hàng]],code_khach_hang[],3,0)</f>
        <v>Miền Bắc đặc biệt 1</v>
      </c>
      <c r="H273" t="str">
        <f>VLOOKUP(Table8[[#This Row],[Mã khách hàng]],'Khách hàng'!A:D,4,0)</f>
        <v>Food Đức Việt</v>
      </c>
      <c r="I273" t="str">
        <f>VLOOKUP(Table8[[#This Row],[Mã khách hàng]],'Khách hàng'!A:E,5,0)</f>
        <v>HN0040</v>
      </c>
    </row>
    <row r="274" spans="1:9">
      <c r="A274" s="14" t="s">
        <v>11094</v>
      </c>
      <c r="B274" s="15" t="s">
        <v>5</v>
      </c>
      <c r="C274" s="10" t="s">
        <v>13144</v>
      </c>
      <c r="D274" s="16" t="s">
        <v>1333</v>
      </c>
      <c r="E274" s="15" t="s">
        <v>11215</v>
      </c>
      <c r="F274" s="16" t="str">
        <f>VLOOKUP(Table8[[#This Row],[Mã khách hàng]],code_khach_hang[],2,0)</f>
        <v>CHI NHÁNH HÀ NỘI - CÔNG TY CỔ PHẦN DỊCH VỤ THƯƠNG MẠI TỔNG HỢP WINCOMMERCE</v>
      </c>
      <c r="G274" s="16" t="str">
        <f>VLOOKUP(Table8[[#This Row],[Mã khách hàng]],code_khach_hang[],3,0)</f>
        <v>Miền Bắc đặc biệt 1</v>
      </c>
      <c r="H274" t="str">
        <f>VLOOKUP(Table8[[#This Row],[Mã khách hàng]],'Khách hàng'!A:D,4,0)</f>
        <v>Food Đức Việt</v>
      </c>
      <c r="I274" t="str">
        <f>VLOOKUP(Table8[[#This Row],[Mã khách hàng]],'Khách hàng'!A:E,5,0)</f>
        <v>HN0040</v>
      </c>
    </row>
    <row r="275" spans="1:9">
      <c r="A275" s="14" t="s">
        <v>4458</v>
      </c>
      <c r="B275" s="15" t="s">
        <v>5</v>
      </c>
      <c r="C275" s="10" t="s">
        <v>4459</v>
      </c>
      <c r="D275" s="16" t="s">
        <v>1336</v>
      </c>
      <c r="E275" s="15" t="s">
        <v>11215</v>
      </c>
      <c r="F275" s="16" t="str">
        <f>VLOOKUP(Table8[[#This Row],[Mã khách hàng]],code_khach_hang[],2,0)</f>
        <v>CHI NHÁNH HÀ NỘI - CÔNG TY CỔ PHẦN DỊCH VỤ THƯƠNG MẠI TỔNG HỢP WINCOMMERCE</v>
      </c>
      <c r="G275" s="16" t="str">
        <f>VLOOKUP(Table8[[#This Row],[Mã khách hàng]],code_khach_hang[],3,0)</f>
        <v>Miền Bắc đặc biệt 1</v>
      </c>
      <c r="H275" t="str">
        <f>VLOOKUP(Table8[[#This Row],[Mã khách hàng]],'Khách hàng'!A:D,4,0)</f>
        <v>Food Đức Việt</v>
      </c>
      <c r="I275" t="str">
        <f>VLOOKUP(Table8[[#This Row],[Mã khách hàng]],'Khách hàng'!A:E,5,0)</f>
        <v>HN0040</v>
      </c>
    </row>
    <row r="276" spans="1:9">
      <c r="A276" s="14" t="s">
        <v>4497</v>
      </c>
      <c r="B276" s="15" t="s">
        <v>5</v>
      </c>
      <c r="C276" s="10" t="s">
        <v>4498</v>
      </c>
      <c r="D276" s="16" t="s">
        <v>1339</v>
      </c>
      <c r="E276" s="15" t="s">
        <v>11215</v>
      </c>
      <c r="F276" s="16" t="str">
        <f>VLOOKUP(Table8[[#This Row],[Mã khách hàng]],code_khach_hang[],2,0)</f>
        <v>CHI NHÁNH HÀ NỘI - CÔNG TY CỔ PHẦN DỊCH VỤ THƯƠNG MẠI TỔNG HỢP WINCOMMERCE</v>
      </c>
      <c r="G276" s="16" t="str">
        <f>VLOOKUP(Table8[[#This Row],[Mã khách hàng]],code_khach_hang[],3,0)</f>
        <v>Miền Bắc đặc biệt 1</v>
      </c>
      <c r="H276" t="str">
        <f>VLOOKUP(Table8[[#This Row],[Mã khách hàng]],'Khách hàng'!A:D,4,0)</f>
        <v>Food Đức Việt</v>
      </c>
      <c r="I276" t="str">
        <f>VLOOKUP(Table8[[#This Row],[Mã khách hàng]],'Khách hàng'!A:E,5,0)</f>
        <v>HN0040</v>
      </c>
    </row>
    <row r="277" spans="1:9">
      <c r="A277" s="14" t="s">
        <v>5160</v>
      </c>
      <c r="B277" s="15" t="s">
        <v>5</v>
      </c>
      <c r="C277" s="10" t="s">
        <v>5161</v>
      </c>
      <c r="D277" s="16" t="s">
        <v>1342</v>
      </c>
      <c r="E277" s="15" t="s">
        <v>11215</v>
      </c>
      <c r="F277" s="16" t="str">
        <f>VLOOKUP(Table8[[#This Row],[Mã khách hàng]],code_khach_hang[],2,0)</f>
        <v>CHI NHÁNH HÀ NỘI - CÔNG TY CỔ PHẦN DỊCH VỤ THƯƠNG MẠI TỔNG HỢP WINCOMMERCE</v>
      </c>
      <c r="G277" s="16" t="str">
        <f>VLOOKUP(Table8[[#This Row],[Mã khách hàng]],code_khach_hang[],3,0)</f>
        <v>Miền Bắc đặc biệt 1</v>
      </c>
      <c r="H277" t="str">
        <f>VLOOKUP(Table8[[#This Row],[Mã khách hàng]],'Khách hàng'!A:D,4,0)</f>
        <v>Food Đức Việt</v>
      </c>
      <c r="I277" t="str">
        <f>VLOOKUP(Table8[[#This Row],[Mã khách hàng]],'Khách hàng'!A:E,5,0)</f>
        <v>HN0040</v>
      </c>
    </row>
    <row r="278" spans="1:9">
      <c r="A278" s="14" t="s">
        <v>6551</v>
      </c>
      <c r="B278" s="15" t="s">
        <v>5</v>
      </c>
      <c r="C278" s="10" t="s">
        <v>6552</v>
      </c>
      <c r="D278" s="16" t="s">
        <v>1345</v>
      </c>
      <c r="E278" s="15" t="s">
        <v>11215</v>
      </c>
      <c r="F278" s="16" t="str">
        <f>VLOOKUP(Table8[[#This Row],[Mã khách hàng]],code_khach_hang[],2,0)</f>
        <v>CHI NHÁNH HÀ NỘI - CÔNG TY CỔ PHẦN DỊCH VỤ THƯƠNG MẠI TỔNG HỢP WINCOMMERCE</v>
      </c>
      <c r="G278" s="16" t="str">
        <f>VLOOKUP(Table8[[#This Row],[Mã khách hàng]],code_khach_hang[],3,0)</f>
        <v>Miền Bắc đặc biệt 1</v>
      </c>
      <c r="H278" t="str">
        <f>VLOOKUP(Table8[[#This Row],[Mã khách hàng]],'Khách hàng'!A:D,4,0)</f>
        <v>Food Đức Việt</v>
      </c>
      <c r="I278" t="str">
        <f>VLOOKUP(Table8[[#This Row],[Mã khách hàng]],'Khách hàng'!A:E,5,0)</f>
        <v>HN0040</v>
      </c>
    </row>
    <row r="279" spans="1:9">
      <c r="A279" s="14" t="s">
        <v>6623</v>
      </c>
      <c r="B279" s="15" t="s">
        <v>5</v>
      </c>
      <c r="C279" s="10" t="s">
        <v>6624</v>
      </c>
      <c r="D279" s="16" t="s">
        <v>1348</v>
      </c>
      <c r="E279" s="15" t="s">
        <v>11215</v>
      </c>
      <c r="F279" s="16" t="str">
        <f>VLOOKUP(Table8[[#This Row],[Mã khách hàng]],code_khach_hang[],2,0)</f>
        <v>CHI NHÁNH HÀ NỘI - CÔNG TY CỔ PHẦN DỊCH VỤ THƯƠNG MẠI TỔNG HỢP WINCOMMERCE</v>
      </c>
      <c r="G279" s="16" t="str">
        <f>VLOOKUP(Table8[[#This Row],[Mã khách hàng]],code_khach_hang[],3,0)</f>
        <v>Miền Bắc đặc biệt 1</v>
      </c>
      <c r="H279" t="str">
        <f>VLOOKUP(Table8[[#This Row],[Mã khách hàng]],'Khách hàng'!A:D,4,0)</f>
        <v>Food Đức Việt</v>
      </c>
      <c r="I279" t="str">
        <f>VLOOKUP(Table8[[#This Row],[Mã khách hàng]],'Khách hàng'!A:E,5,0)</f>
        <v>HN0040</v>
      </c>
    </row>
    <row r="280" spans="1:9">
      <c r="A280" s="14" t="s">
        <v>6626</v>
      </c>
      <c r="B280" s="15" t="s">
        <v>5</v>
      </c>
      <c r="C280" s="10" t="s">
        <v>6627</v>
      </c>
      <c r="D280" s="16" t="s">
        <v>1351</v>
      </c>
      <c r="E280" s="15" t="s">
        <v>11215</v>
      </c>
      <c r="F280" s="16" t="str">
        <f>VLOOKUP(Table8[[#This Row],[Mã khách hàng]],code_khach_hang[],2,0)</f>
        <v>CHI NHÁNH HÀ NỘI - CÔNG TY CỔ PHẦN DỊCH VỤ THƯƠNG MẠI TỔNG HỢP WINCOMMERCE</v>
      </c>
      <c r="G280" s="16" t="str">
        <f>VLOOKUP(Table8[[#This Row],[Mã khách hàng]],code_khach_hang[],3,0)</f>
        <v>Miền Bắc đặc biệt 1</v>
      </c>
      <c r="H280" t="str">
        <f>VLOOKUP(Table8[[#This Row],[Mã khách hàng]],'Khách hàng'!A:D,4,0)</f>
        <v>Food Đức Việt</v>
      </c>
      <c r="I280" t="str">
        <f>VLOOKUP(Table8[[#This Row],[Mã khách hàng]],'Khách hàng'!A:E,5,0)</f>
        <v>HN0040</v>
      </c>
    </row>
    <row r="281" spans="1:9">
      <c r="A281" s="14" t="s">
        <v>6806</v>
      </c>
      <c r="B281" s="15" t="s">
        <v>5</v>
      </c>
      <c r="C281" s="10" t="s">
        <v>6807</v>
      </c>
      <c r="D281" s="16" t="s">
        <v>1354</v>
      </c>
      <c r="E281" s="15" t="s">
        <v>11215</v>
      </c>
      <c r="F281" s="16" t="str">
        <f>VLOOKUP(Table8[[#This Row],[Mã khách hàng]],code_khach_hang[],2,0)</f>
        <v>CHI NHÁNH HÀ NỘI - CÔNG TY CỔ PHẦN DỊCH VỤ THƯƠNG MẠI TỔNG HỢP WINCOMMERCE</v>
      </c>
      <c r="G281" s="16" t="str">
        <f>VLOOKUP(Table8[[#This Row],[Mã khách hàng]],code_khach_hang[],3,0)</f>
        <v>Miền Bắc đặc biệt 1</v>
      </c>
      <c r="H281" t="str">
        <f>VLOOKUP(Table8[[#This Row],[Mã khách hàng]],'Khách hàng'!A:D,4,0)</f>
        <v>Food Đức Việt</v>
      </c>
      <c r="I281" t="str">
        <f>VLOOKUP(Table8[[#This Row],[Mã khách hàng]],'Khách hàng'!A:E,5,0)</f>
        <v>HN0040</v>
      </c>
    </row>
    <row r="282" spans="1:9">
      <c r="A282" s="14" t="s">
        <v>6857</v>
      </c>
      <c r="B282" s="15" t="s">
        <v>5</v>
      </c>
      <c r="C282" s="10" t="s">
        <v>6858</v>
      </c>
      <c r="D282" s="16" t="s">
        <v>1357</v>
      </c>
      <c r="E282" s="15" t="s">
        <v>11215</v>
      </c>
      <c r="F282" s="16" t="str">
        <f>VLOOKUP(Table8[[#This Row],[Mã khách hàng]],code_khach_hang[],2,0)</f>
        <v>CHI NHÁNH HÀ NỘI - CÔNG TY CỔ PHẦN DỊCH VỤ THƯƠNG MẠI TỔNG HỢP WINCOMMERCE</v>
      </c>
      <c r="G282" s="16" t="str">
        <f>VLOOKUP(Table8[[#This Row],[Mã khách hàng]],code_khach_hang[],3,0)</f>
        <v>Miền Bắc đặc biệt 1</v>
      </c>
      <c r="H282" t="str">
        <f>VLOOKUP(Table8[[#This Row],[Mã khách hàng]],'Khách hàng'!A:D,4,0)</f>
        <v>Food Đức Việt</v>
      </c>
      <c r="I282" t="str">
        <f>VLOOKUP(Table8[[#This Row],[Mã khách hàng]],'Khách hàng'!A:E,5,0)</f>
        <v>HN0040</v>
      </c>
    </row>
    <row r="283" spans="1:9">
      <c r="A283" s="14" t="s">
        <v>7001</v>
      </c>
      <c r="B283" s="15" t="s">
        <v>5</v>
      </c>
      <c r="C283" s="10" t="s">
        <v>7002</v>
      </c>
      <c r="D283" s="16" t="s">
        <v>1360</v>
      </c>
      <c r="E283" s="15" t="s">
        <v>11215</v>
      </c>
      <c r="F283" s="16" t="str">
        <f>VLOOKUP(Table8[[#This Row],[Mã khách hàng]],code_khach_hang[],2,0)</f>
        <v>CHI NHÁNH HÀ NỘI - CÔNG TY CỔ PHẦN DỊCH VỤ THƯƠNG MẠI TỔNG HỢP WINCOMMERCE</v>
      </c>
      <c r="G283" s="16" t="str">
        <f>VLOOKUP(Table8[[#This Row],[Mã khách hàng]],code_khach_hang[],3,0)</f>
        <v>Miền Bắc đặc biệt 1</v>
      </c>
      <c r="H283" t="str">
        <f>VLOOKUP(Table8[[#This Row],[Mã khách hàng]],'Khách hàng'!A:D,4,0)</f>
        <v>Food Đức Việt</v>
      </c>
      <c r="I283" t="str">
        <f>VLOOKUP(Table8[[#This Row],[Mã khách hàng]],'Khách hàng'!A:E,5,0)</f>
        <v>HN0040</v>
      </c>
    </row>
    <row r="284" spans="1:9">
      <c r="A284" s="14" t="s">
        <v>1047</v>
      </c>
      <c r="B284" s="15" t="s">
        <v>5</v>
      </c>
      <c r="C284" s="10" t="s">
        <v>1048</v>
      </c>
      <c r="D284" s="16" t="s">
        <v>1364</v>
      </c>
      <c r="E284" s="15" t="s">
        <v>11215</v>
      </c>
      <c r="F284" s="16" t="str">
        <f>VLOOKUP(Table8[[#This Row],[Mã khách hàng]],code_khach_hang[],2,0)</f>
        <v>CHI NHÁNH HÀ NỘI - CÔNG TY CỔ PHẦN DỊCH VỤ THƯƠNG MẠI TỔNG HỢP WINCOMMERCE</v>
      </c>
      <c r="G284" s="16" t="str">
        <f>VLOOKUP(Table8[[#This Row],[Mã khách hàng]],code_khach_hang[],3,0)</f>
        <v>Miền Bắc đặc biệt 1</v>
      </c>
      <c r="H284" t="str">
        <f>VLOOKUP(Table8[[#This Row],[Mã khách hàng]],'Khách hàng'!A:D,4,0)</f>
        <v>Food Đức Việt</v>
      </c>
      <c r="I284" t="str">
        <f>VLOOKUP(Table8[[#This Row],[Mã khách hàng]],'Khách hàng'!A:E,5,0)</f>
        <v>HN0040</v>
      </c>
    </row>
    <row r="285" spans="1:9">
      <c r="A285" s="14" t="s">
        <v>1212</v>
      </c>
      <c r="B285" s="15" t="s">
        <v>5</v>
      </c>
      <c r="C285" s="10" t="s">
        <v>1213</v>
      </c>
      <c r="D285" s="16" t="s">
        <v>1367</v>
      </c>
      <c r="E285" s="15" t="s">
        <v>11215</v>
      </c>
      <c r="F285" s="16" t="str">
        <f>VLOOKUP(Table8[[#This Row],[Mã khách hàng]],code_khach_hang[],2,0)</f>
        <v>CHI NHÁNH HÀ NỘI - CÔNG TY CỔ PHẦN DỊCH VỤ THƯƠNG MẠI TỔNG HỢP WINCOMMERCE</v>
      </c>
      <c r="G285" s="16" t="str">
        <f>VLOOKUP(Table8[[#This Row],[Mã khách hàng]],code_khach_hang[],3,0)</f>
        <v>Miền Bắc đặc biệt 1</v>
      </c>
      <c r="H285" t="str">
        <f>VLOOKUP(Table8[[#This Row],[Mã khách hàng]],'Khách hàng'!A:D,4,0)</f>
        <v>Food Đức Việt</v>
      </c>
      <c r="I285" t="str">
        <f>VLOOKUP(Table8[[#This Row],[Mã khách hàng]],'Khách hàng'!A:E,5,0)</f>
        <v>HN0040</v>
      </c>
    </row>
    <row r="286" spans="1:9">
      <c r="A286" s="14" t="s">
        <v>8841</v>
      </c>
      <c r="B286" s="15" t="s">
        <v>5</v>
      </c>
      <c r="C286" s="10" t="s">
        <v>8842</v>
      </c>
      <c r="D286" s="16" t="s">
        <v>1371</v>
      </c>
      <c r="E286" s="15" t="s">
        <v>11215</v>
      </c>
      <c r="F286" s="16" t="str">
        <f>VLOOKUP(Table8[[#This Row],[Mã khách hàng]],code_khach_hang[],2,0)</f>
        <v>CHI NHÁNH HÀ NỘI - CÔNG TY CỔ PHẦN DỊCH VỤ THƯƠNG MẠI TỔNG HỢP WINCOMMERCE</v>
      </c>
      <c r="G286" s="16" t="str">
        <f>VLOOKUP(Table8[[#This Row],[Mã khách hàng]],code_khach_hang[],3,0)</f>
        <v>Miền Bắc đặc biệt 1</v>
      </c>
      <c r="H286" t="str">
        <f>VLOOKUP(Table8[[#This Row],[Mã khách hàng]],'Khách hàng'!A:D,4,0)</f>
        <v>Food Đức Việt</v>
      </c>
      <c r="I286" t="str">
        <f>VLOOKUP(Table8[[#This Row],[Mã khách hàng]],'Khách hàng'!A:E,5,0)</f>
        <v>HN0040</v>
      </c>
    </row>
    <row r="287" spans="1:9">
      <c r="A287" s="14" t="s">
        <v>8933</v>
      </c>
      <c r="B287" s="15" t="s">
        <v>5</v>
      </c>
      <c r="C287" s="10" t="s">
        <v>8934</v>
      </c>
      <c r="D287" s="16" t="s">
        <v>1374</v>
      </c>
      <c r="E287" s="15" t="s">
        <v>11215</v>
      </c>
      <c r="F287" s="16" t="str">
        <f>VLOOKUP(Table8[[#This Row],[Mã khách hàng]],code_khach_hang[],2,0)</f>
        <v>CHI NHÁNH HÀ NỘI - CÔNG TY CỔ PHẦN DỊCH VỤ THƯƠNG MẠI TỔNG HỢP WINCOMMERCE</v>
      </c>
      <c r="G287" s="16" t="str">
        <f>VLOOKUP(Table8[[#This Row],[Mã khách hàng]],code_khach_hang[],3,0)</f>
        <v>Miền Bắc đặc biệt 1</v>
      </c>
      <c r="H287" t="str">
        <f>VLOOKUP(Table8[[#This Row],[Mã khách hàng]],'Khách hàng'!A:D,4,0)</f>
        <v>Food Đức Việt</v>
      </c>
      <c r="I287" t="str">
        <f>VLOOKUP(Table8[[#This Row],[Mã khách hàng]],'Khách hàng'!A:E,5,0)</f>
        <v>HN0040</v>
      </c>
    </row>
    <row r="288" spans="1:9">
      <c r="A288" s="14" t="s">
        <v>9076</v>
      </c>
      <c r="B288" s="15" t="s">
        <v>5</v>
      </c>
      <c r="C288" s="10" t="s">
        <v>9077</v>
      </c>
      <c r="D288" s="16" t="s">
        <v>1377</v>
      </c>
      <c r="E288" s="15" t="s">
        <v>11215</v>
      </c>
      <c r="F288" s="16" t="str">
        <f>VLOOKUP(Table8[[#This Row],[Mã khách hàng]],code_khach_hang[],2,0)</f>
        <v>CHI NHÁNH HÀ NỘI - CÔNG TY CỔ PHẦN DỊCH VỤ THƯƠNG MẠI TỔNG HỢP WINCOMMERCE</v>
      </c>
      <c r="G288" s="16" t="str">
        <f>VLOOKUP(Table8[[#This Row],[Mã khách hàng]],code_khach_hang[],3,0)</f>
        <v>Miền Bắc đặc biệt 1</v>
      </c>
      <c r="H288" t="str">
        <f>VLOOKUP(Table8[[#This Row],[Mã khách hàng]],'Khách hàng'!A:D,4,0)</f>
        <v>Food Đức Việt</v>
      </c>
      <c r="I288" t="str">
        <f>VLOOKUP(Table8[[#This Row],[Mã khách hàng]],'Khách hàng'!A:E,5,0)</f>
        <v>HN0040</v>
      </c>
    </row>
    <row r="289" spans="1:9">
      <c r="A289" s="14" t="s">
        <v>747</v>
      </c>
      <c r="B289" s="15" t="s">
        <v>5</v>
      </c>
      <c r="C289" s="10" t="s">
        <v>748</v>
      </c>
      <c r="D289" s="16" t="s">
        <v>1379</v>
      </c>
      <c r="E289" s="15" t="s">
        <v>11215</v>
      </c>
      <c r="F289" s="16" t="str">
        <f>VLOOKUP(Table8[[#This Row],[Mã khách hàng]],code_khach_hang[],2,0)</f>
        <v>CHI NHÁNH HÀ NỘI - CÔNG TY CỔ PHẦN DỊCH VỤ THƯƠNG MẠI TỔNG HỢP WINCOMMERCE</v>
      </c>
      <c r="G289" s="16" t="str">
        <f>VLOOKUP(Table8[[#This Row],[Mã khách hàng]],code_khach_hang[],3,0)</f>
        <v>Miền Bắc đặc biệt 1</v>
      </c>
      <c r="H289" t="str">
        <f>VLOOKUP(Table8[[#This Row],[Mã khách hàng]],'Khách hàng'!A:D,4,0)</f>
        <v>Food Đức Việt</v>
      </c>
      <c r="I289" t="str">
        <f>VLOOKUP(Table8[[#This Row],[Mã khách hàng]],'Khách hàng'!A:E,5,0)</f>
        <v>HN0040</v>
      </c>
    </row>
    <row r="290" spans="1:9">
      <c r="A290" s="14" t="s">
        <v>771</v>
      </c>
      <c r="B290" s="15" t="s">
        <v>5</v>
      </c>
      <c r="C290" s="10" t="s">
        <v>772</v>
      </c>
      <c r="D290" s="16" t="s">
        <v>1382</v>
      </c>
      <c r="E290" s="15" t="s">
        <v>11215</v>
      </c>
      <c r="F290" s="16" t="str">
        <f>VLOOKUP(Table8[[#This Row],[Mã khách hàng]],code_khach_hang[],2,0)</f>
        <v>CHI NHÁNH HÀ NỘI - CÔNG TY CỔ PHẦN DỊCH VỤ THƯƠNG MẠI TỔNG HỢP WINCOMMERCE</v>
      </c>
      <c r="G290" s="16" t="str">
        <f>VLOOKUP(Table8[[#This Row],[Mã khách hàng]],code_khach_hang[],3,0)</f>
        <v>Miền Bắc đặc biệt 1</v>
      </c>
      <c r="H290" t="str">
        <f>VLOOKUP(Table8[[#This Row],[Mã khách hàng]],'Khách hàng'!A:D,4,0)</f>
        <v>Food Đức Việt</v>
      </c>
      <c r="I290" t="str">
        <f>VLOOKUP(Table8[[#This Row],[Mã khách hàng]],'Khách hàng'!A:E,5,0)</f>
        <v>HN0040</v>
      </c>
    </row>
    <row r="291" spans="1:9">
      <c r="A291" s="14" t="s">
        <v>780</v>
      </c>
      <c r="B291" s="15" t="s">
        <v>5</v>
      </c>
      <c r="C291" s="10" t="s">
        <v>781</v>
      </c>
      <c r="D291" s="16" t="s">
        <v>1386</v>
      </c>
      <c r="E291" s="15" t="s">
        <v>11215</v>
      </c>
      <c r="F291" s="16" t="str">
        <f>VLOOKUP(Table8[[#This Row],[Mã khách hàng]],code_khach_hang[],2,0)</f>
        <v>CHI NHÁNH HÀ NỘI - CÔNG TY CỔ PHẦN DỊCH VỤ THƯƠNG MẠI TỔNG HỢP WINCOMMERCE</v>
      </c>
      <c r="G291" s="16" t="str">
        <f>VLOOKUP(Table8[[#This Row],[Mã khách hàng]],code_khach_hang[],3,0)</f>
        <v>Miền Bắc đặc biệt 1</v>
      </c>
      <c r="H291" t="str">
        <f>VLOOKUP(Table8[[#This Row],[Mã khách hàng]],'Khách hàng'!A:D,4,0)</f>
        <v>Food Đức Việt</v>
      </c>
      <c r="I291" t="str">
        <f>VLOOKUP(Table8[[#This Row],[Mã khách hàng]],'Khách hàng'!A:E,5,0)</f>
        <v>HN0040</v>
      </c>
    </row>
    <row r="292" spans="1:9">
      <c r="A292" s="14" t="s">
        <v>795</v>
      </c>
      <c r="B292" s="15" t="s">
        <v>5</v>
      </c>
      <c r="C292" s="10" t="s">
        <v>796</v>
      </c>
      <c r="D292" s="16" t="s">
        <v>1390</v>
      </c>
      <c r="E292" s="15" t="s">
        <v>11215</v>
      </c>
      <c r="F292" s="16" t="str">
        <f>VLOOKUP(Table8[[#This Row],[Mã khách hàng]],code_khach_hang[],2,0)</f>
        <v>CHI NHÁNH HÀ NỘI - CÔNG TY CỔ PHẦN DỊCH VỤ THƯƠNG MẠI TỔNG HỢP WINCOMMERCE</v>
      </c>
      <c r="G292" s="16" t="str">
        <f>VLOOKUP(Table8[[#This Row],[Mã khách hàng]],code_khach_hang[],3,0)</f>
        <v>Miền Bắc đặc biệt 1</v>
      </c>
      <c r="H292" t="str">
        <f>VLOOKUP(Table8[[#This Row],[Mã khách hàng]],'Khách hàng'!A:D,4,0)</f>
        <v>Food Đức Việt</v>
      </c>
      <c r="I292" t="str">
        <f>VLOOKUP(Table8[[#This Row],[Mã khách hàng]],'Khách hàng'!A:E,5,0)</f>
        <v>HN0040</v>
      </c>
    </row>
    <row r="293" spans="1:9">
      <c r="A293" s="14" t="s">
        <v>822</v>
      </c>
      <c r="B293" s="15" t="s">
        <v>5</v>
      </c>
      <c r="C293" s="10" t="s">
        <v>823</v>
      </c>
      <c r="D293" s="16" t="s">
        <v>1394</v>
      </c>
      <c r="E293" s="15" t="s">
        <v>11215</v>
      </c>
      <c r="F293" s="16" t="str">
        <f>VLOOKUP(Table8[[#This Row],[Mã khách hàng]],code_khach_hang[],2,0)</f>
        <v>CHI NHÁNH HÀ NỘI - CÔNG TY CỔ PHẦN DỊCH VỤ THƯƠNG MẠI TỔNG HỢP WINCOMMERCE</v>
      </c>
      <c r="G293" s="16" t="str">
        <f>VLOOKUP(Table8[[#This Row],[Mã khách hàng]],code_khach_hang[],3,0)</f>
        <v>Miền Bắc đặc biệt 1</v>
      </c>
      <c r="H293" t="str">
        <f>VLOOKUP(Table8[[#This Row],[Mã khách hàng]],'Khách hàng'!A:D,4,0)</f>
        <v>Food Đức Việt</v>
      </c>
      <c r="I293" t="str">
        <f>VLOOKUP(Table8[[#This Row],[Mã khách hàng]],'Khách hàng'!A:E,5,0)</f>
        <v>HN0040</v>
      </c>
    </row>
    <row r="294" spans="1:9">
      <c r="A294" s="14" t="s">
        <v>831</v>
      </c>
      <c r="B294" s="15" t="s">
        <v>5</v>
      </c>
      <c r="C294" s="10" t="s">
        <v>832</v>
      </c>
      <c r="D294" s="16" t="s">
        <v>1396</v>
      </c>
      <c r="E294" s="15" t="s">
        <v>11215</v>
      </c>
      <c r="F294" s="16" t="str">
        <f>VLOOKUP(Table8[[#This Row],[Mã khách hàng]],code_khach_hang[],2,0)</f>
        <v>CHI NHÁNH HÀ NỘI - CÔNG TY CỔ PHẦN DỊCH VỤ THƯƠNG MẠI TỔNG HỢP WINCOMMERCE</v>
      </c>
      <c r="G294" s="16" t="str">
        <f>VLOOKUP(Table8[[#This Row],[Mã khách hàng]],code_khach_hang[],3,0)</f>
        <v>Miền Bắc đặc biệt 1</v>
      </c>
      <c r="H294" t="str">
        <f>VLOOKUP(Table8[[#This Row],[Mã khách hàng]],'Khách hàng'!A:D,4,0)</f>
        <v>Food Đức Việt</v>
      </c>
      <c r="I294" t="str">
        <f>VLOOKUP(Table8[[#This Row],[Mã khách hàng]],'Khách hàng'!A:E,5,0)</f>
        <v>HN0040</v>
      </c>
    </row>
    <row r="295" spans="1:9">
      <c r="A295" s="14" t="s">
        <v>837</v>
      </c>
      <c r="B295" s="15" t="s">
        <v>5</v>
      </c>
      <c r="C295" s="10" t="s">
        <v>838</v>
      </c>
      <c r="D295" s="16" t="s">
        <v>1400</v>
      </c>
      <c r="E295" s="15" t="s">
        <v>11215</v>
      </c>
      <c r="F295" s="16" t="str">
        <f>VLOOKUP(Table8[[#This Row],[Mã khách hàng]],code_khach_hang[],2,0)</f>
        <v>CHI NHÁNH HÀ NỘI - CÔNG TY CỔ PHẦN DỊCH VỤ THƯƠNG MẠI TỔNG HỢP WINCOMMERCE</v>
      </c>
      <c r="G295" s="16" t="str">
        <f>VLOOKUP(Table8[[#This Row],[Mã khách hàng]],code_khach_hang[],3,0)</f>
        <v>Miền Bắc đặc biệt 1</v>
      </c>
      <c r="H295" t="str">
        <f>VLOOKUP(Table8[[#This Row],[Mã khách hàng]],'Khách hàng'!A:D,4,0)</f>
        <v>Food Đức Việt</v>
      </c>
      <c r="I295" t="str">
        <f>VLOOKUP(Table8[[#This Row],[Mã khách hàng]],'Khách hàng'!A:E,5,0)</f>
        <v>HN0040</v>
      </c>
    </row>
    <row r="296" spans="1:9">
      <c r="A296" s="14" t="s">
        <v>864</v>
      </c>
      <c r="B296" s="15" t="s">
        <v>5</v>
      </c>
      <c r="C296" s="10" t="s">
        <v>865</v>
      </c>
      <c r="D296" s="16" t="s">
        <v>1403</v>
      </c>
      <c r="E296" s="15" t="s">
        <v>11215</v>
      </c>
      <c r="F296" s="16" t="str">
        <f>VLOOKUP(Table8[[#This Row],[Mã khách hàng]],code_khach_hang[],2,0)</f>
        <v>CHI NHÁNH HÀ NỘI - CÔNG TY CỔ PHẦN DỊCH VỤ THƯƠNG MẠI TỔNG HỢP WINCOMMERCE</v>
      </c>
      <c r="G296" s="16" t="str">
        <f>VLOOKUP(Table8[[#This Row],[Mã khách hàng]],code_khach_hang[],3,0)</f>
        <v>Miền Bắc đặc biệt 1</v>
      </c>
      <c r="H296" t="str">
        <f>VLOOKUP(Table8[[#This Row],[Mã khách hàng]],'Khách hàng'!A:D,4,0)</f>
        <v>Food Đức Việt</v>
      </c>
      <c r="I296" t="str">
        <f>VLOOKUP(Table8[[#This Row],[Mã khách hàng]],'Khách hàng'!A:E,5,0)</f>
        <v>HN0040</v>
      </c>
    </row>
    <row r="297" spans="1:9">
      <c r="A297" s="14" t="s">
        <v>870</v>
      </c>
      <c r="B297" s="15" t="s">
        <v>5</v>
      </c>
      <c r="C297" s="10" t="s">
        <v>871</v>
      </c>
      <c r="D297" s="16" t="s">
        <v>1406</v>
      </c>
      <c r="E297" s="15" t="s">
        <v>11215</v>
      </c>
      <c r="F297" s="16" t="str">
        <f>VLOOKUP(Table8[[#This Row],[Mã khách hàng]],code_khach_hang[],2,0)</f>
        <v>CHI NHÁNH HÀ NỘI - CÔNG TY CỔ PHẦN DỊCH VỤ THƯƠNG MẠI TỔNG HỢP WINCOMMERCE</v>
      </c>
      <c r="G297" s="16" t="str">
        <f>VLOOKUP(Table8[[#This Row],[Mã khách hàng]],code_khach_hang[],3,0)</f>
        <v>Miền Bắc đặc biệt 1</v>
      </c>
      <c r="H297" t="str">
        <f>VLOOKUP(Table8[[#This Row],[Mã khách hàng]],'Khách hàng'!A:D,4,0)</f>
        <v>Food Đức Việt</v>
      </c>
      <c r="I297" t="str">
        <f>VLOOKUP(Table8[[#This Row],[Mã khách hàng]],'Khách hàng'!A:E,5,0)</f>
        <v>HN0040</v>
      </c>
    </row>
    <row r="298" spans="1:9">
      <c r="A298" s="14" t="s">
        <v>876</v>
      </c>
      <c r="B298" s="15" t="s">
        <v>5</v>
      </c>
      <c r="C298" s="10" t="s">
        <v>877</v>
      </c>
      <c r="D298" s="16" t="s">
        <v>1409</v>
      </c>
      <c r="E298" s="15" t="s">
        <v>11215</v>
      </c>
      <c r="F298" s="16" t="str">
        <f>VLOOKUP(Table8[[#This Row],[Mã khách hàng]],code_khach_hang[],2,0)</f>
        <v>CHI NHÁNH HÀ NỘI - CÔNG TY CỔ PHẦN DỊCH VỤ THƯƠNG MẠI TỔNG HỢP WINCOMMERCE</v>
      </c>
      <c r="G298" s="16" t="str">
        <f>VLOOKUP(Table8[[#This Row],[Mã khách hàng]],code_khach_hang[],3,0)</f>
        <v>Miền Bắc đặc biệt 1</v>
      </c>
      <c r="H298" t="str">
        <f>VLOOKUP(Table8[[#This Row],[Mã khách hàng]],'Khách hàng'!A:D,4,0)</f>
        <v>Food Đức Việt</v>
      </c>
      <c r="I298" t="str">
        <f>VLOOKUP(Table8[[#This Row],[Mã khách hàng]],'Khách hàng'!A:E,5,0)</f>
        <v>HN0040</v>
      </c>
    </row>
    <row r="299" spans="1:9">
      <c r="A299" s="14" t="s">
        <v>903</v>
      </c>
      <c r="B299" s="15" t="s">
        <v>5</v>
      </c>
      <c r="C299" s="10" t="s">
        <v>904</v>
      </c>
      <c r="D299" s="16" t="s">
        <v>1412</v>
      </c>
      <c r="E299" s="15" t="s">
        <v>11215</v>
      </c>
      <c r="F299" s="16" t="str">
        <f>VLOOKUP(Table8[[#This Row],[Mã khách hàng]],code_khach_hang[],2,0)</f>
        <v>CHI NHÁNH HÀ NỘI - CÔNG TY CỔ PHẦN DỊCH VỤ THƯƠNG MẠI TỔNG HỢP WINCOMMERCE</v>
      </c>
      <c r="G299" s="16" t="str">
        <f>VLOOKUP(Table8[[#This Row],[Mã khách hàng]],code_khach_hang[],3,0)</f>
        <v>Miền Bắc đặc biệt 1</v>
      </c>
      <c r="H299" t="str">
        <f>VLOOKUP(Table8[[#This Row],[Mã khách hàng]],'Khách hàng'!A:D,4,0)</f>
        <v>Food Đức Việt</v>
      </c>
      <c r="I299" t="str">
        <f>VLOOKUP(Table8[[#This Row],[Mã khách hàng]],'Khách hàng'!A:E,5,0)</f>
        <v>HN0040</v>
      </c>
    </row>
    <row r="300" spans="1:9">
      <c r="A300" s="14" t="s">
        <v>921</v>
      </c>
      <c r="B300" s="15" t="s">
        <v>5</v>
      </c>
      <c r="C300" s="10" t="s">
        <v>922</v>
      </c>
      <c r="D300" s="16" t="s">
        <v>1416</v>
      </c>
      <c r="E300" s="15" t="s">
        <v>11215</v>
      </c>
      <c r="F300" s="16" t="str">
        <f>VLOOKUP(Table8[[#This Row],[Mã khách hàng]],code_khach_hang[],2,0)</f>
        <v>CHI NHÁNH HÀ NỘI - CÔNG TY CỔ PHẦN DỊCH VỤ THƯƠNG MẠI TỔNG HỢP WINCOMMERCE</v>
      </c>
      <c r="G300" s="16" t="str">
        <f>VLOOKUP(Table8[[#This Row],[Mã khách hàng]],code_khach_hang[],3,0)</f>
        <v>Miền Bắc đặc biệt 1</v>
      </c>
      <c r="H300" t="str">
        <f>VLOOKUP(Table8[[#This Row],[Mã khách hàng]],'Khách hàng'!A:D,4,0)</f>
        <v>Food Đức Việt</v>
      </c>
      <c r="I300" t="str">
        <f>VLOOKUP(Table8[[#This Row],[Mã khách hàng]],'Khách hàng'!A:E,5,0)</f>
        <v>HN0040</v>
      </c>
    </row>
    <row r="301" spans="1:9">
      <c r="A301" s="14" t="s">
        <v>969</v>
      </c>
      <c r="B301" s="15" t="s">
        <v>5</v>
      </c>
      <c r="C301" s="10" t="s">
        <v>970</v>
      </c>
      <c r="D301" s="16" t="s">
        <v>1419</v>
      </c>
      <c r="E301" s="15" t="s">
        <v>11215</v>
      </c>
      <c r="F301" s="16" t="str">
        <f>VLOOKUP(Table8[[#This Row],[Mã khách hàng]],code_khach_hang[],2,0)</f>
        <v>CHI NHÁNH HÀ NỘI - CÔNG TY CỔ PHẦN DỊCH VỤ THƯƠNG MẠI TỔNG HỢP WINCOMMERCE</v>
      </c>
      <c r="G301" s="16" t="str">
        <f>VLOOKUP(Table8[[#This Row],[Mã khách hàng]],code_khach_hang[],3,0)</f>
        <v>Miền Bắc đặc biệt 1</v>
      </c>
      <c r="H301" t="str">
        <f>VLOOKUP(Table8[[#This Row],[Mã khách hàng]],'Khách hàng'!A:D,4,0)</f>
        <v>Food Đức Việt</v>
      </c>
      <c r="I301" t="str">
        <f>VLOOKUP(Table8[[#This Row],[Mã khách hàng]],'Khách hàng'!A:E,5,0)</f>
        <v>HN0040</v>
      </c>
    </row>
    <row r="302" spans="1:9">
      <c r="A302" s="14" t="s">
        <v>1008</v>
      </c>
      <c r="B302" s="15" t="s">
        <v>5</v>
      </c>
      <c r="C302" s="10" t="s">
        <v>1009</v>
      </c>
      <c r="D302" s="16" t="s">
        <v>1421</v>
      </c>
      <c r="E302" s="15" t="s">
        <v>11215</v>
      </c>
      <c r="F302" s="16" t="str">
        <f>VLOOKUP(Table8[[#This Row],[Mã khách hàng]],code_khach_hang[],2,0)</f>
        <v>CHI NHÁNH HÀ NỘI - CÔNG TY CỔ PHẦN DỊCH VỤ THƯƠNG MẠI TỔNG HỢP WINCOMMERCE</v>
      </c>
      <c r="G302" s="16" t="str">
        <f>VLOOKUP(Table8[[#This Row],[Mã khách hàng]],code_khach_hang[],3,0)</f>
        <v>Miền Bắc đặc biệt 1</v>
      </c>
      <c r="H302" t="str">
        <f>VLOOKUP(Table8[[#This Row],[Mã khách hàng]],'Khách hàng'!A:D,4,0)</f>
        <v>Food Đức Việt</v>
      </c>
      <c r="I302" t="str">
        <f>VLOOKUP(Table8[[#This Row],[Mã khách hàng]],'Khách hàng'!A:E,5,0)</f>
        <v>HN0040</v>
      </c>
    </row>
    <row r="303" spans="1:9">
      <c r="A303" s="14" t="s">
        <v>1011</v>
      </c>
      <c r="B303" s="15" t="s">
        <v>5</v>
      </c>
      <c r="C303" s="10" t="s">
        <v>1012</v>
      </c>
      <c r="D303" s="16" t="s">
        <v>1424</v>
      </c>
      <c r="E303" s="15" t="s">
        <v>11215</v>
      </c>
      <c r="F303" s="16" t="str">
        <f>VLOOKUP(Table8[[#This Row],[Mã khách hàng]],code_khach_hang[],2,0)</f>
        <v>CHI NHÁNH HÀ NỘI - CÔNG TY CỔ PHẦN DỊCH VỤ THƯƠNG MẠI TỔNG HỢP WINCOMMERCE</v>
      </c>
      <c r="G303" s="16" t="str">
        <f>VLOOKUP(Table8[[#This Row],[Mã khách hàng]],code_khach_hang[],3,0)</f>
        <v>Miền Bắc đặc biệt 1</v>
      </c>
      <c r="H303" t="str">
        <f>VLOOKUP(Table8[[#This Row],[Mã khách hàng]],'Khách hàng'!A:D,4,0)</f>
        <v>Food Đức Việt</v>
      </c>
      <c r="I303" t="str">
        <f>VLOOKUP(Table8[[#This Row],[Mã khách hàng]],'Khách hàng'!A:E,5,0)</f>
        <v>HN0040</v>
      </c>
    </row>
    <row r="304" spans="1:9">
      <c r="A304" s="14" t="s">
        <v>1071</v>
      </c>
      <c r="B304" s="15" t="s">
        <v>5</v>
      </c>
      <c r="C304" s="10" t="s">
        <v>1072</v>
      </c>
      <c r="D304" s="16" t="s">
        <v>1427</v>
      </c>
      <c r="E304" s="15" t="s">
        <v>11215</v>
      </c>
      <c r="F304" s="16" t="str">
        <f>VLOOKUP(Table8[[#This Row],[Mã khách hàng]],code_khach_hang[],2,0)</f>
        <v>CHI NHÁNH HÀ NỘI - CÔNG TY CỔ PHẦN DỊCH VỤ THƯƠNG MẠI TỔNG HỢP WINCOMMERCE</v>
      </c>
      <c r="G304" s="16" t="str">
        <f>VLOOKUP(Table8[[#This Row],[Mã khách hàng]],code_khach_hang[],3,0)</f>
        <v>Miền Bắc đặc biệt 1</v>
      </c>
      <c r="H304" t="str">
        <f>VLOOKUP(Table8[[#This Row],[Mã khách hàng]],'Khách hàng'!A:D,4,0)</f>
        <v>Food Đức Việt</v>
      </c>
      <c r="I304" t="str">
        <f>VLOOKUP(Table8[[#This Row],[Mã khách hàng]],'Khách hàng'!A:E,5,0)</f>
        <v>HN0040</v>
      </c>
    </row>
    <row r="305" spans="1:9">
      <c r="A305" s="14" t="s">
        <v>1092</v>
      </c>
      <c r="B305" s="15" t="s">
        <v>5</v>
      </c>
      <c r="C305" s="10" t="s">
        <v>1093</v>
      </c>
      <c r="D305" s="16" t="s">
        <v>1431</v>
      </c>
      <c r="E305" s="15" t="s">
        <v>11215</v>
      </c>
      <c r="F305" s="16" t="str">
        <f>VLOOKUP(Table8[[#This Row],[Mã khách hàng]],code_khach_hang[],2,0)</f>
        <v>CHI NHÁNH HÀ NỘI - CÔNG TY CỔ PHẦN DỊCH VỤ THƯƠNG MẠI TỔNG HỢP WINCOMMERCE</v>
      </c>
      <c r="G305" s="16" t="str">
        <f>VLOOKUP(Table8[[#This Row],[Mã khách hàng]],code_khach_hang[],3,0)</f>
        <v>Miền Bắc đặc biệt 1</v>
      </c>
      <c r="H305" t="str">
        <f>VLOOKUP(Table8[[#This Row],[Mã khách hàng]],'Khách hàng'!A:D,4,0)</f>
        <v>Food Đức Việt</v>
      </c>
      <c r="I305" t="str">
        <f>VLOOKUP(Table8[[#This Row],[Mã khách hàng]],'Khách hàng'!A:E,5,0)</f>
        <v>HN0040</v>
      </c>
    </row>
    <row r="306" spans="1:9">
      <c r="A306" s="14" t="s">
        <v>11095</v>
      </c>
      <c r="B306" s="15" t="s">
        <v>5</v>
      </c>
      <c r="C306" s="10" t="s">
        <v>13145</v>
      </c>
      <c r="D306" s="16" t="s">
        <v>1434</v>
      </c>
      <c r="E306" s="15" t="s">
        <v>11215</v>
      </c>
      <c r="F306" s="16" t="str">
        <f>VLOOKUP(Table8[[#This Row],[Mã khách hàng]],code_khach_hang[],2,0)</f>
        <v>CHI NHÁNH HÀ NỘI - CÔNG TY CỔ PHẦN DỊCH VỤ THƯƠNG MẠI TỔNG HỢP WINCOMMERCE</v>
      </c>
      <c r="G306" s="16" t="str">
        <f>VLOOKUP(Table8[[#This Row],[Mã khách hàng]],code_khach_hang[],3,0)</f>
        <v>Miền Bắc đặc biệt 1</v>
      </c>
      <c r="H306" t="str">
        <f>VLOOKUP(Table8[[#This Row],[Mã khách hàng]],'Khách hàng'!A:D,4,0)</f>
        <v>Food Đức Việt</v>
      </c>
      <c r="I306" t="str">
        <f>VLOOKUP(Table8[[#This Row],[Mã khách hàng]],'Khách hàng'!A:E,5,0)</f>
        <v>HN0040</v>
      </c>
    </row>
    <row r="307" spans="1:9">
      <c r="A307" s="14" t="s">
        <v>1194</v>
      </c>
      <c r="B307" s="15" t="s">
        <v>5</v>
      </c>
      <c r="C307" s="10" t="s">
        <v>1195</v>
      </c>
      <c r="D307" s="16" t="s">
        <v>1437</v>
      </c>
      <c r="E307" s="15" t="s">
        <v>11215</v>
      </c>
      <c r="F307" s="16" t="str">
        <f>VLOOKUP(Table8[[#This Row],[Mã khách hàng]],code_khach_hang[],2,0)</f>
        <v>CHI NHÁNH HÀ NỘI - CÔNG TY CỔ PHẦN DỊCH VỤ THƯƠNG MẠI TỔNG HỢP WINCOMMERCE</v>
      </c>
      <c r="G307" s="16" t="str">
        <f>VLOOKUP(Table8[[#This Row],[Mã khách hàng]],code_khach_hang[],3,0)</f>
        <v>Miền Bắc đặc biệt 1</v>
      </c>
      <c r="H307" t="str">
        <f>VLOOKUP(Table8[[#This Row],[Mã khách hàng]],'Khách hàng'!A:D,4,0)</f>
        <v>Food Đức Việt</v>
      </c>
      <c r="I307" t="str">
        <f>VLOOKUP(Table8[[#This Row],[Mã khách hàng]],'Khách hàng'!A:E,5,0)</f>
        <v>HN0040</v>
      </c>
    </row>
    <row r="308" spans="1:9">
      <c r="A308" s="14" t="s">
        <v>11096</v>
      </c>
      <c r="B308" s="15" t="s">
        <v>5</v>
      </c>
      <c r="C308" s="10" t="e">
        <v>#N/A</v>
      </c>
      <c r="D308" s="16" t="s">
        <v>1440</v>
      </c>
      <c r="E308" s="15" t="s">
        <v>11215</v>
      </c>
      <c r="F308" s="16" t="str">
        <f>VLOOKUP(Table8[[#This Row],[Mã khách hàng]],code_khach_hang[],2,0)</f>
        <v>CHI NHÁNH HÀ NỘI - CÔNG TY CỔ PHẦN DỊCH VỤ THƯƠNG MẠI TỔNG HỢP WINCOMMERCE</v>
      </c>
      <c r="G308" s="16" t="str">
        <f>VLOOKUP(Table8[[#This Row],[Mã khách hàng]],code_khach_hang[],3,0)</f>
        <v>Miền Bắc đặc biệt 1</v>
      </c>
      <c r="H308" t="str">
        <f>VLOOKUP(Table8[[#This Row],[Mã khách hàng]],'Khách hàng'!A:D,4,0)</f>
        <v>Food Đức Việt</v>
      </c>
      <c r="I308" t="str">
        <f>VLOOKUP(Table8[[#This Row],[Mã khách hàng]],'Khách hàng'!A:E,5,0)</f>
        <v>HN0040</v>
      </c>
    </row>
    <row r="309" spans="1:9">
      <c r="A309" s="14" t="s">
        <v>1236</v>
      </c>
      <c r="B309" s="15" t="s">
        <v>5</v>
      </c>
      <c r="C309" s="10" t="s">
        <v>1237</v>
      </c>
      <c r="D309" s="16" t="s">
        <v>1443</v>
      </c>
      <c r="E309" s="15" t="s">
        <v>11215</v>
      </c>
      <c r="F309" s="16" t="str">
        <f>VLOOKUP(Table8[[#This Row],[Mã khách hàng]],code_khach_hang[],2,0)</f>
        <v>CHI NHÁNH HÀ NỘI - CÔNG TY CỔ PHẦN DỊCH VỤ THƯƠNG MẠI TỔNG HỢP WINCOMMERCE</v>
      </c>
      <c r="G309" s="16" t="str">
        <f>VLOOKUP(Table8[[#This Row],[Mã khách hàng]],code_khach_hang[],3,0)</f>
        <v>Miền Bắc đặc biệt 1</v>
      </c>
      <c r="H309" t="str">
        <f>VLOOKUP(Table8[[#This Row],[Mã khách hàng]],'Khách hàng'!A:D,4,0)</f>
        <v>Food Đức Việt</v>
      </c>
      <c r="I309" t="str">
        <f>VLOOKUP(Table8[[#This Row],[Mã khách hàng]],'Khách hàng'!A:E,5,0)</f>
        <v>HN0040</v>
      </c>
    </row>
    <row r="310" spans="1:9">
      <c r="A310" s="14" t="s">
        <v>4113</v>
      </c>
      <c r="B310" s="15" t="s">
        <v>5</v>
      </c>
      <c r="C310" s="10" t="s">
        <v>4114</v>
      </c>
      <c r="D310" s="16" t="s">
        <v>1446</v>
      </c>
      <c r="E310" s="15" t="s">
        <v>11215</v>
      </c>
      <c r="F310" s="16" t="str">
        <f>VLOOKUP(Table8[[#This Row],[Mã khách hàng]],code_khach_hang[],2,0)</f>
        <v>CHI NHÁNH HÀ NỘI - CÔNG TY CỔ PHẦN DỊCH VỤ THƯƠNG MẠI TỔNG HỢP WINCOMMERCE</v>
      </c>
      <c r="G310" s="16" t="str">
        <f>VLOOKUP(Table8[[#This Row],[Mã khách hàng]],code_khach_hang[],3,0)</f>
        <v>Miền Bắc đặc biệt 1</v>
      </c>
      <c r="H310" t="str">
        <f>VLOOKUP(Table8[[#This Row],[Mã khách hàng]],'Khách hàng'!A:D,4,0)</f>
        <v>Food Đức Việt</v>
      </c>
      <c r="I310" t="str">
        <f>VLOOKUP(Table8[[#This Row],[Mã khách hàng]],'Khách hàng'!A:E,5,0)</f>
        <v>HN0040</v>
      </c>
    </row>
    <row r="311" spans="1:9">
      <c r="A311" s="14" t="s">
        <v>4272</v>
      </c>
      <c r="B311" s="15" t="s">
        <v>5</v>
      </c>
      <c r="C311" s="10" t="s">
        <v>4273</v>
      </c>
      <c r="D311" s="16" t="s">
        <v>1449</v>
      </c>
      <c r="E311" s="15" t="s">
        <v>11215</v>
      </c>
      <c r="F311" s="16" t="str">
        <f>VLOOKUP(Table8[[#This Row],[Mã khách hàng]],code_khach_hang[],2,0)</f>
        <v>CHI NHÁNH HÀ NỘI - CÔNG TY CỔ PHẦN DỊCH VỤ THƯƠNG MẠI TỔNG HỢP WINCOMMERCE</v>
      </c>
      <c r="G311" s="16" t="str">
        <f>VLOOKUP(Table8[[#This Row],[Mã khách hàng]],code_khach_hang[],3,0)</f>
        <v>Miền Bắc đặc biệt 1</v>
      </c>
      <c r="H311" t="str">
        <f>VLOOKUP(Table8[[#This Row],[Mã khách hàng]],'Khách hàng'!A:D,4,0)</f>
        <v>Food Đức Việt</v>
      </c>
      <c r="I311" t="str">
        <f>VLOOKUP(Table8[[#This Row],[Mã khách hàng]],'Khách hàng'!A:E,5,0)</f>
        <v>HN0040</v>
      </c>
    </row>
    <row r="312" spans="1:9">
      <c r="A312" s="14" t="s">
        <v>4413</v>
      </c>
      <c r="B312" s="15" t="s">
        <v>5</v>
      </c>
      <c r="C312" s="10" t="s">
        <v>4414</v>
      </c>
      <c r="D312" s="16" t="s">
        <v>1452</v>
      </c>
      <c r="E312" s="15" t="s">
        <v>11215</v>
      </c>
      <c r="F312" s="16" t="str">
        <f>VLOOKUP(Table8[[#This Row],[Mã khách hàng]],code_khach_hang[],2,0)</f>
        <v>CHI NHÁNH HÀ NỘI - CÔNG TY CỔ PHẦN DỊCH VỤ THƯƠNG MẠI TỔNG HỢP WINCOMMERCE</v>
      </c>
      <c r="G312" s="16" t="str">
        <f>VLOOKUP(Table8[[#This Row],[Mã khách hàng]],code_khach_hang[],3,0)</f>
        <v>Miền Bắc đặc biệt 1</v>
      </c>
      <c r="H312" t="str">
        <f>VLOOKUP(Table8[[#This Row],[Mã khách hàng]],'Khách hàng'!A:D,4,0)</f>
        <v>Food Đức Việt</v>
      </c>
      <c r="I312" t="str">
        <f>VLOOKUP(Table8[[#This Row],[Mã khách hàng]],'Khách hàng'!A:E,5,0)</f>
        <v>HN0040</v>
      </c>
    </row>
    <row r="313" spans="1:9">
      <c r="A313" s="14" t="s">
        <v>4683</v>
      </c>
      <c r="B313" s="15" t="s">
        <v>5</v>
      </c>
      <c r="C313" s="10" t="s">
        <v>4684</v>
      </c>
      <c r="D313" s="16" t="s">
        <v>1455</v>
      </c>
      <c r="E313" s="15" t="s">
        <v>11215</v>
      </c>
      <c r="F313" s="16" t="str">
        <f>VLOOKUP(Table8[[#This Row],[Mã khách hàng]],code_khach_hang[],2,0)</f>
        <v>CHI NHÁNH HÀ NỘI - CÔNG TY CỔ PHẦN DỊCH VỤ THƯƠNG MẠI TỔNG HỢP WINCOMMERCE</v>
      </c>
      <c r="G313" s="16" t="str">
        <f>VLOOKUP(Table8[[#This Row],[Mã khách hàng]],code_khach_hang[],3,0)</f>
        <v>Miền Bắc đặc biệt 1</v>
      </c>
      <c r="H313" t="str">
        <f>VLOOKUP(Table8[[#This Row],[Mã khách hàng]],'Khách hàng'!A:D,4,0)</f>
        <v>Food Đức Việt</v>
      </c>
      <c r="I313" t="str">
        <f>VLOOKUP(Table8[[#This Row],[Mã khách hàng]],'Khách hàng'!A:E,5,0)</f>
        <v>HN0040</v>
      </c>
    </row>
    <row r="314" spans="1:9">
      <c r="A314" s="14" t="s">
        <v>5025</v>
      </c>
      <c r="B314" s="15" t="s">
        <v>5</v>
      </c>
      <c r="C314" s="10" t="s">
        <v>5026</v>
      </c>
      <c r="D314" s="16" t="s">
        <v>1458</v>
      </c>
      <c r="E314" s="15" t="s">
        <v>11215</v>
      </c>
      <c r="F314" s="16" t="str">
        <f>VLOOKUP(Table8[[#This Row],[Mã khách hàng]],code_khach_hang[],2,0)</f>
        <v>CHI NHÁNH HÀ NỘI - CÔNG TY CỔ PHẦN DỊCH VỤ THƯƠNG MẠI TỔNG HỢP WINCOMMERCE</v>
      </c>
      <c r="G314" s="16" t="str">
        <f>VLOOKUP(Table8[[#This Row],[Mã khách hàng]],code_khach_hang[],3,0)</f>
        <v>Miền Bắc đặc biệt 1</v>
      </c>
      <c r="H314" t="str">
        <f>VLOOKUP(Table8[[#This Row],[Mã khách hàng]],'Khách hàng'!A:D,4,0)</f>
        <v>Food Đức Việt</v>
      </c>
      <c r="I314" t="str">
        <f>VLOOKUP(Table8[[#This Row],[Mã khách hàng]],'Khách hàng'!A:E,5,0)</f>
        <v>HN0040</v>
      </c>
    </row>
    <row r="315" spans="1:9">
      <c r="A315" s="14" t="s">
        <v>5166</v>
      </c>
      <c r="B315" s="15" t="s">
        <v>5</v>
      </c>
      <c r="C315" s="10" t="s">
        <v>5167</v>
      </c>
      <c r="D315" s="16" t="s">
        <v>1461</v>
      </c>
      <c r="E315" s="15" t="s">
        <v>11215</v>
      </c>
      <c r="F315" s="16" t="str">
        <f>VLOOKUP(Table8[[#This Row],[Mã khách hàng]],code_khach_hang[],2,0)</f>
        <v>CHI NHÁNH HÀ NỘI - CÔNG TY CỔ PHẦN DỊCH VỤ THƯƠNG MẠI TỔNG HỢP WINCOMMERCE</v>
      </c>
      <c r="G315" s="16" t="str">
        <f>VLOOKUP(Table8[[#This Row],[Mã khách hàng]],code_khach_hang[],3,0)</f>
        <v>Miền Bắc đặc biệt 1</v>
      </c>
      <c r="H315" t="str">
        <f>VLOOKUP(Table8[[#This Row],[Mã khách hàng]],'Khách hàng'!A:D,4,0)</f>
        <v>Food Đức Việt</v>
      </c>
      <c r="I315" t="str">
        <f>VLOOKUP(Table8[[#This Row],[Mã khách hàng]],'Khách hàng'!A:E,5,0)</f>
        <v>HN0040</v>
      </c>
    </row>
    <row r="316" spans="1:9">
      <c r="A316" s="14" t="s">
        <v>5517</v>
      </c>
      <c r="B316" s="15" t="s">
        <v>5</v>
      </c>
      <c r="C316" s="10" t="s">
        <v>5518</v>
      </c>
      <c r="D316" s="16" t="s">
        <v>1465</v>
      </c>
      <c r="E316" s="15" t="s">
        <v>11215</v>
      </c>
      <c r="F316" s="16" t="str">
        <f>VLOOKUP(Table8[[#This Row],[Mã khách hàng]],code_khach_hang[],2,0)</f>
        <v>CHI NHÁNH HÀ NỘI - CÔNG TY CỔ PHẦN DỊCH VỤ THƯƠNG MẠI TỔNG HỢP WINCOMMERCE</v>
      </c>
      <c r="G316" s="16" t="str">
        <f>VLOOKUP(Table8[[#This Row],[Mã khách hàng]],code_khach_hang[],3,0)</f>
        <v>Miền Bắc đặc biệt 1</v>
      </c>
      <c r="H316" t="str">
        <f>VLOOKUP(Table8[[#This Row],[Mã khách hàng]],'Khách hàng'!A:D,4,0)</f>
        <v>Food Đức Việt</v>
      </c>
      <c r="I316" t="str">
        <f>VLOOKUP(Table8[[#This Row],[Mã khách hàng]],'Khách hàng'!A:E,5,0)</f>
        <v>HN0040</v>
      </c>
    </row>
    <row r="317" spans="1:9">
      <c r="A317" s="14" t="s">
        <v>5836</v>
      </c>
      <c r="B317" s="15" t="s">
        <v>5</v>
      </c>
      <c r="C317" s="10" t="s">
        <v>5837</v>
      </c>
      <c r="D317" s="16" t="s">
        <v>1469</v>
      </c>
      <c r="E317" s="15" t="s">
        <v>11215</v>
      </c>
      <c r="F317" s="16" t="str">
        <f>VLOOKUP(Table8[[#This Row],[Mã khách hàng]],code_khach_hang[],2,0)</f>
        <v>CHI NHÁNH HÀ NỘI - CÔNG TY CỔ PHẦN DỊCH VỤ THƯƠNG MẠI TỔNG HỢP WINCOMMERCE</v>
      </c>
      <c r="G317" s="16" t="str">
        <f>VLOOKUP(Table8[[#This Row],[Mã khách hàng]],code_khach_hang[],3,0)</f>
        <v>Miền Bắc đặc biệt 1</v>
      </c>
      <c r="H317" t="str">
        <f>VLOOKUP(Table8[[#This Row],[Mã khách hàng]],'Khách hàng'!A:D,4,0)</f>
        <v>Food Đức Việt</v>
      </c>
      <c r="I317" t="str">
        <f>VLOOKUP(Table8[[#This Row],[Mã khách hàng]],'Khách hàng'!A:E,5,0)</f>
        <v>HN0040</v>
      </c>
    </row>
    <row r="318" spans="1:9">
      <c r="A318" s="14" t="s">
        <v>5848</v>
      </c>
      <c r="B318" s="15" t="s">
        <v>5</v>
      </c>
      <c r="C318" s="10" t="s">
        <v>5849</v>
      </c>
      <c r="D318" s="16" t="s">
        <v>1472</v>
      </c>
      <c r="E318" s="15" t="s">
        <v>11215</v>
      </c>
      <c r="F318" s="16" t="str">
        <f>VLOOKUP(Table8[[#This Row],[Mã khách hàng]],code_khach_hang[],2,0)</f>
        <v>CHI NHÁNH HÀ NỘI - CÔNG TY CỔ PHẦN DỊCH VỤ THƯƠNG MẠI TỔNG HỢP WINCOMMERCE</v>
      </c>
      <c r="G318" s="16" t="str">
        <f>VLOOKUP(Table8[[#This Row],[Mã khách hàng]],code_khach_hang[],3,0)</f>
        <v>Miền Bắc đặc biệt 1</v>
      </c>
      <c r="H318" t="str">
        <f>VLOOKUP(Table8[[#This Row],[Mã khách hàng]],'Khách hàng'!A:D,4,0)</f>
        <v>Food Đức Việt</v>
      </c>
      <c r="I318" t="str">
        <f>VLOOKUP(Table8[[#This Row],[Mã khách hàng]],'Khách hàng'!A:E,5,0)</f>
        <v>HN0040</v>
      </c>
    </row>
    <row r="319" spans="1:9">
      <c r="A319" s="14" t="s">
        <v>6375</v>
      </c>
      <c r="B319" s="15" t="s">
        <v>5</v>
      </c>
      <c r="C319" s="10" t="s">
        <v>6376</v>
      </c>
      <c r="D319" s="16" t="s">
        <v>1475</v>
      </c>
      <c r="E319" s="15" t="s">
        <v>11215</v>
      </c>
      <c r="F319" s="16" t="str">
        <f>VLOOKUP(Table8[[#This Row],[Mã khách hàng]],code_khach_hang[],2,0)</f>
        <v>CHI NHÁNH HÀ NỘI - CÔNG TY CỔ PHẦN DỊCH VỤ THƯƠNG MẠI TỔNG HỢP WINCOMMERCE</v>
      </c>
      <c r="G319" s="16" t="str">
        <f>VLOOKUP(Table8[[#This Row],[Mã khách hàng]],code_khach_hang[],3,0)</f>
        <v>Miền Bắc đặc biệt 1</v>
      </c>
      <c r="H319" t="str">
        <f>VLOOKUP(Table8[[#This Row],[Mã khách hàng]],'Khách hàng'!A:D,4,0)</f>
        <v>Food Đức Việt</v>
      </c>
      <c r="I319" t="str">
        <f>VLOOKUP(Table8[[#This Row],[Mã khách hàng]],'Khách hàng'!A:E,5,0)</f>
        <v>HN0040</v>
      </c>
    </row>
    <row r="320" spans="1:9">
      <c r="A320" s="14" t="s">
        <v>6683</v>
      </c>
      <c r="B320" s="15" t="s">
        <v>5</v>
      </c>
      <c r="C320" s="10" t="s">
        <v>6684</v>
      </c>
      <c r="D320" s="16" t="s">
        <v>1478</v>
      </c>
      <c r="E320" s="15" t="s">
        <v>11215</v>
      </c>
      <c r="F320" s="16" t="str">
        <f>VLOOKUP(Table8[[#This Row],[Mã khách hàng]],code_khach_hang[],2,0)</f>
        <v>CHI NHÁNH HÀ NỘI - CÔNG TY CỔ PHẦN DỊCH VỤ THƯƠNG MẠI TỔNG HỢP WINCOMMERCE</v>
      </c>
      <c r="G320" s="16" t="str">
        <f>VLOOKUP(Table8[[#This Row],[Mã khách hàng]],code_khach_hang[],3,0)</f>
        <v>Miền Bắc đặc biệt 1</v>
      </c>
      <c r="H320" t="str">
        <f>VLOOKUP(Table8[[#This Row],[Mã khách hàng]],'Khách hàng'!A:D,4,0)</f>
        <v>Food Đức Việt</v>
      </c>
      <c r="I320" t="str">
        <f>VLOOKUP(Table8[[#This Row],[Mã khách hàng]],'Khách hàng'!A:E,5,0)</f>
        <v>HN0040</v>
      </c>
    </row>
    <row r="321" spans="1:9">
      <c r="A321" s="14" t="s">
        <v>6800</v>
      </c>
      <c r="B321" s="15" t="s">
        <v>5</v>
      </c>
      <c r="C321" s="10" t="s">
        <v>6801</v>
      </c>
      <c r="D321" s="16" t="s">
        <v>1482</v>
      </c>
      <c r="E321" s="15" t="s">
        <v>11215</v>
      </c>
      <c r="F321" s="16" t="str">
        <f>VLOOKUP(Table8[[#This Row],[Mã khách hàng]],code_khach_hang[],2,0)</f>
        <v>CHI NHÁNH HÀ NỘI - CÔNG TY CỔ PHẦN DỊCH VỤ THƯƠNG MẠI TỔNG HỢP WINCOMMERCE</v>
      </c>
      <c r="G321" s="16" t="str">
        <f>VLOOKUP(Table8[[#This Row],[Mã khách hàng]],code_khach_hang[],3,0)</f>
        <v>Miền Bắc đặc biệt 1</v>
      </c>
      <c r="H321" t="str">
        <f>VLOOKUP(Table8[[#This Row],[Mã khách hàng]],'Khách hàng'!A:D,4,0)</f>
        <v>Food Đức Việt</v>
      </c>
      <c r="I321" t="str">
        <f>VLOOKUP(Table8[[#This Row],[Mã khách hàng]],'Khách hàng'!A:E,5,0)</f>
        <v>HN0040</v>
      </c>
    </row>
    <row r="322" spans="1:9">
      <c r="A322" s="14" t="s">
        <v>7271</v>
      </c>
      <c r="B322" s="15" t="s">
        <v>5</v>
      </c>
      <c r="C322" s="10" t="s">
        <v>7272</v>
      </c>
      <c r="D322" s="16" t="s">
        <v>1485</v>
      </c>
      <c r="E322" s="15" t="s">
        <v>11215</v>
      </c>
      <c r="F322" s="16" t="str">
        <f>VLOOKUP(Table8[[#This Row],[Mã khách hàng]],code_khach_hang[],2,0)</f>
        <v>CHI NHÁNH HÀ NỘI - CÔNG TY CỔ PHẦN DỊCH VỤ THƯƠNG MẠI TỔNG HỢP WINCOMMERCE</v>
      </c>
      <c r="G322" s="16" t="str">
        <f>VLOOKUP(Table8[[#This Row],[Mã khách hàng]],code_khach_hang[],3,0)</f>
        <v>Miền Bắc đặc biệt 1</v>
      </c>
      <c r="H322" t="str">
        <f>VLOOKUP(Table8[[#This Row],[Mã khách hàng]],'Khách hàng'!A:D,4,0)</f>
        <v>Food Đức Việt</v>
      </c>
      <c r="I322" t="str">
        <f>VLOOKUP(Table8[[#This Row],[Mã khách hàng]],'Khách hàng'!A:E,5,0)</f>
        <v>HN0040</v>
      </c>
    </row>
    <row r="323" spans="1:9">
      <c r="A323" s="14" t="s">
        <v>7730</v>
      </c>
      <c r="B323" s="15" t="s">
        <v>5</v>
      </c>
      <c r="C323" s="10" t="s">
        <v>7731</v>
      </c>
      <c r="D323" s="16" t="s">
        <v>1488</v>
      </c>
      <c r="E323" s="15" t="s">
        <v>11215</v>
      </c>
      <c r="F323" s="16" t="str">
        <f>VLOOKUP(Table8[[#This Row],[Mã khách hàng]],code_khach_hang[],2,0)</f>
        <v>CHI NHÁNH HÀ NỘI - CÔNG TY CỔ PHẦN DỊCH VỤ THƯƠNG MẠI TỔNG HỢP WINCOMMERCE</v>
      </c>
      <c r="G323" s="16" t="str">
        <f>VLOOKUP(Table8[[#This Row],[Mã khách hàng]],code_khach_hang[],3,0)</f>
        <v>Miền Bắc đặc biệt 1</v>
      </c>
      <c r="H323" t="str">
        <f>VLOOKUP(Table8[[#This Row],[Mã khách hàng]],'Khách hàng'!A:D,4,0)</f>
        <v>Food Đức Việt</v>
      </c>
      <c r="I323" t="str">
        <f>VLOOKUP(Table8[[#This Row],[Mã khách hàng]],'Khách hàng'!A:E,5,0)</f>
        <v>HN0040</v>
      </c>
    </row>
    <row r="324" spans="1:9">
      <c r="A324" s="14" t="s">
        <v>8594</v>
      </c>
      <c r="B324" s="15" t="s">
        <v>5</v>
      </c>
      <c r="C324" s="10" t="s">
        <v>8595</v>
      </c>
      <c r="D324" s="16" t="s">
        <v>1490</v>
      </c>
      <c r="E324" s="15" t="s">
        <v>11215</v>
      </c>
      <c r="F324" s="16" t="str">
        <f>VLOOKUP(Table8[[#This Row],[Mã khách hàng]],code_khach_hang[],2,0)</f>
        <v>CHI NHÁNH HÀ NỘI - CÔNG TY CỔ PHẦN DỊCH VỤ THƯƠNG MẠI TỔNG HỢP WINCOMMERCE</v>
      </c>
      <c r="G324" s="16" t="str">
        <f>VLOOKUP(Table8[[#This Row],[Mã khách hàng]],code_khach_hang[],3,0)</f>
        <v>Miền Bắc đặc biệt 1</v>
      </c>
      <c r="H324" t="str">
        <f>VLOOKUP(Table8[[#This Row],[Mã khách hàng]],'Khách hàng'!A:D,4,0)</f>
        <v>Food Đức Việt</v>
      </c>
      <c r="I324" t="str">
        <f>VLOOKUP(Table8[[#This Row],[Mã khách hàng]],'Khách hàng'!A:E,5,0)</f>
        <v>HN0040</v>
      </c>
    </row>
    <row r="325" spans="1:9">
      <c r="A325" s="14" t="s">
        <v>2068</v>
      </c>
      <c r="B325" s="15" t="s">
        <v>5</v>
      </c>
      <c r="C325" s="10" t="s">
        <v>2069</v>
      </c>
      <c r="D325" s="16" t="s">
        <v>1493</v>
      </c>
      <c r="E325" s="15" t="s">
        <v>11215</v>
      </c>
      <c r="F325" s="16" t="str">
        <f>VLOOKUP(Table8[[#This Row],[Mã khách hàng]],code_khach_hang[],2,0)</f>
        <v>CHI NHÁNH HÀ NỘI - CÔNG TY CỔ PHẦN DỊCH VỤ THƯƠNG MẠI TỔNG HỢP WINCOMMERCE</v>
      </c>
      <c r="G325" s="16" t="str">
        <f>VLOOKUP(Table8[[#This Row],[Mã khách hàng]],code_khach_hang[],3,0)</f>
        <v>Miền Bắc đặc biệt 1</v>
      </c>
      <c r="H325" t="str">
        <f>VLOOKUP(Table8[[#This Row],[Mã khách hàng]],'Khách hàng'!A:D,4,0)</f>
        <v>Food Đức Việt</v>
      </c>
      <c r="I325" t="str">
        <f>VLOOKUP(Table8[[#This Row],[Mã khách hàng]],'Khách hàng'!A:E,5,0)</f>
        <v>HN0040</v>
      </c>
    </row>
    <row r="326" spans="1:9">
      <c r="A326" s="14" t="s">
        <v>544</v>
      </c>
      <c r="B326" s="15" t="s">
        <v>183</v>
      </c>
      <c r="C326" s="10" t="s">
        <v>545</v>
      </c>
      <c r="D326" s="16" t="s">
        <v>1495</v>
      </c>
      <c r="E326" s="15" t="s">
        <v>11195</v>
      </c>
      <c r="F326" s="16" t="str">
        <f>VLOOKUP(Table8[[#This Row],[Mã khách hàng]],code_khach_hang[],2,0)</f>
        <v>CHI NHÁNH HÀ NỘI - CÔNG TY CỔ PHẦN DỊCH VỤ THƯƠNG MẠI TỔNG HỢP WINCOMMERCE</v>
      </c>
      <c r="G326" s="16" t="str">
        <f>VLOOKUP(Table8[[#This Row],[Mã khách hàng]],code_khach_hang[],3,0)</f>
        <v>Miền Bắc đặc biệt 2</v>
      </c>
      <c r="H326" t="str">
        <f>VLOOKUP(Table8[[#This Row],[Mã khách hàng]],'Khách hàng'!A:D,4,0)</f>
        <v>Food Đức Việt</v>
      </c>
      <c r="I326" t="str">
        <f>VLOOKUP(Table8[[#This Row],[Mã khách hàng]],'Khách hàng'!A:E,5,0)</f>
        <v>HN0040</v>
      </c>
    </row>
    <row r="327" spans="1:9">
      <c r="A327" s="14" t="s">
        <v>607</v>
      </c>
      <c r="B327" s="15" t="s">
        <v>183</v>
      </c>
      <c r="C327" s="10" t="s">
        <v>608</v>
      </c>
      <c r="D327" s="16" t="s">
        <v>1498</v>
      </c>
      <c r="E327" s="15" t="s">
        <v>11195</v>
      </c>
      <c r="F327" s="16" t="str">
        <f>VLOOKUP(Table8[[#This Row],[Mã khách hàng]],code_khach_hang[],2,0)</f>
        <v>CHI NHÁNH HÀ NỘI - CÔNG TY CỔ PHẦN DỊCH VỤ THƯƠNG MẠI TỔNG HỢP WINCOMMERCE</v>
      </c>
      <c r="G327" s="16" t="str">
        <f>VLOOKUP(Table8[[#This Row],[Mã khách hàng]],code_khach_hang[],3,0)</f>
        <v>Miền Bắc đặc biệt 2</v>
      </c>
      <c r="H327" t="str">
        <f>VLOOKUP(Table8[[#This Row],[Mã khách hàng]],'Khách hàng'!A:D,4,0)</f>
        <v>Food Đức Việt</v>
      </c>
      <c r="I327" t="str">
        <f>VLOOKUP(Table8[[#This Row],[Mã khách hàng]],'Khách hàng'!A:E,5,0)</f>
        <v>HN0040</v>
      </c>
    </row>
    <row r="328" spans="1:9">
      <c r="A328" s="14" t="s">
        <v>634</v>
      </c>
      <c r="B328" s="15" t="s">
        <v>183</v>
      </c>
      <c r="C328" s="10" t="s">
        <v>635</v>
      </c>
      <c r="D328" s="16" t="s">
        <v>1501</v>
      </c>
      <c r="E328" s="15" t="s">
        <v>11195</v>
      </c>
      <c r="F328" s="16" t="str">
        <f>VLOOKUP(Table8[[#This Row],[Mã khách hàng]],code_khach_hang[],2,0)</f>
        <v>CHI NHÁNH HÀ NỘI - CÔNG TY CỔ PHẦN DỊCH VỤ THƯƠNG MẠI TỔNG HỢP WINCOMMERCE</v>
      </c>
      <c r="G328" s="16" t="str">
        <f>VLOOKUP(Table8[[#This Row],[Mã khách hàng]],code_khach_hang[],3,0)</f>
        <v>Miền Bắc đặc biệt 2</v>
      </c>
      <c r="H328" t="str">
        <f>VLOOKUP(Table8[[#This Row],[Mã khách hàng]],'Khách hàng'!A:D,4,0)</f>
        <v>Food Đức Việt</v>
      </c>
      <c r="I328" t="str">
        <f>VLOOKUP(Table8[[#This Row],[Mã khách hàng]],'Khách hàng'!A:E,5,0)</f>
        <v>HN0040</v>
      </c>
    </row>
    <row r="329" spans="1:9">
      <c r="A329" s="14" t="s">
        <v>741</v>
      </c>
      <c r="B329" s="15" t="s">
        <v>5</v>
      </c>
      <c r="C329" s="10" t="s">
        <v>742</v>
      </c>
      <c r="D329" s="16" t="s">
        <v>1505</v>
      </c>
      <c r="E329" s="15" t="s">
        <v>11215</v>
      </c>
      <c r="F329" s="16" t="str">
        <f>VLOOKUP(Table8[[#This Row],[Mã khách hàng]],code_khach_hang[],2,0)</f>
        <v>CHI NHÁNH HÀ NỘI - CÔNG TY CỔ PHẦN DỊCH VỤ THƯƠNG MẠI TỔNG HỢP WINCOMMERCE</v>
      </c>
      <c r="G329" s="16" t="str">
        <f>VLOOKUP(Table8[[#This Row],[Mã khách hàng]],code_khach_hang[],3,0)</f>
        <v>Miền Bắc đặc biệt 1</v>
      </c>
      <c r="H329" t="str">
        <f>VLOOKUP(Table8[[#This Row],[Mã khách hàng]],'Khách hàng'!A:D,4,0)</f>
        <v>Food Đức Việt</v>
      </c>
      <c r="I329" t="str">
        <f>VLOOKUP(Table8[[#This Row],[Mã khách hàng]],'Khách hàng'!A:E,5,0)</f>
        <v>HN0040</v>
      </c>
    </row>
    <row r="330" spans="1:9">
      <c r="A330" s="14" t="s">
        <v>786</v>
      </c>
      <c r="B330" s="15" t="s">
        <v>5</v>
      </c>
      <c r="C330" s="10" t="s">
        <v>787</v>
      </c>
      <c r="D330" s="16" t="s">
        <v>1508</v>
      </c>
      <c r="E330" s="15" t="s">
        <v>11215</v>
      </c>
      <c r="F330" s="16" t="str">
        <f>VLOOKUP(Table8[[#This Row],[Mã khách hàng]],code_khach_hang[],2,0)</f>
        <v>CHI NHÁNH HÀ NỘI - CÔNG TY CỔ PHẦN DỊCH VỤ THƯƠNG MẠI TỔNG HỢP WINCOMMERCE</v>
      </c>
      <c r="G330" s="16" t="str">
        <f>VLOOKUP(Table8[[#This Row],[Mã khách hàng]],code_khach_hang[],3,0)</f>
        <v>Miền Bắc đặc biệt 1</v>
      </c>
      <c r="H330" t="str">
        <f>VLOOKUP(Table8[[#This Row],[Mã khách hàng]],'Khách hàng'!A:D,4,0)</f>
        <v>Food Đức Việt</v>
      </c>
      <c r="I330" t="str">
        <f>VLOOKUP(Table8[[#This Row],[Mã khách hàng]],'Khách hàng'!A:E,5,0)</f>
        <v>HN0040</v>
      </c>
    </row>
    <row r="331" spans="1:9">
      <c r="A331" s="14" t="s">
        <v>909</v>
      </c>
      <c r="B331" s="15" t="s">
        <v>5</v>
      </c>
      <c r="C331" s="10" t="s">
        <v>910</v>
      </c>
      <c r="D331" s="16" t="s">
        <v>1511</v>
      </c>
      <c r="E331" s="15" t="s">
        <v>11215</v>
      </c>
      <c r="F331" s="16" t="str">
        <f>VLOOKUP(Table8[[#This Row],[Mã khách hàng]],code_khach_hang[],2,0)</f>
        <v>CHI NHÁNH HÀ NỘI - CÔNG TY CỔ PHẦN DỊCH VỤ THƯƠNG MẠI TỔNG HỢP WINCOMMERCE</v>
      </c>
      <c r="G331" s="16" t="str">
        <f>VLOOKUP(Table8[[#This Row],[Mã khách hàng]],code_khach_hang[],3,0)</f>
        <v>Miền Bắc đặc biệt 1</v>
      </c>
      <c r="H331" t="str">
        <f>VLOOKUP(Table8[[#This Row],[Mã khách hàng]],'Khách hàng'!A:D,4,0)</f>
        <v>Food Đức Việt</v>
      </c>
      <c r="I331" t="str">
        <f>VLOOKUP(Table8[[#This Row],[Mã khách hàng]],'Khách hàng'!A:E,5,0)</f>
        <v>HN0040</v>
      </c>
    </row>
    <row r="332" spans="1:9">
      <c r="A332" s="14" t="s">
        <v>11097</v>
      </c>
      <c r="B332" s="15" t="s">
        <v>5</v>
      </c>
      <c r="C332" s="10" t="s">
        <v>13146</v>
      </c>
      <c r="D332" s="16" t="s">
        <v>1514</v>
      </c>
      <c r="E332" s="15" t="s">
        <v>11215</v>
      </c>
      <c r="F332" s="16" t="str">
        <f>VLOOKUP(Table8[[#This Row],[Mã khách hàng]],code_khach_hang[],2,0)</f>
        <v>CHI NHÁNH HÀ NỘI - CÔNG TY CỔ PHẦN DỊCH VỤ THƯƠNG MẠI TỔNG HỢP WINCOMMERCE</v>
      </c>
      <c r="G332" s="16" t="str">
        <f>VLOOKUP(Table8[[#This Row],[Mã khách hàng]],code_khach_hang[],3,0)</f>
        <v>Miền Bắc đặc biệt 1</v>
      </c>
      <c r="H332" t="str">
        <f>VLOOKUP(Table8[[#This Row],[Mã khách hàng]],'Khách hàng'!A:D,4,0)</f>
        <v>Food Đức Việt</v>
      </c>
      <c r="I332" t="str">
        <f>VLOOKUP(Table8[[#This Row],[Mã khách hàng]],'Khách hàng'!A:E,5,0)</f>
        <v>HN0040</v>
      </c>
    </row>
    <row r="333" spans="1:9">
      <c r="A333" s="14" t="s">
        <v>975</v>
      </c>
      <c r="B333" s="15" t="s">
        <v>5</v>
      </c>
      <c r="C333" s="10" t="s">
        <v>976</v>
      </c>
      <c r="D333" s="16" t="s">
        <v>1517</v>
      </c>
      <c r="E333" s="15" t="s">
        <v>11215</v>
      </c>
      <c r="F333" s="16" t="str">
        <f>VLOOKUP(Table8[[#This Row],[Mã khách hàng]],code_khach_hang[],2,0)</f>
        <v>CHI NHÁNH HÀ NỘI - CÔNG TY CỔ PHẦN DỊCH VỤ THƯƠNG MẠI TỔNG HỢP WINCOMMERCE</v>
      </c>
      <c r="G333" s="16" t="str">
        <f>VLOOKUP(Table8[[#This Row],[Mã khách hàng]],code_khach_hang[],3,0)</f>
        <v>Miền Bắc đặc biệt 1</v>
      </c>
      <c r="H333" t="str">
        <f>VLOOKUP(Table8[[#This Row],[Mã khách hàng]],'Khách hàng'!A:D,4,0)</f>
        <v>Food Đức Việt</v>
      </c>
      <c r="I333" t="str">
        <f>VLOOKUP(Table8[[#This Row],[Mã khách hàng]],'Khách hàng'!A:E,5,0)</f>
        <v>HN0040</v>
      </c>
    </row>
    <row r="334" spans="1:9">
      <c r="A334" s="14" t="s">
        <v>984</v>
      </c>
      <c r="B334" s="15" t="s">
        <v>5</v>
      </c>
      <c r="C334" s="10" t="s">
        <v>985</v>
      </c>
      <c r="D334" s="16" t="s">
        <v>1521</v>
      </c>
      <c r="E334" s="15" t="s">
        <v>11215</v>
      </c>
      <c r="F334" s="16" t="str">
        <f>VLOOKUP(Table8[[#This Row],[Mã khách hàng]],code_khach_hang[],2,0)</f>
        <v>CHI NHÁNH HÀ NỘI - CÔNG TY CỔ PHẦN DỊCH VỤ THƯƠNG MẠI TỔNG HỢP WINCOMMERCE</v>
      </c>
      <c r="G334" s="16" t="str">
        <f>VLOOKUP(Table8[[#This Row],[Mã khách hàng]],code_khach_hang[],3,0)</f>
        <v>Miền Bắc đặc biệt 1</v>
      </c>
      <c r="H334" t="str">
        <f>VLOOKUP(Table8[[#This Row],[Mã khách hàng]],'Khách hàng'!A:D,4,0)</f>
        <v>Food Đức Việt</v>
      </c>
      <c r="I334" t="str">
        <f>VLOOKUP(Table8[[#This Row],[Mã khách hàng]],'Khách hàng'!A:E,5,0)</f>
        <v>HN0040</v>
      </c>
    </row>
    <row r="335" spans="1:9">
      <c r="A335" s="14" t="s">
        <v>990</v>
      </c>
      <c r="B335" s="15" t="s">
        <v>5</v>
      </c>
      <c r="C335" s="10" t="s">
        <v>991</v>
      </c>
      <c r="D335" s="16" t="s">
        <v>1524</v>
      </c>
      <c r="E335" s="15" t="s">
        <v>11215</v>
      </c>
      <c r="F335" s="16" t="str">
        <f>VLOOKUP(Table8[[#This Row],[Mã khách hàng]],code_khach_hang[],2,0)</f>
        <v>CHI NHÁNH HÀ NỘI - CÔNG TY CỔ PHẦN DỊCH VỤ THƯƠNG MẠI TỔNG HỢP WINCOMMERCE</v>
      </c>
      <c r="G335" s="16" t="str">
        <f>VLOOKUP(Table8[[#This Row],[Mã khách hàng]],code_khach_hang[],3,0)</f>
        <v>Miền Bắc đặc biệt 1</v>
      </c>
      <c r="H335" t="str">
        <f>VLOOKUP(Table8[[#This Row],[Mã khách hàng]],'Khách hàng'!A:D,4,0)</f>
        <v>Food Đức Việt</v>
      </c>
      <c r="I335" t="str">
        <f>VLOOKUP(Table8[[#This Row],[Mã khách hàng]],'Khách hàng'!A:E,5,0)</f>
        <v>HN0040</v>
      </c>
    </row>
    <row r="336" spans="1:9">
      <c r="A336" s="14" t="s">
        <v>1023</v>
      </c>
      <c r="B336" s="15" t="s">
        <v>5</v>
      </c>
      <c r="C336" s="10" t="s">
        <v>1024</v>
      </c>
      <c r="D336" s="16" t="s">
        <v>1527</v>
      </c>
      <c r="E336" s="15" t="s">
        <v>11215</v>
      </c>
      <c r="F336" s="16" t="str">
        <f>VLOOKUP(Table8[[#This Row],[Mã khách hàng]],code_khach_hang[],2,0)</f>
        <v>CHI NHÁNH HÀ NỘI - CÔNG TY CỔ PHẦN DỊCH VỤ THƯƠNG MẠI TỔNG HỢP WINCOMMERCE</v>
      </c>
      <c r="G336" s="16" t="str">
        <f>VLOOKUP(Table8[[#This Row],[Mã khách hàng]],code_khach_hang[],3,0)</f>
        <v>Miền Bắc đặc biệt 1</v>
      </c>
      <c r="H336" t="str">
        <f>VLOOKUP(Table8[[#This Row],[Mã khách hàng]],'Khách hàng'!A:D,4,0)</f>
        <v>Food Đức Việt</v>
      </c>
      <c r="I336" t="str">
        <f>VLOOKUP(Table8[[#This Row],[Mã khách hàng]],'Khách hàng'!A:E,5,0)</f>
        <v>HN0040</v>
      </c>
    </row>
    <row r="337" spans="1:9">
      <c r="A337" s="14" t="s">
        <v>1050</v>
      </c>
      <c r="B337" s="15" t="s">
        <v>5</v>
      </c>
      <c r="C337" s="10" t="s">
        <v>1051</v>
      </c>
      <c r="D337" s="16" t="s">
        <v>1530</v>
      </c>
      <c r="E337" s="15" t="s">
        <v>11215</v>
      </c>
      <c r="F337" s="16" t="str">
        <f>VLOOKUP(Table8[[#This Row],[Mã khách hàng]],code_khach_hang[],2,0)</f>
        <v>CHI NHÁNH HÀ NỘI - CÔNG TY CỔ PHẦN DỊCH VỤ THƯƠNG MẠI TỔNG HỢP WINCOMMERCE</v>
      </c>
      <c r="G337" s="16" t="str">
        <f>VLOOKUP(Table8[[#This Row],[Mã khách hàng]],code_khach_hang[],3,0)</f>
        <v>Miền Bắc đặc biệt 1</v>
      </c>
      <c r="H337" t="str">
        <f>VLOOKUP(Table8[[#This Row],[Mã khách hàng]],'Khách hàng'!A:D,4,0)</f>
        <v>Food Đức Việt</v>
      </c>
      <c r="I337" t="str">
        <f>VLOOKUP(Table8[[#This Row],[Mã khách hàng]],'Khách hàng'!A:E,5,0)</f>
        <v>HN0040</v>
      </c>
    </row>
    <row r="338" spans="1:9">
      <c r="A338" s="14" t="s">
        <v>1062</v>
      </c>
      <c r="B338" s="15" t="s">
        <v>5</v>
      </c>
      <c r="C338" s="10" t="s">
        <v>1063</v>
      </c>
      <c r="D338" s="16" t="s">
        <v>1533</v>
      </c>
      <c r="E338" s="15" t="s">
        <v>11215</v>
      </c>
      <c r="F338" s="16" t="str">
        <f>VLOOKUP(Table8[[#This Row],[Mã khách hàng]],code_khach_hang[],2,0)</f>
        <v>CHI NHÁNH HÀ NỘI - CÔNG TY CỔ PHẦN DỊCH VỤ THƯƠNG MẠI TỔNG HỢP WINCOMMERCE</v>
      </c>
      <c r="G338" s="16" t="str">
        <f>VLOOKUP(Table8[[#This Row],[Mã khách hàng]],code_khach_hang[],3,0)</f>
        <v>Miền Bắc đặc biệt 1</v>
      </c>
      <c r="H338" t="str">
        <f>VLOOKUP(Table8[[#This Row],[Mã khách hàng]],'Khách hàng'!A:D,4,0)</f>
        <v>Food Đức Việt</v>
      </c>
      <c r="I338" t="str">
        <f>VLOOKUP(Table8[[#This Row],[Mã khách hàng]],'Khách hàng'!A:E,5,0)</f>
        <v>HN0040</v>
      </c>
    </row>
    <row r="339" spans="1:9">
      <c r="A339" s="14" t="s">
        <v>1101</v>
      </c>
      <c r="B339" s="15" t="s">
        <v>5</v>
      </c>
      <c r="C339" s="10" t="s">
        <v>1102</v>
      </c>
      <c r="D339" s="16" t="s">
        <v>1536</v>
      </c>
      <c r="E339" s="15" t="s">
        <v>11215</v>
      </c>
      <c r="F339" s="16" t="str">
        <f>VLOOKUP(Table8[[#This Row],[Mã khách hàng]],code_khach_hang[],2,0)</f>
        <v>CHI NHÁNH HÀ NỘI - CÔNG TY CỔ PHẦN DỊCH VỤ THƯƠNG MẠI TỔNG HỢP WINCOMMERCE</v>
      </c>
      <c r="G339" s="16" t="str">
        <f>VLOOKUP(Table8[[#This Row],[Mã khách hàng]],code_khach_hang[],3,0)</f>
        <v>Miền Bắc đặc biệt 1</v>
      </c>
      <c r="H339" t="str">
        <f>VLOOKUP(Table8[[#This Row],[Mã khách hàng]],'Khách hàng'!A:D,4,0)</f>
        <v>Food Đức Việt</v>
      </c>
      <c r="I339" t="str">
        <f>VLOOKUP(Table8[[#This Row],[Mã khách hàng]],'Khách hàng'!A:E,5,0)</f>
        <v>HN0040</v>
      </c>
    </row>
    <row r="340" spans="1:9">
      <c r="A340" s="14" t="s">
        <v>11098</v>
      </c>
      <c r="B340" s="15" t="s">
        <v>5</v>
      </c>
      <c r="C340" s="10" t="s">
        <v>13147</v>
      </c>
      <c r="D340" s="16" t="s">
        <v>1539</v>
      </c>
      <c r="E340" s="15" t="s">
        <v>11215</v>
      </c>
      <c r="F340" s="16" t="str">
        <f>VLOOKUP(Table8[[#This Row],[Mã khách hàng]],code_khach_hang[],2,0)</f>
        <v>CHI NHÁNH HÀ NỘI - CÔNG TY CỔ PHẦN DỊCH VỤ THƯƠNG MẠI TỔNG HỢP WINCOMMERCE</v>
      </c>
      <c r="G340" s="16" t="str">
        <f>VLOOKUP(Table8[[#This Row],[Mã khách hàng]],code_khach_hang[],3,0)</f>
        <v>Miền Bắc đặc biệt 1</v>
      </c>
      <c r="H340" t="str">
        <f>VLOOKUP(Table8[[#This Row],[Mã khách hàng]],'Khách hàng'!A:D,4,0)</f>
        <v>Food Đức Việt</v>
      </c>
      <c r="I340" t="str">
        <f>VLOOKUP(Table8[[#This Row],[Mã khách hàng]],'Khách hàng'!A:E,5,0)</f>
        <v>HN0040</v>
      </c>
    </row>
    <row r="341" spans="1:9">
      <c r="A341" s="14" t="s">
        <v>1146</v>
      </c>
      <c r="B341" s="15" t="s">
        <v>5</v>
      </c>
      <c r="C341" s="10" t="s">
        <v>1147</v>
      </c>
      <c r="D341" s="16" t="s">
        <v>1542</v>
      </c>
      <c r="E341" s="15" t="s">
        <v>11215</v>
      </c>
      <c r="F341" s="16" t="str">
        <f>VLOOKUP(Table8[[#This Row],[Mã khách hàng]],code_khach_hang[],2,0)</f>
        <v>CHI NHÁNH HÀ NỘI - CÔNG TY CỔ PHẦN DỊCH VỤ THƯƠNG MẠI TỔNG HỢP WINCOMMERCE</v>
      </c>
      <c r="G341" s="16" t="str">
        <f>VLOOKUP(Table8[[#This Row],[Mã khách hàng]],code_khach_hang[],3,0)</f>
        <v>Miền Bắc đặc biệt 1</v>
      </c>
      <c r="H341" t="str">
        <f>VLOOKUP(Table8[[#This Row],[Mã khách hàng]],'Khách hàng'!A:D,4,0)</f>
        <v>Food Đức Việt</v>
      </c>
      <c r="I341" t="str">
        <f>VLOOKUP(Table8[[#This Row],[Mã khách hàng]],'Khách hàng'!A:E,5,0)</f>
        <v>HN0040</v>
      </c>
    </row>
    <row r="342" spans="1:9">
      <c r="A342" s="14" t="s">
        <v>1155</v>
      </c>
      <c r="B342" s="15" t="s">
        <v>5</v>
      </c>
      <c r="C342" s="10" t="s">
        <v>1156</v>
      </c>
      <c r="D342" s="16" t="s">
        <v>1545</v>
      </c>
      <c r="E342" s="15" t="s">
        <v>11215</v>
      </c>
      <c r="F342" s="16" t="str">
        <f>VLOOKUP(Table8[[#This Row],[Mã khách hàng]],code_khach_hang[],2,0)</f>
        <v>CHI NHÁNH HÀ NỘI - CÔNG TY CỔ PHẦN DỊCH VỤ THƯƠNG MẠI TỔNG HỢP WINCOMMERCE</v>
      </c>
      <c r="G342" s="16" t="str">
        <f>VLOOKUP(Table8[[#This Row],[Mã khách hàng]],code_khach_hang[],3,0)</f>
        <v>Miền Bắc đặc biệt 1</v>
      </c>
      <c r="H342" t="str">
        <f>VLOOKUP(Table8[[#This Row],[Mã khách hàng]],'Khách hàng'!A:D,4,0)</f>
        <v>Food Đức Việt</v>
      </c>
      <c r="I342" t="str">
        <f>VLOOKUP(Table8[[#This Row],[Mã khách hàng]],'Khách hàng'!A:E,5,0)</f>
        <v>HN0040</v>
      </c>
    </row>
    <row r="343" spans="1:9">
      <c r="A343" s="14" t="s">
        <v>1203</v>
      </c>
      <c r="B343" s="15" t="s">
        <v>5</v>
      </c>
      <c r="C343" s="10" t="s">
        <v>1204</v>
      </c>
      <c r="D343" s="16" t="s">
        <v>1548</v>
      </c>
      <c r="E343" s="15" t="s">
        <v>11215</v>
      </c>
      <c r="F343" s="16" t="str">
        <f>VLOOKUP(Table8[[#This Row],[Mã khách hàng]],code_khach_hang[],2,0)</f>
        <v>CHI NHÁNH HÀ NỘI - CÔNG TY CỔ PHẦN DỊCH VỤ THƯƠNG MẠI TỔNG HỢP WINCOMMERCE</v>
      </c>
      <c r="G343" s="16" t="str">
        <f>VLOOKUP(Table8[[#This Row],[Mã khách hàng]],code_khach_hang[],3,0)</f>
        <v>Miền Bắc đặc biệt 1</v>
      </c>
      <c r="H343" t="str">
        <f>VLOOKUP(Table8[[#This Row],[Mã khách hàng]],'Khách hàng'!A:D,4,0)</f>
        <v>Food Đức Việt</v>
      </c>
      <c r="I343" t="str">
        <f>VLOOKUP(Table8[[#This Row],[Mã khách hàng]],'Khách hàng'!A:E,5,0)</f>
        <v>HN0040</v>
      </c>
    </row>
    <row r="344" spans="1:9">
      <c r="A344" s="14" t="s">
        <v>1233</v>
      </c>
      <c r="B344" s="15" t="s">
        <v>5</v>
      </c>
      <c r="C344" s="10" t="s">
        <v>1234</v>
      </c>
      <c r="D344" s="16" t="s">
        <v>1551</v>
      </c>
      <c r="E344" s="15" t="s">
        <v>11215</v>
      </c>
      <c r="F344" s="16" t="str">
        <f>VLOOKUP(Table8[[#This Row],[Mã khách hàng]],code_khach_hang[],2,0)</f>
        <v>CHI NHÁNH HÀ NỘI - CÔNG TY CỔ PHẦN DỊCH VỤ THƯƠNG MẠI TỔNG HỢP WINCOMMERCE</v>
      </c>
      <c r="G344" s="16" t="str">
        <f>VLOOKUP(Table8[[#This Row],[Mã khách hàng]],code_khach_hang[],3,0)</f>
        <v>Miền Bắc đặc biệt 1</v>
      </c>
      <c r="H344" t="str">
        <f>VLOOKUP(Table8[[#This Row],[Mã khách hàng]],'Khách hàng'!A:D,4,0)</f>
        <v>Food Đức Việt</v>
      </c>
      <c r="I344" t="str">
        <f>VLOOKUP(Table8[[#This Row],[Mã khách hàng]],'Khách hàng'!A:E,5,0)</f>
        <v>HN0040</v>
      </c>
    </row>
    <row r="345" spans="1:9">
      <c r="A345" s="14" t="s">
        <v>1239</v>
      </c>
      <c r="B345" s="15" t="s">
        <v>5</v>
      </c>
      <c r="C345" s="10" t="s">
        <v>1240</v>
      </c>
      <c r="D345" s="16" t="s">
        <v>1554</v>
      </c>
      <c r="E345" s="15" t="s">
        <v>11215</v>
      </c>
      <c r="F345" s="16" t="str">
        <f>VLOOKUP(Table8[[#This Row],[Mã khách hàng]],code_khach_hang[],2,0)</f>
        <v>CHI NHÁNH HÀ NỘI - CÔNG TY CỔ PHẦN DỊCH VỤ THƯƠNG MẠI TỔNG HỢP WINCOMMERCE</v>
      </c>
      <c r="G345" s="16" t="str">
        <f>VLOOKUP(Table8[[#This Row],[Mã khách hàng]],code_khach_hang[],3,0)</f>
        <v>Miền Bắc đặc biệt 1</v>
      </c>
      <c r="H345" t="str">
        <f>VLOOKUP(Table8[[#This Row],[Mã khách hàng]],'Khách hàng'!A:D,4,0)</f>
        <v>Food Đức Việt</v>
      </c>
      <c r="I345" t="str">
        <f>VLOOKUP(Table8[[#This Row],[Mã khách hàng]],'Khách hàng'!A:E,5,0)</f>
        <v>HN0040</v>
      </c>
    </row>
    <row r="346" spans="1:9">
      <c r="A346" s="14" t="s">
        <v>1242</v>
      </c>
      <c r="B346" s="15" t="s">
        <v>5</v>
      </c>
      <c r="C346" s="10" t="s">
        <v>1243</v>
      </c>
      <c r="D346" s="16" t="s">
        <v>1556</v>
      </c>
      <c r="E346" s="15" t="s">
        <v>11215</v>
      </c>
      <c r="F346" s="16" t="str">
        <f>VLOOKUP(Table8[[#This Row],[Mã khách hàng]],code_khach_hang[],2,0)</f>
        <v>CHI NHÁNH HÀ NỘI - CÔNG TY CỔ PHẦN DỊCH VỤ THƯƠNG MẠI TỔNG HỢP WINCOMMERCE</v>
      </c>
      <c r="G346" s="16" t="str">
        <f>VLOOKUP(Table8[[#This Row],[Mã khách hàng]],code_khach_hang[],3,0)</f>
        <v>Miền Bắc đặc biệt 1</v>
      </c>
      <c r="H346" t="str">
        <f>VLOOKUP(Table8[[#This Row],[Mã khách hàng]],'Khách hàng'!A:D,4,0)</f>
        <v>Food Đức Việt</v>
      </c>
      <c r="I346" t="str">
        <f>VLOOKUP(Table8[[#This Row],[Mã khách hàng]],'Khách hàng'!A:E,5,0)</f>
        <v>HN0040</v>
      </c>
    </row>
    <row r="347" spans="1:9">
      <c r="A347" s="14" t="s">
        <v>1248</v>
      </c>
      <c r="B347" s="15" t="s">
        <v>5</v>
      </c>
      <c r="C347" s="10" t="s">
        <v>1249</v>
      </c>
      <c r="D347" s="16" t="s">
        <v>1559</v>
      </c>
      <c r="E347" s="15" t="s">
        <v>11215</v>
      </c>
      <c r="F347" s="16" t="str">
        <f>VLOOKUP(Table8[[#This Row],[Mã khách hàng]],code_khach_hang[],2,0)</f>
        <v>CHI NHÁNH HÀ NỘI - CÔNG TY CỔ PHẦN DỊCH VỤ THƯƠNG MẠI TỔNG HỢP WINCOMMERCE</v>
      </c>
      <c r="G347" s="16" t="str">
        <f>VLOOKUP(Table8[[#This Row],[Mã khách hàng]],code_khach_hang[],3,0)</f>
        <v>Miền Bắc đặc biệt 1</v>
      </c>
      <c r="H347" t="str">
        <f>VLOOKUP(Table8[[#This Row],[Mã khách hàng]],'Khách hàng'!A:D,4,0)</f>
        <v>Food Đức Việt</v>
      </c>
      <c r="I347" t="str">
        <f>VLOOKUP(Table8[[#This Row],[Mã khách hàng]],'Khách hàng'!A:E,5,0)</f>
        <v>HN0040</v>
      </c>
    </row>
    <row r="348" spans="1:9">
      <c r="A348" s="14" t="s">
        <v>1260</v>
      </c>
      <c r="B348" s="15" t="s">
        <v>5</v>
      </c>
      <c r="C348" s="10" t="s">
        <v>1261</v>
      </c>
      <c r="D348" s="16" t="s">
        <v>1563</v>
      </c>
      <c r="E348" s="15" t="s">
        <v>11215</v>
      </c>
      <c r="F348" s="16" t="str">
        <f>VLOOKUP(Table8[[#This Row],[Mã khách hàng]],code_khach_hang[],2,0)</f>
        <v>CHI NHÁNH HÀ NỘI - CÔNG TY CỔ PHẦN DỊCH VỤ THƯƠNG MẠI TỔNG HỢP WINCOMMERCE</v>
      </c>
      <c r="G348" s="16" t="str">
        <f>VLOOKUP(Table8[[#This Row],[Mã khách hàng]],code_khach_hang[],3,0)</f>
        <v>Miền Bắc đặc biệt 1</v>
      </c>
      <c r="H348" t="str">
        <f>VLOOKUP(Table8[[#This Row],[Mã khách hàng]],'Khách hàng'!A:D,4,0)</f>
        <v>Food Đức Việt</v>
      </c>
      <c r="I348" t="str">
        <f>VLOOKUP(Table8[[#This Row],[Mã khách hàng]],'Khách hàng'!A:E,5,0)</f>
        <v>HN0040</v>
      </c>
    </row>
    <row r="349" spans="1:9">
      <c r="A349" s="14" t="s">
        <v>1296</v>
      </c>
      <c r="B349" s="15" t="s">
        <v>5</v>
      </c>
      <c r="C349" s="10" t="s">
        <v>1297</v>
      </c>
      <c r="D349" s="16" t="s">
        <v>1566</v>
      </c>
      <c r="E349" s="15" t="s">
        <v>11215</v>
      </c>
      <c r="F349" s="16" t="str">
        <f>VLOOKUP(Table8[[#This Row],[Mã khách hàng]],code_khach_hang[],2,0)</f>
        <v>CHI NHÁNH HÀ NỘI - CÔNG TY CỔ PHẦN DỊCH VỤ THƯƠNG MẠI TỔNG HỢP WINCOMMERCE</v>
      </c>
      <c r="G349" s="16" t="str">
        <f>VLOOKUP(Table8[[#This Row],[Mã khách hàng]],code_khach_hang[],3,0)</f>
        <v>Miền Bắc đặc biệt 1</v>
      </c>
      <c r="H349" t="str">
        <f>VLOOKUP(Table8[[#This Row],[Mã khách hàng]],'Khách hàng'!A:D,4,0)</f>
        <v>Food Đức Việt</v>
      </c>
      <c r="I349" t="str">
        <f>VLOOKUP(Table8[[#This Row],[Mã khách hàng]],'Khách hàng'!A:E,5,0)</f>
        <v>HN0040</v>
      </c>
    </row>
    <row r="350" spans="1:9">
      <c r="A350" s="14" t="s">
        <v>1299</v>
      </c>
      <c r="B350" s="15" t="s">
        <v>5</v>
      </c>
      <c r="C350" s="10" t="s">
        <v>1300</v>
      </c>
      <c r="D350" s="16" t="s">
        <v>1569</v>
      </c>
      <c r="E350" s="15" t="s">
        <v>11215</v>
      </c>
      <c r="F350" s="16" t="str">
        <f>VLOOKUP(Table8[[#This Row],[Mã khách hàng]],code_khach_hang[],2,0)</f>
        <v>CHI NHÁNH HÀ NỘI - CÔNG TY CỔ PHẦN DỊCH VỤ THƯƠNG MẠI TỔNG HỢP WINCOMMERCE</v>
      </c>
      <c r="G350" s="16" t="str">
        <f>VLOOKUP(Table8[[#This Row],[Mã khách hàng]],code_khach_hang[],3,0)</f>
        <v>Miền Bắc đặc biệt 1</v>
      </c>
      <c r="H350" t="str">
        <f>VLOOKUP(Table8[[#This Row],[Mã khách hàng]],'Khách hàng'!A:D,4,0)</f>
        <v>Food Đức Việt</v>
      </c>
      <c r="I350" t="str">
        <f>VLOOKUP(Table8[[#This Row],[Mã khách hàng]],'Khách hàng'!A:E,5,0)</f>
        <v>HN0040</v>
      </c>
    </row>
    <row r="351" spans="1:9">
      <c r="A351" s="14" t="s">
        <v>1349</v>
      </c>
      <c r="B351" s="15" t="s">
        <v>5</v>
      </c>
      <c r="C351" s="10" t="s">
        <v>1350</v>
      </c>
      <c r="D351" s="16" t="s">
        <v>1572</v>
      </c>
      <c r="E351" s="15" t="s">
        <v>11215</v>
      </c>
      <c r="F351" s="16" t="str">
        <f>VLOOKUP(Table8[[#This Row],[Mã khách hàng]],code_khach_hang[],2,0)</f>
        <v>CHI NHÁNH HÀ NỘI - CÔNG TY CỔ PHẦN DỊCH VỤ THƯƠNG MẠI TỔNG HỢP WINCOMMERCE</v>
      </c>
      <c r="G351" s="16" t="str">
        <f>VLOOKUP(Table8[[#This Row],[Mã khách hàng]],code_khach_hang[],3,0)</f>
        <v>Miền Bắc đặc biệt 1</v>
      </c>
      <c r="H351" t="str">
        <f>VLOOKUP(Table8[[#This Row],[Mã khách hàng]],'Khách hàng'!A:D,4,0)</f>
        <v>Food Đức Việt</v>
      </c>
      <c r="I351" t="str">
        <f>VLOOKUP(Table8[[#This Row],[Mã khách hàng]],'Khách hàng'!A:E,5,0)</f>
        <v>HN0040</v>
      </c>
    </row>
    <row r="352" spans="1:9">
      <c r="A352" s="14" t="s">
        <v>4137</v>
      </c>
      <c r="B352" s="15" t="s">
        <v>5</v>
      </c>
      <c r="C352" s="10" t="s">
        <v>4138</v>
      </c>
      <c r="D352" s="16" t="s">
        <v>1575</v>
      </c>
      <c r="E352" s="15" t="s">
        <v>11215</v>
      </c>
      <c r="F352" s="16" t="str">
        <f>VLOOKUP(Table8[[#This Row],[Mã khách hàng]],code_khach_hang[],2,0)</f>
        <v>CHI NHÁNH HÀ NỘI - CÔNG TY CỔ PHẦN DỊCH VỤ THƯƠNG MẠI TỔNG HỢP WINCOMMERCE</v>
      </c>
      <c r="G352" s="16" t="str">
        <f>VLOOKUP(Table8[[#This Row],[Mã khách hàng]],code_khach_hang[],3,0)</f>
        <v>Miền Bắc đặc biệt 1</v>
      </c>
      <c r="H352" t="str">
        <f>VLOOKUP(Table8[[#This Row],[Mã khách hàng]],'Khách hàng'!A:D,4,0)</f>
        <v>Food Đức Việt</v>
      </c>
      <c r="I352" t="str">
        <f>VLOOKUP(Table8[[#This Row],[Mã khách hàng]],'Khách hàng'!A:E,5,0)</f>
        <v>HN0040</v>
      </c>
    </row>
    <row r="353" spans="1:9">
      <c r="A353" s="14" t="s">
        <v>4236</v>
      </c>
      <c r="B353" s="15" t="s">
        <v>5</v>
      </c>
      <c r="C353" s="10" t="s">
        <v>4237</v>
      </c>
      <c r="D353" s="16" t="s">
        <v>1578</v>
      </c>
      <c r="E353" s="15" t="s">
        <v>11215</v>
      </c>
      <c r="F353" s="16" t="str">
        <f>VLOOKUP(Table8[[#This Row],[Mã khách hàng]],code_khach_hang[],2,0)</f>
        <v>CHI NHÁNH HÀ NỘI - CÔNG TY CỔ PHẦN DỊCH VỤ THƯƠNG MẠI TỔNG HỢP WINCOMMERCE</v>
      </c>
      <c r="G353" s="16" t="str">
        <f>VLOOKUP(Table8[[#This Row],[Mã khách hàng]],code_khach_hang[],3,0)</f>
        <v>Miền Bắc đặc biệt 1</v>
      </c>
      <c r="H353" t="str">
        <f>VLOOKUP(Table8[[#This Row],[Mã khách hàng]],'Khách hàng'!A:D,4,0)</f>
        <v>Food Đức Việt</v>
      </c>
      <c r="I353" t="str">
        <f>VLOOKUP(Table8[[#This Row],[Mã khách hàng]],'Khách hàng'!A:E,5,0)</f>
        <v>HN0040</v>
      </c>
    </row>
    <row r="354" spans="1:9">
      <c r="A354" s="14" t="s">
        <v>4281</v>
      </c>
      <c r="B354" s="15" t="s">
        <v>5</v>
      </c>
      <c r="C354" s="10" t="s">
        <v>4282</v>
      </c>
      <c r="D354" s="16" t="s">
        <v>1581</v>
      </c>
      <c r="E354" s="15" t="s">
        <v>11215</v>
      </c>
      <c r="F354" s="16" t="str">
        <f>VLOOKUP(Table8[[#This Row],[Mã khách hàng]],code_khach_hang[],2,0)</f>
        <v>CHI NHÁNH HÀ NỘI - CÔNG TY CỔ PHẦN DỊCH VỤ THƯƠNG MẠI TỔNG HỢP WINCOMMERCE</v>
      </c>
      <c r="G354" s="16" t="str">
        <f>VLOOKUP(Table8[[#This Row],[Mã khách hàng]],code_khach_hang[],3,0)</f>
        <v>Miền Bắc đặc biệt 1</v>
      </c>
      <c r="H354" t="str">
        <f>VLOOKUP(Table8[[#This Row],[Mã khách hàng]],'Khách hàng'!A:D,4,0)</f>
        <v>Food Đức Việt</v>
      </c>
      <c r="I354" t="str">
        <f>VLOOKUP(Table8[[#This Row],[Mã khách hàng]],'Khách hàng'!A:E,5,0)</f>
        <v>HN0040</v>
      </c>
    </row>
    <row r="355" spans="1:9">
      <c r="A355" s="14" t="s">
        <v>4302</v>
      </c>
      <c r="B355" s="15" t="s">
        <v>5</v>
      </c>
      <c r="C355" s="10" t="s">
        <v>4303</v>
      </c>
      <c r="D355" s="16" t="s">
        <v>1584</v>
      </c>
      <c r="E355" s="15" t="s">
        <v>11215</v>
      </c>
      <c r="F355" s="16" t="str">
        <f>VLOOKUP(Table8[[#This Row],[Mã khách hàng]],code_khach_hang[],2,0)</f>
        <v>CHI NHÁNH HÀ NỘI - CÔNG TY CỔ PHẦN DỊCH VỤ THƯƠNG MẠI TỔNG HỢP WINCOMMERCE</v>
      </c>
      <c r="G355" s="16" t="str">
        <f>VLOOKUP(Table8[[#This Row],[Mã khách hàng]],code_khach_hang[],3,0)</f>
        <v>Miền Bắc đặc biệt 1</v>
      </c>
      <c r="H355" t="str">
        <f>VLOOKUP(Table8[[#This Row],[Mã khách hàng]],'Khách hàng'!A:D,4,0)</f>
        <v>Food Đức Việt</v>
      </c>
      <c r="I355" t="str">
        <f>VLOOKUP(Table8[[#This Row],[Mã khách hàng]],'Khách hàng'!A:E,5,0)</f>
        <v>HN0040</v>
      </c>
    </row>
    <row r="356" spans="1:9">
      <c r="A356" s="14" t="s">
        <v>4455</v>
      </c>
      <c r="B356" s="15" t="s">
        <v>5</v>
      </c>
      <c r="C356" s="10" t="s">
        <v>4456</v>
      </c>
      <c r="D356" s="16" t="s">
        <v>1587</v>
      </c>
      <c r="E356" s="15" t="s">
        <v>11215</v>
      </c>
      <c r="F356" s="16" t="str">
        <f>VLOOKUP(Table8[[#This Row],[Mã khách hàng]],code_khach_hang[],2,0)</f>
        <v>CHI NHÁNH HÀ NỘI - CÔNG TY CỔ PHẦN DỊCH VỤ THƯƠNG MẠI TỔNG HỢP WINCOMMERCE</v>
      </c>
      <c r="G356" s="16" t="str">
        <f>VLOOKUP(Table8[[#This Row],[Mã khách hàng]],code_khach_hang[],3,0)</f>
        <v>Miền Bắc đặc biệt 1</v>
      </c>
      <c r="H356" t="str">
        <f>VLOOKUP(Table8[[#This Row],[Mã khách hàng]],'Khách hàng'!A:D,4,0)</f>
        <v>Food Đức Việt</v>
      </c>
      <c r="I356" t="str">
        <f>VLOOKUP(Table8[[#This Row],[Mã khách hàng]],'Khách hàng'!A:E,5,0)</f>
        <v>HN0040</v>
      </c>
    </row>
    <row r="357" spans="1:9">
      <c r="A357" s="14" t="s">
        <v>4557</v>
      </c>
      <c r="B357" s="15" t="s">
        <v>5</v>
      </c>
      <c r="C357" s="10" t="s">
        <v>4558</v>
      </c>
      <c r="D357" s="16" t="s">
        <v>1590</v>
      </c>
      <c r="E357" s="15" t="s">
        <v>11215</v>
      </c>
      <c r="F357" s="16" t="str">
        <f>VLOOKUP(Table8[[#This Row],[Mã khách hàng]],code_khach_hang[],2,0)</f>
        <v>CHI NHÁNH HÀ NỘI - CÔNG TY CỔ PHẦN DỊCH VỤ THƯƠNG MẠI TỔNG HỢP WINCOMMERCE</v>
      </c>
      <c r="G357" s="16" t="str">
        <f>VLOOKUP(Table8[[#This Row],[Mã khách hàng]],code_khach_hang[],3,0)</f>
        <v>Miền Bắc đặc biệt 1</v>
      </c>
      <c r="H357" t="str">
        <f>VLOOKUP(Table8[[#This Row],[Mã khách hàng]],'Khách hàng'!A:D,4,0)</f>
        <v>Food Đức Việt</v>
      </c>
      <c r="I357" t="str">
        <f>VLOOKUP(Table8[[#This Row],[Mã khách hàng]],'Khách hàng'!A:E,5,0)</f>
        <v>HN0040</v>
      </c>
    </row>
    <row r="358" spans="1:9">
      <c r="A358" s="14" t="s">
        <v>4587</v>
      </c>
      <c r="B358" s="15" t="s">
        <v>5</v>
      </c>
      <c r="C358" s="10" t="s">
        <v>4588</v>
      </c>
      <c r="D358" s="16" t="s">
        <v>1593</v>
      </c>
      <c r="E358" s="15" t="s">
        <v>11215</v>
      </c>
      <c r="F358" s="16" t="str">
        <f>VLOOKUP(Table8[[#This Row],[Mã khách hàng]],code_khach_hang[],2,0)</f>
        <v>CHI NHÁNH HÀ NỘI - CÔNG TY CỔ PHẦN DỊCH VỤ THƯƠNG MẠI TỔNG HỢP WINCOMMERCE</v>
      </c>
      <c r="G358" s="16" t="str">
        <f>VLOOKUP(Table8[[#This Row],[Mã khách hàng]],code_khach_hang[],3,0)</f>
        <v>Miền Bắc đặc biệt 1</v>
      </c>
      <c r="H358" t="str">
        <f>VLOOKUP(Table8[[#This Row],[Mã khách hàng]],'Khách hàng'!A:D,4,0)</f>
        <v>Food Đức Việt</v>
      </c>
      <c r="I358" t="str">
        <f>VLOOKUP(Table8[[#This Row],[Mã khách hàng]],'Khách hàng'!A:E,5,0)</f>
        <v>HN0040</v>
      </c>
    </row>
    <row r="359" spans="1:9">
      <c r="A359" s="14" t="s">
        <v>4605</v>
      </c>
      <c r="B359" s="15" t="s">
        <v>5</v>
      </c>
      <c r="C359" s="10" t="s">
        <v>4606</v>
      </c>
      <c r="D359" s="16" t="s">
        <v>1596</v>
      </c>
      <c r="E359" s="15" t="s">
        <v>11215</v>
      </c>
      <c r="F359" s="16" t="str">
        <f>VLOOKUP(Table8[[#This Row],[Mã khách hàng]],code_khach_hang[],2,0)</f>
        <v>CHI NHÁNH HÀ NỘI - CÔNG TY CỔ PHẦN DỊCH VỤ THƯƠNG MẠI TỔNG HỢP WINCOMMERCE</v>
      </c>
      <c r="G359" s="16" t="str">
        <f>VLOOKUP(Table8[[#This Row],[Mã khách hàng]],code_khach_hang[],3,0)</f>
        <v>Miền Bắc đặc biệt 1</v>
      </c>
      <c r="H359" t="str">
        <f>VLOOKUP(Table8[[#This Row],[Mã khách hàng]],'Khách hàng'!A:D,4,0)</f>
        <v>Food Đức Việt</v>
      </c>
      <c r="I359" t="str">
        <f>VLOOKUP(Table8[[#This Row],[Mã khách hàng]],'Khách hàng'!A:E,5,0)</f>
        <v>HN0040</v>
      </c>
    </row>
    <row r="360" spans="1:9">
      <c r="A360" s="14" t="s">
        <v>4698</v>
      </c>
      <c r="B360" s="15" t="s">
        <v>5</v>
      </c>
      <c r="C360" s="10" t="s">
        <v>4699</v>
      </c>
      <c r="D360" s="16" t="s">
        <v>1599</v>
      </c>
      <c r="E360" s="15" t="s">
        <v>11215</v>
      </c>
      <c r="F360" s="16" t="str">
        <f>VLOOKUP(Table8[[#This Row],[Mã khách hàng]],code_khach_hang[],2,0)</f>
        <v>CHI NHÁNH HÀ NỘI - CÔNG TY CỔ PHẦN DỊCH VỤ THƯƠNG MẠI TỔNG HỢP WINCOMMERCE</v>
      </c>
      <c r="G360" s="16" t="str">
        <f>VLOOKUP(Table8[[#This Row],[Mã khách hàng]],code_khach_hang[],3,0)</f>
        <v>Miền Bắc đặc biệt 1</v>
      </c>
      <c r="H360" t="str">
        <f>VLOOKUP(Table8[[#This Row],[Mã khách hàng]],'Khách hàng'!A:D,4,0)</f>
        <v>Food Đức Việt</v>
      </c>
      <c r="I360" t="str">
        <f>VLOOKUP(Table8[[#This Row],[Mã khách hàng]],'Khách hàng'!A:E,5,0)</f>
        <v>HN0040</v>
      </c>
    </row>
    <row r="361" spans="1:9">
      <c r="A361" s="14" t="s">
        <v>4701</v>
      </c>
      <c r="B361" s="15" t="s">
        <v>5</v>
      </c>
      <c r="C361" s="10" t="s">
        <v>4702</v>
      </c>
      <c r="D361" s="16" t="s">
        <v>1602</v>
      </c>
      <c r="E361" s="15" t="s">
        <v>11215</v>
      </c>
      <c r="F361" s="16" t="str">
        <f>VLOOKUP(Table8[[#This Row],[Mã khách hàng]],code_khach_hang[],2,0)</f>
        <v>CHI NHÁNH HÀ NỘI - CÔNG TY CỔ PHẦN DỊCH VỤ THƯƠNG MẠI TỔNG HỢP WINCOMMERCE</v>
      </c>
      <c r="G361" s="16" t="str">
        <f>VLOOKUP(Table8[[#This Row],[Mã khách hàng]],code_khach_hang[],3,0)</f>
        <v>Miền Bắc đặc biệt 1</v>
      </c>
      <c r="H361" t="str">
        <f>VLOOKUP(Table8[[#This Row],[Mã khách hàng]],'Khách hàng'!A:D,4,0)</f>
        <v>Food Đức Việt</v>
      </c>
      <c r="I361" t="str">
        <f>VLOOKUP(Table8[[#This Row],[Mã khách hàng]],'Khách hàng'!A:E,5,0)</f>
        <v>HN0040</v>
      </c>
    </row>
    <row r="362" spans="1:9">
      <c r="A362" s="14" t="s">
        <v>4725</v>
      </c>
      <c r="B362" s="15" t="s">
        <v>5</v>
      </c>
      <c r="C362" s="10" t="s">
        <v>4726</v>
      </c>
      <c r="D362" s="16" t="s">
        <v>1606</v>
      </c>
      <c r="E362" s="15" t="s">
        <v>11215</v>
      </c>
      <c r="F362" s="16" t="str">
        <f>VLOOKUP(Table8[[#This Row],[Mã khách hàng]],code_khach_hang[],2,0)</f>
        <v>CHI NHÁNH HÀ NỘI - CÔNG TY CỔ PHẦN DỊCH VỤ THƯƠNG MẠI TỔNG HỢP WINCOMMERCE</v>
      </c>
      <c r="G362" s="16" t="str">
        <f>VLOOKUP(Table8[[#This Row],[Mã khách hàng]],code_khach_hang[],3,0)</f>
        <v>Miền Bắc đặc biệt 1</v>
      </c>
      <c r="H362" t="str">
        <f>VLOOKUP(Table8[[#This Row],[Mã khách hàng]],'Khách hàng'!A:D,4,0)</f>
        <v>Food Đức Việt</v>
      </c>
      <c r="I362" t="str">
        <f>VLOOKUP(Table8[[#This Row],[Mã khách hàng]],'Khách hàng'!A:E,5,0)</f>
        <v>HN0040</v>
      </c>
    </row>
    <row r="363" spans="1:9">
      <c r="A363" s="14" t="s">
        <v>4875</v>
      </c>
      <c r="B363" s="15" t="s">
        <v>5</v>
      </c>
      <c r="C363" s="10" t="s">
        <v>4876</v>
      </c>
      <c r="D363" s="16" t="s">
        <v>1609</v>
      </c>
      <c r="E363" s="15" t="s">
        <v>11215</v>
      </c>
      <c r="F363" s="16" t="str">
        <f>VLOOKUP(Table8[[#This Row],[Mã khách hàng]],code_khach_hang[],2,0)</f>
        <v>CHI NHÁNH HÀ NỘI - CÔNG TY CỔ PHẦN DỊCH VỤ THƯƠNG MẠI TỔNG HỢP WINCOMMERCE</v>
      </c>
      <c r="G363" s="16" t="str">
        <f>VLOOKUP(Table8[[#This Row],[Mã khách hàng]],code_khach_hang[],3,0)</f>
        <v>Miền Bắc đặc biệt 1</v>
      </c>
      <c r="H363" t="str">
        <f>VLOOKUP(Table8[[#This Row],[Mã khách hàng]],'Khách hàng'!A:D,4,0)</f>
        <v>Food Đức Việt</v>
      </c>
      <c r="I363" t="str">
        <f>VLOOKUP(Table8[[#This Row],[Mã khách hàng]],'Khách hàng'!A:E,5,0)</f>
        <v>HN0040</v>
      </c>
    </row>
    <row r="364" spans="1:9">
      <c r="A364" s="14" t="s">
        <v>4896</v>
      </c>
      <c r="B364" s="15" t="s">
        <v>5</v>
      </c>
      <c r="C364" s="10" t="s">
        <v>4897</v>
      </c>
      <c r="D364" s="16" t="s">
        <v>1612</v>
      </c>
      <c r="E364" s="15" t="s">
        <v>11215</v>
      </c>
      <c r="F364" s="16" t="str">
        <f>VLOOKUP(Table8[[#This Row],[Mã khách hàng]],code_khach_hang[],2,0)</f>
        <v>CHI NHÁNH HÀ NỘI - CÔNG TY CỔ PHẦN DỊCH VỤ THƯƠNG MẠI TỔNG HỢP WINCOMMERCE</v>
      </c>
      <c r="G364" s="16" t="str">
        <f>VLOOKUP(Table8[[#This Row],[Mã khách hàng]],code_khach_hang[],3,0)</f>
        <v>Miền Bắc đặc biệt 1</v>
      </c>
      <c r="H364" t="str">
        <f>VLOOKUP(Table8[[#This Row],[Mã khách hàng]],'Khách hàng'!A:D,4,0)</f>
        <v>Food Đức Việt</v>
      </c>
      <c r="I364" t="str">
        <f>VLOOKUP(Table8[[#This Row],[Mã khách hàng]],'Khách hàng'!A:E,5,0)</f>
        <v>HN0040</v>
      </c>
    </row>
    <row r="365" spans="1:9">
      <c r="A365" s="14" t="s">
        <v>4905</v>
      </c>
      <c r="B365" s="15" t="s">
        <v>5</v>
      </c>
      <c r="C365" s="10" t="s">
        <v>4906</v>
      </c>
      <c r="D365" s="16" t="s">
        <v>1614</v>
      </c>
      <c r="E365" s="15" t="s">
        <v>11215</v>
      </c>
      <c r="F365" s="16" t="str">
        <f>VLOOKUP(Table8[[#This Row],[Mã khách hàng]],code_khach_hang[],2,0)</f>
        <v>CHI NHÁNH HÀ NỘI - CÔNG TY CỔ PHẦN DỊCH VỤ THƯƠNG MẠI TỔNG HỢP WINCOMMERCE</v>
      </c>
      <c r="G365" s="16" t="str">
        <f>VLOOKUP(Table8[[#This Row],[Mã khách hàng]],code_khach_hang[],3,0)</f>
        <v>Miền Bắc đặc biệt 1</v>
      </c>
      <c r="H365" t="str">
        <f>VLOOKUP(Table8[[#This Row],[Mã khách hàng]],'Khách hàng'!A:D,4,0)</f>
        <v>Food Đức Việt</v>
      </c>
      <c r="I365" t="str">
        <f>VLOOKUP(Table8[[#This Row],[Mã khách hàng]],'Khách hàng'!A:E,5,0)</f>
        <v>HN0040</v>
      </c>
    </row>
    <row r="366" spans="1:9">
      <c r="A366" s="14" t="s">
        <v>4908</v>
      </c>
      <c r="B366" s="15" t="s">
        <v>5</v>
      </c>
      <c r="C366" s="10" t="s">
        <v>4909</v>
      </c>
      <c r="D366" s="16" t="s">
        <v>1617</v>
      </c>
      <c r="E366" s="15" t="s">
        <v>11215</v>
      </c>
      <c r="F366" s="16" t="str">
        <f>VLOOKUP(Table8[[#This Row],[Mã khách hàng]],code_khach_hang[],2,0)</f>
        <v>CHI NHÁNH HÀ NỘI - CÔNG TY CỔ PHẦN DỊCH VỤ THƯƠNG MẠI TỔNG HỢP WINCOMMERCE</v>
      </c>
      <c r="G366" s="16" t="str">
        <f>VLOOKUP(Table8[[#This Row],[Mã khách hàng]],code_khach_hang[],3,0)</f>
        <v>Miền Bắc đặc biệt 1</v>
      </c>
      <c r="H366" t="str">
        <f>VLOOKUP(Table8[[#This Row],[Mã khách hàng]],'Khách hàng'!A:D,4,0)</f>
        <v>Food Đức Việt</v>
      </c>
      <c r="I366" t="str">
        <f>VLOOKUP(Table8[[#This Row],[Mã khách hàng]],'Khách hàng'!A:E,5,0)</f>
        <v>HN0040</v>
      </c>
    </row>
    <row r="367" spans="1:9">
      <c r="A367" s="14" t="s">
        <v>4938</v>
      </c>
      <c r="B367" s="15" t="s">
        <v>5</v>
      </c>
      <c r="C367" s="10" t="s">
        <v>4939</v>
      </c>
      <c r="D367" s="16" t="s">
        <v>1620</v>
      </c>
      <c r="E367" s="15" t="s">
        <v>11215</v>
      </c>
      <c r="F367" s="16" t="str">
        <f>VLOOKUP(Table8[[#This Row],[Mã khách hàng]],code_khach_hang[],2,0)</f>
        <v>CHI NHÁNH HÀ NỘI - CÔNG TY CỔ PHẦN DỊCH VỤ THƯƠNG MẠI TỔNG HỢP WINCOMMERCE</v>
      </c>
      <c r="G367" s="16" t="str">
        <f>VLOOKUP(Table8[[#This Row],[Mã khách hàng]],code_khach_hang[],3,0)</f>
        <v>Miền Bắc đặc biệt 1</v>
      </c>
      <c r="H367" t="str">
        <f>VLOOKUP(Table8[[#This Row],[Mã khách hàng]],'Khách hàng'!A:D,4,0)</f>
        <v>Food Đức Việt</v>
      </c>
      <c r="I367" t="str">
        <f>VLOOKUP(Table8[[#This Row],[Mã khách hàng]],'Khách hàng'!A:E,5,0)</f>
        <v>HN0040</v>
      </c>
    </row>
    <row r="368" spans="1:9">
      <c r="A368" s="14" t="s">
        <v>5082</v>
      </c>
      <c r="B368" s="15" t="s">
        <v>5</v>
      </c>
      <c r="C368" s="10" t="s">
        <v>5083</v>
      </c>
      <c r="D368" s="16" t="s">
        <v>1623</v>
      </c>
      <c r="E368" s="15" t="s">
        <v>11215</v>
      </c>
      <c r="F368" s="16" t="str">
        <f>VLOOKUP(Table8[[#This Row],[Mã khách hàng]],code_khach_hang[],2,0)</f>
        <v>CHI NHÁNH HÀ NỘI - CÔNG TY CỔ PHẦN DỊCH VỤ THƯƠNG MẠI TỔNG HỢP WINCOMMERCE</v>
      </c>
      <c r="G368" s="16" t="str">
        <f>VLOOKUP(Table8[[#This Row],[Mã khách hàng]],code_khach_hang[],3,0)</f>
        <v>Miền Bắc đặc biệt 1</v>
      </c>
      <c r="H368" t="str">
        <f>VLOOKUP(Table8[[#This Row],[Mã khách hàng]],'Khách hàng'!A:D,4,0)</f>
        <v>Food Đức Việt</v>
      </c>
      <c r="I368" t="str">
        <f>VLOOKUP(Table8[[#This Row],[Mã khách hàng]],'Khách hàng'!A:E,5,0)</f>
        <v>HN0040</v>
      </c>
    </row>
    <row r="369" spans="1:9">
      <c r="A369" s="14" t="s">
        <v>5301</v>
      </c>
      <c r="B369" s="15" t="s">
        <v>5</v>
      </c>
      <c r="C369" s="10" t="s">
        <v>5302</v>
      </c>
      <c r="D369" s="16" t="s">
        <v>1626</v>
      </c>
      <c r="E369" s="15" t="s">
        <v>11215</v>
      </c>
      <c r="F369" s="16" t="str">
        <f>VLOOKUP(Table8[[#This Row],[Mã khách hàng]],code_khach_hang[],2,0)</f>
        <v>CHI NHÁNH HÀ NỘI - CÔNG TY CỔ PHẦN DỊCH VỤ THƯƠNG MẠI TỔNG HỢP WINCOMMERCE</v>
      </c>
      <c r="G369" s="16" t="str">
        <f>VLOOKUP(Table8[[#This Row],[Mã khách hàng]],code_khach_hang[],3,0)</f>
        <v>Miền Bắc đặc biệt 1</v>
      </c>
      <c r="H369" t="str">
        <f>VLOOKUP(Table8[[#This Row],[Mã khách hàng]],'Khách hàng'!A:D,4,0)</f>
        <v>Food Đức Việt</v>
      </c>
      <c r="I369" t="str">
        <f>VLOOKUP(Table8[[#This Row],[Mã khách hàng]],'Khách hàng'!A:E,5,0)</f>
        <v>HN0040</v>
      </c>
    </row>
    <row r="370" spans="1:9">
      <c r="A370" s="14" t="s">
        <v>5328</v>
      </c>
      <c r="B370" s="15" t="s">
        <v>5</v>
      </c>
      <c r="C370" s="10" t="s">
        <v>5329</v>
      </c>
      <c r="D370" s="16" t="s">
        <v>1629</v>
      </c>
      <c r="E370" s="15" t="s">
        <v>11215</v>
      </c>
      <c r="F370" s="16" t="str">
        <f>VLOOKUP(Table8[[#This Row],[Mã khách hàng]],code_khach_hang[],2,0)</f>
        <v>CHI NHÁNH HÀ NỘI - CÔNG TY CỔ PHẦN DỊCH VỤ THƯƠNG MẠI TỔNG HỢP WINCOMMERCE</v>
      </c>
      <c r="G370" s="16" t="str">
        <f>VLOOKUP(Table8[[#This Row],[Mã khách hàng]],code_khach_hang[],3,0)</f>
        <v>Miền Bắc đặc biệt 1</v>
      </c>
      <c r="H370" t="str">
        <f>VLOOKUP(Table8[[#This Row],[Mã khách hàng]],'Khách hàng'!A:D,4,0)</f>
        <v>Food Đức Việt</v>
      </c>
      <c r="I370" t="str">
        <f>VLOOKUP(Table8[[#This Row],[Mã khách hàng]],'Khách hàng'!A:E,5,0)</f>
        <v>HN0040</v>
      </c>
    </row>
    <row r="371" spans="1:9">
      <c r="A371" s="14" t="s">
        <v>5352</v>
      </c>
      <c r="B371" s="15" t="s">
        <v>5</v>
      </c>
      <c r="C371" s="10" t="s">
        <v>5353</v>
      </c>
      <c r="D371" s="16" t="s">
        <v>1632</v>
      </c>
      <c r="E371" s="15" t="s">
        <v>11215</v>
      </c>
      <c r="F371" s="16" t="str">
        <f>VLOOKUP(Table8[[#This Row],[Mã khách hàng]],code_khach_hang[],2,0)</f>
        <v>CHI NHÁNH HÀ NỘI - CÔNG TY CỔ PHẦN DỊCH VỤ THƯƠNG MẠI TỔNG HỢP WINCOMMERCE</v>
      </c>
      <c r="G371" s="16" t="str">
        <f>VLOOKUP(Table8[[#This Row],[Mã khách hàng]],code_khach_hang[],3,0)</f>
        <v>Miền Bắc đặc biệt 1</v>
      </c>
      <c r="H371" t="str">
        <f>VLOOKUP(Table8[[#This Row],[Mã khách hàng]],'Khách hàng'!A:D,4,0)</f>
        <v>Food Đức Việt</v>
      </c>
      <c r="I371" t="str">
        <f>VLOOKUP(Table8[[#This Row],[Mã khách hàng]],'Khách hàng'!A:E,5,0)</f>
        <v>HN0040</v>
      </c>
    </row>
    <row r="372" spans="1:9">
      <c r="A372" s="14" t="s">
        <v>5403</v>
      </c>
      <c r="B372" s="15" t="s">
        <v>5</v>
      </c>
      <c r="C372" s="10" t="s">
        <v>5404</v>
      </c>
      <c r="D372" s="16" t="s">
        <v>1634</v>
      </c>
      <c r="E372" s="15" t="s">
        <v>11215</v>
      </c>
      <c r="F372" s="16" t="str">
        <f>VLOOKUP(Table8[[#This Row],[Mã khách hàng]],code_khach_hang[],2,0)</f>
        <v>CHI NHÁNH HÀ NỘI - CÔNG TY CỔ PHẦN DỊCH VỤ THƯƠNG MẠI TỔNG HỢP WINCOMMERCE</v>
      </c>
      <c r="G372" s="16" t="str">
        <f>VLOOKUP(Table8[[#This Row],[Mã khách hàng]],code_khach_hang[],3,0)</f>
        <v>Miền Bắc đặc biệt 1</v>
      </c>
      <c r="H372" t="str">
        <f>VLOOKUP(Table8[[#This Row],[Mã khách hàng]],'Khách hàng'!A:D,4,0)</f>
        <v>Food Đức Việt</v>
      </c>
      <c r="I372" t="str">
        <f>VLOOKUP(Table8[[#This Row],[Mã khách hàng]],'Khách hàng'!A:E,5,0)</f>
        <v>HN0040</v>
      </c>
    </row>
    <row r="373" spans="1:9">
      <c r="A373" s="14" t="s">
        <v>5493</v>
      </c>
      <c r="B373" s="15" t="s">
        <v>5</v>
      </c>
      <c r="C373" s="10" t="s">
        <v>5494</v>
      </c>
      <c r="D373" s="16" t="s">
        <v>1637</v>
      </c>
      <c r="E373" s="15" t="s">
        <v>11215</v>
      </c>
      <c r="F373" s="16" t="str">
        <f>VLOOKUP(Table8[[#This Row],[Mã khách hàng]],code_khach_hang[],2,0)</f>
        <v>CHI NHÁNH HÀ NỘI - CÔNG TY CỔ PHẦN DỊCH VỤ THƯƠNG MẠI TỔNG HỢP WINCOMMERCE</v>
      </c>
      <c r="G373" s="16" t="str">
        <f>VLOOKUP(Table8[[#This Row],[Mã khách hàng]],code_khach_hang[],3,0)</f>
        <v>Miền Bắc đặc biệt 1</v>
      </c>
      <c r="H373" t="str">
        <f>VLOOKUP(Table8[[#This Row],[Mã khách hàng]],'Khách hàng'!A:D,4,0)</f>
        <v>Food Đức Việt</v>
      </c>
      <c r="I373" t="str">
        <f>VLOOKUP(Table8[[#This Row],[Mã khách hàng]],'Khách hàng'!A:E,5,0)</f>
        <v>HN0040</v>
      </c>
    </row>
    <row r="374" spans="1:9">
      <c r="A374" s="14" t="s">
        <v>5529</v>
      </c>
      <c r="B374" s="15" t="s">
        <v>5</v>
      </c>
      <c r="C374" s="10" t="s">
        <v>5530</v>
      </c>
      <c r="D374" s="16" t="s">
        <v>1640</v>
      </c>
      <c r="E374" s="15" t="s">
        <v>11215</v>
      </c>
      <c r="F374" s="16" t="str">
        <f>VLOOKUP(Table8[[#This Row],[Mã khách hàng]],code_khach_hang[],2,0)</f>
        <v>CHI NHÁNH HÀ NỘI - CÔNG TY CỔ PHẦN DỊCH VỤ THƯƠNG MẠI TỔNG HỢP WINCOMMERCE</v>
      </c>
      <c r="G374" s="16" t="str">
        <f>VLOOKUP(Table8[[#This Row],[Mã khách hàng]],code_khach_hang[],3,0)</f>
        <v>Miền Bắc đặc biệt 1</v>
      </c>
      <c r="H374" t="str">
        <f>VLOOKUP(Table8[[#This Row],[Mã khách hàng]],'Khách hàng'!A:D,4,0)</f>
        <v>Food Đức Việt</v>
      </c>
      <c r="I374" t="str">
        <f>VLOOKUP(Table8[[#This Row],[Mã khách hàng]],'Khách hàng'!A:E,5,0)</f>
        <v>HN0040</v>
      </c>
    </row>
    <row r="375" spans="1:9">
      <c r="A375" s="14" t="s">
        <v>5541</v>
      </c>
      <c r="B375" s="15" t="s">
        <v>5</v>
      </c>
      <c r="C375" s="10" t="s">
        <v>5542</v>
      </c>
      <c r="D375" s="16" t="s">
        <v>1644</v>
      </c>
      <c r="E375" s="15" t="s">
        <v>11215</v>
      </c>
      <c r="F375" s="16" t="str">
        <f>VLOOKUP(Table8[[#This Row],[Mã khách hàng]],code_khach_hang[],2,0)</f>
        <v>CHI NHÁNH HÀ NỘI - CÔNG TY CỔ PHẦN DỊCH VỤ THƯƠNG MẠI TỔNG HỢP WINCOMMERCE</v>
      </c>
      <c r="G375" s="16" t="str">
        <f>VLOOKUP(Table8[[#This Row],[Mã khách hàng]],code_khach_hang[],3,0)</f>
        <v>Miền Bắc đặc biệt 1</v>
      </c>
      <c r="H375" t="str">
        <f>VLOOKUP(Table8[[#This Row],[Mã khách hàng]],'Khách hàng'!A:D,4,0)</f>
        <v>Food Đức Việt</v>
      </c>
      <c r="I375" t="str">
        <f>VLOOKUP(Table8[[#This Row],[Mã khách hàng]],'Khách hàng'!A:E,5,0)</f>
        <v>HN0040</v>
      </c>
    </row>
    <row r="376" spans="1:9">
      <c r="A376" s="14" t="s">
        <v>5621</v>
      </c>
      <c r="B376" s="15" t="s">
        <v>5</v>
      </c>
      <c r="C376" s="10" t="s">
        <v>5622</v>
      </c>
      <c r="D376" s="16" t="s">
        <v>1647</v>
      </c>
      <c r="E376" s="15" t="s">
        <v>11215</v>
      </c>
      <c r="F376" s="16" t="str">
        <f>VLOOKUP(Table8[[#This Row],[Mã khách hàng]],code_khach_hang[],2,0)</f>
        <v>CHI NHÁNH HÀ NỘI - CÔNG TY CỔ PHẦN DỊCH VỤ THƯƠNG MẠI TỔNG HỢP WINCOMMERCE</v>
      </c>
      <c r="G376" s="16" t="str">
        <f>VLOOKUP(Table8[[#This Row],[Mã khách hàng]],code_khach_hang[],3,0)</f>
        <v>Miền Bắc đặc biệt 1</v>
      </c>
      <c r="H376" t="str">
        <f>VLOOKUP(Table8[[#This Row],[Mã khách hàng]],'Khách hàng'!A:D,4,0)</f>
        <v>Food Đức Việt</v>
      </c>
      <c r="I376" t="str">
        <f>VLOOKUP(Table8[[#This Row],[Mã khách hàng]],'Khách hàng'!A:E,5,0)</f>
        <v>HN0040</v>
      </c>
    </row>
    <row r="377" spans="1:9">
      <c r="A377" s="14" t="s">
        <v>5839</v>
      </c>
      <c r="B377" s="15" t="s">
        <v>5</v>
      </c>
      <c r="C377" s="10" t="s">
        <v>5840</v>
      </c>
      <c r="D377" s="16" t="s">
        <v>1651</v>
      </c>
      <c r="E377" s="15" t="s">
        <v>11215</v>
      </c>
      <c r="F377" s="16" t="str">
        <f>VLOOKUP(Table8[[#This Row],[Mã khách hàng]],code_khach_hang[],2,0)</f>
        <v>CHI NHÁNH HÀ NỘI - CÔNG TY CỔ PHẦN DỊCH VỤ THƯƠNG MẠI TỔNG HỢP WINCOMMERCE</v>
      </c>
      <c r="G377" s="16" t="str">
        <f>VLOOKUP(Table8[[#This Row],[Mã khách hàng]],code_khach_hang[],3,0)</f>
        <v>Miền Bắc đặc biệt 1</v>
      </c>
      <c r="H377" t="str">
        <f>VLOOKUP(Table8[[#This Row],[Mã khách hàng]],'Khách hàng'!A:D,4,0)</f>
        <v>Food Đức Việt</v>
      </c>
      <c r="I377" t="str">
        <f>VLOOKUP(Table8[[#This Row],[Mã khách hàng]],'Khách hàng'!A:E,5,0)</f>
        <v>HN0040</v>
      </c>
    </row>
    <row r="378" spans="1:9">
      <c r="A378" s="14" t="s">
        <v>5953</v>
      </c>
      <c r="B378" s="15" t="s">
        <v>5</v>
      </c>
      <c r="C378" s="10" t="s">
        <v>5954</v>
      </c>
      <c r="D378" s="16" t="s">
        <v>1654</v>
      </c>
      <c r="E378" s="15" t="s">
        <v>11215</v>
      </c>
      <c r="F378" s="16" t="str">
        <f>VLOOKUP(Table8[[#This Row],[Mã khách hàng]],code_khach_hang[],2,0)</f>
        <v>CHI NHÁNH HÀ NỘI - CÔNG TY CỔ PHẦN DỊCH VỤ THƯƠNG MẠI TỔNG HỢP WINCOMMERCE</v>
      </c>
      <c r="G378" s="16" t="str">
        <f>VLOOKUP(Table8[[#This Row],[Mã khách hàng]],code_khach_hang[],3,0)</f>
        <v>Miền Bắc đặc biệt 1</v>
      </c>
      <c r="H378" t="str">
        <f>VLOOKUP(Table8[[#This Row],[Mã khách hàng]],'Khách hàng'!A:D,4,0)</f>
        <v>Food Đức Việt</v>
      </c>
      <c r="I378" t="str">
        <f>VLOOKUP(Table8[[#This Row],[Mã khách hàng]],'Khách hàng'!A:E,5,0)</f>
        <v>HN0040</v>
      </c>
    </row>
    <row r="379" spans="1:9">
      <c r="A379" s="14" t="s">
        <v>6004</v>
      </c>
      <c r="B379" s="15" t="s">
        <v>5</v>
      </c>
      <c r="C379" s="10" t="s">
        <v>6005</v>
      </c>
      <c r="D379" s="16" t="s">
        <v>1658</v>
      </c>
      <c r="E379" s="15" t="s">
        <v>11215</v>
      </c>
      <c r="F379" s="16" t="str">
        <f>VLOOKUP(Table8[[#This Row],[Mã khách hàng]],code_khach_hang[],2,0)</f>
        <v>CHI NHÁNH HÀ NỘI - CÔNG TY CỔ PHẦN DỊCH VỤ THƯƠNG MẠI TỔNG HỢP WINCOMMERCE</v>
      </c>
      <c r="G379" s="16" t="str">
        <f>VLOOKUP(Table8[[#This Row],[Mã khách hàng]],code_khach_hang[],3,0)</f>
        <v>Miền Bắc đặc biệt 1</v>
      </c>
      <c r="H379" t="str">
        <f>VLOOKUP(Table8[[#This Row],[Mã khách hàng]],'Khách hàng'!A:D,4,0)</f>
        <v>Food Đức Việt</v>
      </c>
      <c r="I379" t="str">
        <f>VLOOKUP(Table8[[#This Row],[Mã khách hàng]],'Khách hàng'!A:E,5,0)</f>
        <v>HN0040</v>
      </c>
    </row>
    <row r="380" spans="1:9">
      <c r="A380" s="14" t="s">
        <v>6509</v>
      </c>
      <c r="B380" s="15" t="s">
        <v>5</v>
      </c>
      <c r="C380" s="10" t="s">
        <v>6510</v>
      </c>
      <c r="D380" s="16" t="s">
        <v>1661</v>
      </c>
      <c r="E380" s="15" t="s">
        <v>11215</v>
      </c>
      <c r="F380" s="16" t="str">
        <f>VLOOKUP(Table8[[#This Row],[Mã khách hàng]],code_khach_hang[],2,0)</f>
        <v>CHI NHÁNH HÀ NỘI - CÔNG TY CỔ PHẦN DỊCH VỤ THƯƠNG MẠI TỔNG HỢP WINCOMMERCE</v>
      </c>
      <c r="G380" s="16" t="str">
        <f>VLOOKUP(Table8[[#This Row],[Mã khách hàng]],code_khach_hang[],3,0)</f>
        <v>Miền Bắc đặc biệt 1</v>
      </c>
      <c r="H380" t="str">
        <f>VLOOKUP(Table8[[#This Row],[Mã khách hàng]],'Khách hàng'!A:D,4,0)</f>
        <v>Food Đức Việt</v>
      </c>
      <c r="I380" t="str">
        <f>VLOOKUP(Table8[[#This Row],[Mã khách hàng]],'Khách hàng'!A:E,5,0)</f>
        <v>HN0040</v>
      </c>
    </row>
    <row r="381" spans="1:9">
      <c r="A381" s="14" t="s">
        <v>6533</v>
      </c>
      <c r="B381" s="15" t="s">
        <v>5</v>
      </c>
      <c r="C381" s="10" t="s">
        <v>6534</v>
      </c>
      <c r="D381" s="16" t="s">
        <v>1664</v>
      </c>
      <c r="E381" s="15" t="s">
        <v>11215</v>
      </c>
      <c r="F381" s="16" t="str">
        <f>VLOOKUP(Table8[[#This Row],[Mã khách hàng]],code_khach_hang[],2,0)</f>
        <v>CHI NHÁNH HÀ NỘI - CÔNG TY CỔ PHẦN DỊCH VỤ THƯƠNG MẠI TỔNG HỢP WINCOMMERCE</v>
      </c>
      <c r="G381" s="16" t="str">
        <f>VLOOKUP(Table8[[#This Row],[Mã khách hàng]],code_khach_hang[],3,0)</f>
        <v>Miền Bắc đặc biệt 1</v>
      </c>
      <c r="H381" t="str">
        <f>VLOOKUP(Table8[[#This Row],[Mã khách hàng]],'Khách hàng'!A:D,4,0)</f>
        <v>Food Đức Việt</v>
      </c>
      <c r="I381" t="str">
        <f>VLOOKUP(Table8[[#This Row],[Mã khách hàng]],'Khách hàng'!A:E,5,0)</f>
        <v>HN0040</v>
      </c>
    </row>
    <row r="382" spans="1:9">
      <c r="A382" s="14" t="s">
        <v>6650</v>
      </c>
      <c r="B382" s="15" t="s">
        <v>5</v>
      </c>
      <c r="C382" s="10" t="s">
        <v>6651</v>
      </c>
      <c r="D382" s="16" t="s">
        <v>1667</v>
      </c>
      <c r="E382" s="15" t="s">
        <v>11215</v>
      </c>
      <c r="F382" s="16" t="str">
        <f>VLOOKUP(Table8[[#This Row],[Mã khách hàng]],code_khach_hang[],2,0)</f>
        <v>CHI NHÁNH HÀ NỘI - CÔNG TY CỔ PHẦN DỊCH VỤ THƯƠNG MẠI TỔNG HỢP WINCOMMERCE</v>
      </c>
      <c r="G382" s="16" t="str">
        <f>VLOOKUP(Table8[[#This Row],[Mã khách hàng]],code_khach_hang[],3,0)</f>
        <v>Miền Bắc đặc biệt 1</v>
      </c>
      <c r="H382" t="str">
        <f>VLOOKUP(Table8[[#This Row],[Mã khách hàng]],'Khách hàng'!A:D,4,0)</f>
        <v>Food Đức Việt</v>
      </c>
      <c r="I382" t="str">
        <f>VLOOKUP(Table8[[#This Row],[Mã khách hàng]],'Khách hàng'!A:E,5,0)</f>
        <v>HN0040</v>
      </c>
    </row>
    <row r="383" spans="1:9">
      <c r="A383" s="14" t="s">
        <v>6671</v>
      </c>
      <c r="B383" s="15" t="s">
        <v>5</v>
      </c>
      <c r="C383" s="10" t="s">
        <v>6672</v>
      </c>
      <c r="D383" s="16" t="s">
        <v>1670</v>
      </c>
      <c r="E383" s="15" t="s">
        <v>11215</v>
      </c>
      <c r="F383" s="16" t="str">
        <f>VLOOKUP(Table8[[#This Row],[Mã khách hàng]],code_khach_hang[],2,0)</f>
        <v>CHI NHÁNH HÀ NỘI - CÔNG TY CỔ PHẦN DỊCH VỤ THƯƠNG MẠI TỔNG HỢP WINCOMMERCE</v>
      </c>
      <c r="G383" s="16" t="str">
        <f>VLOOKUP(Table8[[#This Row],[Mã khách hàng]],code_khach_hang[],3,0)</f>
        <v>Miền Bắc đặc biệt 1</v>
      </c>
      <c r="H383" t="str">
        <f>VLOOKUP(Table8[[#This Row],[Mã khách hàng]],'Khách hàng'!A:D,4,0)</f>
        <v>Food Đức Việt</v>
      </c>
      <c r="I383" t="str">
        <f>VLOOKUP(Table8[[#This Row],[Mã khách hàng]],'Khách hàng'!A:E,5,0)</f>
        <v>HN0040</v>
      </c>
    </row>
    <row r="384" spans="1:9">
      <c r="A384" s="14" t="s">
        <v>7013</v>
      </c>
      <c r="B384" s="15" t="s">
        <v>5</v>
      </c>
      <c r="C384" s="10" t="s">
        <v>7014</v>
      </c>
      <c r="D384" s="16" t="s">
        <v>1673</v>
      </c>
      <c r="E384" s="15" t="s">
        <v>11215</v>
      </c>
      <c r="F384" s="16" t="str">
        <f>VLOOKUP(Table8[[#This Row],[Mã khách hàng]],code_khach_hang[],2,0)</f>
        <v>CHI NHÁNH HÀ NỘI - CÔNG TY CỔ PHẦN DỊCH VỤ THƯƠNG MẠI TỔNG HỢP WINCOMMERCE</v>
      </c>
      <c r="G384" s="16" t="str">
        <f>VLOOKUP(Table8[[#This Row],[Mã khách hàng]],code_khach_hang[],3,0)</f>
        <v>Miền Bắc đặc biệt 1</v>
      </c>
      <c r="H384" t="str">
        <f>VLOOKUP(Table8[[#This Row],[Mã khách hàng]],'Khách hàng'!A:D,4,0)</f>
        <v>Food Đức Việt</v>
      </c>
      <c r="I384" t="str">
        <f>VLOOKUP(Table8[[#This Row],[Mã khách hàng]],'Khách hàng'!A:E,5,0)</f>
        <v>HN0040</v>
      </c>
    </row>
    <row r="385" spans="1:9">
      <c r="A385" s="14" t="s">
        <v>7053</v>
      </c>
      <c r="B385" s="15" t="s">
        <v>5</v>
      </c>
      <c r="C385" s="10" t="s">
        <v>7054</v>
      </c>
      <c r="D385" s="16" t="s">
        <v>1675</v>
      </c>
      <c r="E385" s="15" t="s">
        <v>11215</v>
      </c>
      <c r="F385" s="16" t="str">
        <f>VLOOKUP(Table8[[#This Row],[Mã khách hàng]],code_khach_hang[],2,0)</f>
        <v>CHI NHÁNH HÀ NỘI - CÔNG TY CỔ PHẦN DỊCH VỤ THƯƠNG MẠI TỔNG HỢP WINCOMMERCE</v>
      </c>
      <c r="G385" s="16" t="str">
        <f>VLOOKUP(Table8[[#This Row],[Mã khách hàng]],code_khach_hang[],3,0)</f>
        <v>Miền Bắc đặc biệt 1</v>
      </c>
      <c r="H385" t="str">
        <f>VLOOKUP(Table8[[#This Row],[Mã khách hàng]],'Khách hàng'!A:D,4,0)</f>
        <v>Food Đức Việt</v>
      </c>
      <c r="I385" t="str">
        <f>VLOOKUP(Table8[[#This Row],[Mã khách hàng]],'Khách hàng'!A:E,5,0)</f>
        <v>HN0040</v>
      </c>
    </row>
    <row r="386" spans="1:9">
      <c r="A386" s="14" t="s">
        <v>7390</v>
      </c>
      <c r="B386" s="15" t="s">
        <v>5</v>
      </c>
      <c r="C386" s="10" t="s">
        <v>7391</v>
      </c>
      <c r="D386" s="16" t="s">
        <v>1678</v>
      </c>
      <c r="E386" s="15" t="s">
        <v>11215</v>
      </c>
      <c r="F386" s="16" t="str">
        <f>VLOOKUP(Table8[[#This Row],[Mã khách hàng]],code_khach_hang[],2,0)</f>
        <v>CHI NHÁNH HÀ NỘI - CÔNG TY CỔ PHẦN DỊCH VỤ THƯƠNG MẠI TỔNG HỢP WINCOMMERCE</v>
      </c>
      <c r="G386" s="16" t="str">
        <f>VLOOKUP(Table8[[#This Row],[Mã khách hàng]],code_khach_hang[],3,0)</f>
        <v>Miền Bắc đặc biệt 1</v>
      </c>
      <c r="H386" t="str">
        <f>VLOOKUP(Table8[[#This Row],[Mã khách hàng]],'Khách hàng'!A:D,4,0)</f>
        <v>Food Đức Việt</v>
      </c>
      <c r="I386" t="str">
        <f>VLOOKUP(Table8[[#This Row],[Mã khách hàng]],'Khách hàng'!A:E,5,0)</f>
        <v>HN0040</v>
      </c>
    </row>
    <row r="387" spans="1:9">
      <c r="A387" s="14" t="s">
        <v>7700</v>
      </c>
      <c r="B387" s="15" t="s">
        <v>5</v>
      </c>
      <c r="C387" s="10" t="s">
        <v>7701</v>
      </c>
      <c r="D387" s="16" t="s">
        <v>1682</v>
      </c>
      <c r="E387" s="15" t="s">
        <v>11215</v>
      </c>
      <c r="F387" s="16" t="str">
        <f>VLOOKUP(Table8[[#This Row],[Mã khách hàng]],code_khach_hang[],2,0)</f>
        <v>CHI NHÁNH HÀ NỘI - CÔNG TY CỔ PHẦN DỊCH VỤ THƯƠNG MẠI TỔNG HỢP WINCOMMERCE</v>
      </c>
      <c r="G387" s="16" t="str">
        <f>VLOOKUP(Table8[[#This Row],[Mã khách hàng]],code_khach_hang[],3,0)</f>
        <v>Miền Bắc đặc biệt 1</v>
      </c>
      <c r="H387" t="str">
        <f>VLOOKUP(Table8[[#This Row],[Mã khách hàng]],'Khách hàng'!A:D,4,0)</f>
        <v>Food Đức Việt</v>
      </c>
      <c r="I387" t="str">
        <f>VLOOKUP(Table8[[#This Row],[Mã khách hàng]],'Khách hàng'!A:E,5,0)</f>
        <v>HN0040</v>
      </c>
    </row>
    <row r="388" spans="1:9">
      <c r="A388" s="14" t="s">
        <v>8064</v>
      </c>
      <c r="B388" s="15" t="s">
        <v>5</v>
      </c>
      <c r="C388" s="10" t="s">
        <v>8065</v>
      </c>
      <c r="D388" s="16" t="s">
        <v>1685</v>
      </c>
      <c r="E388" s="15" t="s">
        <v>11215</v>
      </c>
      <c r="F388" s="16" t="str">
        <f>VLOOKUP(Table8[[#This Row],[Mã khách hàng]],code_khach_hang[],2,0)</f>
        <v>CHI NHÁNH HÀ NỘI - CÔNG TY CỔ PHẦN DỊCH VỤ THƯƠNG MẠI TỔNG HỢP WINCOMMERCE</v>
      </c>
      <c r="G388" s="16" t="str">
        <f>VLOOKUP(Table8[[#This Row],[Mã khách hàng]],code_khach_hang[],3,0)</f>
        <v>Miền Bắc đặc biệt 1</v>
      </c>
      <c r="H388" t="str">
        <f>VLOOKUP(Table8[[#This Row],[Mã khách hàng]],'Khách hàng'!A:D,4,0)</f>
        <v>Food Đức Việt</v>
      </c>
      <c r="I388" t="str">
        <f>VLOOKUP(Table8[[#This Row],[Mã khách hàng]],'Khách hàng'!A:E,5,0)</f>
        <v>HN0040</v>
      </c>
    </row>
    <row r="389" spans="1:9">
      <c r="A389" s="14" t="s">
        <v>5391</v>
      </c>
      <c r="B389" s="15" t="s">
        <v>5</v>
      </c>
      <c r="C389" s="10" t="s">
        <v>5392</v>
      </c>
      <c r="D389" s="16" t="s">
        <v>1688</v>
      </c>
      <c r="E389" s="15" t="s">
        <v>11215</v>
      </c>
      <c r="F389" s="16" t="str">
        <f>VLOOKUP(Table8[[#This Row],[Mã khách hàng]],code_khach_hang[],2,0)</f>
        <v>CHI NHÁNH HÀ NỘI - CÔNG TY CỔ PHẦN DỊCH VỤ THƯƠNG MẠI TỔNG HỢP WINCOMMERCE</v>
      </c>
      <c r="G389" s="16" t="str">
        <f>VLOOKUP(Table8[[#This Row],[Mã khách hàng]],code_khach_hang[],3,0)</f>
        <v>Miền Bắc đặc biệt 1</v>
      </c>
      <c r="H389" t="str">
        <f>VLOOKUP(Table8[[#This Row],[Mã khách hàng]],'Khách hàng'!A:D,4,0)</f>
        <v>Food Đức Việt</v>
      </c>
      <c r="I389" t="str">
        <f>VLOOKUP(Table8[[#This Row],[Mã khách hàng]],'Khách hàng'!A:E,5,0)</f>
        <v>HN0040</v>
      </c>
    </row>
    <row r="390" spans="1:9">
      <c r="A390" s="14" t="s">
        <v>6830</v>
      </c>
      <c r="B390" s="15" t="s">
        <v>5</v>
      </c>
      <c r="C390" s="10" t="s">
        <v>6831</v>
      </c>
      <c r="D390" s="16" t="s">
        <v>1691</v>
      </c>
      <c r="E390" s="15" t="s">
        <v>11215</v>
      </c>
      <c r="F390" s="16" t="str">
        <f>VLOOKUP(Table8[[#This Row],[Mã khách hàng]],code_khach_hang[],2,0)</f>
        <v>CHI NHÁNH HÀ NỘI - CÔNG TY CỔ PHẦN DỊCH VỤ THƯƠNG MẠI TỔNG HỢP WINCOMMERCE</v>
      </c>
      <c r="G390" s="16" t="str">
        <f>VLOOKUP(Table8[[#This Row],[Mã khách hàng]],code_khach_hang[],3,0)</f>
        <v>Miền Bắc đặc biệt 1</v>
      </c>
      <c r="H390" t="str">
        <f>VLOOKUP(Table8[[#This Row],[Mã khách hàng]],'Khách hàng'!A:D,4,0)</f>
        <v>Food Đức Việt</v>
      </c>
      <c r="I390" t="str">
        <f>VLOOKUP(Table8[[#This Row],[Mã khách hàng]],'Khách hàng'!A:E,5,0)</f>
        <v>HN0040</v>
      </c>
    </row>
    <row r="391" spans="1:9">
      <c r="A391" s="14" t="s">
        <v>8685</v>
      </c>
      <c r="B391" s="15" t="s">
        <v>5</v>
      </c>
      <c r="C391" s="10" t="s">
        <v>8686</v>
      </c>
      <c r="D391" s="16" t="s">
        <v>1694</v>
      </c>
      <c r="E391" s="15" t="s">
        <v>11215</v>
      </c>
      <c r="F391" s="16" t="str">
        <f>VLOOKUP(Table8[[#This Row],[Mã khách hàng]],code_khach_hang[],2,0)</f>
        <v>CHI NHÁNH HÀ NỘI - CÔNG TY CỔ PHẦN DỊCH VỤ THƯƠNG MẠI TỔNG HỢP WINCOMMERCE</v>
      </c>
      <c r="G391" s="16" t="str">
        <f>VLOOKUP(Table8[[#This Row],[Mã khách hàng]],code_khach_hang[],3,0)</f>
        <v>Miền Bắc đặc biệt 1</v>
      </c>
      <c r="H391" t="str">
        <f>VLOOKUP(Table8[[#This Row],[Mã khách hàng]],'Khách hàng'!A:D,4,0)</f>
        <v>Food Đức Việt</v>
      </c>
      <c r="I391" t="str">
        <f>VLOOKUP(Table8[[#This Row],[Mã khách hàng]],'Khách hàng'!A:E,5,0)</f>
        <v>HN0040</v>
      </c>
    </row>
    <row r="392" spans="1:9">
      <c r="A392" s="14" t="s">
        <v>7279</v>
      </c>
      <c r="B392" s="15" t="s">
        <v>5</v>
      </c>
      <c r="C392" s="10" t="s">
        <v>7280</v>
      </c>
      <c r="D392" s="16" t="s">
        <v>1697</v>
      </c>
      <c r="E392" s="15" t="s">
        <v>11215</v>
      </c>
      <c r="F392" s="16" t="str">
        <f>VLOOKUP(Table8[[#This Row],[Mã khách hàng]],code_khach_hang[],2,0)</f>
        <v>CHI NHÁNH HÀ NỘI - CÔNG TY CỔ PHẦN DỊCH VỤ THƯƠNG MẠI TỔNG HỢP WINCOMMERCE</v>
      </c>
      <c r="G392" s="16" t="str">
        <f>VLOOKUP(Table8[[#This Row],[Mã khách hàng]],code_khach_hang[],3,0)</f>
        <v>Miền Bắc đặc biệt 1</v>
      </c>
      <c r="H392" t="str">
        <f>VLOOKUP(Table8[[#This Row],[Mã khách hàng]],'Khách hàng'!A:D,4,0)</f>
        <v>Food Đức Việt</v>
      </c>
      <c r="I392" t="str">
        <f>VLOOKUP(Table8[[#This Row],[Mã khách hàng]],'Khách hàng'!A:E,5,0)</f>
        <v>HN0040</v>
      </c>
    </row>
    <row r="393" spans="1:9">
      <c r="A393" s="14" t="s">
        <v>8750</v>
      </c>
      <c r="B393" s="15" t="s">
        <v>5</v>
      </c>
      <c r="C393" s="10" t="s">
        <v>8751</v>
      </c>
      <c r="D393" s="16" t="s">
        <v>1700</v>
      </c>
      <c r="E393" s="15" t="s">
        <v>11215</v>
      </c>
      <c r="F393" s="16" t="str">
        <f>VLOOKUP(Table8[[#This Row],[Mã khách hàng]],code_khach_hang[],2,0)</f>
        <v>CHI NHÁNH HÀ NỘI - CÔNG TY CỔ PHẦN DỊCH VỤ THƯƠNG MẠI TỔNG HỢP WINCOMMERCE</v>
      </c>
      <c r="G393" s="16" t="str">
        <f>VLOOKUP(Table8[[#This Row],[Mã khách hàng]],code_khach_hang[],3,0)</f>
        <v>Miền Bắc đặc biệt 1</v>
      </c>
      <c r="H393" t="str">
        <f>VLOOKUP(Table8[[#This Row],[Mã khách hàng]],'Khách hàng'!A:D,4,0)</f>
        <v>Food Đức Việt</v>
      </c>
      <c r="I393" t="str">
        <f>VLOOKUP(Table8[[#This Row],[Mã khách hàng]],'Khách hàng'!A:E,5,0)</f>
        <v>HN0040</v>
      </c>
    </row>
    <row r="394" spans="1:9">
      <c r="A394" s="14" t="s">
        <v>8797</v>
      </c>
      <c r="B394" s="15" t="s">
        <v>5</v>
      </c>
      <c r="C394" s="10" t="s">
        <v>8798</v>
      </c>
      <c r="D394" s="16" t="s">
        <v>1703</v>
      </c>
      <c r="E394" s="15" t="s">
        <v>11215</v>
      </c>
      <c r="F394" s="16" t="str">
        <f>VLOOKUP(Table8[[#This Row],[Mã khách hàng]],code_khach_hang[],2,0)</f>
        <v>CHI NHÁNH HÀ NỘI - CÔNG TY CỔ PHẦN DỊCH VỤ THƯƠNG MẠI TỔNG HỢP WINCOMMERCE</v>
      </c>
      <c r="G394" s="16" t="str">
        <f>VLOOKUP(Table8[[#This Row],[Mã khách hàng]],code_khach_hang[],3,0)</f>
        <v>Miền Bắc đặc biệt 1</v>
      </c>
      <c r="H394" t="str">
        <f>VLOOKUP(Table8[[#This Row],[Mã khách hàng]],'Khách hàng'!A:D,4,0)</f>
        <v>Food Đức Việt</v>
      </c>
      <c r="I394" t="str">
        <f>VLOOKUP(Table8[[#This Row],[Mã khách hàng]],'Khách hàng'!A:E,5,0)</f>
        <v>HN0040</v>
      </c>
    </row>
    <row r="395" spans="1:9">
      <c r="A395" s="14" t="s">
        <v>2813</v>
      </c>
      <c r="B395" s="15" t="s">
        <v>5</v>
      </c>
      <c r="C395" s="10" t="s">
        <v>2814</v>
      </c>
      <c r="D395" s="16" t="s">
        <v>1706</v>
      </c>
      <c r="E395" s="15" t="s">
        <v>11215</v>
      </c>
      <c r="F395" s="16" t="str">
        <f>VLOOKUP(Table8[[#This Row],[Mã khách hàng]],code_khach_hang[],2,0)</f>
        <v>CHI NHÁNH HÀ NỘI - CÔNG TY CỔ PHẦN DỊCH VỤ THƯƠNG MẠI TỔNG HỢP WINCOMMERCE</v>
      </c>
      <c r="G395" s="16" t="str">
        <f>VLOOKUP(Table8[[#This Row],[Mã khách hàng]],code_khach_hang[],3,0)</f>
        <v>Miền Bắc đặc biệt 1</v>
      </c>
      <c r="H395" t="str">
        <f>VLOOKUP(Table8[[#This Row],[Mã khách hàng]],'Khách hàng'!A:D,4,0)</f>
        <v>Food Đức Việt</v>
      </c>
      <c r="I395" t="str">
        <f>VLOOKUP(Table8[[#This Row],[Mã khách hàng]],'Khách hàng'!A:E,5,0)</f>
        <v>HN0040</v>
      </c>
    </row>
    <row r="396" spans="1:9">
      <c r="A396" s="14" t="s">
        <v>547</v>
      </c>
      <c r="B396" s="15" t="s">
        <v>183</v>
      </c>
      <c r="C396" s="10" t="s">
        <v>548</v>
      </c>
      <c r="D396" s="16" t="s">
        <v>1709</v>
      </c>
      <c r="E396" s="15" t="s">
        <v>11195</v>
      </c>
      <c r="F396" s="16" t="str">
        <f>VLOOKUP(Table8[[#This Row],[Mã khách hàng]],code_khach_hang[],2,0)</f>
        <v>CHI NHÁNH HÀ NỘI - CÔNG TY CỔ PHẦN DỊCH VỤ THƯƠNG MẠI TỔNG HỢP WINCOMMERCE</v>
      </c>
      <c r="G396" s="16" t="str">
        <f>VLOOKUP(Table8[[#This Row],[Mã khách hàng]],code_khach_hang[],3,0)</f>
        <v>Miền Bắc đặc biệt 2</v>
      </c>
      <c r="H396" t="str">
        <f>VLOOKUP(Table8[[#This Row],[Mã khách hàng]],'Khách hàng'!A:D,4,0)</f>
        <v>Food Đức Việt</v>
      </c>
      <c r="I396" t="str">
        <f>VLOOKUP(Table8[[#This Row],[Mã khách hàng]],'Khách hàng'!A:E,5,0)</f>
        <v>HN0040</v>
      </c>
    </row>
    <row r="397" spans="1:9">
      <c r="A397" s="14" t="s">
        <v>628</v>
      </c>
      <c r="B397" s="15" t="s">
        <v>183</v>
      </c>
      <c r="C397" s="10" t="s">
        <v>629</v>
      </c>
      <c r="D397" s="16" t="s">
        <v>1712</v>
      </c>
      <c r="E397" s="15" t="s">
        <v>11195</v>
      </c>
      <c r="F397" s="16" t="str">
        <f>VLOOKUP(Table8[[#This Row],[Mã khách hàng]],code_khach_hang[],2,0)</f>
        <v>CHI NHÁNH HÀ NỘI - CÔNG TY CỔ PHẦN DỊCH VỤ THƯƠNG MẠI TỔNG HỢP WINCOMMERCE</v>
      </c>
      <c r="G397" s="16" t="str">
        <f>VLOOKUP(Table8[[#This Row],[Mã khách hàng]],code_khach_hang[],3,0)</f>
        <v>Miền Bắc đặc biệt 2</v>
      </c>
      <c r="H397" t="str">
        <f>VLOOKUP(Table8[[#This Row],[Mã khách hàng]],'Khách hàng'!A:D,4,0)</f>
        <v>Food Đức Việt</v>
      </c>
      <c r="I397" t="str">
        <f>VLOOKUP(Table8[[#This Row],[Mã khách hàng]],'Khách hàng'!A:E,5,0)</f>
        <v>HN0040</v>
      </c>
    </row>
    <row r="398" spans="1:9">
      <c r="A398" s="14" t="s">
        <v>643</v>
      </c>
      <c r="B398" s="15" t="s">
        <v>183</v>
      </c>
      <c r="C398" s="10" t="s">
        <v>644</v>
      </c>
      <c r="D398" s="16" t="s">
        <v>1715</v>
      </c>
      <c r="E398" s="15" t="s">
        <v>11195</v>
      </c>
      <c r="F398" s="16" t="str">
        <f>VLOOKUP(Table8[[#This Row],[Mã khách hàng]],code_khach_hang[],2,0)</f>
        <v>CHI NHÁNH HÀ NỘI - CÔNG TY CỔ PHẦN DỊCH VỤ THƯƠNG MẠI TỔNG HỢP WINCOMMERCE</v>
      </c>
      <c r="G398" s="16" t="str">
        <f>VLOOKUP(Table8[[#This Row],[Mã khách hàng]],code_khach_hang[],3,0)</f>
        <v>Miền Bắc đặc biệt 2</v>
      </c>
      <c r="H398" t="str">
        <f>VLOOKUP(Table8[[#This Row],[Mã khách hàng]],'Khách hàng'!A:D,4,0)</f>
        <v>Food Đức Việt</v>
      </c>
      <c r="I398" t="str">
        <f>VLOOKUP(Table8[[#This Row],[Mã khách hàng]],'Khách hàng'!A:E,5,0)</f>
        <v>HN0040</v>
      </c>
    </row>
    <row r="399" spans="1:9">
      <c r="A399" s="14" t="s">
        <v>4767</v>
      </c>
      <c r="B399" s="15" t="s">
        <v>5</v>
      </c>
      <c r="C399" s="10" t="s">
        <v>4768</v>
      </c>
      <c r="D399" s="16" t="s">
        <v>1717</v>
      </c>
      <c r="E399" s="15" t="s">
        <v>11197</v>
      </c>
      <c r="F399" s="16" t="str">
        <f>VLOOKUP(Table8[[#This Row],[Mã khách hàng]],code_khach_hang[],2,0)</f>
        <v>CHI NHÁNH QUẢNG NINH - CÔNG TY CỔ PHẦN DỊCH VỤ THƯƠNG MẠI TỔNG HỢP WINCOMMERCE</v>
      </c>
      <c r="G399" s="16" t="str">
        <f>VLOOKUP(Table8[[#This Row],[Mã khách hàng]],code_khach_hang[],3,0)</f>
        <v>Miền Bắc đặc biệt 3</v>
      </c>
      <c r="H399" t="str">
        <f>VLOOKUP(Table8[[#This Row],[Mã khách hàng]],'Khách hàng'!A:D,4,0)</f>
        <v>Food Đức Việt</v>
      </c>
      <c r="I399" t="str">
        <f>VLOOKUP(Table8[[#This Row],[Mã khách hàng]],'Khách hàng'!A:E,5,0)</f>
        <v>HN0040</v>
      </c>
    </row>
    <row r="400" spans="1:9">
      <c r="A400" s="14" t="s">
        <v>4884</v>
      </c>
      <c r="B400" s="15" t="s">
        <v>5</v>
      </c>
      <c r="C400" s="10" t="s">
        <v>4885</v>
      </c>
      <c r="D400" s="16" t="s">
        <v>1720</v>
      </c>
      <c r="E400" s="15" t="s">
        <v>11197</v>
      </c>
      <c r="F400" s="16" t="str">
        <f>VLOOKUP(Table8[[#This Row],[Mã khách hàng]],code_khach_hang[],2,0)</f>
        <v>CHI NHÁNH QUẢNG NINH - CÔNG TY CỔ PHẦN DỊCH VỤ THƯƠNG MẠI TỔNG HỢP WINCOMMERCE</v>
      </c>
      <c r="G400" s="16" t="str">
        <f>VLOOKUP(Table8[[#This Row],[Mã khách hàng]],code_khach_hang[],3,0)</f>
        <v>Miền Bắc đặc biệt 3</v>
      </c>
      <c r="H400" t="str">
        <f>VLOOKUP(Table8[[#This Row],[Mã khách hàng]],'Khách hàng'!A:D,4,0)</f>
        <v>Food Đức Việt</v>
      </c>
      <c r="I400" t="str">
        <f>VLOOKUP(Table8[[#This Row],[Mã khách hàng]],'Khách hàng'!A:E,5,0)</f>
        <v>HN0040</v>
      </c>
    </row>
    <row r="401" spans="1:9">
      <c r="A401" s="14" t="s">
        <v>4965</v>
      </c>
      <c r="B401" s="15" t="s">
        <v>5</v>
      </c>
      <c r="C401" s="10" t="s">
        <v>4966</v>
      </c>
      <c r="D401" s="16" t="s">
        <v>1723</v>
      </c>
      <c r="E401" s="15" t="s">
        <v>11197</v>
      </c>
      <c r="F401" s="16" t="str">
        <f>VLOOKUP(Table8[[#This Row],[Mã khách hàng]],code_khach_hang[],2,0)</f>
        <v>CHI NHÁNH QUẢNG NINH - CÔNG TY CỔ PHẦN DỊCH VỤ THƯƠNG MẠI TỔNG HỢP WINCOMMERCE</v>
      </c>
      <c r="G401" s="16" t="str">
        <f>VLOOKUP(Table8[[#This Row],[Mã khách hàng]],code_khach_hang[],3,0)</f>
        <v>Miền Bắc đặc biệt 3</v>
      </c>
      <c r="H401" t="str">
        <f>VLOOKUP(Table8[[#This Row],[Mã khách hàng]],'Khách hàng'!A:D,4,0)</f>
        <v>Food Đức Việt</v>
      </c>
      <c r="I401" t="str">
        <f>VLOOKUP(Table8[[#This Row],[Mã khách hàng]],'Khách hàng'!A:E,5,0)</f>
        <v>HN0040</v>
      </c>
    </row>
    <row r="402" spans="1:9">
      <c r="A402" s="14" t="s">
        <v>5052</v>
      </c>
      <c r="B402" s="15" t="s">
        <v>5</v>
      </c>
      <c r="C402" s="10" t="s">
        <v>5053</v>
      </c>
      <c r="D402" s="16" t="s">
        <v>1726</v>
      </c>
      <c r="E402" s="15" t="s">
        <v>11197</v>
      </c>
      <c r="F402" s="16" t="str">
        <f>VLOOKUP(Table8[[#This Row],[Mã khách hàng]],code_khach_hang[],2,0)</f>
        <v>CHI NHÁNH QUẢNG NINH - CÔNG TY CỔ PHẦN DỊCH VỤ THƯƠNG MẠI TỔNG HỢP WINCOMMERCE</v>
      </c>
      <c r="G402" s="16" t="str">
        <f>VLOOKUP(Table8[[#This Row],[Mã khách hàng]],code_khach_hang[],3,0)</f>
        <v>Miền Bắc đặc biệt 3</v>
      </c>
      <c r="H402" t="str">
        <f>VLOOKUP(Table8[[#This Row],[Mã khách hàng]],'Khách hàng'!A:D,4,0)</f>
        <v>Food Đức Việt</v>
      </c>
      <c r="I402" t="str">
        <f>VLOOKUP(Table8[[#This Row],[Mã khách hàng]],'Khách hàng'!A:E,5,0)</f>
        <v>HN0040</v>
      </c>
    </row>
    <row r="403" spans="1:9">
      <c r="A403" s="14" t="s">
        <v>5355</v>
      </c>
      <c r="B403" s="15" t="s">
        <v>5</v>
      </c>
      <c r="C403" s="10" t="s">
        <v>5356</v>
      </c>
      <c r="D403" s="16" t="s">
        <v>1729</v>
      </c>
      <c r="E403" s="15" t="s">
        <v>11197</v>
      </c>
      <c r="F403" s="16" t="str">
        <f>VLOOKUP(Table8[[#This Row],[Mã khách hàng]],code_khach_hang[],2,0)</f>
        <v>CHI NHÁNH QUẢNG NINH - CÔNG TY CỔ PHẦN DỊCH VỤ THƯƠNG MẠI TỔNG HỢP WINCOMMERCE</v>
      </c>
      <c r="G403" s="16" t="str">
        <f>VLOOKUP(Table8[[#This Row],[Mã khách hàng]],code_khach_hang[],3,0)</f>
        <v>Miền Bắc đặc biệt 3</v>
      </c>
      <c r="H403" t="str">
        <f>VLOOKUP(Table8[[#This Row],[Mã khách hàng]],'Khách hàng'!A:D,4,0)</f>
        <v>Food Đức Việt</v>
      </c>
      <c r="I403" t="str">
        <f>VLOOKUP(Table8[[#This Row],[Mã khách hàng]],'Khách hàng'!A:E,5,0)</f>
        <v>HN0040</v>
      </c>
    </row>
    <row r="404" spans="1:9">
      <c r="A404" s="14" t="s">
        <v>5367</v>
      </c>
      <c r="B404" s="15" t="s">
        <v>5</v>
      </c>
      <c r="C404" s="10" t="s">
        <v>5368</v>
      </c>
      <c r="D404" s="16" t="s">
        <v>1732</v>
      </c>
      <c r="E404" s="15" t="s">
        <v>11197</v>
      </c>
      <c r="F404" s="16" t="str">
        <f>VLOOKUP(Table8[[#This Row],[Mã khách hàng]],code_khach_hang[],2,0)</f>
        <v>CHI NHÁNH QUẢNG NINH - CÔNG TY CỔ PHẦN DỊCH VỤ THƯƠNG MẠI TỔNG HỢP WINCOMMERCE</v>
      </c>
      <c r="G404" s="16" t="str">
        <f>VLOOKUP(Table8[[#This Row],[Mã khách hàng]],code_khach_hang[],3,0)</f>
        <v>Miền Bắc đặc biệt 3</v>
      </c>
      <c r="H404" t="str">
        <f>VLOOKUP(Table8[[#This Row],[Mã khách hàng]],'Khách hàng'!A:D,4,0)</f>
        <v>Food Đức Việt</v>
      </c>
      <c r="I404" t="str">
        <f>VLOOKUP(Table8[[#This Row],[Mã khách hàng]],'Khách hàng'!A:E,5,0)</f>
        <v>HN0040</v>
      </c>
    </row>
    <row r="405" spans="1:9">
      <c r="A405" s="14" t="s">
        <v>5436</v>
      </c>
      <c r="B405" s="15" t="s">
        <v>5</v>
      </c>
      <c r="C405" s="10" t="s">
        <v>5437</v>
      </c>
      <c r="D405" s="16" t="s">
        <v>1735</v>
      </c>
      <c r="E405" s="15" t="s">
        <v>11197</v>
      </c>
      <c r="F405" s="16" t="str">
        <f>VLOOKUP(Table8[[#This Row],[Mã khách hàng]],code_khach_hang[],2,0)</f>
        <v>CHI NHÁNH QUẢNG NINH - CÔNG TY CỔ PHẦN DỊCH VỤ THƯƠNG MẠI TỔNG HỢP WINCOMMERCE</v>
      </c>
      <c r="G405" s="16" t="str">
        <f>VLOOKUP(Table8[[#This Row],[Mã khách hàng]],code_khach_hang[],3,0)</f>
        <v>Miền Bắc đặc biệt 3</v>
      </c>
      <c r="H405" t="str">
        <f>VLOOKUP(Table8[[#This Row],[Mã khách hàng]],'Khách hàng'!A:D,4,0)</f>
        <v>Food Đức Việt</v>
      </c>
      <c r="I405" t="str">
        <f>VLOOKUP(Table8[[#This Row],[Mã khách hàng]],'Khách hàng'!A:E,5,0)</f>
        <v>HN0040</v>
      </c>
    </row>
    <row r="406" spans="1:9">
      <c r="A406" s="14" t="s">
        <v>5496</v>
      </c>
      <c r="B406" s="15" t="s">
        <v>5</v>
      </c>
      <c r="C406" s="10" t="s">
        <v>5497</v>
      </c>
      <c r="D406" s="16" t="s">
        <v>1738</v>
      </c>
      <c r="E406" s="15" t="s">
        <v>11197</v>
      </c>
      <c r="F406" s="16" t="str">
        <f>VLOOKUP(Table8[[#This Row],[Mã khách hàng]],code_khach_hang[],2,0)</f>
        <v>CHI NHÁNH QUẢNG NINH - CÔNG TY CỔ PHẦN DỊCH VỤ THƯƠNG MẠI TỔNG HỢP WINCOMMERCE</v>
      </c>
      <c r="G406" s="16" t="str">
        <f>VLOOKUP(Table8[[#This Row],[Mã khách hàng]],code_khach_hang[],3,0)</f>
        <v>Miền Bắc đặc biệt 3</v>
      </c>
      <c r="H406" t="str">
        <f>VLOOKUP(Table8[[#This Row],[Mã khách hàng]],'Khách hàng'!A:D,4,0)</f>
        <v>Food Đức Việt</v>
      </c>
      <c r="I406" t="str">
        <f>VLOOKUP(Table8[[#This Row],[Mã khách hàng]],'Khách hàng'!A:E,5,0)</f>
        <v>HN0040</v>
      </c>
    </row>
    <row r="407" spans="1:9">
      <c r="A407" s="14" t="s">
        <v>5695</v>
      </c>
      <c r="B407" s="15" t="s">
        <v>5</v>
      </c>
      <c r="C407" s="10" t="s">
        <v>5696</v>
      </c>
      <c r="D407" s="16" t="s">
        <v>1741</v>
      </c>
      <c r="E407" s="15" t="s">
        <v>11197</v>
      </c>
      <c r="F407" s="16" t="str">
        <f>VLOOKUP(Table8[[#This Row],[Mã khách hàng]],code_khach_hang[],2,0)</f>
        <v>CHI NHÁNH QUẢNG NINH - CÔNG TY CỔ PHẦN DỊCH VỤ THƯƠNG MẠI TỔNG HỢP WINCOMMERCE</v>
      </c>
      <c r="G407" s="16" t="str">
        <f>VLOOKUP(Table8[[#This Row],[Mã khách hàng]],code_khach_hang[],3,0)</f>
        <v>Miền Bắc đặc biệt 3</v>
      </c>
      <c r="H407" t="str">
        <f>VLOOKUP(Table8[[#This Row],[Mã khách hàng]],'Khách hàng'!A:D,4,0)</f>
        <v>Food Đức Việt</v>
      </c>
      <c r="I407" t="str">
        <f>VLOOKUP(Table8[[#This Row],[Mã khách hàng]],'Khách hàng'!A:E,5,0)</f>
        <v>HN0040</v>
      </c>
    </row>
    <row r="408" spans="1:9">
      <c r="A408" s="14" t="s">
        <v>5896</v>
      </c>
      <c r="B408" s="15" t="s">
        <v>5</v>
      </c>
      <c r="C408" s="10" t="s">
        <v>5897</v>
      </c>
      <c r="D408" s="16" t="s">
        <v>1744</v>
      </c>
      <c r="E408" s="15" t="s">
        <v>11197</v>
      </c>
      <c r="F408" s="16" t="str">
        <f>VLOOKUP(Table8[[#This Row],[Mã khách hàng]],code_khach_hang[],2,0)</f>
        <v>CHI NHÁNH QUẢNG NINH - CÔNG TY CỔ PHẦN DỊCH VỤ THƯƠNG MẠI TỔNG HỢP WINCOMMERCE</v>
      </c>
      <c r="G408" s="16" t="str">
        <f>VLOOKUP(Table8[[#This Row],[Mã khách hàng]],code_khach_hang[],3,0)</f>
        <v>Miền Bắc đặc biệt 3</v>
      </c>
      <c r="H408" t="str">
        <f>VLOOKUP(Table8[[#This Row],[Mã khách hàng]],'Khách hàng'!A:D,4,0)</f>
        <v>Food Đức Việt</v>
      </c>
      <c r="I408" t="str">
        <f>VLOOKUP(Table8[[#This Row],[Mã khách hàng]],'Khách hàng'!A:E,5,0)</f>
        <v>HN0040</v>
      </c>
    </row>
    <row r="409" spans="1:9">
      <c r="A409" s="14" t="s">
        <v>5983</v>
      </c>
      <c r="B409" s="15" t="s">
        <v>5</v>
      </c>
      <c r="C409" s="10" t="s">
        <v>5984</v>
      </c>
      <c r="D409" s="16" t="s">
        <v>1747</v>
      </c>
      <c r="E409" s="15" t="s">
        <v>11197</v>
      </c>
      <c r="F409" s="16" t="str">
        <f>VLOOKUP(Table8[[#This Row],[Mã khách hàng]],code_khach_hang[],2,0)</f>
        <v>CHI NHÁNH QUẢNG NINH - CÔNG TY CỔ PHẦN DỊCH VỤ THƯƠNG MẠI TỔNG HỢP WINCOMMERCE</v>
      </c>
      <c r="G409" s="16" t="str">
        <f>VLOOKUP(Table8[[#This Row],[Mã khách hàng]],code_khach_hang[],3,0)</f>
        <v>Miền Bắc đặc biệt 3</v>
      </c>
      <c r="H409" t="str">
        <f>VLOOKUP(Table8[[#This Row],[Mã khách hàng]],'Khách hàng'!A:D,4,0)</f>
        <v>Food Đức Việt</v>
      </c>
      <c r="I409" t="str">
        <f>VLOOKUP(Table8[[#This Row],[Mã khách hàng]],'Khách hàng'!A:E,5,0)</f>
        <v>HN0040</v>
      </c>
    </row>
    <row r="410" spans="1:9">
      <c r="A410" s="14" t="s">
        <v>6055</v>
      </c>
      <c r="B410" s="15" t="s">
        <v>5</v>
      </c>
      <c r="C410" s="10" t="s">
        <v>6056</v>
      </c>
      <c r="D410" s="16" t="s">
        <v>1750</v>
      </c>
      <c r="E410" s="15" t="s">
        <v>11197</v>
      </c>
      <c r="F410" s="16" t="str">
        <f>VLOOKUP(Table8[[#This Row],[Mã khách hàng]],code_khach_hang[],2,0)</f>
        <v>CHI NHÁNH QUẢNG NINH - CÔNG TY CỔ PHẦN DỊCH VỤ THƯƠNG MẠI TỔNG HỢP WINCOMMERCE</v>
      </c>
      <c r="G410" s="16" t="str">
        <f>VLOOKUP(Table8[[#This Row],[Mã khách hàng]],code_khach_hang[],3,0)</f>
        <v>Miền Bắc đặc biệt 3</v>
      </c>
      <c r="H410" t="str">
        <f>VLOOKUP(Table8[[#This Row],[Mã khách hàng]],'Khách hàng'!A:D,4,0)</f>
        <v>Food Đức Việt</v>
      </c>
      <c r="I410" t="str">
        <f>VLOOKUP(Table8[[#This Row],[Mã khách hàng]],'Khách hàng'!A:E,5,0)</f>
        <v>HN0040</v>
      </c>
    </row>
    <row r="411" spans="1:9">
      <c r="A411" s="14" t="s">
        <v>6100</v>
      </c>
      <c r="B411" s="15" t="s">
        <v>5</v>
      </c>
      <c r="C411" s="10" t="s">
        <v>6101</v>
      </c>
      <c r="D411" s="16" t="s">
        <v>1753</v>
      </c>
      <c r="E411" s="15" t="s">
        <v>11197</v>
      </c>
      <c r="F411" s="16" t="str">
        <f>VLOOKUP(Table8[[#This Row],[Mã khách hàng]],code_khach_hang[],2,0)</f>
        <v>CHI NHÁNH QUẢNG NINH - CÔNG TY CỔ PHẦN DỊCH VỤ THƯƠNG MẠI TỔNG HỢP WINCOMMERCE</v>
      </c>
      <c r="G411" s="16" t="str">
        <f>VLOOKUP(Table8[[#This Row],[Mã khách hàng]],code_khach_hang[],3,0)</f>
        <v>Miền Bắc đặc biệt 3</v>
      </c>
      <c r="H411" t="str">
        <f>VLOOKUP(Table8[[#This Row],[Mã khách hàng]],'Khách hàng'!A:D,4,0)</f>
        <v>Food Đức Việt</v>
      </c>
      <c r="I411" t="str">
        <f>VLOOKUP(Table8[[#This Row],[Mã khách hàng]],'Khách hàng'!A:E,5,0)</f>
        <v>HN0040</v>
      </c>
    </row>
    <row r="412" spans="1:9">
      <c r="A412" s="14" t="s">
        <v>6231</v>
      </c>
      <c r="B412" s="15" t="s">
        <v>5</v>
      </c>
      <c r="C412" s="10" t="s">
        <v>6232</v>
      </c>
      <c r="D412" s="16" t="s">
        <v>1756</v>
      </c>
      <c r="E412" s="15" t="s">
        <v>11197</v>
      </c>
      <c r="F412" s="16" t="str">
        <f>VLOOKUP(Table8[[#This Row],[Mã khách hàng]],code_khach_hang[],2,0)</f>
        <v>CHI NHÁNH QUẢNG NINH - CÔNG TY CỔ PHẦN DỊCH VỤ THƯƠNG MẠI TỔNG HỢP WINCOMMERCE</v>
      </c>
      <c r="G412" s="16" t="str">
        <f>VLOOKUP(Table8[[#This Row],[Mã khách hàng]],code_khach_hang[],3,0)</f>
        <v>Miền Bắc đặc biệt 3</v>
      </c>
      <c r="H412" t="str">
        <f>VLOOKUP(Table8[[#This Row],[Mã khách hàng]],'Khách hàng'!A:D,4,0)</f>
        <v>Food Đức Việt</v>
      </c>
      <c r="I412" t="str">
        <f>VLOOKUP(Table8[[#This Row],[Mã khách hàng]],'Khách hàng'!A:E,5,0)</f>
        <v>HN0040</v>
      </c>
    </row>
    <row r="413" spans="1:9">
      <c r="A413" s="14" t="s">
        <v>6294</v>
      </c>
      <c r="B413" s="15" t="s">
        <v>5</v>
      </c>
      <c r="C413" s="10" t="s">
        <v>6295</v>
      </c>
      <c r="D413" s="16" t="s">
        <v>1759</v>
      </c>
      <c r="E413" s="15" t="s">
        <v>11197</v>
      </c>
      <c r="F413" s="16" t="str">
        <f>VLOOKUP(Table8[[#This Row],[Mã khách hàng]],code_khach_hang[],2,0)</f>
        <v>CHI NHÁNH QUẢNG NINH - CÔNG TY CỔ PHẦN DỊCH VỤ THƯƠNG MẠI TỔNG HỢP WINCOMMERCE</v>
      </c>
      <c r="G413" s="16" t="str">
        <f>VLOOKUP(Table8[[#This Row],[Mã khách hàng]],code_khach_hang[],3,0)</f>
        <v>Miền Bắc đặc biệt 3</v>
      </c>
      <c r="H413" t="str">
        <f>VLOOKUP(Table8[[#This Row],[Mã khách hàng]],'Khách hàng'!A:D,4,0)</f>
        <v>Food Đức Việt</v>
      </c>
      <c r="I413" t="str">
        <f>VLOOKUP(Table8[[#This Row],[Mã khách hàng]],'Khách hàng'!A:E,5,0)</f>
        <v>HN0040</v>
      </c>
    </row>
    <row r="414" spans="1:9">
      <c r="A414" s="14" t="s">
        <v>6384</v>
      </c>
      <c r="B414" s="15" t="s">
        <v>5</v>
      </c>
      <c r="C414" s="10" t="s">
        <v>6385</v>
      </c>
      <c r="D414" s="16" t="s">
        <v>1762</v>
      </c>
      <c r="E414" s="15" t="s">
        <v>11197</v>
      </c>
      <c r="F414" s="16" t="str">
        <f>VLOOKUP(Table8[[#This Row],[Mã khách hàng]],code_khach_hang[],2,0)</f>
        <v>CHI NHÁNH QUẢNG NINH - CÔNG TY CỔ PHẦN DỊCH VỤ THƯƠNG MẠI TỔNG HỢP WINCOMMERCE</v>
      </c>
      <c r="G414" s="16" t="str">
        <f>VLOOKUP(Table8[[#This Row],[Mã khách hàng]],code_khach_hang[],3,0)</f>
        <v>Miền Bắc đặc biệt 3</v>
      </c>
      <c r="H414" t="str">
        <f>VLOOKUP(Table8[[#This Row],[Mã khách hàng]],'Khách hàng'!A:D,4,0)</f>
        <v>Food Đức Việt</v>
      </c>
      <c r="I414" t="str">
        <f>VLOOKUP(Table8[[#This Row],[Mã khách hàng]],'Khách hàng'!A:E,5,0)</f>
        <v>HN0040</v>
      </c>
    </row>
    <row r="415" spans="1:9">
      <c r="A415" s="14" t="s">
        <v>6387</v>
      </c>
      <c r="B415" s="15" t="s">
        <v>5</v>
      </c>
      <c r="C415" s="10" t="s">
        <v>6388</v>
      </c>
      <c r="D415" s="16" t="s">
        <v>1765</v>
      </c>
      <c r="E415" s="15" t="s">
        <v>11197</v>
      </c>
      <c r="F415" s="16" t="str">
        <f>VLOOKUP(Table8[[#This Row],[Mã khách hàng]],code_khach_hang[],2,0)</f>
        <v>CHI NHÁNH QUẢNG NINH - CÔNG TY CỔ PHẦN DỊCH VỤ THƯƠNG MẠI TỔNG HỢP WINCOMMERCE</v>
      </c>
      <c r="G415" s="16" t="str">
        <f>VLOOKUP(Table8[[#This Row],[Mã khách hàng]],code_khach_hang[],3,0)</f>
        <v>Miền Bắc đặc biệt 3</v>
      </c>
      <c r="H415" t="str">
        <f>VLOOKUP(Table8[[#This Row],[Mã khách hàng]],'Khách hàng'!A:D,4,0)</f>
        <v>Food Đức Việt</v>
      </c>
      <c r="I415" t="str">
        <f>VLOOKUP(Table8[[#This Row],[Mã khách hàng]],'Khách hàng'!A:E,5,0)</f>
        <v>HN0040</v>
      </c>
    </row>
    <row r="416" spans="1:9">
      <c r="A416" s="14" t="s">
        <v>6464</v>
      </c>
      <c r="B416" s="15" t="s">
        <v>5</v>
      </c>
      <c r="C416" s="10" t="s">
        <v>6465</v>
      </c>
      <c r="D416" s="16" t="s">
        <v>1768</v>
      </c>
      <c r="E416" s="15" t="s">
        <v>11197</v>
      </c>
      <c r="F416" s="16" t="str">
        <f>VLOOKUP(Table8[[#This Row],[Mã khách hàng]],code_khach_hang[],2,0)</f>
        <v>CHI NHÁNH QUẢNG NINH - CÔNG TY CỔ PHẦN DỊCH VỤ THƯƠNG MẠI TỔNG HỢP WINCOMMERCE</v>
      </c>
      <c r="G416" s="16" t="str">
        <f>VLOOKUP(Table8[[#This Row],[Mã khách hàng]],code_khach_hang[],3,0)</f>
        <v>Miền Bắc đặc biệt 3</v>
      </c>
      <c r="H416" t="str">
        <f>VLOOKUP(Table8[[#This Row],[Mã khách hàng]],'Khách hàng'!A:D,4,0)</f>
        <v>Food Đức Việt</v>
      </c>
      <c r="I416" t="str">
        <f>VLOOKUP(Table8[[#This Row],[Mã khách hàng]],'Khách hàng'!A:E,5,0)</f>
        <v>HN0040</v>
      </c>
    </row>
    <row r="417" spans="1:9">
      <c r="A417" s="14" t="s">
        <v>6467</v>
      </c>
      <c r="B417" s="15" t="s">
        <v>5</v>
      </c>
      <c r="C417" s="10" t="s">
        <v>6468</v>
      </c>
      <c r="D417" s="16" t="s">
        <v>1770</v>
      </c>
      <c r="E417" s="15" t="s">
        <v>11197</v>
      </c>
      <c r="F417" s="16" t="str">
        <f>VLOOKUP(Table8[[#This Row],[Mã khách hàng]],code_khach_hang[],2,0)</f>
        <v>CHI NHÁNH QUẢNG NINH - CÔNG TY CỔ PHẦN DỊCH VỤ THƯƠNG MẠI TỔNG HỢP WINCOMMERCE</v>
      </c>
      <c r="G417" s="16" t="str">
        <f>VLOOKUP(Table8[[#This Row],[Mã khách hàng]],code_khach_hang[],3,0)</f>
        <v>Miền Bắc đặc biệt 3</v>
      </c>
      <c r="H417" t="str">
        <f>VLOOKUP(Table8[[#This Row],[Mã khách hàng]],'Khách hàng'!A:D,4,0)</f>
        <v>Food Đức Việt</v>
      </c>
      <c r="I417" t="str">
        <f>VLOOKUP(Table8[[#This Row],[Mã khách hàng]],'Khách hàng'!A:E,5,0)</f>
        <v>HN0040</v>
      </c>
    </row>
    <row r="418" spans="1:9">
      <c r="A418" s="14" t="s">
        <v>6491</v>
      </c>
      <c r="B418" s="15" t="s">
        <v>5</v>
      </c>
      <c r="C418" s="10" t="s">
        <v>6492</v>
      </c>
      <c r="D418" s="16" t="s">
        <v>1773</v>
      </c>
      <c r="E418" s="15" t="s">
        <v>11197</v>
      </c>
      <c r="F418" s="16" t="str">
        <f>VLOOKUP(Table8[[#This Row],[Mã khách hàng]],code_khach_hang[],2,0)</f>
        <v>CHI NHÁNH QUẢNG NINH - CÔNG TY CỔ PHẦN DỊCH VỤ THƯƠNG MẠI TỔNG HỢP WINCOMMERCE</v>
      </c>
      <c r="G418" s="16" t="str">
        <f>VLOOKUP(Table8[[#This Row],[Mã khách hàng]],code_khach_hang[],3,0)</f>
        <v>Miền Bắc đặc biệt 3</v>
      </c>
      <c r="H418" t="str">
        <f>VLOOKUP(Table8[[#This Row],[Mã khách hàng]],'Khách hàng'!A:D,4,0)</f>
        <v>Food Đức Việt</v>
      </c>
      <c r="I418" t="str">
        <f>VLOOKUP(Table8[[#This Row],[Mã khách hàng]],'Khách hàng'!A:E,5,0)</f>
        <v>HN0040</v>
      </c>
    </row>
    <row r="419" spans="1:9">
      <c r="A419" s="14" t="s">
        <v>6620</v>
      </c>
      <c r="B419" s="15" t="s">
        <v>5</v>
      </c>
      <c r="C419" s="10" t="s">
        <v>6621</v>
      </c>
      <c r="D419" s="16" t="s">
        <v>1776</v>
      </c>
      <c r="E419" s="15" t="s">
        <v>11197</v>
      </c>
      <c r="F419" s="16" t="str">
        <f>VLOOKUP(Table8[[#This Row],[Mã khách hàng]],code_khach_hang[],2,0)</f>
        <v>CHI NHÁNH QUẢNG NINH - CÔNG TY CỔ PHẦN DỊCH VỤ THƯƠNG MẠI TỔNG HỢP WINCOMMERCE</v>
      </c>
      <c r="G419" s="16" t="str">
        <f>VLOOKUP(Table8[[#This Row],[Mã khách hàng]],code_khach_hang[],3,0)</f>
        <v>Miền Bắc đặc biệt 3</v>
      </c>
      <c r="H419" t="str">
        <f>VLOOKUP(Table8[[#This Row],[Mã khách hàng]],'Khách hàng'!A:D,4,0)</f>
        <v>Food Đức Việt</v>
      </c>
      <c r="I419" t="str">
        <f>VLOOKUP(Table8[[#This Row],[Mã khách hàng]],'Khách hàng'!A:E,5,0)</f>
        <v>HN0040</v>
      </c>
    </row>
    <row r="420" spans="1:9">
      <c r="A420" s="14" t="s">
        <v>6674</v>
      </c>
      <c r="B420" s="15" t="s">
        <v>5</v>
      </c>
      <c r="C420" s="10" t="s">
        <v>6675</v>
      </c>
      <c r="D420" s="16" t="s">
        <v>1779</v>
      </c>
      <c r="E420" s="15" t="s">
        <v>11197</v>
      </c>
      <c r="F420" s="16" t="str">
        <f>VLOOKUP(Table8[[#This Row],[Mã khách hàng]],code_khach_hang[],2,0)</f>
        <v>CHI NHÁNH QUẢNG NINH - CÔNG TY CỔ PHẦN DỊCH VỤ THƯƠNG MẠI TỔNG HỢP WINCOMMERCE</v>
      </c>
      <c r="G420" s="16" t="str">
        <f>VLOOKUP(Table8[[#This Row],[Mã khách hàng]],code_khach_hang[],3,0)</f>
        <v>Miền Bắc đặc biệt 3</v>
      </c>
      <c r="H420" t="str">
        <f>VLOOKUP(Table8[[#This Row],[Mã khách hàng]],'Khách hàng'!A:D,4,0)</f>
        <v>Food Đức Việt</v>
      </c>
      <c r="I420" t="str">
        <f>VLOOKUP(Table8[[#This Row],[Mã khách hàng]],'Khách hàng'!A:E,5,0)</f>
        <v>HN0040</v>
      </c>
    </row>
    <row r="421" spans="1:9">
      <c r="A421" s="14" t="s">
        <v>6827</v>
      </c>
      <c r="B421" s="15" t="s">
        <v>5</v>
      </c>
      <c r="C421" s="10" t="s">
        <v>6828</v>
      </c>
      <c r="D421" s="16" t="s">
        <v>1782</v>
      </c>
      <c r="E421" s="15" t="s">
        <v>11197</v>
      </c>
      <c r="F421" s="16" t="str">
        <f>VLOOKUP(Table8[[#This Row],[Mã khách hàng]],code_khach_hang[],2,0)</f>
        <v>CHI NHÁNH QUẢNG NINH - CÔNG TY CỔ PHẦN DỊCH VỤ THƯƠNG MẠI TỔNG HỢP WINCOMMERCE</v>
      </c>
      <c r="G421" s="16" t="str">
        <f>VLOOKUP(Table8[[#This Row],[Mã khách hàng]],code_khach_hang[],3,0)</f>
        <v>Miền Bắc đặc biệt 3</v>
      </c>
      <c r="H421" t="str">
        <f>VLOOKUP(Table8[[#This Row],[Mã khách hàng]],'Khách hàng'!A:D,4,0)</f>
        <v>Food Đức Việt</v>
      </c>
      <c r="I421" t="str">
        <f>VLOOKUP(Table8[[#This Row],[Mã khách hàng]],'Khách hàng'!A:E,5,0)</f>
        <v>HN0040</v>
      </c>
    </row>
    <row r="422" spans="1:9">
      <c r="A422" s="14" t="s">
        <v>6932</v>
      </c>
      <c r="B422" s="15" t="s">
        <v>5</v>
      </c>
      <c r="C422" s="10" t="s">
        <v>6933</v>
      </c>
      <c r="D422" s="16" t="s">
        <v>1784</v>
      </c>
      <c r="E422" s="15" t="s">
        <v>11197</v>
      </c>
      <c r="F422" s="16" t="str">
        <f>VLOOKUP(Table8[[#This Row],[Mã khách hàng]],code_khach_hang[],2,0)</f>
        <v>CHI NHÁNH QUẢNG NINH - CÔNG TY CỔ PHẦN DỊCH VỤ THƯƠNG MẠI TỔNG HỢP WINCOMMERCE</v>
      </c>
      <c r="G422" s="16" t="str">
        <f>VLOOKUP(Table8[[#This Row],[Mã khách hàng]],code_khach_hang[],3,0)</f>
        <v>Miền Bắc đặc biệt 3</v>
      </c>
      <c r="H422" t="str">
        <f>VLOOKUP(Table8[[#This Row],[Mã khách hàng]],'Khách hàng'!A:D,4,0)</f>
        <v>Food Đức Việt</v>
      </c>
      <c r="I422" t="str">
        <f>VLOOKUP(Table8[[#This Row],[Mã khách hàng]],'Khách hàng'!A:E,5,0)</f>
        <v>HN0040</v>
      </c>
    </row>
    <row r="423" spans="1:9">
      <c r="A423" s="14" t="s">
        <v>7208</v>
      </c>
      <c r="B423" s="15" t="s">
        <v>5</v>
      </c>
      <c r="C423" s="10" t="s">
        <v>7209</v>
      </c>
      <c r="D423" s="16" t="s">
        <v>1787</v>
      </c>
      <c r="E423" s="15" t="s">
        <v>11197</v>
      </c>
      <c r="F423" s="16" t="str">
        <f>VLOOKUP(Table8[[#This Row],[Mã khách hàng]],code_khach_hang[],2,0)</f>
        <v>CHI NHÁNH QUẢNG NINH - CÔNG TY CỔ PHẦN DỊCH VỤ THƯƠNG MẠI TỔNG HỢP WINCOMMERCE</v>
      </c>
      <c r="G423" s="16" t="str">
        <f>VLOOKUP(Table8[[#This Row],[Mã khách hàng]],code_khach_hang[],3,0)</f>
        <v>Miền Bắc đặc biệt 3</v>
      </c>
      <c r="H423" t="str">
        <f>VLOOKUP(Table8[[#This Row],[Mã khách hàng]],'Khách hàng'!A:D,4,0)</f>
        <v>Food Đức Việt</v>
      </c>
      <c r="I423" t="str">
        <f>VLOOKUP(Table8[[#This Row],[Mã khách hàng]],'Khách hàng'!A:E,5,0)</f>
        <v>HN0040</v>
      </c>
    </row>
    <row r="424" spans="1:9">
      <c r="A424" s="14" t="s">
        <v>7265</v>
      </c>
      <c r="B424" s="15" t="s">
        <v>5</v>
      </c>
      <c r="C424" s="10" t="s">
        <v>7266</v>
      </c>
      <c r="D424" s="16" t="s">
        <v>1790</v>
      </c>
      <c r="E424" s="15" t="s">
        <v>11197</v>
      </c>
      <c r="F424" s="16" t="str">
        <f>VLOOKUP(Table8[[#This Row],[Mã khách hàng]],code_khach_hang[],2,0)</f>
        <v>CHI NHÁNH QUẢNG NINH - CÔNG TY CỔ PHẦN DỊCH VỤ THƯƠNG MẠI TỔNG HỢP WINCOMMERCE</v>
      </c>
      <c r="G424" s="16" t="str">
        <f>VLOOKUP(Table8[[#This Row],[Mã khách hàng]],code_khach_hang[],3,0)</f>
        <v>Miền Bắc đặc biệt 3</v>
      </c>
      <c r="H424" t="str">
        <f>VLOOKUP(Table8[[#This Row],[Mã khách hàng]],'Khách hàng'!A:D,4,0)</f>
        <v>Food Đức Việt</v>
      </c>
      <c r="I424" t="str">
        <f>VLOOKUP(Table8[[#This Row],[Mã khách hàng]],'Khách hàng'!A:E,5,0)</f>
        <v>HN0040</v>
      </c>
    </row>
    <row r="425" spans="1:9">
      <c r="A425" s="14" t="s">
        <v>4131</v>
      </c>
      <c r="B425" s="15" t="s">
        <v>5</v>
      </c>
      <c r="C425" s="10" t="s">
        <v>4132</v>
      </c>
      <c r="D425" s="16" t="s">
        <v>1793</v>
      </c>
      <c r="E425" s="15" t="s">
        <v>11197</v>
      </c>
      <c r="F425" s="16" t="str">
        <f>VLOOKUP(Table8[[#This Row],[Mã khách hàng]],code_khach_hang[],2,0)</f>
        <v>CHI NHÁNH QUẢNG NINH - CÔNG TY CỔ PHẦN DỊCH VỤ THƯƠNG MẠI TỔNG HỢP WINCOMMERCE</v>
      </c>
      <c r="G425" s="16" t="str">
        <f>VLOOKUP(Table8[[#This Row],[Mã khách hàng]],code_khach_hang[],3,0)</f>
        <v>Miền Bắc đặc biệt 3</v>
      </c>
      <c r="H425" t="str">
        <f>VLOOKUP(Table8[[#This Row],[Mã khách hàng]],'Khách hàng'!A:D,4,0)</f>
        <v>Food Đức Việt</v>
      </c>
      <c r="I425" t="str">
        <f>VLOOKUP(Table8[[#This Row],[Mã khách hàng]],'Khách hàng'!A:E,5,0)</f>
        <v>HN0040</v>
      </c>
    </row>
    <row r="426" spans="1:9">
      <c r="A426" s="14" t="s">
        <v>4155</v>
      </c>
      <c r="B426" s="15" t="s">
        <v>5</v>
      </c>
      <c r="C426" s="10" t="s">
        <v>4156</v>
      </c>
      <c r="D426" s="16" t="s">
        <v>1796</v>
      </c>
      <c r="E426" s="15" t="s">
        <v>11197</v>
      </c>
      <c r="F426" s="16" t="str">
        <f>VLOOKUP(Table8[[#This Row],[Mã khách hàng]],code_khach_hang[],2,0)</f>
        <v>CHI NHÁNH QUẢNG NINH - CÔNG TY CỔ PHẦN DỊCH VỤ THƯƠNG MẠI TỔNG HỢP WINCOMMERCE</v>
      </c>
      <c r="G426" s="16" t="str">
        <f>VLOOKUP(Table8[[#This Row],[Mã khách hàng]],code_khach_hang[],3,0)</f>
        <v>Miền Bắc đặc biệt 3</v>
      </c>
      <c r="H426" t="str">
        <f>VLOOKUP(Table8[[#This Row],[Mã khách hàng]],'Khách hàng'!A:D,4,0)</f>
        <v>Food Đức Việt</v>
      </c>
      <c r="I426" t="str">
        <f>VLOOKUP(Table8[[#This Row],[Mã khách hàng]],'Khách hàng'!A:E,5,0)</f>
        <v>HN0040</v>
      </c>
    </row>
    <row r="427" spans="1:9">
      <c r="A427" s="14" t="s">
        <v>4257</v>
      </c>
      <c r="B427" s="15" t="s">
        <v>5</v>
      </c>
      <c r="C427" s="10" t="s">
        <v>4258</v>
      </c>
      <c r="D427" s="16" t="s">
        <v>1799</v>
      </c>
      <c r="E427" s="15" t="s">
        <v>11197</v>
      </c>
      <c r="F427" s="16" t="str">
        <f>VLOOKUP(Table8[[#This Row],[Mã khách hàng]],code_khach_hang[],2,0)</f>
        <v>CHI NHÁNH QUẢNG NINH - CÔNG TY CỔ PHẦN DỊCH VỤ THƯƠNG MẠI TỔNG HỢP WINCOMMERCE</v>
      </c>
      <c r="G427" s="16" t="str">
        <f>VLOOKUP(Table8[[#This Row],[Mã khách hàng]],code_khach_hang[],3,0)</f>
        <v>Miền Bắc đặc biệt 3</v>
      </c>
      <c r="H427" t="str">
        <f>VLOOKUP(Table8[[#This Row],[Mã khách hàng]],'Khách hàng'!A:D,4,0)</f>
        <v>Food Đức Việt</v>
      </c>
      <c r="I427" t="str">
        <f>VLOOKUP(Table8[[#This Row],[Mã khách hàng]],'Khách hàng'!A:E,5,0)</f>
        <v>HN0040</v>
      </c>
    </row>
    <row r="428" spans="1:9">
      <c r="A428" s="14" t="s">
        <v>4308</v>
      </c>
      <c r="B428" s="15" t="s">
        <v>5</v>
      </c>
      <c r="C428" s="10" t="s">
        <v>4309</v>
      </c>
      <c r="D428" s="16" t="s">
        <v>1802</v>
      </c>
      <c r="E428" s="15" t="s">
        <v>11197</v>
      </c>
      <c r="F428" s="16" t="str">
        <f>VLOOKUP(Table8[[#This Row],[Mã khách hàng]],code_khach_hang[],2,0)</f>
        <v>CHI NHÁNH QUẢNG NINH - CÔNG TY CỔ PHẦN DỊCH VỤ THƯƠNG MẠI TỔNG HỢP WINCOMMERCE</v>
      </c>
      <c r="G428" s="16" t="str">
        <f>VLOOKUP(Table8[[#This Row],[Mã khách hàng]],code_khach_hang[],3,0)</f>
        <v>Miền Bắc đặc biệt 3</v>
      </c>
      <c r="H428" t="str">
        <f>VLOOKUP(Table8[[#This Row],[Mã khách hàng]],'Khách hàng'!A:D,4,0)</f>
        <v>Food Đức Việt</v>
      </c>
      <c r="I428" t="str">
        <f>VLOOKUP(Table8[[#This Row],[Mã khách hàng]],'Khách hàng'!A:E,5,0)</f>
        <v>HN0040</v>
      </c>
    </row>
    <row r="429" spans="1:9">
      <c r="A429" s="14" t="s">
        <v>4395</v>
      </c>
      <c r="B429" s="15" t="s">
        <v>5</v>
      </c>
      <c r="C429" s="10" t="s">
        <v>4396</v>
      </c>
      <c r="D429" s="16" t="s">
        <v>1805</v>
      </c>
      <c r="E429" s="15" t="s">
        <v>11197</v>
      </c>
      <c r="F429" s="16" t="str">
        <f>VLOOKUP(Table8[[#This Row],[Mã khách hàng]],code_khach_hang[],2,0)</f>
        <v>CHI NHÁNH QUẢNG NINH - CÔNG TY CỔ PHẦN DỊCH VỤ THƯƠNG MẠI TỔNG HỢP WINCOMMERCE</v>
      </c>
      <c r="G429" s="16" t="str">
        <f>VLOOKUP(Table8[[#This Row],[Mã khách hàng]],code_khach_hang[],3,0)</f>
        <v>Miền Bắc đặc biệt 3</v>
      </c>
      <c r="H429" t="str">
        <f>VLOOKUP(Table8[[#This Row],[Mã khách hàng]],'Khách hàng'!A:D,4,0)</f>
        <v>Food Đức Việt</v>
      </c>
      <c r="I429" t="str">
        <f>VLOOKUP(Table8[[#This Row],[Mã khách hàng]],'Khách hàng'!A:E,5,0)</f>
        <v>HN0040</v>
      </c>
    </row>
    <row r="430" spans="1:9">
      <c r="A430" s="14" t="s">
        <v>4422</v>
      </c>
      <c r="B430" s="15" t="s">
        <v>5</v>
      </c>
      <c r="C430" s="10" t="s">
        <v>4423</v>
      </c>
      <c r="D430" s="16" t="s">
        <v>1807</v>
      </c>
      <c r="E430" s="15" t="s">
        <v>11197</v>
      </c>
      <c r="F430" s="16" t="str">
        <f>VLOOKUP(Table8[[#This Row],[Mã khách hàng]],code_khach_hang[],2,0)</f>
        <v>CHI NHÁNH QUẢNG NINH - CÔNG TY CỔ PHẦN DỊCH VỤ THƯƠNG MẠI TỔNG HỢP WINCOMMERCE</v>
      </c>
      <c r="G430" s="16" t="str">
        <f>VLOOKUP(Table8[[#This Row],[Mã khách hàng]],code_khach_hang[],3,0)</f>
        <v>Miền Bắc đặc biệt 3</v>
      </c>
      <c r="H430" t="str">
        <f>VLOOKUP(Table8[[#This Row],[Mã khách hàng]],'Khách hàng'!A:D,4,0)</f>
        <v>Food Đức Việt</v>
      </c>
      <c r="I430" t="str">
        <f>VLOOKUP(Table8[[#This Row],[Mã khách hàng]],'Khách hàng'!A:E,5,0)</f>
        <v>HN0040</v>
      </c>
    </row>
    <row r="431" spans="1:9">
      <c r="A431" s="14" t="s">
        <v>4434</v>
      </c>
      <c r="B431" s="15" t="s">
        <v>5</v>
      </c>
      <c r="C431" s="10" t="s">
        <v>4435</v>
      </c>
      <c r="D431" s="16" t="s">
        <v>1810</v>
      </c>
      <c r="E431" s="15" t="s">
        <v>11197</v>
      </c>
      <c r="F431" s="16" t="str">
        <f>VLOOKUP(Table8[[#This Row],[Mã khách hàng]],code_khach_hang[],2,0)</f>
        <v>CHI NHÁNH QUẢNG NINH - CÔNG TY CỔ PHẦN DỊCH VỤ THƯƠNG MẠI TỔNG HỢP WINCOMMERCE</v>
      </c>
      <c r="G431" s="16" t="str">
        <f>VLOOKUP(Table8[[#This Row],[Mã khách hàng]],code_khach_hang[],3,0)</f>
        <v>Miền Bắc đặc biệt 3</v>
      </c>
      <c r="H431" t="str">
        <f>VLOOKUP(Table8[[#This Row],[Mã khách hàng]],'Khách hàng'!A:D,4,0)</f>
        <v>Food Đức Việt</v>
      </c>
      <c r="I431" t="str">
        <f>VLOOKUP(Table8[[#This Row],[Mã khách hàng]],'Khách hàng'!A:E,5,0)</f>
        <v>HN0040</v>
      </c>
    </row>
    <row r="432" spans="1:9">
      <c r="A432" s="14" t="s">
        <v>4479</v>
      </c>
      <c r="B432" s="15" t="s">
        <v>5</v>
      </c>
      <c r="C432" s="10" t="s">
        <v>4480</v>
      </c>
      <c r="D432" s="16" t="s">
        <v>1813</v>
      </c>
      <c r="E432" s="15" t="s">
        <v>11197</v>
      </c>
      <c r="F432" s="16" t="str">
        <f>VLOOKUP(Table8[[#This Row],[Mã khách hàng]],code_khach_hang[],2,0)</f>
        <v>CHI NHÁNH QUẢNG NINH - CÔNG TY CỔ PHẦN DỊCH VỤ THƯƠNG MẠI TỔNG HỢP WINCOMMERCE</v>
      </c>
      <c r="G432" s="16" t="str">
        <f>VLOOKUP(Table8[[#This Row],[Mã khách hàng]],code_khach_hang[],3,0)</f>
        <v>Miền Bắc đặc biệt 3</v>
      </c>
      <c r="H432" t="str">
        <f>VLOOKUP(Table8[[#This Row],[Mã khách hàng]],'Khách hàng'!A:D,4,0)</f>
        <v>Food Đức Việt</v>
      </c>
      <c r="I432" t="str">
        <f>VLOOKUP(Table8[[#This Row],[Mã khách hàng]],'Khách hàng'!A:E,5,0)</f>
        <v>HN0040</v>
      </c>
    </row>
    <row r="433" spans="1:9">
      <c r="A433" s="14" t="s">
        <v>4596</v>
      </c>
      <c r="B433" s="15" t="s">
        <v>5</v>
      </c>
      <c r="C433" s="10" t="s">
        <v>4597</v>
      </c>
      <c r="D433" s="16" t="s">
        <v>1816</v>
      </c>
      <c r="E433" s="15" t="s">
        <v>11197</v>
      </c>
      <c r="F433" s="16" t="str">
        <f>VLOOKUP(Table8[[#This Row],[Mã khách hàng]],code_khach_hang[],2,0)</f>
        <v>CHI NHÁNH QUẢNG NINH - CÔNG TY CỔ PHẦN DỊCH VỤ THƯƠNG MẠI TỔNG HỢP WINCOMMERCE</v>
      </c>
      <c r="G433" s="16" t="str">
        <f>VLOOKUP(Table8[[#This Row],[Mã khách hàng]],code_khach_hang[],3,0)</f>
        <v>Miền Bắc đặc biệt 3</v>
      </c>
      <c r="H433" t="str">
        <f>VLOOKUP(Table8[[#This Row],[Mã khách hàng]],'Khách hàng'!A:D,4,0)</f>
        <v>Food Đức Việt</v>
      </c>
      <c r="I433" t="str">
        <f>VLOOKUP(Table8[[#This Row],[Mã khách hàng]],'Khách hàng'!A:E,5,0)</f>
        <v>HN0040</v>
      </c>
    </row>
    <row r="434" spans="1:9">
      <c r="A434" s="14" t="s">
        <v>4755</v>
      </c>
      <c r="B434" s="15" t="s">
        <v>5</v>
      </c>
      <c r="C434" s="10" t="s">
        <v>4756</v>
      </c>
      <c r="D434" s="16" t="s">
        <v>1819</v>
      </c>
      <c r="E434" s="15" t="s">
        <v>11197</v>
      </c>
      <c r="F434" s="16" t="str">
        <f>VLOOKUP(Table8[[#This Row],[Mã khách hàng]],code_khach_hang[],2,0)</f>
        <v>CHI NHÁNH QUẢNG NINH - CÔNG TY CỔ PHẦN DỊCH VỤ THƯƠNG MẠI TỔNG HỢP WINCOMMERCE</v>
      </c>
      <c r="G434" s="16" t="str">
        <f>VLOOKUP(Table8[[#This Row],[Mã khách hàng]],code_khach_hang[],3,0)</f>
        <v>Miền Bắc đặc biệt 3</v>
      </c>
      <c r="H434" t="str">
        <f>VLOOKUP(Table8[[#This Row],[Mã khách hàng]],'Khách hàng'!A:D,4,0)</f>
        <v>Food Đức Việt</v>
      </c>
      <c r="I434" t="str">
        <f>VLOOKUP(Table8[[#This Row],[Mã khách hàng]],'Khách hàng'!A:E,5,0)</f>
        <v>HN0040</v>
      </c>
    </row>
    <row r="435" spans="1:9">
      <c r="A435" s="14" t="s">
        <v>4800</v>
      </c>
      <c r="B435" s="15" t="s">
        <v>5</v>
      </c>
      <c r="C435" s="10" t="s">
        <v>4801</v>
      </c>
      <c r="D435" s="16" t="s">
        <v>1822</v>
      </c>
      <c r="E435" s="15" t="s">
        <v>11197</v>
      </c>
      <c r="F435" s="16" t="str">
        <f>VLOOKUP(Table8[[#This Row],[Mã khách hàng]],code_khach_hang[],2,0)</f>
        <v>CHI NHÁNH QUẢNG NINH - CÔNG TY CỔ PHẦN DỊCH VỤ THƯƠNG MẠI TỔNG HỢP WINCOMMERCE</v>
      </c>
      <c r="G435" s="16" t="str">
        <f>VLOOKUP(Table8[[#This Row],[Mã khách hàng]],code_khach_hang[],3,0)</f>
        <v>Miền Bắc đặc biệt 3</v>
      </c>
      <c r="H435" t="str">
        <f>VLOOKUP(Table8[[#This Row],[Mã khách hàng]],'Khách hàng'!A:D,4,0)</f>
        <v>Food Đức Việt</v>
      </c>
      <c r="I435" t="str">
        <f>VLOOKUP(Table8[[#This Row],[Mã khách hàng]],'Khách hàng'!A:E,5,0)</f>
        <v>HN0040</v>
      </c>
    </row>
    <row r="436" spans="1:9">
      <c r="A436" s="14" t="s">
        <v>4821</v>
      </c>
      <c r="B436" s="15" t="s">
        <v>5</v>
      </c>
      <c r="C436" s="10" t="s">
        <v>4822</v>
      </c>
      <c r="D436" s="16" t="s">
        <v>1825</v>
      </c>
      <c r="E436" s="15" t="s">
        <v>11197</v>
      </c>
      <c r="F436" s="16" t="str">
        <f>VLOOKUP(Table8[[#This Row],[Mã khách hàng]],code_khach_hang[],2,0)</f>
        <v>CHI NHÁNH QUẢNG NINH - CÔNG TY CỔ PHẦN DỊCH VỤ THƯƠNG MẠI TỔNG HỢP WINCOMMERCE</v>
      </c>
      <c r="G436" s="16" t="str">
        <f>VLOOKUP(Table8[[#This Row],[Mã khách hàng]],code_khach_hang[],3,0)</f>
        <v>Miền Bắc đặc biệt 3</v>
      </c>
      <c r="H436" t="str">
        <f>VLOOKUP(Table8[[#This Row],[Mã khách hàng]],'Khách hàng'!A:D,4,0)</f>
        <v>Food Đức Việt</v>
      </c>
      <c r="I436" t="str">
        <f>VLOOKUP(Table8[[#This Row],[Mã khách hàng]],'Khách hàng'!A:E,5,0)</f>
        <v>HN0040</v>
      </c>
    </row>
    <row r="437" spans="1:9">
      <c r="A437" s="14" t="s">
        <v>4830</v>
      </c>
      <c r="B437" s="15" t="s">
        <v>5</v>
      </c>
      <c r="C437" s="10" t="s">
        <v>4831</v>
      </c>
      <c r="D437" s="16" t="s">
        <v>1828</v>
      </c>
      <c r="E437" s="15" t="s">
        <v>11197</v>
      </c>
      <c r="F437" s="16" t="str">
        <f>VLOOKUP(Table8[[#This Row],[Mã khách hàng]],code_khach_hang[],2,0)</f>
        <v>CHI NHÁNH QUẢNG NINH - CÔNG TY CỔ PHẦN DỊCH VỤ THƯƠNG MẠI TỔNG HỢP WINCOMMERCE</v>
      </c>
      <c r="G437" s="16" t="str">
        <f>VLOOKUP(Table8[[#This Row],[Mã khách hàng]],code_khach_hang[],3,0)</f>
        <v>Miền Bắc đặc biệt 3</v>
      </c>
      <c r="H437" t="str">
        <f>VLOOKUP(Table8[[#This Row],[Mã khách hàng]],'Khách hàng'!A:D,4,0)</f>
        <v>Food Đức Việt</v>
      </c>
      <c r="I437" t="str">
        <f>VLOOKUP(Table8[[#This Row],[Mã khách hàng]],'Khách hàng'!A:E,5,0)</f>
        <v>HN0040</v>
      </c>
    </row>
    <row r="438" spans="1:9">
      <c r="A438" s="14" t="s">
        <v>4851</v>
      </c>
      <c r="B438" s="15" t="s">
        <v>5</v>
      </c>
      <c r="C438" s="10" t="s">
        <v>4852</v>
      </c>
      <c r="D438" s="16" t="s">
        <v>1831</v>
      </c>
      <c r="E438" s="15" t="s">
        <v>11197</v>
      </c>
      <c r="F438" s="16" t="str">
        <f>VLOOKUP(Table8[[#This Row],[Mã khách hàng]],code_khach_hang[],2,0)</f>
        <v>CHI NHÁNH QUẢNG NINH - CÔNG TY CỔ PHẦN DỊCH VỤ THƯƠNG MẠI TỔNG HỢP WINCOMMERCE</v>
      </c>
      <c r="G438" s="16" t="str">
        <f>VLOOKUP(Table8[[#This Row],[Mã khách hàng]],code_khach_hang[],3,0)</f>
        <v>Miền Bắc đặc biệt 3</v>
      </c>
      <c r="H438" t="str">
        <f>VLOOKUP(Table8[[#This Row],[Mã khách hàng]],'Khách hàng'!A:D,4,0)</f>
        <v>Food Đức Việt</v>
      </c>
      <c r="I438" t="str">
        <f>VLOOKUP(Table8[[#This Row],[Mã khách hàng]],'Khách hàng'!A:E,5,0)</f>
        <v>HN0040</v>
      </c>
    </row>
    <row r="439" spans="1:9">
      <c r="A439" s="14" t="s">
        <v>4854</v>
      </c>
      <c r="B439" s="15" t="s">
        <v>5</v>
      </c>
      <c r="C439" s="10" t="s">
        <v>4855</v>
      </c>
      <c r="D439" s="16" t="s">
        <v>1834</v>
      </c>
      <c r="E439" s="15" t="s">
        <v>11197</v>
      </c>
      <c r="F439" s="16" t="str">
        <f>VLOOKUP(Table8[[#This Row],[Mã khách hàng]],code_khach_hang[],2,0)</f>
        <v>CHI NHÁNH QUẢNG NINH - CÔNG TY CỔ PHẦN DỊCH VỤ THƯƠNG MẠI TỔNG HỢP WINCOMMERCE</v>
      </c>
      <c r="G439" s="16" t="str">
        <f>VLOOKUP(Table8[[#This Row],[Mã khách hàng]],code_khach_hang[],3,0)</f>
        <v>Miền Bắc đặc biệt 3</v>
      </c>
      <c r="H439" t="str">
        <f>VLOOKUP(Table8[[#This Row],[Mã khách hàng]],'Khách hàng'!A:D,4,0)</f>
        <v>Food Đức Việt</v>
      </c>
      <c r="I439" t="str">
        <f>VLOOKUP(Table8[[#This Row],[Mã khách hàng]],'Khách hàng'!A:E,5,0)</f>
        <v>HN0040</v>
      </c>
    </row>
    <row r="440" spans="1:9">
      <c r="A440" s="14" t="s">
        <v>4872</v>
      </c>
      <c r="B440" s="15" t="s">
        <v>5</v>
      </c>
      <c r="C440" s="10" t="s">
        <v>4873</v>
      </c>
      <c r="D440" s="16" t="s">
        <v>1837</v>
      </c>
      <c r="E440" s="15" t="s">
        <v>11197</v>
      </c>
      <c r="F440" s="16" t="str">
        <f>VLOOKUP(Table8[[#This Row],[Mã khách hàng]],code_khach_hang[],2,0)</f>
        <v>CHI NHÁNH QUẢNG NINH - CÔNG TY CỔ PHẦN DỊCH VỤ THƯƠNG MẠI TỔNG HỢP WINCOMMERCE</v>
      </c>
      <c r="G440" s="16" t="str">
        <f>VLOOKUP(Table8[[#This Row],[Mã khách hàng]],code_khach_hang[],3,0)</f>
        <v>Miền Bắc đặc biệt 3</v>
      </c>
      <c r="H440" t="str">
        <f>VLOOKUP(Table8[[#This Row],[Mã khách hàng]],'Khách hàng'!A:D,4,0)</f>
        <v>Food Đức Việt</v>
      </c>
      <c r="I440" t="str">
        <f>VLOOKUP(Table8[[#This Row],[Mã khách hàng]],'Khách hàng'!A:E,5,0)</f>
        <v>HN0040</v>
      </c>
    </row>
    <row r="441" spans="1:9">
      <c r="A441" s="14" t="s">
        <v>4881</v>
      </c>
      <c r="B441" s="15" t="s">
        <v>5</v>
      </c>
      <c r="C441" s="10" t="s">
        <v>4882</v>
      </c>
      <c r="D441" s="16" t="s">
        <v>1840</v>
      </c>
      <c r="E441" s="15" t="s">
        <v>11197</v>
      </c>
      <c r="F441" s="16" t="str">
        <f>VLOOKUP(Table8[[#This Row],[Mã khách hàng]],code_khach_hang[],2,0)</f>
        <v>CHI NHÁNH QUẢNG NINH - CÔNG TY CỔ PHẦN DỊCH VỤ THƯƠNG MẠI TỔNG HỢP WINCOMMERCE</v>
      </c>
      <c r="G441" s="16" t="str">
        <f>VLOOKUP(Table8[[#This Row],[Mã khách hàng]],code_khach_hang[],3,0)</f>
        <v>Miền Bắc đặc biệt 3</v>
      </c>
      <c r="H441" t="str">
        <f>VLOOKUP(Table8[[#This Row],[Mã khách hàng]],'Khách hàng'!A:D,4,0)</f>
        <v>Food Đức Việt</v>
      </c>
      <c r="I441" t="str">
        <f>VLOOKUP(Table8[[#This Row],[Mã khách hàng]],'Khách hàng'!A:E,5,0)</f>
        <v>HN0040</v>
      </c>
    </row>
    <row r="442" spans="1:9">
      <c r="A442" s="14" t="s">
        <v>4893</v>
      </c>
      <c r="B442" s="15" t="s">
        <v>5</v>
      </c>
      <c r="C442" s="10" t="s">
        <v>4894</v>
      </c>
      <c r="D442" s="16" t="s">
        <v>1843</v>
      </c>
      <c r="E442" s="15" t="s">
        <v>11197</v>
      </c>
      <c r="F442" s="16" t="str">
        <f>VLOOKUP(Table8[[#This Row],[Mã khách hàng]],code_khach_hang[],2,0)</f>
        <v>CHI NHÁNH QUẢNG NINH - CÔNG TY CỔ PHẦN DỊCH VỤ THƯƠNG MẠI TỔNG HỢP WINCOMMERCE</v>
      </c>
      <c r="G442" s="16" t="str">
        <f>VLOOKUP(Table8[[#This Row],[Mã khách hàng]],code_khach_hang[],3,0)</f>
        <v>Miền Bắc đặc biệt 3</v>
      </c>
      <c r="H442" t="str">
        <f>VLOOKUP(Table8[[#This Row],[Mã khách hàng]],'Khách hàng'!A:D,4,0)</f>
        <v>Food Đức Việt</v>
      </c>
      <c r="I442" t="str">
        <f>VLOOKUP(Table8[[#This Row],[Mã khách hàng]],'Khách hàng'!A:E,5,0)</f>
        <v>HN0040</v>
      </c>
    </row>
    <row r="443" spans="1:9">
      <c r="A443" s="14" t="s">
        <v>5088</v>
      </c>
      <c r="B443" s="15" t="s">
        <v>5</v>
      </c>
      <c r="C443" s="10" t="s">
        <v>5089</v>
      </c>
      <c r="D443" s="16" t="s">
        <v>1846</v>
      </c>
      <c r="E443" s="15" t="s">
        <v>11197</v>
      </c>
      <c r="F443" s="16" t="str">
        <f>VLOOKUP(Table8[[#This Row],[Mã khách hàng]],code_khach_hang[],2,0)</f>
        <v>CHI NHÁNH QUẢNG NINH - CÔNG TY CỔ PHẦN DỊCH VỤ THƯƠNG MẠI TỔNG HỢP WINCOMMERCE</v>
      </c>
      <c r="G443" s="16" t="str">
        <f>VLOOKUP(Table8[[#This Row],[Mã khách hàng]],code_khach_hang[],3,0)</f>
        <v>Miền Bắc đặc biệt 3</v>
      </c>
      <c r="H443" t="str">
        <f>VLOOKUP(Table8[[#This Row],[Mã khách hàng]],'Khách hàng'!A:D,4,0)</f>
        <v>Food Đức Việt</v>
      </c>
      <c r="I443" t="str">
        <f>VLOOKUP(Table8[[#This Row],[Mã khách hàng]],'Khách hàng'!A:E,5,0)</f>
        <v>HN0040</v>
      </c>
    </row>
    <row r="444" spans="1:9">
      <c r="A444" s="14" t="s">
        <v>5142</v>
      </c>
      <c r="B444" s="15" t="s">
        <v>5</v>
      </c>
      <c r="C444" s="10" t="s">
        <v>5143</v>
      </c>
      <c r="D444" s="16" t="s">
        <v>1849</v>
      </c>
      <c r="E444" s="15" t="s">
        <v>11197</v>
      </c>
      <c r="F444" s="16" t="str">
        <f>VLOOKUP(Table8[[#This Row],[Mã khách hàng]],code_khach_hang[],2,0)</f>
        <v>CHI NHÁNH QUẢNG NINH - CÔNG TY CỔ PHẦN DỊCH VỤ THƯƠNG MẠI TỔNG HỢP WINCOMMERCE</v>
      </c>
      <c r="G444" s="16" t="str">
        <f>VLOOKUP(Table8[[#This Row],[Mã khách hàng]],code_khach_hang[],3,0)</f>
        <v>Miền Bắc đặc biệt 3</v>
      </c>
      <c r="H444" t="str">
        <f>VLOOKUP(Table8[[#This Row],[Mã khách hàng]],'Khách hàng'!A:D,4,0)</f>
        <v>Food Đức Việt</v>
      </c>
      <c r="I444" t="str">
        <f>VLOOKUP(Table8[[#This Row],[Mã khách hàng]],'Khách hàng'!A:E,5,0)</f>
        <v>HN0040</v>
      </c>
    </row>
    <row r="445" spans="1:9">
      <c r="A445" s="14" t="s">
        <v>5148</v>
      </c>
      <c r="B445" s="15" t="s">
        <v>5</v>
      </c>
      <c r="C445" s="10" t="s">
        <v>5149</v>
      </c>
      <c r="D445" s="16" t="s">
        <v>1852</v>
      </c>
      <c r="E445" s="15" t="s">
        <v>11197</v>
      </c>
      <c r="F445" s="16" t="str">
        <f>VLOOKUP(Table8[[#This Row],[Mã khách hàng]],code_khach_hang[],2,0)</f>
        <v>CHI NHÁNH QUẢNG NINH - CÔNG TY CỔ PHẦN DỊCH VỤ THƯƠNG MẠI TỔNG HỢP WINCOMMERCE</v>
      </c>
      <c r="G445" s="16" t="str">
        <f>VLOOKUP(Table8[[#This Row],[Mã khách hàng]],code_khach_hang[],3,0)</f>
        <v>Miền Bắc đặc biệt 3</v>
      </c>
      <c r="H445" t="str">
        <f>VLOOKUP(Table8[[#This Row],[Mã khách hàng]],'Khách hàng'!A:D,4,0)</f>
        <v>Food Đức Việt</v>
      </c>
      <c r="I445" t="str">
        <f>VLOOKUP(Table8[[#This Row],[Mã khách hàng]],'Khách hàng'!A:E,5,0)</f>
        <v>HN0040</v>
      </c>
    </row>
    <row r="446" spans="1:9">
      <c r="A446" s="14" t="s">
        <v>5265</v>
      </c>
      <c r="B446" s="15" t="s">
        <v>5</v>
      </c>
      <c r="C446" s="10" t="s">
        <v>5266</v>
      </c>
      <c r="D446" s="16" t="s">
        <v>1854</v>
      </c>
      <c r="E446" s="15" t="s">
        <v>11197</v>
      </c>
      <c r="F446" s="16" t="str">
        <f>VLOOKUP(Table8[[#This Row],[Mã khách hàng]],code_khach_hang[],2,0)</f>
        <v>CHI NHÁNH QUẢNG NINH - CÔNG TY CỔ PHẦN DỊCH VỤ THƯƠNG MẠI TỔNG HỢP WINCOMMERCE</v>
      </c>
      <c r="G446" s="16" t="str">
        <f>VLOOKUP(Table8[[#This Row],[Mã khách hàng]],code_khach_hang[],3,0)</f>
        <v>Miền Bắc đặc biệt 3</v>
      </c>
      <c r="H446" t="str">
        <f>VLOOKUP(Table8[[#This Row],[Mã khách hàng]],'Khách hàng'!A:D,4,0)</f>
        <v>Food Đức Việt</v>
      </c>
      <c r="I446" t="str">
        <f>VLOOKUP(Table8[[#This Row],[Mã khách hàng]],'Khách hàng'!A:E,5,0)</f>
        <v>HN0040</v>
      </c>
    </row>
    <row r="447" spans="1:9">
      <c r="A447" s="14" t="s">
        <v>5313</v>
      </c>
      <c r="B447" s="15" t="s">
        <v>5</v>
      </c>
      <c r="C447" s="10" t="s">
        <v>5314</v>
      </c>
      <c r="D447" s="16" t="s">
        <v>1857</v>
      </c>
      <c r="E447" s="15" t="s">
        <v>11197</v>
      </c>
      <c r="F447" s="16" t="str">
        <f>VLOOKUP(Table8[[#This Row],[Mã khách hàng]],code_khach_hang[],2,0)</f>
        <v>CHI NHÁNH QUẢNG NINH - CÔNG TY CỔ PHẦN DỊCH VỤ THƯƠNG MẠI TỔNG HỢP WINCOMMERCE</v>
      </c>
      <c r="G447" s="16" t="str">
        <f>VLOOKUP(Table8[[#This Row],[Mã khách hàng]],code_khach_hang[],3,0)</f>
        <v>Miền Bắc đặc biệt 3</v>
      </c>
      <c r="H447" t="str">
        <f>VLOOKUP(Table8[[#This Row],[Mã khách hàng]],'Khách hàng'!A:D,4,0)</f>
        <v>Food Đức Việt</v>
      </c>
      <c r="I447" t="str">
        <f>VLOOKUP(Table8[[#This Row],[Mã khách hàng]],'Khách hàng'!A:E,5,0)</f>
        <v>HN0040</v>
      </c>
    </row>
    <row r="448" spans="1:9">
      <c r="A448" s="14" t="s">
        <v>5325</v>
      </c>
      <c r="B448" s="15" t="s">
        <v>5</v>
      </c>
      <c r="C448" s="10" t="s">
        <v>5326</v>
      </c>
      <c r="D448" s="16" t="s">
        <v>1860</v>
      </c>
      <c r="E448" s="15" t="s">
        <v>11197</v>
      </c>
      <c r="F448" s="16" t="str">
        <f>VLOOKUP(Table8[[#This Row],[Mã khách hàng]],code_khach_hang[],2,0)</f>
        <v>CHI NHÁNH QUẢNG NINH - CÔNG TY CỔ PHẦN DỊCH VỤ THƯƠNG MẠI TỔNG HỢP WINCOMMERCE</v>
      </c>
      <c r="G448" s="16" t="str">
        <f>VLOOKUP(Table8[[#This Row],[Mã khách hàng]],code_khach_hang[],3,0)</f>
        <v>Miền Bắc đặc biệt 3</v>
      </c>
      <c r="H448" t="str">
        <f>VLOOKUP(Table8[[#This Row],[Mã khách hàng]],'Khách hàng'!A:D,4,0)</f>
        <v>Food Đức Việt</v>
      </c>
      <c r="I448" t="str">
        <f>VLOOKUP(Table8[[#This Row],[Mã khách hàng]],'Khách hàng'!A:E,5,0)</f>
        <v>HN0040</v>
      </c>
    </row>
    <row r="449" spans="1:9">
      <c r="A449" s="14" t="s">
        <v>5499</v>
      </c>
      <c r="B449" s="15" t="s">
        <v>5</v>
      </c>
      <c r="C449" s="10" t="s">
        <v>5500</v>
      </c>
      <c r="D449" s="16" t="s">
        <v>1863</v>
      </c>
      <c r="E449" s="15" t="s">
        <v>11197</v>
      </c>
      <c r="F449" s="16" t="str">
        <f>VLOOKUP(Table8[[#This Row],[Mã khách hàng]],code_khach_hang[],2,0)</f>
        <v>CHI NHÁNH QUẢNG NINH - CÔNG TY CỔ PHẦN DỊCH VỤ THƯƠNG MẠI TỔNG HỢP WINCOMMERCE</v>
      </c>
      <c r="G449" s="16" t="str">
        <f>VLOOKUP(Table8[[#This Row],[Mã khách hàng]],code_khach_hang[],3,0)</f>
        <v>Miền Bắc đặc biệt 3</v>
      </c>
      <c r="H449" t="str">
        <f>VLOOKUP(Table8[[#This Row],[Mã khách hàng]],'Khách hàng'!A:D,4,0)</f>
        <v>Food Đức Việt</v>
      </c>
      <c r="I449" t="str">
        <f>VLOOKUP(Table8[[#This Row],[Mã khách hàng]],'Khách hàng'!A:E,5,0)</f>
        <v>HN0040</v>
      </c>
    </row>
    <row r="450" spans="1:9">
      <c r="A450" s="14" t="s">
        <v>5535</v>
      </c>
      <c r="B450" s="15" t="s">
        <v>5</v>
      </c>
      <c r="C450" s="10" t="s">
        <v>5536</v>
      </c>
      <c r="D450" s="16" t="s">
        <v>1866</v>
      </c>
      <c r="E450" s="15" t="s">
        <v>11197</v>
      </c>
      <c r="F450" s="16" t="str">
        <f>VLOOKUP(Table8[[#This Row],[Mã khách hàng]],code_khach_hang[],2,0)</f>
        <v>CHI NHÁNH QUẢNG NINH - CÔNG TY CỔ PHẦN DỊCH VỤ THƯƠNG MẠI TỔNG HỢP WINCOMMERCE</v>
      </c>
      <c r="G450" s="16" t="str">
        <f>VLOOKUP(Table8[[#This Row],[Mã khách hàng]],code_khach_hang[],3,0)</f>
        <v>Miền Bắc đặc biệt 3</v>
      </c>
      <c r="H450" t="str">
        <f>VLOOKUP(Table8[[#This Row],[Mã khách hàng]],'Khách hàng'!A:D,4,0)</f>
        <v>Food Đức Việt</v>
      </c>
      <c r="I450" t="str">
        <f>VLOOKUP(Table8[[#This Row],[Mã khách hàng]],'Khách hàng'!A:E,5,0)</f>
        <v>HN0040</v>
      </c>
    </row>
    <row r="451" spans="1:9">
      <c r="A451" s="14" t="s">
        <v>5606</v>
      </c>
      <c r="B451" s="15" t="s">
        <v>5</v>
      </c>
      <c r="C451" s="10" t="s">
        <v>5607</v>
      </c>
      <c r="D451" s="16" t="s">
        <v>1869</v>
      </c>
      <c r="E451" s="15" t="s">
        <v>11197</v>
      </c>
      <c r="F451" s="16" t="str">
        <f>VLOOKUP(Table8[[#This Row],[Mã khách hàng]],code_khach_hang[],2,0)</f>
        <v>CHI NHÁNH QUẢNG NINH - CÔNG TY CỔ PHẦN DỊCH VỤ THƯƠNG MẠI TỔNG HỢP WINCOMMERCE</v>
      </c>
      <c r="G451" s="16" t="str">
        <f>VLOOKUP(Table8[[#This Row],[Mã khách hàng]],code_khach_hang[],3,0)</f>
        <v>Miền Bắc đặc biệt 3</v>
      </c>
      <c r="H451" t="str">
        <f>VLOOKUP(Table8[[#This Row],[Mã khách hàng]],'Khách hàng'!A:D,4,0)</f>
        <v>Food Đức Việt</v>
      </c>
      <c r="I451" t="str">
        <f>VLOOKUP(Table8[[#This Row],[Mã khách hàng]],'Khách hàng'!A:E,5,0)</f>
        <v>HN0040</v>
      </c>
    </row>
    <row r="452" spans="1:9">
      <c r="A452" s="14" t="s">
        <v>5715</v>
      </c>
      <c r="B452" s="15" t="s">
        <v>5</v>
      </c>
      <c r="C452" s="10" t="s">
        <v>5716</v>
      </c>
      <c r="D452" s="16" t="s">
        <v>1872</v>
      </c>
      <c r="E452" s="15" t="s">
        <v>11197</v>
      </c>
      <c r="F452" s="16" t="str">
        <f>VLOOKUP(Table8[[#This Row],[Mã khách hàng]],code_khach_hang[],2,0)</f>
        <v>CHI NHÁNH QUẢNG NINH - CÔNG TY CỔ PHẦN DỊCH VỤ THƯƠNG MẠI TỔNG HỢP WINCOMMERCE</v>
      </c>
      <c r="G452" s="16" t="str">
        <f>VLOOKUP(Table8[[#This Row],[Mã khách hàng]],code_khach_hang[],3,0)</f>
        <v>Miền Bắc đặc biệt 3</v>
      </c>
      <c r="H452" t="str">
        <f>VLOOKUP(Table8[[#This Row],[Mã khách hàng]],'Khách hàng'!A:D,4,0)</f>
        <v>Food Đức Việt</v>
      </c>
      <c r="I452" t="str">
        <f>VLOOKUP(Table8[[#This Row],[Mã khách hàng]],'Khách hàng'!A:E,5,0)</f>
        <v>HN0040</v>
      </c>
    </row>
    <row r="453" spans="1:9">
      <c r="A453" s="14" t="s">
        <v>5989</v>
      </c>
      <c r="B453" s="15" t="s">
        <v>5</v>
      </c>
      <c r="C453" s="10" t="s">
        <v>5990</v>
      </c>
      <c r="D453" s="16" t="s">
        <v>1875</v>
      </c>
      <c r="E453" s="15" t="s">
        <v>11197</v>
      </c>
      <c r="F453" s="16" t="str">
        <f>VLOOKUP(Table8[[#This Row],[Mã khách hàng]],code_khach_hang[],2,0)</f>
        <v>CHI NHÁNH QUẢNG NINH - CÔNG TY CỔ PHẦN DỊCH VỤ THƯƠNG MẠI TỔNG HỢP WINCOMMERCE</v>
      </c>
      <c r="G453" s="16" t="str">
        <f>VLOOKUP(Table8[[#This Row],[Mã khách hàng]],code_khach_hang[],3,0)</f>
        <v>Miền Bắc đặc biệt 3</v>
      </c>
      <c r="H453" t="str">
        <f>VLOOKUP(Table8[[#This Row],[Mã khách hàng]],'Khách hàng'!A:D,4,0)</f>
        <v>Food Đức Việt</v>
      </c>
      <c r="I453" t="str">
        <f>VLOOKUP(Table8[[#This Row],[Mã khách hàng]],'Khách hàng'!A:E,5,0)</f>
        <v>HN0040</v>
      </c>
    </row>
    <row r="454" spans="1:9">
      <c r="A454" s="14" t="s">
        <v>6234</v>
      </c>
      <c r="B454" s="15" t="s">
        <v>5</v>
      </c>
      <c r="C454" s="10" t="s">
        <v>6235</v>
      </c>
      <c r="D454" s="16" t="s">
        <v>1878</v>
      </c>
      <c r="E454" s="15" t="s">
        <v>11197</v>
      </c>
      <c r="F454" s="16" t="str">
        <f>VLOOKUP(Table8[[#This Row],[Mã khách hàng]],code_khach_hang[],2,0)</f>
        <v>CHI NHÁNH QUẢNG NINH - CÔNG TY CỔ PHẦN DỊCH VỤ THƯƠNG MẠI TỔNG HỢP WINCOMMERCE</v>
      </c>
      <c r="G454" s="16" t="str">
        <f>VLOOKUP(Table8[[#This Row],[Mã khách hàng]],code_khach_hang[],3,0)</f>
        <v>Miền Bắc đặc biệt 3</v>
      </c>
      <c r="H454" t="str">
        <f>VLOOKUP(Table8[[#This Row],[Mã khách hàng]],'Khách hàng'!A:D,4,0)</f>
        <v>Food Đức Việt</v>
      </c>
      <c r="I454" t="str">
        <f>VLOOKUP(Table8[[#This Row],[Mã khách hàng]],'Khách hàng'!A:E,5,0)</f>
        <v>HN0040</v>
      </c>
    </row>
    <row r="455" spans="1:9">
      <c r="A455" s="14" t="s">
        <v>6243</v>
      </c>
      <c r="B455" s="15" t="s">
        <v>5</v>
      </c>
      <c r="C455" s="10" t="s">
        <v>6244</v>
      </c>
      <c r="D455" s="16" t="s">
        <v>1881</v>
      </c>
      <c r="E455" s="15" t="s">
        <v>11197</v>
      </c>
      <c r="F455" s="16" t="str">
        <f>VLOOKUP(Table8[[#This Row],[Mã khách hàng]],code_khach_hang[],2,0)</f>
        <v>CHI NHÁNH QUẢNG NINH - CÔNG TY CỔ PHẦN DỊCH VỤ THƯƠNG MẠI TỔNG HỢP WINCOMMERCE</v>
      </c>
      <c r="G455" s="16" t="str">
        <f>VLOOKUP(Table8[[#This Row],[Mã khách hàng]],code_khach_hang[],3,0)</f>
        <v>Miền Bắc đặc biệt 3</v>
      </c>
      <c r="H455" t="str">
        <f>VLOOKUP(Table8[[#This Row],[Mã khách hàng]],'Khách hàng'!A:D,4,0)</f>
        <v>Food Đức Việt</v>
      </c>
      <c r="I455" t="str">
        <f>VLOOKUP(Table8[[#This Row],[Mã khách hàng]],'Khách hàng'!A:E,5,0)</f>
        <v>HN0040</v>
      </c>
    </row>
    <row r="456" spans="1:9">
      <c r="A456" s="14" t="s">
        <v>6641</v>
      </c>
      <c r="B456" s="15" t="s">
        <v>5</v>
      </c>
      <c r="C456" s="10" t="s">
        <v>6642</v>
      </c>
      <c r="D456" s="16" t="s">
        <v>1884</v>
      </c>
      <c r="E456" s="15" t="s">
        <v>11197</v>
      </c>
      <c r="F456" s="16" t="str">
        <f>VLOOKUP(Table8[[#This Row],[Mã khách hàng]],code_khach_hang[],2,0)</f>
        <v>CHI NHÁNH QUẢNG NINH - CÔNG TY CỔ PHẦN DỊCH VỤ THƯƠNG MẠI TỔNG HỢP WINCOMMERCE</v>
      </c>
      <c r="G456" s="16" t="str">
        <f>VLOOKUP(Table8[[#This Row],[Mã khách hàng]],code_khach_hang[],3,0)</f>
        <v>Miền Bắc đặc biệt 3</v>
      </c>
      <c r="H456" t="str">
        <f>VLOOKUP(Table8[[#This Row],[Mã khách hàng]],'Khách hàng'!A:D,4,0)</f>
        <v>Food Đức Việt</v>
      </c>
      <c r="I456" t="str">
        <f>VLOOKUP(Table8[[#This Row],[Mã khách hàng]],'Khách hàng'!A:E,5,0)</f>
        <v>HN0040</v>
      </c>
    </row>
    <row r="457" spans="1:9">
      <c r="A457" s="14" t="s">
        <v>6761</v>
      </c>
      <c r="B457" s="15" t="s">
        <v>5</v>
      </c>
      <c r="C457" s="10" t="s">
        <v>6762</v>
      </c>
      <c r="D457" s="16" t="s">
        <v>1887</v>
      </c>
      <c r="E457" s="15" t="s">
        <v>11197</v>
      </c>
      <c r="F457" s="16" t="str">
        <f>VLOOKUP(Table8[[#This Row],[Mã khách hàng]],code_khach_hang[],2,0)</f>
        <v>CHI NHÁNH QUẢNG NINH - CÔNG TY CỔ PHẦN DỊCH VỤ THƯƠNG MẠI TỔNG HỢP WINCOMMERCE</v>
      </c>
      <c r="G457" s="16" t="str">
        <f>VLOOKUP(Table8[[#This Row],[Mã khách hàng]],code_khach_hang[],3,0)</f>
        <v>Miền Bắc đặc biệt 3</v>
      </c>
      <c r="H457" t="str">
        <f>VLOOKUP(Table8[[#This Row],[Mã khách hàng]],'Khách hàng'!A:D,4,0)</f>
        <v>Food Đức Việt</v>
      </c>
      <c r="I457" t="str">
        <f>VLOOKUP(Table8[[#This Row],[Mã khách hàng]],'Khách hàng'!A:E,5,0)</f>
        <v>HN0040</v>
      </c>
    </row>
    <row r="458" spans="1:9">
      <c r="A458" s="14" t="s">
        <v>6824</v>
      </c>
      <c r="B458" s="15" t="s">
        <v>5</v>
      </c>
      <c r="C458" s="10" t="s">
        <v>6825</v>
      </c>
      <c r="D458" s="16" t="s">
        <v>1890</v>
      </c>
      <c r="E458" s="15" t="s">
        <v>11197</v>
      </c>
      <c r="F458" s="16" t="str">
        <f>VLOOKUP(Table8[[#This Row],[Mã khách hàng]],code_khach_hang[],2,0)</f>
        <v>CHI NHÁNH QUẢNG NINH - CÔNG TY CỔ PHẦN DỊCH VỤ THƯƠNG MẠI TỔNG HỢP WINCOMMERCE</v>
      </c>
      <c r="G458" s="16" t="str">
        <f>VLOOKUP(Table8[[#This Row],[Mã khách hàng]],code_khach_hang[],3,0)</f>
        <v>Miền Bắc đặc biệt 3</v>
      </c>
      <c r="H458" t="str">
        <f>VLOOKUP(Table8[[#This Row],[Mã khách hàng]],'Khách hàng'!A:D,4,0)</f>
        <v>Food Đức Việt</v>
      </c>
      <c r="I458" t="str">
        <f>VLOOKUP(Table8[[#This Row],[Mã khách hàng]],'Khách hàng'!A:E,5,0)</f>
        <v>HN0040</v>
      </c>
    </row>
    <row r="459" spans="1:9">
      <c r="A459" s="14" t="s">
        <v>6968</v>
      </c>
      <c r="B459" s="15" t="s">
        <v>5</v>
      </c>
      <c r="C459" s="10" t="s">
        <v>6969</v>
      </c>
      <c r="D459" s="16" t="s">
        <v>1893</v>
      </c>
      <c r="E459" s="15" t="s">
        <v>11197</v>
      </c>
      <c r="F459" s="16" t="str">
        <f>VLOOKUP(Table8[[#This Row],[Mã khách hàng]],code_khach_hang[],2,0)</f>
        <v>CHI NHÁNH QUẢNG NINH - CÔNG TY CỔ PHẦN DỊCH VỤ THƯƠNG MẠI TỔNG HỢP WINCOMMERCE</v>
      </c>
      <c r="G459" s="16" t="str">
        <f>VLOOKUP(Table8[[#This Row],[Mã khách hàng]],code_khach_hang[],3,0)</f>
        <v>Miền Bắc đặc biệt 3</v>
      </c>
      <c r="H459" t="str">
        <f>VLOOKUP(Table8[[#This Row],[Mã khách hàng]],'Khách hàng'!A:D,4,0)</f>
        <v>Food Đức Việt</v>
      </c>
      <c r="I459" t="str">
        <f>VLOOKUP(Table8[[#This Row],[Mã khách hàng]],'Khách hàng'!A:E,5,0)</f>
        <v>HN0040</v>
      </c>
    </row>
    <row r="460" spans="1:9">
      <c r="A460" s="14" t="s">
        <v>7007</v>
      </c>
      <c r="B460" s="15" t="s">
        <v>5</v>
      </c>
      <c r="C460" s="10" t="s">
        <v>7008</v>
      </c>
      <c r="D460" s="16" t="s">
        <v>1896</v>
      </c>
      <c r="E460" s="15" t="s">
        <v>11197</v>
      </c>
      <c r="F460" s="16" t="str">
        <f>VLOOKUP(Table8[[#This Row],[Mã khách hàng]],code_khach_hang[],2,0)</f>
        <v>CHI NHÁNH QUẢNG NINH - CÔNG TY CỔ PHẦN DỊCH VỤ THƯƠNG MẠI TỔNG HỢP WINCOMMERCE</v>
      </c>
      <c r="G460" s="16" t="str">
        <f>VLOOKUP(Table8[[#This Row],[Mã khách hàng]],code_khach_hang[],3,0)</f>
        <v>Miền Bắc đặc biệt 3</v>
      </c>
      <c r="H460" t="str">
        <f>VLOOKUP(Table8[[#This Row],[Mã khách hàng]],'Khách hàng'!A:D,4,0)</f>
        <v>Food Đức Việt</v>
      </c>
      <c r="I460" t="str">
        <f>VLOOKUP(Table8[[#This Row],[Mã khách hàng]],'Khách hàng'!A:E,5,0)</f>
        <v>HN0040</v>
      </c>
    </row>
    <row r="461" spans="1:9">
      <c r="A461" s="14" t="s">
        <v>7089</v>
      </c>
      <c r="B461" s="15" t="s">
        <v>5</v>
      </c>
      <c r="C461" s="10" t="s">
        <v>7090</v>
      </c>
      <c r="D461" s="16" t="s">
        <v>1898</v>
      </c>
      <c r="E461" s="15" t="s">
        <v>11197</v>
      </c>
      <c r="F461" s="16" t="str">
        <f>VLOOKUP(Table8[[#This Row],[Mã khách hàng]],code_khach_hang[],2,0)</f>
        <v>CHI NHÁNH QUẢNG NINH - CÔNG TY CỔ PHẦN DỊCH VỤ THƯƠNG MẠI TỔNG HỢP WINCOMMERCE</v>
      </c>
      <c r="G461" s="16" t="str">
        <f>VLOOKUP(Table8[[#This Row],[Mã khách hàng]],code_khach_hang[],3,0)</f>
        <v>Miền Bắc đặc biệt 3</v>
      </c>
      <c r="H461" t="str">
        <f>VLOOKUP(Table8[[#This Row],[Mã khách hàng]],'Khách hàng'!A:D,4,0)</f>
        <v>Food Đức Việt</v>
      </c>
      <c r="I461" t="str">
        <f>VLOOKUP(Table8[[#This Row],[Mã khách hàng]],'Khách hàng'!A:E,5,0)</f>
        <v>HN0040</v>
      </c>
    </row>
    <row r="462" spans="1:9">
      <c r="A462" s="14" t="s">
        <v>7372</v>
      </c>
      <c r="B462" s="15" t="s">
        <v>5</v>
      </c>
      <c r="C462" s="10" t="s">
        <v>7373</v>
      </c>
      <c r="D462" s="16" t="s">
        <v>1901</v>
      </c>
      <c r="E462" s="15" t="s">
        <v>11197</v>
      </c>
      <c r="F462" s="16" t="str">
        <f>VLOOKUP(Table8[[#This Row],[Mã khách hàng]],code_khach_hang[],2,0)</f>
        <v>CHI NHÁNH QUẢNG NINH - CÔNG TY CỔ PHẦN DỊCH VỤ THƯƠNG MẠI TỔNG HỢP WINCOMMERCE</v>
      </c>
      <c r="G462" s="16" t="str">
        <f>VLOOKUP(Table8[[#This Row],[Mã khách hàng]],code_khach_hang[],3,0)</f>
        <v>Miền Bắc đặc biệt 3</v>
      </c>
      <c r="H462" t="str">
        <f>VLOOKUP(Table8[[#This Row],[Mã khách hàng]],'Khách hàng'!A:D,4,0)</f>
        <v>Food Đức Việt</v>
      </c>
      <c r="I462" t="str">
        <f>VLOOKUP(Table8[[#This Row],[Mã khách hàng]],'Khách hàng'!A:E,5,0)</f>
        <v>HN0040</v>
      </c>
    </row>
    <row r="463" spans="1:9">
      <c r="A463" s="14" t="s">
        <v>7375</v>
      </c>
      <c r="B463" s="15" t="s">
        <v>5</v>
      </c>
      <c r="C463" s="10" t="s">
        <v>7376</v>
      </c>
      <c r="D463" s="16" t="s">
        <v>1904</v>
      </c>
      <c r="E463" s="15" t="s">
        <v>11197</v>
      </c>
      <c r="F463" s="16" t="str">
        <f>VLOOKUP(Table8[[#This Row],[Mã khách hàng]],code_khach_hang[],2,0)</f>
        <v>CHI NHÁNH QUẢNG NINH - CÔNG TY CỔ PHẦN DỊCH VỤ THƯƠNG MẠI TỔNG HỢP WINCOMMERCE</v>
      </c>
      <c r="G463" s="16" t="str">
        <f>VLOOKUP(Table8[[#This Row],[Mã khách hàng]],code_khach_hang[],3,0)</f>
        <v>Miền Bắc đặc biệt 3</v>
      </c>
      <c r="H463" t="str">
        <f>VLOOKUP(Table8[[#This Row],[Mã khách hàng]],'Khách hàng'!A:D,4,0)</f>
        <v>Food Đức Việt</v>
      </c>
      <c r="I463" t="str">
        <f>VLOOKUP(Table8[[#This Row],[Mã khách hàng]],'Khách hàng'!A:E,5,0)</f>
        <v>HN0040</v>
      </c>
    </row>
    <row r="464" spans="1:9">
      <c r="A464" s="14" t="s">
        <v>7437</v>
      </c>
      <c r="B464" s="15" t="s">
        <v>5</v>
      </c>
      <c r="C464" s="10" t="s">
        <v>7438</v>
      </c>
      <c r="D464" s="16" t="s">
        <v>1907</v>
      </c>
      <c r="E464" s="15" t="s">
        <v>11197</v>
      </c>
      <c r="F464" s="16" t="str">
        <f>VLOOKUP(Table8[[#This Row],[Mã khách hàng]],code_khach_hang[],2,0)</f>
        <v>CHI NHÁNH QUẢNG NINH - CÔNG TY CỔ PHẦN DỊCH VỤ THƯƠNG MẠI TỔNG HỢP WINCOMMERCE</v>
      </c>
      <c r="G464" s="16" t="str">
        <f>VLOOKUP(Table8[[#This Row],[Mã khách hàng]],code_khach_hang[],3,0)</f>
        <v>Miền Bắc đặc biệt 3</v>
      </c>
      <c r="H464" t="str">
        <f>VLOOKUP(Table8[[#This Row],[Mã khách hàng]],'Khách hàng'!A:D,4,0)</f>
        <v>Food Đức Việt</v>
      </c>
      <c r="I464" t="str">
        <f>VLOOKUP(Table8[[#This Row],[Mã khách hàng]],'Khách hàng'!A:E,5,0)</f>
        <v>HN0040</v>
      </c>
    </row>
    <row r="465" spans="1:9">
      <c r="A465" s="14" t="s">
        <v>7460</v>
      </c>
      <c r="B465" s="15" t="s">
        <v>5</v>
      </c>
      <c r="C465" s="10" t="s">
        <v>7461</v>
      </c>
      <c r="D465" s="16" t="s">
        <v>1910</v>
      </c>
      <c r="E465" s="15" t="s">
        <v>11197</v>
      </c>
      <c r="F465" s="16" t="str">
        <f>VLOOKUP(Table8[[#This Row],[Mã khách hàng]],code_khach_hang[],2,0)</f>
        <v>CHI NHÁNH QUẢNG NINH - CÔNG TY CỔ PHẦN DỊCH VỤ THƯƠNG MẠI TỔNG HỢP WINCOMMERCE</v>
      </c>
      <c r="G465" s="16" t="str">
        <f>VLOOKUP(Table8[[#This Row],[Mã khách hàng]],code_khach_hang[],3,0)</f>
        <v>Miền Bắc đặc biệt 3</v>
      </c>
      <c r="H465" t="str">
        <f>VLOOKUP(Table8[[#This Row],[Mã khách hàng]],'Khách hàng'!A:D,4,0)</f>
        <v>Food Đức Việt</v>
      </c>
      <c r="I465" t="str">
        <f>VLOOKUP(Table8[[#This Row],[Mã khách hàng]],'Khách hàng'!A:E,5,0)</f>
        <v>HN0040</v>
      </c>
    </row>
    <row r="466" spans="1:9">
      <c r="A466" s="14" t="s">
        <v>7709</v>
      </c>
      <c r="B466" s="15" t="s">
        <v>5</v>
      </c>
      <c r="C466" s="10" t="s">
        <v>7710</v>
      </c>
      <c r="D466" s="16" t="s">
        <v>1913</v>
      </c>
      <c r="E466" s="15" t="s">
        <v>11197</v>
      </c>
      <c r="F466" s="16" t="str">
        <f>VLOOKUP(Table8[[#This Row],[Mã khách hàng]],code_khach_hang[],2,0)</f>
        <v>CHI NHÁNH QUẢNG NINH - CÔNG TY CỔ PHẦN DỊCH VỤ THƯƠNG MẠI TỔNG HỢP WINCOMMERCE</v>
      </c>
      <c r="G466" s="16" t="str">
        <f>VLOOKUP(Table8[[#This Row],[Mã khách hàng]],code_khach_hang[],3,0)</f>
        <v>Miền Bắc đặc biệt 3</v>
      </c>
      <c r="H466" t="str">
        <f>VLOOKUP(Table8[[#This Row],[Mã khách hàng]],'Khách hàng'!A:D,4,0)</f>
        <v>Food Đức Việt</v>
      </c>
      <c r="I466" t="str">
        <f>VLOOKUP(Table8[[#This Row],[Mã khách hàng]],'Khách hàng'!A:E,5,0)</f>
        <v>HN0040</v>
      </c>
    </row>
    <row r="467" spans="1:9">
      <c r="A467" s="14" t="s">
        <v>7718</v>
      </c>
      <c r="B467" s="15" t="s">
        <v>5</v>
      </c>
      <c r="C467" s="10" t="s">
        <v>7719</v>
      </c>
      <c r="D467" s="16" t="s">
        <v>1916</v>
      </c>
      <c r="E467" s="15" t="s">
        <v>11197</v>
      </c>
      <c r="F467" s="16" t="str">
        <f>VLOOKUP(Table8[[#This Row],[Mã khách hàng]],code_khach_hang[],2,0)</f>
        <v>CHI NHÁNH QUẢNG NINH - CÔNG TY CỔ PHẦN DỊCH VỤ THƯƠNG MẠI TỔNG HỢP WINCOMMERCE</v>
      </c>
      <c r="G467" s="16" t="str">
        <f>VLOOKUP(Table8[[#This Row],[Mã khách hàng]],code_khach_hang[],3,0)</f>
        <v>Miền Bắc đặc biệt 3</v>
      </c>
      <c r="H467" t="str">
        <f>VLOOKUP(Table8[[#This Row],[Mã khách hàng]],'Khách hàng'!A:D,4,0)</f>
        <v>Food Đức Việt</v>
      </c>
      <c r="I467" t="str">
        <f>VLOOKUP(Table8[[#This Row],[Mã khách hàng]],'Khách hàng'!A:E,5,0)</f>
        <v>HN0040</v>
      </c>
    </row>
    <row r="468" spans="1:9">
      <c r="A468" s="14" t="s">
        <v>8835</v>
      </c>
      <c r="B468" s="15" t="s">
        <v>5</v>
      </c>
      <c r="C468" s="10" t="s">
        <v>8836</v>
      </c>
      <c r="D468" s="16" t="s">
        <v>1918</v>
      </c>
      <c r="E468" s="15" t="s">
        <v>11197</v>
      </c>
      <c r="F468" s="16" t="str">
        <f>VLOOKUP(Table8[[#This Row],[Mã khách hàng]],code_khach_hang[],2,0)</f>
        <v>CHI NHÁNH QUẢNG NINH - CÔNG TY CỔ PHẦN DỊCH VỤ THƯƠNG MẠI TỔNG HỢP WINCOMMERCE</v>
      </c>
      <c r="G468" s="16" t="str">
        <f>VLOOKUP(Table8[[#This Row],[Mã khách hàng]],code_khach_hang[],3,0)</f>
        <v>Miền Bắc đặc biệt 3</v>
      </c>
      <c r="H468" t="str">
        <f>VLOOKUP(Table8[[#This Row],[Mã khách hàng]],'Khách hàng'!A:D,4,0)</f>
        <v>Food Đức Việt</v>
      </c>
      <c r="I468" t="str">
        <f>VLOOKUP(Table8[[#This Row],[Mã khách hàng]],'Khách hàng'!A:E,5,0)</f>
        <v>HN0040</v>
      </c>
    </row>
    <row r="469" spans="1:9">
      <c r="A469" s="14" t="s">
        <v>8850</v>
      </c>
      <c r="B469" s="15" t="s">
        <v>5</v>
      </c>
      <c r="C469" s="10" t="s">
        <v>8851</v>
      </c>
      <c r="D469" s="16" t="s">
        <v>1921</v>
      </c>
      <c r="E469" s="15" t="s">
        <v>11197</v>
      </c>
      <c r="F469" s="16" t="str">
        <f>VLOOKUP(Table8[[#This Row],[Mã khách hàng]],code_khach_hang[],2,0)</f>
        <v>CHI NHÁNH QUẢNG NINH - CÔNG TY CỔ PHẦN DỊCH VỤ THƯƠNG MẠI TỔNG HỢP WINCOMMERCE</v>
      </c>
      <c r="G469" s="16" t="str">
        <f>VLOOKUP(Table8[[#This Row],[Mã khách hàng]],code_khach_hang[],3,0)</f>
        <v>Miền Bắc đặc biệt 3</v>
      </c>
      <c r="H469" t="str">
        <f>VLOOKUP(Table8[[#This Row],[Mã khách hàng]],'Khách hàng'!A:D,4,0)</f>
        <v>Food Đức Việt</v>
      </c>
      <c r="I469" t="str">
        <f>VLOOKUP(Table8[[#This Row],[Mã khách hàng]],'Khách hàng'!A:E,5,0)</f>
        <v>HN0040</v>
      </c>
    </row>
    <row r="470" spans="1:9">
      <c r="A470" s="14" t="s">
        <v>8980</v>
      </c>
      <c r="B470" s="15" t="s">
        <v>5</v>
      </c>
      <c r="C470" s="10" t="s">
        <v>8981</v>
      </c>
      <c r="D470" s="16" t="s">
        <v>1923</v>
      </c>
      <c r="E470" s="15" t="s">
        <v>11197</v>
      </c>
      <c r="F470" s="16" t="str">
        <f>VLOOKUP(Table8[[#This Row],[Mã khách hàng]],code_khach_hang[],2,0)</f>
        <v>CHI NHÁNH QUẢNG NINH - CÔNG TY CỔ PHẦN DỊCH VỤ THƯƠNG MẠI TỔNG HỢP WINCOMMERCE</v>
      </c>
      <c r="G470" s="16" t="str">
        <f>VLOOKUP(Table8[[#This Row],[Mã khách hàng]],code_khach_hang[],3,0)</f>
        <v>Miền Bắc đặc biệt 3</v>
      </c>
      <c r="H470" t="str">
        <f>VLOOKUP(Table8[[#This Row],[Mã khách hàng]],'Khách hàng'!A:D,4,0)</f>
        <v>Food Đức Việt</v>
      </c>
      <c r="I470" t="str">
        <f>VLOOKUP(Table8[[#This Row],[Mã khách hàng]],'Khách hàng'!A:E,5,0)</f>
        <v>HN0040</v>
      </c>
    </row>
    <row r="471" spans="1:9">
      <c r="A471" s="14" t="s">
        <v>9058</v>
      </c>
      <c r="B471" s="15" t="s">
        <v>5</v>
      </c>
      <c r="C471" s="10" t="s">
        <v>9059</v>
      </c>
      <c r="D471" s="16" t="s">
        <v>1926</v>
      </c>
      <c r="E471" s="15" t="s">
        <v>11197</v>
      </c>
      <c r="F471" s="16" t="str">
        <f>VLOOKUP(Table8[[#This Row],[Mã khách hàng]],code_khach_hang[],2,0)</f>
        <v>CHI NHÁNH QUẢNG NINH - CÔNG TY CỔ PHẦN DỊCH VỤ THƯƠNG MẠI TỔNG HỢP WINCOMMERCE</v>
      </c>
      <c r="G471" s="16" t="str">
        <f>VLOOKUP(Table8[[#This Row],[Mã khách hàng]],code_khach_hang[],3,0)</f>
        <v>Miền Bắc đặc biệt 3</v>
      </c>
      <c r="H471" t="str">
        <f>VLOOKUP(Table8[[#This Row],[Mã khách hàng]],'Khách hàng'!A:D,4,0)</f>
        <v>Food Đức Việt</v>
      </c>
      <c r="I471" t="str">
        <f>VLOOKUP(Table8[[#This Row],[Mã khách hàng]],'Khách hàng'!A:E,5,0)</f>
        <v>HN0040</v>
      </c>
    </row>
    <row r="472" spans="1:9">
      <c r="A472" s="14" t="s">
        <v>1459</v>
      </c>
      <c r="B472" s="15" t="s">
        <v>5</v>
      </c>
      <c r="C472" s="10" t="s">
        <v>1460</v>
      </c>
      <c r="D472" s="16" t="s">
        <v>1929</v>
      </c>
      <c r="E472" s="15" t="s">
        <v>11197</v>
      </c>
      <c r="F472" s="16" t="str">
        <f>VLOOKUP(Table8[[#This Row],[Mã khách hàng]],code_khach_hang[],2,0)</f>
        <v>CHI NHÁNH QUẢNG NINH - CÔNG TY CỔ PHẦN DỊCH VỤ THƯƠNG MẠI TỔNG HỢP WINCOMMERCE</v>
      </c>
      <c r="G472" s="16" t="str">
        <f>VLOOKUP(Table8[[#This Row],[Mã khách hàng]],code_khach_hang[],3,0)</f>
        <v>Miền Bắc đặc biệt 3</v>
      </c>
      <c r="H472" t="str">
        <f>VLOOKUP(Table8[[#This Row],[Mã khách hàng]],'Khách hàng'!A:D,4,0)</f>
        <v>Food Đức Việt</v>
      </c>
      <c r="I472" t="str">
        <f>VLOOKUP(Table8[[#This Row],[Mã khách hàng]],'Khách hàng'!A:E,5,0)</f>
        <v>HN0040</v>
      </c>
    </row>
    <row r="473" spans="1:9">
      <c r="A473" s="14" t="s">
        <v>2403</v>
      </c>
      <c r="B473" s="15" t="s">
        <v>5</v>
      </c>
      <c r="C473" s="10" t="s">
        <v>2404</v>
      </c>
      <c r="D473" s="16" t="s">
        <v>1932</v>
      </c>
      <c r="E473" s="15" t="s">
        <v>11197</v>
      </c>
      <c r="F473" s="16" t="str">
        <f>VLOOKUP(Table8[[#This Row],[Mã khách hàng]],code_khach_hang[],2,0)</f>
        <v>CHI NHÁNH QUẢNG NINH - CÔNG TY CỔ PHẦN DỊCH VỤ THƯƠNG MẠI TỔNG HỢP WINCOMMERCE</v>
      </c>
      <c r="G473" s="16" t="str">
        <f>VLOOKUP(Table8[[#This Row],[Mã khách hàng]],code_khach_hang[],3,0)</f>
        <v>Miền Bắc đặc biệt 3</v>
      </c>
      <c r="H473" t="str">
        <f>VLOOKUP(Table8[[#This Row],[Mã khách hàng]],'Khách hàng'!A:D,4,0)</f>
        <v>Food Đức Việt</v>
      </c>
      <c r="I473" t="str">
        <f>VLOOKUP(Table8[[#This Row],[Mã khách hàng]],'Khách hàng'!A:E,5,0)</f>
        <v>HN0040</v>
      </c>
    </row>
    <row r="474" spans="1:9">
      <c r="A474" s="14" t="s">
        <v>725</v>
      </c>
      <c r="B474" s="15" t="s">
        <v>183</v>
      </c>
      <c r="C474" s="10" t="s">
        <v>726</v>
      </c>
      <c r="D474" s="16" t="s">
        <v>1935</v>
      </c>
      <c r="E474" s="15" t="s">
        <v>11197</v>
      </c>
      <c r="F474" s="16" t="str">
        <f>VLOOKUP(Table8[[#This Row],[Mã khách hàng]],code_khach_hang[],2,0)</f>
        <v>CHI NHÁNH QUẢNG NINH - CÔNG TY CỔ PHẦN DỊCH VỤ THƯƠNG MẠI TỔNG HỢP WINCOMMERCE</v>
      </c>
      <c r="G474" s="16" t="str">
        <f>VLOOKUP(Table8[[#This Row],[Mã khách hàng]],code_khach_hang[],3,0)</f>
        <v>Miền Bắc đặc biệt 3</v>
      </c>
      <c r="H474" t="str">
        <f>VLOOKUP(Table8[[#This Row],[Mã khách hàng]],'Khách hàng'!A:D,4,0)</f>
        <v>Food Đức Việt</v>
      </c>
      <c r="I474" t="str">
        <f>VLOOKUP(Table8[[#This Row],[Mã khách hàng]],'Khách hàng'!A:E,5,0)</f>
        <v>HN0040</v>
      </c>
    </row>
    <row r="475" spans="1:9">
      <c r="A475" s="14" t="s">
        <v>655</v>
      </c>
      <c r="B475" s="15" t="s">
        <v>183</v>
      </c>
      <c r="C475" s="10" t="s">
        <v>656</v>
      </c>
      <c r="D475" s="16" t="s">
        <v>1938</v>
      </c>
      <c r="E475" s="15" t="s">
        <v>11197</v>
      </c>
      <c r="F475" s="16" t="str">
        <f>VLOOKUP(Table8[[#This Row],[Mã khách hàng]],code_khach_hang[],2,0)</f>
        <v>CHI NHÁNH QUẢNG NINH - CÔNG TY CỔ PHẦN DỊCH VỤ THƯƠNG MẠI TỔNG HỢP WINCOMMERCE</v>
      </c>
      <c r="G475" s="16" t="str">
        <f>VLOOKUP(Table8[[#This Row],[Mã khách hàng]],code_khach_hang[],3,0)</f>
        <v>Miền Bắc đặc biệt 3</v>
      </c>
      <c r="H475" t="str">
        <f>VLOOKUP(Table8[[#This Row],[Mã khách hàng]],'Khách hàng'!A:D,4,0)</f>
        <v>Food Đức Việt</v>
      </c>
      <c r="I475" t="str">
        <f>VLOOKUP(Table8[[#This Row],[Mã khách hàng]],'Khách hàng'!A:E,5,0)</f>
        <v>HN0040</v>
      </c>
    </row>
    <row r="476" spans="1:9">
      <c r="A476" s="14" t="s">
        <v>4824</v>
      </c>
      <c r="B476" s="15" t="s">
        <v>5</v>
      </c>
      <c r="C476" s="10" t="s">
        <v>4825</v>
      </c>
      <c r="D476" s="16" t="s">
        <v>1941</v>
      </c>
      <c r="E476" s="15" t="s">
        <v>11215</v>
      </c>
      <c r="F476" s="16" t="str">
        <f>VLOOKUP(Table8[[#This Row],[Mã khách hàng]],code_khach_hang[],2,0)</f>
        <v>CHI NHÁNH HÀ NỘI - CÔNG TY CỔ PHẦN DỊCH VỤ THƯƠNG MẠI TỔNG HỢP WINCOMMERCE</v>
      </c>
      <c r="G476" s="16" t="str">
        <f>VLOOKUP(Table8[[#This Row],[Mã khách hàng]],code_khach_hang[],3,0)</f>
        <v>Miền Bắc đặc biệt 1</v>
      </c>
      <c r="H476" t="str">
        <f>VLOOKUP(Table8[[#This Row],[Mã khách hàng]],'Khách hàng'!A:D,4,0)</f>
        <v>Food Đức Việt</v>
      </c>
      <c r="I476" t="str">
        <f>VLOOKUP(Table8[[#This Row],[Mã khách hàng]],'Khách hàng'!A:E,5,0)</f>
        <v>HN0040</v>
      </c>
    </row>
    <row r="477" spans="1:9">
      <c r="A477" s="14" t="s">
        <v>1245</v>
      </c>
      <c r="B477" s="15" t="s">
        <v>5</v>
      </c>
      <c r="C477" s="10" t="s">
        <v>1246</v>
      </c>
      <c r="D477" s="16" t="s">
        <v>1944</v>
      </c>
      <c r="E477" s="15" t="s">
        <v>11215</v>
      </c>
      <c r="F477" s="16" t="str">
        <f>VLOOKUP(Table8[[#This Row],[Mã khách hàng]],code_khach_hang[],2,0)</f>
        <v>CHI NHÁNH HÀ NỘI - CÔNG TY CỔ PHẦN DỊCH VỤ THƯƠNG MẠI TỔNG HỢP WINCOMMERCE</v>
      </c>
      <c r="G477" s="16" t="str">
        <f>VLOOKUP(Table8[[#This Row],[Mã khách hàng]],code_khach_hang[],3,0)</f>
        <v>Miền Bắc đặc biệt 1</v>
      </c>
      <c r="H477" t="str">
        <f>VLOOKUP(Table8[[#This Row],[Mã khách hàng]],'Khách hàng'!A:D,4,0)</f>
        <v>Food Đức Việt</v>
      </c>
      <c r="I477" t="str">
        <f>VLOOKUP(Table8[[#This Row],[Mã khách hàng]],'Khách hàng'!A:E,5,0)</f>
        <v>HN0040</v>
      </c>
    </row>
    <row r="478" spans="1:9">
      <c r="A478" s="14" t="s">
        <v>1337</v>
      </c>
      <c r="B478" s="15" t="s">
        <v>5</v>
      </c>
      <c r="C478" s="10" t="s">
        <v>1338</v>
      </c>
      <c r="D478" s="16" t="s">
        <v>1947</v>
      </c>
      <c r="E478" s="15" t="s">
        <v>11215</v>
      </c>
      <c r="F478" s="16" t="str">
        <f>VLOOKUP(Table8[[#This Row],[Mã khách hàng]],code_khach_hang[],2,0)</f>
        <v>CHI NHÁNH HÀ NỘI - CÔNG TY CỔ PHẦN DỊCH VỤ THƯƠNG MẠI TỔNG HỢP WINCOMMERCE</v>
      </c>
      <c r="G478" s="16" t="str">
        <f>VLOOKUP(Table8[[#This Row],[Mã khách hàng]],code_khach_hang[],3,0)</f>
        <v>Miền Bắc đặc biệt 1</v>
      </c>
      <c r="H478" t="str">
        <f>VLOOKUP(Table8[[#This Row],[Mã khách hàng]],'Khách hàng'!A:D,4,0)</f>
        <v>Food Đức Việt</v>
      </c>
      <c r="I478" t="str">
        <f>VLOOKUP(Table8[[#This Row],[Mã khách hàng]],'Khách hàng'!A:E,5,0)</f>
        <v>HN0040</v>
      </c>
    </row>
    <row r="479" spans="1:9">
      <c r="A479" s="14" t="s">
        <v>4224</v>
      </c>
      <c r="B479" s="15" t="s">
        <v>5</v>
      </c>
      <c r="C479" s="10" t="s">
        <v>4225</v>
      </c>
      <c r="D479" s="16" t="s">
        <v>1950</v>
      </c>
      <c r="E479" s="15" t="s">
        <v>11215</v>
      </c>
      <c r="F479" s="16" t="str">
        <f>VLOOKUP(Table8[[#This Row],[Mã khách hàng]],code_khach_hang[],2,0)</f>
        <v>CHI NHÁNH HÀ NỘI - CÔNG TY CỔ PHẦN DỊCH VỤ THƯƠNG MẠI TỔNG HỢP WINCOMMERCE</v>
      </c>
      <c r="G479" s="16" t="str">
        <f>VLOOKUP(Table8[[#This Row],[Mã khách hàng]],code_khach_hang[],3,0)</f>
        <v>Miền Bắc đặc biệt 1</v>
      </c>
      <c r="H479" t="str">
        <f>VLOOKUP(Table8[[#This Row],[Mã khách hàng]],'Khách hàng'!A:D,4,0)</f>
        <v>Food Đức Việt</v>
      </c>
      <c r="I479" t="str">
        <f>VLOOKUP(Table8[[#This Row],[Mã khách hàng]],'Khách hàng'!A:E,5,0)</f>
        <v>HN0040</v>
      </c>
    </row>
    <row r="480" spans="1:9">
      <c r="A480" s="14" t="s">
        <v>4311</v>
      </c>
      <c r="B480" s="15" t="s">
        <v>5</v>
      </c>
      <c r="C480" s="10" t="s">
        <v>4312</v>
      </c>
      <c r="D480" s="16" t="s">
        <v>1953</v>
      </c>
      <c r="E480" s="15" t="s">
        <v>11215</v>
      </c>
      <c r="F480" s="16" t="str">
        <f>VLOOKUP(Table8[[#This Row],[Mã khách hàng]],code_khach_hang[],2,0)</f>
        <v>CHI NHÁNH HÀ NỘI - CÔNG TY CỔ PHẦN DỊCH VỤ THƯƠNG MẠI TỔNG HỢP WINCOMMERCE</v>
      </c>
      <c r="G480" s="16" t="str">
        <f>VLOOKUP(Table8[[#This Row],[Mã khách hàng]],code_khach_hang[],3,0)</f>
        <v>Miền Bắc đặc biệt 1</v>
      </c>
      <c r="H480" t="str">
        <f>VLOOKUP(Table8[[#This Row],[Mã khách hàng]],'Khách hàng'!A:D,4,0)</f>
        <v>Food Đức Việt</v>
      </c>
      <c r="I480" t="str">
        <f>VLOOKUP(Table8[[#This Row],[Mã khách hàng]],'Khách hàng'!A:E,5,0)</f>
        <v>HN0040</v>
      </c>
    </row>
    <row r="481" spans="1:9">
      <c r="A481" s="14" t="s">
        <v>4335</v>
      </c>
      <c r="B481" s="15" t="s">
        <v>5</v>
      </c>
      <c r="C481" s="10" t="s">
        <v>4336</v>
      </c>
      <c r="D481" s="16" t="s">
        <v>1956</v>
      </c>
      <c r="E481" s="15" t="s">
        <v>11215</v>
      </c>
      <c r="F481" s="16" t="str">
        <f>VLOOKUP(Table8[[#This Row],[Mã khách hàng]],code_khach_hang[],2,0)</f>
        <v>CHI NHÁNH HÀ NỘI - CÔNG TY CỔ PHẦN DỊCH VỤ THƯƠNG MẠI TỔNG HỢP WINCOMMERCE</v>
      </c>
      <c r="G481" s="16" t="str">
        <f>VLOOKUP(Table8[[#This Row],[Mã khách hàng]],code_khach_hang[],3,0)</f>
        <v>Miền Bắc đặc biệt 1</v>
      </c>
      <c r="H481" t="str">
        <f>VLOOKUP(Table8[[#This Row],[Mã khách hàng]],'Khách hàng'!A:D,4,0)</f>
        <v>Food Đức Việt</v>
      </c>
      <c r="I481" t="str">
        <f>VLOOKUP(Table8[[#This Row],[Mã khách hàng]],'Khách hàng'!A:E,5,0)</f>
        <v>HN0040</v>
      </c>
    </row>
    <row r="482" spans="1:9">
      <c r="A482" s="14" t="s">
        <v>4713</v>
      </c>
      <c r="B482" s="15" t="s">
        <v>5</v>
      </c>
      <c r="C482" s="10" t="s">
        <v>4714</v>
      </c>
      <c r="D482" s="16" t="s">
        <v>1959</v>
      </c>
      <c r="E482" s="15" t="s">
        <v>11215</v>
      </c>
      <c r="F482" s="16" t="str">
        <f>VLOOKUP(Table8[[#This Row],[Mã khách hàng]],code_khach_hang[],2,0)</f>
        <v>CHI NHÁNH HÀ NỘI - CÔNG TY CỔ PHẦN DỊCH VỤ THƯƠNG MẠI TỔNG HỢP WINCOMMERCE</v>
      </c>
      <c r="G482" s="16" t="str">
        <f>VLOOKUP(Table8[[#This Row],[Mã khách hàng]],code_khach_hang[],3,0)</f>
        <v>Miền Bắc đặc biệt 1</v>
      </c>
      <c r="H482" t="str">
        <f>VLOOKUP(Table8[[#This Row],[Mã khách hàng]],'Khách hàng'!A:D,4,0)</f>
        <v>Food Đức Việt</v>
      </c>
      <c r="I482" t="str">
        <f>VLOOKUP(Table8[[#This Row],[Mã khách hàng]],'Khách hàng'!A:E,5,0)</f>
        <v>HN0040</v>
      </c>
    </row>
    <row r="483" spans="1:9">
      <c r="A483" s="14" t="s">
        <v>4848</v>
      </c>
      <c r="B483" s="15" t="s">
        <v>5</v>
      </c>
      <c r="C483" s="10" t="s">
        <v>4849</v>
      </c>
      <c r="D483" s="16" t="s">
        <v>1962</v>
      </c>
      <c r="E483" s="15" t="s">
        <v>11215</v>
      </c>
      <c r="F483" s="16" t="str">
        <f>VLOOKUP(Table8[[#This Row],[Mã khách hàng]],code_khach_hang[],2,0)</f>
        <v>CHI NHÁNH HÀ NỘI - CÔNG TY CỔ PHẦN DỊCH VỤ THƯƠNG MẠI TỔNG HỢP WINCOMMERCE</v>
      </c>
      <c r="G483" s="16" t="str">
        <f>VLOOKUP(Table8[[#This Row],[Mã khách hàng]],code_khach_hang[],3,0)</f>
        <v>Miền Bắc đặc biệt 1</v>
      </c>
      <c r="H483" t="str">
        <f>VLOOKUP(Table8[[#This Row],[Mã khách hàng]],'Khách hàng'!A:D,4,0)</f>
        <v>Food Đức Việt</v>
      </c>
      <c r="I483" t="str">
        <f>VLOOKUP(Table8[[#This Row],[Mã khách hàng]],'Khách hàng'!A:E,5,0)</f>
        <v>HN0040</v>
      </c>
    </row>
    <row r="484" spans="1:9">
      <c r="A484" s="14" t="s">
        <v>4956</v>
      </c>
      <c r="B484" s="15" t="s">
        <v>5</v>
      </c>
      <c r="C484" s="10" t="s">
        <v>4957</v>
      </c>
      <c r="D484" s="16" t="s">
        <v>1965</v>
      </c>
      <c r="E484" s="15" t="s">
        <v>11215</v>
      </c>
      <c r="F484" s="16" t="str">
        <f>VLOOKUP(Table8[[#This Row],[Mã khách hàng]],code_khach_hang[],2,0)</f>
        <v>CHI NHÁNH HÀ NỘI - CÔNG TY CỔ PHẦN DỊCH VỤ THƯƠNG MẠI TỔNG HỢP WINCOMMERCE</v>
      </c>
      <c r="G484" s="16" t="str">
        <f>VLOOKUP(Table8[[#This Row],[Mã khách hàng]],code_khach_hang[],3,0)</f>
        <v>Miền Bắc đặc biệt 1</v>
      </c>
      <c r="H484" t="str">
        <f>VLOOKUP(Table8[[#This Row],[Mã khách hàng]],'Khách hàng'!A:D,4,0)</f>
        <v>Food Đức Việt</v>
      </c>
      <c r="I484" t="str">
        <f>VLOOKUP(Table8[[#This Row],[Mã khách hàng]],'Khách hàng'!A:E,5,0)</f>
        <v>HN0040</v>
      </c>
    </row>
    <row r="485" spans="1:9">
      <c r="A485" s="14" t="s">
        <v>4995</v>
      </c>
      <c r="B485" s="15" t="s">
        <v>5</v>
      </c>
      <c r="C485" s="10" t="s">
        <v>4996</v>
      </c>
      <c r="D485" s="16" t="s">
        <v>1968</v>
      </c>
      <c r="E485" s="15" t="s">
        <v>11215</v>
      </c>
      <c r="F485" s="16" t="str">
        <f>VLOOKUP(Table8[[#This Row],[Mã khách hàng]],code_khach_hang[],2,0)</f>
        <v>CHI NHÁNH HÀ NỘI - CÔNG TY CỔ PHẦN DỊCH VỤ THƯƠNG MẠI TỔNG HỢP WINCOMMERCE</v>
      </c>
      <c r="G485" s="16" t="str">
        <f>VLOOKUP(Table8[[#This Row],[Mã khách hàng]],code_khach_hang[],3,0)</f>
        <v>Miền Bắc đặc biệt 1</v>
      </c>
      <c r="H485" t="str">
        <f>VLOOKUP(Table8[[#This Row],[Mã khách hàng]],'Khách hàng'!A:D,4,0)</f>
        <v>Food Đức Việt</v>
      </c>
      <c r="I485" t="str">
        <f>VLOOKUP(Table8[[#This Row],[Mã khách hàng]],'Khách hàng'!A:E,5,0)</f>
        <v>HN0040</v>
      </c>
    </row>
    <row r="486" spans="1:9">
      <c r="A486" s="14" t="s">
        <v>5157</v>
      </c>
      <c r="B486" s="15" t="s">
        <v>5</v>
      </c>
      <c r="C486" s="10" t="s">
        <v>5158</v>
      </c>
      <c r="D486" s="16" t="s">
        <v>1970</v>
      </c>
      <c r="E486" s="15" t="s">
        <v>11215</v>
      </c>
      <c r="F486" s="16" t="str">
        <f>VLOOKUP(Table8[[#This Row],[Mã khách hàng]],code_khach_hang[],2,0)</f>
        <v>CHI NHÁNH HÀ NỘI - CÔNG TY CỔ PHẦN DỊCH VỤ THƯƠNG MẠI TỔNG HỢP WINCOMMERCE</v>
      </c>
      <c r="G486" s="16" t="str">
        <f>VLOOKUP(Table8[[#This Row],[Mã khách hàng]],code_khach_hang[],3,0)</f>
        <v>Miền Bắc đặc biệt 1</v>
      </c>
      <c r="H486" t="str">
        <f>VLOOKUP(Table8[[#This Row],[Mã khách hàng]],'Khách hàng'!A:D,4,0)</f>
        <v>Food Đức Việt</v>
      </c>
      <c r="I486" t="str">
        <f>VLOOKUP(Table8[[#This Row],[Mã khách hàng]],'Khách hàng'!A:E,5,0)</f>
        <v>HN0040</v>
      </c>
    </row>
    <row r="487" spans="1:9">
      <c r="A487" s="14" t="s">
        <v>5226</v>
      </c>
      <c r="B487" s="15" t="s">
        <v>5</v>
      </c>
      <c r="C487" s="10" t="s">
        <v>5227</v>
      </c>
      <c r="D487" s="16" t="s">
        <v>1973</v>
      </c>
      <c r="E487" s="15" t="s">
        <v>11215</v>
      </c>
      <c r="F487" s="16" t="str">
        <f>VLOOKUP(Table8[[#This Row],[Mã khách hàng]],code_khach_hang[],2,0)</f>
        <v>CHI NHÁNH HÀ NỘI - CÔNG TY CỔ PHẦN DỊCH VỤ THƯƠNG MẠI TỔNG HỢP WINCOMMERCE</v>
      </c>
      <c r="G487" s="16" t="str">
        <f>VLOOKUP(Table8[[#This Row],[Mã khách hàng]],code_khach_hang[],3,0)</f>
        <v>Miền Bắc đặc biệt 1</v>
      </c>
      <c r="H487" t="str">
        <f>VLOOKUP(Table8[[#This Row],[Mã khách hàng]],'Khách hàng'!A:D,4,0)</f>
        <v>Food Đức Việt</v>
      </c>
      <c r="I487" t="str">
        <f>VLOOKUP(Table8[[#This Row],[Mã khách hàng]],'Khách hàng'!A:E,5,0)</f>
        <v>HN0040</v>
      </c>
    </row>
    <row r="488" spans="1:9">
      <c r="A488" s="14" t="s">
        <v>5292</v>
      </c>
      <c r="B488" s="15" t="s">
        <v>5</v>
      </c>
      <c r="C488" s="10" t="s">
        <v>5293</v>
      </c>
      <c r="D488" s="16" t="s">
        <v>1976</v>
      </c>
      <c r="E488" s="15" t="s">
        <v>11215</v>
      </c>
      <c r="F488" s="16" t="str">
        <f>VLOOKUP(Table8[[#This Row],[Mã khách hàng]],code_khach_hang[],2,0)</f>
        <v>CHI NHÁNH HÀ NỘI - CÔNG TY CỔ PHẦN DỊCH VỤ THƯƠNG MẠI TỔNG HỢP WINCOMMERCE</v>
      </c>
      <c r="G488" s="16" t="str">
        <f>VLOOKUP(Table8[[#This Row],[Mã khách hàng]],code_khach_hang[],3,0)</f>
        <v>Miền Bắc đặc biệt 1</v>
      </c>
      <c r="H488" t="str">
        <f>VLOOKUP(Table8[[#This Row],[Mã khách hàng]],'Khách hàng'!A:D,4,0)</f>
        <v>Food Đức Việt</v>
      </c>
      <c r="I488" t="str">
        <f>VLOOKUP(Table8[[#This Row],[Mã khách hàng]],'Khách hàng'!A:E,5,0)</f>
        <v>HN0040</v>
      </c>
    </row>
    <row r="489" spans="1:9">
      <c r="A489" s="14" t="s">
        <v>5364</v>
      </c>
      <c r="B489" s="15" t="s">
        <v>5</v>
      </c>
      <c r="C489" s="10" t="s">
        <v>5365</v>
      </c>
      <c r="D489" s="16" t="s">
        <v>1979</v>
      </c>
      <c r="E489" s="15" t="s">
        <v>11215</v>
      </c>
      <c r="F489" s="16" t="str">
        <f>VLOOKUP(Table8[[#This Row],[Mã khách hàng]],code_khach_hang[],2,0)</f>
        <v>CHI NHÁNH HÀ NỘI - CÔNG TY CỔ PHẦN DỊCH VỤ THƯƠNG MẠI TỔNG HỢP WINCOMMERCE</v>
      </c>
      <c r="G489" s="16" t="str">
        <f>VLOOKUP(Table8[[#This Row],[Mã khách hàng]],code_khach_hang[],3,0)</f>
        <v>Miền Bắc đặc biệt 1</v>
      </c>
      <c r="H489" t="str">
        <f>VLOOKUP(Table8[[#This Row],[Mã khách hàng]],'Khách hàng'!A:D,4,0)</f>
        <v>Food Đức Việt</v>
      </c>
      <c r="I489" t="str">
        <f>VLOOKUP(Table8[[#This Row],[Mã khách hàng]],'Khách hàng'!A:E,5,0)</f>
        <v>HN0040</v>
      </c>
    </row>
    <row r="490" spans="1:9">
      <c r="A490" s="14" t="s">
        <v>5415</v>
      </c>
      <c r="B490" s="15" t="s">
        <v>5</v>
      </c>
      <c r="C490" s="10" t="s">
        <v>5416</v>
      </c>
      <c r="D490" s="16" t="s">
        <v>1982</v>
      </c>
      <c r="E490" s="15" t="s">
        <v>11215</v>
      </c>
      <c r="F490" s="16" t="str">
        <f>VLOOKUP(Table8[[#This Row],[Mã khách hàng]],code_khach_hang[],2,0)</f>
        <v>CHI NHÁNH HÀ NỘI - CÔNG TY CỔ PHẦN DỊCH VỤ THƯƠNG MẠI TỔNG HỢP WINCOMMERCE</v>
      </c>
      <c r="G490" s="16" t="str">
        <f>VLOOKUP(Table8[[#This Row],[Mã khách hàng]],code_khach_hang[],3,0)</f>
        <v>Miền Bắc đặc biệt 1</v>
      </c>
      <c r="H490" t="str">
        <f>VLOOKUP(Table8[[#This Row],[Mã khách hàng]],'Khách hàng'!A:D,4,0)</f>
        <v>Food Đức Việt</v>
      </c>
      <c r="I490" t="str">
        <f>VLOOKUP(Table8[[#This Row],[Mã khách hàng]],'Khách hàng'!A:E,5,0)</f>
        <v>HN0040</v>
      </c>
    </row>
    <row r="491" spans="1:9">
      <c r="A491" s="14" t="s">
        <v>5469</v>
      </c>
      <c r="B491" s="15" t="s">
        <v>5</v>
      </c>
      <c r="C491" s="10" t="s">
        <v>5470</v>
      </c>
      <c r="D491" s="16" t="s">
        <v>1985</v>
      </c>
      <c r="E491" s="15" t="s">
        <v>11215</v>
      </c>
      <c r="F491" s="16" t="str">
        <f>VLOOKUP(Table8[[#This Row],[Mã khách hàng]],code_khach_hang[],2,0)</f>
        <v>CHI NHÁNH HÀ NỘI - CÔNG TY CỔ PHẦN DỊCH VỤ THƯƠNG MẠI TỔNG HỢP WINCOMMERCE</v>
      </c>
      <c r="G491" s="16" t="str">
        <f>VLOOKUP(Table8[[#This Row],[Mã khách hàng]],code_khach_hang[],3,0)</f>
        <v>Miền Bắc đặc biệt 1</v>
      </c>
      <c r="H491" t="str">
        <f>VLOOKUP(Table8[[#This Row],[Mã khách hàng]],'Khách hàng'!A:D,4,0)</f>
        <v>Food Đức Việt</v>
      </c>
      <c r="I491" t="str">
        <f>VLOOKUP(Table8[[#This Row],[Mã khách hàng]],'Khách hàng'!A:E,5,0)</f>
        <v>HN0040</v>
      </c>
    </row>
    <row r="492" spans="1:9">
      <c r="A492" s="14" t="s">
        <v>5556</v>
      </c>
      <c r="B492" s="15" t="s">
        <v>5</v>
      </c>
      <c r="C492" s="10" t="s">
        <v>5557</v>
      </c>
      <c r="D492" s="16" t="s">
        <v>1987</v>
      </c>
      <c r="E492" s="15" t="s">
        <v>11215</v>
      </c>
      <c r="F492" s="16" t="str">
        <f>VLOOKUP(Table8[[#This Row],[Mã khách hàng]],code_khach_hang[],2,0)</f>
        <v>CHI NHÁNH HÀ NỘI - CÔNG TY CỔ PHẦN DỊCH VỤ THƯƠNG MẠI TỔNG HỢP WINCOMMERCE</v>
      </c>
      <c r="G492" s="16" t="str">
        <f>VLOOKUP(Table8[[#This Row],[Mã khách hàng]],code_khach_hang[],3,0)</f>
        <v>Miền Bắc đặc biệt 1</v>
      </c>
      <c r="H492" t="str">
        <f>VLOOKUP(Table8[[#This Row],[Mã khách hàng]],'Khách hàng'!A:D,4,0)</f>
        <v>Food Đức Việt</v>
      </c>
      <c r="I492" t="str">
        <f>VLOOKUP(Table8[[#This Row],[Mã khách hàng]],'Khách hàng'!A:E,5,0)</f>
        <v>HN0040</v>
      </c>
    </row>
    <row r="493" spans="1:9">
      <c r="A493" s="14" t="s">
        <v>5842</v>
      </c>
      <c r="B493" s="15" t="s">
        <v>5</v>
      </c>
      <c r="C493" s="10" t="s">
        <v>5843</v>
      </c>
      <c r="D493" s="16" t="s">
        <v>1989</v>
      </c>
      <c r="E493" s="15" t="s">
        <v>11215</v>
      </c>
      <c r="F493" s="16" t="str">
        <f>VLOOKUP(Table8[[#This Row],[Mã khách hàng]],code_khach_hang[],2,0)</f>
        <v>CHI NHÁNH HÀ NỘI - CÔNG TY CỔ PHẦN DỊCH VỤ THƯƠNG MẠI TỔNG HỢP WINCOMMERCE</v>
      </c>
      <c r="G493" s="16" t="str">
        <f>VLOOKUP(Table8[[#This Row],[Mã khách hàng]],code_khach_hang[],3,0)</f>
        <v>Miền Bắc đặc biệt 1</v>
      </c>
      <c r="H493" t="str">
        <f>VLOOKUP(Table8[[#This Row],[Mã khách hàng]],'Khách hàng'!A:D,4,0)</f>
        <v>Food Đức Việt</v>
      </c>
      <c r="I493" t="str">
        <f>VLOOKUP(Table8[[#This Row],[Mã khách hàng]],'Khách hàng'!A:E,5,0)</f>
        <v>HN0040</v>
      </c>
    </row>
    <row r="494" spans="1:9">
      <c r="A494" s="14" t="s">
        <v>6348</v>
      </c>
      <c r="B494" s="15" t="s">
        <v>5</v>
      </c>
      <c r="C494" s="10" t="s">
        <v>6349</v>
      </c>
      <c r="D494" s="16" t="s">
        <v>1992</v>
      </c>
      <c r="E494" s="15" t="s">
        <v>11215</v>
      </c>
      <c r="F494" s="16" t="str">
        <f>VLOOKUP(Table8[[#This Row],[Mã khách hàng]],code_khach_hang[],2,0)</f>
        <v>CHI NHÁNH HÀ NỘI - CÔNG TY CỔ PHẦN DỊCH VỤ THƯƠNG MẠI TỔNG HỢP WINCOMMERCE</v>
      </c>
      <c r="G494" s="16" t="str">
        <f>VLOOKUP(Table8[[#This Row],[Mã khách hàng]],code_khach_hang[],3,0)</f>
        <v>Miền Bắc đặc biệt 1</v>
      </c>
      <c r="H494" t="str">
        <f>VLOOKUP(Table8[[#This Row],[Mã khách hàng]],'Khách hàng'!A:D,4,0)</f>
        <v>Food Đức Việt</v>
      </c>
      <c r="I494" t="str">
        <f>VLOOKUP(Table8[[#This Row],[Mã khách hàng]],'Khách hàng'!A:E,5,0)</f>
        <v>HN0040</v>
      </c>
    </row>
    <row r="495" spans="1:9">
      <c r="A495" s="14" t="s">
        <v>6425</v>
      </c>
      <c r="B495" s="15" t="s">
        <v>5</v>
      </c>
      <c r="C495" s="10" t="s">
        <v>6426</v>
      </c>
      <c r="D495" s="16" t="s">
        <v>1994</v>
      </c>
      <c r="E495" s="14" t="s">
        <v>11215</v>
      </c>
      <c r="F495" s="16" t="str">
        <f>VLOOKUP(Table8[[#This Row],[Mã khách hàng]],code_khach_hang[],2,0)</f>
        <v>CHI NHÁNH HÀ NỘI - CÔNG TY CỔ PHẦN DỊCH VỤ THƯƠNG MẠI TỔNG HỢP WINCOMMERCE</v>
      </c>
      <c r="G495" s="16" t="str">
        <f>VLOOKUP(Table8[[#This Row],[Mã khách hàng]],code_khach_hang[],3,0)</f>
        <v>Miền Bắc đặc biệt 1</v>
      </c>
      <c r="H495" t="str">
        <f>VLOOKUP(Table8[[#This Row],[Mã khách hàng]],'Khách hàng'!A:D,4,0)</f>
        <v>Food Đức Việt</v>
      </c>
      <c r="I495" t="str">
        <f>VLOOKUP(Table8[[#This Row],[Mã khách hàng]],'Khách hàng'!A:E,5,0)</f>
        <v>HN0040</v>
      </c>
    </row>
    <row r="496" spans="1:9">
      <c r="A496" s="14" t="s">
        <v>6536</v>
      </c>
      <c r="B496" s="15" t="s">
        <v>5</v>
      </c>
      <c r="C496" s="10" t="s">
        <v>6537</v>
      </c>
      <c r="D496" s="16" t="s">
        <v>1996</v>
      </c>
      <c r="E496" s="15" t="s">
        <v>11215</v>
      </c>
      <c r="F496" s="16" t="str">
        <f>VLOOKUP(Table8[[#This Row],[Mã khách hàng]],code_khach_hang[],2,0)</f>
        <v>CHI NHÁNH HÀ NỘI - CÔNG TY CỔ PHẦN DỊCH VỤ THƯƠNG MẠI TỔNG HỢP WINCOMMERCE</v>
      </c>
      <c r="G496" s="16" t="str">
        <f>VLOOKUP(Table8[[#This Row],[Mã khách hàng]],code_khach_hang[],3,0)</f>
        <v>Miền Bắc đặc biệt 1</v>
      </c>
      <c r="H496" t="str">
        <f>VLOOKUP(Table8[[#This Row],[Mã khách hàng]],'Khách hàng'!A:D,4,0)</f>
        <v>Food Đức Việt</v>
      </c>
      <c r="I496" t="str">
        <f>VLOOKUP(Table8[[#This Row],[Mã khách hàng]],'Khách hàng'!A:E,5,0)</f>
        <v>HN0040</v>
      </c>
    </row>
    <row r="497" spans="1:9">
      <c r="A497" s="14" t="s">
        <v>6731</v>
      </c>
      <c r="B497" s="15" t="s">
        <v>5</v>
      </c>
      <c r="C497" s="10" t="s">
        <v>6732</v>
      </c>
      <c r="D497" s="16" t="s">
        <v>2000</v>
      </c>
      <c r="E497" s="15" t="s">
        <v>11215</v>
      </c>
      <c r="F497" s="16" t="str">
        <f>VLOOKUP(Table8[[#This Row],[Mã khách hàng]],code_khach_hang[],2,0)</f>
        <v>CHI NHÁNH HÀ NỘI - CÔNG TY CỔ PHẦN DỊCH VỤ THƯƠNG MẠI TỔNG HỢP WINCOMMERCE</v>
      </c>
      <c r="G497" s="16" t="str">
        <f>VLOOKUP(Table8[[#This Row],[Mã khách hàng]],code_khach_hang[],3,0)</f>
        <v>Miền Bắc đặc biệt 1</v>
      </c>
      <c r="H497" t="str">
        <f>VLOOKUP(Table8[[#This Row],[Mã khách hàng]],'Khách hàng'!A:D,4,0)</f>
        <v>Food Đức Việt</v>
      </c>
      <c r="I497" t="str">
        <f>VLOOKUP(Table8[[#This Row],[Mã khách hàng]],'Khách hàng'!A:E,5,0)</f>
        <v>HN0040</v>
      </c>
    </row>
    <row r="498" spans="1:9">
      <c r="A498" s="14" t="s">
        <v>6737</v>
      </c>
      <c r="B498" s="15" t="s">
        <v>5</v>
      </c>
      <c r="C498" s="10" t="s">
        <v>6738</v>
      </c>
      <c r="D498" s="16" t="s">
        <v>2003</v>
      </c>
      <c r="E498" s="15" t="s">
        <v>11215</v>
      </c>
      <c r="F498" s="16" t="str">
        <f>VLOOKUP(Table8[[#This Row],[Mã khách hàng]],code_khach_hang[],2,0)</f>
        <v>CHI NHÁNH HÀ NỘI - CÔNG TY CỔ PHẦN DỊCH VỤ THƯƠNG MẠI TỔNG HỢP WINCOMMERCE</v>
      </c>
      <c r="G498" s="16" t="str">
        <f>VLOOKUP(Table8[[#This Row],[Mã khách hàng]],code_khach_hang[],3,0)</f>
        <v>Miền Bắc đặc biệt 1</v>
      </c>
      <c r="H498" t="str">
        <f>VLOOKUP(Table8[[#This Row],[Mã khách hàng]],'Khách hàng'!A:D,4,0)</f>
        <v>Food Đức Việt</v>
      </c>
      <c r="I498" t="str">
        <f>VLOOKUP(Table8[[#This Row],[Mã khách hàng]],'Khách hàng'!A:E,5,0)</f>
        <v>HN0040</v>
      </c>
    </row>
    <row r="499" spans="1:9">
      <c r="A499" s="14" t="s">
        <v>6791</v>
      </c>
      <c r="B499" s="15" t="s">
        <v>5</v>
      </c>
      <c r="C499" s="10" t="s">
        <v>6792</v>
      </c>
      <c r="D499" s="16" t="s">
        <v>2006</v>
      </c>
      <c r="E499" s="15" t="s">
        <v>11215</v>
      </c>
      <c r="F499" s="16" t="str">
        <f>VLOOKUP(Table8[[#This Row],[Mã khách hàng]],code_khach_hang[],2,0)</f>
        <v>CHI NHÁNH HÀ NỘI - CÔNG TY CỔ PHẦN DỊCH VỤ THƯƠNG MẠI TỔNG HỢP WINCOMMERCE</v>
      </c>
      <c r="G499" s="16" t="str">
        <f>VLOOKUP(Table8[[#This Row],[Mã khách hàng]],code_khach_hang[],3,0)</f>
        <v>Miền Bắc đặc biệt 1</v>
      </c>
      <c r="H499" t="str">
        <f>VLOOKUP(Table8[[#This Row],[Mã khách hàng]],'Khách hàng'!A:D,4,0)</f>
        <v>Food Đức Việt</v>
      </c>
      <c r="I499" t="str">
        <f>VLOOKUP(Table8[[#This Row],[Mã khách hàng]],'Khách hàng'!A:E,5,0)</f>
        <v>HN0040</v>
      </c>
    </row>
    <row r="500" spans="1:9">
      <c r="A500" s="14" t="s">
        <v>6794</v>
      </c>
      <c r="B500" s="15" t="s">
        <v>5</v>
      </c>
      <c r="C500" s="10" t="s">
        <v>6795</v>
      </c>
      <c r="D500" s="16" t="s">
        <v>2009</v>
      </c>
      <c r="E500" s="15" t="s">
        <v>11215</v>
      </c>
      <c r="F500" s="16" t="str">
        <f>VLOOKUP(Table8[[#This Row],[Mã khách hàng]],code_khach_hang[],2,0)</f>
        <v>CHI NHÁNH HÀ NỘI - CÔNG TY CỔ PHẦN DỊCH VỤ THƯƠNG MẠI TỔNG HỢP WINCOMMERCE</v>
      </c>
      <c r="G500" s="16" t="str">
        <f>VLOOKUP(Table8[[#This Row],[Mã khách hàng]],code_khach_hang[],3,0)</f>
        <v>Miền Bắc đặc biệt 1</v>
      </c>
      <c r="H500" t="str">
        <f>VLOOKUP(Table8[[#This Row],[Mã khách hàng]],'Khách hàng'!A:D,4,0)</f>
        <v>Food Đức Việt</v>
      </c>
      <c r="I500" t="str">
        <f>VLOOKUP(Table8[[#This Row],[Mã khách hàng]],'Khách hàng'!A:E,5,0)</f>
        <v>HN0040</v>
      </c>
    </row>
    <row r="501" spans="1:9">
      <c r="A501" s="14" t="s">
        <v>6809</v>
      </c>
      <c r="B501" s="15" t="s">
        <v>5</v>
      </c>
      <c r="C501" s="10" t="s">
        <v>6810</v>
      </c>
      <c r="D501" s="16" t="s">
        <v>2012</v>
      </c>
      <c r="E501" s="15" t="s">
        <v>11215</v>
      </c>
      <c r="F501" s="16" t="str">
        <f>VLOOKUP(Table8[[#This Row],[Mã khách hàng]],code_khach_hang[],2,0)</f>
        <v>CHI NHÁNH HÀ NỘI - CÔNG TY CỔ PHẦN DỊCH VỤ THƯƠNG MẠI TỔNG HỢP WINCOMMERCE</v>
      </c>
      <c r="G501" s="16" t="str">
        <f>VLOOKUP(Table8[[#This Row],[Mã khách hàng]],code_khach_hang[],3,0)</f>
        <v>Miền Bắc đặc biệt 1</v>
      </c>
      <c r="H501" t="str">
        <f>VLOOKUP(Table8[[#This Row],[Mã khách hàng]],'Khách hàng'!A:D,4,0)</f>
        <v>Food Đức Việt</v>
      </c>
      <c r="I501" t="str">
        <f>VLOOKUP(Table8[[#This Row],[Mã khách hàng]],'Khách hàng'!A:E,5,0)</f>
        <v>HN0040</v>
      </c>
    </row>
    <row r="502" spans="1:9">
      <c r="A502" s="14" t="s">
        <v>11099</v>
      </c>
      <c r="B502" s="15" t="s">
        <v>5</v>
      </c>
      <c r="C502" s="10" t="s">
        <v>13148</v>
      </c>
      <c r="D502" s="16" t="s">
        <v>2015</v>
      </c>
      <c r="E502" s="15" t="s">
        <v>11215</v>
      </c>
      <c r="F502" s="16" t="str">
        <f>VLOOKUP(Table8[[#This Row],[Mã khách hàng]],code_khach_hang[],2,0)</f>
        <v>CHI NHÁNH HÀ NỘI - CÔNG TY CỔ PHẦN DỊCH VỤ THƯƠNG MẠI TỔNG HỢP WINCOMMERCE</v>
      </c>
      <c r="G502" s="16" t="str">
        <f>VLOOKUP(Table8[[#This Row],[Mã khách hàng]],code_khach_hang[],3,0)</f>
        <v>Miền Bắc đặc biệt 1</v>
      </c>
      <c r="H502" t="str">
        <f>VLOOKUP(Table8[[#This Row],[Mã khách hàng]],'Khách hàng'!A:D,4,0)</f>
        <v>Food Đức Việt</v>
      </c>
      <c r="I502" t="str">
        <f>VLOOKUP(Table8[[#This Row],[Mã khách hàng]],'Khách hàng'!A:E,5,0)</f>
        <v>HN0040</v>
      </c>
    </row>
    <row r="503" spans="1:9">
      <c r="A503" s="14" t="s">
        <v>6818</v>
      </c>
      <c r="B503" s="15" t="s">
        <v>5</v>
      </c>
      <c r="C503" s="10" t="s">
        <v>6819</v>
      </c>
      <c r="D503" s="16" t="s">
        <v>2018</v>
      </c>
      <c r="E503" s="15" t="s">
        <v>11215</v>
      </c>
      <c r="F503" s="16" t="str">
        <f>VLOOKUP(Table8[[#This Row],[Mã khách hàng]],code_khach_hang[],2,0)</f>
        <v>CHI NHÁNH HÀ NỘI - CÔNG TY CỔ PHẦN DỊCH VỤ THƯƠNG MẠI TỔNG HỢP WINCOMMERCE</v>
      </c>
      <c r="G503" s="16" t="str">
        <f>VLOOKUP(Table8[[#This Row],[Mã khách hàng]],code_khach_hang[],3,0)</f>
        <v>Miền Bắc đặc biệt 1</v>
      </c>
      <c r="H503" t="str">
        <f>VLOOKUP(Table8[[#This Row],[Mã khách hàng]],'Khách hàng'!A:D,4,0)</f>
        <v>Food Đức Việt</v>
      </c>
      <c r="I503" t="str">
        <f>VLOOKUP(Table8[[#This Row],[Mã khách hàng]],'Khách hàng'!A:E,5,0)</f>
        <v>HN0040</v>
      </c>
    </row>
    <row r="504" spans="1:9">
      <c r="A504" s="14" t="s">
        <v>6821</v>
      </c>
      <c r="B504" s="15" t="s">
        <v>5</v>
      </c>
      <c r="C504" s="10" t="s">
        <v>6822</v>
      </c>
      <c r="D504" s="16" t="s">
        <v>2021</v>
      </c>
      <c r="E504" s="14" t="s">
        <v>11215</v>
      </c>
      <c r="F504" s="16" t="str">
        <f>VLOOKUP(Table8[[#This Row],[Mã khách hàng]],code_khach_hang[],2,0)</f>
        <v>CHI NHÁNH HÀ NỘI - CÔNG TY CỔ PHẦN DỊCH VỤ THƯƠNG MẠI TỔNG HỢP WINCOMMERCE</v>
      </c>
      <c r="G504" s="16" t="str">
        <f>VLOOKUP(Table8[[#This Row],[Mã khách hàng]],code_khach_hang[],3,0)</f>
        <v>Miền Bắc đặc biệt 1</v>
      </c>
      <c r="H504" t="str">
        <f>VLOOKUP(Table8[[#This Row],[Mã khách hàng]],'Khách hàng'!A:D,4,0)</f>
        <v>Food Đức Việt</v>
      </c>
      <c r="I504" t="str">
        <f>VLOOKUP(Table8[[#This Row],[Mã khách hàng]],'Khách hàng'!A:E,5,0)</f>
        <v>HN0040</v>
      </c>
    </row>
    <row r="505" spans="1:9">
      <c r="A505" s="14" t="s">
        <v>6839</v>
      </c>
      <c r="B505" s="15" t="s">
        <v>5</v>
      </c>
      <c r="C505" s="10" t="s">
        <v>6840</v>
      </c>
      <c r="D505" s="16" t="s">
        <v>2024</v>
      </c>
      <c r="E505" s="15" t="s">
        <v>11215</v>
      </c>
      <c r="F505" s="16" t="str">
        <f>VLOOKUP(Table8[[#This Row],[Mã khách hàng]],code_khach_hang[],2,0)</f>
        <v>CHI NHÁNH HÀ NỘI - CÔNG TY CỔ PHẦN DỊCH VỤ THƯƠNG MẠI TỔNG HỢP WINCOMMERCE</v>
      </c>
      <c r="G505" s="16" t="str">
        <f>VLOOKUP(Table8[[#This Row],[Mã khách hàng]],code_khach_hang[],3,0)</f>
        <v>Miền Bắc đặc biệt 1</v>
      </c>
      <c r="H505" t="str">
        <f>VLOOKUP(Table8[[#This Row],[Mã khách hàng]],'Khách hàng'!A:D,4,0)</f>
        <v>Food Đức Việt</v>
      </c>
      <c r="I505" t="str">
        <f>VLOOKUP(Table8[[#This Row],[Mã khách hàng]],'Khách hàng'!A:E,5,0)</f>
        <v>HN0040</v>
      </c>
    </row>
    <row r="506" spans="1:9">
      <c r="A506" s="14" t="s">
        <v>6842</v>
      </c>
      <c r="B506" s="15" t="s">
        <v>5</v>
      </c>
      <c r="C506" s="10" t="s">
        <v>6843</v>
      </c>
      <c r="D506" s="16" t="s">
        <v>2027</v>
      </c>
      <c r="E506" s="15" t="s">
        <v>11215</v>
      </c>
      <c r="F506" s="16" t="str">
        <f>VLOOKUP(Table8[[#This Row],[Mã khách hàng]],code_khach_hang[],2,0)</f>
        <v>CHI NHÁNH HÀ NỘI - CÔNG TY CỔ PHẦN DỊCH VỤ THƯƠNG MẠI TỔNG HỢP WINCOMMERCE</v>
      </c>
      <c r="G506" s="16" t="str">
        <f>VLOOKUP(Table8[[#This Row],[Mã khách hàng]],code_khach_hang[],3,0)</f>
        <v>Miền Bắc đặc biệt 1</v>
      </c>
      <c r="H506" t="str">
        <f>VLOOKUP(Table8[[#This Row],[Mã khách hàng]],'Khách hàng'!A:D,4,0)</f>
        <v>Food Đức Việt</v>
      </c>
      <c r="I506" t="str">
        <f>VLOOKUP(Table8[[#This Row],[Mã khách hàng]],'Khách hàng'!A:E,5,0)</f>
        <v>HN0040</v>
      </c>
    </row>
    <row r="507" spans="1:9">
      <c r="A507" s="14" t="s">
        <v>6890</v>
      </c>
      <c r="B507" s="15" t="s">
        <v>5</v>
      </c>
      <c r="C507" s="10" t="s">
        <v>6891</v>
      </c>
      <c r="D507" s="16" t="s">
        <v>2030</v>
      </c>
      <c r="E507" s="15" t="s">
        <v>11215</v>
      </c>
      <c r="F507" s="16" t="str">
        <f>VLOOKUP(Table8[[#This Row],[Mã khách hàng]],code_khach_hang[],2,0)</f>
        <v>CHI NHÁNH HÀ NỘI - CÔNG TY CỔ PHẦN DỊCH VỤ THƯƠNG MẠI TỔNG HỢP WINCOMMERCE</v>
      </c>
      <c r="G507" s="16" t="str">
        <f>VLOOKUP(Table8[[#This Row],[Mã khách hàng]],code_khach_hang[],3,0)</f>
        <v>Miền Bắc đặc biệt 1</v>
      </c>
      <c r="H507" t="str">
        <f>VLOOKUP(Table8[[#This Row],[Mã khách hàng]],'Khách hàng'!A:D,4,0)</f>
        <v>Food Đức Việt</v>
      </c>
      <c r="I507" t="str">
        <f>VLOOKUP(Table8[[#This Row],[Mã khách hàng]],'Khách hàng'!A:E,5,0)</f>
        <v>HN0040</v>
      </c>
    </row>
    <row r="508" spans="1:9">
      <c r="A508" s="14" t="s">
        <v>6893</v>
      </c>
      <c r="B508" s="15" t="s">
        <v>5</v>
      </c>
      <c r="C508" s="10" t="s">
        <v>6894</v>
      </c>
      <c r="D508" s="16" t="s">
        <v>2033</v>
      </c>
      <c r="E508" s="15" t="s">
        <v>11215</v>
      </c>
      <c r="F508" s="16" t="str">
        <f>VLOOKUP(Table8[[#This Row],[Mã khách hàng]],code_khach_hang[],2,0)</f>
        <v>CHI NHÁNH HÀ NỘI - CÔNG TY CỔ PHẦN DỊCH VỤ THƯƠNG MẠI TỔNG HỢP WINCOMMERCE</v>
      </c>
      <c r="G508" s="16" t="str">
        <f>VLOOKUP(Table8[[#This Row],[Mã khách hàng]],code_khach_hang[],3,0)</f>
        <v>Miền Bắc đặc biệt 1</v>
      </c>
      <c r="H508" t="str">
        <f>VLOOKUP(Table8[[#This Row],[Mã khách hàng]],'Khách hàng'!A:D,4,0)</f>
        <v>Food Đức Việt</v>
      </c>
      <c r="I508" t="str">
        <f>VLOOKUP(Table8[[#This Row],[Mã khách hàng]],'Khách hàng'!A:E,5,0)</f>
        <v>HN0040</v>
      </c>
    </row>
    <row r="509" spans="1:9">
      <c r="A509" s="14" t="s">
        <v>6896</v>
      </c>
      <c r="B509" s="15" t="s">
        <v>5</v>
      </c>
      <c r="C509" s="10" t="s">
        <v>6897</v>
      </c>
      <c r="D509" s="16" t="s">
        <v>2036</v>
      </c>
      <c r="E509" s="15" t="s">
        <v>11215</v>
      </c>
      <c r="F509" s="16" t="str">
        <f>VLOOKUP(Table8[[#This Row],[Mã khách hàng]],code_khach_hang[],2,0)</f>
        <v>CHI NHÁNH HÀ NỘI - CÔNG TY CỔ PHẦN DỊCH VỤ THƯƠNG MẠI TỔNG HỢP WINCOMMERCE</v>
      </c>
      <c r="G509" s="16" t="str">
        <f>VLOOKUP(Table8[[#This Row],[Mã khách hàng]],code_khach_hang[],3,0)</f>
        <v>Miền Bắc đặc biệt 1</v>
      </c>
      <c r="H509" t="str">
        <f>VLOOKUP(Table8[[#This Row],[Mã khách hàng]],'Khách hàng'!A:D,4,0)</f>
        <v>Food Đức Việt</v>
      </c>
      <c r="I509" t="str">
        <f>VLOOKUP(Table8[[#This Row],[Mã khách hàng]],'Khách hàng'!A:E,5,0)</f>
        <v>HN0040</v>
      </c>
    </row>
    <row r="510" spans="1:9">
      <c r="A510" s="14" t="s">
        <v>7183</v>
      </c>
      <c r="B510" s="15" t="s">
        <v>5</v>
      </c>
      <c r="C510" s="10" t="e">
        <v>#N/A</v>
      </c>
      <c r="D510" s="16" t="s">
        <v>2038</v>
      </c>
      <c r="E510" s="15" t="s">
        <v>11215</v>
      </c>
      <c r="F510" s="16" t="str">
        <f>VLOOKUP(Table8[[#This Row],[Mã khách hàng]],code_khach_hang[],2,0)</f>
        <v>CHI NHÁNH HÀ NỘI - CÔNG TY CỔ PHẦN DỊCH VỤ THƯƠNG MẠI TỔNG HỢP WINCOMMERCE</v>
      </c>
      <c r="G510" s="16" t="str">
        <f>VLOOKUP(Table8[[#This Row],[Mã khách hàng]],code_khach_hang[],3,0)</f>
        <v>Miền Bắc đặc biệt 1</v>
      </c>
      <c r="H510" t="str">
        <f>VLOOKUP(Table8[[#This Row],[Mã khách hàng]],'Khách hàng'!A:D,4,0)</f>
        <v>Food Đức Việt</v>
      </c>
      <c r="I510" t="str">
        <f>VLOOKUP(Table8[[#This Row],[Mã khách hàng]],'Khách hàng'!A:E,5,0)</f>
        <v>HN0040</v>
      </c>
    </row>
    <row r="511" spans="1:9">
      <c r="A511" s="14" t="s">
        <v>7434</v>
      </c>
      <c r="B511" s="15" t="s">
        <v>5</v>
      </c>
      <c r="C511" s="10" t="s">
        <v>7435</v>
      </c>
      <c r="D511" s="16" t="s">
        <v>2041</v>
      </c>
      <c r="E511" s="15" t="s">
        <v>11215</v>
      </c>
      <c r="F511" s="16" t="str">
        <f>VLOOKUP(Table8[[#This Row],[Mã khách hàng]],code_khach_hang[],2,0)</f>
        <v>CHI NHÁNH HÀ NỘI - CÔNG TY CỔ PHẦN DỊCH VỤ THƯƠNG MẠI TỔNG HỢP WINCOMMERCE</v>
      </c>
      <c r="G511" s="16" t="str">
        <f>VLOOKUP(Table8[[#This Row],[Mã khách hàng]],code_khach_hang[],3,0)</f>
        <v>Miền Bắc đặc biệt 1</v>
      </c>
      <c r="H511" t="str">
        <f>VLOOKUP(Table8[[#This Row],[Mã khách hàng]],'Khách hàng'!A:D,4,0)</f>
        <v>Food Đức Việt</v>
      </c>
      <c r="I511" t="str">
        <f>VLOOKUP(Table8[[#This Row],[Mã khách hàng]],'Khách hàng'!A:E,5,0)</f>
        <v>HN0040</v>
      </c>
    </row>
    <row r="512" spans="1:9">
      <c r="A512" s="14" t="s">
        <v>7927</v>
      </c>
      <c r="B512" s="15" t="s">
        <v>5</v>
      </c>
      <c r="C512" s="10" t="s">
        <v>7928</v>
      </c>
      <c r="D512" s="16" t="s">
        <v>2044</v>
      </c>
      <c r="E512" s="15" t="s">
        <v>11215</v>
      </c>
      <c r="F512" s="16" t="str">
        <f>VLOOKUP(Table8[[#This Row],[Mã khách hàng]],code_khach_hang[],2,0)</f>
        <v>CHI NHÁNH HÀ NỘI - CÔNG TY CỔ PHẦN DỊCH VỤ THƯƠNG MẠI TỔNG HỢP WINCOMMERCE</v>
      </c>
      <c r="G512" s="16" t="str">
        <f>VLOOKUP(Table8[[#This Row],[Mã khách hàng]],code_khach_hang[],3,0)</f>
        <v>Miền Bắc đặc biệt 1</v>
      </c>
      <c r="H512" t="str">
        <f>VLOOKUP(Table8[[#This Row],[Mã khách hàng]],'Khách hàng'!A:D,4,0)</f>
        <v>Food Đức Việt</v>
      </c>
      <c r="I512" t="str">
        <f>VLOOKUP(Table8[[#This Row],[Mã khách hàng]],'Khách hàng'!A:E,5,0)</f>
        <v>HN0040</v>
      </c>
    </row>
    <row r="513" spans="1:9">
      <c r="A513" s="14" t="s">
        <v>7930</v>
      </c>
      <c r="B513" s="15" t="s">
        <v>5</v>
      </c>
      <c r="C513" s="10" t="s">
        <v>7931</v>
      </c>
      <c r="D513" s="16" t="s">
        <v>2047</v>
      </c>
      <c r="E513" s="15" t="s">
        <v>11215</v>
      </c>
      <c r="F513" s="16" t="str">
        <f>VLOOKUP(Table8[[#This Row],[Mã khách hàng]],code_khach_hang[],2,0)</f>
        <v>CHI NHÁNH HÀ NỘI - CÔNG TY CỔ PHẦN DỊCH VỤ THƯƠNG MẠI TỔNG HỢP WINCOMMERCE</v>
      </c>
      <c r="G513" s="16" t="str">
        <f>VLOOKUP(Table8[[#This Row],[Mã khách hàng]],code_khach_hang[],3,0)</f>
        <v>Miền Bắc đặc biệt 1</v>
      </c>
      <c r="H513" t="str">
        <f>VLOOKUP(Table8[[#This Row],[Mã khách hàng]],'Khách hàng'!A:D,4,0)</f>
        <v>Food Đức Việt</v>
      </c>
      <c r="I513" t="str">
        <f>VLOOKUP(Table8[[#This Row],[Mã khách hàng]],'Khách hàng'!A:E,5,0)</f>
        <v>HN0040</v>
      </c>
    </row>
    <row r="514" spans="1:9">
      <c r="A514" s="14" t="s">
        <v>8355</v>
      </c>
      <c r="B514" s="15" t="s">
        <v>5</v>
      </c>
      <c r="C514" s="10" t="s">
        <v>8356</v>
      </c>
      <c r="D514" s="16" t="s">
        <v>2050</v>
      </c>
      <c r="E514" s="15" t="s">
        <v>11215</v>
      </c>
      <c r="F514" s="16" t="str">
        <f>VLOOKUP(Table8[[#This Row],[Mã khách hàng]],code_khach_hang[],2,0)</f>
        <v>CHI NHÁNH HÀ NỘI - CÔNG TY CỔ PHẦN DỊCH VỤ THƯƠNG MẠI TỔNG HỢP WINCOMMERCE</v>
      </c>
      <c r="G514" s="16" t="str">
        <f>VLOOKUP(Table8[[#This Row],[Mã khách hàng]],code_khach_hang[],3,0)</f>
        <v>Miền Bắc đặc biệt 1</v>
      </c>
      <c r="H514" t="str">
        <f>VLOOKUP(Table8[[#This Row],[Mã khách hàng]],'Khách hàng'!A:D,4,0)</f>
        <v>Food Đức Việt</v>
      </c>
      <c r="I514" t="str">
        <f>VLOOKUP(Table8[[#This Row],[Mã khách hàng]],'Khách hàng'!A:E,5,0)</f>
        <v>HN0040</v>
      </c>
    </row>
    <row r="515" spans="1:9">
      <c r="A515" s="14" t="s">
        <v>1343</v>
      </c>
      <c r="B515" s="15" t="s">
        <v>5</v>
      </c>
      <c r="C515" s="10" t="s">
        <v>1344</v>
      </c>
      <c r="D515" s="16" t="s">
        <v>2053</v>
      </c>
      <c r="E515" s="15" t="s">
        <v>11216</v>
      </c>
      <c r="F515" s="16" t="str">
        <f>VLOOKUP(Table8[[#This Row],[Mã khách hàng]],code_khach_hang[],2,0)</f>
        <v>CHI NHÁNH HƯNG YÊN - CÔNG TY CỔ PHẦN DỊCH VỤ THƯƠNG MẠI TỔNG HỢP WINCOMMERCE</v>
      </c>
      <c r="G515" s="16" t="str">
        <f>VLOOKUP(Table8[[#This Row],[Mã khách hàng]],code_khach_hang[],3,0)</f>
        <v>Miền Bắc đặc biệt 1</v>
      </c>
      <c r="H515" t="str">
        <f>VLOOKUP(Table8[[#This Row],[Mã khách hàng]],'Khách hàng'!A:D,4,0)</f>
        <v>Food Đức Việt</v>
      </c>
      <c r="I515" t="str">
        <f>VLOOKUP(Table8[[#This Row],[Mã khách hàng]],'Khách hàng'!A:E,5,0)</f>
        <v>HN0040</v>
      </c>
    </row>
    <row r="516" spans="1:9">
      <c r="A516" s="14" t="s">
        <v>4209</v>
      </c>
      <c r="B516" s="15" t="s">
        <v>5</v>
      </c>
      <c r="C516" s="10" t="s">
        <v>4210</v>
      </c>
      <c r="D516" s="16" t="s">
        <v>2056</v>
      </c>
      <c r="E516" s="15" t="s">
        <v>11216</v>
      </c>
      <c r="F516" s="16" t="str">
        <f>VLOOKUP(Table8[[#This Row],[Mã khách hàng]],code_khach_hang[],2,0)</f>
        <v>CHI NHÁNH HƯNG YÊN - CÔNG TY CỔ PHẦN DỊCH VỤ THƯƠNG MẠI TỔNG HỢP WINCOMMERCE</v>
      </c>
      <c r="G516" s="16" t="str">
        <f>VLOOKUP(Table8[[#This Row],[Mã khách hàng]],code_khach_hang[],3,0)</f>
        <v>Miền Bắc đặc biệt 1</v>
      </c>
      <c r="H516" t="str">
        <f>VLOOKUP(Table8[[#This Row],[Mã khách hàng]],'Khách hàng'!A:D,4,0)</f>
        <v>Food Đức Việt</v>
      </c>
      <c r="I516" t="str">
        <f>VLOOKUP(Table8[[#This Row],[Mã khách hàng]],'Khách hàng'!A:E,5,0)</f>
        <v>HN0040</v>
      </c>
    </row>
    <row r="517" spans="1:9">
      <c r="A517" s="14" t="s">
        <v>4212</v>
      </c>
      <c r="B517" s="15" t="s">
        <v>5</v>
      </c>
      <c r="C517" s="10" t="s">
        <v>4213</v>
      </c>
      <c r="D517" s="16" t="s">
        <v>2059</v>
      </c>
      <c r="E517" s="15" t="s">
        <v>11216</v>
      </c>
      <c r="F517" s="16" t="str">
        <f>VLOOKUP(Table8[[#This Row],[Mã khách hàng]],code_khach_hang[],2,0)</f>
        <v>CHI NHÁNH HƯNG YÊN - CÔNG TY CỔ PHẦN DỊCH VỤ THƯƠNG MẠI TỔNG HỢP WINCOMMERCE</v>
      </c>
      <c r="G517" s="16" t="str">
        <f>VLOOKUP(Table8[[#This Row],[Mã khách hàng]],code_khach_hang[],3,0)</f>
        <v>Miền Bắc đặc biệt 1</v>
      </c>
      <c r="H517" t="str">
        <f>VLOOKUP(Table8[[#This Row],[Mã khách hàng]],'Khách hàng'!A:D,4,0)</f>
        <v>Food Đức Việt</v>
      </c>
      <c r="I517" t="str">
        <f>VLOOKUP(Table8[[#This Row],[Mã khách hàng]],'Khách hàng'!A:E,5,0)</f>
        <v>HN0040</v>
      </c>
    </row>
    <row r="518" spans="1:9">
      <c r="A518" s="14" t="s">
        <v>4602</v>
      </c>
      <c r="B518" s="15" t="s">
        <v>5</v>
      </c>
      <c r="C518" s="10" t="s">
        <v>4603</v>
      </c>
      <c r="D518" s="16" t="s">
        <v>2062</v>
      </c>
      <c r="E518" s="15" t="s">
        <v>11216</v>
      </c>
      <c r="F518" s="16" t="str">
        <f>VLOOKUP(Table8[[#This Row],[Mã khách hàng]],code_khach_hang[],2,0)</f>
        <v>CHI NHÁNH HƯNG YÊN - CÔNG TY CỔ PHẦN DỊCH VỤ THƯƠNG MẠI TỔNG HỢP WINCOMMERCE</v>
      </c>
      <c r="G518" s="16" t="str">
        <f>VLOOKUP(Table8[[#This Row],[Mã khách hàng]],code_khach_hang[],3,0)</f>
        <v>Miền Bắc đặc biệt 1</v>
      </c>
      <c r="H518" t="str">
        <f>VLOOKUP(Table8[[#This Row],[Mã khách hàng]],'Khách hàng'!A:D,4,0)</f>
        <v>Food Đức Việt</v>
      </c>
      <c r="I518" t="str">
        <f>VLOOKUP(Table8[[#This Row],[Mã khách hàng]],'Khách hàng'!A:E,5,0)</f>
        <v>HN0040</v>
      </c>
    </row>
    <row r="519" spans="1:9">
      <c r="A519" s="14" t="s">
        <v>5076</v>
      </c>
      <c r="B519" s="15" t="s">
        <v>5</v>
      </c>
      <c r="C519" s="10" t="s">
        <v>5077</v>
      </c>
      <c r="D519" s="16" t="s">
        <v>2065</v>
      </c>
      <c r="E519" s="15" t="s">
        <v>11216</v>
      </c>
      <c r="F519" s="16" t="str">
        <f>VLOOKUP(Table8[[#This Row],[Mã khách hàng]],code_khach_hang[],2,0)</f>
        <v>CHI NHÁNH HƯNG YÊN - CÔNG TY CỔ PHẦN DỊCH VỤ THƯƠNG MẠI TỔNG HỢP WINCOMMERCE</v>
      </c>
      <c r="G519" s="16" t="str">
        <f>VLOOKUP(Table8[[#This Row],[Mã khách hàng]],code_khach_hang[],3,0)</f>
        <v>Miền Bắc đặc biệt 1</v>
      </c>
      <c r="H519" t="str">
        <f>VLOOKUP(Table8[[#This Row],[Mã khách hàng]],'Khách hàng'!A:D,4,0)</f>
        <v>Food Đức Việt</v>
      </c>
      <c r="I519" t="str">
        <f>VLOOKUP(Table8[[#This Row],[Mã khách hàng]],'Khách hàng'!A:E,5,0)</f>
        <v>HN0040</v>
      </c>
    </row>
    <row r="520" spans="1:9">
      <c r="A520" s="14" t="s">
        <v>5115</v>
      </c>
      <c r="B520" s="15" t="s">
        <v>5</v>
      </c>
      <c r="C520" s="10" t="s">
        <v>5116</v>
      </c>
      <c r="D520" s="16" t="s">
        <v>2067</v>
      </c>
      <c r="E520" s="15" t="s">
        <v>11216</v>
      </c>
      <c r="F520" s="16" t="str">
        <f>VLOOKUP(Table8[[#This Row],[Mã khách hàng]],code_khach_hang[],2,0)</f>
        <v>CHI NHÁNH HƯNG YÊN - CÔNG TY CỔ PHẦN DỊCH VỤ THƯƠNG MẠI TỔNG HỢP WINCOMMERCE</v>
      </c>
      <c r="G520" s="16" t="str">
        <f>VLOOKUP(Table8[[#This Row],[Mã khách hàng]],code_khach_hang[],3,0)</f>
        <v>Miền Bắc đặc biệt 1</v>
      </c>
      <c r="H520" t="str">
        <f>VLOOKUP(Table8[[#This Row],[Mã khách hàng]],'Khách hàng'!A:D,4,0)</f>
        <v>Food Đức Việt</v>
      </c>
      <c r="I520" t="str">
        <f>VLOOKUP(Table8[[#This Row],[Mã khách hàng]],'Khách hàng'!A:E,5,0)</f>
        <v>HN0040</v>
      </c>
    </row>
    <row r="521" spans="1:9">
      <c r="A521" s="14" t="s">
        <v>5920</v>
      </c>
      <c r="B521" s="15" t="s">
        <v>5</v>
      </c>
      <c r="C521" s="10" t="s">
        <v>5921</v>
      </c>
      <c r="D521" s="16" t="s">
        <v>2070</v>
      </c>
      <c r="E521" s="15" t="s">
        <v>11216</v>
      </c>
      <c r="F521" s="16" t="str">
        <f>VLOOKUP(Table8[[#This Row],[Mã khách hàng]],code_khach_hang[],2,0)</f>
        <v>CHI NHÁNH HƯNG YÊN - CÔNG TY CỔ PHẦN DỊCH VỤ THƯƠNG MẠI TỔNG HỢP WINCOMMERCE</v>
      </c>
      <c r="G521" s="16" t="str">
        <f>VLOOKUP(Table8[[#This Row],[Mã khách hàng]],code_khach_hang[],3,0)</f>
        <v>Miền Bắc đặc biệt 1</v>
      </c>
      <c r="H521" t="str">
        <f>VLOOKUP(Table8[[#This Row],[Mã khách hàng]],'Khách hàng'!A:D,4,0)</f>
        <v>Food Đức Việt</v>
      </c>
      <c r="I521" t="str">
        <f>VLOOKUP(Table8[[#This Row],[Mã khách hàng]],'Khách hàng'!A:E,5,0)</f>
        <v>HN0040</v>
      </c>
    </row>
    <row r="522" spans="1:9">
      <c r="A522" s="14" t="s">
        <v>9333</v>
      </c>
      <c r="B522" s="15" t="s">
        <v>5</v>
      </c>
      <c r="C522" s="10" t="s">
        <v>9334</v>
      </c>
      <c r="D522" s="16" t="s">
        <v>2073</v>
      </c>
      <c r="E522" s="15" t="s">
        <v>11216</v>
      </c>
      <c r="F522" s="16" t="str">
        <f>VLOOKUP(Table8[[#This Row],[Mã khách hàng]],code_khach_hang[],2,0)</f>
        <v>CHI NHÁNH HƯNG YÊN - CÔNG TY CỔ PHẦN DỊCH VỤ THƯƠNG MẠI TỔNG HỢP WINCOMMERCE</v>
      </c>
      <c r="G522" s="16" t="str">
        <f>VLOOKUP(Table8[[#This Row],[Mã khách hàng]],code_khach_hang[],3,0)</f>
        <v>Miền Bắc đặc biệt 1</v>
      </c>
      <c r="H522" t="str">
        <f>VLOOKUP(Table8[[#This Row],[Mã khách hàng]],'Khách hàng'!A:D,4,0)</f>
        <v>Food Đức Việt</v>
      </c>
      <c r="I522" t="str">
        <f>VLOOKUP(Table8[[#This Row],[Mã khách hàng]],'Khách hàng'!A:E,5,0)</f>
        <v>HN0040</v>
      </c>
    </row>
    <row r="523" spans="1:9">
      <c r="A523" s="14" t="s">
        <v>5956</v>
      </c>
      <c r="B523" s="15" t="s">
        <v>5</v>
      </c>
      <c r="C523" s="10" t="s">
        <v>5957</v>
      </c>
      <c r="D523" s="16" t="s">
        <v>2076</v>
      </c>
      <c r="E523" s="15" t="s">
        <v>11216</v>
      </c>
      <c r="F523" s="16" t="str">
        <f>VLOOKUP(Table8[[#This Row],[Mã khách hàng]],code_khach_hang[],2,0)</f>
        <v>CHI NHÁNH HƯNG YÊN - CÔNG TY CỔ PHẦN DỊCH VỤ THƯƠNG MẠI TỔNG HỢP WINCOMMERCE</v>
      </c>
      <c r="G523" s="16" t="str">
        <f>VLOOKUP(Table8[[#This Row],[Mã khách hàng]],code_khach_hang[],3,0)</f>
        <v>Miền Bắc đặc biệt 1</v>
      </c>
      <c r="H523" t="str">
        <f>VLOOKUP(Table8[[#This Row],[Mã khách hàng]],'Khách hàng'!A:D,4,0)</f>
        <v>Food Đức Việt</v>
      </c>
      <c r="I523" t="str">
        <f>VLOOKUP(Table8[[#This Row],[Mã khách hàng]],'Khách hàng'!A:E,5,0)</f>
        <v>HN0040</v>
      </c>
    </row>
    <row r="524" spans="1:9">
      <c r="A524" s="14" t="s">
        <v>6878</v>
      </c>
      <c r="B524" s="15" t="s">
        <v>5</v>
      </c>
      <c r="C524" s="10" t="s">
        <v>6879</v>
      </c>
      <c r="D524" s="16" t="s">
        <v>2078</v>
      </c>
      <c r="E524" s="15" t="s">
        <v>11216</v>
      </c>
      <c r="F524" s="16" t="str">
        <f>VLOOKUP(Table8[[#This Row],[Mã khách hàng]],code_khach_hang[],2,0)</f>
        <v>CHI NHÁNH HƯNG YÊN - CÔNG TY CỔ PHẦN DỊCH VỤ THƯƠNG MẠI TỔNG HỢP WINCOMMERCE</v>
      </c>
      <c r="G524" s="16" t="str">
        <f>VLOOKUP(Table8[[#This Row],[Mã khách hàng]],code_khach_hang[],3,0)</f>
        <v>Miền Bắc đặc biệt 1</v>
      </c>
      <c r="H524" t="str">
        <f>VLOOKUP(Table8[[#This Row],[Mã khách hàng]],'Khách hàng'!A:D,4,0)</f>
        <v>Food Đức Việt</v>
      </c>
      <c r="I524" t="str">
        <f>VLOOKUP(Table8[[#This Row],[Mã khách hàng]],'Khách hàng'!A:E,5,0)</f>
        <v>HN0040</v>
      </c>
    </row>
    <row r="525" spans="1:9">
      <c r="A525" s="14" t="s">
        <v>8868</v>
      </c>
      <c r="B525" s="15" t="s">
        <v>5</v>
      </c>
      <c r="C525" s="10" t="s">
        <v>8869</v>
      </c>
      <c r="D525" s="16" t="s">
        <v>2081</v>
      </c>
      <c r="E525" s="15" t="s">
        <v>11216</v>
      </c>
      <c r="F525" s="16" t="str">
        <f>VLOOKUP(Table8[[#This Row],[Mã khách hàng]],code_khach_hang[],2,0)</f>
        <v>CHI NHÁNH HƯNG YÊN - CÔNG TY CỔ PHẦN DỊCH VỤ THƯƠNG MẠI TỔNG HỢP WINCOMMERCE</v>
      </c>
      <c r="G525" s="16" t="str">
        <f>VLOOKUP(Table8[[#This Row],[Mã khách hàng]],code_khach_hang[],3,0)</f>
        <v>Miền Bắc đặc biệt 1</v>
      </c>
      <c r="H525" t="str">
        <f>VLOOKUP(Table8[[#This Row],[Mã khách hàng]],'Khách hàng'!A:D,4,0)</f>
        <v>Food Đức Việt</v>
      </c>
      <c r="I525" t="str">
        <f>VLOOKUP(Table8[[#This Row],[Mã khách hàng]],'Khách hàng'!A:E,5,0)</f>
        <v>HN0040</v>
      </c>
    </row>
    <row r="526" spans="1:9">
      <c r="A526" s="14" t="s">
        <v>8892</v>
      </c>
      <c r="B526" s="15" t="s">
        <v>5</v>
      </c>
      <c r="C526" s="10" t="s">
        <v>8893</v>
      </c>
      <c r="D526" s="16" t="s">
        <v>2083</v>
      </c>
      <c r="E526" s="15" t="s">
        <v>11216</v>
      </c>
      <c r="F526" s="16" t="str">
        <f>VLOOKUP(Table8[[#This Row],[Mã khách hàng]],code_khach_hang[],2,0)</f>
        <v>CHI NHÁNH HƯNG YÊN - CÔNG TY CỔ PHẦN DỊCH VỤ THƯƠNG MẠI TỔNG HỢP WINCOMMERCE</v>
      </c>
      <c r="G526" s="16" t="str">
        <f>VLOOKUP(Table8[[#This Row],[Mã khách hàng]],code_khach_hang[],3,0)</f>
        <v>Miền Bắc đặc biệt 1</v>
      </c>
      <c r="H526" t="str">
        <f>VLOOKUP(Table8[[#This Row],[Mã khách hàng]],'Khách hàng'!A:D,4,0)</f>
        <v>Food Đức Việt</v>
      </c>
      <c r="I526" t="str">
        <f>VLOOKUP(Table8[[#This Row],[Mã khách hàng]],'Khách hàng'!A:E,5,0)</f>
        <v>HN0040</v>
      </c>
    </row>
    <row r="527" spans="1:9">
      <c r="A527" s="14" t="s">
        <v>9040</v>
      </c>
      <c r="B527" s="15" t="s">
        <v>5</v>
      </c>
      <c r="C527" s="10" t="s">
        <v>9041</v>
      </c>
      <c r="D527" s="16" t="s">
        <v>2086</v>
      </c>
      <c r="E527" s="15" t="s">
        <v>11215</v>
      </c>
      <c r="F527" s="16" t="str">
        <f>VLOOKUP(Table8[[#This Row],[Mã khách hàng]],code_khach_hang[],2,0)</f>
        <v>CHI NHÁNH HÀ NỘI - CÔNG TY CỔ PHẦN DỊCH VỤ THƯƠNG MẠI TỔNG HỢP WINCOMMERCE</v>
      </c>
      <c r="G527" s="16" t="str">
        <f>VLOOKUP(Table8[[#This Row],[Mã khách hàng]],code_khach_hang[],3,0)</f>
        <v>Miền Bắc đặc biệt 1</v>
      </c>
      <c r="H527" t="str">
        <f>VLOOKUP(Table8[[#This Row],[Mã khách hàng]],'Khách hàng'!A:D,4,0)</f>
        <v>Food Đức Việt</v>
      </c>
      <c r="I527" t="str">
        <f>VLOOKUP(Table8[[#This Row],[Mã khách hàng]],'Khách hàng'!A:E,5,0)</f>
        <v>HN0040</v>
      </c>
    </row>
    <row r="528" spans="1:9">
      <c r="A528" s="14" t="s">
        <v>9108</v>
      </c>
      <c r="B528" s="15" t="s">
        <v>5</v>
      </c>
      <c r="C528" s="10" t="s">
        <v>9109</v>
      </c>
      <c r="D528" s="16" t="s">
        <v>2089</v>
      </c>
      <c r="E528" s="15" t="s">
        <v>11215</v>
      </c>
      <c r="F528" s="16" t="str">
        <f>VLOOKUP(Table8[[#This Row],[Mã khách hàng]],code_khach_hang[],2,0)</f>
        <v>CHI NHÁNH HÀ NỘI - CÔNG TY CỔ PHẦN DỊCH VỤ THƯƠNG MẠI TỔNG HỢP WINCOMMERCE</v>
      </c>
      <c r="G528" s="16" t="str">
        <f>VLOOKUP(Table8[[#This Row],[Mã khách hàng]],code_khach_hang[],3,0)</f>
        <v>Miền Bắc đặc biệt 1</v>
      </c>
      <c r="H528" t="str">
        <f>VLOOKUP(Table8[[#This Row],[Mã khách hàng]],'Khách hàng'!A:D,4,0)</f>
        <v>Food Đức Việt</v>
      </c>
      <c r="I528" t="str">
        <f>VLOOKUP(Table8[[#This Row],[Mã khách hàng]],'Khách hàng'!A:E,5,0)</f>
        <v>HN0040</v>
      </c>
    </row>
    <row r="529" spans="1:9">
      <c r="A529" s="14" t="s">
        <v>2333</v>
      </c>
      <c r="B529" s="15" t="s">
        <v>5</v>
      </c>
      <c r="C529" s="10" t="s">
        <v>2334</v>
      </c>
      <c r="D529" s="16" t="s">
        <v>2092</v>
      </c>
      <c r="E529" s="15" t="s">
        <v>11215</v>
      </c>
      <c r="F529" s="16" t="str">
        <f>VLOOKUP(Table8[[#This Row],[Mã khách hàng]],code_khach_hang[],2,0)</f>
        <v>CHI NHÁNH HÀ NỘI - CÔNG TY CỔ PHẦN DỊCH VỤ THƯƠNG MẠI TỔNG HỢP WINCOMMERCE</v>
      </c>
      <c r="G529" s="16" t="str">
        <f>VLOOKUP(Table8[[#This Row],[Mã khách hàng]],code_khach_hang[],3,0)</f>
        <v>Miền Bắc đặc biệt 1</v>
      </c>
      <c r="H529" t="str">
        <f>VLOOKUP(Table8[[#This Row],[Mã khách hàng]],'Khách hàng'!A:D,4,0)</f>
        <v>Food Đức Việt</v>
      </c>
      <c r="I529" t="str">
        <f>VLOOKUP(Table8[[#This Row],[Mã khách hàng]],'Khách hàng'!A:E,5,0)</f>
        <v>HN0040</v>
      </c>
    </row>
    <row r="530" spans="1:9">
      <c r="A530" s="14" t="s">
        <v>2625</v>
      </c>
      <c r="B530" s="15" t="s">
        <v>5</v>
      </c>
      <c r="C530" s="10" t="s">
        <v>2626</v>
      </c>
      <c r="D530" s="16" t="s">
        <v>2095</v>
      </c>
      <c r="E530" s="15" t="s">
        <v>11216</v>
      </c>
      <c r="F530" s="16" t="str">
        <f>VLOOKUP(Table8[[#This Row],[Mã khách hàng]],code_khach_hang[],2,0)</f>
        <v>CHI NHÁNH HƯNG YÊN - CÔNG TY CỔ PHẦN DỊCH VỤ THƯƠNG MẠI TỔNG HỢP WINCOMMERCE</v>
      </c>
      <c r="G530" s="16" t="str">
        <f>VLOOKUP(Table8[[#This Row],[Mã khách hàng]],code_khach_hang[],3,0)</f>
        <v>Miền Bắc đặc biệt 1</v>
      </c>
      <c r="H530" t="str">
        <f>VLOOKUP(Table8[[#This Row],[Mã khách hàng]],'Khách hàng'!A:D,4,0)</f>
        <v>Food Đức Việt</v>
      </c>
      <c r="I530" t="str">
        <f>VLOOKUP(Table8[[#This Row],[Mã khách hàng]],'Khách hàng'!A:E,5,0)</f>
        <v>HN0040</v>
      </c>
    </row>
    <row r="531" spans="1:9">
      <c r="A531" s="14" t="s">
        <v>2697</v>
      </c>
      <c r="B531" s="15" t="s">
        <v>5</v>
      </c>
      <c r="C531" s="10" t="s">
        <v>2698</v>
      </c>
      <c r="D531" s="16" t="s">
        <v>2098</v>
      </c>
      <c r="E531" s="15" t="s">
        <v>11215</v>
      </c>
      <c r="F531" s="16" t="str">
        <f>VLOOKUP(Table8[[#This Row],[Mã khách hàng]],code_khach_hang[],2,0)</f>
        <v>CHI NHÁNH HÀ NỘI - CÔNG TY CỔ PHẦN DỊCH VỤ THƯƠNG MẠI TỔNG HỢP WINCOMMERCE</v>
      </c>
      <c r="G531" s="16" t="str">
        <f>VLOOKUP(Table8[[#This Row],[Mã khách hàng]],code_khach_hang[],3,0)</f>
        <v>Miền Bắc đặc biệt 1</v>
      </c>
      <c r="H531" t="str">
        <f>VLOOKUP(Table8[[#This Row],[Mã khách hàng]],'Khách hàng'!A:D,4,0)</f>
        <v>Food Đức Việt</v>
      </c>
      <c r="I531" t="str">
        <f>VLOOKUP(Table8[[#This Row],[Mã khách hàng]],'Khách hàng'!A:E,5,0)</f>
        <v>HN0040</v>
      </c>
    </row>
    <row r="532" spans="1:9">
      <c r="A532" s="14" t="s">
        <v>640</v>
      </c>
      <c r="B532" s="15" t="s">
        <v>183</v>
      </c>
      <c r="C532" s="10" t="s">
        <v>641</v>
      </c>
      <c r="D532" s="16" t="s">
        <v>2101</v>
      </c>
      <c r="E532" s="15" t="s">
        <v>11195</v>
      </c>
      <c r="F532" s="16" t="str">
        <f>VLOOKUP(Table8[[#This Row],[Mã khách hàng]],code_khach_hang[],2,0)</f>
        <v>CHI NHÁNH HÀ NỘI - CÔNG TY CỔ PHẦN DỊCH VỤ THƯƠNG MẠI TỔNG HỢP WINCOMMERCE</v>
      </c>
      <c r="G532" s="16" t="str">
        <f>VLOOKUP(Table8[[#This Row],[Mã khách hàng]],code_khach_hang[],3,0)</f>
        <v>Miền Bắc đặc biệt 2</v>
      </c>
      <c r="H532" t="str">
        <f>VLOOKUP(Table8[[#This Row],[Mã khách hàng]],'Khách hàng'!A:D,4,0)</f>
        <v>Food Đức Việt</v>
      </c>
      <c r="I532" t="str">
        <f>VLOOKUP(Table8[[#This Row],[Mã khách hàng]],'Khách hàng'!A:E,5,0)</f>
        <v>HN0040</v>
      </c>
    </row>
    <row r="533" spans="1:9">
      <c r="A533" s="14" t="s">
        <v>6902</v>
      </c>
      <c r="B533" s="15" t="s">
        <v>5</v>
      </c>
      <c r="C533" s="10" t="s">
        <v>6903</v>
      </c>
      <c r="D533" s="16" t="s">
        <v>2104</v>
      </c>
      <c r="E533" s="15" t="s">
        <v>11217</v>
      </c>
      <c r="F533" s="16" t="str">
        <f>VLOOKUP(Table8[[#This Row],[Mã khách hàng]],code_khach_hang[],2,0)</f>
        <v>CHI NHÁNH BẮC GIANG - CÔNG TY CỔ PHẦN DỊCH VỤ THƯƠNG MẠI TỔNG HỢP WINCOMMERCE</v>
      </c>
      <c r="G533" s="16" t="str">
        <f>VLOOKUP(Table8[[#This Row],[Mã khách hàng]],code_khach_hang[],3,0)</f>
        <v>Miền Bắc đặc biệt 2</v>
      </c>
      <c r="H533" t="str">
        <f>VLOOKUP(Table8[[#This Row],[Mã khách hàng]],'Khách hàng'!A:D,4,0)</f>
        <v>Food Đức Việt</v>
      </c>
      <c r="I533" t="str">
        <f>VLOOKUP(Table8[[#This Row],[Mã khách hàng]],'Khách hàng'!A:E,5,0)</f>
        <v>HN0040</v>
      </c>
    </row>
    <row r="534" spans="1:9">
      <c r="A534" s="14" t="s">
        <v>6935</v>
      </c>
      <c r="B534" s="15" t="s">
        <v>5</v>
      </c>
      <c r="C534" s="10" t="s">
        <v>6936</v>
      </c>
      <c r="D534" s="16" t="s">
        <v>2107</v>
      </c>
      <c r="E534" s="14" t="s">
        <v>11217</v>
      </c>
      <c r="F534" s="16" t="str">
        <f>VLOOKUP(Table8[[#This Row],[Mã khách hàng]],code_khach_hang[],2,0)</f>
        <v>CHI NHÁNH BẮC GIANG - CÔNG TY CỔ PHẦN DỊCH VỤ THƯƠNG MẠI TỔNG HỢP WINCOMMERCE</v>
      </c>
      <c r="G534" s="16" t="str">
        <f>VLOOKUP(Table8[[#This Row],[Mã khách hàng]],code_khach_hang[],3,0)</f>
        <v>Miền Bắc đặc biệt 2</v>
      </c>
      <c r="H534" t="str">
        <f>VLOOKUP(Table8[[#This Row],[Mã khách hàng]],'Khách hàng'!A:D,4,0)</f>
        <v>Food Đức Việt</v>
      </c>
      <c r="I534" t="str">
        <f>VLOOKUP(Table8[[#This Row],[Mã khách hàng]],'Khách hàng'!A:E,5,0)</f>
        <v>HN0040</v>
      </c>
    </row>
    <row r="535" spans="1:9">
      <c r="A535" s="14" t="s">
        <v>7571</v>
      </c>
      <c r="B535" s="15" t="s">
        <v>5</v>
      </c>
      <c r="C535" s="10" t="s">
        <v>7572</v>
      </c>
      <c r="D535" s="16" t="s">
        <v>2110</v>
      </c>
      <c r="E535" s="15" t="s">
        <v>11217</v>
      </c>
      <c r="F535" s="16" t="str">
        <f>VLOOKUP(Table8[[#This Row],[Mã khách hàng]],code_khach_hang[],2,0)</f>
        <v>CHI NHÁNH BẮC GIANG - CÔNG TY CỔ PHẦN DỊCH VỤ THƯƠNG MẠI TỔNG HỢP WINCOMMERCE</v>
      </c>
      <c r="G535" s="16" t="str">
        <f>VLOOKUP(Table8[[#This Row],[Mã khách hàng]],code_khach_hang[],3,0)</f>
        <v>Miền Bắc đặc biệt 2</v>
      </c>
      <c r="H535" t="str">
        <f>VLOOKUP(Table8[[#This Row],[Mã khách hàng]],'Khách hàng'!A:D,4,0)</f>
        <v>Food Đức Việt</v>
      </c>
      <c r="I535" t="str">
        <f>VLOOKUP(Table8[[#This Row],[Mã khách hàng]],'Khách hàng'!A:E,5,0)</f>
        <v>HN0040</v>
      </c>
    </row>
    <row r="536" spans="1:9">
      <c r="A536" s="14" t="s">
        <v>7574</v>
      </c>
      <c r="B536" s="15" t="s">
        <v>5</v>
      </c>
      <c r="C536" s="10" t="s">
        <v>7575</v>
      </c>
      <c r="D536" s="16" t="s">
        <v>2113</v>
      </c>
      <c r="E536" s="15" t="s">
        <v>11217</v>
      </c>
      <c r="F536" s="16" t="str">
        <f>VLOOKUP(Table8[[#This Row],[Mã khách hàng]],code_khach_hang[],2,0)</f>
        <v>CHI NHÁNH BẮC GIANG - CÔNG TY CỔ PHẦN DỊCH VỤ THƯƠNG MẠI TỔNG HỢP WINCOMMERCE</v>
      </c>
      <c r="G536" s="16" t="str">
        <f>VLOOKUP(Table8[[#This Row],[Mã khách hàng]],code_khach_hang[],3,0)</f>
        <v>Miền Bắc đặc biệt 2</v>
      </c>
      <c r="H536" t="str">
        <f>VLOOKUP(Table8[[#This Row],[Mã khách hàng]],'Khách hàng'!A:D,4,0)</f>
        <v>Food Đức Việt</v>
      </c>
      <c r="I536" t="str">
        <f>VLOOKUP(Table8[[#This Row],[Mã khách hàng]],'Khách hàng'!A:E,5,0)</f>
        <v>HN0040</v>
      </c>
    </row>
    <row r="537" spans="1:9">
      <c r="A537" s="14" t="s">
        <v>7643</v>
      </c>
      <c r="B537" s="15" t="s">
        <v>5</v>
      </c>
      <c r="C537" s="10" t="s">
        <v>7644</v>
      </c>
      <c r="D537" s="16" t="s">
        <v>2115</v>
      </c>
      <c r="E537" s="15" t="s">
        <v>11217</v>
      </c>
      <c r="F537" s="16" t="str">
        <f>VLOOKUP(Table8[[#This Row],[Mã khách hàng]],code_khach_hang[],2,0)</f>
        <v>CHI NHÁNH BẮC GIANG - CÔNG TY CỔ PHẦN DỊCH VỤ THƯƠNG MẠI TỔNG HỢP WINCOMMERCE</v>
      </c>
      <c r="G537" s="16" t="str">
        <f>VLOOKUP(Table8[[#This Row],[Mã khách hàng]],code_khach_hang[],3,0)</f>
        <v>Miền Bắc đặc biệt 2</v>
      </c>
      <c r="H537" t="str">
        <f>VLOOKUP(Table8[[#This Row],[Mã khách hàng]],'Khách hàng'!A:D,4,0)</f>
        <v>Food Đức Việt</v>
      </c>
      <c r="I537" t="str">
        <f>VLOOKUP(Table8[[#This Row],[Mã khách hàng]],'Khách hàng'!A:E,5,0)</f>
        <v>HN0040</v>
      </c>
    </row>
    <row r="538" spans="1:9">
      <c r="A538" s="14" t="s">
        <v>7583</v>
      </c>
      <c r="B538" s="15" t="s">
        <v>5</v>
      </c>
      <c r="C538" s="10" t="s">
        <v>7584</v>
      </c>
      <c r="D538" s="16" t="s">
        <v>2118</v>
      </c>
      <c r="E538" s="15" t="s">
        <v>11217</v>
      </c>
      <c r="F538" s="16" t="str">
        <f>VLOOKUP(Table8[[#This Row],[Mã khách hàng]],code_khach_hang[],2,0)</f>
        <v>CHI NHÁNH BẮC GIANG - CÔNG TY CỔ PHẦN DỊCH VỤ THƯƠNG MẠI TỔNG HỢP WINCOMMERCE</v>
      </c>
      <c r="G538" s="16" t="str">
        <f>VLOOKUP(Table8[[#This Row],[Mã khách hàng]],code_khach_hang[],3,0)</f>
        <v>Miền Bắc đặc biệt 2</v>
      </c>
      <c r="H538" t="str">
        <f>VLOOKUP(Table8[[#This Row],[Mã khách hàng]],'Khách hàng'!A:D,4,0)</f>
        <v>Food Đức Việt</v>
      </c>
      <c r="I538" t="str">
        <f>VLOOKUP(Table8[[#This Row],[Mã khách hàng]],'Khách hàng'!A:E,5,0)</f>
        <v>HN0040</v>
      </c>
    </row>
    <row r="539" spans="1:9">
      <c r="A539" s="14" t="s">
        <v>8001</v>
      </c>
      <c r="B539" s="15" t="s">
        <v>5</v>
      </c>
      <c r="C539" s="10" t="s">
        <v>8002</v>
      </c>
      <c r="D539" s="16" t="s">
        <v>2120</v>
      </c>
      <c r="E539" s="15" t="s">
        <v>11217</v>
      </c>
      <c r="F539" s="16" t="str">
        <f>VLOOKUP(Table8[[#This Row],[Mã khách hàng]],code_khach_hang[],2,0)</f>
        <v>CHI NHÁNH BẮC GIANG - CÔNG TY CỔ PHẦN DỊCH VỤ THƯƠNG MẠI TỔNG HỢP WINCOMMERCE</v>
      </c>
      <c r="G539" s="16" t="str">
        <f>VLOOKUP(Table8[[#This Row],[Mã khách hàng]],code_khach_hang[],3,0)</f>
        <v>Miền Bắc đặc biệt 2</v>
      </c>
      <c r="H539" t="str">
        <f>VLOOKUP(Table8[[#This Row],[Mã khách hàng]],'Khách hàng'!A:D,4,0)</f>
        <v>Food Đức Việt</v>
      </c>
      <c r="I539" t="str">
        <f>VLOOKUP(Table8[[#This Row],[Mã khách hàng]],'Khách hàng'!A:E,5,0)</f>
        <v>HN0040</v>
      </c>
    </row>
    <row r="540" spans="1:9">
      <c r="A540" s="14" t="s">
        <v>5689</v>
      </c>
      <c r="B540" s="15" t="s">
        <v>5</v>
      </c>
      <c r="C540" s="10" t="s">
        <v>5690</v>
      </c>
      <c r="D540" s="16" t="s">
        <v>2123</v>
      </c>
      <c r="E540" s="15" t="s">
        <v>11217</v>
      </c>
      <c r="F540" s="16" t="str">
        <f>VLOOKUP(Table8[[#This Row],[Mã khách hàng]],code_khach_hang[],2,0)</f>
        <v>CHI NHÁNH BẮC GIANG - CÔNG TY CỔ PHẦN DỊCH VỤ THƯƠNG MẠI TỔNG HỢP WINCOMMERCE</v>
      </c>
      <c r="G540" s="16" t="str">
        <f>VLOOKUP(Table8[[#This Row],[Mã khách hàng]],code_khach_hang[],3,0)</f>
        <v>Miền Bắc đặc biệt 2</v>
      </c>
      <c r="H540" t="str">
        <f>VLOOKUP(Table8[[#This Row],[Mã khách hàng]],'Khách hàng'!A:D,4,0)</f>
        <v>Food Đức Việt</v>
      </c>
      <c r="I540" t="str">
        <f>VLOOKUP(Table8[[#This Row],[Mã khách hàng]],'Khách hàng'!A:E,5,0)</f>
        <v>HN0040</v>
      </c>
    </row>
    <row r="541" spans="1:9">
      <c r="A541" s="14" t="s">
        <v>5692</v>
      </c>
      <c r="B541" s="15" t="s">
        <v>5</v>
      </c>
      <c r="C541" s="10" t="s">
        <v>5693</v>
      </c>
      <c r="D541" s="16" t="s">
        <v>2126</v>
      </c>
      <c r="E541" s="15" t="s">
        <v>11217</v>
      </c>
      <c r="F541" s="16" t="str">
        <f>VLOOKUP(Table8[[#This Row],[Mã khách hàng]],code_khach_hang[],2,0)</f>
        <v>CHI NHÁNH BẮC GIANG - CÔNG TY CỔ PHẦN DỊCH VỤ THƯƠNG MẠI TỔNG HỢP WINCOMMERCE</v>
      </c>
      <c r="G541" s="16" t="str">
        <f>VLOOKUP(Table8[[#This Row],[Mã khách hàng]],code_khach_hang[],3,0)</f>
        <v>Miền Bắc đặc biệt 2</v>
      </c>
      <c r="H541" t="str">
        <f>VLOOKUP(Table8[[#This Row],[Mã khách hàng]],'Khách hàng'!A:D,4,0)</f>
        <v>Food Đức Việt</v>
      </c>
      <c r="I541" t="str">
        <f>VLOOKUP(Table8[[#This Row],[Mã khách hàng]],'Khách hàng'!A:E,5,0)</f>
        <v>HN0040</v>
      </c>
    </row>
    <row r="542" spans="1:9">
      <c r="A542" s="14" t="s">
        <v>5730</v>
      </c>
      <c r="B542" s="15" t="s">
        <v>5</v>
      </c>
      <c r="C542" s="10" t="s">
        <v>5731</v>
      </c>
      <c r="D542" s="16" t="s">
        <v>2128</v>
      </c>
      <c r="E542" s="15" t="s">
        <v>11217</v>
      </c>
      <c r="F542" s="16" t="str">
        <f>VLOOKUP(Table8[[#This Row],[Mã khách hàng]],code_khach_hang[],2,0)</f>
        <v>CHI NHÁNH BẮC GIANG - CÔNG TY CỔ PHẦN DỊCH VỤ THƯƠNG MẠI TỔNG HỢP WINCOMMERCE</v>
      </c>
      <c r="G542" s="16" t="str">
        <f>VLOOKUP(Table8[[#This Row],[Mã khách hàng]],code_khach_hang[],3,0)</f>
        <v>Miền Bắc đặc biệt 2</v>
      </c>
      <c r="H542" t="str">
        <f>VLOOKUP(Table8[[#This Row],[Mã khách hàng]],'Khách hàng'!A:D,4,0)</f>
        <v>Food Đức Việt</v>
      </c>
      <c r="I542" t="str">
        <f>VLOOKUP(Table8[[#This Row],[Mã khách hàng]],'Khách hàng'!A:E,5,0)</f>
        <v>HN0040</v>
      </c>
    </row>
    <row r="543" spans="1:9">
      <c r="A543" s="14" t="s">
        <v>5733</v>
      </c>
      <c r="B543" s="15" t="s">
        <v>5</v>
      </c>
      <c r="C543" s="10" t="s">
        <v>5734</v>
      </c>
      <c r="D543" s="16" t="s">
        <v>2131</v>
      </c>
      <c r="E543" s="15" t="s">
        <v>11217</v>
      </c>
      <c r="F543" s="16" t="str">
        <f>VLOOKUP(Table8[[#This Row],[Mã khách hàng]],code_khach_hang[],2,0)</f>
        <v>CHI NHÁNH BẮC GIANG - CÔNG TY CỔ PHẦN DỊCH VỤ THƯƠNG MẠI TỔNG HỢP WINCOMMERCE</v>
      </c>
      <c r="G543" s="16" t="str">
        <f>VLOOKUP(Table8[[#This Row],[Mã khách hàng]],code_khach_hang[],3,0)</f>
        <v>Miền Bắc đặc biệt 2</v>
      </c>
      <c r="H543" t="str">
        <f>VLOOKUP(Table8[[#This Row],[Mã khách hàng]],'Khách hàng'!A:D,4,0)</f>
        <v>Food Đức Việt</v>
      </c>
      <c r="I543" t="str">
        <f>VLOOKUP(Table8[[#This Row],[Mã khách hàng]],'Khách hàng'!A:E,5,0)</f>
        <v>HN0040</v>
      </c>
    </row>
    <row r="544" spans="1:9">
      <c r="A544" s="14" t="s">
        <v>5738</v>
      </c>
      <c r="B544" s="15" t="s">
        <v>5</v>
      </c>
      <c r="C544" s="10" t="s">
        <v>5739</v>
      </c>
      <c r="D544" s="16" t="s">
        <v>2134</v>
      </c>
      <c r="E544" s="15" t="s">
        <v>11217</v>
      </c>
      <c r="F544" s="16" t="str">
        <f>VLOOKUP(Table8[[#This Row],[Mã khách hàng]],code_khach_hang[],2,0)</f>
        <v>CHI NHÁNH BẮC GIANG - CÔNG TY CỔ PHẦN DỊCH VỤ THƯƠNG MẠI TỔNG HỢP WINCOMMERCE</v>
      </c>
      <c r="G544" s="16" t="str">
        <f>VLOOKUP(Table8[[#This Row],[Mã khách hàng]],code_khach_hang[],3,0)</f>
        <v>Miền Bắc đặc biệt 2</v>
      </c>
      <c r="H544" t="str">
        <f>VLOOKUP(Table8[[#This Row],[Mã khách hàng]],'Khách hàng'!A:D,4,0)</f>
        <v>Food Đức Việt</v>
      </c>
      <c r="I544" t="str">
        <f>VLOOKUP(Table8[[#This Row],[Mã khách hàng]],'Khách hàng'!A:E,5,0)</f>
        <v>HN0040</v>
      </c>
    </row>
    <row r="545" spans="1:9">
      <c r="A545" s="14" t="s">
        <v>5807</v>
      </c>
      <c r="B545" s="15" t="s">
        <v>5</v>
      </c>
      <c r="C545" s="10" t="s">
        <v>5808</v>
      </c>
      <c r="D545" s="16" t="s">
        <v>2137</v>
      </c>
      <c r="E545" s="15" t="s">
        <v>11217</v>
      </c>
      <c r="F545" s="16" t="str">
        <f>VLOOKUP(Table8[[#This Row],[Mã khách hàng]],code_khach_hang[],2,0)</f>
        <v>CHI NHÁNH BẮC GIANG - CÔNG TY CỔ PHẦN DỊCH VỤ THƯƠNG MẠI TỔNG HỢP WINCOMMERCE</v>
      </c>
      <c r="G545" s="16" t="str">
        <f>VLOOKUP(Table8[[#This Row],[Mã khách hàng]],code_khach_hang[],3,0)</f>
        <v>Miền Bắc đặc biệt 2</v>
      </c>
      <c r="H545" t="str">
        <f>VLOOKUP(Table8[[#This Row],[Mã khách hàng]],'Khách hàng'!A:D,4,0)</f>
        <v>Food Đức Việt</v>
      </c>
      <c r="I545" t="str">
        <f>VLOOKUP(Table8[[#This Row],[Mã khách hàng]],'Khách hàng'!A:E,5,0)</f>
        <v>HN0040</v>
      </c>
    </row>
    <row r="546" spans="1:9">
      <c r="A546" s="14" t="s">
        <v>5899</v>
      </c>
      <c r="B546" s="15" t="s">
        <v>5</v>
      </c>
      <c r="C546" s="10" t="s">
        <v>5900</v>
      </c>
      <c r="D546" s="16" t="s">
        <v>2140</v>
      </c>
      <c r="E546" s="15" t="s">
        <v>11217</v>
      </c>
      <c r="F546" s="16" t="str">
        <f>VLOOKUP(Table8[[#This Row],[Mã khách hàng]],code_khach_hang[],2,0)</f>
        <v>CHI NHÁNH BẮC GIANG - CÔNG TY CỔ PHẦN DỊCH VỤ THƯƠNG MẠI TỔNG HỢP WINCOMMERCE</v>
      </c>
      <c r="G546" s="16" t="str">
        <f>VLOOKUP(Table8[[#This Row],[Mã khách hàng]],code_khach_hang[],3,0)</f>
        <v>Miền Bắc đặc biệt 2</v>
      </c>
      <c r="H546" t="str">
        <f>VLOOKUP(Table8[[#This Row],[Mã khách hàng]],'Khách hàng'!A:D,4,0)</f>
        <v>Food Đức Việt</v>
      </c>
      <c r="I546" t="str">
        <f>VLOOKUP(Table8[[#This Row],[Mã khách hàng]],'Khách hàng'!A:E,5,0)</f>
        <v>HN0040</v>
      </c>
    </row>
    <row r="547" spans="1:9">
      <c r="A547" s="14" t="s">
        <v>5935</v>
      </c>
      <c r="B547" s="15" t="s">
        <v>5</v>
      </c>
      <c r="C547" s="10" t="s">
        <v>5936</v>
      </c>
      <c r="D547" s="16" t="s">
        <v>2142</v>
      </c>
      <c r="E547" s="14" t="s">
        <v>11217</v>
      </c>
      <c r="F547" s="16" t="str">
        <f>VLOOKUP(Table8[[#This Row],[Mã khách hàng]],code_khach_hang[],2,0)</f>
        <v>CHI NHÁNH BẮC GIANG - CÔNG TY CỔ PHẦN DỊCH VỤ THƯƠNG MẠI TỔNG HỢP WINCOMMERCE</v>
      </c>
      <c r="G547" s="16" t="str">
        <f>VLOOKUP(Table8[[#This Row],[Mã khách hàng]],code_khach_hang[],3,0)</f>
        <v>Miền Bắc đặc biệt 2</v>
      </c>
      <c r="H547" t="str">
        <f>VLOOKUP(Table8[[#This Row],[Mã khách hàng]],'Khách hàng'!A:D,4,0)</f>
        <v>Food Đức Việt</v>
      </c>
      <c r="I547" t="str">
        <f>VLOOKUP(Table8[[#This Row],[Mã khách hàng]],'Khách hàng'!A:E,5,0)</f>
        <v>HN0040</v>
      </c>
    </row>
    <row r="548" spans="1:9">
      <c r="A548" s="14" t="s">
        <v>6007</v>
      </c>
      <c r="B548" s="15" t="s">
        <v>5</v>
      </c>
      <c r="C548" s="10" t="s">
        <v>6008</v>
      </c>
      <c r="D548" s="16" t="s">
        <v>2144</v>
      </c>
      <c r="E548" s="15" t="s">
        <v>11217</v>
      </c>
      <c r="F548" s="16" t="str">
        <f>VLOOKUP(Table8[[#This Row],[Mã khách hàng]],code_khach_hang[],2,0)</f>
        <v>CHI NHÁNH BẮC GIANG - CÔNG TY CỔ PHẦN DỊCH VỤ THƯƠNG MẠI TỔNG HỢP WINCOMMERCE</v>
      </c>
      <c r="G548" s="16" t="str">
        <f>VLOOKUP(Table8[[#This Row],[Mã khách hàng]],code_khach_hang[],3,0)</f>
        <v>Miền Bắc đặc biệt 2</v>
      </c>
      <c r="H548" t="str">
        <f>VLOOKUP(Table8[[#This Row],[Mã khách hàng]],'Khách hàng'!A:D,4,0)</f>
        <v>Food Đức Việt</v>
      </c>
      <c r="I548" t="str">
        <f>VLOOKUP(Table8[[#This Row],[Mã khách hàng]],'Khách hàng'!A:E,5,0)</f>
        <v>HN0040</v>
      </c>
    </row>
    <row r="549" spans="1:9">
      <c r="A549" s="14" t="s">
        <v>6091</v>
      </c>
      <c r="B549" s="15" t="s">
        <v>5</v>
      </c>
      <c r="C549" s="10" t="s">
        <v>6092</v>
      </c>
      <c r="D549" s="16" t="s">
        <v>2147</v>
      </c>
      <c r="E549" s="15" t="s">
        <v>11217</v>
      </c>
      <c r="F549" s="16" t="str">
        <f>VLOOKUP(Table8[[#This Row],[Mã khách hàng]],code_khach_hang[],2,0)</f>
        <v>CHI NHÁNH BẮC GIANG - CÔNG TY CỔ PHẦN DỊCH VỤ THƯƠNG MẠI TỔNG HỢP WINCOMMERCE</v>
      </c>
      <c r="G549" s="16" t="str">
        <f>VLOOKUP(Table8[[#This Row],[Mã khách hàng]],code_khach_hang[],3,0)</f>
        <v>Miền Bắc đặc biệt 2</v>
      </c>
      <c r="H549" t="str">
        <f>VLOOKUP(Table8[[#This Row],[Mã khách hàng]],'Khách hàng'!A:D,4,0)</f>
        <v>Food Đức Việt</v>
      </c>
      <c r="I549" t="str">
        <f>VLOOKUP(Table8[[#This Row],[Mã khách hàng]],'Khách hàng'!A:E,5,0)</f>
        <v>HN0040</v>
      </c>
    </row>
    <row r="550" spans="1:9">
      <c r="A550" s="14" t="s">
        <v>6485</v>
      </c>
      <c r="B550" s="15" t="s">
        <v>5</v>
      </c>
      <c r="C550" s="10" t="s">
        <v>6486</v>
      </c>
      <c r="D550" s="16" t="s">
        <v>2149</v>
      </c>
      <c r="E550" s="14" t="s">
        <v>11217</v>
      </c>
      <c r="F550" s="16" t="str">
        <f>VLOOKUP(Table8[[#This Row],[Mã khách hàng]],code_khach_hang[],2,0)</f>
        <v>CHI NHÁNH BẮC GIANG - CÔNG TY CỔ PHẦN DỊCH VỤ THƯƠNG MẠI TỔNG HỢP WINCOMMERCE</v>
      </c>
      <c r="G550" s="16" t="str">
        <f>VLOOKUP(Table8[[#This Row],[Mã khách hàng]],code_khach_hang[],3,0)</f>
        <v>Miền Bắc đặc biệt 2</v>
      </c>
      <c r="H550" t="str">
        <f>VLOOKUP(Table8[[#This Row],[Mã khách hàng]],'Khách hàng'!A:D,4,0)</f>
        <v>Food Đức Việt</v>
      </c>
      <c r="I550" t="str">
        <f>VLOOKUP(Table8[[#This Row],[Mã khách hàng]],'Khách hàng'!A:E,5,0)</f>
        <v>HN0040</v>
      </c>
    </row>
    <row r="551" spans="1:9">
      <c r="A551" s="14" t="s">
        <v>6527</v>
      </c>
      <c r="B551" s="15" t="s">
        <v>5</v>
      </c>
      <c r="C551" s="10" t="s">
        <v>6528</v>
      </c>
      <c r="D551" s="16" t="s">
        <v>2152</v>
      </c>
      <c r="E551" s="15" t="s">
        <v>11217</v>
      </c>
      <c r="F551" s="16" t="str">
        <f>VLOOKUP(Table8[[#This Row],[Mã khách hàng]],code_khach_hang[],2,0)</f>
        <v>CHI NHÁNH BẮC GIANG - CÔNG TY CỔ PHẦN DỊCH VỤ THƯƠNG MẠI TỔNG HỢP WINCOMMERCE</v>
      </c>
      <c r="G551" s="16" t="str">
        <f>VLOOKUP(Table8[[#This Row],[Mã khách hàng]],code_khach_hang[],3,0)</f>
        <v>Miền Bắc đặc biệt 2</v>
      </c>
      <c r="H551" t="str">
        <f>VLOOKUP(Table8[[#This Row],[Mã khách hàng]],'Khách hàng'!A:D,4,0)</f>
        <v>Food Đức Việt</v>
      </c>
      <c r="I551" t="str">
        <f>VLOOKUP(Table8[[#This Row],[Mã khách hàng]],'Khách hàng'!A:E,5,0)</f>
        <v>HN0040</v>
      </c>
    </row>
    <row r="552" spans="1:9">
      <c r="A552" s="14" t="s">
        <v>11100</v>
      </c>
      <c r="B552" s="15" t="s">
        <v>5</v>
      </c>
      <c r="C552" s="10" t="e">
        <v>#N/A</v>
      </c>
      <c r="D552" s="16" t="s">
        <v>2155</v>
      </c>
      <c r="E552" s="15" t="s">
        <v>11217</v>
      </c>
      <c r="F552" s="16" t="str">
        <f>VLOOKUP(Table8[[#This Row],[Mã khách hàng]],code_khach_hang[],2,0)</f>
        <v>CHI NHÁNH BẮC GIANG - CÔNG TY CỔ PHẦN DỊCH VỤ THƯƠNG MẠI TỔNG HỢP WINCOMMERCE</v>
      </c>
      <c r="G552" s="16" t="str">
        <f>VLOOKUP(Table8[[#This Row],[Mã khách hàng]],code_khach_hang[],3,0)</f>
        <v>Miền Bắc đặc biệt 2</v>
      </c>
      <c r="H552" t="str">
        <f>VLOOKUP(Table8[[#This Row],[Mã khách hàng]],'Khách hàng'!A:D,4,0)</f>
        <v>Food Đức Việt</v>
      </c>
      <c r="I552" t="str">
        <f>VLOOKUP(Table8[[#This Row],[Mã khách hàng]],'Khách hàng'!A:E,5,0)</f>
        <v>HN0040</v>
      </c>
    </row>
    <row r="553" spans="1:9">
      <c r="A553" s="14" t="s">
        <v>6977</v>
      </c>
      <c r="B553" s="15" t="s">
        <v>5</v>
      </c>
      <c r="C553" s="10" t="s">
        <v>6978</v>
      </c>
      <c r="D553" s="16" t="s">
        <v>2158</v>
      </c>
      <c r="E553" s="15" t="s">
        <v>11201</v>
      </c>
      <c r="F553" s="16" t="str">
        <f>VLOOKUP(Table8[[#This Row],[Mã khách hàng]],code_khach_hang[],2,0)</f>
        <v>CHI NHÁNH HẢI DƯƠNG - CÔNG TY CỔ PHẦN DỊCH VỤ THƯƠNG MẠI TỔNG HỢP WINCOMMERCE</v>
      </c>
      <c r="G553" s="16" t="str">
        <f>VLOOKUP(Table8[[#This Row],[Mã khách hàng]],code_khach_hang[],3,0)</f>
        <v>Miền Bắc đặc biệt 3</v>
      </c>
      <c r="H553" t="str">
        <f>VLOOKUP(Table8[[#This Row],[Mã khách hàng]],'Khách hàng'!A:D,4,0)</f>
        <v>Food Đức Việt</v>
      </c>
      <c r="I553" t="str">
        <f>VLOOKUP(Table8[[#This Row],[Mã khách hàng]],'Khách hàng'!A:E,5,0)</f>
        <v>HN0040</v>
      </c>
    </row>
    <row r="554" spans="1:9">
      <c r="A554" s="14" t="s">
        <v>7237</v>
      </c>
      <c r="B554" s="15" t="s">
        <v>5</v>
      </c>
      <c r="C554" s="10" t="s">
        <v>7238</v>
      </c>
      <c r="D554" s="16" t="s">
        <v>2161</v>
      </c>
      <c r="E554" s="15" t="s">
        <v>11201</v>
      </c>
      <c r="F554" s="16" t="str">
        <f>VLOOKUP(Table8[[#This Row],[Mã khách hàng]],code_khach_hang[],2,0)</f>
        <v>CHI NHÁNH HẢI DƯƠNG - CÔNG TY CỔ PHẦN DỊCH VỤ THƯƠNG MẠI TỔNG HỢP WINCOMMERCE</v>
      </c>
      <c r="G554" s="16" t="str">
        <f>VLOOKUP(Table8[[#This Row],[Mã khách hàng]],code_khach_hang[],3,0)</f>
        <v>Miền Bắc đặc biệt 3</v>
      </c>
      <c r="H554" t="str">
        <f>VLOOKUP(Table8[[#This Row],[Mã khách hàng]],'Khách hàng'!A:D,4,0)</f>
        <v>Food Đức Việt</v>
      </c>
      <c r="I554" t="str">
        <f>VLOOKUP(Table8[[#This Row],[Mã khách hàng]],'Khách hàng'!A:E,5,0)</f>
        <v>HN0040</v>
      </c>
    </row>
    <row r="555" spans="1:9">
      <c r="A555" s="14" t="s">
        <v>7381</v>
      </c>
      <c r="B555" s="15" t="s">
        <v>5</v>
      </c>
      <c r="C555" s="10" t="s">
        <v>7382</v>
      </c>
      <c r="D555" s="16" t="s">
        <v>2164</v>
      </c>
      <c r="E555" s="15" t="s">
        <v>11201</v>
      </c>
      <c r="F555" s="16" t="str">
        <f>VLOOKUP(Table8[[#This Row],[Mã khách hàng]],code_khach_hang[],2,0)</f>
        <v>CHI NHÁNH HẢI DƯƠNG - CÔNG TY CỔ PHẦN DỊCH VỤ THƯƠNG MẠI TỔNG HỢP WINCOMMERCE</v>
      </c>
      <c r="G555" s="16" t="str">
        <f>VLOOKUP(Table8[[#This Row],[Mã khách hàng]],code_khach_hang[],3,0)</f>
        <v>Miền Bắc đặc biệt 3</v>
      </c>
      <c r="H555" t="str">
        <f>VLOOKUP(Table8[[#This Row],[Mã khách hàng]],'Khách hàng'!A:D,4,0)</f>
        <v>Food Đức Việt</v>
      </c>
      <c r="I555" t="str">
        <f>VLOOKUP(Table8[[#This Row],[Mã khách hàng]],'Khách hàng'!A:E,5,0)</f>
        <v>HN0040</v>
      </c>
    </row>
    <row r="556" spans="1:9">
      <c r="A556" s="14" t="s">
        <v>7508</v>
      </c>
      <c r="B556" s="15" t="s">
        <v>5</v>
      </c>
      <c r="C556" s="10" t="s">
        <v>7509</v>
      </c>
      <c r="D556" s="16" t="s">
        <v>2167</v>
      </c>
      <c r="E556" s="15" t="s">
        <v>11201</v>
      </c>
      <c r="F556" s="16" t="str">
        <f>VLOOKUP(Table8[[#This Row],[Mã khách hàng]],code_khach_hang[],2,0)</f>
        <v>CHI NHÁNH HẢI DƯƠNG - CÔNG TY CỔ PHẦN DỊCH VỤ THƯƠNG MẠI TỔNG HỢP WINCOMMERCE</v>
      </c>
      <c r="G556" s="16" t="str">
        <f>VLOOKUP(Table8[[#This Row],[Mã khách hàng]],code_khach_hang[],3,0)</f>
        <v>Miền Bắc đặc biệt 3</v>
      </c>
      <c r="H556" t="str">
        <f>VLOOKUP(Table8[[#This Row],[Mã khách hàng]],'Khách hàng'!A:D,4,0)</f>
        <v>Food Đức Việt</v>
      </c>
      <c r="I556" t="str">
        <f>VLOOKUP(Table8[[#This Row],[Mã khách hàng]],'Khách hàng'!A:E,5,0)</f>
        <v>HN0040</v>
      </c>
    </row>
    <row r="557" spans="1:9">
      <c r="A557" s="14" t="s">
        <v>7682</v>
      </c>
      <c r="B557" s="15" t="s">
        <v>5</v>
      </c>
      <c r="C557" s="10" t="s">
        <v>7683</v>
      </c>
      <c r="D557" s="16" t="s">
        <v>2170</v>
      </c>
      <c r="E557" s="15" t="s">
        <v>11201</v>
      </c>
      <c r="F557" s="16" t="str">
        <f>VLOOKUP(Table8[[#This Row],[Mã khách hàng]],code_khach_hang[],2,0)</f>
        <v>CHI NHÁNH HẢI DƯƠNG - CÔNG TY CỔ PHẦN DỊCH VỤ THƯƠNG MẠI TỔNG HỢP WINCOMMERCE</v>
      </c>
      <c r="G557" s="16" t="str">
        <f>VLOOKUP(Table8[[#This Row],[Mã khách hàng]],code_khach_hang[],3,0)</f>
        <v>Miền Bắc đặc biệt 3</v>
      </c>
      <c r="H557" t="str">
        <f>VLOOKUP(Table8[[#This Row],[Mã khách hàng]],'Khách hàng'!A:D,4,0)</f>
        <v>Food Đức Việt</v>
      </c>
      <c r="I557" t="str">
        <f>VLOOKUP(Table8[[#This Row],[Mã khách hàng]],'Khách hàng'!A:E,5,0)</f>
        <v>HN0040</v>
      </c>
    </row>
    <row r="558" spans="1:9">
      <c r="A558" s="14" t="s">
        <v>7059</v>
      </c>
      <c r="B558" s="15" t="s">
        <v>5</v>
      </c>
      <c r="C558" s="10" t="s">
        <v>7060</v>
      </c>
      <c r="D558" s="16" t="s">
        <v>2172</v>
      </c>
      <c r="E558" s="15" t="s">
        <v>11201</v>
      </c>
      <c r="F558" s="16" t="str">
        <f>VLOOKUP(Table8[[#This Row],[Mã khách hàng]],code_khach_hang[],2,0)</f>
        <v>CHI NHÁNH HẢI DƯƠNG - CÔNG TY CỔ PHẦN DỊCH VỤ THƯƠNG MẠI TỔNG HỢP WINCOMMERCE</v>
      </c>
      <c r="G558" s="16" t="str">
        <f>VLOOKUP(Table8[[#This Row],[Mã khách hàng]],code_khach_hang[],3,0)</f>
        <v>Miền Bắc đặc biệt 3</v>
      </c>
      <c r="H558" t="str">
        <f>VLOOKUP(Table8[[#This Row],[Mã khách hàng]],'Khách hàng'!A:D,4,0)</f>
        <v>Food Đức Việt</v>
      </c>
      <c r="I558" t="str">
        <f>VLOOKUP(Table8[[#This Row],[Mã khách hàng]],'Khách hàng'!A:E,5,0)</f>
        <v>HN0040</v>
      </c>
    </row>
    <row r="559" spans="1:9">
      <c r="A559" s="14" t="s">
        <v>7538</v>
      </c>
      <c r="B559" s="15" t="s">
        <v>5</v>
      </c>
      <c r="C559" s="10" t="s">
        <v>7539</v>
      </c>
      <c r="D559" s="16" t="s">
        <v>2175</v>
      </c>
      <c r="E559" s="15" t="s">
        <v>11201</v>
      </c>
      <c r="F559" s="16" t="str">
        <f>VLOOKUP(Table8[[#This Row],[Mã khách hàng]],code_khach_hang[],2,0)</f>
        <v>CHI NHÁNH HẢI DƯƠNG - CÔNG TY CỔ PHẦN DỊCH VỤ THƯƠNG MẠI TỔNG HỢP WINCOMMERCE</v>
      </c>
      <c r="G559" s="16" t="str">
        <f>VLOOKUP(Table8[[#This Row],[Mã khách hàng]],code_khach_hang[],3,0)</f>
        <v>Miền Bắc đặc biệt 3</v>
      </c>
      <c r="H559" t="str">
        <f>VLOOKUP(Table8[[#This Row],[Mã khách hàng]],'Khách hàng'!A:D,4,0)</f>
        <v>Food Đức Việt</v>
      </c>
      <c r="I559" t="str">
        <f>VLOOKUP(Table8[[#This Row],[Mã khách hàng]],'Khách hàng'!A:E,5,0)</f>
        <v>HN0040</v>
      </c>
    </row>
    <row r="560" spans="1:9">
      <c r="A560" s="14" t="s">
        <v>6959</v>
      </c>
      <c r="B560" s="15" t="s">
        <v>5</v>
      </c>
      <c r="C560" s="10" t="s">
        <v>6960</v>
      </c>
      <c r="D560" s="16" t="s">
        <v>2178</v>
      </c>
      <c r="E560" s="15" t="s">
        <v>11201</v>
      </c>
      <c r="F560" s="16" t="str">
        <f>VLOOKUP(Table8[[#This Row],[Mã khách hàng]],code_khach_hang[],2,0)</f>
        <v>CHI NHÁNH HẢI DƯƠNG - CÔNG TY CỔ PHẦN DỊCH VỤ THƯƠNG MẠI TỔNG HỢP WINCOMMERCE</v>
      </c>
      <c r="G560" s="16" t="str">
        <f>VLOOKUP(Table8[[#This Row],[Mã khách hàng]],code_khach_hang[],3,0)</f>
        <v>Miền Bắc đặc biệt 3</v>
      </c>
      <c r="H560" t="str">
        <f>VLOOKUP(Table8[[#This Row],[Mã khách hàng]],'Khách hàng'!A:D,4,0)</f>
        <v>Food Đức Việt</v>
      </c>
      <c r="I560" t="str">
        <f>VLOOKUP(Table8[[#This Row],[Mã khách hàng]],'Khách hàng'!A:E,5,0)</f>
        <v>HN0040</v>
      </c>
    </row>
    <row r="561" spans="1:9">
      <c r="A561" s="14" t="s">
        <v>6962</v>
      </c>
      <c r="B561" s="15" t="s">
        <v>5</v>
      </c>
      <c r="C561" s="10" t="s">
        <v>6963</v>
      </c>
      <c r="D561" s="16" t="s">
        <v>2181</v>
      </c>
      <c r="E561" s="15" t="s">
        <v>11201</v>
      </c>
      <c r="F561" s="16" t="str">
        <f>VLOOKUP(Table8[[#This Row],[Mã khách hàng]],code_khach_hang[],2,0)</f>
        <v>CHI NHÁNH HẢI DƯƠNG - CÔNG TY CỔ PHẦN DỊCH VỤ THƯƠNG MẠI TỔNG HỢP WINCOMMERCE</v>
      </c>
      <c r="G561" s="16" t="str">
        <f>VLOOKUP(Table8[[#This Row],[Mã khách hàng]],code_khach_hang[],3,0)</f>
        <v>Miền Bắc đặc biệt 3</v>
      </c>
      <c r="H561" t="str">
        <f>VLOOKUP(Table8[[#This Row],[Mã khách hàng]],'Khách hàng'!A:D,4,0)</f>
        <v>Food Đức Việt</v>
      </c>
      <c r="I561" t="str">
        <f>VLOOKUP(Table8[[#This Row],[Mã khách hàng]],'Khách hàng'!A:E,5,0)</f>
        <v>HN0040</v>
      </c>
    </row>
    <row r="562" spans="1:9">
      <c r="A562" s="14" t="s">
        <v>7425</v>
      </c>
      <c r="B562" s="15" t="s">
        <v>5</v>
      </c>
      <c r="C562" s="10" t="s">
        <v>7426</v>
      </c>
      <c r="D562" s="16" t="s">
        <v>2184</v>
      </c>
      <c r="E562" s="15" t="s">
        <v>11201</v>
      </c>
      <c r="F562" s="16" t="str">
        <f>VLOOKUP(Table8[[#This Row],[Mã khách hàng]],code_khach_hang[],2,0)</f>
        <v>CHI NHÁNH HẢI DƯƠNG - CÔNG TY CỔ PHẦN DỊCH VỤ THƯƠNG MẠI TỔNG HỢP WINCOMMERCE</v>
      </c>
      <c r="G562" s="16" t="str">
        <f>VLOOKUP(Table8[[#This Row],[Mã khách hàng]],code_khach_hang[],3,0)</f>
        <v>Miền Bắc đặc biệt 3</v>
      </c>
      <c r="H562" t="str">
        <f>VLOOKUP(Table8[[#This Row],[Mã khách hàng]],'Khách hàng'!A:D,4,0)</f>
        <v>Food Đức Việt</v>
      </c>
      <c r="I562" t="str">
        <f>VLOOKUP(Table8[[#This Row],[Mã khách hàng]],'Khách hàng'!A:E,5,0)</f>
        <v>HN0040</v>
      </c>
    </row>
    <row r="563" spans="1:9">
      <c r="A563" s="14" t="s">
        <v>7431</v>
      </c>
      <c r="B563" s="15" t="s">
        <v>5</v>
      </c>
      <c r="C563" s="10" t="s">
        <v>7432</v>
      </c>
      <c r="D563" s="16" t="s">
        <v>2187</v>
      </c>
      <c r="E563" s="15" t="s">
        <v>11201</v>
      </c>
      <c r="F563" s="16" t="str">
        <f>VLOOKUP(Table8[[#This Row],[Mã khách hàng]],code_khach_hang[],2,0)</f>
        <v>CHI NHÁNH HẢI DƯƠNG - CÔNG TY CỔ PHẦN DỊCH VỤ THƯƠNG MẠI TỔNG HỢP WINCOMMERCE</v>
      </c>
      <c r="G563" s="16" t="str">
        <f>VLOOKUP(Table8[[#This Row],[Mã khách hàng]],code_khach_hang[],3,0)</f>
        <v>Miền Bắc đặc biệt 3</v>
      </c>
      <c r="H563" t="str">
        <f>VLOOKUP(Table8[[#This Row],[Mã khách hàng]],'Khách hàng'!A:D,4,0)</f>
        <v>Food Đức Việt</v>
      </c>
      <c r="I563" t="str">
        <f>VLOOKUP(Table8[[#This Row],[Mã khách hàng]],'Khách hàng'!A:E,5,0)</f>
        <v>HN0040</v>
      </c>
    </row>
    <row r="564" spans="1:9">
      <c r="A564" s="14" t="s">
        <v>7586</v>
      </c>
      <c r="B564" s="15" t="s">
        <v>5</v>
      </c>
      <c r="C564" s="10" t="s">
        <v>7587</v>
      </c>
      <c r="D564" s="16" t="s">
        <v>2190</v>
      </c>
      <c r="E564" s="15" t="s">
        <v>11201</v>
      </c>
      <c r="F564" s="16" t="str">
        <f>VLOOKUP(Table8[[#This Row],[Mã khách hàng]],code_khach_hang[],2,0)</f>
        <v>CHI NHÁNH HẢI DƯƠNG - CÔNG TY CỔ PHẦN DỊCH VỤ THƯƠNG MẠI TỔNG HỢP WINCOMMERCE</v>
      </c>
      <c r="G564" s="16" t="str">
        <f>VLOOKUP(Table8[[#This Row],[Mã khách hàng]],code_khach_hang[],3,0)</f>
        <v>Miền Bắc đặc biệt 3</v>
      </c>
      <c r="H564" t="str">
        <f>VLOOKUP(Table8[[#This Row],[Mã khách hàng]],'Khách hàng'!A:D,4,0)</f>
        <v>Food Đức Việt</v>
      </c>
      <c r="I564" t="str">
        <f>VLOOKUP(Table8[[#This Row],[Mã khách hàng]],'Khách hàng'!A:E,5,0)</f>
        <v>HN0040</v>
      </c>
    </row>
    <row r="565" spans="1:9">
      <c r="A565" s="14" t="s">
        <v>7595</v>
      </c>
      <c r="B565" s="15" t="s">
        <v>5</v>
      </c>
      <c r="C565" s="10" t="s">
        <v>7596</v>
      </c>
      <c r="D565" s="16" t="s">
        <v>2192</v>
      </c>
      <c r="E565" s="15" t="s">
        <v>11201</v>
      </c>
      <c r="F565" s="16" t="str">
        <f>VLOOKUP(Table8[[#This Row],[Mã khách hàng]],code_khach_hang[],2,0)</f>
        <v>CHI NHÁNH HẢI DƯƠNG - CÔNG TY CỔ PHẦN DỊCH VỤ THƯƠNG MẠI TỔNG HỢP WINCOMMERCE</v>
      </c>
      <c r="G565" s="16" t="str">
        <f>VLOOKUP(Table8[[#This Row],[Mã khách hàng]],code_khach_hang[],3,0)</f>
        <v>Miền Bắc đặc biệt 3</v>
      </c>
      <c r="H565" t="str">
        <f>VLOOKUP(Table8[[#This Row],[Mã khách hàng]],'Khách hàng'!A:D,4,0)</f>
        <v>Food Đức Việt</v>
      </c>
      <c r="I565" t="str">
        <f>VLOOKUP(Table8[[#This Row],[Mã khách hàng]],'Khách hàng'!A:E,5,0)</f>
        <v>HN0040</v>
      </c>
    </row>
    <row r="566" spans="1:9">
      <c r="A566" s="14" t="s">
        <v>7652</v>
      </c>
      <c r="B566" s="15" t="s">
        <v>5</v>
      </c>
      <c r="C566" s="10" t="s">
        <v>7653</v>
      </c>
      <c r="D566" s="16" t="s">
        <v>2194</v>
      </c>
      <c r="E566" s="15" t="s">
        <v>11201</v>
      </c>
      <c r="F566" s="16" t="str">
        <f>VLOOKUP(Table8[[#This Row],[Mã khách hàng]],code_khach_hang[],2,0)</f>
        <v>CHI NHÁNH HẢI DƯƠNG - CÔNG TY CỔ PHẦN DỊCH VỤ THƯƠNG MẠI TỔNG HỢP WINCOMMERCE</v>
      </c>
      <c r="G566" s="16" t="str">
        <f>VLOOKUP(Table8[[#This Row],[Mã khách hàng]],code_khach_hang[],3,0)</f>
        <v>Miền Bắc đặc biệt 3</v>
      </c>
      <c r="H566" t="str">
        <f>VLOOKUP(Table8[[#This Row],[Mã khách hàng]],'Khách hàng'!A:D,4,0)</f>
        <v>Food Đức Việt</v>
      </c>
      <c r="I566" t="str">
        <f>VLOOKUP(Table8[[#This Row],[Mã khách hàng]],'Khách hàng'!A:E,5,0)</f>
        <v>HN0040</v>
      </c>
    </row>
    <row r="567" spans="1:9">
      <c r="A567" s="14" t="s">
        <v>7466</v>
      </c>
      <c r="B567" s="15" t="s">
        <v>5</v>
      </c>
      <c r="C567" s="10" t="s">
        <v>7467</v>
      </c>
      <c r="D567" s="16" t="s">
        <v>2197</v>
      </c>
      <c r="E567" s="15" t="s">
        <v>11201</v>
      </c>
      <c r="F567" s="16" t="str">
        <f>VLOOKUP(Table8[[#This Row],[Mã khách hàng]],code_khach_hang[],2,0)</f>
        <v>CHI NHÁNH HẢI DƯƠNG - CÔNG TY CỔ PHẦN DỊCH VỤ THƯƠNG MẠI TỔNG HỢP WINCOMMERCE</v>
      </c>
      <c r="G567" s="16" t="str">
        <f>VLOOKUP(Table8[[#This Row],[Mã khách hàng]],code_khach_hang[],3,0)</f>
        <v>Miền Bắc đặc biệt 3</v>
      </c>
      <c r="H567" t="str">
        <f>VLOOKUP(Table8[[#This Row],[Mã khách hàng]],'Khách hàng'!A:D,4,0)</f>
        <v>Food Đức Việt</v>
      </c>
      <c r="I567" t="str">
        <f>VLOOKUP(Table8[[#This Row],[Mã khách hàng]],'Khách hàng'!A:E,5,0)</f>
        <v>HN0040</v>
      </c>
    </row>
    <row r="568" spans="1:9">
      <c r="A568" s="14" t="s">
        <v>7607</v>
      </c>
      <c r="B568" s="15" t="s">
        <v>5</v>
      </c>
      <c r="C568" s="10" t="s">
        <v>7608</v>
      </c>
      <c r="D568" s="16" t="s">
        <v>2200</v>
      </c>
      <c r="E568" s="15" t="s">
        <v>11201</v>
      </c>
      <c r="F568" s="16" t="str">
        <f>VLOOKUP(Table8[[#This Row],[Mã khách hàng]],code_khach_hang[],2,0)</f>
        <v>CHI NHÁNH HẢI DƯƠNG - CÔNG TY CỔ PHẦN DỊCH VỤ THƯƠNG MẠI TỔNG HỢP WINCOMMERCE</v>
      </c>
      <c r="G568" s="16" t="str">
        <f>VLOOKUP(Table8[[#This Row],[Mã khách hàng]],code_khach_hang[],3,0)</f>
        <v>Miền Bắc đặc biệt 3</v>
      </c>
      <c r="H568" t="str">
        <f>VLOOKUP(Table8[[#This Row],[Mã khách hàng]],'Khách hàng'!A:D,4,0)</f>
        <v>Food Đức Việt</v>
      </c>
      <c r="I568" t="str">
        <f>VLOOKUP(Table8[[#This Row],[Mã khách hàng]],'Khách hàng'!A:E,5,0)</f>
        <v>HN0040</v>
      </c>
    </row>
    <row r="569" spans="1:9">
      <c r="A569" s="14" t="s">
        <v>7736</v>
      </c>
      <c r="B569" s="15" t="s">
        <v>5</v>
      </c>
      <c r="C569" s="10" t="s">
        <v>7737</v>
      </c>
      <c r="D569" s="16" t="s">
        <v>2202</v>
      </c>
      <c r="E569" s="15" t="s">
        <v>11201</v>
      </c>
      <c r="F569" s="16" t="str">
        <f>VLOOKUP(Table8[[#This Row],[Mã khách hàng]],code_khach_hang[],2,0)</f>
        <v>CHI NHÁNH HẢI DƯƠNG - CÔNG TY CỔ PHẦN DỊCH VỤ THƯƠNG MẠI TỔNG HỢP WINCOMMERCE</v>
      </c>
      <c r="G569" s="16" t="str">
        <f>VLOOKUP(Table8[[#This Row],[Mã khách hàng]],code_khach_hang[],3,0)</f>
        <v>Miền Bắc đặc biệt 3</v>
      </c>
      <c r="H569" t="str">
        <f>VLOOKUP(Table8[[#This Row],[Mã khách hàng]],'Khách hàng'!A:D,4,0)</f>
        <v>Food Đức Việt</v>
      </c>
      <c r="I569" t="str">
        <f>VLOOKUP(Table8[[#This Row],[Mã khách hàng]],'Khách hàng'!A:E,5,0)</f>
        <v>HN0040</v>
      </c>
    </row>
    <row r="570" spans="1:9">
      <c r="A570" s="14" t="s">
        <v>7062</v>
      </c>
      <c r="B570" s="15" t="s">
        <v>5</v>
      </c>
      <c r="C570" s="10" t="s">
        <v>7063</v>
      </c>
      <c r="D570" s="16" t="s">
        <v>2205</v>
      </c>
      <c r="E570" s="15" t="s">
        <v>11201</v>
      </c>
      <c r="F570" s="16" t="str">
        <f>VLOOKUP(Table8[[#This Row],[Mã khách hàng]],code_khach_hang[],2,0)</f>
        <v>CHI NHÁNH HẢI DƯƠNG - CÔNG TY CỔ PHẦN DỊCH VỤ THƯƠNG MẠI TỔNG HỢP WINCOMMERCE</v>
      </c>
      <c r="G570" s="16" t="str">
        <f>VLOOKUP(Table8[[#This Row],[Mã khách hàng]],code_khach_hang[],3,0)</f>
        <v>Miền Bắc đặc biệt 3</v>
      </c>
      <c r="H570" t="str">
        <f>VLOOKUP(Table8[[#This Row],[Mã khách hàng]],'Khách hàng'!A:D,4,0)</f>
        <v>Food Đức Việt</v>
      </c>
      <c r="I570" t="str">
        <f>VLOOKUP(Table8[[#This Row],[Mã khách hàng]],'Khách hàng'!A:E,5,0)</f>
        <v>HN0040</v>
      </c>
    </row>
    <row r="571" spans="1:9">
      <c r="A571" s="14" t="s">
        <v>7493</v>
      </c>
      <c r="B571" s="15" t="s">
        <v>5</v>
      </c>
      <c r="C571" s="10" t="s">
        <v>7494</v>
      </c>
      <c r="D571" s="16" t="s">
        <v>2207</v>
      </c>
      <c r="E571" s="15" t="s">
        <v>11201</v>
      </c>
      <c r="F571" s="16" t="str">
        <f>VLOOKUP(Table8[[#This Row],[Mã khách hàng]],code_khach_hang[],2,0)</f>
        <v>CHI NHÁNH HẢI DƯƠNG - CÔNG TY CỔ PHẦN DỊCH VỤ THƯƠNG MẠI TỔNG HỢP WINCOMMERCE</v>
      </c>
      <c r="G571" s="16" t="str">
        <f>VLOOKUP(Table8[[#This Row],[Mã khách hàng]],code_khach_hang[],3,0)</f>
        <v>Miền Bắc đặc biệt 3</v>
      </c>
      <c r="H571" t="str">
        <f>VLOOKUP(Table8[[#This Row],[Mã khách hàng]],'Khách hàng'!A:D,4,0)</f>
        <v>Food Đức Việt</v>
      </c>
      <c r="I571" t="str">
        <f>VLOOKUP(Table8[[#This Row],[Mã khách hàng]],'Khách hàng'!A:E,5,0)</f>
        <v>HN0040</v>
      </c>
    </row>
    <row r="572" spans="1:9">
      <c r="A572" s="14" t="s">
        <v>7348</v>
      </c>
      <c r="B572" s="15" t="s">
        <v>5</v>
      </c>
      <c r="C572" s="10" t="s">
        <v>7349</v>
      </c>
      <c r="D572" s="16" t="s">
        <v>2210</v>
      </c>
      <c r="E572" s="15" t="s">
        <v>11201</v>
      </c>
      <c r="F572" s="16" t="str">
        <f>VLOOKUP(Table8[[#This Row],[Mã khách hàng]],code_khach_hang[],2,0)</f>
        <v>CHI NHÁNH HẢI DƯƠNG - CÔNG TY CỔ PHẦN DỊCH VỤ THƯƠNG MẠI TỔNG HỢP WINCOMMERCE</v>
      </c>
      <c r="G572" s="16" t="str">
        <f>VLOOKUP(Table8[[#This Row],[Mã khách hàng]],code_khach_hang[],3,0)</f>
        <v>Miền Bắc đặc biệt 3</v>
      </c>
      <c r="H572" t="str">
        <f>VLOOKUP(Table8[[#This Row],[Mã khách hàng]],'Khách hàng'!A:D,4,0)</f>
        <v>Food Đức Việt</v>
      </c>
      <c r="I572" t="str">
        <f>VLOOKUP(Table8[[#This Row],[Mã khách hàng]],'Khách hàng'!A:E,5,0)</f>
        <v>HN0040</v>
      </c>
    </row>
    <row r="573" spans="1:9">
      <c r="A573" s="14" t="s">
        <v>7502</v>
      </c>
      <c r="B573" s="15" t="s">
        <v>5</v>
      </c>
      <c r="C573" s="10" t="s">
        <v>7503</v>
      </c>
      <c r="D573" s="16" t="s">
        <v>2213</v>
      </c>
      <c r="E573" s="15" t="s">
        <v>11201</v>
      </c>
      <c r="F573" s="16" t="str">
        <f>VLOOKUP(Table8[[#This Row],[Mã khách hàng]],code_khach_hang[],2,0)</f>
        <v>CHI NHÁNH HẢI DƯƠNG - CÔNG TY CỔ PHẦN DỊCH VỤ THƯƠNG MẠI TỔNG HỢP WINCOMMERCE</v>
      </c>
      <c r="G573" s="16" t="str">
        <f>VLOOKUP(Table8[[#This Row],[Mã khách hàng]],code_khach_hang[],3,0)</f>
        <v>Miền Bắc đặc biệt 3</v>
      </c>
      <c r="H573" t="str">
        <f>VLOOKUP(Table8[[#This Row],[Mã khách hàng]],'Khách hàng'!A:D,4,0)</f>
        <v>Food Đức Việt</v>
      </c>
      <c r="I573" t="str">
        <f>VLOOKUP(Table8[[#This Row],[Mã khách hàng]],'Khách hàng'!A:E,5,0)</f>
        <v>HN0040</v>
      </c>
    </row>
    <row r="574" spans="1:9">
      <c r="A574" s="14" t="s">
        <v>7532</v>
      </c>
      <c r="B574" s="15" t="s">
        <v>5</v>
      </c>
      <c r="C574" s="10" t="s">
        <v>7533</v>
      </c>
      <c r="D574" s="16" t="s">
        <v>2215</v>
      </c>
      <c r="E574" s="15" t="s">
        <v>11201</v>
      </c>
      <c r="F574" s="16" t="str">
        <f>VLOOKUP(Table8[[#This Row],[Mã khách hàng]],code_khach_hang[],2,0)</f>
        <v>CHI NHÁNH HẢI DƯƠNG - CÔNG TY CỔ PHẦN DỊCH VỤ THƯƠNG MẠI TỔNG HỢP WINCOMMERCE</v>
      </c>
      <c r="G574" s="16" t="str">
        <f>VLOOKUP(Table8[[#This Row],[Mã khách hàng]],code_khach_hang[],3,0)</f>
        <v>Miền Bắc đặc biệt 3</v>
      </c>
      <c r="H574" t="str">
        <f>VLOOKUP(Table8[[#This Row],[Mã khách hàng]],'Khách hàng'!A:D,4,0)</f>
        <v>Food Đức Việt</v>
      </c>
      <c r="I574" t="str">
        <f>VLOOKUP(Table8[[#This Row],[Mã khách hàng]],'Khách hàng'!A:E,5,0)</f>
        <v>HN0040</v>
      </c>
    </row>
    <row r="575" spans="1:9">
      <c r="A575" s="14" t="s">
        <v>7366</v>
      </c>
      <c r="B575" s="15" t="s">
        <v>5</v>
      </c>
      <c r="C575" s="10" t="s">
        <v>7367</v>
      </c>
      <c r="D575" s="16" t="s">
        <v>2222</v>
      </c>
      <c r="E575" s="15" t="s">
        <v>11201</v>
      </c>
      <c r="F575" s="16" t="str">
        <f>VLOOKUP(Table8[[#This Row],[Mã khách hàng]],code_khach_hang[],2,0)</f>
        <v>CHI NHÁNH HẢI DƯƠNG - CÔNG TY CỔ PHẦN DỊCH VỤ THƯƠNG MẠI TỔNG HỢP WINCOMMERCE</v>
      </c>
      <c r="G575" s="16" t="str">
        <f>VLOOKUP(Table8[[#This Row],[Mã khách hàng]],code_khach_hang[],3,0)</f>
        <v>Miền Bắc đặc biệt 3</v>
      </c>
      <c r="H575" t="str">
        <f>VLOOKUP(Table8[[#This Row],[Mã khách hàng]],'Khách hàng'!A:D,4,0)</f>
        <v>Food Đức Việt</v>
      </c>
      <c r="I575" t="str">
        <f>VLOOKUP(Table8[[#This Row],[Mã khách hàng]],'Khách hàng'!A:E,5,0)</f>
        <v>HN0040</v>
      </c>
    </row>
    <row r="576" spans="1:9">
      <c r="A576" s="14" t="s">
        <v>7422</v>
      </c>
      <c r="B576" s="15" t="s">
        <v>5</v>
      </c>
      <c r="C576" s="10" t="s">
        <v>7423</v>
      </c>
      <c r="D576" s="16" t="s">
        <v>2225</v>
      </c>
      <c r="E576" s="15" t="s">
        <v>11201</v>
      </c>
      <c r="F576" s="16" t="str">
        <f>VLOOKUP(Table8[[#This Row],[Mã khách hàng]],code_khach_hang[],2,0)</f>
        <v>CHI NHÁNH HẢI DƯƠNG - CÔNG TY CỔ PHẦN DỊCH VỤ THƯƠNG MẠI TỔNG HỢP WINCOMMERCE</v>
      </c>
      <c r="G576" s="16" t="str">
        <f>VLOOKUP(Table8[[#This Row],[Mã khách hàng]],code_khach_hang[],3,0)</f>
        <v>Miền Bắc đặc biệt 3</v>
      </c>
      <c r="H576" t="str">
        <f>VLOOKUP(Table8[[#This Row],[Mã khách hàng]],'Khách hàng'!A:D,4,0)</f>
        <v>Food Đức Việt</v>
      </c>
      <c r="I576" t="str">
        <f>VLOOKUP(Table8[[#This Row],[Mã khách hàng]],'Khách hàng'!A:E,5,0)</f>
        <v>HN0040</v>
      </c>
    </row>
    <row r="577" spans="1:9">
      <c r="A577" s="14" t="s">
        <v>7520</v>
      </c>
      <c r="B577" s="15" t="s">
        <v>5</v>
      </c>
      <c r="C577" s="10" t="s">
        <v>7521</v>
      </c>
      <c r="D577" s="16" t="s">
        <v>2228</v>
      </c>
      <c r="E577" s="15" t="s">
        <v>11201</v>
      </c>
      <c r="F577" s="16" t="str">
        <f>VLOOKUP(Table8[[#This Row],[Mã khách hàng]],code_khach_hang[],2,0)</f>
        <v>CHI NHÁNH HẢI DƯƠNG - CÔNG TY CỔ PHẦN DỊCH VỤ THƯƠNG MẠI TỔNG HỢP WINCOMMERCE</v>
      </c>
      <c r="G577" s="16" t="str">
        <f>VLOOKUP(Table8[[#This Row],[Mã khách hàng]],code_khach_hang[],3,0)</f>
        <v>Miền Bắc đặc biệt 3</v>
      </c>
      <c r="H577" t="str">
        <f>VLOOKUP(Table8[[#This Row],[Mã khách hàng]],'Khách hàng'!A:D,4,0)</f>
        <v>Food Đức Việt</v>
      </c>
      <c r="I577" t="str">
        <f>VLOOKUP(Table8[[#This Row],[Mã khách hàng]],'Khách hàng'!A:E,5,0)</f>
        <v>HN0040</v>
      </c>
    </row>
    <row r="578" spans="1:9">
      <c r="A578" s="14" t="s">
        <v>4353</v>
      </c>
      <c r="B578" s="15" t="s">
        <v>5</v>
      </c>
      <c r="C578" s="10" t="s">
        <v>4354</v>
      </c>
      <c r="D578" s="16" t="s">
        <v>2231</v>
      </c>
      <c r="E578" s="15" t="s">
        <v>11201</v>
      </c>
      <c r="F578" s="16" t="str">
        <f>VLOOKUP(Table8[[#This Row],[Mã khách hàng]],code_khach_hang[],2,0)</f>
        <v>CHI NHÁNH HẢI DƯƠNG - CÔNG TY CỔ PHẦN DỊCH VỤ THƯƠNG MẠI TỔNG HỢP WINCOMMERCE</v>
      </c>
      <c r="G578" s="16" t="str">
        <f>VLOOKUP(Table8[[#This Row],[Mã khách hàng]],code_khach_hang[],3,0)</f>
        <v>Miền Bắc đặc biệt 3</v>
      </c>
      <c r="H578" t="str">
        <f>VLOOKUP(Table8[[#This Row],[Mã khách hàng]],'Khách hàng'!A:D,4,0)</f>
        <v>Food Đức Việt</v>
      </c>
      <c r="I578" t="str">
        <f>VLOOKUP(Table8[[#This Row],[Mã khách hàng]],'Khách hàng'!A:E,5,0)</f>
        <v>HN0040</v>
      </c>
    </row>
    <row r="579" spans="1:9">
      <c r="A579" s="14" t="s">
        <v>4416</v>
      </c>
      <c r="B579" s="15" t="s">
        <v>5</v>
      </c>
      <c r="C579" s="10" t="s">
        <v>4417</v>
      </c>
      <c r="D579" s="16" t="s">
        <v>2234</v>
      </c>
      <c r="E579" s="15" t="s">
        <v>11201</v>
      </c>
      <c r="F579" s="16" t="str">
        <f>VLOOKUP(Table8[[#This Row],[Mã khách hàng]],code_khach_hang[],2,0)</f>
        <v>CHI NHÁNH HẢI DƯƠNG - CÔNG TY CỔ PHẦN DỊCH VỤ THƯƠNG MẠI TỔNG HỢP WINCOMMERCE</v>
      </c>
      <c r="G579" s="16" t="str">
        <f>VLOOKUP(Table8[[#This Row],[Mã khách hàng]],code_khach_hang[],3,0)</f>
        <v>Miền Bắc đặc biệt 3</v>
      </c>
      <c r="H579" t="str">
        <f>VLOOKUP(Table8[[#This Row],[Mã khách hàng]],'Khách hàng'!A:D,4,0)</f>
        <v>Food Đức Việt</v>
      </c>
      <c r="I579" t="str">
        <f>VLOOKUP(Table8[[#This Row],[Mã khách hàng]],'Khách hàng'!A:E,5,0)</f>
        <v>HN0040</v>
      </c>
    </row>
    <row r="580" spans="1:9">
      <c r="A580" s="14" t="s">
        <v>4440</v>
      </c>
      <c r="B580" s="15" t="s">
        <v>5</v>
      </c>
      <c r="C580" s="10" t="s">
        <v>4441</v>
      </c>
      <c r="D580" s="16" t="s">
        <v>2237</v>
      </c>
      <c r="E580" s="15" t="s">
        <v>11201</v>
      </c>
      <c r="F580" s="16" t="str">
        <f>VLOOKUP(Table8[[#This Row],[Mã khách hàng]],code_khach_hang[],2,0)</f>
        <v>CHI NHÁNH HẢI DƯƠNG - CÔNG TY CỔ PHẦN DỊCH VỤ THƯƠNG MẠI TỔNG HỢP WINCOMMERCE</v>
      </c>
      <c r="G580" s="16" t="str">
        <f>VLOOKUP(Table8[[#This Row],[Mã khách hàng]],code_khach_hang[],3,0)</f>
        <v>Miền Bắc đặc biệt 3</v>
      </c>
      <c r="H580" t="str">
        <f>VLOOKUP(Table8[[#This Row],[Mã khách hàng]],'Khách hàng'!A:D,4,0)</f>
        <v>Food Đức Việt</v>
      </c>
      <c r="I580" t="str">
        <f>VLOOKUP(Table8[[#This Row],[Mã khách hàng]],'Khách hàng'!A:E,5,0)</f>
        <v>HN0040</v>
      </c>
    </row>
    <row r="581" spans="1:9">
      <c r="A581" s="14" t="s">
        <v>4446</v>
      </c>
      <c r="B581" s="15" t="s">
        <v>5</v>
      </c>
      <c r="C581" s="10" t="s">
        <v>4447</v>
      </c>
      <c r="D581" s="16" t="s">
        <v>2240</v>
      </c>
      <c r="E581" s="15" t="s">
        <v>11201</v>
      </c>
      <c r="F581" s="16" t="str">
        <f>VLOOKUP(Table8[[#This Row],[Mã khách hàng]],code_khach_hang[],2,0)</f>
        <v>CHI NHÁNH HẢI DƯƠNG - CÔNG TY CỔ PHẦN DỊCH VỤ THƯƠNG MẠI TỔNG HỢP WINCOMMERCE</v>
      </c>
      <c r="G581" s="16" t="str">
        <f>VLOOKUP(Table8[[#This Row],[Mã khách hàng]],code_khach_hang[],3,0)</f>
        <v>Miền Bắc đặc biệt 3</v>
      </c>
      <c r="H581" t="str">
        <f>VLOOKUP(Table8[[#This Row],[Mã khách hàng]],'Khách hàng'!A:D,4,0)</f>
        <v>Food Đức Việt</v>
      </c>
      <c r="I581" t="str">
        <f>VLOOKUP(Table8[[#This Row],[Mã khách hàng]],'Khách hàng'!A:E,5,0)</f>
        <v>HN0040</v>
      </c>
    </row>
    <row r="582" spans="1:9">
      <c r="A582" s="14" t="s">
        <v>4488</v>
      </c>
      <c r="B582" s="15" t="s">
        <v>5</v>
      </c>
      <c r="C582" s="10" t="s">
        <v>4489</v>
      </c>
      <c r="D582" s="16" t="s">
        <v>2243</v>
      </c>
      <c r="E582" s="15" t="s">
        <v>11201</v>
      </c>
      <c r="F582" s="16" t="str">
        <f>VLOOKUP(Table8[[#This Row],[Mã khách hàng]],code_khach_hang[],2,0)</f>
        <v>CHI NHÁNH HẢI DƯƠNG - CÔNG TY CỔ PHẦN DỊCH VỤ THƯƠNG MẠI TỔNG HỢP WINCOMMERCE</v>
      </c>
      <c r="G582" s="16" t="str">
        <f>VLOOKUP(Table8[[#This Row],[Mã khách hàng]],code_khach_hang[],3,0)</f>
        <v>Miền Bắc đặc biệt 3</v>
      </c>
      <c r="H582" t="str">
        <f>VLOOKUP(Table8[[#This Row],[Mã khách hàng]],'Khách hàng'!A:D,4,0)</f>
        <v>Food Đức Việt</v>
      </c>
      <c r="I582" t="str">
        <f>VLOOKUP(Table8[[#This Row],[Mã khách hàng]],'Khách hàng'!A:E,5,0)</f>
        <v>HN0040</v>
      </c>
    </row>
    <row r="583" spans="1:9">
      <c r="A583" s="14" t="s">
        <v>4503</v>
      </c>
      <c r="B583" s="15" t="s">
        <v>5</v>
      </c>
      <c r="C583" s="10" t="s">
        <v>4504</v>
      </c>
      <c r="D583" s="16" t="s">
        <v>2245</v>
      </c>
      <c r="E583" s="15" t="s">
        <v>11201</v>
      </c>
      <c r="F583" s="16" t="str">
        <f>VLOOKUP(Table8[[#This Row],[Mã khách hàng]],code_khach_hang[],2,0)</f>
        <v>CHI NHÁNH HẢI DƯƠNG - CÔNG TY CỔ PHẦN DỊCH VỤ THƯƠNG MẠI TỔNG HỢP WINCOMMERCE</v>
      </c>
      <c r="G583" s="16" t="str">
        <f>VLOOKUP(Table8[[#This Row],[Mã khách hàng]],code_khach_hang[],3,0)</f>
        <v>Miền Bắc đặc biệt 3</v>
      </c>
      <c r="H583" t="str">
        <f>VLOOKUP(Table8[[#This Row],[Mã khách hàng]],'Khách hàng'!A:D,4,0)</f>
        <v>Food Đức Việt</v>
      </c>
      <c r="I583" t="str">
        <f>VLOOKUP(Table8[[#This Row],[Mã khách hàng]],'Khách hàng'!A:E,5,0)</f>
        <v>HN0040</v>
      </c>
    </row>
    <row r="584" spans="1:9">
      <c r="A584" s="14" t="s">
        <v>4515</v>
      </c>
      <c r="B584" s="15" t="s">
        <v>5</v>
      </c>
      <c r="C584" s="10" t="s">
        <v>4516</v>
      </c>
      <c r="D584" s="16" t="s">
        <v>2248</v>
      </c>
      <c r="E584" s="15" t="s">
        <v>11201</v>
      </c>
      <c r="F584" s="16" t="str">
        <f>VLOOKUP(Table8[[#This Row],[Mã khách hàng]],code_khach_hang[],2,0)</f>
        <v>CHI NHÁNH HẢI DƯƠNG - CÔNG TY CỔ PHẦN DỊCH VỤ THƯƠNG MẠI TỔNG HỢP WINCOMMERCE</v>
      </c>
      <c r="G584" s="16" t="str">
        <f>VLOOKUP(Table8[[#This Row],[Mã khách hàng]],code_khach_hang[],3,0)</f>
        <v>Miền Bắc đặc biệt 3</v>
      </c>
      <c r="H584" t="str">
        <f>VLOOKUP(Table8[[#This Row],[Mã khách hàng]],'Khách hàng'!A:D,4,0)</f>
        <v>Food Đức Việt</v>
      </c>
      <c r="I584" t="str">
        <f>VLOOKUP(Table8[[#This Row],[Mã khách hàng]],'Khách hàng'!A:E,5,0)</f>
        <v>HN0040</v>
      </c>
    </row>
    <row r="585" spans="1:9">
      <c r="A585" s="14" t="s">
        <v>4551</v>
      </c>
      <c r="B585" s="15" t="s">
        <v>5</v>
      </c>
      <c r="C585" s="10" t="s">
        <v>4552</v>
      </c>
      <c r="D585" s="16" t="s">
        <v>2251</v>
      </c>
      <c r="E585" s="15" t="s">
        <v>11201</v>
      </c>
      <c r="F585" s="16" t="str">
        <f>VLOOKUP(Table8[[#This Row],[Mã khách hàng]],code_khach_hang[],2,0)</f>
        <v>CHI NHÁNH HẢI DƯƠNG - CÔNG TY CỔ PHẦN DỊCH VỤ THƯƠNG MẠI TỔNG HỢP WINCOMMERCE</v>
      </c>
      <c r="G585" s="16" t="str">
        <f>VLOOKUP(Table8[[#This Row],[Mã khách hàng]],code_khach_hang[],3,0)</f>
        <v>Miền Bắc đặc biệt 3</v>
      </c>
      <c r="H585" t="str">
        <f>VLOOKUP(Table8[[#This Row],[Mã khách hàng]],'Khách hàng'!A:D,4,0)</f>
        <v>Food Đức Việt</v>
      </c>
      <c r="I585" t="str">
        <f>VLOOKUP(Table8[[#This Row],[Mã khách hàng]],'Khách hàng'!A:E,5,0)</f>
        <v>HN0040</v>
      </c>
    </row>
    <row r="586" spans="1:9">
      <c r="A586" s="14" t="s">
        <v>4554</v>
      </c>
      <c r="B586" s="15" t="s">
        <v>5</v>
      </c>
      <c r="C586" s="10" t="s">
        <v>4555</v>
      </c>
      <c r="D586" s="16" t="s">
        <v>2254</v>
      </c>
      <c r="E586" s="15" t="s">
        <v>11201</v>
      </c>
      <c r="F586" s="16" t="str">
        <f>VLOOKUP(Table8[[#This Row],[Mã khách hàng]],code_khach_hang[],2,0)</f>
        <v>CHI NHÁNH HẢI DƯƠNG - CÔNG TY CỔ PHẦN DỊCH VỤ THƯƠNG MẠI TỔNG HỢP WINCOMMERCE</v>
      </c>
      <c r="G586" s="16" t="str">
        <f>VLOOKUP(Table8[[#This Row],[Mã khách hàng]],code_khach_hang[],3,0)</f>
        <v>Miền Bắc đặc biệt 3</v>
      </c>
      <c r="H586" t="str">
        <f>VLOOKUP(Table8[[#This Row],[Mã khách hàng]],'Khách hàng'!A:D,4,0)</f>
        <v>Food Đức Việt</v>
      </c>
      <c r="I586" t="str">
        <f>VLOOKUP(Table8[[#This Row],[Mã khách hàng]],'Khách hàng'!A:E,5,0)</f>
        <v>HN0040</v>
      </c>
    </row>
    <row r="587" spans="1:9">
      <c r="A587" s="14" t="s">
        <v>4719</v>
      </c>
      <c r="B587" s="15" t="s">
        <v>5</v>
      </c>
      <c r="C587" s="10" t="s">
        <v>4720</v>
      </c>
      <c r="D587" s="16" t="s">
        <v>2257</v>
      </c>
      <c r="E587" s="15" t="s">
        <v>11201</v>
      </c>
      <c r="F587" s="16" t="str">
        <f>VLOOKUP(Table8[[#This Row],[Mã khách hàng]],code_khach_hang[],2,0)</f>
        <v>CHI NHÁNH HẢI DƯƠNG - CÔNG TY CỔ PHẦN DỊCH VỤ THƯƠNG MẠI TỔNG HỢP WINCOMMERCE</v>
      </c>
      <c r="G587" s="16" t="str">
        <f>VLOOKUP(Table8[[#This Row],[Mã khách hàng]],code_khach_hang[],3,0)</f>
        <v>Miền Bắc đặc biệt 3</v>
      </c>
      <c r="H587" t="str">
        <f>VLOOKUP(Table8[[#This Row],[Mã khách hàng]],'Khách hàng'!A:D,4,0)</f>
        <v>Food Đức Việt</v>
      </c>
      <c r="I587" t="str">
        <f>VLOOKUP(Table8[[#This Row],[Mã khách hàng]],'Khách hàng'!A:E,5,0)</f>
        <v>HN0040</v>
      </c>
    </row>
    <row r="588" spans="1:9">
      <c r="A588" s="14" t="s">
        <v>4761</v>
      </c>
      <c r="B588" s="15" t="s">
        <v>5</v>
      </c>
      <c r="C588" s="10" t="s">
        <v>4762</v>
      </c>
      <c r="D588" s="16" t="s">
        <v>2260</v>
      </c>
      <c r="E588" s="15" t="s">
        <v>11201</v>
      </c>
      <c r="F588" s="16" t="str">
        <f>VLOOKUP(Table8[[#This Row],[Mã khách hàng]],code_khach_hang[],2,0)</f>
        <v>CHI NHÁNH HẢI DƯƠNG - CÔNG TY CỔ PHẦN DỊCH VỤ THƯƠNG MẠI TỔNG HỢP WINCOMMERCE</v>
      </c>
      <c r="G588" s="16" t="str">
        <f>VLOOKUP(Table8[[#This Row],[Mã khách hàng]],code_khach_hang[],3,0)</f>
        <v>Miền Bắc đặc biệt 3</v>
      </c>
      <c r="H588" t="str">
        <f>VLOOKUP(Table8[[#This Row],[Mã khách hàng]],'Khách hàng'!A:D,4,0)</f>
        <v>Food Đức Việt</v>
      </c>
      <c r="I588" t="str">
        <f>VLOOKUP(Table8[[#This Row],[Mã khách hàng]],'Khách hàng'!A:E,5,0)</f>
        <v>HN0040</v>
      </c>
    </row>
    <row r="589" spans="1:9">
      <c r="A589" s="14" t="s">
        <v>4950</v>
      </c>
      <c r="B589" s="15" t="s">
        <v>5</v>
      </c>
      <c r="C589" s="10" t="s">
        <v>4951</v>
      </c>
      <c r="D589" s="16" t="s">
        <v>2263</v>
      </c>
      <c r="E589" s="15" t="s">
        <v>11201</v>
      </c>
      <c r="F589" s="16" t="str">
        <f>VLOOKUP(Table8[[#This Row],[Mã khách hàng]],code_khach_hang[],2,0)</f>
        <v>CHI NHÁNH HẢI DƯƠNG - CÔNG TY CỔ PHẦN DỊCH VỤ THƯƠNG MẠI TỔNG HỢP WINCOMMERCE</v>
      </c>
      <c r="G589" s="16" t="str">
        <f>VLOOKUP(Table8[[#This Row],[Mã khách hàng]],code_khach_hang[],3,0)</f>
        <v>Miền Bắc đặc biệt 3</v>
      </c>
      <c r="H589" t="str">
        <f>VLOOKUP(Table8[[#This Row],[Mã khách hàng]],'Khách hàng'!A:D,4,0)</f>
        <v>Food Đức Việt</v>
      </c>
      <c r="I589" t="str">
        <f>VLOOKUP(Table8[[#This Row],[Mã khách hàng]],'Khách hàng'!A:E,5,0)</f>
        <v>HN0040</v>
      </c>
    </row>
    <row r="590" spans="1:9">
      <c r="A590" s="14" t="s">
        <v>5040</v>
      </c>
      <c r="B590" s="15" t="s">
        <v>5</v>
      </c>
      <c r="C590" s="10" t="s">
        <v>5041</v>
      </c>
      <c r="D590" s="16" t="s">
        <v>2266</v>
      </c>
      <c r="E590" s="15" t="s">
        <v>11201</v>
      </c>
      <c r="F590" s="16" t="str">
        <f>VLOOKUP(Table8[[#This Row],[Mã khách hàng]],code_khach_hang[],2,0)</f>
        <v>CHI NHÁNH HẢI DƯƠNG - CÔNG TY CỔ PHẦN DỊCH VỤ THƯƠNG MẠI TỔNG HỢP WINCOMMERCE</v>
      </c>
      <c r="G590" s="16" t="str">
        <f>VLOOKUP(Table8[[#This Row],[Mã khách hàng]],code_khach_hang[],3,0)</f>
        <v>Miền Bắc đặc biệt 3</v>
      </c>
      <c r="H590" t="str">
        <f>VLOOKUP(Table8[[#This Row],[Mã khách hàng]],'Khách hàng'!A:D,4,0)</f>
        <v>Food Đức Việt</v>
      </c>
      <c r="I590" t="str">
        <f>VLOOKUP(Table8[[#This Row],[Mã khách hàng]],'Khách hàng'!A:E,5,0)</f>
        <v>HN0040</v>
      </c>
    </row>
    <row r="591" spans="1:9">
      <c r="A591" s="14" t="s">
        <v>6497</v>
      </c>
      <c r="B591" s="15" t="s">
        <v>5</v>
      </c>
      <c r="C591" s="10" t="s">
        <v>6498</v>
      </c>
      <c r="D591" s="16" t="s">
        <v>2269</v>
      </c>
      <c r="E591" s="15" t="s">
        <v>11201</v>
      </c>
      <c r="F591" s="16" t="str">
        <f>VLOOKUP(Table8[[#This Row],[Mã khách hàng]],code_khach_hang[],2,0)</f>
        <v>CHI NHÁNH HẢI DƯƠNG - CÔNG TY CỔ PHẦN DỊCH VỤ THƯƠNG MẠI TỔNG HỢP WINCOMMERCE</v>
      </c>
      <c r="G591" s="16" t="str">
        <f>VLOOKUP(Table8[[#This Row],[Mã khách hàng]],code_khach_hang[],3,0)</f>
        <v>Miền Bắc đặc biệt 3</v>
      </c>
      <c r="H591" t="str">
        <f>VLOOKUP(Table8[[#This Row],[Mã khách hàng]],'Khách hàng'!A:D,4,0)</f>
        <v>Food Đức Việt</v>
      </c>
      <c r="I591" t="str">
        <f>VLOOKUP(Table8[[#This Row],[Mã khách hàng]],'Khách hàng'!A:E,5,0)</f>
        <v>HN0040</v>
      </c>
    </row>
    <row r="592" spans="1:9">
      <c r="A592" s="14" t="s">
        <v>6506</v>
      </c>
      <c r="B592" s="15" t="s">
        <v>5</v>
      </c>
      <c r="C592" s="10" t="s">
        <v>6507</v>
      </c>
      <c r="D592" s="16" t="s">
        <v>2271</v>
      </c>
      <c r="E592" s="15" t="s">
        <v>11201</v>
      </c>
      <c r="F592" s="16" t="str">
        <f>VLOOKUP(Table8[[#This Row],[Mã khách hàng]],code_khach_hang[],2,0)</f>
        <v>CHI NHÁNH HẢI DƯƠNG - CÔNG TY CỔ PHẦN DỊCH VỤ THƯƠNG MẠI TỔNG HỢP WINCOMMERCE</v>
      </c>
      <c r="G592" s="16" t="str">
        <f>VLOOKUP(Table8[[#This Row],[Mã khách hàng]],code_khach_hang[],3,0)</f>
        <v>Miền Bắc đặc biệt 3</v>
      </c>
      <c r="H592" t="str">
        <f>VLOOKUP(Table8[[#This Row],[Mã khách hàng]],'Khách hàng'!A:D,4,0)</f>
        <v>Food Đức Việt</v>
      </c>
      <c r="I592" t="str">
        <f>VLOOKUP(Table8[[#This Row],[Mã khách hàng]],'Khách hàng'!A:E,5,0)</f>
        <v>HN0040</v>
      </c>
    </row>
    <row r="593" spans="1:9">
      <c r="A593" s="14" t="s">
        <v>6659</v>
      </c>
      <c r="B593" s="15" t="s">
        <v>5</v>
      </c>
      <c r="C593" s="10" t="s">
        <v>6660</v>
      </c>
      <c r="D593" s="16" t="s">
        <v>2274</v>
      </c>
      <c r="E593" s="15" t="s">
        <v>11201</v>
      </c>
      <c r="F593" s="16" t="str">
        <f>VLOOKUP(Table8[[#This Row],[Mã khách hàng]],code_khach_hang[],2,0)</f>
        <v>CHI NHÁNH HẢI DƯƠNG - CÔNG TY CỔ PHẦN DỊCH VỤ THƯƠNG MẠI TỔNG HỢP WINCOMMERCE</v>
      </c>
      <c r="G593" s="16" t="str">
        <f>VLOOKUP(Table8[[#This Row],[Mã khách hàng]],code_khach_hang[],3,0)</f>
        <v>Miền Bắc đặc biệt 3</v>
      </c>
      <c r="H593" t="str">
        <f>VLOOKUP(Table8[[#This Row],[Mã khách hàng]],'Khách hàng'!A:D,4,0)</f>
        <v>Food Đức Việt</v>
      </c>
      <c r="I593" t="str">
        <f>VLOOKUP(Table8[[#This Row],[Mã khách hàng]],'Khách hàng'!A:E,5,0)</f>
        <v>HN0040</v>
      </c>
    </row>
    <row r="594" spans="1:9">
      <c r="A594" s="14" t="s">
        <v>6662</v>
      </c>
      <c r="B594" s="15" t="s">
        <v>5</v>
      </c>
      <c r="C594" s="10" t="s">
        <v>6663</v>
      </c>
      <c r="D594" s="16" t="s">
        <v>2277</v>
      </c>
      <c r="E594" s="15" t="s">
        <v>11201</v>
      </c>
      <c r="F594" s="16" t="str">
        <f>VLOOKUP(Table8[[#This Row],[Mã khách hàng]],code_khach_hang[],2,0)</f>
        <v>CHI NHÁNH HẢI DƯƠNG - CÔNG TY CỔ PHẦN DỊCH VỤ THƯƠNG MẠI TỔNG HỢP WINCOMMERCE</v>
      </c>
      <c r="G594" s="16" t="str">
        <f>VLOOKUP(Table8[[#This Row],[Mã khách hàng]],code_khach_hang[],3,0)</f>
        <v>Miền Bắc đặc biệt 3</v>
      </c>
      <c r="H594" t="str">
        <f>VLOOKUP(Table8[[#This Row],[Mã khách hàng]],'Khách hàng'!A:D,4,0)</f>
        <v>Food Đức Việt</v>
      </c>
      <c r="I594" t="str">
        <f>VLOOKUP(Table8[[#This Row],[Mã khách hàng]],'Khách hàng'!A:E,5,0)</f>
        <v>HN0040</v>
      </c>
    </row>
    <row r="595" spans="1:9">
      <c r="A595" s="14" t="s">
        <v>6755</v>
      </c>
      <c r="B595" s="15" t="s">
        <v>5</v>
      </c>
      <c r="C595" s="10" t="s">
        <v>6756</v>
      </c>
      <c r="D595" s="16" t="s">
        <v>2280</v>
      </c>
      <c r="E595" s="15" t="s">
        <v>11201</v>
      </c>
      <c r="F595" s="16" t="str">
        <f>VLOOKUP(Table8[[#This Row],[Mã khách hàng]],code_khach_hang[],2,0)</f>
        <v>CHI NHÁNH HẢI DƯƠNG - CÔNG TY CỔ PHẦN DỊCH VỤ THƯƠNG MẠI TỔNG HỢP WINCOMMERCE</v>
      </c>
      <c r="G595" s="16" t="str">
        <f>VLOOKUP(Table8[[#This Row],[Mã khách hàng]],code_khach_hang[],3,0)</f>
        <v>Miền Bắc đặc biệt 3</v>
      </c>
      <c r="H595" t="str">
        <f>VLOOKUP(Table8[[#This Row],[Mã khách hàng]],'Khách hàng'!A:D,4,0)</f>
        <v>Food Đức Việt</v>
      </c>
      <c r="I595" t="str">
        <f>VLOOKUP(Table8[[#This Row],[Mã khách hàng]],'Khách hàng'!A:E,5,0)</f>
        <v>HN0040</v>
      </c>
    </row>
    <row r="596" spans="1:9">
      <c r="A596" s="14" t="s">
        <v>6764</v>
      </c>
      <c r="B596" s="15" t="s">
        <v>5</v>
      </c>
      <c r="C596" s="10" t="s">
        <v>6765</v>
      </c>
      <c r="D596" s="16" t="s">
        <v>2283</v>
      </c>
      <c r="E596" s="15" t="s">
        <v>11201</v>
      </c>
      <c r="F596" s="16" t="str">
        <f>VLOOKUP(Table8[[#This Row],[Mã khách hàng]],code_khach_hang[],2,0)</f>
        <v>CHI NHÁNH HẢI DƯƠNG - CÔNG TY CỔ PHẦN DỊCH VỤ THƯƠNG MẠI TỔNG HỢP WINCOMMERCE</v>
      </c>
      <c r="G596" s="16" t="str">
        <f>VLOOKUP(Table8[[#This Row],[Mã khách hàng]],code_khach_hang[],3,0)</f>
        <v>Miền Bắc đặc biệt 3</v>
      </c>
      <c r="H596" t="str">
        <f>VLOOKUP(Table8[[#This Row],[Mã khách hàng]],'Khách hàng'!A:D,4,0)</f>
        <v>Food Đức Việt</v>
      </c>
      <c r="I596" t="str">
        <f>VLOOKUP(Table8[[#This Row],[Mã khách hàng]],'Khách hàng'!A:E,5,0)</f>
        <v>HN0040</v>
      </c>
    </row>
    <row r="597" spans="1:9">
      <c r="A597" s="14" t="s">
        <v>7523</v>
      </c>
      <c r="B597" s="15" t="s">
        <v>5</v>
      </c>
      <c r="C597" s="10" t="s">
        <v>7524</v>
      </c>
      <c r="D597" s="16" t="s">
        <v>2286</v>
      </c>
      <c r="E597" s="15" t="s">
        <v>11201</v>
      </c>
      <c r="F597" s="16" t="str">
        <f>VLOOKUP(Table8[[#This Row],[Mã khách hàng]],code_khach_hang[],2,0)</f>
        <v>CHI NHÁNH HẢI DƯƠNG - CÔNG TY CỔ PHẦN DỊCH VỤ THƯƠNG MẠI TỔNG HỢP WINCOMMERCE</v>
      </c>
      <c r="G597" s="16" t="str">
        <f>VLOOKUP(Table8[[#This Row],[Mã khách hàng]],code_khach_hang[],3,0)</f>
        <v>Miền Bắc đặc biệt 3</v>
      </c>
      <c r="H597" t="str">
        <f>VLOOKUP(Table8[[#This Row],[Mã khách hàng]],'Khách hàng'!A:D,4,0)</f>
        <v>Food Đức Việt</v>
      </c>
      <c r="I597" t="str">
        <f>VLOOKUP(Table8[[#This Row],[Mã khách hàng]],'Khách hàng'!A:E,5,0)</f>
        <v>HN0040</v>
      </c>
    </row>
    <row r="598" spans="1:9">
      <c r="A598" s="14" t="s">
        <v>8124</v>
      </c>
      <c r="B598" s="15" t="s">
        <v>5</v>
      </c>
      <c r="C598" s="10" t="s">
        <v>8125</v>
      </c>
      <c r="D598" s="16" t="s">
        <v>2289</v>
      </c>
      <c r="E598" s="15" t="s">
        <v>11201</v>
      </c>
      <c r="F598" s="16" t="str">
        <f>VLOOKUP(Table8[[#This Row],[Mã khách hàng]],code_khach_hang[],2,0)</f>
        <v>CHI NHÁNH HẢI DƯƠNG - CÔNG TY CỔ PHẦN DỊCH VỤ THƯƠNG MẠI TỔNG HỢP WINCOMMERCE</v>
      </c>
      <c r="G598" s="16" t="str">
        <f>VLOOKUP(Table8[[#This Row],[Mã khách hàng]],code_khach_hang[],3,0)</f>
        <v>Miền Bắc đặc biệt 3</v>
      </c>
      <c r="H598" t="str">
        <f>VLOOKUP(Table8[[#This Row],[Mã khách hàng]],'Khách hàng'!A:D,4,0)</f>
        <v>Food Đức Việt</v>
      </c>
      <c r="I598" t="str">
        <f>VLOOKUP(Table8[[#This Row],[Mã khách hàng]],'Khách hàng'!A:E,5,0)</f>
        <v>HN0040</v>
      </c>
    </row>
    <row r="599" spans="1:9">
      <c r="A599" s="14" t="s">
        <v>8201</v>
      </c>
      <c r="B599" s="15" t="s">
        <v>5</v>
      </c>
      <c r="C599" s="10" t="s">
        <v>8202</v>
      </c>
      <c r="D599" s="16" t="s">
        <v>2292</v>
      </c>
      <c r="E599" s="15" t="s">
        <v>11201</v>
      </c>
      <c r="F599" s="16" t="str">
        <f>VLOOKUP(Table8[[#This Row],[Mã khách hàng]],code_khach_hang[],2,0)</f>
        <v>CHI NHÁNH HẢI DƯƠNG - CÔNG TY CỔ PHẦN DỊCH VỤ THƯƠNG MẠI TỔNG HỢP WINCOMMERCE</v>
      </c>
      <c r="G599" s="16" t="str">
        <f>VLOOKUP(Table8[[#This Row],[Mã khách hàng]],code_khach_hang[],3,0)</f>
        <v>Miền Bắc đặc biệt 3</v>
      </c>
      <c r="H599" t="str">
        <f>VLOOKUP(Table8[[#This Row],[Mã khách hàng]],'Khách hàng'!A:D,4,0)</f>
        <v>Food Đức Việt</v>
      </c>
      <c r="I599" t="str">
        <f>VLOOKUP(Table8[[#This Row],[Mã khách hàng]],'Khách hàng'!A:E,5,0)</f>
        <v>HN0040</v>
      </c>
    </row>
    <row r="600" spans="1:9">
      <c r="A600" s="14" t="s">
        <v>7291</v>
      </c>
      <c r="B600" s="15" t="s">
        <v>5</v>
      </c>
      <c r="C600" s="10" t="s">
        <v>7292</v>
      </c>
      <c r="D600" s="16" t="s">
        <v>2295</v>
      </c>
      <c r="E600" s="15" t="s">
        <v>11201</v>
      </c>
      <c r="F600" s="16" t="str">
        <f>VLOOKUP(Table8[[#This Row],[Mã khách hàng]],code_khach_hang[],2,0)</f>
        <v>CHI NHÁNH HẢI DƯƠNG - CÔNG TY CỔ PHẦN DỊCH VỤ THƯƠNG MẠI TỔNG HỢP WINCOMMERCE</v>
      </c>
      <c r="G600" s="16" t="str">
        <f>VLOOKUP(Table8[[#This Row],[Mã khách hàng]],code_khach_hang[],3,0)</f>
        <v>Miền Bắc đặc biệt 3</v>
      </c>
      <c r="H600" t="str">
        <f>VLOOKUP(Table8[[#This Row],[Mã khách hàng]],'Khách hàng'!A:D,4,0)</f>
        <v>Food Đức Việt</v>
      </c>
      <c r="I600" t="str">
        <f>VLOOKUP(Table8[[#This Row],[Mã khách hàng]],'Khách hàng'!A:E,5,0)</f>
        <v>HN0040</v>
      </c>
    </row>
    <row r="601" spans="1:9">
      <c r="A601" s="14" t="s">
        <v>9345</v>
      </c>
      <c r="B601" s="15" t="s">
        <v>5</v>
      </c>
      <c r="C601" s="10" t="s">
        <v>9346</v>
      </c>
      <c r="D601" s="16" t="s">
        <v>2298</v>
      </c>
      <c r="E601" s="15" t="s">
        <v>11201</v>
      </c>
      <c r="F601" s="16" t="str">
        <f>VLOOKUP(Table8[[#This Row],[Mã khách hàng]],code_khach_hang[],2,0)</f>
        <v>CHI NHÁNH HẢI DƯƠNG - CÔNG TY CỔ PHẦN DỊCH VỤ THƯƠNG MẠI TỔNG HỢP WINCOMMERCE</v>
      </c>
      <c r="G601" s="16" t="str">
        <f>VLOOKUP(Table8[[#This Row],[Mã khách hàng]],code_khach_hang[],3,0)</f>
        <v>Miền Bắc đặc biệt 3</v>
      </c>
      <c r="H601" t="str">
        <f>VLOOKUP(Table8[[#This Row],[Mã khách hàng]],'Khách hàng'!A:D,4,0)</f>
        <v>Food Đức Việt</v>
      </c>
      <c r="I601" t="str">
        <f>VLOOKUP(Table8[[#This Row],[Mã khách hàng]],'Khách hàng'!A:E,5,0)</f>
        <v>HN0040</v>
      </c>
    </row>
    <row r="602" spans="1:9">
      <c r="A602" s="14" t="s">
        <v>7357</v>
      </c>
      <c r="B602" s="15" t="s">
        <v>5</v>
      </c>
      <c r="C602" s="10" t="s">
        <v>7358</v>
      </c>
      <c r="D602" s="16" t="s">
        <v>2301</v>
      </c>
      <c r="E602" s="15" t="s">
        <v>11201</v>
      </c>
      <c r="F602" s="16" t="str">
        <f>VLOOKUP(Table8[[#This Row],[Mã khách hàng]],code_khach_hang[],2,0)</f>
        <v>CHI NHÁNH HẢI DƯƠNG - CÔNG TY CỔ PHẦN DỊCH VỤ THƯƠNG MẠI TỔNG HỢP WINCOMMERCE</v>
      </c>
      <c r="G602" s="16" t="str">
        <f>VLOOKUP(Table8[[#This Row],[Mã khách hàng]],code_khach_hang[],3,0)</f>
        <v>Miền Bắc đặc biệt 3</v>
      </c>
      <c r="H602" t="str">
        <f>VLOOKUP(Table8[[#This Row],[Mã khách hàng]],'Khách hàng'!A:D,4,0)</f>
        <v>Food Đức Việt</v>
      </c>
      <c r="I602" t="str">
        <f>VLOOKUP(Table8[[#This Row],[Mã khách hàng]],'Khách hàng'!A:E,5,0)</f>
        <v>HN0040</v>
      </c>
    </row>
    <row r="603" spans="1:9">
      <c r="A603" s="14" t="s">
        <v>7487</v>
      </c>
      <c r="B603" s="15" t="s">
        <v>5</v>
      </c>
      <c r="C603" s="10" t="s">
        <v>7488</v>
      </c>
      <c r="D603" s="16" t="s">
        <v>2304</v>
      </c>
      <c r="E603" s="15" t="s">
        <v>11201</v>
      </c>
      <c r="F603" s="16" t="str">
        <f>VLOOKUP(Table8[[#This Row],[Mã khách hàng]],code_khach_hang[],2,0)</f>
        <v>CHI NHÁNH HẢI DƯƠNG - CÔNG TY CỔ PHẦN DỊCH VỤ THƯƠNG MẠI TỔNG HỢP WINCOMMERCE</v>
      </c>
      <c r="G603" s="16" t="str">
        <f>VLOOKUP(Table8[[#This Row],[Mã khách hàng]],code_khach_hang[],3,0)</f>
        <v>Miền Bắc đặc biệt 3</v>
      </c>
      <c r="H603" t="str">
        <f>VLOOKUP(Table8[[#This Row],[Mã khách hàng]],'Khách hàng'!A:D,4,0)</f>
        <v>Food Đức Việt</v>
      </c>
      <c r="I603" t="str">
        <f>VLOOKUP(Table8[[#This Row],[Mã khách hàng]],'Khách hàng'!A:E,5,0)</f>
        <v>HN0040</v>
      </c>
    </row>
    <row r="604" spans="1:9">
      <c r="A604" s="14" t="s">
        <v>7628</v>
      </c>
      <c r="B604" s="15" t="s">
        <v>5</v>
      </c>
      <c r="C604" s="10" t="s">
        <v>7629</v>
      </c>
      <c r="D604" s="16" t="s">
        <v>2307</v>
      </c>
      <c r="E604" s="15" t="s">
        <v>11201</v>
      </c>
      <c r="F604" s="16" t="str">
        <f>VLOOKUP(Table8[[#This Row],[Mã khách hàng]],code_khach_hang[],2,0)</f>
        <v>CHI NHÁNH HẢI DƯƠNG - CÔNG TY CỔ PHẦN DỊCH VỤ THƯƠNG MẠI TỔNG HỢP WINCOMMERCE</v>
      </c>
      <c r="G604" s="16" t="str">
        <f>VLOOKUP(Table8[[#This Row],[Mã khách hàng]],code_khach_hang[],3,0)</f>
        <v>Miền Bắc đặc biệt 3</v>
      </c>
      <c r="H604" t="str">
        <f>VLOOKUP(Table8[[#This Row],[Mã khách hàng]],'Khách hàng'!A:D,4,0)</f>
        <v>Food Đức Việt</v>
      </c>
      <c r="I604" t="str">
        <f>VLOOKUP(Table8[[#This Row],[Mã khách hàng]],'Khách hàng'!A:E,5,0)</f>
        <v>HN0040</v>
      </c>
    </row>
    <row r="605" spans="1:9">
      <c r="A605" s="14" t="s">
        <v>8859</v>
      </c>
      <c r="B605" s="15" t="s">
        <v>5</v>
      </c>
      <c r="C605" s="10" t="s">
        <v>8860</v>
      </c>
      <c r="D605" s="16" t="s">
        <v>2310</v>
      </c>
      <c r="E605" s="15" t="s">
        <v>11201</v>
      </c>
      <c r="F605" s="16" t="str">
        <f>VLOOKUP(Table8[[#This Row],[Mã khách hàng]],code_khach_hang[],2,0)</f>
        <v>CHI NHÁNH HẢI DƯƠNG - CÔNG TY CỔ PHẦN DỊCH VỤ THƯƠNG MẠI TỔNG HỢP WINCOMMERCE</v>
      </c>
      <c r="G605" s="16" t="str">
        <f>VLOOKUP(Table8[[#This Row],[Mã khách hàng]],code_khach_hang[],3,0)</f>
        <v>Miền Bắc đặc biệt 3</v>
      </c>
      <c r="H605" t="str">
        <f>VLOOKUP(Table8[[#This Row],[Mã khách hàng]],'Khách hàng'!A:D,4,0)</f>
        <v>Food Đức Việt</v>
      </c>
      <c r="I605" t="str">
        <f>VLOOKUP(Table8[[#This Row],[Mã khách hàng]],'Khách hàng'!A:E,5,0)</f>
        <v>HN0040</v>
      </c>
    </row>
    <row r="606" spans="1:9">
      <c r="A606" s="14" t="s">
        <v>7378</v>
      </c>
      <c r="B606" s="15" t="s">
        <v>5</v>
      </c>
      <c r="C606" s="10" t="s">
        <v>7379</v>
      </c>
      <c r="D606" s="16" t="s">
        <v>2313</v>
      </c>
      <c r="E606" s="14" t="s">
        <v>11201</v>
      </c>
      <c r="F606" s="16" t="str">
        <f>VLOOKUP(Table8[[#This Row],[Mã khách hàng]],code_khach_hang[],2,0)</f>
        <v>CHI NHÁNH HẢI DƯƠNG - CÔNG TY CỔ PHẦN DỊCH VỤ THƯƠNG MẠI TỔNG HỢP WINCOMMERCE</v>
      </c>
      <c r="G606" s="16" t="str">
        <f>VLOOKUP(Table8[[#This Row],[Mã khách hàng]],code_khach_hang[],3,0)</f>
        <v>Miền Bắc đặc biệt 3</v>
      </c>
      <c r="H606" t="str">
        <f>VLOOKUP(Table8[[#This Row],[Mã khách hàng]],'Khách hàng'!A:D,4,0)</f>
        <v>Food Đức Việt</v>
      </c>
      <c r="I606" t="str">
        <f>VLOOKUP(Table8[[#This Row],[Mã khách hàng]],'Khách hàng'!A:E,5,0)</f>
        <v>HN0040</v>
      </c>
    </row>
    <row r="607" spans="1:9">
      <c r="A607" s="14" t="s">
        <v>7526</v>
      </c>
      <c r="B607" s="15" t="s">
        <v>5</v>
      </c>
      <c r="C607" s="10" t="s">
        <v>7527</v>
      </c>
      <c r="D607" s="16" t="s">
        <v>2316</v>
      </c>
      <c r="E607" s="15" t="s">
        <v>11201</v>
      </c>
      <c r="F607" s="16" t="str">
        <f>VLOOKUP(Table8[[#This Row],[Mã khách hàng]],code_khach_hang[],2,0)</f>
        <v>CHI NHÁNH HẢI DƯƠNG - CÔNG TY CỔ PHẦN DỊCH VỤ THƯƠNG MẠI TỔNG HỢP WINCOMMERCE</v>
      </c>
      <c r="G607" s="16" t="str">
        <f>VLOOKUP(Table8[[#This Row],[Mã khách hàng]],code_khach_hang[],3,0)</f>
        <v>Miền Bắc đặc biệt 3</v>
      </c>
      <c r="H607" t="str">
        <f>VLOOKUP(Table8[[#This Row],[Mã khách hàng]],'Khách hàng'!A:D,4,0)</f>
        <v>Food Đức Việt</v>
      </c>
      <c r="I607" t="str">
        <f>VLOOKUP(Table8[[#This Row],[Mã khách hàng]],'Khách hàng'!A:E,5,0)</f>
        <v>HN0040</v>
      </c>
    </row>
    <row r="608" spans="1:9">
      <c r="A608" s="14" t="s">
        <v>7505</v>
      </c>
      <c r="B608" s="15" t="s">
        <v>5</v>
      </c>
      <c r="C608" s="10" t="s">
        <v>7506</v>
      </c>
      <c r="D608" s="16" t="s">
        <v>2319</v>
      </c>
      <c r="E608" s="15" t="s">
        <v>11201</v>
      </c>
      <c r="F608" s="16" t="str">
        <f>VLOOKUP(Table8[[#This Row],[Mã khách hàng]],code_khach_hang[],2,0)</f>
        <v>CHI NHÁNH HẢI DƯƠNG - CÔNG TY CỔ PHẦN DỊCH VỤ THƯƠNG MẠI TỔNG HỢP WINCOMMERCE</v>
      </c>
      <c r="G608" s="16" t="str">
        <f>VLOOKUP(Table8[[#This Row],[Mã khách hàng]],code_khach_hang[],3,0)</f>
        <v>Miền Bắc đặc biệt 3</v>
      </c>
      <c r="H608" t="str">
        <f>VLOOKUP(Table8[[#This Row],[Mã khách hàng]],'Khách hàng'!A:D,4,0)</f>
        <v>Food Đức Việt</v>
      </c>
      <c r="I608" t="str">
        <f>VLOOKUP(Table8[[#This Row],[Mã khách hàng]],'Khách hàng'!A:E,5,0)</f>
        <v>HN0040</v>
      </c>
    </row>
    <row r="609" spans="1:9">
      <c r="A609" s="14" t="s">
        <v>7428</v>
      </c>
      <c r="B609" s="15" t="s">
        <v>5</v>
      </c>
      <c r="C609" s="10" t="s">
        <v>7429</v>
      </c>
      <c r="D609" s="16" t="s">
        <v>2322</v>
      </c>
      <c r="E609" s="15" t="s">
        <v>11201</v>
      </c>
      <c r="F609" s="16" t="str">
        <f>VLOOKUP(Table8[[#This Row],[Mã khách hàng]],code_khach_hang[],2,0)</f>
        <v>CHI NHÁNH HẢI DƯƠNG - CÔNG TY CỔ PHẦN DỊCH VỤ THƯƠNG MẠI TỔNG HỢP WINCOMMERCE</v>
      </c>
      <c r="G609" s="16" t="str">
        <f>VLOOKUP(Table8[[#This Row],[Mã khách hàng]],code_khach_hang[],3,0)</f>
        <v>Miền Bắc đặc biệt 3</v>
      </c>
      <c r="H609" t="str">
        <f>VLOOKUP(Table8[[#This Row],[Mã khách hàng]],'Khách hàng'!A:D,4,0)</f>
        <v>Food Đức Việt</v>
      </c>
      <c r="I609" t="str">
        <f>VLOOKUP(Table8[[#This Row],[Mã khách hàng]],'Khách hàng'!A:E,5,0)</f>
        <v>HN0040</v>
      </c>
    </row>
    <row r="610" spans="1:9">
      <c r="A610" s="14" t="s">
        <v>6920</v>
      </c>
      <c r="B610" s="15" t="s">
        <v>5</v>
      </c>
      <c r="C610" s="10" t="s">
        <v>6921</v>
      </c>
      <c r="D610" s="16" t="s">
        <v>2325</v>
      </c>
      <c r="E610" s="14" t="s">
        <v>11201</v>
      </c>
      <c r="F610" s="16" t="str">
        <f>VLOOKUP(Table8[[#This Row],[Mã khách hàng]],code_khach_hang[],2,0)</f>
        <v>CHI NHÁNH HẢI DƯƠNG - CÔNG TY CỔ PHẦN DỊCH VỤ THƯƠNG MẠI TỔNG HỢP WINCOMMERCE</v>
      </c>
      <c r="G610" s="16" t="str">
        <f>VLOOKUP(Table8[[#This Row],[Mã khách hàng]],code_khach_hang[],3,0)</f>
        <v>Miền Bắc đặc biệt 3</v>
      </c>
      <c r="H610" t="str">
        <f>VLOOKUP(Table8[[#This Row],[Mã khách hàng]],'Khách hàng'!A:D,4,0)</f>
        <v>Food Đức Việt</v>
      </c>
      <c r="I610" t="str">
        <f>VLOOKUP(Table8[[#This Row],[Mã khách hàng]],'Khách hàng'!A:E,5,0)</f>
        <v>HN0040</v>
      </c>
    </row>
    <row r="611" spans="1:9">
      <c r="A611" s="14" t="s">
        <v>7529</v>
      </c>
      <c r="B611" s="15" t="s">
        <v>5</v>
      </c>
      <c r="C611" s="10" t="s">
        <v>7530</v>
      </c>
      <c r="D611" s="16" t="s">
        <v>2328</v>
      </c>
      <c r="E611" s="15" t="s">
        <v>11201</v>
      </c>
      <c r="F611" s="16" t="str">
        <f>VLOOKUP(Table8[[#This Row],[Mã khách hàng]],code_khach_hang[],2,0)</f>
        <v>CHI NHÁNH HẢI DƯƠNG - CÔNG TY CỔ PHẦN DỊCH VỤ THƯƠNG MẠI TỔNG HỢP WINCOMMERCE</v>
      </c>
      <c r="G611" s="16" t="str">
        <f>VLOOKUP(Table8[[#This Row],[Mã khách hàng]],code_khach_hang[],3,0)</f>
        <v>Miền Bắc đặc biệt 3</v>
      </c>
      <c r="H611" t="str">
        <f>VLOOKUP(Table8[[#This Row],[Mã khách hàng]],'Khách hàng'!A:D,4,0)</f>
        <v>Food Đức Việt</v>
      </c>
      <c r="I611" t="str">
        <f>VLOOKUP(Table8[[#This Row],[Mã khách hàng]],'Khách hàng'!A:E,5,0)</f>
        <v>HN0040</v>
      </c>
    </row>
    <row r="612" spans="1:9">
      <c r="A612" s="14" t="s">
        <v>7589</v>
      </c>
      <c r="B612" s="15" t="s">
        <v>5</v>
      </c>
      <c r="C612" s="10" t="s">
        <v>7590</v>
      </c>
      <c r="D612" s="16" t="s">
        <v>2330</v>
      </c>
      <c r="E612" s="15" t="s">
        <v>11201</v>
      </c>
      <c r="F612" s="16" t="str">
        <f>VLOOKUP(Table8[[#This Row],[Mã khách hàng]],code_khach_hang[],2,0)</f>
        <v>CHI NHÁNH HẢI DƯƠNG - CÔNG TY CỔ PHẦN DỊCH VỤ THƯƠNG MẠI TỔNG HỢP WINCOMMERCE</v>
      </c>
      <c r="G612" s="16" t="str">
        <f>VLOOKUP(Table8[[#This Row],[Mã khách hàng]],code_khach_hang[],3,0)</f>
        <v>Miền Bắc đặc biệt 3</v>
      </c>
      <c r="H612" t="str">
        <f>VLOOKUP(Table8[[#This Row],[Mã khách hàng]],'Khách hàng'!A:D,4,0)</f>
        <v>Food Đức Việt</v>
      </c>
      <c r="I612" t="str">
        <f>VLOOKUP(Table8[[#This Row],[Mã khách hàng]],'Khách hàng'!A:E,5,0)</f>
        <v>HN0040</v>
      </c>
    </row>
    <row r="613" spans="1:9">
      <c r="A613" s="14" t="s">
        <v>7601</v>
      </c>
      <c r="B613" s="15" t="s">
        <v>5</v>
      </c>
      <c r="C613" s="10" t="s">
        <v>7602</v>
      </c>
      <c r="D613" s="16" t="s">
        <v>2332</v>
      </c>
      <c r="E613" s="15" t="s">
        <v>11216</v>
      </c>
      <c r="F613" s="16" t="str">
        <f>VLOOKUP(Table8[[#This Row],[Mã khách hàng]],code_khach_hang[],2,0)</f>
        <v>CHI NHÁNH HƯNG YÊN - CÔNG TY CỔ PHẦN DỊCH VỤ THƯƠNG MẠI TỔNG HỢP WINCOMMERCE</v>
      </c>
      <c r="G613" s="16" t="str">
        <f>VLOOKUP(Table8[[#This Row],[Mã khách hàng]],code_khach_hang[],3,0)</f>
        <v>Miền Bắc đặc biệt 1</v>
      </c>
      <c r="H613" t="str">
        <f>VLOOKUP(Table8[[#This Row],[Mã khách hàng]],'Khách hàng'!A:D,4,0)</f>
        <v>Food Đức Việt</v>
      </c>
      <c r="I613" t="str">
        <f>VLOOKUP(Table8[[#This Row],[Mã khách hàng]],'Khách hàng'!A:E,5,0)</f>
        <v>HN0040</v>
      </c>
    </row>
    <row r="614" spans="1:9">
      <c r="A614" s="14" t="s">
        <v>8404</v>
      </c>
      <c r="B614" s="15" t="s">
        <v>5</v>
      </c>
      <c r="C614" s="10" t="s">
        <v>8405</v>
      </c>
      <c r="D614" s="16" t="s">
        <v>2335</v>
      </c>
      <c r="E614" s="15" t="s">
        <v>11216</v>
      </c>
      <c r="F614" s="16" t="str">
        <f>VLOOKUP(Table8[[#This Row],[Mã khách hàng]],code_khach_hang[],2,0)</f>
        <v>CHI NHÁNH HƯNG YÊN - CÔNG TY CỔ PHẦN DỊCH VỤ THƯƠNG MẠI TỔNG HỢP WINCOMMERCE</v>
      </c>
      <c r="G614" s="16" t="str">
        <f>VLOOKUP(Table8[[#This Row],[Mã khách hàng]],code_khach_hang[],3,0)</f>
        <v>Miền Bắc đặc biệt 1</v>
      </c>
      <c r="H614" t="str">
        <f>VLOOKUP(Table8[[#This Row],[Mã khách hàng]],'Khách hàng'!A:D,4,0)</f>
        <v>Food Đức Việt</v>
      </c>
      <c r="I614" t="str">
        <f>VLOOKUP(Table8[[#This Row],[Mã khách hàng]],'Khách hàng'!A:E,5,0)</f>
        <v>HN0040</v>
      </c>
    </row>
    <row r="615" spans="1:9">
      <c r="A615" s="14" t="s">
        <v>5747</v>
      </c>
      <c r="B615" s="15" t="s">
        <v>5</v>
      </c>
      <c r="C615" s="10" t="s">
        <v>5748</v>
      </c>
      <c r="D615" s="16" t="s">
        <v>2337</v>
      </c>
      <c r="E615" s="15" t="s">
        <v>11216</v>
      </c>
      <c r="F615" s="16" t="str">
        <f>VLOOKUP(Table8[[#This Row],[Mã khách hàng]],code_khach_hang[],2,0)</f>
        <v>CHI NHÁNH HƯNG YÊN - CÔNG TY CỔ PHẦN DỊCH VỤ THƯƠNG MẠI TỔNG HỢP WINCOMMERCE</v>
      </c>
      <c r="G615" s="16" t="str">
        <f>VLOOKUP(Table8[[#This Row],[Mã khách hàng]],code_khach_hang[],3,0)</f>
        <v>Miền Bắc đặc biệt 1</v>
      </c>
      <c r="H615" t="str">
        <f>VLOOKUP(Table8[[#This Row],[Mã khách hàng]],'Khách hàng'!A:D,4,0)</f>
        <v>Food Đức Việt</v>
      </c>
      <c r="I615" t="str">
        <f>VLOOKUP(Table8[[#This Row],[Mã khách hàng]],'Khách hàng'!A:E,5,0)</f>
        <v>HN0040</v>
      </c>
    </row>
    <row r="616" spans="1:9">
      <c r="A616" s="14" t="s">
        <v>6983</v>
      </c>
      <c r="B616" s="15" t="s">
        <v>5</v>
      </c>
      <c r="C616" s="10" t="s">
        <v>6984</v>
      </c>
      <c r="D616" s="16" t="s">
        <v>2340</v>
      </c>
      <c r="E616" s="15" t="s">
        <v>11216</v>
      </c>
      <c r="F616" s="16" t="str">
        <f>VLOOKUP(Table8[[#This Row],[Mã khách hàng]],code_khach_hang[],2,0)</f>
        <v>CHI NHÁNH HƯNG YÊN - CÔNG TY CỔ PHẦN DỊCH VỤ THƯƠNG MẠI TỔNG HỢP WINCOMMERCE</v>
      </c>
      <c r="G616" s="16" t="str">
        <f>VLOOKUP(Table8[[#This Row],[Mã khách hàng]],code_khach_hang[],3,0)</f>
        <v>Miền Bắc đặc biệt 1</v>
      </c>
      <c r="H616" t="str">
        <f>VLOOKUP(Table8[[#This Row],[Mã khách hàng]],'Khách hàng'!A:D,4,0)</f>
        <v>Food Đức Việt</v>
      </c>
      <c r="I616" t="str">
        <f>VLOOKUP(Table8[[#This Row],[Mã khách hàng]],'Khách hàng'!A:E,5,0)</f>
        <v>HN0040</v>
      </c>
    </row>
    <row r="617" spans="1:9">
      <c r="A617" s="14" t="s">
        <v>7101</v>
      </c>
      <c r="B617" s="15" t="s">
        <v>5</v>
      </c>
      <c r="C617" s="10" t="s">
        <v>7102</v>
      </c>
      <c r="D617" s="16" t="s">
        <v>2343</v>
      </c>
      <c r="E617" s="15" t="s">
        <v>11216</v>
      </c>
      <c r="F617" s="16" t="str">
        <f>VLOOKUP(Table8[[#This Row],[Mã khách hàng]],code_khach_hang[],2,0)</f>
        <v>CHI NHÁNH HƯNG YÊN - CÔNG TY CỔ PHẦN DỊCH VỤ THƯƠNG MẠI TỔNG HỢP WINCOMMERCE</v>
      </c>
      <c r="G617" s="16" t="str">
        <f>VLOOKUP(Table8[[#This Row],[Mã khách hàng]],code_khach_hang[],3,0)</f>
        <v>Miền Bắc đặc biệt 1</v>
      </c>
      <c r="H617" t="str">
        <f>VLOOKUP(Table8[[#This Row],[Mã khách hàng]],'Khách hàng'!A:D,4,0)</f>
        <v>Food Đức Việt</v>
      </c>
      <c r="I617" t="str">
        <f>VLOOKUP(Table8[[#This Row],[Mã khách hàng]],'Khách hàng'!A:E,5,0)</f>
        <v>HN0040</v>
      </c>
    </row>
    <row r="618" spans="1:9">
      <c r="A618" s="14" t="s">
        <v>6225</v>
      </c>
      <c r="B618" s="15" t="s">
        <v>5</v>
      </c>
      <c r="C618" s="10" t="s">
        <v>6226</v>
      </c>
      <c r="D618" s="16" t="s">
        <v>2346</v>
      </c>
      <c r="E618" s="15" t="s">
        <v>11216</v>
      </c>
      <c r="F618" s="16" t="str">
        <f>VLOOKUP(Table8[[#This Row],[Mã khách hàng]],code_khach_hang[],2,0)</f>
        <v>CHI NHÁNH HƯNG YÊN - CÔNG TY CỔ PHẦN DỊCH VỤ THƯƠNG MẠI TỔNG HỢP WINCOMMERCE</v>
      </c>
      <c r="G618" s="16" t="str">
        <f>VLOOKUP(Table8[[#This Row],[Mã khách hàng]],code_khach_hang[],3,0)</f>
        <v>Miền Bắc đặc biệt 1</v>
      </c>
      <c r="H618" t="str">
        <f>VLOOKUP(Table8[[#This Row],[Mã khách hàng]],'Khách hàng'!A:D,4,0)</f>
        <v>Food Đức Việt</v>
      </c>
      <c r="I618" t="str">
        <f>VLOOKUP(Table8[[#This Row],[Mã khách hàng]],'Khách hàng'!A:E,5,0)</f>
        <v>HN0040</v>
      </c>
    </row>
    <row r="619" spans="1:9">
      <c r="A619" s="14" t="s">
        <v>7104</v>
      </c>
      <c r="B619" s="15" t="s">
        <v>5</v>
      </c>
      <c r="C619" s="10" t="s">
        <v>7105</v>
      </c>
      <c r="D619" s="16" t="s">
        <v>2349</v>
      </c>
      <c r="E619" s="15" t="s">
        <v>11216</v>
      </c>
      <c r="F619" s="16" t="str">
        <f>VLOOKUP(Table8[[#This Row],[Mã khách hàng]],code_khach_hang[],2,0)</f>
        <v>CHI NHÁNH HƯNG YÊN - CÔNG TY CỔ PHẦN DỊCH VỤ THƯƠNG MẠI TỔNG HỢP WINCOMMERCE</v>
      </c>
      <c r="G619" s="16" t="str">
        <f>VLOOKUP(Table8[[#This Row],[Mã khách hàng]],code_khach_hang[],3,0)</f>
        <v>Miền Bắc đặc biệt 1</v>
      </c>
      <c r="H619" t="str">
        <f>VLOOKUP(Table8[[#This Row],[Mã khách hàng]],'Khách hàng'!A:D,4,0)</f>
        <v>Food Đức Việt</v>
      </c>
      <c r="I619" t="str">
        <f>VLOOKUP(Table8[[#This Row],[Mã khách hàng]],'Khách hàng'!A:E,5,0)</f>
        <v>HN0040</v>
      </c>
    </row>
    <row r="620" spans="1:9">
      <c r="A620" s="14" t="s">
        <v>7256</v>
      </c>
      <c r="B620" s="15" t="s">
        <v>5</v>
      </c>
      <c r="C620" s="10" t="s">
        <v>7257</v>
      </c>
      <c r="D620" s="16" t="s">
        <v>2351</v>
      </c>
      <c r="E620" s="15" t="s">
        <v>11216</v>
      </c>
      <c r="F620" s="16" t="str">
        <f>VLOOKUP(Table8[[#This Row],[Mã khách hàng]],code_khach_hang[],2,0)</f>
        <v>CHI NHÁNH HƯNG YÊN - CÔNG TY CỔ PHẦN DỊCH VỤ THƯƠNG MẠI TỔNG HỢP WINCOMMERCE</v>
      </c>
      <c r="G620" s="16" t="str">
        <f>VLOOKUP(Table8[[#This Row],[Mã khách hàng]],code_khach_hang[],3,0)</f>
        <v>Miền Bắc đặc biệt 1</v>
      </c>
      <c r="H620" t="str">
        <f>VLOOKUP(Table8[[#This Row],[Mã khách hàng]],'Khách hàng'!A:D,4,0)</f>
        <v>Food Đức Việt</v>
      </c>
      <c r="I620" t="str">
        <f>VLOOKUP(Table8[[#This Row],[Mã khách hàng]],'Khách hàng'!A:E,5,0)</f>
        <v>HN0040</v>
      </c>
    </row>
    <row r="621" spans="1:9">
      <c r="A621" s="14" t="s">
        <v>5765</v>
      </c>
      <c r="B621" s="15" t="s">
        <v>5</v>
      </c>
      <c r="C621" s="10" t="s">
        <v>5766</v>
      </c>
      <c r="D621" s="16" t="s">
        <v>2354</v>
      </c>
      <c r="E621" s="15" t="s">
        <v>11216</v>
      </c>
      <c r="F621" s="16" t="str">
        <f>VLOOKUP(Table8[[#This Row],[Mã khách hàng]],code_khach_hang[],2,0)</f>
        <v>CHI NHÁNH HƯNG YÊN - CÔNG TY CỔ PHẦN DỊCH VỤ THƯƠNG MẠI TỔNG HỢP WINCOMMERCE</v>
      </c>
      <c r="G621" s="16" t="str">
        <f>VLOOKUP(Table8[[#This Row],[Mã khách hàng]],code_khach_hang[],3,0)</f>
        <v>Miền Bắc đặc biệt 1</v>
      </c>
      <c r="H621" t="str">
        <f>VLOOKUP(Table8[[#This Row],[Mã khách hàng]],'Khách hàng'!A:D,4,0)</f>
        <v>Food Đức Việt</v>
      </c>
      <c r="I621" t="str">
        <f>VLOOKUP(Table8[[#This Row],[Mã khách hàng]],'Khách hàng'!A:E,5,0)</f>
        <v>HN0040</v>
      </c>
    </row>
    <row r="622" spans="1:9">
      <c r="A622" s="14" t="s">
        <v>5756</v>
      </c>
      <c r="B622" s="15" t="s">
        <v>5</v>
      </c>
      <c r="C622" s="10" t="s">
        <v>5757</v>
      </c>
      <c r="D622" s="16" t="s">
        <v>2357</v>
      </c>
      <c r="E622" s="15" t="s">
        <v>11216</v>
      </c>
      <c r="F622" s="16" t="str">
        <f>VLOOKUP(Table8[[#This Row],[Mã khách hàng]],code_khach_hang[],2,0)</f>
        <v>CHI NHÁNH HƯNG YÊN - CÔNG TY CỔ PHẦN DỊCH VỤ THƯƠNG MẠI TỔNG HỢP WINCOMMERCE</v>
      </c>
      <c r="G622" s="16" t="str">
        <f>VLOOKUP(Table8[[#This Row],[Mã khách hàng]],code_khach_hang[],3,0)</f>
        <v>Miền Bắc đặc biệt 1</v>
      </c>
      <c r="H622" t="str">
        <f>VLOOKUP(Table8[[#This Row],[Mã khách hàng]],'Khách hàng'!A:D,4,0)</f>
        <v>Food Đức Việt</v>
      </c>
      <c r="I622" t="str">
        <f>VLOOKUP(Table8[[#This Row],[Mã khách hàng]],'Khách hàng'!A:E,5,0)</f>
        <v>HN0040</v>
      </c>
    </row>
    <row r="623" spans="1:9">
      <c r="A623" s="14" t="s">
        <v>6142</v>
      </c>
      <c r="B623" s="15" t="s">
        <v>5</v>
      </c>
      <c r="C623" s="10" t="s">
        <v>6143</v>
      </c>
      <c r="D623" s="16" t="s">
        <v>2360</v>
      </c>
      <c r="E623" s="15" t="s">
        <v>11216</v>
      </c>
      <c r="F623" s="16" t="str">
        <f>VLOOKUP(Table8[[#This Row],[Mã khách hàng]],code_khach_hang[],2,0)</f>
        <v>CHI NHÁNH HƯNG YÊN - CÔNG TY CỔ PHẦN DỊCH VỤ THƯƠNG MẠI TỔNG HỢP WINCOMMERCE</v>
      </c>
      <c r="G623" s="16" t="str">
        <f>VLOOKUP(Table8[[#This Row],[Mã khách hàng]],code_khach_hang[],3,0)</f>
        <v>Miền Bắc đặc biệt 1</v>
      </c>
      <c r="H623" t="str">
        <f>VLOOKUP(Table8[[#This Row],[Mã khách hàng]],'Khách hàng'!A:D,4,0)</f>
        <v>Food Đức Việt</v>
      </c>
      <c r="I623" t="str">
        <f>VLOOKUP(Table8[[#This Row],[Mã khách hàng]],'Khách hàng'!A:E,5,0)</f>
        <v>HN0040</v>
      </c>
    </row>
    <row r="624" spans="1:9">
      <c r="A624" s="14" t="s">
        <v>7262</v>
      </c>
      <c r="B624" s="15" t="s">
        <v>5</v>
      </c>
      <c r="C624" s="10" t="s">
        <v>7263</v>
      </c>
      <c r="D624" s="16" t="s">
        <v>2363</v>
      </c>
      <c r="E624" s="15" t="s">
        <v>11216</v>
      </c>
      <c r="F624" s="16" t="str">
        <f>VLOOKUP(Table8[[#This Row],[Mã khách hàng]],code_khach_hang[],2,0)</f>
        <v>CHI NHÁNH HƯNG YÊN - CÔNG TY CỔ PHẦN DỊCH VỤ THƯƠNG MẠI TỔNG HỢP WINCOMMERCE</v>
      </c>
      <c r="G624" s="16" t="str">
        <f>VLOOKUP(Table8[[#This Row],[Mã khách hàng]],code_khach_hang[],3,0)</f>
        <v>Miền Bắc đặc biệt 1</v>
      </c>
      <c r="H624" t="str">
        <f>VLOOKUP(Table8[[#This Row],[Mã khách hàng]],'Khách hàng'!A:D,4,0)</f>
        <v>Food Đức Việt</v>
      </c>
      <c r="I624" t="str">
        <f>VLOOKUP(Table8[[#This Row],[Mã khách hàng]],'Khách hàng'!A:E,5,0)</f>
        <v>HN0040</v>
      </c>
    </row>
    <row r="625" spans="1:9">
      <c r="A625" s="14" t="s">
        <v>8576</v>
      </c>
      <c r="B625" s="15" t="s">
        <v>5</v>
      </c>
      <c r="C625" s="10" t="s">
        <v>8577</v>
      </c>
      <c r="D625" s="16" t="s">
        <v>2366</v>
      </c>
      <c r="E625" s="15" t="s">
        <v>11216</v>
      </c>
      <c r="F625" s="16" t="str">
        <f>VLOOKUP(Table8[[#This Row],[Mã khách hàng]],code_khach_hang[],2,0)</f>
        <v>CHI NHÁNH HƯNG YÊN - CÔNG TY CỔ PHẦN DỊCH VỤ THƯƠNG MẠI TỔNG HỢP WINCOMMERCE</v>
      </c>
      <c r="G625" s="16" t="str">
        <f>VLOOKUP(Table8[[#This Row],[Mã khách hàng]],code_khach_hang[],3,0)</f>
        <v>Miền Bắc đặc biệt 1</v>
      </c>
      <c r="H625" t="str">
        <f>VLOOKUP(Table8[[#This Row],[Mã khách hàng]],'Khách hàng'!A:D,4,0)</f>
        <v>Food Đức Việt</v>
      </c>
      <c r="I625" t="str">
        <f>VLOOKUP(Table8[[#This Row],[Mã khách hàng]],'Khách hàng'!A:E,5,0)</f>
        <v>HN0040</v>
      </c>
    </row>
    <row r="626" spans="1:9">
      <c r="A626" s="14" t="s">
        <v>5744</v>
      </c>
      <c r="B626" s="15" t="s">
        <v>5</v>
      </c>
      <c r="C626" s="10" t="s">
        <v>5745</v>
      </c>
      <c r="D626" s="16" t="s">
        <v>2369</v>
      </c>
      <c r="E626" s="15" t="s">
        <v>11216</v>
      </c>
      <c r="F626" s="16" t="str">
        <f>VLOOKUP(Table8[[#This Row],[Mã khách hàng]],code_khach_hang[],2,0)</f>
        <v>CHI NHÁNH HƯNG YÊN - CÔNG TY CỔ PHẦN DỊCH VỤ THƯƠNG MẠI TỔNG HỢP WINCOMMERCE</v>
      </c>
      <c r="G626" s="16" t="str">
        <f>VLOOKUP(Table8[[#This Row],[Mã khách hàng]],code_khach_hang[],3,0)</f>
        <v>Miền Bắc đặc biệt 1</v>
      </c>
      <c r="H626" t="str">
        <f>VLOOKUP(Table8[[#This Row],[Mã khách hàng]],'Khách hàng'!A:D,4,0)</f>
        <v>Food Đức Việt</v>
      </c>
      <c r="I626" t="str">
        <f>VLOOKUP(Table8[[#This Row],[Mã khách hàng]],'Khách hàng'!A:E,5,0)</f>
        <v>HN0040</v>
      </c>
    </row>
    <row r="627" spans="1:9">
      <c r="A627" s="14" t="s">
        <v>5911</v>
      </c>
      <c r="B627" s="15" t="s">
        <v>5</v>
      </c>
      <c r="C627" s="10" t="s">
        <v>5912</v>
      </c>
      <c r="D627" s="16" t="s">
        <v>2372</v>
      </c>
      <c r="E627" s="15" t="s">
        <v>11216</v>
      </c>
      <c r="F627" s="16" t="str">
        <f>VLOOKUP(Table8[[#This Row],[Mã khách hàng]],code_khach_hang[],2,0)</f>
        <v>CHI NHÁNH HƯNG YÊN - CÔNG TY CỔ PHẦN DỊCH VỤ THƯƠNG MẠI TỔNG HỢP WINCOMMERCE</v>
      </c>
      <c r="G627" s="16" t="str">
        <f>VLOOKUP(Table8[[#This Row],[Mã khách hàng]],code_khach_hang[],3,0)</f>
        <v>Miền Bắc đặc biệt 1</v>
      </c>
      <c r="H627" t="str">
        <f>VLOOKUP(Table8[[#This Row],[Mã khách hàng]],'Khách hàng'!A:D,4,0)</f>
        <v>Food Đức Việt</v>
      </c>
      <c r="I627" t="str">
        <f>VLOOKUP(Table8[[#This Row],[Mã khách hàng]],'Khách hàng'!A:E,5,0)</f>
        <v>HN0040</v>
      </c>
    </row>
    <row r="628" spans="1:9">
      <c r="A628" s="14" t="s">
        <v>6145</v>
      </c>
      <c r="B628" s="15" t="s">
        <v>5</v>
      </c>
      <c r="C628" s="10" t="s">
        <v>6146</v>
      </c>
      <c r="D628" s="16" t="s">
        <v>2375</v>
      </c>
      <c r="E628" s="15" t="s">
        <v>11216</v>
      </c>
      <c r="F628" s="16" t="str">
        <f>VLOOKUP(Table8[[#This Row],[Mã khách hàng]],code_khach_hang[],2,0)</f>
        <v>CHI NHÁNH HƯNG YÊN - CÔNG TY CỔ PHẦN DỊCH VỤ THƯƠNG MẠI TỔNG HỢP WINCOMMERCE</v>
      </c>
      <c r="G628" s="16" t="str">
        <f>VLOOKUP(Table8[[#This Row],[Mã khách hàng]],code_khach_hang[],3,0)</f>
        <v>Miền Bắc đặc biệt 1</v>
      </c>
      <c r="H628" t="str">
        <f>VLOOKUP(Table8[[#This Row],[Mã khách hàng]],'Khách hàng'!A:D,4,0)</f>
        <v>Food Đức Việt</v>
      </c>
      <c r="I628" t="str">
        <f>VLOOKUP(Table8[[#This Row],[Mã khách hàng]],'Khách hàng'!A:E,5,0)</f>
        <v>HN0040</v>
      </c>
    </row>
    <row r="629" spans="1:9">
      <c r="A629" s="14" t="s">
        <v>7547</v>
      </c>
      <c r="B629" s="15" t="s">
        <v>5</v>
      </c>
      <c r="C629" s="10" t="s">
        <v>7548</v>
      </c>
      <c r="D629" s="16" t="s">
        <v>2378</v>
      </c>
      <c r="E629" s="15" t="s">
        <v>11216</v>
      </c>
      <c r="F629" s="16" t="str">
        <f>VLOOKUP(Table8[[#This Row],[Mã khách hàng]],code_khach_hang[],2,0)</f>
        <v>CHI NHÁNH HƯNG YÊN - CÔNG TY CỔ PHẦN DỊCH VỤ THƯƠNG MẠI TỔNG HỢP WINCOMMERCE</v>
      </c>
      <c r="G629" s="16" t="str">
        <f>VLOOKUP(Table8[[#This Row],[Mã khách hàng]],code_khach_hang[],3,0)</f>
        <v>Miền Bắc đặc biệt 1</v>
      </c>
      <c r="H629" t="str">
        <f>VLOOKUP(Table8[[#This Row],[Mã khách hàng]],'Khách hàng'!A:D,4,0)</f>
        <v>Food Đức Việt</v>
      </c>
      <c r="I629" t="str">
        <f>VLOOKUP(Table8[[#This Row],[Mã khách hàng]],'Khách hàng'!A:E,5,0)</f>
        <v>HN0040</v>
      </c>
    </row>
    <row r="630" spans="1:9">
      <c r="A630" s="14" t="s">
        <v>7649</v>
      </c>
      <c r="B630" s="15" t="s">
        <v>5</v>
      </c>
      <c r="C630" s="10" t="s">
        <v>7650</v>
      </c>
      <c r="D630" s="16" t="s">
        <v>2381</v>
      </c>
      <c r="E630" s="15" t="s">
        <v>11216</v>
      </c>
      <c r="F630" s="16" t="str">
        <f>VLOOKUP(Table8[[#This Row],[Mã khách hàng]],code_khach_hang[],2,0)</f>
        <v>CHI NHÁNH HƯNG YÊN - CÔNG TY CỔ PHẦN DỊCH VỤ THƯƠNG MẠI TỔNG HỢP WINCOMMERCE</v>
      </c>
      <c r="G630" s="16" t="str">
        <f>VLOOKUP(Table8[[#This Row],[Mã khách hàng]],code_khach_hang[],3,0)</f>
        <v>Miền Bắc đặc biệt 1</v>
      </c>
      <c r="H630" t="str">
        <f>VLOOKUP(Table8[[#This Row],[Mã khách hàng]],'Khách hàng'!A:D,4,0)</f>
        <v>Food Đức Việt</v>
      </c>
      <c r="I630" t="str">
        <f>VLOOKUP(Table8[[#This Row],[Mã khách hàng]],'Khách hàng'!A:E,5,0)</f>
        <v>HN0040</v>
      </c>
    </row>
    <row r="631" spans="1:9">
      <c r="A631" s="14" t="s">
        <v>7878</v>
      </c>
      <c r="B631" s="15" t="s">
        <v>5</v>
      </c>
      <c r="C631" s="10" t="s">
        <v>7879</v>
      </c>
      <c r="D631" s="16" t="s">
        <v>2384</v>
      </c>
      <c r="E631" s="15" t="s">
        <v>11216</v>
      </c>
      <c r="F631" s="16" t="str">
        <f>VLOOKUP(Table8[[#This Row],[Mã khách hàng]],code_khach_hang[],2,0)</f>
        <v>CHI NHÁNH HƯNG YÊN - CÔNG TY CỔ PHẦN DỊCH VỤ THƯƠNG MẠI TỔNG HỢP WINCOMMERCE</v>
      </c>
      <c r="G631" s="16" t="str">
        <f>VLOOKUP(Table8[[#This Row],[Mã khách hàng]],code_khach_hang[],3,0)</f>
        <v>Miền Bắc đặc biệt 1</v>
      </c>
      <c r="H631" t="str">
        <f>VLOOKUP(Table8[[#This Row],[Mã khách hàng]],'Khách hàng'!A:D,4,0)</f>
        <v>Food Đức Việt</v>
      </c>
      <c r="I631" t="str">
        <f>VLOOKUP(Table8[[#This Row],[Mã khách hàng]],'Khách hàng'!A:E,5,0)</f>
        <v>HN0040</v>
      </c>
    </row>
    <row r="632" spans="1:9">
      <c r="A632" s="14" t="s">
        <v>8160</v>
      </c>
      <c r="B632" s="15" t="s">
        <v>5</v>
      </c>
      <c r="C632" s="10" t="s">
        <v>8161</v>
      </c>
      <c r="D632" s="16" t="s">
        <v>2387</v>
      </c>
      <c r="E632" s="15" t="s">
        <v>11216</v>
      </c>
      <c r="F632" s="16" t="str">
        <f>VLOOKUP(Table8[[#This Row],[Mã khách hàng]],code_khach_hang[],2,0)</f>
        <v>CHI NHÁNH HƯNG YÊN - CÔNG TY CỔ PHẦN DỊCH VỤ THƯƠNG MẠI TỔNG HỢP WINCOMMERCE</v>
      </c>
      <c r="G632" s="16" t="str">
        <f>VLOOKUP(Table8[[#This Row],[Mã khách hàng]],code_khach_hang[],3,0)</f>
        <v>Miền Bắc đặc biệt 1</v>
      </c>
      <c r="H632" t="str">
        <f>VLOOKUP(Table8[[#This Row],[Mã khách hàng]],'Khách hàng'!A:D,4,0)</f>
        <v>Food Đức Việt</v>
      </c>
      <c r="I632" t="str">
        <f>VLOOKUP(Table8[[#This Row],[Mã khách hàng]],'Khách hàng'!A:E,5,0)</f>
        <v>HN0040</v>
      </c>
    </row>
    <row r="633" spans="1:9">
      <c r="A633" s="14" t="s">
        <v>8245</v>
      </c>
      <c r="B633" s="15" t="s">
        <v>5</v>
      </c>
      <c r="C633" s="10" t="s">
        <v>8246</v>
      </c>
      <c r="D633" s="16" t="s">
        <v>2390</v>
      </c>
      <c r="E633" s="15" t="s">
        <v>11216</v>
      </c>
      <c r="F633" s="16" t="str">
        <f>VLOOKUP(Table8[[#This Row],[Mã khách hàng]],code_khach_hang[],2,0)</f>
        <v>CHI NHÁNH HƯNG YÊN - CÔNG TY CỔ PHẦN DỊCH VỤ THƯƠNG MẠI TỔNG HỢP WINCOMMERCE</v>
      </c>
      <c r="G633" s="16" t="str">
        <f>VLOOKUP(Table8[[#This Row],[Mã khách hàng]],code_khach_hang[],3,0)</f>
        <v>Miền Bắc đặc biệt 1</v>
      </c>
      <c r="H633" t="str">
        <f>VLOOKUP(Table8[[#This Row],[Mã khách hàng]],'Khách hàng'!A:D,4,0)</f>
        <v>Food Đức Việt</v>
      </c>
      <c r="I633" t="str">
        <f>VLOOKUP(Table8[[#This Row],[Mã khách hàng]],'Khách hàng'!A:E,5,0)</f>
        <v>HN0040</v>
      </c>
    </row>
    <row r="634" spans="1:9">
      <c r="A634" s="14" t="s">
        <v>8439</v>
      </c>
      <c r="B634" s="15" t="s">
        <v>5</v>
      </c>
      <c r="C634" s="10" t="s">
        <v>8440</v>
      </c>
      <c r="D634" s="16" t="s">
        <v>2393</v>
      </c>
      <c r="E634" s="15" t="s">
        <v>11216</v>
      </c>
      <c r="F634" s="16" t="str">
        <f>VLOOKUP(Table8[[#This Row],[Mã khách hàng]],code_khach_hang[],2,0)</f>
        <v>CHI NHÁNH HƯNG YÊN - CÔNG TY CỔ PHẦN DỊCH VỤ THƯƠNG MẠI TỔNG HỢP WINCOMMERCE</v>
      </c>
      <c r="G634" s="16" t="str">
        <f>VLOOKUP(Table8[[#This Row],[Mã khách hàng]],code_khach_hang[],3,0)</f>
        <v>Miền Bắc đặc biệt 1</v>
      </c>
      <c r="H634" t="str">
        <f>VLOOKUP(Table8[[#This Row],[Mã khách hàng]],'Khách hàng'!A:D,4,0)</f>
        <v>Food Đức Việt</v>
      </c>
      <c r="I634" t="str">
        <f>VLOOKUP(Table8[[#This Row],[Mã khách hàng]],'Khách hàng'!A:E,5,0)</f>
        <v>HN0040</v>
      </c>
    </row>
    <row r="635" spans="1:9">
      <c r="A635" s="14" t="s">
        <v>5624</v>
      </c>
      <c r="B635" s="15" t="s">
        <v>5</v>
      </c>
      <c r="C635" s="10" t="s">
        <v>5625</v>
      </c>
      <c r="D635" s="16" t="s">
        <v>2396</v>
      </c>
      <c r="E635" s="15" t="s">
        <v>11216</v>
      </c>
      <c r="F635" s="16" t="str">
        <f>VLOOKUP(Table8[[#This Row],[Mã khách hàng]],code_khach_hang[],2,0)</f>
        <v>CHI NHÁNH HƯNG YÊN - CÔNG TY CỔ PHẦN DỊCH VỤ THƯƠNG MẠI TỔNG HỢP WINCOMMERCE</v>
      </c>
      <c r="G635" s="16" t="str">
        <f>VLOOKUP(Table8[[#This Row],[Mã khách hàng]],code_khach_hang[],3,0)</f>
        <v>Miền Bắc đặc biệt 1</v>
      </c>
      <c r="H635" t="str">
        <f>VLOOKUP(Table8[[#This Row],[Mã khách hàng]],'Khách hàng'!A:D,4,0)</f>
        <v>Food Đức Việt</v>
      </c>
      <c r="I635" t="str">
        <f>VLOOKUP(Table8[[#This Row],[Mã khách hàng]],'Khách hàng'!A:E,5,0)</f>
        <v>HN0040</v>
      </c>
    </row>
    <row r="636" spans="1:9">
      <c r="A636" s="14" t="s">
        <v>5914</v>
      </c>
      <c r="B636" s="15" t="s">
        <v>5</v>
      </c>
      <c r="C636" s="10" t="s">
        <v>5915</v>
      </c>
      <c r="D636" s="16" t="s">
        <v>2399</v>
      </c>
      <c r="E636" s="15" t="s">
        <v>11216</v>
      </c>
      <c r="F636" s="16" t="str">
        <f>VLOOKUP(Table8[[#This Row],[Mã khách hàng]],code_khach_hang[],2,0)</f>
        <v>CHI NHÁNH HƯNG YÊN - CÔNG TY CỔ PHẦN DỊCH VỤ THƯƠNG MẠI TỔNG HỢP WINCOMMERCE</v>
      </c>
      <c r="G636" s="16" t="str">
        <f>VLOOKUP(Table8[[#This Row],[Mã khách hàng]],code_khach_hang[],3,0)</f>
        <v>Miền Bắc đặc biệt 1</v>
      </c>
      <c r="H636" t="str">
        <f>VLOOKUP(Table8[[#This Row],[Mã khách hàng]],'Khách hàng'!A:D,4,0)</f>
        <v>Food Đức Việt</v>
      </c>
      <c r="I636" t="str">
        <f>VLOOKUP(Table8[[#This Row],[Mã khách hàng]],'Khách hàng'!A:E,5,0)</f>
        <v>HN0040</v>
      </c>
    </row>
    <row r="637" spans="1:9">
      <c r="A637" s="14" t="s">
        <v>5923</v>
      </c>
      <c r="B637" s="15" t="s">
        <v>5</v>
      </c>
      <c r="C637" s="10" t="s">
        <v>5924</v>
      </c>
      <c r="D637" s="16" t="s">
        <v>2402</v>
      </c>
      <c r="E637" s="15" t="s">
        <v>11216</v>
      </c>
      <c r="F637" s="16" t="str">
        <f>VLOOKUP(Table8[[#This Row],[Mã khách hàng]],code_khach_hang[],2,0)</f>
        <v>CHI NHÁNH HƯNG YÊN - CÔNG TY CỔ PHẦN DỊCH VỤ THƯƠNG MẠI TỔNG HỢP WINCOMMERCE</v>
      </c>
      <c r="G637" s="16" t="str">
        <f>VLOOKUP(Table8[[#This Row],[Mã khách hàng]],code_khach_hang[],3,0)</f>
        <v>Miền Bắc đặc biệt 1</v>
      </c>
      <c r="H637" t="str">
        <f>VLOOKUP(Table8[[#This Row],[Mã khách hàng]],'Khách hàng'!A:D,4,0)</f>
        <v>Food Đức Việt</v>
      </c>
      <c r="I637" t="str">
        <f>VLOOKUP(Table8[[#This Row],[Mã khách hàng]],'Khách hàng'!A:E,5,0)</f>
        <v>HN0040</v>
      </c>
    </row>
    <row r="638" spans="1:9">
      <c r="A638" s="14" t="s">
        <v>6196</v>
      </c>
      <c r="B638" s="15" t="s">
        <v>5</v>
      </c>
      <c r="C638" s="10" t="s">
        <v>6197</v>
      </c>
      <c r="D638" s="16" t="s">
        <v>2405</v>
      </c>
      <c r="E638" s="15" t="s">
        <v>11216</v>
      </c>
      <c r="F638" s="16" t="str">
        <f>VLOOKUP(Table8[[#This Row],[Mã khách hàng]],code_khach_hang[],2,0)</f>
        <v>CHI NHÁNH HƯNG YÊN - CÔNG TY CỔ PHẦN DỊCH VỤ THƯƠNG MẠI TỔNG HỢP WINCOMMERCE</v>
      </c>
      <c r="G638" s="16" t="str">
        <f>VLOOKUP(Table8[[#This Row],[Mã khách hàng]],code_khach_hang[],3,0)</f>
        <v>Miền Bắc đặc biệt 1</v>
      </c>
      <c r="H638" t="str">
        <f>VLOOKUP(Table8[[#This Row],[Mã khách hàng]],'Khách hàng'!A:D,4,0)</f>
        <v>Food Đức Việt</v>
      </c>
      <c r="I638" t="str">
        <f>VLOOKUP(Table8[[#This Row],[Mã khách hàng]],'Khách hàng'!A:E,5,0)</f>
        <v>HN0040</v>
      </c>
    </row>
    <row r="639" spans="1:9">
      <c r="A639" s="14" t="s">
        <v>6758</v>
      </c>
      <c r="B639" s="15" t="s">
        <v>5</v>
      </c>
      <c r="C639" s="10" t="s">
        <v>6759</v>
      </c>
      <c r="D639" s="16" t="s">
        <v>2408</v>
      </c>
      <c r="E639" s="15" t="s">
        <v>11216</v>
      </c>
      <c r="F639" s="16" t="str">
        <f>VLOOKUP(Table8[[#This Row],[Mã khách hàng]],code_khach_hang[],2,0)</f>
        <v>CHI NHÁNH HƯNG YÊN - CÔNG TY CỔ PHẦN DỊCH VỤ THƯƠNG MẠI TỔNG HỢP WINCOMMERCE</v>
      </c>
      <c r="G639" s="16" t="str">
        <f>VLOOKUP(Table8[[#This Row],[Mã khách hàng]],code_khach_hang[],3,0)</f>
        <v>Miền Bắc đặc biệt 1</v>
      </c>
      <c r="H639" t="str">
        <f>VLOOKUP(Table8[[#This Row],[Mã khách hàng]],'Khách hàng'!A:D,4,0)</f>
        <v>Food Đức Việt</v>
      </c>
      <c r="I639" t="str">
        <f>VLOOKUP(Table8[[#This Row],[Mã khách hàng]],'Khách hàng'!A:E,5,0)</f>
        <v>HN0040</v>
      </c>
    </row>
    <row r="640" spans="1:9">
      <c r="A640" s="14" t="s">
        <v>7259</v>
      </c>
      <c r="B640" s="15" t="s">
        <v>5</v>
      </c>
      <c r="C640" s="10" t="s">
        <v>7260</v>
      </c>
      <c r="D640" s="16" t="s">
        <v>2411</v>
      </c>
      <c r="E640" s="15" t="s">
        <v>11216</v>
      </c>
      <c r="F640" s="16" t="str">
        <f>VLOOKUP(Table8[[#This Row],[Mã khách hàng]],code_khach_hang[],2,0)</f>
        <v>CHI NHÁNH HƯNG YÊN - CÔNG TY CỔ PHẦN DỊCH VỤ THƯƠNG MẠI TỔNG HỢP WINCOMMERCE</v>
      </c>
      <c r="G640" s="16" t="str">
        <f>VLOOKUP(Table8[[#This Row],[Mã khách hàng]],code_khach_hang[],3,0)</f>
        <v>Miền Bắc đặc biệt 1</v>
      </c>
      <c r="H640" t="str">
        <f>VLOOKUP(Table8[[#This Row],[Mã khách hàng]],'Khách hàng'!A:D,4,0)</f>
        <v>Food Đức Việt</v>
      </c>
      <c r="I640" t="str">
        <f>VLOOKUP(Table8[[#This Row],[Mã khách hàng]],'Khách hàng'!A:E,5,0)</f>
        <v>HN0040</v>
      </c>
    </row>
    <row r="641" spans="1:9">
      <c r="A641" s="14" t="s">
        <v>7903</v>
      </c>
      <c r="B641" s="15" t="s">
        <v>5</v>
      </c>
      <c r="C641" s="10" t="s">
        <v>7904</v>
      </c>
      <c r="D641" s="16" t="s">
        <v>2414</v>
      </c>
      <c r="E641" s="15" t="s">
        <v>11216</v>
      </c>
      <c r="F641" s="16" t="str">
        <f>VLOOKUP(Table8[[#This Row],[Mã khách hàng]],code_khach_hang[],2,0)</f>
        <v>CHI NHÁNH HƯNG YÊN - CÔNG TY CỔ PHẦN DỊCH VỤ THƯƠNG MẠI TỔNG HỢP WINCOMMERCE</v>
      </c>
      <c r="G641" s="16" t="str">
        <f>VLOOKUP(Table8[[#This Row],[Mã khách hàng]],code_khach_hang[],3,0)</f>
        <v>Miền Bắc đặc biệt 1</v>
      </c>
      <c r="H641" t="str">
        <f>VLOOKUP(Table8[[#This Row],[Mã khách hàng]],'Khách hàng'!A:D,4,0)</f>
        <v>Food Đức Việt</v>
      </c>
      <c r="I641" t="str">
        <f>VLOOKUP(Table8[[#This Row],[Mã khách hàng]],'Khách hàng'!A:E,5,0)</f>
        <v>HN0040</v>
      </c>
    </row>
    <row r="642" spans="1:9">
      <c r="A642" s="14" t="s">
        <v>6653</v>
      </c>
      <c r="B642" s="15" t="s">
        <v>5</v>
      </c>
      <c r="C642" s="10" t="s">
        <v>6654</v>
      </c>
      <c r="D642" s="16" t="s">
        <v>2417</v>
      </c>
      <c r="E642" s="15" t="s">
        <v>11216</v>
      </c>
      <c r="F642" s="16" t="str">
        <f>VLOOKUP(Table8[[#This Row],[Mã khách hàng]],code_khach_hang[],2,0)</f>
        <v>CHI NHÁNH HƯNG YÊN - CÔNG TY CỔ PHẦN DỊCH VỤ THƯƠNG MẠI TỔNG HỢP WINCOMMERCE</v>
      </c>
      <c r="G642" s="16" t="str">
        <f>VLOOKUP(Table8[[#This Row],[Mã khách hàng]],code_khach_hang[],3,0)</f>
        <v>Miền Bắc đặc biệt 1</v>
      </c>
      <c r="H642" t="str">
        <f>VLOOKUP(Table8[[#This Row],[Mã khách hàng]],'Khách hàng'!A:D,4,0)</f>
        <v>Food Đức Việt</v>
      </c>
      <c r="I642" t="str">
        <f>VLOOKUP(Table8[[#This Row],[Mã khách hàng]],'Khách hàng'!A:E,5,0)</f>
        <v>HN0040</v>
      </c>
    </row>
    <row r="643" spans="1:9">
      <c r="A643" s="14" t="s">
        <v>6845</v>
      </c>
      <c r="B643" s="15" t="s">
        <v>5</v>
      </c>
      <c r="C643" s="10" t="s">
        <v>6846</v>
      </c>
      <c r="D643" s="16" t="s">
        <v>2420</v>
      </c>
      <c r="E643" s="15" t="s">
        <v>11216</v>
      </c>
      <c r="F643" s="16" t="str">
        <f>VLOOKUP(Table8[[#This Row],[Mã khách hàng]],code_khach_hang[],2,0)</f>
        <v>CHI NHÁNH HƯNG YÊN - CÔNG TY CỔ PHẦN DỊCH VỤ THƯƠNG MẠI TỔNG HỢP WINCOMMERCE</v>
      </c>
      <c r="G643" s="16" t="str">
        <f>VLOOKUP(Table8[[#This Row],[Mã khách hàng]],code_khach_hang[],3,0)</f>
        <v>Miền Bắc đặc biệt 1</v>
      </c>
      <c r="H643" t="str">
        <f>VLOOKUP(Table8[[#This Row],[Mã khách hàng]],'Khách hàng'!A:D,4,0)</f>
        <v>Food Đức Việt</v>
      </c>
      <c r="I643" t="str">
        <f>VLOOKUP(Table8[[#This Row],[Mã khách hàng]],'Khách hàng'!A:E,5,0)</f>
        <v>HN0040</v>
      </c>
    </row>
    <row r="644" spans="1:9">
      <c r="A644" s="14" t="s">
        <v>8224</v>
      </c>
      <c r="B644" s="15" t="s">
        <v>5</v>
      </c>
      <c r="C644" s="10" t="s">
        <v>8225</v>
      </c>
      <c r="D644" s="16" t="s">
        <v>2423</v>
      </c>
      <c r="E644" s="15" t="s">
        <v>11216</v>
      </c>
      <c r="F644" s="16" t="str">
        <f>VLOOKUP(Table8[[#This Row],[Mã khách hàng]],code_khach_hang[],2,0)</f>
        <v>CHI NHÁNH HƯNG YÊN - CÔNG TY CỔ PHẦN DỊCH VỤ THƯƠNG MẠI TỔNG HỢP WINCOMMERCE</v>
      </c>
      <c r="G644" s="16" t="str">
        <f>VLOOKUP(Table8[[#This Row],[Mã khách hàng]],code_khach_hang[],3,0)</f>
        <v>Miền Bắc đặc biệt 1</v>
      </c>
      <c r="H644" t="str">
        <f>VLOOKUP(Table8[[#This Row],[Mã khách hàng]],'Khách hàng'!A:D,4,0)</f>
        <v>Food Đức Việt</v>
      </c>
      <c r="I644" t="str">
        <f>VLOOKUP(Table8[[#This Row],[Mã khách hàng]],'Khách hàng'!A:E,5,0)</f>
        <v>HN0040</v>
      </c>
    </row>
    <row r="645" spans="1:9">
      <c r="A645" s="14" t="s">
        <v>8506</v>
      </c>
      <c r="B645" s="15" t="s">
        <v>5</v>
      </c>
      <c r="C645" s="10" t="s">
        <v>8507</v>
      </c>
      <c r="D645" s="16" t="s">
        <v>2426</v>
      </c>
      <c r="E645" s="15" t="s">
        <v>11216</v>
      </c>
      <c r="F645" s="16" t="str">
        <f>VLOOKUP(Table8[[#This Row],[Mã khách hàng]],code_khach_hang[],2,0)</f>
        <v>CHI NHÁNH HƯNG YÊN - CÔNG TY CỔ PHẦN DỊCH VỤ THƯƠNG MẠI TỔNG HỢP WINCOMMERCE</v>
      </c>
      <c r="G645" s="16" t="str">
        <f>VLOOKUP(Table8[[#This Row],[Mã khách hàng]],code_khach_hang[],3,0)</f>
        <v>Miền Bắc đặc biệt 1</v>
      </c>
      <c r="H645" t="str">
        <f>VLOOKUP(Table8[[#This Row],[Mã khách hàng]],'Khách hàng'!A:D,4,0)</f>
        <v>Food Đức Việt</v>
      </c>
      <c r="I645" t="str">
        <f>VLOOKUP(Table8[[#This Row],[Mã khách hàng]],'Khách hàng'!A:E,5,0)</f>
        <v>HN0040</v>
      </c>
    </row>
    <row r="646" spans="1:9">
      <c r="A646" s="14" t="s">
        <v>8844</v>
      </c>
      <c r="B646" s="15" t="s">
        <v>5</v>
      </c>
      <c r="C646" s="10" t="s">
        <v>8845</v>
      </c>
      <c r="D646" s="16" t="s">
        <v>2429</v>
      </c>
      <c r="E646" s="15" t="s">
        <v>11216</v>
      </c>
      <c r="F646" s="16" t="str">
        <f>VLOOKUP(Table8[[#This Row],[Mã khách hàng]],code_khach_hang[],2,0)</f>
        <v>CHI NHÁNH HƯNG YÊN - CÔNG TY CỔ PHẦN DỊCH VỤ THƯƠNG MẠI TỔNG HỢP WINCOMMERCE</v>
      </c>
      <c r="G646" s="16" t="str">
        <f>VLOOKUP(Table8[[#This Row],[Mã khách hàng]],code_khach_hang[],3,0)</f>
        <v>Miền Bắc đặc biệt 1</v>
      </c>
      <c r="H646" t="str">
        <f>VLOOKUP(Table8[[#This Row],[Mã khách hàng]],'Khách hàng'!A:D,4,0)</f>
        <v>Food Đức Việt</v>
      </c>
      <c r="I646" t="str">
        <f>VLOOKUP(Table8[[#This Row],[Mã khách hàng]],'Khách hàng'!A:E,5,0)</f>
        <v>HN0040</v>
      </c>
    </row>
    <row r="647" spans="1:9">
      <c r="A647" s="14" t="s">
        <v>7297</v>
      </c>
      <c r="B647" s="15" t="s">
        <v>5</v>
      </c>
      <c r="C647" s="10" t="s">
        <v>7298</v>
      </c>
      <c r="D647" s="16" t="s">
        <v>2432</v>
      </c>
      <c r="E647" s="15" t="s">
        <v>11208</v>
      </c>
      <c r="F647" s="16" t="str">
        <f>VLOOKUP(Table8[[#This Row],[Mã khách hàng]],code_khach_hang[],2,0)</f>
        <v>CHI NHÁNH LẠNG SƠN - CÔNG TY CỔ PHẦN DỊCH VỤ THƯƠNG MẠI TỔNG HỢP WINCOMMERCE</v>
      </c>
      <c r="G647" s="16" t="str">
        <f>VLOOKUP(Table8[[#This Row],[Mã khách hàng]],code_khach_hang[],3,0)</f>
        <v>Miền Bắc đặc biệt 2</v>
      </c>
      <c r="H647" t="str">
        <f>VLOOKUP(Table8[[#This Row],[Mã khách hàng]],'Khách hàng'!A:D,4,0)</f>
        <v>Food Đức Việt</v>
      </c>
      <c r="I647" t="str">
        <f>VLOOKUP(Table8[[#This Row],[Mã khách hàng]],'Khách hàng'!A:E,5,0)</f>
        <v>HN0040</v>
      </c>
    </row>
    <row r="648" spans="1:9">
      <c r="A648" s="14" t="s">
        <v>7446</v>
      </c>
      <c r="B648" s="15" t="s">
        <v>5</v>
      </c>
      <c r="C648" s="10" t="s">
        <v>7447</v>
      </c>
      <c r="D648" s="16" t="s">
        <v>2435</v>
      </c>
      <c r="E648" s="15" t="s">
        <v>11208</v>
      </c>
      <c r="F648" s="16" t="str">
        <f>VLOOKUP(Table8[[#This Row],[Mã khách hàng]],code_khach_hang[],2,0)</f>
        <v>CHI NHÁNH LẠNG SƠN - CÔNG TY CỔ PHẦN DỊCH VỤ THƯƠNG MẠI TỔNG HỢP WINCOMMERCE</v>
      </c>
      <c r="G648" s="16" t="str">
        <f>VLOOKUP(Table8[[#This Row],[Mã khách hàng]],code_khach_hang[],3,0)</f>
        <v>Miền Bắc đặc biệt 2</v>
      </c>
      <c r="H648" t="str">
        <f>VLOOKUP(Table8[[#This Row],[Mã khách hàng]],'Khách hàng'!A:D,4,0)</f>
        <v>Food Đức Việt</v>
      </c>
      <c r="I648" t="str">
        <f>VLOOKUP(Table8[[#This Row],[Mã khách hàng]],'Khách hàng'!A:E,5,0)</f>
        <v>HN0040</v>
      </c>
    </row>
    <row r="649" spans="1:9">
      <c r="A649" s="14" t="s">
        <v>5707</v>
      </c>
      <c r="B649" s="15" t="s">
        <v>5</v>
      </c>
      <c r="C649" s="10" t="e">
        <v>#N/A</v>
      </c>
      <c r="D649" s="16" t="s">
        <v>2438</v>
      </c>
      <c r="E649" s="15" t="s">
        <v>11208</v>
      </c>
      <c r="F649" s="16" t="str">
        <f>VLOOKUP(Table8[[#This Row],[Mã khách hàng]],code_khach_hang[],2,0)</f>
        <v>CHI NHÁNH LẠNG SƠN - CÔNG TY CỔ PHẦN DỊCH VỤ THƯƠNG MẠI TỔNG HỢP WINCOMMERCE</v>
      </c>
      <c r="G649" s="16" t="str">
        <f>VLOOKUP(Table8[[#This Row],[Mã khách hàng]],code_khach_hang[],3,0)</f>
        <v>Miền Bắc đặc biệt 2</v>
      </c>
      <c r="H649" t="str">
        <f>VLOOKUP(Table8[[#This Row],[Mã khách hàng]],'Khách hàng'!A:D,4,0)</f>
        <v>Food Đức Việt</v>
      </c>
      <c r="I649" t="str">
        <f>VLOOKUP(Table8[[#This Row],[Mã khách hàng]],'Khách hàng'!A:E,5,0)</f>
        <v>HN0040</v>
      </c>
    </row>
    <row r="650" spans="1:9">
      <c r="A650" s="14" t="s">
        <v>5718</v>
      </c>
      <c r="B650" s="15" t="s">
        <v>5</v>
      </c>
      <c r="C650" s="10" t="s">
        <v>5719</v>
      </c>
      <c r="D650" s="16" t="s">
        <v>2441</v>
      </c>
      <c r="E650" s="15" t="s">
        <v>11208</v>
      </c>
      <c r="F650" s="16" t="str">
        <f>VLOOKUP(Table8[[#This Row],[Mã khách hàng]],code_khach_hang[],2,0)</f>
        <v>CHI NHÁNH LẠNG SƠN - CÔNG TY CỔ PHẦN DỊCH VỤ THƯƠNG MẠI TỔNG HỢP WINCOMMERCE</v>
      </c>
      <c r="G650" s="16" t="str">
        <f>VLOOKUP(Table8[[#This Row],[Mã khách hàng]],code_khach_hang[],3,0)</f>
        <v>Miền Bắc đặc biệt 2</v>
      </c>
      <c r="H650" t="str">
        <f>VLOOKUP(Table8[[#This Row],[Mã khách hàng]],'Khách hàng'!A:D,4,0)</f>
        <v>Food Đức Việt</v>
      </c>
      <c r="I650" t="str">
        <f>VLOOKUP(Table8[[#This Row],[Mã khách hàng]],'Khách hàng'!A:E,5,0)</f>
        <v>HN0040</v>
      </c>
    </row>
    <row r="651" spans="1:9">
      <c r="A651" s="14" t="s">
        <v>5721</v>
      </c>
      <c r="B651" s="15" t="s">
        <v>5</v>
      </c>
      <c r="C651" s="10" t="s">
        <v>5722</v>
      </c>
      <c r="D651" s="16" t="s">
        <v>2444</v>
      </c>
      <c r="E651" s="15" t="s">
        <v>11208</v>
      </c>
      <c r="F651" s="16" t="str">
        <f>VLOOKUP(Table8[[#This Row],[Mã khách hàng]],code_khach_hang[],2,0)</f>
        <v>CHI NHÁNH LẠNG SƠN - CÔNG TY CỔ PHẦN DỊCH VỤ THƯƠNG MẠI TỔNG HỢP WINCOMMERCE</v>
      </c>
      <c r="G651" s="16" t="str">
        <f>VLOOKUP(Table8[[#This Row],[Mã khách hàng]],code_khach_hang[],3,0)</f>
        <v>Miền Bắc đặc biệt 2</v>
      </c>
      <c r="H651" t="str">
        <f>VLOOKUP(Table8[[#This Row],[Mã khách hàng]],'Khách hàng'!A:D,4,0)</f>
        <v>Food Đức Việt</v>
      </c>
      <c r="I651" t="str">
        <f>VLOOKUP(Table8[[#This Row],[Mã khách hàng]],'Khách hàng'!A:E,5,0)</f>
        <v>HN0040</v>
      </c>
    </row>
    <row r="652" spans="1:9">
      <c r="A652" s="14" t="s">
        <v>5736</v>
      </c>
      <c r="B652" s="15" t="s">
        <v>5</v>
      </c>
      <c r="C652" s="10" t="e">
        <v>#N/A</v>
      </c>
      <c r="D652" s="16" t="s">
        <v>2448</v>
      </c>
      <c r="E652" s="15" t="s">
        <v>11208</v>
      </c>
      <c r="F652" s="16" t="str">
        <f>VLOOKUP(Table8[[#This Row],[Mã khách hàng]],code_khach_hang[],2,0)</f>
        <v>CHI NHÁNH LẠNG SƠN - CÔNG TY CỔ PHẦN DỊCH VỤ THƯƠNG MẠI TỔNG HỢP WINCOMMERCE</v>
      </c>
      <c r="G652" s="16" t="str">
        <f>VLOOKUP(Table8[[#This Row],[Mã khách hàng]],code_khach_hang[],3,0)</f>
        <v>Miền Bắc đặc biệt 2</v>
      </c>
      <c r="H652" t="str">
        <f>VLOOKUP(Table8[[#This Row],[Mã khách hàng]],'Khách hàng'!A:D,4,0)</f>
        <v>Food Đức Việt</v>
      </c>
      <c r="I652" t="str">
        <f>VLOOKUP(Table8[[#This Row],[Mã khách hàng]],'Khách hàng'!A:E,5,0)</f>
        <v>HN0040</v>
      </c>
    </row>
    <row r="653" spans="1:9">
      <c r="A653" s="14" t="s">
        <v>5777</v>
      </c>
      <c r="B653" s="15" t="s">
        <v>5</v>
      </c>
      <c r="C653" s="10" t="s">
        <v>5778</v>
      </c>
      <c r="D653" s="16" t="s">
        <v>2451</v>
      </c>
      <c r="E653" s="15" t="s">
        <v>11208</v>
      </c>
      <c r="F653" s="16" t="str">
        <f>VLOOKUP(Table8[[#This Row],[Mã khách hàng]],code_khach_hang[],2,0)</f>
        <v>CHI NHÁNH LẠNG SƠN - CÔNG TY CỔ PHẦN DỊCH VỤ THƯƠNG MẠI TỔNG HỢP WINCOMMERCE</v>
      </c>
      <c r="G653" s="16" t="str">
        <f>VLOOKUP(Table8[[#This Row],[Mã khách hàng]],code_khach_hang[],3,0)</f>
        <v>Miền Bắc đặc biệt 2</v>
      </c>
      <c r="H653" t="str">
        <f>VLOOKUP(Table8[[#This Row],[Mã khách hàng]],'Khách hàng'!A:D,4,0)</f>
        <v>Food Đức Việt</v>
      </c>
      <c r="I653" t="str">
        <f>VLOOKUP(Table8[[#This Row],[Mã khách hàng]],'Khách hàng'!A:E,5,0)</f>
        <v>HN0040</v>
      </c>
    </row>
    <row r="654" spans="1:9">
      <c r="A654" s="14" t="s">
        <v>5893</v>
      </c>
      <c r="B654" s="15" t="s">
        <v>5</v>
      </c>
      <c r="C654" s="10" t="s">
        <v>5894</v>
      </c>
      <c r="D654" s="16" t="s">
        <v>2454</v>
      </c>
      <c r="E654" s="15" t="s">
        <v>11208</v>
      </c>
      <c r="F654" s="16" t="str">
        <f>VLOOKUP(Table8[[#This Row],[Mã khách hàng]],code_khach_hang[],2,0)</f>
        <v>CHI NHÁNH LẠNG SƠN - CÔNG TY CỔ PHẦN DỊCH VỤ THƯƠNG MẠI TỔNG HỢP WINCOMMERCE</v>
      </c>
      <c r="G654" s="16" t="str">
        <f>VLOOKUP(Table8[[#This Row],[Mã khách hàng]],code_khach_hang[],3,0)</f>
        <v>Miền Bắc đặc biệt 2</v>
      </c>
      <c r="H654" t="str">
        <f>VLOOKUP(Table8[[#This Row],[Mã khách hàng]],'Khách hàng'!A:D,4,0)</f>
        <v>Food Đức Việt</v>
      </c>
      <c r="I654" t="str">
        <f>VLOOKUP(Table8[[#This Row],[Mã khách hàng]],'Khách hàng'!A:E,5,0)</f>
        <v>HN0040</v>
      </c>
    </row>
    <row r="655" spans="1:9">
      <c r="A655" s="14" t="s">
        <v>5950</v>
      </c>
      <c r="B655" s="15" t="s">
        <v>5</v>
      </c>
      <c r="C655" s="10" t="s">
        <v>5951</v>
      </c>
      <c r="D655" s="16" t="s">
        <v>2457</v>
      </c>
      <c r="E655" s="15" t="s">
        <v>11208</v>
      </c>
      <c r="F655" s="16" t="str">
        <f>VLOOKUP(Table8[[#This Row],[Mã khách hàng]],code_khach_hang[],2,0)</f>
        <v>CHI NHÁNH LẠNG SƠN - CÔNG TY CỔ PHẦN DỊCH VỤ THƯƠNG MẠI TỔNG HỢP WINCOMMERCE</v>
      </c>
      <c r="G655" s="16" t="str">
        <f>VLOOKUP(Table8[[#This Row],[Mã khách hàng]],code_khach_hang[],3,0)</f>
        <v>Miền Bắc đặc biệt 2</v>
      </c>
      <c r="H655" t="str">
        <f>VLOOKUP(Table8[[#This Row],[Mã khách hàng]],'Khách hàng'!A:D,4,0)</f>
        <v>Food Đức Việt</v>
      </c>
      <c r="I655" t="str">
        <f>VLOOKUP(Table8[[#This Row],[Mã khách hàng]],'Khách hàng'!A:E,5,0)</f>
        <v>HN0040</v>
      </c>
    </row>
    <row r="656" spans="1:9">
      <c r="A656" s="14" t="s">
        <v>5986</v>
      </c>
      <c r="B656" s="15" t="s">
        <v>5</v>
      </c>
      <c r="C656" s="10" t="s">
        <v>5987</v>
      </c>
      <c r="D656" s="16" t="s">
        <v>2460</v>
      </c>
      <c r="E656" s="15" t="s">
        <v>11208</v>
      </c>
      <c r="F656" s="16" t="str">
        <f>VLOOKUP(Table8[[#This Row],[Mã khách hàng]],code_khach_hang[],2,0)</f>
        <v>CHI NHÁNH LẠNG SƠN - CÔNG TY CỔ PHẦN DỊCH VỤ THƯƠNG MẠI TỔNG HỢP WINCOMMERCE</v>
      </c>
      <c r="G656" s="16" t="str">
        <f>VLOOKUP(Table8[[#This Row],[Mã khách hàng]],code_khach_hang[],3,0)</f>
        <v>Miền Bắc đặc biệt 2</v>
      </c>
      <c r="H656" t="str">
        <f>VLOOKUP(Table8[[#This Row],[Mã khách hàng]],'Khách hàng'!A:D,4,0)</f>
        <v>Food Đức Việt</v>
      </c>
      <c r="I656" t="str">
        <f>VLOOKUP(Table8[[#This Row],[Mã khách hàng]],'Khách hàng'!A:E,5,0)</f>
        <v>HN0040</v>
      </c>
    </row>
    <row r="657" spans="1:9">
      <c r="A657" s="14" t="s">
        <v>6112</v>
      </c>
      <c r="B657" s="15" t="s">
        <v>5</v>
      </c>
      <c r="C657" s="10" t="s">
        <v>6113</v>
      </c>
      <c r="D657" s="16" t="s">
        <v>2463</v>
      </c>
      <c r="E657" s="15" t="s">
        <v>11208</v>
      </c>
      <c r="F657" s="16" t="str">
        <f>VLOOKUP(Table8[[#This Row],[Mã khách hàng]],code_khach_hang[],2,0)</f>
        <v>CHI NHÁNH LẠNG SƠN - CÔNG TY CỔ PHẦN DỊCH VỤ THƯƠNG MẠI TỔNG HỢP WINCOMMERCE</v>
      </c>
      <c r="G657" s="16" t="str">
        <f>VLOOKUP(Table8[[#This Row],[Mã khách hàng]],code_khach_hang[],3,0)</f>
        <v>Miền Bắc đặc biệt 2</v>
      </c>
      <c r="H657" t="str">
        <f>VLOOKUP(Table8[[#This Row],[Mã khách hàng]],'Khách hàng'!A:D,4,0)</f>
        <v>Food Đức Việt</v>
      </c>
      <c r="I657" t="str">
        <f>VLOOKUP(Table8[[#This Row],[Mã khách hàng]],'Khách hàng'!A:E,5,0)</f>
        <v>HN0040</v>
      </c>
    </row>
    <row r="658" spans="1:9">
      <c r="A658" s="14" t="s">
        <v>6458</v>
      </c>
      <c r="B658" s="15" t="s">
        <v>5</v>
      </c>
      <c r="C658" s="10" t="s">
        <v>6459</v>
      </c>
      <c r="D658" s="16" t="s">
        <v>2466</v>
      </c>
      <c r="E658" s="14" t="s">
        <v>11208</v>
      </c>
      <c r="F658" s="16" t="str">
        <f>VLOOKUP(Table8[[#This Row],[Mã khách hàng]],code_khach_hang[],2,0)</f>
        <v>CHI NHÁNH LẠNG SƠN - CÔNG TY CỔ PHẦN DỊCH VỤ THƯƠNG MẠI TỔNG HỢP WINCOMMERCE</v>
      </c>
      <c r="G658" s="16" t="str">
        <f>VLOOKUP(Table8[[#This Row],[Mã khách hàng]],code_khach_hang[],3,0)</f>
        <v>Miền Bắc đặc biệt 2</v>
      </c>
      <c r="H658" t="str">
        <f>VLOOKUP(Table8[[#This Row],[Mã khách hàng]],'Khách hàng'!A:D,4,0)</f>
        <v>Food Đức Việt</v>
      </c>
      <c r="I658" t="str">
        <f>VLOOKUP(Table8[[#This Row],[Mã khách hàng]],'Khách hàng'!A:E,5,0)</f>
        <v>HN0040</v>
      </c>
    </row>
    <row r="659" spans="1:9">
      <c r="A659" s="14" t="s">
        <v>5822</v>
      </c>
      <c r="B659" s="15" t="s">
        <v>5</v>
      </c>
      <c r="C659" s="10" t="e">
        <v>#N/A</v>
      </c>
      <c r="D659" s="16" t="s">
        <v>2468</v>
      </c>
      <c r="E659" s="15" t="s">
        <v>11208</v>
      </c>
      <c r="F659" s="16" t="str">
        <f>VLOOKUP(Table8[[#This Row],[Mã khách hàng]],code_khach_hang[],2,0)</f>
        <v>CHI NHÁNH LẠNG SƠN - CÔNG TY CỔ PHẦN DỊCH VỤ THƯƠNG MẠI TỔNG HỢP WINCOMMERCE</v>
      </c>
      <c r="G659" s="16" t="str">
        <f>VLOOKUP(Table8[[#This Row],[Mã khách hàng]],code_khach_hang[],3,0)</f>
        <v>Miền Bắc đặc biệt 2</v>
      </c>
      <c r="H659" t="str">
        <f>VLOOKUP(Table8[[#This Row],[Mã khách hàng]],'Khách hàng'!A:D,4,0)</f>
        <v>Food Đức Việt</v>
      </c>
      <c r="I659" t="str">
        <f>VLOOKUP(Table8[[#This Row],[Mã khách hàng]],'Khách hàng'!A:E,5,0)</f>
        <v>HN0040</v>
      </c>
    </row>
    <row r="660" spans="1:9">
      <c r="A660" s="14" t="s">
        <v>8886</v>
      </c>
      <c r="B660" s="15" t="s">
        <v>5</v>
      </c>
      <c r="C660" s="10" t="s">
        <v>8887</v>
      </c>
      <c r="D660" s="16" t="s">
        <v>2471</v>
      </c>
      <c r="E660" s="15" t="s">
        <v>11217</v>
      </c>
      <c r="F660" s="16" t="str">
        <f>VLOOKUP(Table8[[#This Row],[Mã khách hàng]],code_khach_hang[],2,0)</f>
        <v>CHI NHÁNH BẮC GIANG - CÔNG TY CỔ PHẦN DỊCH VỤ THƯƠNG MẠI TỔNG HỢP WINCOMMERCE</v>
      </c>
      <c r="G660" s="16" t="str">
        <f>VLOOKUP(Table8[[#This Row],[Mã khách hàng]],code_khach_hang[],3,0)</f>
        <v>Miền Bắc đặc biệt 2</v>
      </c>
      <c r="H660" t="str">
        <f>VLOOKUP(Table8[[#This Row],[Mã khách hàng]],'Khách hàng'!A:D,4,0)</f>
        <v>Food Đức Việt</v>
      </c>
      <c r="I660" t="str">
        <f>VLOOKUP(Table8[[#This Row],[Mã khách hàng]],'Khách hàng'!A:E,5,0)</f>
        <v>HN0040</v>
      </c>
    </row>
    <row r="661" spans="1:9">
      <c r="A661" s="14" t="s">
        <v>8904</v>
      </c>
      <c r="B661" s="15" t="s">
        <v>5</v>
      </c>
      <c r="C661" s="10" t="s">
        <v>8905</v>
      </c>
      <c r="D661" s="16" t="s">
        <v>2474</v>
      </c>
      <c r="E661" s="15" t="s">
        <v>11217</v>
      </c>
      <c r="F661" s="16" t="str">
        <f>VLOOKUP(Table8[[#This Row],[Mã khách hàng]],code_khach_hang[],2,0)</f>
        <v>CHI NHÁNH BẮC GIANG - CÔNG TY CỔ PHẦN DỊCH VỤ THƯƠNG MẠI TỔNG HỢP WINCOMMERCE</v>
      </c>
      <c r="G661" s="16" t="str">
        <f>VLOOKUP(Table8[[#This Row],[Mã khách hàng]],code_khach_hang[],3,0)</f>
        <v>Miền Bắc đặc biệt 2</v>
      </c>
      <c r="H661" t="str">
        <f>VLOOKUP(Table8[[#This Row],[Mã khách hàng]],'Khách hàng'!A:D,4,0)</f>
        <v>Food Đức Việt</v>
      </c>
      <c r="I661" t="str">
        <f>VLOOKUP(Table8[[#This Row],[Mã khách hàng]],'Khách hàng'!A:E,5,0)</f>
        <v>HN0040</v>
      </c>
    </row>
    <row r="662" spans="1:9">
      <c r="A662" s="14" t="s">
        <v>8922</v>
      </c>
      <c r="B662" s="15" t="s">
        <v>5</v>
      </c>
      <c r="C662" s="10" t="e">
        <v>#N/A</v>
      </c>
      <c r="D662" s="16" t="s">
        <v>2477</v>
      </c>
      <c r="E662" s="15" t="s">
        <v>11217</v>
      </c>
      <c r="F662" s="16" t="str">
        <f>VLOOKUP(Table8[[#This Row],[Mã khách hàng]],code_khach_hang[],2,0)</f>
        <v>CHI NHÁNH BẮC GIANG - CÔNG TY CỔ PHẦN DỊCH VỤ THƯƠNG MẠI TỔNG HỢP WINCOMMERCE</v>
      </c>
      <c r="G662" s="16" t="str">
        <f>VLOOKUP(Table8[[#This Row],[Mã khách hàng]],code_khach_hang[],3,0)</f>
        <v>Miền Bắc đặc biệt 2</v>
      </c>
      <c r="H662" t="str">
        <f>VLOOKUP(Table8[[#This Row],[Mã khách hàng]],'Khách hàng'!A:D,4,0)</f>
        <v>Food Đức Việt</v>
      </c>
      <c r="I662" t="str">
        <f>VLOOKUP(Table8[[#This Row],[Mã khách hàng]],'Khách hàng'!A:E,5,0)</f>
        <v>HN0040</v>
      </c>
    </row>
    <row r="663" spans="1:9">
      <c r="A663" s="14" t="s">
        <v>8986</v>
      </c>
      <c r="B663" s="15" t="s">
        <v>5</v>
      </c>
      <c r="C663" s="10" t="s">
        <v>8987</v>
      </c>
      <c r="D663" s="16" t="s">
        <v>2479</v>
      </c>
      <c r="E663" s="15" t="s">
        <v>11217</v>
      </c>
      <c r="F663" s="16" t="str">
        <f>VLOOKUP(Table8[[#This Row],[Mã khách hàng]],code_khach_hang[],2,0)</f>
        <v>CHI NHÁNH BẮC GIANG - CÔNG TY CỔ PHẦN DỊCH VỤ THƯƠNG MẠI TỔNG HỢP WINCOMMERCE</v>
      </c>
      <c r="G663" s="16" t="str">
        <f>VLOOKUP(Table8[[#This Row],[Mã khách hàng]],code_khach_hang[],3,0)</f>
        <v>Miền Bắc đặc biệt 2</v>
      </c>
      <c r="H663" t="str">
        <f>VLOOKUP(Table8[[#This Row],[Mã khách hàng]],'Khách hàng'!A:D,4,0)</f>
        <v>Food Đức Việt</v>
      </c>
      <c r="I663" t="str">
        <f>VLOOKUP(Table8[[#This Row],[Mã khách hàng]],'Khách hàng'!A:E,5,0)</f>
        <v>HN0040</v>
      </c>
    </row>
    <row r="664" spans="1:9">
      <c r="A664" s="14" t="s">
        <v>9037</v>
      </c>
      <c r="B664" s="15" t="s">
        <v>5</v>
      </c>
      <c r="C664" s="10" t="s">
        <v>9038</v>
      </c>
      <c r="D664" s="16" t="s">
        <v>2482</v>
      </c>
      <c r="E664" s="15" t="s">
        <v>11217</v>
      </c>
      <c r="F664" s="16" t="str">
        <f>VLOOKUP(Table8[[#This Row],[Mã khách hàng]],code_khach_hang[],2,0)</f>
        <v>CHI NHÁNH BẮC GIANG - CÔNG TY CỔ PHẦN DỊCH VỤ THƯƠNG MẠI TỔNG HỢP WINCOMMERCE</v>
      </c>
      <c r="G664" s="16" t="str">
        <f>VLOOKUP(Table8[[#This Row],[Mã khách hàng]],code_khach_hang[],3,0)</f>
        <v>Miền Bắc đặc biệt 2</v>
      </c>
      <c r="H664" t="str">
        <f>VLOOKUP(Table8[[#This Row],[Mã khách hàng]],'Khách hàng'!A:D,4,0)</f>
        <v>Food Đức Việt</v>
      </c>
      <c r="I664" t="str">
        <f>VLOOKUP(Table8[[#This Row],[Mã khách hàng]],'Khách hàng'!A:E,5,0)</f>
        <v>HN0040</v>
      </c>
    </row>
    <row r="665" spans="1:9">
      <c r="A665" s="14" t="s">
        <v>9064</v>
      </c>
      <c r="B665" s="15" t="s">
        <v>5</v>
      </c>
      <c r="C665" s="10" t="s">
        <v>9065</v>
      </c>
      <c r="D665" s="16" t="s">
        <v>2485</v>
      </c>
      <c r="E665" s="15" t="s">
        <v>11201</v>
      </c>
      <c r="F665" s="16" t="str">
        <f>VLOOKUP(Table8[[#This Row],[Mã khách hàng]],code_khach_hang[],2,0)</f>
        <v>CHI NHÁNH HẢI DƯƠNG - CÔNG TY CỔ PHẦN DỊCH VỤ THƯƠNG MẠI TỔNG HỢP WINCOMMERCE</v>
      </c>
      <c r="G665" s="16" t="str">
        <f>VLOOKUP(Table8[[#This Row],[Mã khách hàng]],code_khach_hang[],3,0)</f>
        <v>Miền Bắc đặc biệt 3</v>
      </c>
      <c r="H665" t="str">
        <f>VLOOKUP(Table8[[#This Row],[Mã khách hàng]],'Khách hàng'!A:D,4,0)</f>
        <v>Food Đức Việt</v>
      </c>
      <c r="I665" t="str">
        <f>VLOOKUP(Table8[[#This Row],[Mã khách hàng]],'Khách hàng'!A:E,5,0)</f>
        <v>HN0040</v>
      </c>
    </row>
    <row r="666" spans="1:9">
      <c r="A666" s="14" t="s">
        <v>9001</v>
      </c>
      <c r="B666" s="15" t="s">
        <v>5</v>
      </c>
      <c r="C666" s="10" t="s">
        <v>9002</v>
      </c>
      <c r="D666" s="16" t="s">
        <v>2487</v>
      </c>
      <c r="E666" s="15" t="s">
        <v>11217</v>
      </c>
      <c r="F666" s="16" t="str">
        <f>VLOOKUP(Table8[[#This Row],[Mã khách hàng]],code_khach_hang[],2,0)</f>
        <v>CHI NHÁNH BẮC GIANG - CÔNG TY CỔ PHẦN DỊCH VỤ THƯƠNG MẠI TỔNG HỢP WINCOMMERCE</v>
      </c>
      <c r="G666" s="16" t="str">
        <f>VLOOKUP(Table8[[#This Row],[Mã khách hàng]],code_khach_hang[],3,0)</f>
        <v>Miền Bắc đặc biệt 2</v>
      </c>
      <c r="H666" t="str">
        <f>VLOOKUP(Table8[[#This Row],[Mã khách hàng]],'Khách hàng'!A:D,4,0)</f>
        <v>Food Đức Việt</v>
      </c>
      <c r="I666" t="str">
        <f>VLOOKUP(Table8[[#This Row],[Mã khách hàng]],'Khách hàng'!A:E,5,0)</f>
        <v>HN0040</v>
      </c>
    </row>
    <row r="667" spans="1:9">
      <c r="A667" s="14" t="s">
        <v>9061</v>
      </c>
      <c r="B667" s="15" t="s">
        <v>5</v>
      </c>
      <c r="C667" s="10" t="s">
        <v>9062</v>
      </c>
      <c r="D667" s="16" t="s">
        <v>2490</v>
      </c>
      <c r="E667" s="15" t="s">
        <v>11201</v>
      </c>
      <c r="F667" s="16" t="str">
        <f>VLOOKUP(Table8[[#This Row],[Mã khách hàng]],code_khach_hang[],2,0)</f>
        <v>CHI NHÁNH HẢI DƯƠNG - CÔNG TY CỔ PHẦN DỊCH VỤ THƯƠNG MẠI TỔNG HỢP WINCOMMERCE</v>
      </c>
      <c r="G667" s="16" t="str">
        <f>VLOOKUP(Table8[[#This Row],[Mã khách hàng]],code_khach_hang[],3,0)</f>
        <v>Miền Bắc đặc biệt 3</v>
      </c>
      <c r="H667" t="str">
        <f>VLOOKUP(Table8[[#This Row],[Mã khách hàng]],'Khách hàng'!A:D,4,0)</f>
        <v>Food Đức Việt</v>
      </c>
      <c r="I667" t="str">
        <f>VLOOKUP(Table8[[#This Row],[Mã khách hàng]],'Khách hàng'!A:E,5,0)</f>
        <v>HN0040</v>
      </c>
    </row>
    <row r="668" spans="1:9">
      <c r="A668" s="14" t="s">
        <v>9105</v>
      </c>
      <c r="B668" s="15" t="s">
        <v>5</v>
      </c>
      <c r="C668" s="10" t="s">
        <v>9106</v>
      </c>
      <c r="D668" s="16" t="s">
        <v>2492</v>
      </c>
      <c r="E668" s="15" t="s">
        <v>11201</v>
      </c>
      <c r="F668" s="16" t="str">
        <f>VLOOKUP(Table8[[#This Row],[Mã khách hàng]],code_khach_hang[],2,0)</f>
        <v>CHI NHÁNH HẢI DƯƠNG - CÔNG TY CỔ PHẦN DỊCH VỤ THƯƠNG MẠI TỔNG HỢP WINCOMMERCE</v>
      </c>
      <c r="G668" s="16" t="str">
        <f>VLOOKUP(Table8[[#This Row],[Mã khách hàng]],code_khach_hang[],3,0)</f>
        <v>Miền Bắc đặc biệt 3</v>
      </c>
      <c r="H668" t="str">
        <f>VLOOKUP(Table8[[#This Row],[Mã khách hàng]],'Khách hàng'!A:D,4,0)</f>
        <v>Food Đức Việt</v>
      </c>
      <c r="I668" t="str">
        <f>VLOOKUP(Table8[[#This Row],[Mã khách hàng]],'Khách hàng'!A:E,5,0)</f>
        <v>HN0040</v>
      </c>
    </row>
    <row r="669" spans="1:9">
      <c r="A669" s="14" t="s">
        <v>1425</v>
      </c>
      <c r="B669" s="15" t="s">
        <v>5</v>
      </c>
      <c r="C669" s="10" t="s">
        <v>1426</v>
      </c>
      <c r="D669" s="16" t="s">
        <v>2494</v>
      </c>
      <c r="E669" s="15" t="s">
        <v>11201</v>
      </c>
      <c r="F669" s="16" t="str">
        <f>VLOOKUP(Table8[[#This Row],[Mã khách hàng]],code_khach_hang[],2,0)</f>
        <v>CHI NHÁNH HẢI DƯƠNG - CÔNG TY CỔ PHẦN DỊCH VỤ THƯƠNG MẠI TỔNG HỢP WINCOMMERCE</v>
      </c>
      <c r="G669" s="16" t="str">
        <f>VLOOKUP(Table8[[#This Row],[Mã khách hàng]],code_khach_hang[],3,0)</f>
        <v>Miền Bắc đặc biệt 3</v>
      </c>
      <c r="H669" t="str">
        <f>VLOOKUP(Table8[[#This Row],[Mã khách hàng]],'Khách hàng'!A:D,4,0)</f>
        <v>Food Đức Việt</v>
      </c>
      <c r="I669" t="str">
        <f>VLOOKUP(Table8[[#This Row],[Mã khách hàng]],'Khách hàng'!A:E,5,0)</f>
        <v>HN0040</v>
      </c>
    </row>
    <row r="670" spans="1:9">
      <c r="A670" s="14" t="s">
        <v>1388</v>
      </c>
      <c r="B670" s="15" t="s">
        <v>5</v>
      </c>
      <c r="C670" s="10" t="s">
        <v>1389</v>
      </c>
      <c r="D670" s="16" t="s">
        <v>2497</v>
      </c>
      <c r="E670" s="15" t="s">
        <v>11217</v>
      </c>
      <c r="F670" s="16" t="str">
        <f>VLOOKUP(Table8[[#This Row],[Mã khách hàng]],code_khach_hang[],2,0)</f>
        <v>CHI NHÁNH BẮC GIANG - CÔNG TY CỔ PHẦN DỊCH VỤ THƯƠNG MẠI TỔNG HỢP WINCOMMERCE</v>
      </c>
      <c r="G670" s="16" t="str">
        <f>VLOOKUP(Table8[[#This Row],[Mã khách hàng]],code_khach_hang[],3,0)</f>
        <v>Miền Bắc đặc biệt 2</v>
      </c>
      <c r="H670" t="str">
        <f>VLOOKUP(Table8[[#This Row],[Mã khách hàng]],'Khách hàng'!A:D,4,0)</f>
        <v>Food Đức Việt</v>
      </c>
      <c r="I670" t="str">
        <f>VLOOKUP(Table8[[#This Row],[Mã khách hàng]],'Khách hàng'!A:E,5,0)</f>
        <v>HN0040</v>
      </c>
    </row>
    <row r="671" spans="1:9">
      <c r="A671" s="14" t="s">
        <v>1441</v>
      </c>
      <c r="B671" s="15" t="s">
        <v>5</v>
      </c>
      <c r="C671" s="10" t="s">
        <v>1442</v>
      </c>
      <c r="D671" s="16" t="s">
        <v>2500</v>
      </c>
      <c r="E671" s="15" t="s">
        <v>11216</v>
      </c>
      <c r="F671" s="16" t="str">
        <f>VLOOKUP(Table8[[#This Row],[Mã khách hàng]],code_khach_hang[],2,0)</f>
        <v>CHI NHÁNH HƯNG YÊN - CÔNG TY CỔ PHẦN DỊCH VỤ THƯƠNG MẠI TỔNG HỢP WINCOMMERCE</v>
      </c>
      <c r="G671" s="16" t="str">
        <f>VLOOKUP(Table8[[#This Row],[Mã khách hàng]],code_khach_hang[],3,0)</f>
        <v>Miền Bắc đặc biệt 1</v>
      </c>
      <c r="H671" t="str">
        <f>VLOOKUP(Table8[[#This Row],[Mã khách hàng]],'Khách hàng'!A:D,4,0)</f>
        <v>Food Đức Việt</v>
      </c>
      <c r="I671" t="str">
        <f>VLOOKUP(Table8[[#This Row],[Mã khách hàng]],'Khách hàng'!A:E,5,0)</f>
        <v>HN0040</v>
      </c>
    </row>
    <row r="672" spans="1:9">
      <c r="A672" s="14" t="s">
        <v>1633</v>
      </c>
      <c r="B672" s="15" t="s">
        <v>5</v>
      </c>
      <c r="C672" s="10" t="e">
        <v>#N/A</v>
      </c>
      <c r="D672" s="16" t="s">
        <v>2503</v>
      </c>
      <c r="E672" s="15" t="s">
        <v>11217</v>
      </c>
      <c r="F672" s="16" t="str">
        <f>VLOOKUP(Table8[[#This Row],[Mã khách hàng]],code_khach_hang[],2,0)</f>
        <v>CHI NHÁNH BẮC GIANG - CÔNG TY CỔ PHẦN DỊCH VỤ THƯƠNG MẠI TỔNG HỢP WINCOMMERCE</v>
      </c>
      <c r="G672" s="16" t="str">
        <f>VLOOKUP(Table8[[#This Row],[Mã khách hàng]],code_khach_hang[],3,0)</f>
        <v>Miền Bắc đặc biệt 2</v>
      </c>
      <c r="H672" t="str">
        <f>VLOOKUP(Table8[[#This Row],[Mã khách hàng]],'Khách hàng'!A:D,4,0)</f>
        <v>Food Đức Việt</v>
      </c>
      <c r="I672" t="str">
        <f>VLOOKUP(Table8[[#This Row],[Mã khách hàng]],'Khách hàng'!A:E,5,0)</f>
        <v>HN0040</v>
      </c>
    </row>
    <row r="673" spans="1:9">
      <c r="A673" s="14" t="s">
        <v>8677</v>
      </c>
      <c r="B673" s="15" t="s">
        <v>5</v>
      </c>
      <c r="C673" s="10" t="s">
        <v>8678</v>
      </c>
      <c r="D673" s="16" t="s">
        <v>2506</v>
      </c>
      <c r="E673" s="15" t="s">
        <v>11201</v>
      </c>
      <c r="F673" s="16" t="str">
        <f>VLOOKUP(Table8[[#This Row],[Mã khách hàng]],code_khach_hang[],2,0)</f>
        <v>CHI NHÁNH HẢI DƯƠNG - CÔNG TY CỔ PHẦN DỊCH VỤ THƯƠNG MẠI TỔNG HỢP WINCOMMERCE</v>
      </c>
      <c r="G673" s="16" t="str">
        <f>VLOOKUP(Table8[[#This Row],[Mã khách hàng]],code_khach_hang[],3,0)</f>
        <v>Miền Bắc đặc biệt 3</v>
      </c>
      <c r="H673" t="str">
        <f>VLOOKUP(Table8[[#This Row],[Mã khách hàng]],'Khách hàng'!A:D,4,0)</f>
        <v>Food Đức Việt</v>
      </c>
      <c r="I673" t="str">
        <f>VLOOKUP(Table8[[#This Row],[Mã khách hàng]],'Khách hàng'!A:E,5,0)</f>
        <v>HN0040</v>
      </c>
    </row>
    <row r="674" spans="1:9">
      <c r="A674" s="14" t="s">
        <v>2057</v>
      </c>
      <c r="B674" s="15" t="s">
        <v>5</v>
      </c>
      <c r="C674" s="10" t="s">
        <v>2058</v>
      </c>
      <c r="D674" s="16" t="s">
        <v>2509</v>
      </c>
      <c r="E674" s="15" t="s">
        <v>11216</v>
      </c>
      <c r="F674" s="16" t="str">
        <f>VLOOKUP(Table8[[#This Row],[Mã khách hàng]],code_khach_hang[],2,0)</f>
        <v>CHI NHÁNH HƯNG YÊN - CÔNG TY CỔ PHẦN DỊCH VỤ THƯƠNG MẠI TỔNG HỢP WINCOMMERCE</v>
      </c>
      <c r="G674" s="16" t="str">
        <f>VLOOKUP(Table8[[#This Row],[Mã khách hàng]],code_khach_hang[],3,0)</f>
        <v>Miền Bắc đặc biệt 1</v>
      </c>
      <c r="H674" t="str">
        <f>VLOOKUP(Table8[[#This Row],[Mã khách hàng]],'Khách hàng'!A:D,4,0)</f>
        <v>Food Đức Việt</v>
      </c>
      <c r="I674" t="str">
        <f>VLOOKUP(Table8[[#This Row],[Mã khách hàng]],'Khách hàng'!A:E,5,0)</f>
        <v>HN0040</v>
      </c>
    </row>
    <row r="675" spans="1:9">
      <c r="A675" s="14" t="s">
        <v>2480</v>
      </c>
      <c r="B675" s="15" t="s">
        <v>5</v>
      </c>
      <c r="C675" s="10" t="s">
        <v>2481</v>
      </c>
      <c r="D675" s="16" t="s">
        <v>2511</v>
      </c>
      <c r="E675" s="15" t="s">
        <v>11217</v>
      </c>
      <c r="F675" s="16" t="str">
        <f>VLOOKUP(Table8[[#This Row],[Mã khách hàng]],code_khach_hang[],2,0)</f>
        <v>CHI NHÁNH BẮC GIANG - CÔNG TY CỔ PHẦN DỊCH VỤ THƯƠNG MẠI TỔNG HỢP WINCOMMERCE</v>
      </c>
      <c r="G675" s="16" t="str">
        <f>VLOOKUP(Table8[[#This Row],[Mã khách hàng]],code_khach_hang[],3,0)</f>
        <v>Miền Bắc đặc biệt 2</v>
      </c>
      <c r="H675" t="str">
        <f>VLOOKUP(Table8[[#This Row],[Mã khách hàng]],'Khách hàng'!A:D,4,0)</f>
        <v>Food Đức Việt</v>
      </c>
      <c r="I675" t="str">
        <f>VLOOKUP(Table8[[#This Row],[Mã khách hàng]],'Khách hàng'!A:E,5,0)</f>
        <v>HN0040</v>
      </c>
    </row>
    <row r="676" spans="1:9">
      <c r="A676" s="14" t="s">
        <v>1995</v>
      </c>
      <c r="B676" s="15" t="s">
        <v>5</v>
      </c>
      <c r="C676" s="10" t="e">
        <v>#N/A</v>
      </c>
      <c r="D676" s="16" t="s">
        <v>2514</v>
      </c>
      <c r="E676" s="15" t="s">
        <v>11208</v>
      </c>
      <c r="F676" s="16" t="str">
        <f>VLOOKUP(Table8[[#This Row],[Mã khách hàng]],code_khach_hang[],2,0)</f>
        <v>CHI NHÁNH LẠNG SƠN - CÔNG TY CỔ PHẦN DỊCH VỤ THƯƠNG MẠI TỔNG HỢP WINCOMMERCE</v>
      </c>
      <c r="G676" s="16" t="str">
        <f>VLOOKUP(Table8[[#This Row],[Mã khách hàng]],code_khach_hang[],3,0)</f>
        <v>Miền Bắc đặc biệt 2</v>
      </c>
      <c r="H676" t="str">
        <f>VLOOKUP(Table8[[#This Row],[Mã khách hàng]],'Khách hàng'!A:D,4,0)</f>
        <v>Food Đức Việt</v>
      </c>
      <c r="I676" t="str">
        <f>VLOOKUP(Table8[[#This Row],[Mã khách hàng]],'Khách hàng'!A:E,5,0)</f>
        <v>HN0040</v>
      </c>
    </row>
    <row r="677" spans="1:9">
      <c r="A677" s="14" t="s">
        <v>1561</v>
      </c>
      <c r="B677" s="15" t="s">
        <v>5</v>
      </c>
      <c r="C677" s="10" t="s">
        <v>1562</v>
      </c>
      <c r="D677" s="16" t="s">
        <v>2517</v>
      </c>
      <c r="E677" s="15" t="s">
        <v>11217</v>
      </c>
      <c r="F677" s="16" t="str">
        <f>VLOOKUP(Table8[[#This Row],[Mã khách hàng]],code_khach_hang[],2,0)</f>
        <v>CHI NHÁNH BẮC GIANG - CÔNG TY CỔ PHẦN DỊCH VỤ THƯƠNG MẠI TỔNG HỢP WINCOMMERCE</v>
      </c>
      <c r="G677" s="16" t="str">
        <f>VLOOKUP(Table8[[#This Row],[Mã khách hàng]],code_khach_hang[],3,0)</f>
        <v>Miền Bắc đặc biệt 2</v>
      </c>
      <c r="H677" t="str">
        <f>VLOOKUP(Table8[[#This Row],[Mã khách hàng]],'Khách hàng'!A:D,4,0)</f>
        <v>Food Đức Việt</v>
      </c>
      <c r="I677" t="str">
        <f>VLOOKUP(Table8[[#This Row],[Mã khách hàng]],'Khách hàng'!A:E,5,0)</f>
        <v>HN0040</v>
      </c>
    </row>
    <row r="678" spans="1:9">
      <c r="A678" s="14" t="s">
        <v>1528</v>
      </c>
      <c r="B678" s="15" t="s">
        <v>5</v>
      </c>
      <c r="C678" s="10" t="s">
        <v>1529</v>
      </c>
      <c r="D678" s="16" t="s">
        <v>2520</v>
      </c>
      <c r="E678" s="15" t="s">
        <v>11217</v>
      </c>
      <c r="F678" s="16" t="str">
        <f>VLOOKUP(Table8[[#This Row],[Mã khách hàng]],code_khach_hang[],2,0)</f>
        <v>CHI NHÁNH BẮC GIANG - CÔNG TY CỔ PHẦN DỊCH VỤ THƯƠNG MẠI TỔNG HỢP WINCOMMERCE</v>
      </c>
      <c r="G678" s="16" t="str">
        <f>VLOOKUP(Table8[[#This Row],[Mã khách hàng]],code_khach_hang[],3,0)</f>
        <v>Miền Bắc đặc biệt 2</v>
      </c>
      <c r="H678" t="str">
        <f>VLOOKUP(Table8[[#This Row],[Mã khách hàng]],'Khách hàng'!A:D,4,0)</f>
        <v>Food Đức Việt</v>
      </c>
      <c r="I678" t="str">
        <f>VLOOKUP(Table8[[#This Row],[Mã khách hàng]],'Khách hàng'!A:E,5,0)</f>
        <v>HN0040</v>
      </c>
    </row>
    <row r="679" spans="1:9">
      <c r="A679" s="14" t="s">
        <v>1610</v>
      </c>
      <c r="B679" s="15" t="s">
        <v>5</v>
      </c>
      <c r="C679" s="10" t="s">
        <v>1611</v>
      </c>
      <c r="D679" s="16" t="s">
        <v>2523</v>
      </c>
      <c r="E679" s="14" t="s">
        <v>11215</v>
      </c>
      <c r="F679" s="16" t="str">
        <f>VLOOKUP(Table8[[#This Row],[Mã khách hàng]],code_khach_hang[],2,0)</f>
        <v>CHI NHÁNH HÀ NỘI - CÔNG TY CỔ PHẦN DỊCH VỤ THƯƠNG MẠI TỔNG HỢP WINCOMMERCE</v>
      </c>
      <c r="G679" s="16" t="str">
        <f>VLOOKUP(Table8[[#This Row],[Mã khách hàng]],code_khach_hang[],3,0)</f>
        <v>Miền Bắc đặc biệt 1</v>
      </c>
      <c r="H679" t="str">
        <f>VLOOKUP(Table8[[#This Row],[Mã khách hàng]],'Khách hàng'!A:D,4,0)</f>
        <v>Food Đức Việt</v>
      </c>
      <c r="I679" t="str">
        <f>VLOOKUP(Table8[[#This Row],[Mã khách hàng]],'Khách hàng'!A:E,5,0)</f>
        <v>HN0040</v>
      </c>
    </row>
    <row r="680" spans="1:9">
      <c r="A680" s="14" t="s">
        <v>1662</v>
      </c>
      <c r="B680" s="15" t="s">
        <v>5</v>
      </c>
      <c r="C680" s="10" t="s">
        <v>1663</v>
      </c>
      <c r="D680" s="16" t="s">
        <v>2526</v>
      </c>
      <c r="E680" s="15" t="s">
        <v>11193</v>
      </c>
      <c r="F680" s="16" t="str">
        <f>VLOOKUP(Table8[[#This Row],[Mã khách hàng]],code_khach_hang[],2,0)</f>
        <v>CHI NHÁNH BẮC NINH - CÔNG TY CỔ PHẦN DỊCH VỤ THƯƠNG MẠI TỔNG HỢP WINCOMMERCE</v>
      </c>
      <c r="G680" s="16" t="str">
        <f>VLOOKUP(Table8[[#This Row],[Mã khách hàng]],code_khach_hang[],3,0)</f>
        <v>Miền Bắc đặc biệt 2</v>
      </c>
      <c r="H680" t="str">
        <f>VLOOKUP(Table8[[#This Row],[Mã khách hàng]],'Khách hàng'!A:D,4,0)</f>
        <v>Food Đức Việt</v>
      </c>
      <c r="I680" t="str">
        <f>VLOOKUP(Table8[[#This Row],[Mã khách hàng]],'Khách hàng'!A:E,5,0)</f>
        <v>HN0040</v>
      </c>
    </row>
    <row r="681" spans="1:9">
      <c r="A681" s="14" t="s">
        <v>1763</v>
      </c>
      <c r="B681" s="15" t="s">
        <v>5</v>
      </c>
      <c r="C681" s="10" t="s">
        <v>1764</v>
      </c>
      <c r="D681" s="16" t="s">
        <v>2529</v>
      </c>
      <c r="E681" s="15" t="s">
        <v>11198</v>
      </c>
      <c r="F681" s="16" t="str">
        <f>VLOOKUP(Table8[[#This Row],[Mã khách hàng]],code_khach_hang[],2,0)</f>
        <v>CHI NHÁNH HẢI PHÒNG - CÔNG TY CỔ PHẦN DỊCH VỤ THƯƠNG MẠI TỔNG HỢP WINCOMMERCE</v>
      </c>
      <c r="G681" s="16" t="str">
        <f>VLOOKUP(Table8[[#This Row],[Mã khách hàng]],code_khach_hang[],3,0)</f>
        <v>Miền Bắc đặc biệt 3</v>
      </c>
      <c r="H681" t="str">
        <f>VLOOKUP(Table8[[#This Row],[Mã khách hàng]],'Khách hàng'!A:D,4,0)</f>
        <v>Food Đức Việt</v>
      </c>
      <c r="I681" t="str">
        <f>VLOOKUP(Table8[[#This Row],[Mã khách hàng]],'Khách hàng'!A:E,5,0)</f>
        <v>HN0040</v>
      </c>
    </row>
    <row r="682" spans="1:9">
      <c r="A682" s="14" t="s">
        <v>1771</v>
      </c>
      <c r="B682" s="15" t="s">
        <v>5</v>
      </c>
      <c r="C682" s="10" t="s">
        <v>1772</v>
      </c>
      <c r="D682" s="16" t="s">
        <v>2532</v>
      </c>
      <c r="E682" s="15" t="s">
        <v>11193</v>
      </c>
      <c r="F682" s="16" t="str">
        <f>VLOOKUP(Table8[[#This Row],[Mã khách hàng]],code_khach_hang[],2,0)</f>
        <v>CHI NHÁNH BẮC NINH - CÔNG TY CỔ PHẦN DỊCH VỤ THƯƠNG MẠI TỔNG HỢP WINCOMMERCE</v>
      </c>
      <c r="G682" s="16" t="str">
        <f>VLOOKUP(Table8[[#This Row],[Mã khách hàng]],code_khach_hang[],3,0)</f>
        <v>Miền Bắc đặc biệt 2</v>
      </c>
      <c r="H682" t="str">
        <f>VLOOKUP(Table8[[#This Row],[Mã khách hàng]],'Khách hàng'!A:D,4,0)</f>
        <v>Food Đức Việt</v>
      </c>
      <c r="I682" t="str">
        <f>VLOOKUP(Table8[[#This Row],[Mã khách hàng]],'Khách hàng'!A:E,5,0)</f>
        <v>HN0040</v>
      </c>
    </row>
    <row r="683" spans="1:9">
      <c r="A683" s="14" t="s">
        <v>1721</v>
      </c>
      <c r="B683" s="15" t="s">
        <v>5</v>
      </c>
      <c r="C683" s="10" t="s">
        <v>1722</v>
      </c>
      <c r="D683" s="16" t="s">
        <v>2535</v>
      </c>
      <c r="E683" s="15" t="s">
        <v>11198</v>
      </c>
      <c r="F683" s="16" t="str">
        <f>VLOOKUP(Table8[[#This Row],[Mã khách hàng]],code_khach_hang[],2,0)</f>
        <v>CHI NHÁNH HẢI PHÒNG - CÔNG TY CỔ PHẦN DỊCH VỤ THƯƠNG MẠI TỔNG HỢP WINCOMMERCE</v>
      </c>
      <c r="G683" s="16" t="str">
        <f>VLOOKUP(Table8[[#This Row],[Mã khách hàng]],code_khach_hang[],3,0)</f>
        <v>Miền Bắc đặc biệt 3</v>
      </c>
      <c r="H683" t="str">
        <f>VLOOKUP(Table8[[#This Row],[Mã khách hàng]],'Khách hàng'!A:D,4,0)</f>
        <v>Food Đức Việt</v>
      </c>
      <c r="I683" t="str">
        <f>VLOOKUP(Table8[[#This Row],[Mã khách hàng]],'Khách hàng'!A:E,5,0)</f>
        <v>HN0040</v>
      </c>
    </row>
    <row r="684" spans="1:9">
      <c r="A684" s="14" t="s">
        <v>1730</v>
      </c>
      <c r="B684" s="15" t="s">
        <v>5</v>
      </c>
      <c r="C684" s="10" t="s">
        <v>1731</v>
      </c>
      <c r="D684" s="16" t="s">
        <v>2538</v>
      </c>
      <c r="E684" s="15" t="s">
        <v>11198</v>
      </c>
      <c r="F684" s="16" t="str">
        <f>VLOOKUP(Table8[[#This Row],[Mã khách hàng]],code_khach_hang[],2,0)</f>
        <v>CHI NHÁNH HẢI PHÒNG - CÔNG TY CỔ PHẦN DỊCH VỤ THƯƠNG MẠI TỔNG HỢP WINCOMMERCE</v>
      </c>
      <c r="G684" s="16" t="str">
        <f>VLOOKUP(Table8[[#This Row],[Mã khách hàng]],code_khach_hang[],3,0)</f>
        <v>Miền Bắc đặc biệt 3</v>
      </c>
      <c r="H684" t="str">
        <f>VLOOKUP(Table8[[#This Row],[Mã khách hàng]],'Khách hàng'!A:D,4,0)</f>
        <v>Food Đức Việt</v>
      </c>
      <c r="I684" t="str">
        <f>VLOOKUP(Table8[[#This Row],[Mã khách hàng]],'Khách hàng'!A:E,5,0)</f>
        <v>HN0040</v>
      </c>
    </row>
    <row r="685" spans="1:9">
      <c r="A685" s="14" t="s">
        <v>1757</v>
      </c>
      <c r="B685" s="15" t="s">
        <v>5</v>
      </c>
      <c r="C685" s="10" t="s">
        <v>1758</v>
      </c>
      <c r="D685" s="16" t="s">
        <v>2541</v>
      </c>
      <c r="E685" s="15" t="s">
        <v>11193</v>
      </c>
      <c r="F685" s="16" t="str">
        <f>VLOOKUP(Table8[[#This Row],[Mã khách hàng]],code_khach_hang[],2,0)</f>
        <v>CHI NHÁNH BẮC NINH - CÔNG TY CỔ PHẦN DỊCH VỤ THƯƠNG MẠI TỔNG HỢP WINCOMMERCE</v>
      </c>
      <c r="G685" s="16" t="str">
        <f>VLOOKUP(Table8[[#This Row],[Mã khách hàng]],code_khach_hang[],3,0)</f>
        <v>Miền Bắc đặc biệt 2</v>
      </c>
      <c r="H685" t="str">
        <f>VLOOKUP(Table8[[#This Row],[Mã khách hàng]],'Khách hàng'!A:D,4,0)</f>
        <v>Food Đức Việt</v>
      </c>
      <c r="I685" t="str">
        <f>VLOOKUP(Table8[[#This Row],[Mã khách hàng]],'Khách hàng'!A:E,5,0)</f>
        <v>HN0040</v>
      </c>
    </row>
    <row r="686" spans="1:9">
      <c r="A686" s="14" t="s">
        <v>1724</v>
      </c>
      <c r="B686" s="15" t="s">
        <v>5</v>
      </c>
      <c r="C686" s="10" t="s">
        <v>1725</v>
      </c>
      <c r="D686" s="16" t="s">
        <v>2544</v>
      </c>
      <c r="E686" s="15" t="s">
        <v>11201</v>
      </c>
      <c r="F686" s="16" t="str">
        <f>VLOOKUP(Table8[[#This Row],[Mã khách hàng]],code_khach_hang[],2,0)</f>
        <v>CHI NHÁNH HẢI DƯƠNG - CÔNG TY CỔ PHẦN DỊCH VỤ THƯƠNG MẠI TỔNG HỢP WINCOMMERCE</v>
      </c>
      <c r="G686" s="16" t="str">
        <f>VLOOKUP(Table8[[#This Row],[Mã khách hàng]],code_khach_hang[],3,0)</f>
        <v>Miền Bắc đặc biệt 3</v>
      </c>
      <c r="H686" t="str">
        <f>VLOOKUP(Table8[[#This Row],[Mã khách hàng]],'Khách hàng'!A:D,4,0)</f>
        <v>Food Đức Việt</v>
      </c>
      <c r="I686" t="str">
        <f>VLOOKUP(Table8[[#This Row],[Mã khách hàng]],'Khách hàng'!A:E,5,0)</f>
        <v>HN0040</v>
      </c>
    </row>
    <row r="687" spans="1:9">
      <c r="A687" s="14" t="s">
        <v>1659</v>
      </c>
      <c r="B687" s="15" t="s">
        <v>5</v>
      </c>
      <c r="C687" s="10" t="s">
        <v>1660</v>
      </c>
      <c r="D687" s="16" t="s">
        <v>2547</v>
      </c>
      <c r="E687" s="15" t="s">
        <v>11216</v>
      </c>
      <c r="F687" s="16" t="str">
        <f>VLOOKUP(Table8[[#This Row],[Mã khách hàng]],code_khach_hang[],2,0)</f>
        <v>CHI NHÁNH HƯNG YÊN - CÔNG TY CỔ PHẦN DỊCH VỤ THƯƠNG MẠI TỔNG HỢP WINCOMMERCE</v>
      </c>
      <c r="G687" s="16" t="str">
        <f>VLOOKUP(Table8[[#This Row],[Mã khách hàng]],code_khach_hang[],3,0)</f>
        <v>Miền Bắc đặc biệt 1</v>
      </c>
      <c r="H687" t="str">
        <f>VLOOKUP(Table8[[#This Row],[Mã khách hàng]],'Khách hàng'!A:D,4,0)</f>
        <v>Food Đức Việt</v>
      </c>
      <c r="I687" t="str">
        <f>VLOOKUP(Table8[[#This Row],[Mã khách hàng]],'Khách hàng'!A:E,5,0)</f>
        <v>HN0040</v>
      </c>
    </row>
    <row r="688" spans="1:9">
      <c r="A688" s="14" t="s">
        <v>2751</v>
      </c>
      <c r="B688" s="15" t="s">
        <v>5</v>
      </c>
      <c r="C688" s="10" t="s">
        <v>2752</v>
      </c>
      <c r="D688" s="16" t="s">
        <v>2550</v>
      </c>
      <c r="E688" s="15" t="s">
        <v>11216</v>
      </c>
      <c r="F688" s="16" t="str">
        <f>VLOOKUP(Table8[[#This Row],[Mã khách hàng]],code_khach_hang[],2,0)</f>
        <v>CHI NHÁNH HƯNG YÊN - CÔNG TY CỔ PHẦN DỊCH VỤ THƯƠNG MẠI TỔNG HỢP WINCOMMERCE</v>
      </c>
      <c r="G688" s="16" t="str">
        <f>VLOOKUP(Table8[[#This Row],[Mã khách hàng]],code_khach_hang[],3,0)</f>
        <v>Miền Bắc đặc biệt 1</v>
      </c>
      <c r="H688" t="str">
        <f>VLOOKUP(Table8[[#This Row],[Mã khách hàng]],'Khách hàng'!A:D,4,0)</f>
        <v>Food Đức Việt</v>
      </c>
      <c r="I688" t="str">
        <f>VLOOKUP(Table8[[#This Row],[Mã khách hàng]],'Khách hàng'!A:E,5,0)</f>
        <v>HN0040</v>
      </c>
    </row>
    <row r="689" spans="1:9">
      <c r="A689" s="14" t="s">
        <v>667</v>
      </c>
      <c r="B689" s="15" t="s">
        <v>183</v>
      </c>
      <c r="C689" s="10" t="s">
        <v>668</v>
      </c>
      <c r="D689" s="16" t="s">
        <v>2553</v>
      </c>
      <c r="E689" s="15" t="s">
        <v>11201</v>
      </c>
      <c r="F689" s="16" t="str">
        <f>VLOOKUP(Table8[[#This Row],[Mã khách hàng]],code_khach_hang[],2,0)</f>
        <v>CHI NHÁNH HẢI DƯƠNG - CÔNG TY CỔ PHẦN DỊCH VỤ THƯƠNG MẠI TỔNG HỢP WINCOMMERCE</v>
      </c>
      <c r="G689" s="16" t="str">
        <f>VLOOKUP(Table8[[#This Row],[Mã khách hàng]],code_khach_hang[],3,0)</f>
        <v>Miền Bắc đặc biệt 3</v>
      </c>
      <c r="H689" t="str">
        <f>VLOOKUP(Table8[[#This Row],[Mã khách hàng]],'Khách hàng'!A:D,4,0)</f>
        <v>Food Đức Việt</v>
      </c>
      <c r="I689" t="str">
        <f>VLOOKUP(Table8[[#This Row],[Mã khách hàng]],'Khách hàng'!A:E,5,0)</f>
        <v>HN0040</v>
      </c>
    </row>
    <row r="690" spans="1:9">
      <c r="A690" s="14" t="s">
        <v>690</v>
      </c>
      <c r="B690" s="15" t="s">
        <v>183</v>
      </c>
      <c r="C690" s="10" t="s">
        <v>691</v>
      </c>
      <c r="D690" s="16" t="s">
        <v>2556</v>
      </c>
      <c r="E690" s="15" t="s">
        <v>11208</v>
      </c>
      <c r="F690" s="16" t="str">
        <f>VLOOKUP(Table8[[#This Row],[Mã khách hàng]],code_khach_hang[],2,0)</f>
        <v>CHI NHÁNH LẠNG SƠN - CÔNG TY CỔ PHẦN DỊCH VỤ THƯƠNG MẠI TỔNG HỢP WINCOMMERCE</v>
      </c>
      <c r="G690" s="16" t="str">
        <f>VLOOKUP(Table8[[#This Row],[Mã khách hàng]],code_khach_hang[],3,0)</f>
        <v>Miền Bắc đặc biệt 2</v>
      </c>
      <c r="H690" t="str">
        <f>VLOOKUP(Table8[[#This Row],[Mã khách hàng]],'Khách hàng'!A:D,4,0)</f>
        <v>Food Đức Việt</v>
      </c>
      <c r="I690" t="str">
        <f>VLOOKUP(Table8[[#This Row],[Mã khách hàng]],'Khách hàng'!A:E,5,0)</f>
        <v>HN0040</v>
      </c>
    </row>
    <row r="691" spans="1:9">
      <c r="A691" s="14" t="s">
        <v>6076</v>
      </c>
      <c r="B691" s="15" t="s">
        <v>5</v>
      </c>
      <c r="C691" s="10" t="s">
        <v>6077</v>
      </c>
      <c r="D691" s="16" t="s">
        <v>2559</v>
      </c>
      <c r="E691" s="15" t="s">
        <v>11198</v>
      </c>
      <c r="F691" s="16" t="str">
        <f>VLOOKUP(Table8[[#This Row],[Mã khách hàng]],code_khach_hang[],2,0)</f>
        <v>CHI NHÁNH HẢI PHÒNG - CÔNG TY CỔ PHẦN DỊCH VỤ THƯƠNG MẠI TỔNG HỢP WINCOMMERCE</v>
      </c>
      <c r="G691" s="16" t="str">
        <f>VLOOKUP(Table8[[#This Row],[Mã khách hàng]],code_khach_hang[],3,0)</f>
        <v>Miền Bắc đặc biệt 3</v>
      </c>
      <c r="H691" t="str">
        <f>VLOOKUP(Table8[[#This Row],[Mã khách hàng]],'Khách hàng'!A:D,4,0)</f>
        <v>Food Đức Việt</v>
      </c>
      <c r="I691" t="str">
        <f>VLOOKUP(Table8[[#This Row],[Mã khách hàng]],'Khách hàng'!A:E,5,0)</f>
        <v>HN0040</v>
      </c>
    </row>
    <row r="692" spans="1:9">
      <c r="A692" s="14" t="s">
        <v>6237</v>
      </c>
      <c r="B692" s="15" t="s">
        <v>5</v>
      </c>
      <c r="C692" s="10" t="s">
        <v>6238</v>
      </c>
      <c r="D692" s="16" t="s">
        <v>2562</v>
      </c>
      <c r="E692" s="15" t="s">
        <v>11198</v>
      </c>
      <c r="F692" s="16" t="str">
        <f>VLOOKUP(Table8[[#This Row],[Mã khách hàng]],code_khach_hang[],2,0)</f>
        <v>CHI NHÁNH HẢI PHÒNG - CÔNG TY CỔ PHẦN DỊCH VỤ THƯƠNG MẠI TỔNG HỢP WINCOMMERCE</v>
      </c>
      <c r="G692" s="16" t="str">
        <f>VLOOKUP(Table8[[#This Row],[Mã khách hàng]],code_khach_hang[],3,0)</f>
        <v>Miền Bắc đặc biệt 3</v>
      </c>
      <c r="H692" t="str">
        <f>VLOOKUP(Table8[[#This Row],[Mã khách hàng]],'Khách hàng'!A:D,4,0)</f>
        <v>Food Đức Việt</v>
      </c>
      <c r="I692" t="str">
        <f>VLOOKUP(Table8[[#This Row],[Mã khách hàng]],'Khách hàng'!A:E,5,0)</f>
        <v>HN0040</v>
      </c>
    </row>
    <row r="693" spans="1:9">
      <c r="A693" s="14" t="s">
        <v>6264</v>
      </c>
      <c r="B693" s="15" t="s">
        <v>5</v>
      </c>
      <c r="C693" s="10" t="s">
        <v>6265</v>
      </c>
      <c r="D693" s="16" t="s">
        <v>2565</v>
      </c>
      <c r="E693" s="15" t="s">
        <v>11198</v>
      </c>
      <c r="F693" s="16" t="str">
        <f>VLOOKUP(Table8[[#This Row],[Mã khách hàng]],code_khach_hang[],2,0)</f>
        <v>CHI NHÁNH HẢI PHÒNG - CÔNG TY CỔ PHẦN DỊCH VỤ THƯƠNG MẠI TỔNG HỢP WINCOMMERCE</v>
      </c>
      <c r="G693" s="16" t="str">
        <f>VLOOKUP(Table8[[#This Row],[Mã khách hàng]],code_khach_hang[],3,0)</f>
        <v>Miền Bắc đặc biệt 3</v>
      </c>
      <c r="H693" t="str">
        <f>VLOOKUP(Table8[[#This Row],[Mã khách hàng]],'Khách hàng'!A:D,4,0)</f>
        <v>Food Đức Việt</v>
      </c>
      <c r="I693" t="str">
        <f>VLOOKUP(Table8[[#This Row],[Mã khách hàng]],'Khách hàng'!A:E,5,0)</f>
        <v>HN0040</v>
      </c>
    </row>
    <row r="694" spans="1:9">
      <c r="A694" s="14" t="s">
        <v>6315</v>
      </c>
      <c r="B694" s="15" t="s">
        <v>5</v>
      </c>
      <c r="C694" s="10" t="s">
        <v>6316</v>
      </c>
      <c r="D694" s="16" t="s">
        <v>2568</v>
      </c>
      <c r="E694" s="15" t="s">
        <v>11198</v>
      </c>
      <c r="F694" s="16" t="str">
        <f>VLOOKUP(Table8[[#This Row],[Mã khách hàng]],code_khach_hang[],2,0)</f>
        <v>CHI NHÁNH HẢI PHÒNG - CÔNG TY CỔ PHẦN DỊCH VỤ THƯƠNG MẠI TỔNG HỢP WINCOMMERCE</v>
      </c>
      <c r="G694" s="16" t="str">
        <f>VLOOKUP(Table8[[#This Row],[Mã khách hàng]],code_khach_hang[],3,0)</f>
        <v>Miền Bắc đặc biệt 3</v>
      </c>
      <c r="H694" t="str">
        <f>VLOOKUP(Table8[[#This Row],[Mã khách hàng]],'Khách hàng'!A:D,4,0)</f>
        <v>Food Đức Việt</v>
      </c>
      <c r="I694" t="str">
        <f>VLOOKUP(Table8[[#This Row],[Mã khách hàng]],'Khách hàng'!A:E,5,0)</f>
        <v>HN0040</v>
      </c>
    </row>
    <row r="695" spans="1:9">
      <c r="A695" s="14" t="s">
        <v>7312</v>
      </c>
      <c r="B695" s="15" t="s">
        <v>5</v>
      </c>
      <c r="C695" s="10" t="s">
        <v>7313</v>
      </c>
      <c r="D695" s="16" t="s">
        <v>2571</v>
      </c>
      <c r="E695" s="15" t="s">
        <v>11198</v>
      </c>
      <c r="F695" s="16" t="str">
        <f>VLOOKUP(Table8[[#This Row],[Mã khách hàng]],code_khach_hang[],2,0)</f>
        <v>CHI NHÁNH HẢI PHÒNG - CÔNG TY CỔ PHẦN DỊCH VỤ THƯƠNG MẠI TỔNG HỢP WINCOMMERCE</v>
      </c>
      <c r="G695" s="16" t="str">
        <f>VLOOKUP(Table8[[#This Row],[Mã khách hàng]],code_khach_hang[],3,0)</f>
        <v>Miền Bắc đặc biệt 3</v>
      </c>
      <c r="H695" t="str">
        <f>VLOOKUP(Table8[[#This Row],[Mã khách hàng]],'Khách hàng'!A:D,4,0)</f>
        <v>Food Đức Việt</v>
      </c>
      <c r="I695" t="str">
        <f>VLOOKUP(Table8[[#This Row],[Mã khách hàng]],'Khách hàng'!A:E,5,0)</f>
        <v>HN0040</v>
      </c>
    </row>
    <row r="696" spans="1:9">
      <c r="A696" s="14" t="s">
        <v>7688</v>
      </c>
      <c r="B696" s="15" t="s">
        <v>5</v>
      </c>
      <c r="C696" s="10" t="s">
        <v>7689</v>
      </c>
      <c r="D696" s="16" t="s">
        <v>2574</v>
      </c>
      <c r="E696" s="15" t="s">
        <v>11198</v>
      </c>
      <c r="F696" s="16" t="str">
        <f>VLOOKUP(Table8[[#This Row],[Mã khách hàng]],code_khach_hang[],2,0)</f>
        <v>CHI NHÁNH HẢI PHÒNG - CÔNG TY CỔ PHẦN DỊCH VỤ THƯƠNG MẠI TỔNG HỢP WINCOMMERCE</v>
      </c>
      <c r="G696" s="16" t="str">
        <f>VLOOKUP(Table8[[#This Row],[Mã khách hàng]],code_khach_hang[],3,0)</f>
        <v>Miền Bắc đặc biệt 3</v>
      </c>
      <c r="H696" t="str">
        <f>VLOOKUP(Table8[[#This Row],[Mã khách hàng]],'Khách hàng'!A:D,4,0)</f>
        <v>Food Đức Việt</v>
      </c>
      <c r="I696" t="str">
        <f>VLOOKUP(Table8[[#This Row],[Mã khách hàng]],'Khách hàng'!A:E,5,0)</f>
        <v>HN0040</v>
      </c>
    </row>
    <row r="697" spans="1:9">
      <c r="A697" s="14" t="s">
        <v>5418</v>
      </c>
      <c r="B697" s="15" t="s">
        <v>5</v>
      </c>
      <c r="C697" s="10" t="s">
        <v>5419</v>
      </c>
      <c r="D697" s="16" t="s">
        <v>2577</v>
      </c>
      <c r="E697" s="15" t="s">
        <v>11198</v>
      </c>
      <c r="F697" s="16" t="str">
        <f>VLOOKUP(Table8[[#This Row],[Mã khách hàng]],code_khach_hang[],2,0)</f>
        <v>CHI NHÁNH HẢI PHÒNG - CÔNG TY CỔ PHẦN DỊCH VỤ THƯƠNG MẠI TỔNG HỢP WINCOMMERCE</v>
      </c>
      <c r="G697" s="16" t="str">
        <f>VLOOKUP(Table8[[#This Row],[Mã khách hàng]],code_khach_hang[],3,0)</f>
        <v>Miền Bắc đặc biệt 3</v>
      </c>
      <c r="H697" t="str">
        <f>VLOOKUP(Table8[[#This Row],[Mã khách hàng]],'Khách hàng'!A:D,4,0)</f>
        <v>Food Đức Việt</v>
      </c>
      <c r="I697" t="str">
        <f>VLOOKUP(Table8[[#This Row],[Mã khách hàng]],'Khách hàng'!A:E,5,0)</f>
        <v>HN0040</v>
      </c>
    </row>
    <row r="698" spans="1:9">
      <c r="A698" s="14" t="s">
        <v>5665</v>
      </c>
      <c r="B698" s="15" t="s">
        <v>5</v>
      </c>
      <c r="C698" s="10" t="s">
        <v>5666</v>
      </c>
      <c r="D698" s="16" t="s">
        <v>2580</v>
      </c>
      <c r="E698" s="15" t="s">
        <v>11198</v>
      </c>
      <c r="F698" s="16" t="str">
        <f>VLOOKUP(Table8[[#This Row],[Mã khách hàng]],code_khach_hang[],2,0)</f>
        <v>CHI NHÁNH HẢI PHÒNG - CÔNG TY CỔ PHẦN DỊCH VỤ THƯƠNG MẠI TỔNG HỢP WINCOMMERCE</v>
      </c>
      <c r="G698" s="16" t="str">
        <f>VLOOKUP(Table8[[#This Row],[Mã khách hàng]],code_khach_hang[],3,0)</f>
        <v>Miền Bắc đặc biệt 3</v>
      </c>
      <c r="H698" t="str">
        <f>VLOOKUP(Table8[[#This Row],[Mã khách hàng]],'Khách hàng'!A:D,4,0)</f>
        <v>Food Đức Việt</v>
      </c>
      <c r="I698" t="str">
        <f>VLOOKUP(Table8[[#This Row],[Mã khách hàng]],'Khách hàng'!A:E,5,0)</f>
        <v>HN0040</v>
      </c>
    </row>
    <row r="699" spans="1:9">
      <c r="A699" s="14" t="s">
        <v>5724</v>
      </c>
      <c r="B699" s="15" t="s">
        <v>5</v>
      </c>
      <c r="C699" s="10" t="s">
        <v>5725</v>
      </c>
      <c r="D699" s="16" t="s">
        <v>2583</v>
      </c>
      <c r="E699" s="15" t="s">
        <v>11198</v>
      </c>
      <c r="F699" s="16" t="str">
        <f>VLOOKUP(Table8[[#This Row],[Mã khách hàng]],code_khach_hang[],2,0)</f>
        <v>CHI NHÁNH HẢI PHÒNG - CÔNG TY CỔ PHẦN DỊCH VỤ THƯƠNG MẠI TỔNG HỢP WINCOMMERCE</v>
      </c>
      <c r="G699" s="16" t="str">
        <f>VLOOKUP(Table8[[#This Row],[Mã khách hàng]],code_khach_hang[],3,0)</f>
        <v>Miền Bắc đặc biệt 3</v>
      </c>
      <c r="H699" t="str">
        <f>VLOOKUP(Table8[[#This Row],[Mã khách hàng]],'Khách hàng'!A:D,4,0)</f>
        <v>Food Đức Việt</v>
      </c>
      <c r="I699" t="str">
        <f>VLOOKUP(Table8[[#This Row],[Mã khách hàng]],'Khách hàng'!A:E,5,0)</f>
        <v>HN0040</v>
      </c>
    </row>
    <row r="700" spans="1:9">
      <c r="A700" s="14" t="s">
        <v>6207</v>
      </c>
      <c r="B700" s="15" t="s">
        <v>5</v>
      </c>
      <c r="C700" s="10" t="s">
        <v>6208</v>
      </c>
      <c r="D700" s="16" t="s">
        <v>2586</v>
      </c>
      <c r="E700" s="15" t="s">
        <v>11198</v>
      </c>
      <c r="F700" s="16" t="str">
        <f>VLOOKUP(Table8[[#This Row],[Mã khách hàng]],code_khach_hang[],2,0)</f>
        <v>CHI NHÁNH HẢI PHÒNG - CÔNG TY CỔ PHẦN DỊCH VỤ THƯƠNG MẠI TỔNG HỢP WINCOMMERCE</v>
      </c>
      <c r="G700" s="16" t="str">
        <f>VLOOKUP(Table8[[#This Row],[Mã khách hàng]],code_khach_hang[],3,0)</f>
        <v>Miền Bắc đặc biệt 3</v>
      </c>
      <c r="H700" t="str">
        <f>VLOOKUP(Table8[[#This Row],[Mã khách hàng]],'Khách hàng'!A:D,4,0)</f>
        <v>Food Đức Việt</v>
      </c>
      <c r="I700" t="str">
        <f>VLOOKUP(Table8[[#This Row],[Mã khách hàng]],'Khách hàng'!A:E,5,0)</f>
        <v>HN0040</v>
      </c>
    </row>
    <row r="701" spans="1:9">
      <c r="A701" s="14" t="s">
        <v>7342</v>
      </c>
      <c r="B701" s="15" t="s">
        <v>5</v>
      </c>
      <c r="C701" s="10" t="s">
        <v>7343</v>
      </c>
      <c r="D701" s="16" t="s">
        <v>2589</v>
      </c>
      <c r="E701" s="15" t="s">
        <v>11198</v>
      </c>
      <c r="F701" s="16" t="str">
        <f>VLOOKUP(Table8[[#This Row],[Mã khách hàng]],code_khach_hang[],2,0)</f>
        <v>CHI NHÁNH HẢI PHÒNG - CÔNG TY CỔ PHẦN DỊCH VỤ THƯƠNG MẠI TỔNG HỢP WINCOMMERCE</v>
      </c>
      <c r="G701" s="16" t="str">
        <f>VLOOKUP(Table8[[#This Row],[Mã khách hàng]],code_khach_hang[],3,0)</f>
        <v>Miền Bắc đặc biệt 3</v>
      </c>
      <c r="H701" t="str">
        <f>VLOOKUP(Table8[[#This Row],[Mã khách hàng]],'Khách hàng'!A:D,4,0)</f>
        <v>Food Đức Việt</v>
      </c>
      <c r="I701" t="str">
        <f>VLOOKUP(Table8[[#This Row],[Mã khách hàng]],'Khách hàng'!A:E,5,0)</f>
        <v>HN0040</v>
      </c>
    </row>
    <row r="702" spans="1:9">
      <c r="A702" s="14" t="s">
        <v>7454</v>
      </c>
      <c r="B702" s="15" t="s">
        <v>5</v>
      </c>
      <c r="C702" s="10" t="s">
        <v>7455</v>
      </c>
      <c r="D702" s="16" t="s">
        <v>2592</v>
      </c>
      <c r="E702" s="15" t="s">
        <v>11198</v>
      </c>
      <c r="F702" s="16" t="str">
        <f>VLOOKUP(Table8[[#This Row],[Mã khách hàng]],code_khach_hang[],2,0)</f>
        <v>CHI NHÁNH HẢI PHÒNG - CÔNG TY CỔ PHẦN DỊCH VỤ THƯƠNG MẠI TỔNG HỢP WINCOMMERCE</v>
      </c>
      <c r="G702" s="16" t="str">
        <f>VLOOKUP(Table8[[#This Row],[Mã khách hàng]],code_khach_hang[],3,0)</f>
        <v>Miền Bắc đặc biệt 3</v>
      </c>
      <c r="H702" t="str">
        <f>VLOOKUP(Table8[[#This Row],[Mã khách hàng]],'Khách hàng'!A:D,4,0)</f>
        <v>Food Đức Việt</v>
      </c>
      <c r="I702" t="str">
        <f>VLOOKUP(Table8[[#This Row],[Mã khách hàng]],'Khách hàng'!A:E,5,0)</f>
        <v>HN0040</v>
      </c>
    </row>
    <row r="703" spans="1:9">
      <c r="A703" s="14" t="s">
        <v>7568</v>
      </c>
      <c r="B703" s="15" t="s">
        <v>5</v>
      </c>
      <c r="C703" s="10" t="s">
        <v>7569</v>
      </c>
      <c r="D703" s="16" t="s">
        <v>2595</v>
      </c>
      <c r="E703" s="15" t="s">
        <v>11198</v>
      </c>
      <c r="F703" s="16" t="str">
        <f>VLOOKUP(Table8[[#This Row],[Mã khách hàng]],code_khach_hang[],2,0)</f>
        <v>CHI NHÁNH HẢI PHÒNG - CÔNG TY CỔ PHẦN DỊCH VỤ THƯƠNG MẠI TỔNG HỢP WINCOMMERCE</v>
      </c>
      <c r="G703" s="16" t="str">
        <f>VLOOKUP(Table8[[#This Row],[Mã khách hàng]],code_khach_hang[],3,0)</f>
        <v>Miền Bắc đặc biệt 3</v>
      </c>
      <c r="H703" t="str">
        <f>VLOOKUP(Table8[[#This Row],[Mã khách hàng]],'Khách hàng'!A:D,4,0)</f>
        <v>Food Đức Việt</v>
      </c>
      <c r="I703" t="str">
        <f>VLOOKUP(Table8[[#This Row],[Mã khách hàng]],'Khách hàng'!A:E,5,0)</f>
        <v>HN0040</v>
      </c>
    </row>
    <row r="704" spans="1:9">
      <c r="A704" s="14" t="s">
        <v>7619</v>
      </c>
      <c r="B704" s="15" t="s">
        <v>5</v>
      </c>
      <c r="C704" s="10" t="s">
        <v>7620</v>
      </c>
      <c r="D704" s="16" t="s">
        <v>2598</v>
      </c>
      <c r="E704" s="15" t="s">
        <v>11198</v>
      </c>
      <c r="F704" s="16" t="str">
        <f>VLOOKUP(Table8[[#This Row],[Mã khách hàng]],code_khach_hang[],2,0)</f>
        <v>CHI NHÁNH HẢI PHÒNG - CÔNG TY CỔ PHẦN DỊCH VỤ THƯƠNG MẠI TỔNG HỢP WINCOMMERCE</v>
      </c>
      <c r="G704" s="16" t="str">
        <f>VLOOKUP(Table8[[#This Row],[Mã khách hàng]],code_khach_hang[],3,0)</f>
        <v>Miền Bắc đặc biệt 3</v>
      </c>
      <c r="H704" t="str">
        <f>VLOOKUP(Table8[[#This Row],[Mã khách hàng]],'Khách hàng'!A:D,4,0)</f>
        <v>Food Đức Việt</v>
      </c>
      <c r="I704" t="str">
        <f>VLOOKUP(Table8[[#This Row],[Mã khách hàng]],'Khách hàng'!A:E,5,0)</f>
        <v>HN0040</v>
      </c>
    </row>
    <row r="705" spans="1:9">
      <c r="A705" s="14" t="s">
        <v>7691</v>
      </c>
      <c r="B705" s="15" t="s">
        <v>5</v>
      </c>
      <c r="C705" s="10" t="s">
        <v>7692</v>
      </c>
      <c r="D705" s="16" t="s">
        <v>2601</v>
      </c>
      <c r="E705" s="15" t="s">
        <v>11198</v>
      </c>
      <c r="F705" s="16" t="str">
        <f>VLOOKUP(Table8[[#This Row],[Mã khách hàng]],code_khach_hang[],2,0)</f>
        <v>CHI NHÁNH HẢI PHÒNG - CÔNG TY CỔ PHẦN DỊCH VỤ THƯƠNG MẠI TỔNG HỢP WINCOMMERCE</v>
      </c>
      <c r="G705" s="16" t="str">
        <f>VLOOKUP(Table8[[#This Row],[Mã khách hàng]],code_khach_hang[],3,0)</f>
        <v>Miền Bắc đặc biệt 3</v>
      </c>
      <c r="H705" t="str">
        <f>VLOOKUP(Table8[[#This Row],[Mã khách hàng]],'Khách hàng'!A:D,4,0)</f>
        <v>Food Đức Việt</v>
      </c>
      <c r="I705" t="str">
        <f>VLOOKUP(Table8[[#This Row],[Mã khách hàng]],'Khách hàng'!A:E,5,0)</f>
        <v>HN0040</v>
      </c>
    </row>
    <row r="706" spans="1:9">
      <c r="A706" s="14" t="s">
        <v>5792</v>
      </c>
      <c r="B706" s="15" t="s">
        <v>5</v>
      </c>
      <c r="C706" s="10" t="s">
        <v>5793</v>
      </c>
      <c r="D706" s="16" t="s">
        <v>2604</v>
      </c>
      <c r="E706" s="15" t="s">
        <v>11198</v>
      </c>
      <c r="F706" s="16" t="str">
        <f>VLOOKUP(Table8[[#This Row],[Mã khách hàng]],code_khach_hang[],2,0)</f>
        <v>CHI NHÁNH HẢI PHÒNG - CÔNG TY CỔ PHẦN DỊCH VỤ THƯƠNG MẠI TỔNG HỢP WINCOMMERCE</v>
      </c>
      <c r="G706" s="16" t="str">
        <f>VLOOKUP(Table8[[#This Row],[Mã khách hàng]],code_khach_hang[],3,0)</f>
        <v>Miền Bắc đặc biệt 3</v>
      </c>
      <c r="H706" t="str">
        <f>VLOOKUP(Table8[[#This Row],[Mã khách hàng]],'Khách hàng'!A:D,4,0)</f>
        <v>Food Đức Việt</v>
      </c>
      <c r="I706" t="str">
        <f>VLOOKUP(Table8[[#This Row],[Mã khách hàng]],'Khách hàng'!A:E,5,0)</f>
        <v>HN0040</v>
      </c>
    </row>
    <row r="707" spans="1:9">
      <c r="A707" s="14" t="s">
        <v>5851</v>
      </c>
      <c r="B707" s="15" t="s">
        <v>5</v>
      </c>
      <c r="C707" s="10" t="s">
        <v>5852</v>
      </c>
      <c r="D707" s="16" t="s">
        <v>2607</v>
      </c>
      <c r="E707" s="15" t="s">
        <v>11198</v>
      </c>
      <c r="F707" s="16" t="str">
        <f>VLOOKUP(Table8[[#This Row],[Mã khách hàng]],code_khach_hang[],2,0)</f>
        <v>CHI NHÁNH HẢI PHÒNG - CÔNG TY CỔ PHẦN DỊCH VỤ THƯƠNG MẠI TỔNG HỢP WINCOMMERCE</v>
      </c>
      <c r="G707" s="16" t="str">
        <f>VLOOKUP(Table8[[#This Row],[Mã khách hàng]],code_khach_hang[],3,0)</f>
        <v>Miền Bắc đặc biệt 3</v>
      </c>
      <c r="H707" t="str">
        <f>VLOOKUP(Table8[[#This Row],[Mã khách hàng]],'Khách hàng'!A:D,4,0)</f>
        <v>Food Đức Việt</v>
      </c>
      <c r="I707" t="str">
        <f>VLOOKUP(Table8[[#This Row],[Mã khách hàng]],'Khách hàng'!A:E,5,0)</f>
        <v>HN0040</v>
      </c>
    </row>
    <row r="708" spans="1:9">
      <c r="A708" s="14" t="s">
        <v>7339</v>
      </c>
      <c r="B708" s="15" t="s">
        <v>5</v>
      </c>
      <c r="C708" s="10" t="s">
        <v>7340</v>
      </c>
      <c r="D708" s="16" t="s">
        <v>2610</v>
      </c>
      <c r="E708" s="15" t="s">
        <v>11198</v>
      </c>
      <c r="F708" s="16" t="str">
        <f>VLOOKUP(Table8[[#This Row],[Mã khách hàng]],code_khach_hang[],2,0)</f>
        <v>CHI NHÁNH HẢI PHÒNG - CÔNG TY CỔ PHẦN DỊCH VỤ THƯƠNG MẠI TỔNG HỢP WINCOMMERCE</v>
      </c>
      <c r="G708" s="16" t="str">
        <f>VLOOKUP(Table8[[#This Row],[Mã khách hàng]],code_khach_hang[],3,0)</f>
        <v>Miền Bắc đặc biệt 3</v>
      </c>
      <c r="H708" t="str">
        <f>VLOOKUP(Table8[[#This Row],[Mã khách hàng]],'Khách hàng'!A:D,4,0)</f>
        <v>Food Đức Việt</v>
      </c>
      <c r="I708" t="str">
        <f>VLOOKUP(Table8[[#This Row],[Mã khách hàng]],'Khách hàng'!A:E,5,0)</f>
        <v>HN0040</v>
      </c>
    </row>
    <row r="709" spans="1:9">
      <c r="A709" s="14" t="s">
        <v>7396</v>
      </c>
      <c r="B709" s="15" t="s">
        <v>5</v>
      </c>
      <c r="C709" s="10" t="s">
        <v>7397</v>
      </c>
      <c r="D709" s="16" t="s">
        <v>2612</v>
      </c>
      <c r="E709" s="15" t="s">
        <v>11198</v>
      </c>
      <c r="F709" s="16" t="str">
        <f>VLOOKUP(Table8[[#This Row],[Mã khách hàng]],code_khach_hang[],2,0)</f>
        <v>CHI NHÁNH HẢI PHÒNG - CÔNG TY CỔ PHẦN DỊCH VỤ THƯƠNG MẠI TỔNG HỢP WINCOMMERCE</v>
      </c>
      <c r="G709" s="16" t="str">
        <f>VLOOKUP(Table8[[#This Row],[Mã khách hàng]],code_khach_hang[],3,0)</f>
        <v>Miền Bắc đặc biệt 3</v>
      </c>
      <c r="H709" t="str">
        <f>VLOOKUP(Table8[[#This Row],[Mã khách hàng]],'Khách hàng'!A:D,4,0)</f>
        <v>Food Đức Việt</v>
      </c>
      <c r="I709" t="str">
        <f>VLOOKUP(Table8[[#This Row],[Mã khách hàng]],'Khách hàng'!A:E,5,0)</f>
        <v>HN0040</v>
      </c>
    </row>
    <row r="710" spans="1:9">
      <c r="A710" s="14" t="s">
        <v>7634</v>
      </c>
      <c r="B710" s="15" t="s">
        <v>5</v>
      </c>
      <c r="C710" s="10" t="s">
        <v>7635</v>
      </c>
      <c r="D710" s="16" t="s">
        <v>2615</v>
      </c>
      <c r="E710" s="15" t="s">
        <v>11198</v>
      </c>
      <c r="F710" s="16" t="str">
        <f>VLOOKUP(Table8[[#This Row],[Mã khách hàng]],code_khach_hang[],2,0)</f>
        <v>CHI NHÁNH HẢI PHÒNG - CÔNG TY CỔ PHẦN DỊCH VỤ THƯƠNG MẠI TỔNG HỢP WINCOMMERCE</v>
      </c>
      <c r="G710" s="16" t="str">
        <f>VLOOKUP(Table8[[#This Row],[Mã khách hàng]],code_khach_hang[],3,0)</f>
        <v>Miền Bắc đặc biệt 3</v>
      </c>
      <c r="H710" t="str">
        <f>VLOOKUP(Table8[[#This Row],[Mã khách hàng]],'Khách hàng'!A:D,4,0)</f>
        <v>Food Đức Việt</v>
      </c>
      <c r="I710" t="str">
        <f>VLOOKUP(Table8[[#This Row],[Mã khách hàng]],'Khách hàng'!A:E,5,0)</f>
        <v>HN0040</v>
      </c>
    </row>
    <row r="711" spans="1:9">
      <c r="A711" s="14" t="s">
        <v>6647</v>
      </c>
      <c r="B711" s="15" t="s">
        <v>5</v>
      </c>
      <c r="C711" s="10" t="s">
        <v>6648</v>
      </c>
      <c r="D711" s="16" t="s">
        <v>2618</v>
      </c>
      <c r="E711" s="15" t="s">
        <v>11198</v>
      </c>
      <c r="F711" s="16" t="str">
        <f>VLOOKUP(Table8[[#This Row],[Mã khách hàng]],code_khach_hang[],2,0)</f>
        <v>CHI NHÁNH HẢI PHÒNG - CÔNG TY CỔ PHẦN DỊCH VỤ THƯƠNG MẠI TỔNG HỢP WINCOMMERCE</v>
      </c>
      <c r="G711" s="16" t="str">
        <f>VLOOKUP(Table8[[#This Row],[Mã khách hàng]],code_khach_hang[],3,0)</f>
        <v>Miền Bắc đặc biệt 3</v>
      </c>
      <c r="H711" t="str">
        <f>VLOOKUP(Table8[[#This Row],[Mã khách hàng]],'Khách hàng'!A:D,4,0)</f>
        <v>Food Đức Việt</v>
      </c>
      <c r="I711" t="str">
        <f>VLOOKUP(Table8[[#This Row],[Mã khách hàng]],'Khách hàng'!A:E,5,0)</f>
        <v>HN0040</v>
      </c>
    </row>
    <row r="712" spans="1:9">
      <c r="A712" s="14" t="s">
        <v>7745</v>
      </c>
      <c r="B712" s="15" t="s">
        <v>5</v>
      </c>
      <c r="C712" s="10" t="s">
        <v>7746</v>
      </c>
      <c r="D712" s="16" t="s">
        <v>2621</v>
      </c>
      <c r="E712" s="15" t="s">
        <v>11198</v>
      </c>
      <c r="F712" s="16" t="str">
        <f>VLOOKUP(Table8[[#This Row],[Mã khách hàng]],code_khach_hang[],2,0)</f>
        <v>CHI NHÁNH HẢI PHÒNG - CÔNG TY CỔ PHẦN DỊCH VỤ THƯƠNG MẠI TỔNG HỢP WINCOMMERCE</v>
      </c>
      <c r="G712" s="16" t="str">
        <f>VLOOKUP(Table8[[#This Row],[Mã khách hàng]],code_khach_hang[],3,0)</f>
        <v>Miền Bắc đặc biệt 3</v>
      </c>
      <c r="H712" t="str">
        <f>VLOOKUP(Table8[[#This Row],[Mã khách hàng]],'Khách hàng'!A:D,4,0)</f>
        <v>Food Đức Việt</v>
      </c>
      <c r="I712" t="str">
        <f>VLOOKUP(Table8[[#This Row],[Mã khách hàng]],'Khách hàng'!A:E,5,0)</f>
        <v>HN0040</v>
      </c>
    </row>
    <row r="713" spans="1:9">
      <c r="A713" s="14" t="s">
        <v>5358</v>
      </c>
      <c r="B713" s="15" t="s">
        <v>5</v>
      </c>
      <c r="C713" s="10" t="s">
        <v>5359</v>
      </c>
      <c r="D713" s="16" t="s">
        <v>2624</v>
      </c>
      <c r="E713" s="15" t="s">
        <v>11198</v>
      </c>
      <c r="F713" s="16" t="str">
        <f>VLOOKUP(Table8[[#This Row],[Mã khách hàng]],code_khach_hang[],2,0)</f>
        <v>CHI NHÁNH HẢI PHÒNG - CÔNG TY CỔ PHẦN DỊCH VỤ THƯƠNG MẠI TỔNG HỢP WINCOMMERCE</v>
      </c>
      <c r="G713" s="16" t="str">
        <f>VLOOKUP(Table8[[#This Row],[Mã khách hàng]],code_khach_hang[],3,0)</f>
        <v>Miền Bắc đặc biệt 3</v>
      </c>
      <c r="H713" t="str">
        <f>VLOOKUP(Table8[[#This Row],[Mã khách hàng]],'Khách hàng'!A:D,4,0)</f>
        <v>Food Đức Việt</v>
      </c>
      <c r="I713" t="str">
        <f>VLOOKUP(Table8[[#This Row],[Mã khách hàng]],'Khách hàng'!A:E,5,0)</f>
        <v>HN0040</v>
      </c>
    </row>
    <row r="714" spans="1:9">
      <c r="A714" s="14" t="s">
        <v>6291</v>
      </c>
      <c r="B714" s="15" t="s">
        <v>5</v>
      </c>
      <c r="C714" s="10" t="s">
        <v>6292</v>
      </c>
      <c r="D714" s="16" t="s">
        <v>2627</v>
      </c>
      <c r="E714" s="15" t="s">
        <v>11198</v>
      </c>
      <c r="F714" s="16" t="str">
        <f>VLOOKUP(Table8[[#This Row],[Mã khách hàng]],code_khach_hang[],2,0)</f>
        <v>CHI NHÁNH HẢI PHÒNG - CÔNG TY CỔ PHẦN DỊCH VỤ THƯƠNG MẠI TỔNG HỢP WINCOMMERCE</v>
      </c>
      <c r="G714" s="16" t="str">
        <f>VLOOKUP(Table8[[#This Row],[Mã khách hàng]],code_khach_hang[],3,0)</f>
        <v>Miền Bắc đặc biệt 3</v>
      </c>
      <c r="H714" t="str">
        <f>VLOOKUP(Table8[[#This Row],[Mã khách hàng]],'Khách hàng'!A:D,4,0)</f>
        <v>Food Đức Việt</v>
      </c>
      <c r="I714" t="str">
        <f>VLOOKUP(Table8[[#This Row],[Mã khách hàng]],'Khách hàng'!A:E,5,0)</f>
        <v>HN0040</v>
      </c>
    </row>
    <row r="715" spans="1:9">
      <c r="A715" s="14" t="s">
        <v>7142</v>
      </c>
      <c r="B715" s="15" t="s">
        <v>5</v>
      </c>
      <c r="C715" s="10" t="s">
        <v>7143</v>
      </c>
      <c r="D715" s="16" t="s">
        <v>2629</v>
      </c>
      <c r="E715" s="15" t="s">
        <v>11198</v>
      </c>
      <c r="F715" s="16" t="str">
        <f>VLOOKUP(Table8[[#This Row],[Mã khách hàng]],code_khach_hang[],2,0)</f>
        <v>CHI NHÁNH HẢI PHÒNG - CÔNG TY CỔ PHẦN DỊCH VỤ THƯƠNG MẠI TỔNG HỢP WINCOMMERCE</v>
      </c>
      <c r="G715" s="16" t="str">
        <f>VLOOKUP(Table8[[#This Row],[Mã khách hàng]],code_khach_hang[],3,0)</f>
        <v>Miền Bắc đặc biệt 3</v>
      </c>
      <c r="H715" t="str">
        <f>VLOOKUP(Table8[[#This Row],[Mã khách hàng]],'Khách hàng'!A:D,4,0)</f>
        <v>Food Đức Việt</v>
      </c>
      <c r="I715" t="str">
        <f>VLOOKUP(Table8[[#This Row],[Mã khách hàng]],'Khách hàng'!A:E,5,0)</f>
        <v>HN0040</v>
      </c>
    </row>
    <row r="716" spans="1:9">
      <c r="A716" s="14" t="s">
        <v>8198</v>
      </c>
      <c r="B716" s="15" t="s">
        <v>5</v>
      </c>
      <c r="C716" s="10" t="s">
        <v>8199</v>
      </c>
      <c r="D716" s="16" t="s">
        <v>2631</v>
      </c>
      <c r="E716" s="15" t="s">
        <v>11198</v>
      </c>
      <c r="F716" s="16" t="str">
        <f>VLOOKUP(Table8[[#This Row],[Mã khách hàng]],code_khach_hang[],2,0)</f>
        <v>CHI NHÁNH HẢI PHÒNG - CÔNG TY CỔ PHẦN DỊCH VỤ THƯƠNG MẠI TỔNG HỢP WINCOMMERCE</v>
      </c>
      <c r="G716" s="16" t="str">
        <f>VLOOKUP(Table8[[#This Row],[Mã khách hàng]],code_khach_hang[],3,0)</f>
        <v>Miền Bắc đặc biệt 3</v>
      </c>
      <c r="H716" t="str">
        <f>VLOOKUP(Table8[[#This Row],[Mã khách hàng]],'Khách hàng'!A:D,4,0)</f>
        <v>Food Đức Việt</v>
      </c>
      <c r="I716" t="str">
        <f>VLOOKUP(Table8[[#This Row],[Mã khách hàng]],'Khách hàng'!A:E,5,0)</f>
        <v>HN0040</v>
      </c>
    </row>
    <row r="717" spans="1:9">
      <c r="A717" s="14" t="s">
        <v>4185</v>
      </c>
      <c r="B717" s="15" t="s">
        <v>5</v>
      </c>
      <c r="C717" s="10" t="s">
        <v>4186</v>
      </c>
      <c r="D717" s="16" t="s">
        <v>2634</v>
      </c>
      <c r="E717" s="15" t="s">
        <v>11198</v>
      </c>
      <c r="F717" s="16" t="str">
        <f>VLOOKUP(Table8[[#This Row],[Mã khách hàng]],code_khach_hang[],2,0)</f>
        <v>CHI NHÁNH HẢI PHÒNG - CÔNG TY CỔ PHẦN DỊCH VỤ THƯƠNG MẠI TỔNG HỢP WINCOMMERCE</v>
      </c>
      <c r="G717" s="16" t="str">
        <f>VLOOKUP(Table8[[#This Row],[Mã khách hàng]],code_khach_hang[],3,0)</f>
        <v>Miền Bắc đặc biệt 3</v>
      </c>
      <c r="H717" t="str">
        <f>VLOOKUP(Table8[[#This Row],[Mã khách hàng]],'Khách hàng'!A:D,4,0)</f>
        <v>Food Đức Việt</v>
      </c>
      <c r="I717" t="str">
        <f>VLOOKUP(Table8[[#This Row],[Mã khách hàng]],'Khách hàng'!A:E,5,0)</f>
        <v>HN0040</v>
      </c>
    </row>
    <row r="718" spans="1:9">
      <c r="A718" s="14" t="s">
        <v>4491</v>
      </c>
      <c r="B718" s="15" t="s">
        <v>5</v>
      </c>
      <c r="C718" s="10" t="s">
        <v>4492</v>
      </c>
      <c r="D718" s="16" t="s">
        <v>2636</v>
      </c>
      <c r="E718" s="15" t="s">
        <v>11198</v>
      </c>
      <c r="F718" s="16" t="str">
        <f>VLOOKUP(Table8[[#This Row],[Mã khách hàng]],code_khach_hang[],2,0)</f>
        <v>CHI NHÁNH HẢI PHÒNG - CÔNG TY CỔ PHẦN DỊCH VỤ THƯƠNG MẠI TỔNG HỢP WINCOMMERCE</v>
      </c>
      <c r="G718" s="16" t="str">
        <f>VLOOKUP(Table8[[#This Row],[Mã khách hàng]],code_khach_hang[],3,0)</f>
        <v>Miền Bắc đặc biệt 3</v>
      </c>
      <c r="H718" t="str">
        <f>VLOOKUP(Table8[[#This Row],[Mã khách hàng]],'Khách hàng'!A:D,4,0)</f>
        <v>Food Đức Việt</v>
      </c>
      <c r="I718" t="str">
        <f>VLOOKUP(Table8[[#This Row],[Mã khách hàng]],'Khách hàng'!A:E,5,0)</f>
        <v>HN0040</v>
      </c>
    </row>
    <row r="719" spans="1:9">
      <c r="A719" s="14" t="s">
        <v>4539</v>
      </c>
      <c r="B719" s="15" t="s">
        <v>5</v>
      </c>
      <c r="C719" s="10" t="s">
        <v>4540</v>
      </c>
      <c r="D719" s="16" t="s">
        <v>2639</v>
      </c>
      <c r="E719" s="15" t="s">
        <v>11198</v>
      </c>
      <c r="F719" s="16" t="str">
        <f>VLOOKUP(Table8[[#This Row],[Mã khách hàng]],code_khach_hang[],2,0)</f>
        <v>CHI NHÁNH HẢI PHÒNG - CÔNG TY CỔ PHẦN DỊCH VỤ THƯƠNG MẠI TỔNG HỢP WINCOMMERCE</v>
      </c>
      <c r="G719" s="16" t="str">
        <f>VLOOKUP(Table8[[#This Row],[Mã khách hàng]],code_khach_hang[],3,0)</f>
        <v>Miền Bắc đặc biệt 3</v>
      </c>
      <c r="H719" t="str">
        <f>VLOOKUP(Table8[[#This Row],[Mã khách hàng]],'Khách hàng'!A:D,4,0)</f>
        <v>Food Đức Việt</v>
      </c>
      <c r="I719" t="str">
        <f>VLOOKUP(Table8[[#This Row],[Mã khách hàng]],'Khách hàng'!A:E,5,0)</f>
        <v>HN0040</v>
      </c>
    </row>
    <row r="720" spans="1:9">
      <c r="A720" s="14" t="s">
        <v>4548</v>
      </c>
      <c r="B720" s="15" t="s">
        <v>5</v>
      </c>
      <c r="C720" s="10" t="s">
        <v>4549</v>
      </c>
      <c r="D720" s="16" t="s">
        <v>2642</v>
      </c>
      <c r="E720" s="15" t="s">
        <v>11198</v>
      </c>
      <c r="F720" s="16" t="str">
        <f>VLOOKUP(Table8[[#This Row],[Mã khách hàng]],code_khach_hang[],2,0)</f>
        <v>CHI NHÁNH HẢI PHÒNG - CÔNG TY CỔ PHẦN DỊCH VỤ THƯƠNG MẠI TỔNG HỢP WINCOMMERCE</v>
      </c>
      <c r="G720" s="16" t="str">
        <f>VLOOKUP(Table8[[#This Row],[Mã khách hàng]],code_khach_hang[],3,0)</f>
        <v>Miền Bắc đặc biệt 3</v>
      </c>
      <c r="H720" t="str">
        <f>VLOOKUP(Table8[[#This Row],[Mã khách hàng]],'Khách hàng'!A:D,4,0)</f>
        <v>Food Đức Việt</v>
      </c>
      <c r="I720" t="str">
        <f>VLOOKUP(Table8[[#This Row],[Mã khách hàng]],'Khách hàng'!A:E,5,0)</f>
        <v>HN0040</v>
      </c>
    </row>
    <row r="721" spans="1:9">
      <c r="A721" s="14" t="s">
        <v>4617</v>
      </c>
      <c r="B721" s="15" t="s">
        <v>5</v>
      </c>
      <c r="C721" s="10" t="s">
        <v>4618</v>
      </c>
      <c r="D721" s="16" t="s">
        <v>2645</v>
      </c>
      <c r="E721" s="14" t="s">
        <v>11198</v>
      </c>
      <c r="F721" s="16" t="str">
        <f>VLOOKUP(Table8[[#This Row],[Mã khách hàng]],code_khach_hang[],2,0)</f>
        <v>CHI NHÁNH HẢI PHÒNG - CÔNG TY CỔ PHẦN DỊCH VỤ THƯƠNG MẠI TỔNG HỢP WINCOMMERCE</v>
      </c>
      <c r="G721" s="16" t="str">
        <f>VLOOKUP(Table8[[#This Row],[Mã khách hàng]],code_khach_hang[],3,0)</f>
        <v>Miền Bắc đặc biệt 3</v>
      </c>
      <c r="H721" t="str">
        <f>VLOOKUP(Table8[[#This Row],[Mã khách hàng]],'Khách hàng'!A:D,4,0)</f>
        <v>Food Đức Việt</v>
      </c>
      <c r="I721" t="str">
        <f>VLOOKUP(Table8[[#This Row],[Mã khách hàng]],'Khách hàng'!A:E,5,0)</f>
        <v>HN0040</v>
      </c>
    </row>
    <row r="722" spans="1:9">
      <c r="A722" s="14" t="s">
        <v>4776</v>
      </c>
      <c r="B722" s="15" t="s">
        <v>5</v>
      </c>
      <c r="C722" s="10" t="s">
        <v>4777</v>
      </c>
      <c r="D722" s="16" t="s">
        <v>2648</v>
      </c>
      <c r="E722" s="15" t="s">
        <v>11198</v>
      </c>
      <c r="F722" s="16" t="str">
        <f>VLOOKUP(Table8[[#This Row],[Mã khách hàng]],code_khach_hang[],2,0)</f>
        <v>CHI NHÁNH HẢI PHÒNG - CÔNG TY CỔ PHẦN DỊCH VỤ THƯƠNG MẠI TỔNG HỢP WINCOMMERCE</v>
      </c>
      <c r="G722" s="16" t="str">
        <f>VLOOKUP(Table8[[#This Row],[Mã khách hàng]],code_khach_hang[],3,0)</f>
        <v>Miền Bắc đặc biệt 3</v>
      </c>
      <c r="H722" t="str">
        <f>VLOOKUP(Table8[[#This Row],[Mã khách hàng]],'Khách hàng'!A:D,4,0)</f>
        <v>Food Đức Việt</v>
      </c>
      <c r="I722" t="str">
        <f>VLOOKUP(Table8[[#This Row],[Mã khách hàng]],'Khách hàng'!A:E,5,0)</f>
        <v>HN0040</v>
      </c>
    </row>
    <row r="723" spans="1:9">
      <c r="A723" s="14" t="s">
        <v>4818</v>
      </c>
      <c r="B723" s="15" t="s">
        <v>5</v>
      </c>
      <c r="C723" s="10" t="s">
        <v>4819</v>
      </c>
      <c r="D723" s="16" t="s">
        <v>2651</v>
      </c>
      <c r="E723" s="15" t="s">
        <v>11198</v>
      </c>
      <c r="F723" s="16" t="str">
        <f>VLOOKUP(Table8[[#This Row],[Mã khách hàng]],code_khach_hang[],2,0)</f>
        <v>CHI NHÁNH HẢI PHÒNG - CÔNG TY CỔ PHẦN DỊCH VỤ THƯƠNG MẠI TỔNG HỢP WINCOMMERCE</v>
      </c>
      <c r="G723" s="16" t="str">
        <f>VLOOKUP(Table8[[#This Row],[Mã khách hàng]],code_khach_hang[],3,0)</f>
        <v>Miền Bắc đặc biệt 3</v>
      </c>
      <c r="H723" t="str">
        <f>VLOOKUP(Table8[[#This Row],[Mã khách hàng]],'Khách hàng'!A:D,4,0)</f>
        <v>Food Đức Việt</v>
      </c>
      <c r="I723" t="str">
        <f>VLOOKUP(Table8[[#This Row],[Mã khách hàng]],'Khách hàng'!A:E,5,0)</f>
        <v>HN0040</v>
      </c>
    </row>
    <row r="724" spans="1:9">
      <c r="A724" s="14" t="s">
        <v>4968</v>
      </c>
      <c r="B724" s="15" t="s">
        <v>5</v>
      </c>
      <c r="C724" s="10" t="s">
        <v>4969</v>
      </c>
      <c r="D724" s="16" t="s">
        <v>2654</v>
      </c>
      <c r="E724" s="15" t="s">
        <v>11198</v>
      </c>
      <c r="F724" s="16" t="str">
        <f>VLOOKUP(Table8[[#This Row],[Mã khách hàng]],code_khach_hang[],2,0)</f>
        <v>CHI NHÁNH HẢI PHÒNG - CÔNG TY CỔ PHẦN DỊCH VỤ THƯƠNG MẠI TỔNG HỢP WINCOMMERCE</v>
      </c>
      <c r="G724" s="16" t="str">
        <f>VLOOKUP(Table8[[#This Row],[Mã khách hàng]],code_khach_hang[],3,0)</f>
        <v>Miền Bắc đặc biệt 3</v>
      </c>
      <c r="H724" t="str">
        <f>VLOOKUP(Table8[[#This Row],[Mã khách hàng]],'Khách hàng'!A:D,4,0)</f>
        <v>Food Đức Việt</v>
      </c>
      <c r="I724" t="str">
        <f>VLOOKUP(Table8[[#This Row],[Mã khách hàng]],'Khách hàng'!A:E,5,0)</f>
        <v>HN0040</v>
      </c>
    </row>
    <row r="725" spans="1:9">
      <c r="A725" s="14" t="s">
        <v>5232</v>
      </c>
      <c r="B725" s="15" t="s">
        <v>5</v>
      </c>
      <c r="C725" s="10" t="s">
        <v>5233</v>
      </c>
      <c r="D725" s="16" t="s">
        <v>2657</v>
      </c>
      <c r="E725" s="15" t="s">
        <v>11198</v>
      </c>
      <c r="F725" s="16" t="str">
        <f>VLOOKUP(Table8[[#This Row],[Mã khách hàng]],code_khach_hang[],2,0)</f>
        <v>CHI NHÁNH HẢI PHÒNG - CÔNG TY CỔ PHẦN DỊCH VỤ THƯƠNG MẠI TỔNG HỢP WINCOMMERCE</v>
      </c>
      <c r="G725" s="16" t="str">
        <f>VLOOKUP(Table8[[#This Row],[Mã khách hàng]],code_khach_hang[],3,0)</f>
        <v>Miền Bắc đặc biệt 3</v>
      </c>
      <c r="H725" t="str">
        <f>VLOOKUP(Table8[[#This Row],[Mã khách hàng]],'Khách hàng'!A:D,4,0)</f>
        <v>Food Đức Việt</v>
      </c>
      <c r="I725" t="str">
        <f>VLOOKUP(Table8[[#This Row],[Mã khách hàng]],'Khách hàng'!A:E,5,0)</f>
        <v>HN0040</v>
      </c>
    </row>
    <row r="726" spans="1:9">
      <c r="A726" s="14" t="s">
        <v>5310</v>
      </c>
      <c r="B726" s="15" t="s">
        <v>5</v>
      </c>
      <c r="C726" s="10" t="s">
        <v>5311</v>
      </c>
      <c r="D726" s="16" t="s">
        <v>2660</v>
      </c>
      <c r="E726" s="15" t="s">
        <v>11198</v>
      </c>
      <c r="F726" s="16" t="str">
        <f>VLOOKUP(Table8[[#This Row],[Mã khách hàng]],code_khach_hang[],2,0)</f>
        <v>CHI NHÁNH HẢI PHÒNG - CÔNG TY CỔ PHẦN DỊCH VỤ THƯƠNG MẠI TỔNG HỢP WINCOMMERCE</v>
      </c>
      <c r="G726" s="16" t="str">
        <f>VLOOKUP(Table8[[#This Row],[Mã khách hàng]],code_khach_hang[],3,0)</f>
        <v>Miền Bắc đặc biệt 3</v>
      </c>
      <c r="H726" t="str">
        <f>VLOOKUP(Table8[[#This Row],[Mã khách hàng]],'Khách hàng'!A:D,4,0)</f>
        <v>Food Đức Việt</v>
      </c>
      <c r="I726" t="str">
        <f>VLOOKUP(Table8[[#This Row],[Mã khách hàng]],'Khách hàng'!A:E,5,0)</f>
        <v>HN0040</v>
      </c>
    </row>
    <row r="727" spans="1:9">
      <c r="A727" s="14" t="s">
        <v>5373</v>
      </c>
      <c r="B727" s="15" t="s">
        <v>5</v>
      </c>
      <c r="C727" s="10" t="s">
        <v>5374</v>
      </c>
      <c r="D727" s="16" t="s">
        <v>2663</v>
      </c>
      <c r="E727" s="15" t="s">
        <v>11198</v>
      </c>
      <c r="F727" s="16" t="str">
        <f>VLOOKUP(Table8[[#This Row],[Mã khách hàng]],code_khach_hang[],2,0)</f>
        <v>CHI NHÁNH HẢI PHÒNG - CÔNG TY CỔ PHẦN DỊCH VỤ THƯƠNG MẠI TỔNG HỢP WINCOMMERCE</v>
      </c>
      <c r="G727" s="16" t="str">
        <f>VLOOKUP(Table8[[#This Row],[Mã khách hàng]],code_khach_hang[],3,0)</f>
        <v>Miền Bắc đặc biệt 3</v>
      </c>
      <c r="H727" t="str">
        <f>VLOOKUP(Table8[[#This Row],[Mã khách hàng]],'Khách hàng'!A:D,4,0)</f>
        <v>Food Đức Việt</v>
      </c>
      <c r="I727" t="str">
        <f>VLOOKUP(Table8[[#This Row],[Mã khách hàng]],'Khách hàng'!A:E,5,0)</f>
        <v>HN0040</v>
      </c>
    </row>
    <row r="728" spans="1:9">
      <c r="A728" s="14" t="s">
        <v>5594</v>
      </c>
      <c r="B728" s="15" t="s">
        <v>5</v>
      </c>
      <c r="C728" s="10" t="s">
        <v>5595</v>
      </c>
      <c r="D728" s="16" t="s">
        <v>2666</v>
      </c>
      <c r="E728" s="15" t="s">
        <v>11198</v>
      </c>
      <c r="F728" s="16" t="str">
        <f>VLOOKUP(Table8[[#This Row],[Mã khách hàng]],code_khach_hang[],2,0)</f>
        <v>CHI NHÁNH HẢI PHÒNG - CÔNG TY CỔ PHẦN DỊCH VỤ THƯƠNG MẠI TỔNG HỢP WINCOMMERCE</v>
      </c>
      <c r="G728" s="16" t="str">
        <f>VLOOKUP(Table8[[#This Row],[Mã khách hàng]],code_khach_hang[],3,0)</f>
        <v>Miền Bắc đặc biệt 3</v>
      </c>
      <c r="H728" t="str">
        <f>VLOOKUP(Table8[[#This Row],[Mã khách hàng]],'Khách hàng'!A:D,4,0)</f>
        <v>Food Đức Việt</v>
      </c>
      <c r="I728" t="str">
        <f>VLOOKUP(Table8[[#This Row],[Mã khách hàng]],'Khách hàng'!A:E,5,0)</f>
        <v>HN0040</v>
      </c>
    </row>
    <row r="729" spans="1:9">
      <c r="A729" s="14" t="s">
        <v>5890</v>
      </c>
      <c r="B729" s="15" t="s">
        <v>5</v>
      </c>
      <c r="C729" s="10" t="s">
        <v>5891</v>
      </c>
      <c r="D729" s="16" t="s">
        <v>2669</v>
      </c>
      <c r="E729" s="15" t="s">
        <v>11198</v>
      </c>
      <c r="F729" s="16" t="str">
        <f>VLOOKUP(Table8[[#This Row],[Mã khách hàng]],code_khach_hang[],2,0)</f>
        <v>CHI NHÁNH HẢI PHÒNG - CÔNG TY CỔ PHẦN DỊCH VỤ THƯƠNG MẠI TỔNG HỢP WINCOMMERCE</v>
      </c>
      <c r="G729" s="16" t="str">
        <f>VLOOKUP(Table8[[#This Row],[Mã khách hàng]],code_khach_hang[],3,0)</f>
        <v>Miền Bắc đặc biệt 3</v>
      </c>
      <c r="H729" t="str">
        <f>VLOOKUP(Table8[[#This Row],[Mã khách hàng]],'Khách hàng'!A:D,4,0)</f>
        <v>Food Đức Việt</v>
      </c>
      <c r="I729" t="str">
        <f>VLOOKUP(Table8[[#This Row],[Mã khách hàng]],'Khách hàng'!A:E,5,0)</f>
        <v>HN0040</v>
      </c>
    </row>
    <row r="730" spans="1:9">
      <c r="A730" s="14" t="s">
        <v>6255</v>
      </c>
      <c r="B730" s="15" t="s">
        <v>5</v>
      </c>
      <c r="C730" s="10" t="s">
        <v>6256</v>
      </c>
      <c r="D730" s="16" t="s">
        <v>2672</v>
      </c>
      <c r="E730" s="15" t="s">
        <v>11198</v>
      </c>
      <c r="F730" s="16" t="str">
        <f>VLOOKUP(Table8[[#This Row],[Mã khách hàng]],code_khach_hang[],2,0)</f>
        <v>CHI NHÁNH HẢI PHÒNG - CÔNG TY CỔ PHẦN DỊCH VỤ THƯƠNG MẠI TỔNG HỢP WINCOMMERCE</v>
      </c>
      <c r="G730" s="16" t="str">
        <f>VLOOKUP(Table8[[#This Row],[Mã khách hàng]],code_khach_hang[],3,0)</f>
        <v>Miền Bắc đặc biệt 3</v>
      </c>
      <c r="H730" t="str">
        <f>VLOOKUP(Table8[[#This Row],[Mã khách hàng]],'Khách hàng'!A:D,4,0)</f>
        <v>Food Đức Việt</v>
      </c>
      <c r="I730" t="str">
        <f>VLOOKUP(Table8[[#This Row],[Mã khách hàng]],'Khách hàng'!A:E,5,0)</f>
        <v>HN0040</v>
      </c>
    </row>
    <row r="731" spans="1:9">
      <c r="A731" s="14" t="s">
        <v>6494</v>
      </c>
      <c r="B731" s="15" t="s">
        <v>5</v>
      </c>
      <c r="C731" s="10" t="s">
        <v>6495</v>
      </c>
      <c r="D731" s="16" t="s">
        <v>2675</v>
      </c>
      <c r="E731" s="15" t="s">
        <v>11198</v>
      </c>
      <c r="F731" s="16" t="str">
        <f>VLOOKUP(Table8[[#This Row],[Mã khách hàng]],code_khach_hang[],2,0)</f>
        <v>CHI NHÁNH HẢI PHÒNG - CÔNG TY CỔ PHẦN DỊCH VỤ THƯƠNG MẠI TỔNG HỢP WINCOMMERCE</v>
      </c>
      <c r="G731" s="16" t="str">
        <f>VLOOKUP(Table8[[#This Row],[Mã khách hàng]],code_khach_hang[],3,0)</f>
        <v>Miền Bắc đặc biệt 3</v>
      </c>
      <c r="H731" t="str">
        <f>VLOOKUP(Table8[[#This Row],[Mã khách hàng]],'Khách hàng'!A:D,4,0)</f>
        <v>Food Đức Việt</v>
      </c>
      <c r="I731" t="str">
        <f>VLOOKUP(Table8[[#This Row],[Mã khách hàng]],'Khách hàng'!A:E,5,0)</f>
        <v>HN0040</v>
      </c>
    </row>
    <row r="732" spans="1:9">
      <c r="A732" s="14" t="s">
        <v>6500</v>
      </c>
      <c r="B732" s="15" t="s">
        <v>5</v>
      </c>
      <c r="C732" s="10" t="s">
        <v>6501</v>
      </c>
      <c r="D732" s="16" t="s">
        <v>2678</v>
      </c>
      <c r="E732" s="15" t="s">
        <v>11198</v>
      </c>
      <c r="F732" s="16" t="str">
        <f>VLOOKUP(Table8[[#This Row],[Mã khách hàng]],code_khach_hang[],2,0)</f>
        <v>CHI NHÁNH HẢI PHÒNG - CÔNG TY CỔ PHẦN DỊCH VỤ THƯƠNG MẠI TỔNG HỢP WINCOMMERCE</v>
      </c>
      <c r="G732" s="16" t="str">
        <f>VLOOKUP(Table8[[#This Row],[Mã khách hàng]],code_khach_hang[],3,0)</f>
        <v>Miền Bắc đặc biệt 3</v>
      </c>
      <c r="H732" t="str">
        <f>VLOOKUP(Table8[[#This Row],[Mã khách hàng]],'Khách hàng'!A:D,4,0)</f>
        <v>Food Đức Việt</v>
      </c>
      <c r="I732" t="str">
        <f>VLOOKUP(Table8[[#This Row],[Mã khách hàng]],'Khách hàng'!A:E,5,0)</f>
        <v>HN0040</v>
      </c>
    </row>
    <row r="733" spans="1:9">
      <c r="A733" s="14" t="s">
        <v>6539</v>
      </c>
      <c r="B733" s="15" t="s">
        <v>5</v>
      </c>
      <c r="C733" s="10" t="s">
        <v>6540</v>
      </c>
      <c r="D733" s="16" t="s">
        <v>2681</v>
      </c>
      <c r="E733" s="15" t="s">
        <v>11198</v>
      </c>
      <c r="F733" s="16" t="str">
        <f>VLOOKUP(Table8[[#This Row],[Mã khách hàng]],code_khach_hang[],2,0)</f>
        <v>CHI NHÁNH HẢI PHÒNG - CÔNG TY CỔ PHẦN DỊCH VỤ THƯƠNG MẠI TỔNG HỢP WINCOMMERCE</v>
      </c>
      <c r="G733" s="16" t="str">
        <f>VLOOKUP(Table8[[#This Row],[Mã khách hàng]],code_khach_hang[],3,0)</f>
        <v>Miền Bắc đặc biệt 3</v>
      </c>
      <c r="H733" t="str">
        <f>VLOOKUP(Table8[[#This Row],[Mã khách hàng]],'Khách hàng'!A:D,4,0)</f>
        <v>Food Đức Việt</v>
      </c>
      <c r="I733" t="str">
        <f>VLOOKUP(Table8[[#This Row],[Mã khách hàng]],'Khách hàng'!A:E,5,0)</f>
        <v>HN0040</v>
      </c>
    </row>
    <row r="734" spans="1:9">
      <c r="A734" s="14" t="s">
        <v>6644</v>
      </c>
      <c r="B734" s="15" t="s">
        <v>5</v>
      </c>
      <c r="C734" s="10" t="s">
        <v>6645</v>
      </c>
      <c r="D734" s="16" t="s">
        <v>2684</v>
      </c>
      <c r="E734" s="15" t="s">
        <v>11198</v>
      </c>
      <c r="F734" s="16" t="str">
        <f>VLOOKUP(Table8[[#This Row],[Mã khách hàng]],code_khach_hang[],2,0)</f>
        <v>CHI NHÁNH HẢI PHÒNG - CÔNG TY CỔ PHẦN DỊCH VỤ THƯƠNG MẠI TỔNG HỢP WINCOMMERCE</v>
      </c>
      <c r="G734" s="16" t="str">
        <f>VLOOKUP(Table8[[#This Row],[Mã khách hàng]],code_khach_hang[],3,0)</f>
        <v>Miền Bắc đặc biệt 3</v>
      </c>
      <c r="H734" t="str">
        <f>VLOOKUP(Table8[[#This Row],[Mã khách hàng]],'Khách hàng'!A:D,4,0)</f>
        <v>Food Đức Việt</v>
      </c>
      <c r="I734" t="str">
        <f>VLOOKUP(Table8[[#This Row],[Mã khách hàng]],'Khách hàng'!A:E,5,0)</f>
        <v>HN0040</v>
      </c>
    </row>
    <row r="735" spans="1:9">
      <c r="A735" s="14" t="s">
        <v>7050</v>
      </c>
      <c r="B735" s="15" t="s">
        <v>5</v>
      </c>
      <c r="C735" s="10" t="s">
        <v>7051</v>
      </c>
      <c r="D735" s="16" t="s">
        <v>2687</v>
      </c>
      <c r="E735" s="15" t="s">
        <v>11198</v>
      </c>
      <c r="F735" s="16" t="str">
        <f>VLOOKUP(Table8[[#This Row],[Mã khách hàng]],code_khach_hang[],2,0)</f>
        <v>CHI NHÁNH HẢI PHÒNG - CÔNG TY CỔ PHẦN DỊCH VỤ THƯƠNG MẠI TỔNG HỢP WINCOMMERCE</v>
      </c>
      <c r="G735" s="16" t="str">
        <f>VLOOKUP(Table8[[#This Row],[Mã khách hàng]],code_khach_hang[],3,0)</f>
        <v>Miền Bắc đặc biệt 3</v>
      </c>
      <c r="H735" t="str">
        <f>VLOOKUP(Table8[[#This Row],[Mã khách hàng]],'Khách hàng'!A:D,4,0)</f>
        <v>Food Đức Việt</v>
      </c>
      <c r="I735" t="str">
        <f>VLOOKUP(Table8[[#This Row],[Mã khách hàng]],'Khách hàng'!A:E,5,0)</f>
        <v>HN0040</v>
      </c>
    </row>
    <row r="736" spans="1:9">
      <c r="A736" s="14" t="s">
        <v>7936</v>
      </c>
      <c r="B736" s="15" t="s">
        <v>5</v>
      </c>
      <c r="C736" s="10" t="s">
        <v>7937</v>
      </c>
      <c r="D736" s="16" t="s">
        <v>2690</v>
      </c>
      <c r="E736" s="15" t="s">
        <v>11198</v>
      </c>
      <c r="F736" s="16" t="str">
        <f>VLOOKUP(Table8[[#This Row],[Mã khách hàng]],code_khach_hang[],2,0)</f>
        <v>CHI NHÁNH HẢI PHÒNG - CÔNG TY CỔ PHẦN DỊCH VỤ THƯƠNG MẠI TỔNG HỢP WINCOMMERCE</v>
      </c>
      <c r="G736" s="16" t="str">
        <f>VLOOKUP(Table8[[#This Row],[Mã khách hàng]],code_khach_hang[],3,0)</f>
        <v>Miền Bắc đặc biệt 3</v>
      </c>
      <c r="H736" t="str">
        <f>VLOOKUP(Table8[[#This Row],[Mã khách hàng]],'Khách hàng'!A:D,4,0)</f>
        <v>Food Đức Việt</v>
      </c>
      <c r="I736" t="str">
        <f>VLOOKUP(Table8[[#This Row],[Mã khách hàng]],'Khách hàng'!A:E,5,0)</f>
        <v>HN0040</v>
      </c>
    </row>
    <row r="737" spans="1:9">
      <c r="A737" s="14" t="s">
        <v>8862</v>
      </c>
      <c r="B737" s="15" t="s">
        <v>5</v>
      </c>
      <c r="C737" s="10" t="s">
        <v>8863</v>
      </c>
      <c r="D737" s="16" t="s">
        <v>2693</v>
      </c>
      <c r="E737" s="15" t="s">
        <v>11198</v>
      </c>
      <c r="F737" s="16" t="str">
        <f>VLOOKUP(Table8[[#This Row],[Mã khách hàng]],code_khach_hang[],2,0)</f>
        <v>CHI NHÁNH HẢI PHÒNG - CÔNG TY CỔ PHẦN DỊCH VỤ THƯƠNG MẠI TỔNG HỢP WINCOMMERCE</v>
      </c>
      <c r="G737" s="16" t="str">
        <f>VLOOKUP(Table8[[#This Row],[Mã khách hàng]],code_khach_hang[],3,0)</f>
        <v>Miền Bắc đặc biệt 3</v>
      </c>
      <c r="H737" t="str">
        <f>VLOOKUP(Table8[[#This Row],[Mã khách hàng]],'Khách hàng'!A:D,4,0)</f>
        <v>Food Đức Việt</v>
      </c>
      <c r="I737" t="str">
        <f>VLOOKUP(Table8[[#This Row],[Mã khách hàng]],'Khách hàng'!A:E,5,0)</f>
        <v>HN0040</v>
      </c>
    </row>
    <row r="738" spans="1:9">
      <c r="A738" s="14" t="s">
        <v>8907</v>
      </c>
      <c r="B738" s="15" t="s">
        <v>5</v>
      </c>
      <c r="C738" s="10" t="s">
        <v>8908</v>
      </c>
      <c r="D738" s="16" t="s">
        <v>2696</v>
      </c>
      <c r="E738" s="15" t="s">
        <v>11198</v>
      </c>
      <c r="F738" s="16" t="str">
        <f>VLOOKUP(Table8[[#This Row],[Mã khách hàng]],code_khach_hang[],2,0)</f>
        <v>CHI NHÁNH HẢI PHÒNG - CÔNG TY CỔ PHẦN DỊCH VỤ THƯƠNG MẠI TỔNG HỢP WINCOMMERCE</v>
      </c>
      <c r="G738" s="16" t="str">
        <f>VLOOKUP(Table8[[#This Row],[Mã khách hàng]],code_khach_hang[],3,0)</f>
        <v>Miền Bắc đặc biệt 3</v>
      </c>
      <c r="H738" t="str">
        <f>VLOOKUP(Table8[[#This Row],[Mã khách hàng]],'Khách hàng'!A:D,4,0)</f>
        <v>Food Đức Việt</v>
      </c>
      <c r="I738" t="str">
        <f>VLOOKUP(Table8[[#This Row],[Mã khách hàng]],'Khách hàng'!A:E,5,0)</f>
        <v>HN0040</v>
      </c>
    </row>
    <row r="739" spans="1:9">
      <c r="A739" s="14" t="s">
        <v>1435</v>
      </c>
      <c r="B739" s="15" t="s">
        <v>5</v>
      </c>
      <c r="C739" s="10" t="s">
        <v>1436</v>
      </c>
      <c r="D739" s="16" t="s">
        <v>2699</v>
      </c>
      <c r="E739" s="15" t="s">
        <v>11198</v>
      </c>
      <c r="F739" s="16" t="str">
        <f>VLOOKUP(Table8[[#This Row],[Mã khách hàng]],code_khach_hang[],2,0)</f>
        <v>CHI NHÁNH HẢI PHÒNG - CÔNG TY CỔ PHẦN DỊCH VỤ THƯƠNG MẠI TỔNG HỢP WINCOMMERCE</v>
      </c>
      <c r="G739" s="16" t="str">
        <f>VLOOKUP(Table8[[#This Row],[Mã khách hàng]],code_khach_hang[],3,0)</f>
        <v>Miền Bắc đặc biệt 3</v>
      </c>
      <c r="H739" t="str">
        <f>VLOOKUP(Table8[[#This Row],[Mã khách hàng]],'Khách hàng'!A:D,4,0)</f>
        <v>Food Đức Việt</v>
      </c>
      <c r="I739" t="str">
        <f>VLOOKUP(Table8[[#This Row],[Mã khách hàng]],'Khách hàng'!A:E,5,0)</f>
        <v>HN0040</v>
      </c>
    </row>
    <row r="740" spans="1:9">
      <c r="A740" s="14" t="s">
        <v>1543</v>
      </c>
      <c r="B740" s="15" t="s">
        <v>5</v>
      </c>
      <c r="C740" s="10" t="s">
        <v>1544</v>
      </c>
      <c r="D740" s="16" t="s">
        <v>2702</v>
      </c>
      <c r="E740" s="15" t="s">
        <v>11198</v>
      </c>
      <c r="F740" s="16" t="str">
        <f>VLOOKUP(Table8[[#This Row],[Mã khách hàng]],code_khach_hang[],2,0)</f>
        <v>CHI NHÁNH HẢI PHÒNG - CÔNG TY CỔ PHẦN DỊCH VỤ THƯƠNG MẠI TỔNG HỢP WINCOMMERCE</v>
      </c>
      <c r="G740" s="16" t="str">
        <f>VLOOKUP(Table8[[#This Row],[Mã khách hàng]],code_khach_hang[],3,0)</f>
        <v>Miền Bắc đặc biệt 3</v>
      </c>
      <c r="H740" t="str">
        <f>VLOOKUP(Table8[[#This Row],[Mã khách hàng]],'Khách hàng'!A:D,4,0)</f>
        <v>Food Đức Việt</v>
      </c>
      <c r="I740" t="str">
        <f>VLOOKUP(Table8[[#This Row],[Mã khách hàng]],'Khách hàng'!A:E,5,0)</f>
        <v>HN0040</v>
      </c>
    </row>
    <row r="741" spans="1:9">
      <c r="A741" s="14" t="s">
        <v>707</v>
      </c>
      <c r="B741" s="15" t="s">
        <v>183</v>
      </c>
      <c r="C741" s="10" t="s">
        <v>708</v>
      </c>
      <c r="D741" s="16" t="s">
        <v>2705</v>
      </c>
      <c r="E741" s="14" t="s">
        <v>11198</v>
      </c>
      <c r="F741" s="16" t="str">
        <f>VLOOKUP(Table8[[#This Row],[Mã khách hàng]],code_khach_hang[],2,0)</f>
        <v>CHI NHÁNH HẢI PHÒNG - CÔNG TY CỔ PHẦN DỊCH VỤ THƯƠNG MẠI TỔNG HỢP WINCOMMERCE</v>
      </c>
      <c r="G741" s="16" t="str">
        <f>VLOOKUP(Table8[[#This Row],[Mã khách hàng]],code_khach_hang[],3,0)</f>
        <v>Miền Bắc đặc biệt 3</v>
      </c>
      <c r="H741" t="str">
        <f>VLOOKUP(Table8[[#This Row],[Mã khách hàng]],'Khách hàng'!A:D,4,0)</f>
        <v>Food Đức Việt</v>
      </c>
      <c r="I741" t="str">
        <f>VLOOKUP(Table8[[#This Row],[Mã khách hàng]],'Khách hàng'!A:E,5,0)</f>
        <v>HN0040</v>
      </c>
    </row>
    <row r="742" spans="1:9">
      <c r="A742" s="14" t="s">
        <v>9150</v>
      </c>
      <c r="B742" s="15" t="s">
        <v>5</v>
      </c>
      <c r="C742" s="10" t="s">
        <v>9151</v>
      </c>
      <c r="D742" s="16" t="s">
        <v>2708</v>
      </c>
      <c r="E742" s="15" t="s">
        <v>11205</v>
      </c>
      <c r="F742" s="16" t="str">
        <f>VLOOKUP(Table8[[#This Row],[Mã khách hàng]],code_khach_hang[],2,0)</f>
        <v>CHI NHÁNH HÀ TĨNH - CÔNG TY CỔ PHẦN DỊCH VỤ THƯƠNG MẠI TỔNG HỢP WINCOMMERCE</v>
      </c>
      <c r="G742" s="16" t="str">
        <f>VLOOKUP(Table8[[#This Row],[Mã khách hàng]],code_khach_hang[],3,0)</f>
        <v>Miền Trung đặc biệt 1</v>
      </c>
      <c r="H742" t="str">
        <f>VLOOKUP(Table8[[#This Row],[Mã khách hàng]],'Khách hàng'!A:D,4,0)</f>
        <v>Food Đức Việt</v>
      </c>
      <c r="I742" t="str">
        <f>VLOOKUP(Table8[[#This Row],[Mã khách hàng]],'Khách hàng'!A:E,5,0)</f>
        <v>HN0040</v>
      </c>
    </row>
    <row r="743" spans="1:9">
      <c r="A743" s="14" t="s">
        <v>9159</v>
      </c>
      <c r="B743" s="15" t="s">
        <v>5</v>
      </c>
      <c r="C743" s="10" t="s">
        <v>9160</v>
      </c>
      <c r="D743" s="16" t="s">
        <v>2711</v>
      </c>
      <c r="E743" s="15" t="s">
        <v>11205</v>
      </c>
      <c r="F743" s="16" t="str">
        <f>VLOOKUP(Table8[[#This Row],[Mã khách hàng]],code_khach_hang[],2,0)</f>
        <v>CHI NHÁNH HÀ TĨNH - CÔNG TY CỔ PHẦN DỊCH VỤ THƯƠNG MẠI TỔNG HỢP WINCOMMERCE</v>
      </c>
      <c r="G743" s="16" t="str">
        <f>VLOOKUP(Table8[[#This Row],[Mã khách hàng]],code_khach_hang[],3,0)</f>
        <v>Miền Trung đặc biệt 1</v>
      </c>
      <c r="H743" t="str">
        <f>VLOOKUP(Table8[[#This Row],[Mã khách hàng]],'Khách hàng'!A:D,4,0)</f>
        <v>Food Đức Việt</v>
      </c>
      <c r="I743" t="str">
        <f>VLOOKUP(Table8[[#This Row],[Mã khách hàng]],'Khách hàng'!A:E,5,0)</f>
        <v>HN0040</v>
      </c>
    </row>
    <row r="744" spans="1:9">
      <c r="A744" s="14" t="s">
        <v>6797</v>
      </c>
      <c r="B744" s="15" t="s">
        <v>5</v>
      </c>
      <c r="C744" s="10" t="s">
        <v>6798</v>
      </c>
      <c r="D744" s="16" t="s">
        <v>2714</v>
      </c>
      <c r="E744" s="15" t="s">
        <v>11205</v>
      </c>
      <c r="F744" s="16" t="str">
        <f>VLOOKUP(Table8[[#This Row],[Mã khách hàng]],code_khach_hang[],2,0)</f>
        <v>CHI NHÁNH HÀ TĨNH - CÔNG TY CỔ PHẦN DỊCH VỤ THƯƠNG MẠI TỔNG HỢP WINCOMMERCE</v>
      </c>
      <c r="G744" s="16" t="str">
        <f>VLOOKUP(Table8[[#This Row],[Mã khách hàng]],code_khach_hang[],3,0)</f>
        <v>Miền Trung đặc biệt 1</v>
      </c>
      <c r="H744" t="str">
        <f>VLOOKUP(Table8[[#This Row],[Mã khách hàng]],'Khách hàng'!A:D,4,0)</f>
        <v>Food Đức Việt</v>
      </c>
      <c r="I744" t="str">
        <f>VLOOKUP(Table8[[#This Row],[Mã khách hàng]],'Khách hàng'!A:E,5,0)</f>
        <v>HN0040</v>
      </c>
    </row>
    <row r="745" spans="1:9">
      <c r="A745" s="14" t="s">
        <v>9153</v>
      </c>
      <c r="B745" s="15" t="s">
        <v>5</v>
      </c>
      <c r="C745" s="10" t="s">
        <v>9154</v>
      </c>
      <c r="D745" s="16" t="s">
        <v>2717</v>
      </c>
      <c r="E745" s="15" t="s">
        <v>11205</v>
      </c>
      <c r="F745" s="16" t="str">
        <f>VLOOKUP(Table8[[#This Row],[Mã khách hàng]],code_khach_hang[],2,0)</f>
        <v>CHI NHÁNH HÀ TĨNH - CÔNG TY CỔ PHẦN DỊCH VỤ THƯƠNG MẠI TỔNG HỢP WINCOMMERCE</v>
      </c>
      <c r="G745" s="16" t="str">
        <f>VLOOKUP(Table8[[#This Row],[Mã khách hàng]],code_khach_hang[],3,0)</f>
        <v>Miền Trung đặc biệt 1</v>
      </c>
      <c r="H745" t="str">
        <f>VLOOKUP(Table8[[#This Row],[Mã khách hàng]],'Khách hàng'!A:D,4,0)</f>
        <v>Food Đức Việt</v>
      </c>
      <c r="I745" t="str">
        <f>VLOOKUP(Table8[[#This Row],[Mã khách hàng]],'Khách hàng'!A:E,5,0)</f>
        <v>HN0040</v>
      </c>
    </row>
    <row r="746" spans="1:9">
      <c r="A746" s="14" t="s">
        <v>7140</v>
      </c>
      <c r="B746" s="15" t="s">
        <v>5</v>
      </c>
      <c r="C746" s="10" t="e">
        <v>#N/A</v>
      </c>
      <c r="D746" s="16" t="s">
        <v>2720</v>
      </c>
      <c r="E746" s="15" t="s">
        <v>11205</v>
      </c>
      <c r="F746" s="16" t="str">
        <f>VLOOKUP(Table8[[#This Row],[Mã khách hàng]],code_khach_hang[],2,0)</f>
        <v>CHI NHÁNH HÀ TĨNH - CÔNG TY CỔ PHẦN DỊCH VỤ THƯƠNG MẠI TỔNG HỢP WINCOMMERCE</v>
      </c>
      <c r="G746" s="16" t="str">
        <f>VLOOKUP(Table8[[#This Row],[Mã khách hàng]],code_khach_hang[],3,0)</f>
        <v>Miền Trung đặc biệt 1</v>
      </c>
      <c r="H746" t="str">
        <f>VLOOKUP(Table8[[#This Row],[Mã khách hàng]],'Khách hàng'!A:D,4,0)</f>
        <v>Food Đức Việt</v>
      </c>
      <c r="I746" t="str">
        <f>VLOOKUP(Table8[[#This Row],[Mã khách hàng]],'Khách hàng'!A:E,5,0)</f>
        <v>HN0040</v>
      </c>
    </row>
    <row r="747" spans="1:9">
      <c r="A747" s="14" t="s">
        <v>9133</v>
      </c>
      <c r="B747" s="15" t="s">
        <v>5</v>
      </c>
      <c r="C747" s="10" t="s">
        <v>9134</v>
      </c>
      <c r="D747" s="16" t="s">
        <v>2723</v>
      </c>
      <c r="E747" s="15" t="s">
        <v>11205</v>
      </c>
      <c r="F747" s="16" t="str">
        <f>VLOOKUP(Table8[[#This Row],[Mã khách hàng]],code_khach_hang[],2,0)</f>
        <v>CHI NHÁNH HÀ TĨNH - CÔNG TY CỔ PHẦN DỊCH VỤ THƯƠNG MẠI TỔNG HỢP WINCOMMERCE</v>
      </c>
      <c r="G747" s="16" t="str">
        <f>VLOOKUP(Table8[[#This Row],[Mã khách hàng]],code_khach_hang[],3,0)</f>
        <v>Miền Trung đặc biệt 1</v>
      </c>
      <c r="H747" t="str">
        <f>VLOOKUP(Table8[[#This Row],[Mã khách hàng]],'Khách hàng'!A:D,4,0)</f>
        <v>Food Đức Việt</v>
      </c>
      <c r="I747" t="str">
        <f>VLOOKUP(Table8[[#This Row],[Mã khách hàng]],'Khách hàng'!A:E,5,0)</f>
        <v>HN0040</v>
      </c>
    </row>
    <row r="748" spans="1:9">
      <c r="A748" s="14" t="s">
        <v>7019</v>
      </c>
      <c r="B748" s="15" t="s">
        <v>5</v>
      </c>
      <c r="C748" s="10" t="e">
        <v>#N/A</v>
      </c>
      <c r="D748" s="16" t="s">
        <v>2726</v>
      </c>
      <c r="E748" s="15" t="s">
        <v>11205</v>
      </c>
      <c r="F748" s="16" t="str">
        <f>VLOOKUP(Table8[[#This Row],[Mã khách hàng]],code_khach_hang[],2,0)</f>
        <v>CHI NHÁNH HÀ TĨNH - CÔNG TY CỔ PHẦN DỊCH VỤ THƯƠNG MẠI TỔNG HỢP WINCOMMERCE</v>
      </c>
      <c r="G748" s="16" t="str">
        <f>VLOOKUP(Table8[[#This Row],[Mã khách hàng]],code_khach_hang[],3,0)</f>
        <v>Miền Trung đặc biệt 1</v>
      </c>
      <c r="H748" t="str">
        <f>VLOOKUP(Table8[[#This Row],[Mã khách hàng]],'Khách hàng'!A:D,4,0)</f>
        <v>Food Đức Việt</v>
      </c>
      <c r="I748" t="str">
        <f>VLOOKUP(Table8[[#This Row],[Mã khách hàng]],'Khách hàng'!A:E,5,0)</f>
        <v>HN0040</v>
      </c>
    </row>
    <row r="749" spans="1:9">
      <c r="A749" s="14" t="s">
        <v>9168</v>
      </c>
      <c r="B749" s="15" t="s">
        <v>5</v>
      </c>
      <c r="C749" s="10" t="s">
        <v>9169</v>
      </c>
      <c r="D749" s="16" t="s">
        <v>2729</v>
      </c>
      <c r="E749" s="15" t="s">
        <v>11205</v>
      </c>
      <c r="F749" s="16" t="str">
        <f>VLOOKUP(Table8[[#This Row],[Mã khách hàng]],code_khach_hang[],2,0)</f>
        <v>CHI NHÁNH HÀ TĨNH - CÔNG TY CỔ PHẦN DỊCH VỤ THƯƠNG MẠI TỔNG HỢP WINCOMMERCE</v>
      </c>
      <c r="G749" s="16" t="str">
        <f>VLOOKUP(Table8[[#This Row],[Mã khách hàng]],code_khach_hang[],3,0)</f>
        <v>Miền Trung đặc biệt 1</v>
      </c>
      <c r="H749" t="str">
        <f>VLOOKUP(Table8[[#This Row],[Mã khách hàng]],'Khách hàng'!A:D,4,0)</f>
        <v>Food Đức Việt</v>
      </c>
      <c r="I749" t="str">
        <f>VLOOKUP(Table8[[#This Row],[Mã khách hàng]],'Khách hàng'!A:E,5,0)</f>
        <v>HN0040</v>
      </c>
    </row>
    <row r="750" spans="1:9">
      <c r="A750" s="14" t="s">
        <v>9136</v>
      </c>
      <c r="B750" s="15" t="s">
        <v>5</v>
      </c>
      <c r="C750" s="10" t="s">
        <v>9137</v>
      </c>
      <c r="D750" s="16" t="s">
        <v>2732</v>
      </c>
      <c r="E750" s="15" t="s">
        <v>11205</v>
      </c>
      <c r="F750" s="16" t="str">
        <f>VLOOKUP(Table8[[#This Row],[Mã khách hàng]],code_khach_hang[],2,0)</f>
        <v>CHI NHÁNH HÀ TĨNH - CÔNG TY CỔ PHẦN DỊCH VỤ THƯƠNG MẠI TỔNG HỢP WINCOMMERCE</v>
      </c>
      <c r="G750" s="16" t="str">
        <f>VLOOKUP(Table8[[#This Row],[Mã khách hàng]],code_khach_hang[],3,0)</f>
        <v>Miền Trung đặc biệt 1</v>
      </c>
      <c r="H750" t="str">
        <f>VLOOKUP(Table8[[#This Row],[Mã khách hàng]],'Khách hàng'!A:D,4,0)</f>
        <v>Food Đức Việt</v>
      </c>
      <c r="I750" t="str">
        <f>VLOOKUP(Table8[[#This Row],[Mã khách hàng]],'Khách hàng'!A:E,5,0)</f>
        <v>HN0040</v>
      </c>
    </row>
    <row r="751" spans="1:9">
      <c r="A751" s="14" t="s">
        <v>7045</v>
      </c>
      <c r="B751" s="15" t="s">
        <v>5</v>
      </c>
      <c r="C751" s="10" t="e">
        <v>#N/A</v>
      </c>
      <c r="D751" s="16" t="s">
        <v>2735</v>
      </c>
      <c r="E751" s="15" t="s">
        <v>11205</v>
      </c>
      <c r="F751" s="16" t="str">
        <f>VLOOKUP(Table8[[#This Row],[Mã khách hàng]],code_khach_hang[],2,0)</f>
        <v>CHI NHÁNH HÀ TĨNH - CÔNG TY CỔ PHẦN DỊCH VỤ THƯƠNG MẠI TỔNG HỢP WINCOMMERCE</v>
      </c>
      <c r="G751" s="16" t="str">
        <f>VLOOKUP(Table8[[#This Row],[Mã khách hàng]],code_khach_hang[],3,0)</f>
        <v>Miền Trung đặc biệt 1</v>
      </c>
      <c r="H751" t="str">
        <f>VLOOKUP(Table8[[#This Row],[Mã khách hàng]],'Khách hàng'!A:D,4,0)</f>
        <v>Food Đức Việt</v>
      </c>
      <c r="I751" t="str">
        <f>VLOOKUP(Table8[[#This Row],[Mã khách hàng]],'Khách hàng'!A:E,5,0)</f>
        <v>HN0040</v>
      </c>
    </row>
    <row r="752" spans="1:9">
      <c r="A752" s="14" t="s">
        <v>9174</v>
      </c>
      <c r="B752" s="15" t="s">
        <v>5</v>
      </c>
      <c r="C752" s="10" t="s">
        <v>9175</v>
      </c>
      <c r="D752" s="16" t="s">
        <v>2738</v>
      </c>
      <c r="E752" s="15" t="s">
        <v>11205</v>
      </c>
      <c r="F752" s="16" t="str">
        <f>VLOOKUP(Table8[[#This Row],[Mã khách hàng]],code_khach_hang[],2,0)</f>
        <v>CHI NHÁNH HÀ TĨNH - CÔNG TY CỔ PHẦN DỊCH VỤ THƯƠNG MẠI TỔNG HỢP WINCOMMERCE</v>
      </c>
      <c r="G752" s="16" t="str">
        <f>VLOOKUP(Table8[[#This Row],[Mã khách hàng]],code_khach_hang[],3,0)</f>
        <v>Miền Trung đặc biệt 1</v>
      </c>
      <c r="H752" t="str">
        <f>VLOOKUP(Table8[[#This Row],[Mã khách hàng]],'Khách hàng'!A:D,4,0)</f>
        <v>Food Đức Việt</v>
      </c>
      <c r="I752" t="str">
        <f>VLOOKUP(Table8[[#This Row],[Mã khách hàng]],'Khách hàng'!A:E,5,0)</f>
        <v>HN0040</v>
      </c>
    </row>
    <row r="753" spans="1:9">
      <c r="A753" s="14" t="s">
        <v>9165</v>
      </c>
      <c r="B753" s="15" t="s">
        <v>5</v>
      </c>
      <c r="C753" s="10" t="s">
        <v>9166</v>
      </c>
      <c r="D753" s="16" t="s">
        <v>2741</v>
      </c>
      <c r="E753" s="15" t="s">
        <v>11205</v>
      </c>
      <c r="F753" s="16" t="str">
        <f>VLOOKUP(Table8[[#This Row],[Mã khách hàng]],code_khach_hang[],2,0)</f>
        <v>CHI NHÁNH HÀ TĨNH - CÔNG TY CỔ PHẦN DỊCH VỤ THƯƠNG MẠI TỔNG HỢP WINCOMMERCE</v>
      </c>
      <c r="G753" s="16" t="str">
        <f>VLOOKUP(Table8[[#This Row],[Mã khách hàng]],code_khach_hang[],3,0)</f>
        <v>Miền Trung đặc biệt 1</v>
      </c>
      <c r="H753" t="str">
        <f>VLOOKUP(Table8[[#This Row],[Mã khách hàng]],'Khách hàng'!A:D,4,0)</f>
        <v>Food Đức Việt</v>
      </c>
      <c r="I753" t="str">
        <f>VLOOKUP(Table8[[#This Row],[Mã khách hàng]],'Khách hàng'!A:E,5,0)</f>
        <v>HN0040</v>
      </c>
    </row>
    <row r="754" spans="1:9">
      <c r="A754" s="14" t="s">
        <v>6148</v>
      </c>
      <c r="B754" s="15" t="s">
        <v>5</v>
      </c>
      <c r="C754" s="10" t="s">
        <v>6149</v>
      </c>
      <c r="D754" s="16" t="s">
        <v>2744</v>
      </c>
      <c r="E754" s="15" t="s">
        <v>11205</v>
      </c>
      <c r="F754" s="16" t="str">
        <f>VLOOKUP(Table8[[#This Row],[Mã khách hàng]],code_khach_hang[],2,0)</f>
        <v>CHI NHÁNH HÀ TĨNH - CÔNG TY CỔ PHẦN DỊCH VỤ THƯƠNG MẠI TỔNG HỢP WINCOMMERCE</v>
      </c>
      <c r="G754" s="16" t="str">
        <f>VLOOKUP(Table8[[#This Row],[Mã khách hàng]],code_khach_hang[],3,0)</f>
        <v>Miền Trung đặc biệt 1</v>
      </c>
      <c r="H754" t="str">
        <f>VLOOKUP(Table8[[#This Row],[Mã khách hàng]],'Khách hàng'!A:D,4,0)</f>
        <v>Food Đức Việt</v>
      </c>
      <c r="I754" t="str">
        <f>VLOOKUP(Table8[[#This Row],[Mã khách hàng]],'Khách hàng'!A:E,5,0)</f>
        <v>HN0040</v>
      </c>
    </row>
    <row r="755" spans="1:9">
      <c r="A755" s="14" t="s">
        <v>9183</v>
      </c>
      <c r="B755" s="15" t="s">
        <v>5</v>
      </c>
      <c r="C755" s="10" t="s">
        <v>9184</v>
      </c>
      <c r="D755" s="16" t="s">
        <v>2747</v>
      </c>
      <c r="E755" s="15" t="s">
        <v>11205</v>
      </c>
      <c r="F755" s="16" t="str">
        <f>VLOOKUP(Table8[[#This Row],[Mã khách hàng]],code_khach_hang[],2,0)</f>
        <v>CHI NHÁNH HÀ TĨNH - CÔNG TY CỔ PHẦN DỊCH VỤ THƯƠNG MẠI TỔNG HỢP WINCOMMERCE</v>
      </c>
      <c r="G755" s="16" t="str">
        <f>VLOOKUP(Table8[[#This Row],[Mã khách hàng]],code_khach_hang[],3,0)</f>
        <v>Miền Trung đặc biệt 1</v>
      </c>
      <c r="H755" t="str">
        <f>VLOOKUP(Table8[[#This Row],[Mã khách hàng]],'Khách hàng'!A:D,4,0)</f>
        <v>Food Đức Việt</v>
      </c>
      <c r="I755" t="str">
        <f>VLOOKUP(Table8[[#This Row],[Mã khách hàng]],'Khách hàng'!A:E,5,0)</f>
        <v>HN0040</v>
      </c>
    </row>
    <row r="756" spans="1:9">
      <c r="A756" s="14" t="s">
        <v>9144</v>
      </c>
      <c r="B756" s="15" t="s">
        <v>5</v>
      </c>
      <c r="C756" s="10" t="s">
        <v>9145</v>
      </c>
      <c r="D756" s="16" t="s">
        <v>2750</v>
      </c>
      <c r="E756" s="15" t="s">
        <v>11205</v>
      </c>
      <c r="F756" s="16" t="str">
        <f>VLOOKUP(Table8[[#This Row],[Mã khách hàng]],code_khach_hang[],2,0)</f>
        <v>CHI NHÁNH HÀ TĨNH - CÔNG TY CỔ PHẦN DỊCH VỤ THƯƠNG MẠI TỔNG HỢP WINCOMMERCE</v>
      </c>
      <c r="G756" s="16" t="str">
        <f>VLOOKUP(Table8[[#This Row],[Mã khách hàng]],code_khach_hang[],3,0)</f>
        <v>Miền Trung đặc biệt 1</v>
      </c>
      <c r="H756" t="str">
        <f>VLOOKUP(Table8[[#This Row],[Mã khách hàng]],'Khách hàng'!A:D,4,0)</f>
        <v>Food Đức Việt</v>
      </c>
      <c r="I756" t="str">
        <f>VLOOKUP(Table8[[#This Row],[Mã khách hàng]],'Khách hàng'!A:E,5,0)</f>
        <v>HN0040</v>
      </c>
    </row>
    <row r="757" spans="1:9">
      <c r="A757" s="14" t="s">
        <v>6327</v>
      </c>
      <c r="B757" s="15" t="s">
        <v>5</v>
      </c>
      <c r="C757" s="10" t="s">
        <v>6328</v>
      </c>
      <c r="D757" s="16" t="s">
        <v>2753</v>
      </c>
      <c r="E757" s="15" t="s">
        <v>11205</v>
      </c>
      <c r="F757" s="16" t="str">
        <f>VLOOKUP(Table8[[#This Row],[Mã khách hàng]],code_khach_hang[],2,0)</f>
        <v>CHI NHÁNH HÀ TĨNH - CÔNG TY CỔ PHẦN DỊCH VỤ THƯƠNG MẠI TỔNG HỢP WINCOMMERCE</v>
      </c>
      <c r="G757" s="16" t="str">
        <f>VLOOKUP(Table8[[#This Row],[Mã khách hàng]],code_khach_hang[],3,0)</f>
        <v>Miền Trung đặc biệt 1</v>
      </c>
      <c r="H757" t="str">
        <f>VLOOKUP(Table8[[#This Row],[Mã khách hàng]],'Khách hàng'!A:D,4,0)</f>
        <v>Food Đức Việt</v>
      </c>
      <c r="I757" t="str">
        <f>VLOOKUP(Table8[[#This Row],[Mã khách hàng]],'Khách hàng'!A:E,5,0)</f>
        <v>HN0040</v>
      </c>
    </row>
    <row r="758" spans="1:9">
      <c r="A758" s="14" t="s">
        <v>9177</v>
      </c>
      <c r="B758" s="15" t="s">
        <v>5</v>
      </c>
      <c r="C758" s="10" t="s">
        <v>9178</v>
      </c>
      <c r="D758" s="16" t="s">
        <v>2755</v>
      </c>
      <c r="E758" s="15" t="s">
        <v>11205</v>
      </c>
      <c r="F758" s="16" t="str">
        <f>VLOOKUP(Table8[[#This Row],[Mã khách hàng]],code_khach_hang[],2,0)</f>
        <v>CHI NHÁNH HÀ TĨNH - CÔNG TY CỔ PHẦN DỊCH VỤ THƯƠNG MẠI TỔNG HỢP WINCOMMERCE</v>
      </c>
      <c r="G758" s="16" t="str">
        <f>VLOOKUP(Table8[[#This Row],[Mã khách hàng]],code_khach_hang[],3,0)</f>
        <v>Miền Trung đặc biệt 1</v>
      </c>
      <c r="H758" t="str">
        <f>VLOOKUP(Table8[[#This Row],[Mã khách hàng]],'Khách hàng'!A:D,4,0)</f>
        <v>Food Đức Việt</v>
      </c>
      <c r="I758" t="str">
        <f>VLOOKUP(Table8[[#This Row],[Mã khách hàng]],'Khách hàng'!A:E,5,0)</f>
        <v>HN0040</v>
      </c>
    </row>
    <row r="759" spans="1:9">
      <c r="A759" s="14" t="s">
        <v>9162</v>
      </c>
      <c r="B759" s="15" t="s">
        <v>5</v>
      </c>
      <c r="C759" s="10" t="s">
        <v>9163</v>
      </c>
      <c r="D759" s="16" t="s">
        <v>2758</v>
      </c>
      <c r="E759" s="15" t="s">
        <v>11205</v>
      </c>
      <c r="F759" s="16" t="str">
        <f>VLOOKUP(Table8[[#This Row],[Mã khách hàng]],code_khach_hang[],2,0)</f>
        <v>CHI NHÁNH HÀ TĨNH - CÔNG TY CỔ PHẦN DỊCH VỤ THƯƠNG MẠI TỔNG HỢP WINCOMMERCE</v>
      </c>
      <c r="G759" s="16" t="str">
        <f>VLOOKUP(Table8[[#This Row],[Mã khách hàng]],code_khach_hang[],3,0)</f>
        <v>Miền Trung đặc biệt 1</v>
      </c>
      <c r="H759" t="str">
        <f>VLOOKUP(Table8[[#This Row],[Mã khách hàng]],'Khách hàng'!A:D,4,0)</f>
        <v>Food Đức Việt</v>
      </c>
      <c r="I759" t="str">
        <f>VLOOKUP(Table8[[#This Row],[Mã khách hàng]],'Khách hàng'!A:E,5,0)</f>
        <v>HN0040</v>
      </c>
    </row>
    <row r="760" spans="1:9">
      <c r="A760" s="14" t="s">
        <v>6411</v>
      </c>
      <c r="B760" s="15" t="s">
        <v>5</v>
      </c>
      <c r="C760" s="10" t="e">
        <v>#N/A</v>
      </c>
      <c r="D760" s="16" t="s">
        <v>2761</v>
      </c>
      <c r="E760" s="15" t="s">
        <v>11205</v>
      </c>
      <c r="F760" s="16" t="str">
        <f>VLOOKUP(Table8[[#This Row],[Mã khách hàng]],code_khach_hang[],2,0)</f>
        <v>CHI NHÁNH HÀ TĨNH - CÔNG TY CỔ PHẦN DỊCH VỤ THƯƠNG MẠI TỔNG HỢP WINCOMMERCE</v>
      </c>
      <c r="G760" s="16" t="str">
        <f>VLOOKUP(Table8[[#This Row],[Mã khách hàng]],code_khach_hang[],3,0)</f>
        <v>Miền Trung đặc biệt 1</v>
      </c>
      <c r="H760" t="str">
        <f>VLOOKUP(Table8[[#This Row],[Mã khách hàng]],'Khách hàng'!A:D,4,0)</f>
        <v>Food Đức Việt</v>
      </c>
      <c r="I760" t="str">
        <f>VLOOKUP(Table8[[#This Row],[Mã khách hàng]],'Khách hàng'!A:E,5,0)</f>
        <v>HN0040</v>
      </c>
    </row>
    <row r="761" spans="1:9">
      <c r="A761" s="14" t="s">
        <v>9147</v>
      </c>
      <c r="B761" s="15" t="s">
        <v>5</v>
      </c>
      <c r="C761" s="10" t="s">
        <v>9148</v>
      </c>
      <c r="D761" s="16" t="s">
        <v>2764</v>
      </c>
      <c r="E761" s="15" t="s">
        <v>11205</v>
      </c>
      <c r="F761" s="16" t="str">
        <f>VLOOKUP(Table8[[#This Row],[Mã khách hàng]],code_khach_hang[],2,0)</f>
        <v>CHI NHÁNH HÀ TĨNH - CÔNG TY CỔ PHẦN DỊCH VỤ THƯƠNG MẠI TỔNG HỢP WINCOMMERCE</v>
      </c>
      <c r="G761" s="16" t="str">
        <f>VLOOKUP(Table8[[#This Row],[Mã khách hàng]],code_khach_hang[],3,0)</f>
        <v>Miền Trung đặc biệt 1</v>
      </c>
      <c r="H761" t="str">
        <f>VLOOKUP(Table8[[#This Row],[Mã khách hàng]],'Khách hàng'!A:D,4,0)</f>
        <v>Food Đức Việt</v>
      </c>
      <c r="I761" t="str">
        <f>VLOOKUP(Table8[[#This Row],[Mã khách hàng]],'Khách hàng'!A:E,5,0)</f>
        <v>HN0040</v>
      </c>
    </row>
    <row r="762" spans="1:9">
      <c r="A762" s="14" t="s">
        <v>9325</v>
      </c>
      <c r="B762" s="15" t="s">
        <v>5</v>
      </c>
      <c r="C762" s="10" t="s">
        <v>9326</v>
      </c>
      <c r="D762" s="16" t="s">
        <v>2767</v>
      </c>
      <c r="E762" s="15" t="s">
        <v>11205</v>
      </c>
      <c r="F762" s="16" t="str">
        <f>VLOOKUP(Table8[[#This Row],[Mã khách hàng]],code_khach_hang[],2,0)</f>
        <v>CHI NHÁNH HÀ TĨNH - CÔNG TY CỔ PHẦN DỊCH VỤ THƯƠNG MẠI TỔNG HỢP WINCOMMERCE</v>
      </c>
      <c r="G762" s="16" t="str">
        <f>VLOOKUP(Table8[[#This Row],[Mã khách hàng]],code_khach_hang[],3,0)</f>
        <v>Miền Trung đặc biệt 1</v>
      </c>
      <c r="H762" t="str">
        <f>VLOOKUP(Table8[[#This Row],[Mã khách hàng]],'Khách hàng'!A:D,4,0)</f>
        <v>Food Đức Việt</v>
      </c>
      <c r="I762" t="str">
        <f>VLOOKUP(Table8[[#This Row],[Mã khách hàng]],'Khách hàng'!A:E,5,0)</f>
        <v>HN0040</v>
      </c>
    </row>
    <row r="763" spans="1:9">
      <c r="A763" s="14" t="s">
        <v>7975</v>
      </c>
      <c r="B763" s="15" t="s">
        <v>5</v>
      </c>
      <c r="C763" s="10" t="s">
        <v>7976</v>
      </c>
      <c r="D763" s="16" t="s">
        <v>2770</v>
      </c>
      <c r="E763" s="15" t="s">
        <v>11205</v>
      </c>
      <c r="F763" s="16" t="str">
        <f>VLOOKUP(Table8[[#This Row],[Mã khách hàng]],code_khach_hang[],2,0)</f>
        <v>CHI NHÁNH HÀ TĨNH - CÔNG TY CỔ PHẦN DỊCH VỤ THƯƠNG MẠI TỔNG HỢP WINCOMMERCE</v>
      </c>
      <c r="G763" s="16" t="str">
        <f>VLOOKUP(Table8[[#This Row],[Mã khách hàng]],code_khach_hang[],3,0)</f>
        <v>Miền Trung đặc biệt 1</v>
      </c>
      <c r="H763" t="str">
        <f>VLOOKUP(Table8[[#This Row],[Mã khách hàng]],'Khách hàng'!A:D,4,0)</f>
        <v>Food Đức Việt</v>
      </c>
      <c r="I763" t="str">
        <f>VLOOKUP(Table8[[#This Row],[Mã khách hàng]],'Khách hàng'!A:E,5,0)</f>
        <v>HN0040</v>
      </c>
    </row>
    <row r="764" spans="1:9">
      <c r="A764" s="14" t="s">
        <v>7897</v>
      </c>
      <c r="B764" s="15" t="s">
        <v>5</v>
      </c>
      <c r="C764" s="10" t="s">
        <v>7898</v>
      </c>
      <c r="D764" s="16" t="s">
        <v>2773</v>
      </c>
      <c r="E764" s="15" t="s">
        <v>11205</v>
      </c>
      <c r="F764" s="16" t="str">
        <f>VLOOKUP(Table8[[#This Row],[Mã khách hàng]],code_khach_hang[],2,0)</f>
        <v>CHI NHÁNH HÀ TĨNH - CÔNG TY CỔ PHẦN DỊCH VỤ THƯƠNG MẠI TỔNG HỢP WINCOMMERCE</v>
      </c>
      <c r="G764" s="16" t="str">
        <f>VLOOKUP(Table8[[#This Row],[Mã khách hàng]],code_khach_hang[],3,0)</f>
        <v>Miền Trung đặc biệt 1</v>
      </c>
      <c r="H764" t="str">
        <f>VLOOKUP(Table8[[#This Row],[Mã khách hàng]],'Khách hàng'!A:D,4,0)</f>
        <v>Food Đức Việt</v>
      </c>
      <c r="I764" t="str">
        <f>VLOOKUP(Table8[[#This Row],[Mã khách hàng]],'Khách hàng'!A:E,5,0)</f>
        <v>HN0040</v>
      </c>
    </row>
    <row r="765" spans="1:9">
      <c r="A765" s="14" t="s">
        <v>9156</v>
      </c>
      <c r="B765" s="15" t="s">
        <v>5</v>
      </c>
      <c r="C765" s="10" t="s">
        <v>9157</v>
      </c>
      <c r="D765" s="16" t="s">
        <v>2776</v>
      </c>
      <c r="E765" s="15" t="s">
        <v>11205</v>
      </c>
      <c r="F765" s="16" t="str">
        <f>VLOOKUP(Table8[[#This Row],[Mã khách hàng]],code_khach_hang[],2,0)</f>
        <v>CHI NHÁNH HÀ TĨNH - CÔNG TY CỔ PHẦN DỊCH VỤ THƯƠNG MẠI TỔNG HỢP WINCOMMERCE</v>
      </c>
      <c r="G765" s="16" t="str">
        <f>VLOOKUP(Table8[[#This Row],[Mã khách hàng]],code_khach_hang[],3,0)</f>
        <v>Miền Trung đặc biệt 1</v>
      </c>
      <c r="H765" t="str">
        <f>VLOOKUP(Table8[[#This Row],[Mã khách hàng]],'Khách hàng'!A:D,4,0)</f>
        <v>Food Đức Việt</v>
      </c>
      <c r="I765" t="str">
        <f>VLOOKUP(Table8[[#This Row],[Mã khách hàng]],'Khách hàng'!A:E,5,0)</f>
        <v>HN0040</v>
      </c>
    </row>
    <row r="766" spans="1:9">
      <c r="A766" s="14" t="s">
        <v>8121</v>
      </c>
      <c r="B766" s="15" t="s">
        <v>5</v>
      </c>
      <c r="C766" s="10" t="s">
        <v>8122</v>
      </c>
      <c r="D766" s="16" t="s">
        <v>2779</v>
      </c>
      <c r="E766" s="15" t="s">
        <v>11205</v>
      </c>
      <c r="F766" s="16" t="str">
        <f>VLOOKUP(Table8[[#This Row],[Mã khách hàng]],code_khach_hang[],2,0)</f>
        <v>CHI NHÁNH HÀ TĨNH - CÔNG TY CỔ PHẦN DỊCH VỤ THƯƠNG MẠI TỔNG HỢP WINCOMMERCE</v>
      </c>
      <c r="G766" s="16" t="str">
        <f>VLOOKUP(Table8[[#This Row],[Mã khách hàng]],code_khach_hang[],3,0)</f>
        <v>Miền Trung đặc biệt 1</v>
      </c>
      <c r="H766" t="str">
        <f>VLOOKUP(Table8[[#This Row],[Mã khách hàng]],'Khách hàng'!A:D,4,0)</f>
        <v>Food Đức Việt</v>
      </c>
      <c r="I766" t="str">
        <f>VLOOKUP(Table8[[#This Row],[Mã khách hàng]],'Khách hàng'!A:E,5,0)</f>
        <v>HN0040</v>
      </c>
    </row>
    <row r="767" spans="1:9">
      <c r="A767" s="14" t="s">
        <v>9171</v>
      </c>
      <c r="B767" s="15" t="s">
        <v>5</v>
      </c>
      <c r="C767" s="10" t="s">
        <v>9172</v>
      </c>
      <c r="D767" s="16" t="s">
        <v>2782</v>
      </c>
      <c r="E767" s="15" t="s">
        <v>11205</v>
      </c>
      <c r="F767" s="16" t="str">
        <f>VLOOKUP(Table8[[#This Row],[Mã khách hàng]],code_khach_hang[],2,0)</f>
        <v>CHI NHÁNH HÀ TĨNH - CÔNG TY CỔ PHẦN DỊCH VỤ THƯƠNG MẠI TỔNG HỢP WINCOMMERCE</v>
      </c>
      <c r="G767" s="16" t="str">
        <f>VLOOKUP(Table8[[#This Row],[Mã khách hàng]],code_khach_hang[],3,0)</f>
        <v>Miền Trung đặc biệt 1</v>
      </c>
      <c r="H767" t="str">
        <f>VLOOKUP(Table8[[#This Row],[Mã khách hàng]],'Khách hàng'!A:D,4,0)</f>
        <v>Food Đức Việt</v>
      </c>
      <c r="I767" t="str">
        <f>VLOOKUP(Table8[[#This Row],[Mã khách hàng]],'Khách hàng'!A:E,5,0)</f>
        <v>HN0040</v>
      </c>
    </row>
    <row r="768" spans="1:9">
      <c r="A768" s="14" t="s">
        <v>8184</v>
      </c>
      <c r="B768" s="15" t="s">
        <v>5</v>
      </c>
      <c r="C768" s="10" t="s">
        <v>8185</v>
      </c>
      <c r="D768" s="16" t="s">
        <v>2785</v>
      </c>
      <c r="E768" s="15" t="s">
        <v>11205</v>
      </c>
      <c r="F768" s="16" t="str">
        <f>VLOOKUP(Table8[[#This Row],[Mã khách hàng]],code_khach_hang[],2,0)</f>
        <v>CHI NHÁNH HÀ TĨNH - CÔNG TY CỔ PHẦN DỊCH VỤ THƯƠNG MẠI TỔNG HỢP WINCOMMERCE</v>
      </c>
      <c r="G768" s="16" t="str">
        <f>VLOOKUP(Table8[[#This Row],[Mã khách hàng]],code_khach_hang[],3,0)</f>
        <v>Miền Trung đặc biệt 1</v>
      </c>
      <c r="H768" t="str">
        <f>VLOOKUP(Table8[[#This Row],[Mã khách hàng]],'Khách hàng'!A:D,4,0)</f>
        <v>Food Đức Việt</v>
      </c>
      <c r="I768" t="str">
        <f>VLOOKUP(Table8[[#This Row],[Mã khách hàng]],'Khách hàng'!A:E,5,0)</f>
        <v>HN0040</v>
      </c>
    </row>
    <row r="769" spans="1:9">
      <c r="A769" s="14" t="s">
        <v>8213</v>
      </c>
      <c r="B769" s="15" t="s">
        <v>5</v>
      </c>
      <c r="C769" s="10" t="e">
        <v>#N/A</v>
      </c>
      <c r="D769" s="16" t="s">
        <v>2788</v>
      </c>
      <c r="E769" s="15" t="s">
        <v>11205</v>
      </c>
      <c r="F769" s="16" t="str">
        <f>VLOOKUP(Table8[[#This Row],[Mã khách hàng]],code_khach_hang[],2,0)</f>
        <v>CHI NHÁNH HÀ TĨNH - CÔNG TY CỔ PHẦN DỊCH VỤ THƯƠNG MẠI TỔNG HỢP WINCOMMERCE</v>
      </c>
      <c r="G769" s="16" t="str">
        <f>VLOOKUP(Table8[[#This Row],[Mã khách hàng]],code_khach_hang[],3,0)</f>
        <v>Miền Trung đặc biệt 1</v>
      </c>
      <c r="H769" t="str">
        <f>VLOOKUP(Table8[[#This Row],[Mã khách hàng]],'Khách hàng'!A:D,4,0)</f>
        <v>Food Đức Việt</v>
      </c>
      <c r="I769" t="str">
        <f>VLOOKUP(Table8[[#This Row],[Mã khách hàng]],'Khách hàng'!A:E,5,0)</f>
        <v>HN0040</v>
      </c>
    </row>
    <row r="770" spans="1:9">
      <c r="A770" s="14" t="s">
        <v>9180</v>
      </c>
      <c r="B770" s="15" t="s">
        <v>5</v>
      </c>
      <c r="C770" s="10" t="s">
        <v>9181</v>
      </c>
      <c r="D770" s="16" t="s">
        <v>2791</v>
      </c>
      <c r="E770" s="15" t="s">
        <v>11205</v>
      </c>
      <c r="F770" s="16" t="str">
        <f>VLOOKUP(Table8[[#This Row],[Mã khách hàng]],code_khach_hang[],2,0)</f>
        <v>CHI NHÁNH HÀ TĨNH - CÔNG TY CỔ PHẦN DỊCH VỤ THƯƠNG MẠI TỔNG HỢP WINCOMMERCE</v>
      </c>
      <c r="G770" s="16" t="str">
        <f>VLOOKUP(Table8[[#This Row],[Mã khách hàng]],code_khach_hang[],3,0)</f>
        <v>Miền Trung đặc biệt 1</v>
      </c>
      <c r="H770" t="str">
        <f>VLOOKUP(Table8[[#This Row],[Mã khách hàng]],'Khách hàng'!A:D,4,0)</f>
        <v>Food Đức Việt</v>
      </c>
      <c r="I770" t="str">
        <f>VLOOKUP(Table8[[#This Row],[Mã khách hàng]],'Khách hàng'!A:E,5,0)</f>
        <v>HN0040</v>
      </c>
    </row>
    <row r="771" spans="1:9">
      <c r="A771" s="14" t="s">
        <v>8289</v>
      </c>
      <c r="B771" s="15" t="s">
        <v>5</v>
      </c>
      <c r="C771" s="10" t="s">
        <v>8290</v>
      </c>
      <c r="D771" s="16" t="s">
        <v>2794</v>
      </c>
      <c r="E771" s="15" t="s">
        <v>11205</v>
      </c>
      <c r="F771" s="16" t="str">
        <f>VLOOKUP(Table8[[#This Row],[Mã khách hàng]],code_khach_hang[],2,0)</f>
        <v>CHI NHÁNH HÀ TĨNH - CÔNG TY CỔ PHẦN DỊCH VỤ THƯƠNG MẠI TỔNG HỢP WINCOMMERCE</v>
      </c>
      <c r="G771" s="16" t="str">
        <f>VLOOKUP(Table8[[#This Row],[Mã khách hàng]],code_khach_hang[],3,0)</f>
        <v>Miền Trung đặc biệt 1</v>
      </c>
      <c r="H771" t="str">
        <f>VLOOKUP(Table8[[#This Row],[Mã khách hàng]],'Khách hàng'!A:D,4,0)</f>
        <v>Food Đức Việt</v>
      </c>
      <c r="I771" t="str">
        <f>VLOOKUP(Table8[[#This Row],[Mã khách hàng]],'Khách hàng'!A:E,5,0)</f>
        <v>HN0040</v>
      </c>
    </row>
    <row r="772" spans="1:9">
      <c r="A772" s="14" t="s">
        <v>8463</v>
      </c>
      <c r="B772" s="15" t="s">
        <v>5</v>
      </c>
      <c r="C772" s="10" t="s">
        <v>8464</v>
      </c>
      <c r="D772" s="16" t="s">
        <v>2797</v>
      </c>
      <c r="E772" s="15" t="s">
        <v>11205</v>
      </c>
      <c r="F772" s="16" t="str">
        <f>VLOOKUP(Table8[[#This Row],[Mã khách hàng]],code_khach_hang[],2,0)</f>
        <v>CHI NHÁNH HÀ TĨNH - CÔNG TY CỔ PHẦN DỊCH VỤ THƯƠNG MẠI TỔNG HỢP WINCOMMERCE</v>
      </c>
      <c r="G772" s="16" t="str">
        <f>VLOOKUP(Table8[[#This Row],[Mã khách hàng]],code_khach_hang[],3,0)</f>
        <v>Miền Trung đặc biệt 1</v>
      </c>
      <c r="H772" t="str">
        <f>VLOOKUP(Table8[[#This Row],[Mã khách hàng]],'Khách hàng'!A:D,4,0)</f>
        <v>Food Đức Việt</v>
      </c>
      <c r="I772" t="str">
        <f>VLOOKUP(Table8[[#This Row],[Mã khách hàng]],'Khách hàng'!A:E,5,0)</f>
        <v>HN0040</v>
      </c>
    </row>
    <row r="773" spans="1:9">
      <c r="A773" s="14" t="s">
        <v>8469</v>
      </c>
      <c r="B773" s="15" t="s">
        <v>5</v>
      </c>
      <c r="C773" s="10" t="e">
        <v>#N/A</v>
      </c>
      <c r="D773" s="16" t="s">
        <v>2800</v>
      </c>
      <c r="E773" s="15" t="s">
        <v>11205</v>
      </c>
      <c r="F773" s="16" t="str">
        <f>VLOOKUP(Table8[[#This Row],[Mã khách hàng]],code_khach_hang[],2,0)</f>
        <v>CHI NHÁNH HÀ TĨNH - CÔNG TY CỔ PHẦN DỊCH VỤ THƯƠNG MẠI TỔNG HỢP WINCOMMERCE</v>
      </c>
      <c r="G773" s="16" t="str">
        <f>VLOOKUP(Table8[[#This Row],[Mã khách hàng]],code_khach_hang[],3,0)</f>
        <v>Miền Trung đặc biệt 1</v>
      </c>
      <c r="H773" t="str">
        <f>VLOOKUP(Table8[[#This Row],[Mã khách hàng]],'Khách hàng'!A:D,4,0)</f>
        <v>Food Đức Việt</v>
      </c>
      <c r="I773" t="str">
        <f>VLOOKUP(Table8[[#This Row],[Mã khách hàng]],'Khách hàng'!A:E,5,0)</f>
        <v>HN0040</v>
      </c>
    </row>
    <row r="774" spans="1:9">
      <c r="A774" s="14" t="s">
        <v>8466</v>
      </c>
      <c r="B774" s="15" t="s">
        <v>5</v>
      </c>
      <c r="C774" s="10" t="s">
        <v>8467</v>
      </c>
      <c r="D774" s="16" t="s">
        <v>2803</v>
      </c>
      <c r="E774" s="15" t="s">
        <v>11205</v>
      </c>
      <c r="F774" s="16" t="str">
        <f>VLOOKUP(Table8[[#This Row],[Mã khách hàng]],code_khach_hang[],2,0)</f>
        <v>CHI NHÁNH HÀ TĨNH - CÔNG TY CỔ PHẦN DỊCH VỤ THƯƠNG MẠI TỔNG HỢP WINCOMMERCE</v>
      </c>
      <c r="G774" s="16" t="str">
        <f>VLOOKUP(Table8[[#This Row],[Mã khách hàng]],code_khach_hang[],3,0)</f>
        <v>Miền Trung đặc biệt 1</v>
      </c>
      <c r="H774" t="str">
        <f>VLOOKUP(Table8[[#This Row],[Mã khách hàng]],'Khách hàng'!A:D,4,0)</f>
        <v>Food Đức Việt</v>
      </c>
      <c r="I774" t="str">
        <f>VLOOKUP(Table8[[#This Row],[Mã khách hàng]],'Khách hàng'!A:E,5,0)</f>
        <v>HN0040</v>
      </c>
    </row>
    <row r="775" spans="1:9">
      <c r="A775" s="14" t="s">
        <v>8402</v>
      </c>
      <c r="B775" s="15" t="s">
        <v>5</v>
      </c>
      <c r="C775" s="10" t="e">
        <v>#N/A</v>
      </c>
      <c r="D775" s="16" t="s">
        <v>2806</v>
      </c>
      <c r="E775" s="15" t="s">
        <v>11205</v>
      </c>
      <c r="F775" s="16" t="str">
        <f>VLOOKUP(Table8[[#This Row],[Mã khách hàng]],code_khach_hang[],2,0)</f>
        <v>CHI NHÁNH HÀ TĨNH - CÔNG TY CỔ PHẦN DỊCH VỤ THƯƠNG MẠI TỔNG HỢP WINCOMMERCE</v>
      </c>
      <c r="G775" s="16" t="str">
        <f>VLOOKUP(Table8[[#This Row],[Mã khách hàng]],code_khach_hang[],3,0)</f>
        <v>Miền Trung đặc biệt 1</v>
      </c>
      <c r="H775" t="str">
        <f>VLOOKUP(Table8[[#This Row],[Mã khách hàng]],'Khách hàng'!A:D,4,0)</f>
        <v>Food Đức Việt</v>
      </c>
      <c r="I775" t="str">
        <f>VLOOKUP(Table8[[#This Row],[Mã khách hàng]],'Khách hàng'!A:E,5,0)</f>
        <v>HN0040</v>
      </c>
    </row>
    <row r="776" spans="1:9">
      <c r="A776" s="14" t="s">
        <v>9186</v>
      </c>
      <c r="B776" s="15" t="s">
        <v>5</v>
      </c>
      <c r="C776" s="10" t="s">
        <v>9187</v>
      </c>
      <c r="D776" s="16" t="s">
        <v>2809</v>
      </c>
      <c r="E776" s="15" t="s">
        <v>11205</v>
      </c>
      <c r="F776" s="16" t="str">
        <f>VLOOKUP(Table8[[#This Row],[Mã khách hàng]],code_khach_hang[],2,0)</f>
        <v>CHI NHÁNH HÀ TĨNH - CÔNG TY CỔ PHẦN DỊCH VỤ THƯƠNG MẠI TỔNG HỢP WINCOMMERCE</v>
      </c>
      <c r="G776" s="16" t="str">
        <f>VLOOKUP(Table8[[#This Row],[Mã khách hàng]],code_khach_hang[],3,0)</f>
        <v>Miền Trung đặc biệt 1</v>
      </c>
      <c r="H776" t="str">
        <f>VLOOKUP(Table8[[#This Row],[Mã khách hàng]],'Khách hàng'!A:D,4,0)</f>
        <v>Food Đức Việt</v>
      </c>
      <c r="I776" t="str">
        <f>VLOOKUP(Table8[[#This Row],[Mã khách hàng]],'Khách hàng'!A:E,5,0)</f>
        <v>HN0040</v>
      </c>
    </row>
    <row r="777" spans="1:9">
      <c r="A777" s="14" t="s">
        <v>8425</v>
      </c>
      <c r="B777" s="15" t="s">
        <v>5</v>
      </c>
      <c r="C777" s="10" t="s">
        <v>8426</v>
      </c>
      <c r="D777" s="16" t="s">
        <v>2812</v>
      </c>
      <c r="E777" s="15" t="s">
        <v>11205</v>
      </c>
      <c r="F777" s="16" t="str">
        <f>VLOOKUP(Table8[[#This Row],[Mã khách hàng]],code_khach_hang[],2,0)</f>
        <v>CHI NHÁNH HÀ TĨNH - CÔNG TY CỔ PHẦN DỊCH VỤ THƯƠNG MẠI TỔNG HỢP WINCOMMERCE</v>
      </c>
      <c r="G777" s="16" t="str">
        <f>VLOOKUP(Table8[[#This Row],[Mã khách hàng]],code_khach_hang[],3,0)</f>
        <v>Miền Trung đặc biệt 1</v>
      </c>
      <c r="H777" t="str">
        <f>VLOOKUP(Table8[[#This Row],[Mã khách hàng]],'Khách hàng'!A:D,4,0)</f>
        <v>Food Đức Việt</v>
      </c>
      <c r="I777" t="str">
        <f>VLOOKUP(Table8[[#This Row],[Mã khách hàng]],'Khách hàng'!A:E,5,0)</f>
        <v>HN0040</v>
      </c>
    </row>
    <row r="778" spans="1:9">
      <c r="A778" s="14" t="s">
        <v>8806</v>
      </c>
      <c r="B778" s="15" t="s">
        <v>5</v>
      </c>
      <c r="C778" s="10" t="s">
        <v>8807</v>
      </c>
      <c r="D778" s="16" t="s">
        <v>2815</v>
      </c>
      <c r="E778" s="15" t="s">
        <v>11205</v>
      </c>
      <c r="F778" s="16" t="str">
        <f>VLOOKUP(Table8[[#This Row],[Mã khách hàng]],code_khach_hang[],2,0)</f>
        <v>CHI NHÁNH HÀ TĨNH - CÔNG TY CỔ PHẦN DỊCH VỤ THƯƠNG MẠI TỔNG HỢP WINCOMMERCE</v>
      </c>
      <c r="G778" s="16" t="str">
        <f>VLOOKUP(Table8[[#This Row],[Mã khách hàng]],code_khach_hang[],3,0)</f>
        <v>Miền Trung đặc biệt 1</v>
      </c>
      <c r="H778" t="str">
        <f>VLOOKUP(Table8[[#This Row],[Mã khách hàng]],'Khách hàng'!A:D,4,0)</f>
        <v>Food Đức Việt</v>
      </c>
      <c r="I778" t="str">
        <f>VLOOKUP(Table8[[#This Row],[Mã khách hàng]],'Khách hàng'!A:E,5,0)</f>
        <v>HN0040</v>
      </c>
    </row>
    <row r="779" spans="1:9">
      <c r="A779" s="14" t="s">
        <v>6160</v>
      </c>
      <c r="B779" s="15" t="s">
        <v>5</v>
      </c>
      <c r="C779" s="10" t="s">
        <v>6161</v>
      </c>
      <c r="D779" s="16" t="s">
        <v>2818</v>
      </c>
      <c r="E779" s="15" t="s">
        <v>11209</v>
      </c>
      <c r="F779" s="16" t="str">
        <f>VLOOKUP(Table8[[#This Row],[Mã khách hàng]],code_khach_hang[],2,0)</f>
        <v>CHI NHÁNH QUẢNG BÌNH - CÔNG TY CỔ PHẦN DỊCH VỤ THƯƠNG MẠI TỔNG HỢP WINCOMMERCE</v>
      </c>
      <c r="G779" s="16" t="str">
        <f>VLOOKUP(Table8[[#This Row],[Mã khách hàng]],code_khach_hang[],3,0)</f>
        <v>Miền Trung đặc biệt 1</v>
      </c>
      <c r="H779" t="str">
        <f>VLOOKUP(Table8[[#This Row],[Mã khách hàng]],'Khách hàng'!A:D,4,0)</f>
        <v>Food Đức Việt</v>
      </c>
      <c r="I779" t="str">
        <f>VLOOKUP(Table8[[#This Row],[Mã khách hàng]],'Khách hàng'!A:E,5,0)</f>
        <v>HN0040</v>
      </c>
    </row>
    <row r="780" spans="1:9">
      <c r="A780" s="14" t="s">
        <v>8656</v>
      </c>
      <c r="B780" s="15" t="s">
        <v>5</v>
      </c>
      <c r="C780" s="10" t="s">
        <v>8657</v>
      </c>
      <c r="D780" s="16" t="s">
        <v>2821</v>
      </c>
      <c r="E780" s="15" t="s">
        <v>11205</v>
      </c>
      <c r="F780" s="16" t="str">
        <f>VLOOKUP(Table8[[#This Row],[Mã khách hàng]],code_khach_hang[],2,0)</f>
        <v>CHI NHÁNH HÀ TĨNH - CÔNG TY CỔ PHẦN DỊCH VỤ THƯƠNG MẠI TỔNG HỢP WINCOMMERCE</v>
      </c>
      <c r="G780" s="16" t="str">
        <f>VLOOKUP(Table8[[#This Row],[Mã khách hàng]],code_khach_hang[],3,0)</f>
        <v>Miền Trung đặc biệt 1</v>
      </c>
      <c r="H780" t="str">
        <f>VLOOKUP(Table8[[#This Row],[Mã khách hàng]],'Khách hàng'!A:D,4,0)</f>
        <v>Food Đức Việt</v>
      </c>
      <c r="I780" t="str">
        <f>VLOOKUP(Table8[[#This Row],[Mã khách hàng]],'Khách hàng'!A:E,5,0)</f>
        <v>HN0040</v>
      </c>
    </row>
    <row r="781" spans="1:9">
      <c r="A781" s="14" t="s">
        <v>8631</v>
      </c>
      <c r="B781" s="15" t="s">
        <v>5</v>
      </c>
      <c r="C781" s="10" t="e">
        <v>#N/A</v>
      </c>
      <c r="D781" s="16" t="s">
        <v>2824</v>
      </c>
      <c r="E781" s="15" t="s">
        <v>11205</v>
      </c>
      <c r="F781" s="16" t="str">
        <f>VLOOKUP(Table8[[#This Row],[Mã khách hàng]],code_khach_hang[],2,0)</f>
        <v>CHI NHÁNH HÀ TĨNH - CÔNG TY CỔ PHẦN DỊCH VỤ THƯƠNG MẠI TỔNG HỢP WINCOMMERCE</v>
      </c>
      <c r="G781" s="16" t="str">
        <f>VLOOKUP(Table8[[#This Row],[Mã khách hàng]],code_khach_hang[],3,0)</f>
        <v>Miền Trung đặc biệt 1</v>
      </c>
      <c r="H781" t="str">
        <f>VLOOKUP(Table8[[#This Row],[Mã khách hàng]],'Khách hàng'!A:D,4,0)</f>
        <v>Food Đức Việt</v>
      </c>
      <c r="I781" t="str">
        <f>VLOOKUP(Table8[[#This Row],[Mã khách hàng]],'Khách hàng'!A:E,5,0)</f>
        <v>HN0040</v>
      </c>
    </row>
    <row r="782" spans="1:9">
      <c r="A782" s="14" t="s">
        <v>702</v>
      </c>
      <c r="B782" s="15" t="s">
        <v>183</v>
      </c>
      <c r="C782" s="10" t="s">
        <v>703</v>
      </c>
      <c r="D782" s="16" t="s">
        <v>2827</v>
      </c>
      <c r="E782" s="15" t="s">
        <v>11205</v>
      </c>
      <c r="F782" s="16" t="str">
        <f>VLOOKUP(Table8[[#This Row],[Mã khách hàng]],code_khach_hang[],2,0)</f>
        <v>CHI NHÁNH HÀ TĨNH - CÔNG TY CỔ PHẦN DỊCH VỤ THƯƠNG MẠI TỔNG HỢP WINCOMMERCE</v>
      </c>
      <c r="G782" s="16" t="str">
        <f>VLOOKUP(Table8[[#This Row],[Mã khách hàng]],code_khach_hang[],3,0)</f>
        <v>Miền Trung đặc biệt 1</v>
      </c>
      <c r="H782" t="str">
        <f>VLOOKUP(Table8[[#This Row],[Mã khách hàng]],'Khách hàng'!A:D,4,0)</f>
        <v>Food Đức Việt</v>
      </c>
      <c r="I782" t="str">
        <f>VLOOKUP(Table8[[#This Row],[Mã khách hàng]],'Khách hàng'!A:E,5,0)</f>
        <v>HN0040</v>
      </c>
    </row>
    <row r="783" spans="1:9">
      <c r="A783" s="14" t="s">
        <v>679</v>
      </c>
      <c r="B783" s="15" t="s">
        <v>183</v>
      </c>
      <c r="C783" s="10" t="s">
        <v>13149</v>
      </c>
      <c r="D783" s="16" t="s">
        <v>2830</v>
      </c>
      <c r="E783" s="15" t="s">
        <v>11205</v>
      </c>
      <c r="F783" s="16" t="str">
        <f>VLOOKUP(Table8[[#This Row],[Mã khách hàng]],code_khach_hang[],2,0)</f>
        <v>CHI NHÁNH HÀ TĨNH - CÔNG TY CỔ PHẦN DỊCH VỤ THƯƠNG MẠI TỔNG HỢP WINCOMMERCE</v>
      </c>
      <c r="G783" s="16" t="str">
        <f>VLOOKUP(Table8[[#This Row],[Mã khách hàng]],code_khach_hang[],3,0)</f>
        <v>Miền Trung đặc biệt 1</v>
      </c>
      <c r="H783" t="str">
        <f>VLOOKUP(Table8[[#This Row],[Mã khách hàng]],'Khách hàng'!A:D,4,0)</f>
        <v>Food Đức Việt</v>
      </c>
      <c r="I783" t="str">
        <f>VLOOKUP(Table8[[#This Row],[Mã khách hàng]],'Khách hàng'!A:E,5,0)</f>
        <v>HN0040</v>
      </c>
    </row>
    <row r="784" spans="1:9">
      <c r="A784" s="14" t="s">
        <v>693</v>
      </c>
      <c r="B784" s="15" t="s">
        <v>183</v>
      </c>
      <c r="C784" s="10" t="s">
        <v>694</v>
      </c>
      <c r="D784" s="16" t="s">
        <v>2833</v>
      </c>
      <c r="E784" s="15" t="s">
        <v>11209</v>
      </c>
      <c r="F784" s="16" t="str">
        <f>VLOOKUP(Table8[[#This Row],[Mã khách hàng]],code_khach_hang[],2,0)</f>
        <v>CHI NHÁNH QUẢNG BÌNH - CÔNG TY CỔ PHẦN DỊCH VỤ THƯƠNG MẠI TỔNG HỢP WINCOMMERCE</v>
      </c>
      <c r="G784" s="16" t="str">
        <f>VLOOKUP(Table8[[#This Row],[Mã khách hàng]],code_khach_hang[],3,0)</f>
        <v>Miền Trung đặc biệt 1</v>
      </c>
      <c r="H784" t="str">
        <f>VLOOKUP(Table8[[#This Row],[Mã khách hàng]],'Khách hàng'!A:D,4,0)</f>
        <v>Food Đức Việt</v>
      </c>
      <c r="I784" t="str">
        <f>VLOOKUP(Table8[[#This Row],[Mã khách hàng]],'Khách hàng'!A:E,5,0)</f>
        <v>HN0040</v>
      </c>
    </row>
    <row r="785" spans="1:9">
      <c r="A785" s="14" t="s">
        <v>7757</v>
      </c>
      <c r="B785" s="15" t="s">
        <v>5</v>
      </c>
      <c r="C785" s="10" t="e">
        <v>#N/A</v>
      </c>
      <c r="D785" s="16" t="s">
        <v>2836</v>
      </c>
      <c r="E785" s="15" t="s">
        <v>11211</v>
      </c>
      <c r="F785" s="16" t="str">
        <f>VLOOKUP(Table8[[#This Row],[Mã khách hàng]],code_khach_hang[],2,0)</f>
        <v>CHI NHÁNH NGHỆ AN - CÔNG TY CỔ PHẦN DỊCH VỤ THƯƠNG MẠI TỔNG HỢP WINCOMMERCE</v>
      </c>
      <c r="G785" s="16" t="str">
        <f>VLOOKUP(Table8[[#This Row],[Mã khách hàng]],code_khach_hang[],3,0)</f>
        <v>Miền Trung đặc biệt 1</v>
      </c>
      <c r="H785" t="str">
        <f>VLOOKUP(Table8[[#This Row],[Mã khách hàng]],'Khách hàng'!A:D,4,0)</f>
        <v>Food Đức Việt</v>
      </c>
      <c r="I785" t="str">
        <f>VLOOKUP(Table8[[#This Row],[Mã khách hàng]],'Khách hàng'!A:E,5,0)</f>
        <v>HN0040</v>
      </c>
    </row>
    <row r="786" spans="1:9">
      <c r="A786" s="14" t="s">
        <v>7822</v>
      </c>
      <c r="B786" s="15" t="s">
        <v>5</v>
      </c>
      <c r="C786" s="10" t="s">
        <v>7823</v>
      </c>
      <c r="D786" s="16" t="s">
        <v>2839</v>
      </c>
      <c r="E786" s="15" t="s">
        <v>11211</v>
      </c>
      <c r="F786" s="16" t="str">
        <f>VLOOKUP(Table8[[#This Row],[Mã khách hàng]],code_khach_hang[],2,0)</f>
        <v>CHI NHÁNH NGHỆ AN - CÔNG TY CỔ PHẦN DỊCH VỤ THƯƠNG MẠI TỔNG HỢP WINCOMMERCE</v>
      </c>
      <c r="G786" s="16" t="str">
        <f>VLOOKUP(Table8[[#This Row],[Mã khách hàng]],code_khach_hang[],3,0)</f>
        <v>Miền Trung đặc biệt 1</v>
      </c>
      <c r="H786" t="str">
        <f>VLOOKUP(Table8[[#This Row],[Mã khách hàng]],'Khách hàng'!A:D,4,0)</f>
        <v>Food Đức Việt</v>
      </c>
      <c r="I786" t="str">
        <f>VLOOKUP(Table8[[#This Row],[Mã khách hàng]],'Khách hàng'!A:E,5,0)</f>
        <v>HN0040</v>
      </c>
    </row>
    <row r="787" spans="1:9">
      <c r="A787" s="14" t="s">
        <v>5618</v>
      </c>
      <c r="B787" s="15" t="s">
        <v>5</v>
      </c>
      <c r="C787" s="10" t="s">
        <v>5619</v>
      </c>
      <c r="D787" s="16" t="s">
        <v>2842</v>
      </c>
      <c r="E787" s="15" t="s">
        <v>11211</v>
      </c>
      <c r="F787" s="16" t="str">
        <f>VLOOKUP(Table8[[#This Row],[Mã khách hàng]],code_khach_hang[],2,0)</f>
        <v>CHI NHÁNH NGHỆ AN - CÔNG TY CỔ PHẦN DỊCH VỤ THƯƠNG MẠI TỔNG HỢP WINCOMMERCE</v>
      </c>
      <c r="G787" s="16" t="str">
        <f>VLOOKUP(Table8[[#This Row],[Mã khách hàng]],code_khach_hang[],3,0)</f>
        <v>Miền Trung đặc biệt 1</v>
      </c>
      <c r="H787" t="str">
        <f>VLOOKUP(Table8[[#This Row],[Mã khách hàng]],'Khách hàng'!A:D,4,0)</f>
        <v>Food Đức Việt</v>
      </c>
      <c r="I787" t="str">
        <f>VLOOKUP(Table8[[#This Row],[Mã khách hàng]],'Khách hàng'!A:E,5,0)</f>
        <v>HN0040</v>
      </c>
    </row>
    <row r="788" spans="1:9">
      <c r="A788" s="14" t="s">
        <v>7033</v>
      </c>
      <c r="B788" s="15" t="s">
        <v>5</v>
      </c>
      <c r="C788" s="10" t="s">
        <v>7034</v>
      </c>
      <c r="D788" s="16" t="s">
        <v>2845</v>
      </c>
      <c r="E788" s="15" t="s">
        <v>11211</v>
      </c>
      <c r="F788" s="16" t="str">
        <f>VLOOKUP(Table8[[#This Row],[Mã khách hàng]],code_khach_hang[],2,0)</f>
        <v>CHI NHÁNH NGHỆ AN - CÔNG TY CỔ PHẦN DỊCH VỤ THƯƠNG MẠI TỔNG HỢP WINCOMMERCE</v>
      </c>
      <c r="G788" s="16" t="str">
        <f>VLOOKUP(Table8[[#This Row],[Mã khách hàng]],code_khach_hang[],3,0)</f>
        <v>Miền Trung đặc biệt 1</v>
      </c>
      <c r="H788" t="str">
        <f>VLOOKUP(Table8[[#This Row],[Mã khách hàng]],'Khách hàng'!A:D,4,0)</f>
        <v>Food Đức Việt</v>
      </c>
      <c r="I788" t="str">
        <f>VLOOKUP(Table8[[#This Row],[Mã khách hàng]],'Khách hàng'!A:E,5,0)</f>
        <v>HN0040</v>
      </c>
    </row>
    <row r="789" spans="1:9">
      <c r="A789" s="14" t="s">
        <v>5630</v>
      </c>
      <c r="B789" s="15" t="s">
        <v>5</v>
      </c>
      <c r="C789" s="10" t="s">
        <v>5631</v>
      </c>
      <c r="D789" s="16" t="s">
        <v>2847</v>
      </c>
      <c r="E789" s="15" t="s">
        <v>11211</v>
      </c>
      <c r="F789" s="16" t="str">
        <f>VLOOKUP(Table8[[#This Row],[Mã khách hàng]],code_khach_hang[],2,0)</f>
        <v>CHI NHÁNH NGHỆ AN - CÔNG TY CỔ PHẦN DỊCH VỤ THƯƠNG MẠI TỔNG HỢP WINCOMMERCE</v>
      </c>
      <c r="G789" s="16" t="str">
        <f>VLOOKUP(Table8[[#This Row],[Mã khách hàng]],code_khach_hang[],3,0)</f>
        <v>Miền Trung đặc biệt 1</v>
      </c>
      <c r="H789" t="str">
        <f>VLOOKUP(Table8[[#This Row],[Mã khách hàng]],'Khách hàng'!A:D,4,0)</f>
        <v>Food Đức Việt</v>
      </c>
      <c r="I789" t="str">
        <f>VLOOKUP(Table8[[#This Row],[Mã khách hàng]],'Khách hàng'!A:E,5,0)</f>
        <v>HN0040</v>
      </c>
    </row>
    <row r="790" spans="1:9">
      <c r="A790" s="14" t="s">
        <v>5633</v>
      </c>
      <c r="B790" s="15" t="s">
        <v>5</v>
      </c>
      <c r="C790" s="10" t="e">
        <v>#N/A</v>
      </c>
      <c r="D790" s="16" t="s">
        <v>2850</v>
      </c>
      <c r="E790" s="15" t="s">
        <v>11211</v>
      </c>
      <c r="F790" s="16" t="str">
        <f>VLOOKUP(Table8[[#This Row],[Mã khách hàng]],code_khach_hang[],2,0)</f>
        <v>CHI NHÁNH NGHỆ AN - CÔNG TY CỔ PHẦN DỊCH VỤ THƯƠNG MẠI TỔNG HỢP WINCOMMERCE</v>
      </c>
      <c r="G790" s="16" t="str">
        <f>VLOOKUP(Table8[[#This Row],[Mã khách hàng]],code_khach_hang[],3,0)</f>
        <v>Miền Trung đặc biệt 1</v>
      </c>
      <c r="H790" t="str">
        <f>VLOOKUP(Table8[[#This Row],[Mã khách hàng]],'Khách hàng'!A:D,4,0)</f>
        <v>Food Đức Việt</v>
      </c>
      <c r="I790" t="str">
        <f>VLOOKUP(Table8[[#This Row],[Mã khách hàng]],'Khách hàng'!A:E,5,0)</f>
        <v>HN0040</v>
      </c>
    </row>
    <row r="791" spans="1:9">
      <c r="A791" s="14" t="s">
        <v>11101</v>
      </c>
      <c r="B791" s="15" t="s">
        <v>5</v>
      </c>
      <c r="C791" s="10" t="e">
        <v>#N/A</v>
      </c>
      <c r="D791" s="16" t="s">
        <v>2853</v>
      </c>
      <c r="E791" s="15" t="s">
        <v>11211</v>
      </c>
      <c r="F791" s="16" t="str">
        <f>VLOOKUP(Table8[[#This Row],[Mã khách hàng]],code_khach_hang[],2,0)</f>
        <v>CHI NHÁNH NGHỆ AN - CÔNG TY CỔ PHẦN DỊCH VỤ THƯƠNG MẠI TỔNG HỢP WINCOMMERCE</v>
      </c>
      <c r="G791" s="16" t="str">
        <f>VLOOKUP(Table8[[#This Row],[Mã khách hàng]],code_khach_hang[],3,0)</f>
        <v>Miền Trung đặc biệt 1</v>
      </c>
      <c r="H791" t="str">
        <f>VLOOKUP(Table8[[#This Row],[Mã khách hàng]],'Khách hàng'!A:D,4,0)</f>
        <v>Food Đức Việt</v>
      </c>
      <c r="I791" t="str">
        <f>VLOOKUP(Table8[[#This Row],[Mã khách hàng]],'Khách hàng'!A:E,5,0)</f>
        <v>HN0040</v>
      </c>
    </row>
    <row r="792" spans="1:9">
      <c r="A792" s="14" t="s">
        <v>5753</v>
      </c>
      <c r="B792" s="15" t="s">
        <v>5</v>
      </c>
      <c r="C792" s="10" t="s">
        <v>5754</v>
      </c>
      <c r="D792" s="16" t="s">
        <v>2856</v>
      </c>
      <c r="E792" s="15" t="s">
        <v>11211</v>
      </c>
      <c r="F792" s="16" t="str">
        <f>VLOOKUP(Table8[[#This Row],[Mã khách hàng]],code_khach_hang[],2,0)</f>
        <v>CHI NHÁNH NGHỆ AN - CÔNG TY CỔ PHẦN DỊCH VỤ THƯƠNG MẠI TỔNG HỢP WINCOMMERCE</v>
      </c>
      <c r="G792" s="16" t="str">
        <f>VLOOKUP(Table8[[#This Row],[Mã khách hàng]],code_khach_hang[],3,0)</f>
        <v>Miền Trung đặc biệt 1</v>
      </c>
      <c r="H792" t="str">
        <f>VLOOKUP(Table8[[#This Row],[Mã khách hàng]],'Khách hàng'!A:D,4,0)</f>
        <v>Food Đức Việt</v>
      </c>
      <c r="I792" t="str">
        <f>VLOOKUP(Table8[[#This Row],[Mã khách hàng]],'Khách hàng'!A:E,5,0)</f>
        <v>HN0040</v>
      </c>
    </row>
    <row r="793" spans="1:9">
      <c r="A793" s="14" t="s">
        <v>6001</v>
      </c>
      <c r="B793" s="15" t="s">
        <v>5</v>
      </c>
      <c r="C793" s="10" t="s">
        <v>6002</v>
      </c>
      <c r="D793" s="16" t="s">
        <v>2859</v>
      </c>
      <c r="E793" s="15" t="s">
        <v>11211</v>
      </c>
      <c r="F793" s="16" t="str">
        <f>VLOOKUP(Table8[[#This Row],[Mã khách hàng]],code_khach_hang[],2,0)</f>
        <v>CHI NHÁNH NGHỆ AN - CÔNG TY CỔ PHẦN DỊCH VỤ THƯƠNG MẠI TỔNG HỢP WINCOMMERCE</v>
      </c>
      <c r="G793" s="16" t="str">
        <f>VLOOKUP(Table8[[#This Row],[Mã khách hàng]],code_khach_hang[],3,0)</f>
        <v>Miền Trung đặc biệt 1</v>
      </c>
      <c r="H793" t="str">
        <f>VLOOKUP(Table8[[#This Row],[Mã khách hàng]],'Khách hàng'!A:D,4,0)</f>
        <v>Food Đức Việt</v>
      </c>
      <c r="I793" t="str">
        <f>VLOOKUP(Table8[[#This Row],[Mã khách hàng]],'Khách hàng'!A:E,5,0)</f>
        <v>HN0040</v>
      </c>
    </row>
    <row r="794" spans="1:9">
      <c r="A794" s="14" t="s">
        <v>5562</v>
      </c>
      <c r="B794" s="15" t="s">
        <v>5</v>
      </c>
      <c r="C794" s="10" t="e">
        <v>#N/A</v>
      </c>
      <c r="D794" s="16" t="s">
        <v>2862</v>
      </c>
      <c r="E794" s="15" t="s">
        <v>11211</v>
      </c>
      <c r="F794" s="16" t="str">
        <f>VLOOKUP(Table8[[#This Row],[Mã khách hàng]],code_khach_hang[],2,0)</f>
        <v>CHI NHÁNH NGHỆ AN - CÔNG TY CỔ PHẦN DỊCH VỤ THƯƠNG MẠI TỔNG HỢP WINCOMMERCE</v>
      </c>
      <c r="G794" s="16" t="str">
        <f>VLOOKUP(Table8[[#This Row],[Mã khách hàng]],code_khach_hang[],3,0)</f>
        <v>Miền Trung đặc biệt 1</v>
      </c>
      <c r="H794" t="str">
        <f>VLOOKUP(Table8[[#This Row],[Mã khách hàng]],'Khách hàng'!A:D,4,0)</f>
        <v>Food Đức Việt</v>
      </c>
      <c r="I794" t="str">
        <f>VLOOKUP(Table8[[#This Row],[Mã khách hàng]],'Khách hàng'!A:E,5,0)</f>
        <v>HN0040</v>
      </c>
    </row>
    <row r="795" spans="1:9">
      <c r="A795" s="14" t="s">
        <v>5567</v>
      </c>
      <c r="B795" s="15" t="s">
        <v>5</v>
      </c>
      <c r="C795" s="10" t="s">
        <v>5568</v>
      </c>
      <c r="D795" s="16" t="s">
        <v>2865</v>
      </c>
      <c r="E795" s="15" t="s">
        <v>11211</v>
      </c>
      <c r="F795" s="16" t="str">
        <f>VLOOKUP(Table8[[#This Row],[Mã khách hàng]],code_khach_hang[],2,0)</f>
        <v>CHI NHÁNH NGHỆ AN - CÔNG TY CỔ PHẦN DỊCH VỤ THƯƠNG MẠI TỔNG HỢP WINCOMMERCE</v>
      </c>
      <c r="G795" s="16" t="str">
        <f>VLOOKUP(Table8[[#This Row],[Mã khách hàng]],code_khach_hang[],3,0)</f>
        <v>Miền Trung đặc biệt 1</v>
      </c>
      <c r="H795" t="str">
        <f>VLOOKUP(Table8[[#This Row],[Mã khách hàng]],'Khách hàng'!A:D,4,0)</f>
        <v>Food Đức Việt</v>
      </c>
      <c r="I795" t="str">
        <f>VLOOKUP(Table8[[#This Row],[Mã khách hàng]],'Khách hàng'!A:E,5,0)</f>
        <v>HN0040</v>
      </c>
    </row>
    <row r="796" spans="1:9">
      <c r="A796" s="14" t="s">
        <v>6405</v>
      </c>
      <c r="B796" s="15" t="s">
        <v>5</v>
      </c>
      <c r="C796" s="10" t="s">
        <v>6406</v>
      </c>
      <c r="D796" s="16" t="s">
        <v>2868</v>
      </c>
      <c r="E796" s="15" t="s">
        <v>11211</v>
      </c>
      <c r="F796" s="16" t="str">
        <f>VLOOKUP(Table8[[#This Row],[Mã khách hàng]],code_khach_hang[],2,0)</f>
        <v>CHI NHÁNH NGHỆ AN - CÔNG TY CỔ PHẦN DỊCH VỤ THƯƠNG MẠI TỔNG HỢP WINCOMMERCE</v>
      </c>
      <c r="G796" s="16" t="str">
        <f>VLOOKUP(Table8[[#This Row],[Mã khách hàng]],code_khach_hang[],3,0)</f>
        <v>Miền Trung đặc biệt 1</v>
      </c>
      <c r="H796" t="str">
        <f>VLOOKUP(Table8[[#This Row],[Mã khách hàng]],'Khách hàng'!A:D,4,0)</f>
        <v>Food Đức Việt</v>
      </c>
      <c r="I796" t="str">
        <f>VLOOKUP(Table8[[#This Row],[Mã khách hàng]],'Khách hàng'!A:E,5,0)</f>
        <v>HN0040</v>
      </c>
    </row>
    <row r="797" spans="1:9">
      <c r="A797" s="14" t="s">
        <v>5627</v>
      </c>
      <c r="B797" s="15" t="s">
        <v>5</v>
      </c>
      <c r="C797" s="10" t="s">
        <v>5628</v>
      </c>
      <c r="D797" s="16" t="s">
        <v>2871</v>
      </c>
      <c r="E797" s="15" t="s">
        <v>11211</v>
      </c>
      <c r="F797" s="16" t="str">
        <f>VLOOKUP(Table8[[#This Row],[Mã khách hàng]],code_khach_hang[],2,0)</f>
        <v>CHI NHÁNH NGHỆ AN - CÔNG TY CỔ PHẦN DỊCH VỤ THƯƠNG MẠI TỔNG HỢP WINCOMMERCE</v>
      </c>
      <c r="G797" s="16" t="str">
        <f>VLOOKUP(Table8[[#This Row],[Mã khách hàng]],code_khach_hang[],3,0)</f>
        <v>Miền Trung đặc biệt 1</v>
      </c>
      <c r="H797" t="str">
        <f>VLOOKUP(Table8[[#This Row],[Mã khách hàng]],'Khách hàng'!A:D,4,0)</f>
        <v>Food Đức Việt</v>
      </c>
      <c r="I797" t="str">
        <f>VLOOKUP(Table8[[#This Row],[Mã khách hàng]],'Khách hàng'!A:E,5,0)</f>
        <v>HN0040</v>
      </c>
    </row>
    <row r="798" spans="1:9">
      <c r="A798" s="14" t="s">
        <v>6851</v>
      </c>
      <c r="B798" s="15" t="s">
        <v>5</v>
      </c>
      <c r="C798" s="10" t="s">
        <v>6852</v>
      </c>
      <c r="D798" s="16" t="s">
        <v>2874</v>
      </c>
      <c r="E798" s="15" t="s">
        <v>11211</v>
      </c>
      <c r="F798" s="16" t="str">
        <f>VLOOKUP(Table8[[#This Row],[Mã khách hàng]],code_khach_hang[],2,0)</f>
        <v>CHI NHÁNH NGHỆ AN - CÔNG TY CỔ PHẦN DỊCH VỤ THƯƠNG MẠI TỔNG HỢP WINCOMMERCE</v>
      </c>
      <c r="G798" s="16" t="str">
        <f>VLOOKUP(Table8[[#This Row],[Mã khách hàng]],code_khach_hang[],3,0)</f>
        <v>Miền Trung đặc biệt 1</v>
      </c>
      <c r="H798" t="str">
        <f>VLOOKUP(Table8[[#This Row],[Mã khách hàng]],'Khách hàng'!A:D,4,0)</f>
        <v>Food Đức Việt</v>
      </c>
      <c r="I798" t="str">
        <f>VLOOKUP(Table8[[#This Row],[Mã khách hàng]],'Khách hàng'!A:E,5,0)</f>
        <v>HN0040</v>
      </c>
    </row>
    <row r="799" spans="1:9">
      <c r="A799" s="14" t="s">
        <v>5603</v>
      </c>
      <c r="B799" s="15" t="s">
        <v>5</v>
      </c>
      <c r="C799" s="10" t="s">
        <v>5604</v>
      </c>
      <c r="D799" s="16" t="s">
        <v>2877</v>
      </c>
      <c r="E799" s="15" t="s">
        <v>11211</v>
      </c>
      <c r="F799" s="16" t="str">
        <f>VLOOKUP(Table8[[#This Row],[Mã khách hàng]],code_khach_hang[],2,0)</f>
        <v>CHI NHÁNH NGHỆ AN - CÔNG TY CỔ PHẦN DỊCH VỤ THƯƠNG MẠI TỔNG HỢP WINCOMMERCE</v>
      </c>
      <c r="G799" s="16" t="str">
        <f>VLOOKUP(Table8[[#This Row],[Mã khách hàng]],code_khach_hang[],3,0)</f>
        <v>Miền Trung đặc biệt 1</v>
      </c>
      <c r="H799" t="str">
        <f>VLOOKUP(Table8[[#This Row],[Mã khách hàng]],'Khách hàng'!A:D,4,0)</f>
        <v>Food Đức Việt</v>
      </c>
      <c r="I799" t="str">
        <f>VLOOKUP(Table8[[#This Row],[Mã khách hàng]],'Khách hàng'!A:E,5,0)</f>
        <v>HN0040</v>
      </c>
    </row>
    <row r="800" spans="1:9">
      <c r="A800" s="14" t="s">
        <v>6154</v>
      </c>
      <c r="B800" s="15" t="s">
        <v>5</v>
      </c>
      <c r="C800" s="10" t="s">
        <v>6155</v>
      </c>
      <c r="D800" s="16" t="s">
        <v>2880</v>
      </c>
      <c r="E800" s="15" t="s">
        <v>11211</v>
      </c>
      <c r="F800" s="16" t="str">
        <f>VLOOKUP(Table8[[#This Row],[Mã khách hàng]],code_khach_hang[],2,0)</f>
        <v>CHI NHÁNH NGHỆ AN - CÔNG TY CỔ PHẦN DỊCH VỤ THƯƠNG MẠI TỔNG HỢP WINCOMMERCE</v>
      </c>
      <c r="G800" s="16" t="str">
        <f>VLOOKUP(Table8[[#This Row],[Mã khách hàng]],code_khach_hang[],3,0)</f>
        <v>Miền Trung đặc biệt 1</v>
      </c>
      <c r="H800" t="str">
        <f>VLOOKUP(Table8[[#This Row],[Mã khách hàng]],'Khách hàng'!A:D,4,0)</f>
        <v>Food Đức Việt</v>
      </c>
      <c r="I800" t="str">
        <f>VLOOKUP(Table8[[#This Row],[Mã khách hàng]],'Khách hàng'!A:E,5,0)</f>
        <v>HN0040</v>
      </c>
    </row>
    <row r="801" spans="1:9">
      <c r="A801" s="14" t="s">
        <v>6300</v>
      </c>
      <c r="B801" s="15" t="s">
        <v>5</v>
      </c>
      <c r="C801" s="10" t="s">
        <v>6301</v>
      </c>
      <c r="D801" s="16" t="s">
        <v>2883</v>
      </c>
      <c r="E801" s="15" t="s">
        <v>11211</v>
      </c>
      <c r="F801" s="16" t="str">
        <f>VLOOKUP(Table8[[#This Row],[Mã khách hàng]],code_khach_hang[],2,0)</f>
        <v>CHI NHÁNH NGHỆ AN - CÔNG TY CỔ PHẦN DỊCH VỤ THƯƠNG MẠI TỔNG HỢP WINCOMMERCE</v>
      </c>
      <c r="G801" s="16" t="str">
        <f>VLOOKUP(Table8[[#This Row],[Mã khách hàng]],code_khach_hang[],3,0)</f>
        <v>Miền Trung đặc biệt 1</v>
      </c>
      <c r="H801" t="str">
        <f>VLOOKUP(Table8[[#This Row],[Mã khách hàng]],'Khách hàng'!A:D,4,0)</f>
        <v>Food Đức Việt</v>
      </c>
      <c r="I801" t="str">
        <f>VLOOKUP(Table8[[#This Row],[Mã khách hàng]],'Khách hàng'!A:E,5,0)</f>
        <v>HN0040</v>
      </c>
    </row>
    <row r="802" spans="1:9">
      <c r="A802" s="14" t="s">
        <v>5671</v>
      </c>
      <c r="B802" s="15" t="s">
        <v>5</v>
      </c>
      <c r="C802" s="10" t="s">
        <v>5672</v>
      </c>
      <c r="D802" s="16" t="s">
        <v>2886</v>
      </c>
      <c r="E802" s="15" t="s">
        <v>11211</v>
      </c>
      <c r="F802" s="16" t="str">
        <f>VLOOKUP(Table8[[#This Row],[Mã khách hàng]],code_khach_hang[],2,0)</f>
        <v>CHI NHÁNH NGHỆ AN - CÔNG TY CỔ PHẦN DỊCH VỤ THƯƠNG MẠI TỔNG HỢP WINCOMMERCE</v>
      </c>
      <c r="G802" s="16" t="str">
        <f>VLOOKUP(Table8[[#This Row],[Mã khách hàng]],code_khach_hang[],3,0)</f>
        <v>Miền Trung đặc biệt 1</v>
      </c>
      <c r="H802" t="str">
        <f>VLOOKUP(Table8[[#This Row],[Mã khách hàng]],'Khách hàng'!A:D,4,0)</f>
        <v>Food Đức Việt</v>
      </c>
      <c r="I802" t="str">
        <f>VLOOKUP(Table8[[#This Row],[Mã khách hàng]],'Khách hàng'!A:E,5,0)</f>
        <v>HN0040</v>
      </c>
    </row>
    <row r="803" spans="1:9">
      <c r="A803" s="14" t="s">
        <v>5635</v>
      </c>
      <c r="B803" s="15" t="s">
        <v>5</v>
      </c>
      <c r="C803" s="10" t="s">
        <v>5636</v>
      </c>
      <c r="D803" s="16" t="s">
        <v>2889</v>
      </c>
      <c r="E803" s="15" t="s">
        <v>11211</v>
      </c>
      <c r="F803" s="16" t="str">
        <f>VLOOKUP(Table8[[#This Row],[Mã khách hàng]],code_khach_hang[],2,0)</f>
        <v>CHI NHÁNH NGHỆ AN - CÔNG TY CỔ PHẦN DỊCH VỤ THƯƠNG MẠI TỔNG HỢP WINCOMMERCE</v>
      </c>
      <c r="G803" s="16" t="str">
        <f>VLOOKUP(Table8[[#This Row],[Mã khách hàng]],code_khach_hang[],3,0)</f>
        <v>Miền Trung đặc biệt 1</v>
      </c>
      <c r="H803" t="str">
        <f>VLOOKUP(Table8[[#This Row],[Mã khách hàng]],'Khách hàng'!A:D,4,0)</f>
        <v>Food Đức Việt</v>
      </c>
      <c r="I803" t="str">
        <f>VLOOKUP(Table8[[#This Row],[Mã khách hàng]],'Khách hàng'!A:E,5,0)</f>
        <v>HN0040</v>
      </c>
    </row>
    <row r="804" spans="1:9">
      <c r="A804" s="14" t="s">
        <v>5573</v>
      </c>
      <c r="B804" s="15" t="s">
        <v>5</v>
      </c>
      <c r="C804" s="10" t="s">
        <v>5574</v>
      </c>
      <c r="D804" s="16" t="s">
        <v>2892</v>
      </c>
      <c r="E804" s="15" t="s">
        <v>11211</v>
      </c>
      <c r="F804" s="16" t="str">
        <f>VLOOKUP(Table8[[#This Row],[Mã khách hàng]],code_khach_hang[],2,0)</f>
        <v>CHI NHÁNH NGHỆ AN - CÔNG TY CỔ PHẦN DỊCH VỤ THƯƠNG MẠI TỔNG HỢP WINCOMMERCE</v>
      </c>
      <c r="G804" s="16" t="str">
        <f>VLOOKUP(Table8[[#This Row],[Mã khách hàng]],code_khach_hang[],3,0)</f>
        <v>Miền Trung đặc biệt 1</v>
      </c>
      <c r="H804" t="str">
        <f>VLOOKUP(Table8[[#This Row],[Mã khách hàng]],'Khách hàng'!A:D,4,0)</f>
        <v>Food Đức Việt</v>
      </c>
      <c r="I804" t="str">
        <f>VLOOKUP(Table8[[#This Row],[Mã khách hàng]],'Khách hàng'!A:E,5,0)</f>
        <v>HN0040</v>
      </c>
    </row>
    <row r="805" spans="1:9">
      <c r="A805" s="14" t="s">
        <v>5641</v>
      </c>
      <c r="B805" s="15" t="s">
        <v>5</v>
      </c>
      <c r="C805" s="10" t="e">
        <v>#N/A</v>
      </c>
      <c r="D805" s="16" t="s">
        <v>2895</v>
      </c>
      <c r="E805" s="15" t="s">
        <v>11211</v>
      </c>
      <c r="F805" s="16" t="str">
        <f>VLOOKUP(Table8[[#This Row],[Mã khách hàng]],code_khach_hang[],2,0)</f>
        <v>CHI NHÁNH NGHỆ AN - CÔNG TY CỔ PHẦN DỊCH VỤ THƯƠNG MẠI TỔNG HỢP WINCOMMERCE</v>
      </c>
      <c r="G805" s="16" t="str">
        <f>VLOOKUP(Table8[[#This Row],[Mã khách hàng]],code_khach_hang[],3,0)</f>
        <v>Miền Trung đặc biệt 1</v>
      </c>
      <c r="H805" t="str">
        <f>VLOOKUP(Table8[[#This Row],[Mã khách hàng]],'Khách hàng'!A:D,4,0)</f>
        <v>Food Đức Việt</v>
      </c>
      <c r="I805" t="str">
        <f>VLOOKUP(Table8[[#This Row],[Mã khách hàng]],'Khách hàng'!A:E,5,0)</f>
        <v>HN0040</v>
      </c>
    </row>
    <row r="806" spans="1:9">
      <c r="A806" s="14" t="s">
        <v>5965</v>
      </c>
      <c r="B806" s="15" t="s">
        <v>5</v>
      </c>
      <c r="C806" s="10" t="s">
        <v>5966</v>
      </c>
      <c r="D806" s="16" t="s">
        <v>2898</v>
      </c>
      <c r="E806" s="15" t="s">
        <v>11211</v>
      </c>
      <c r="F806" s="16" t="str">
        <f>VLOOKUP(Table8[[#This Row],[Mã khách hàng]],code_khach_hang[],2,0)</f>
        <v>CHI NHÁNH NGHỆ AN - CÔNG TY CỔ PHẦN DỊCH VỤ THƯƠNG MẠI TỔNG HỢP WINCOMMERCE</v>
      </c>
      <c r="G806" s="16" t="str">
        <f>VLOOKUP(Table8[[#This Row],[Mã khách hàng]],code_khach_hang[],3,0)</f>
        <v>Miền Trung đặc biệt 1</v>
      </c>
      <c r="H806" t="str">
        <f>VLOOKUP(Table8[[#This Row],[Mã khách hàng]],'Khách hàng'!A:D,4,0)</f>
        <v>Food Đức Việt</v>
      </c>
      <c r="I806" t="str">
        <f>VLOOKUP(Table8[[#This Row],[Mã khách hàng]],'Khách hàng'!A:E,5,0)</f>
        <v>HN0040</v>
      </c>
    </row>
    <row r="807" spans="1:9">
      <c r="A807" s="14" t="s">
        <v>11102</v>
      </c>
      <c r="B807" s="15" t="s">
        <v>5</v>
      </c>
      <c r="C807" s="10" t="s">
        <v>13150</v>
      </c>
      <c r="D807" s="16" t="s">
        <v>2901</v>
      </c>
      <c r="E807" s="15" t="s">
        <v>11211</v>
      </c>
      <c r="F807" s="16" t="str">
        <f>VLOOKUP(Table8[[#This Row],[Mã khách hàng]],code_khach_hang[],2,0)</f>
        <v>CHI NHÁNH NGHỆ AN - CÔNG TY CỔ PHẦN DỊCH VỤ THƯƠNG MẠI TỔNG HỢP WINCOMMERCE</v>
      </c>
      <c r="G807" s="16" t="str">
        <f>VLOOKUP(Table8[[#This Row],[Mã khách hàng]],code_khach_hang[],3,0)</f>
        <v>Miền Trung đặc biệt 1</v>
      </c>
      <c r="H807" t="str">
        <f>VLOOKUP(Table8[[#This Row],[Mã khách hàng]],'Khách hàng'!A:D,4,0)</f>
        <v>Food Đức Việt</v>
      </c>
      <c r="I807" t="str">
        <f>VLOOKUP(Table8[[#This Row],[Mã khách hàng]],'Khách hàng'!A:E,5,0)</f>
        <v>HN0040</v>
      </c>
    </row>
    <row r="808" spans="1:9">
      <c r="A808" s="14" t="s">
        <v>6956</v>
      </c>
      <c r="B808" s="15" t="s">
        <v>5</v>
      </c>
      <c r="C808" s="10" t="s">
        <v>6957</v>
      </c>
      <c r="D808" s="16" t="s">
        <v>2904</v>
      </c>
      <c r="E808" s="15" t="s">
        <v>11211</v>
      </c>
      <c r="F808" s="16" t="str">
        <f>VLOOKUP(Table8[[#This Row],[Mã khách hàng]],code_khach_hang[],2,0)</f>
        <v>CHI NHÁNH NGHỆ AN - CÔNG TY CỔ PHẦN DỊCH VỤ THƯƠNG MẠI TỔNG HỢP WINCOMMERCE</v>
      </c>
      <c r="G808" s="16" t="str">
        <f>VLOOKUP(Table8[[#This Row],[Mã khách hàng]],code_khach_hang[],3,0)</f>
        <v>Miền Trung đặc biệt 1</v>
      </c>
      <c r="H808" t="str">
        <f>VLOOKUP(Table8[[#This Row],[Mã khách hàng]],'Khách hàng'!A:D,4,0)</f>
        <v>Food Đức Việt</v>
      </c>
      <c r="I808" t="str">
        <f>VLOOKUP(Table8[[#This Row],[Mã khách hàng]],'Khách hàng'!A:E,5,0)</f>
        <v>HN0040</v>
      </c>
    </row>
    <row r="809" spans="1:9">
      <c r="A809" s="14" t="s">
        <v>7393</v>
      </c>
      <c r="B809" s="15" t="s">
        <v>5</v>
      </c>
      <c r="C809" s="10" t="s">
        <v>7394</v>
      </c>
      <c r="D809" s="16" t="s">
        <v>2907</v>
      </c>
      <c r="E809" s="15" t="s">
        <v>11211</v>
      </c>
      <c r="F809" s="16" t="str">
        <f>VLOOKUP(Table8[[#This Row],[Mã khách hàng]],code_khach_hang[],2,0)</f>
        <v>CHI NHÁNH NGHỆ AN - CÔNG TY CỔ PHẦN DỊCH VỤ THƯƠNG MẠI TỔNG HỢP WINCOMMERCE</v>
      </c>
      <c r="G809" s="16" t="str">
        <f>VLOOKUP(Table8[[#This Row],[Mã khách hàng]],code_khach_hang[],3,0)</f>
        <v>Miền Trung đặc biệt 1</v>
      </c>
      <c r="H809" t="str">
        <f>VLOOKUP(Table8[[#This Row],[Mã khách hàng]],'Khách hàng'!A:D,4,0)</f>
        <v>Food Đức Việt</v>
      </c>
      <c r="I809" t="str">
        <f>VLOOKUP(Table8[[#This Row],[Mã khách hàng]],'Khách hàng'!A:E,5,0)</f>
        <v>HN0040</v>
      </c>
    </row>
    <row r="810" spans="1:9">
      <c r="A810" s="14" t="s">
        <v>7900</v>
      </c>
      <c r="B810" s="15" t="s">
        <v>5</v>
      </c>
      <c r="C810" s="10" t="s">
        <v>7901</v>
      </c>
      <c r="D810" s="16" t="s">
        <v>2910</v>
      </c>
      <c r="E810" s="15" t="s">
        <v>11211</v>
      </c>
      <c r="F810" s="16" t="str">
        <f>VLOOKUP(Table8[[#This Row],[Mã khách hàng]],code_khach_hang[],2,0)</f>
        <v>CHI NHÁNH NGHỆ AN - CÔNG TY CỔ PHẦN DỊCH VỤ THƯƠNG MẠI TỔNG HỢP WINCOMMERCE</v>
      </c>
      <c r="G810" s="16" t="str">
        <f>VLOOKUP(Table8[[#This Row],[Mã khách hàng]],code_khach_hang[],3,0)</f>
        <v>Miền Trung đặc biệt 1</v>
      </c>
      <c r="H810" t="str">
        <f>VLOOKUP(Table8[[#This Row],[Mã khách hàng]],'Khách hàng'!A:D,4,0)</f>
        <v>Food Đức Việt</v>
      </c>
      <c r="I810" t="str">
        <f>VLOOKUP(Table8[[#This Row],[Mã khách hàng]],'Khách hàng'!A:E,5,0)</f>
        <v>HN0040</v>
      </c>
    </row>
    <row r="811" spans="1:9">
      <c r="A811" s="14" t="s">
        <v>7963</v>
      </c>
      <c r="B811" s="15" t="s">
        <v>5</v>
      </c>
      <c r="C811" s="10" t="s">
        <v>7964</v>
      </c>
      <c r="D811" s="16" t="s">
        <v>2913</v>
      </c>
      <c r="E811" s="15" t="s">
        <v>11211</v>
      </c>
      <c r="F811" s="16" t="str">
        <f>VLOOKUP(Table8[[#This Row],[Mã khách hàng]],code_khach_hang[],2,0)</f>
        <v>CHI NHÁNH NGHỆ AN - CÔNG TY CỔ PHẦN DỊCH VỤ THƯƠNG MẠI TỔNG HỢP WINCOMMERCE</v>
      </c>
      <c r="G811" s="16" t="str">
        <f>VLOOKUP(Table8[[#This Row],[Mã khách hàng]],code_khach_hang[],3,0)</f>
        <v>Miền Trung đặc biệt 1</v>
      </c>
      <c r="H811" t="str">
        <f>VLOOKUP(Table8[[#This Row],[Mã khách hàng]],'Khách hàng'!A:D,4,0)</f>
        <v>Food Đức Việt</v>
      </c>
      <c r="I811" t="str">
        <f>VLOOKUP(Table8[[#This Row],[Mã khách hàng]],'Khách hàng'!A:E,5,0)</f>
        <v>HN0040</v>
      </c>
    </row>
    <row r="812" spans="1:9">
      <c r="A812" s="14" t="s">
        <v>6668</v>
      </c>
      <c r="B812" s="15" t="s">
        <v>5</v>
      </c>
      <c r="C812" s="10" t="s">
        <v>6669</v>
      </c>
      <c r="D812" s="16" t="s">
        <v>2916</v>
      </c>
      <c r="E812" s="15" t="s">
        <v>11211</v>
      </c>
      <c r="F812" s="16" t="str">
        <f>VLOOKUP(Table8[[#This Row],[Mã khách hàng]],code_khach_hang[],2,0)</f>
        <v>CHI NHÁNH NGHỆ AN - CÔNG TY CỔ PHẦN DỊCH VỤ THƯƠNG MẠI TỔNG HỢP WINCOMMERCE</v>
      </c>
      <c r="G812" s="16" t="str">
        <f>VLOOKUP(Table8[[#This Row],[Mã khách hàng]],code_khach_hang[],3,0)</f>
        <v>Miền Trung đặc biệt 1</v>
      </c>
      <c r="H812" t="str">
        <f>VLOOKUP(Table8[[#This Row],[Mã khách hàng]],'Khách hàng'!A:D,4,0)</f>
        <v>Food Đức Việt</v>
      </c>
      <c r="I812" t="str">
        <f>VLOOKUP(Table8[[#This Row],[Mã khách hàng]],'Khách hàng'!A:E,5,0)</f>
        <v>HN0040</v>
      </c>
    </row>
    <row r="813" spans="1:9">
      <c r="A813" s="14" t="s">
        <v>6716</v>
      </c>
      <c r="B813" s="15" t="s">
        <v>5</v>
      </c>
      <c r="C813" s="10" t="s">
        <v>6717</v>
      </c>
      <c r="D813" s="16" t="s">
        <v>2919</v>
      </c>
      <c r="E813" s="15" t="s">
        <v>11211</v>
      </c>
      <c r="F813" s="16" t="str">
        <f>VLOOKUP(Table8[[#This Row],[Mã khách hàng]],code_khach_hang[],2,0)</f>
        <v>CHI NHÁNH NGHỆ AN - CÔNG TY CỔ PHẦN DỊCH VỤ THƯƠNG MẠI TỔNG HỢP WINCOMMERCE</v>
      </c>
      <c r="G813" s="16" t="str">
        <f>VLOOKUP(Table8[[#This Row],[Mã khách hàng]],code_khach_hang[],3,0)</f>
        <v>Miền Trung đặc biệt 1</v>
      </c>
      <c r="H813" t="str">
        <f>VLOOKUP(Table8[[#This Row],[Mã khách hàng]],'Khách hàng'!A:D,4,0)</f>
        <v>Food Đức Việt</v>
      </c>
      <c r="I813" t="str">
        <f>VLOOKUP(Table8[[#This Row],[Mã khách hàng]],'Khách hàng'!A:E,5,0)</f>
        <v>HN0040</v>
      </c>
    </row>
    <row r="814" spans="1:9">
      <c r="A814" s="14" t="s">
        <v>5570</v>
      </c>
      <c r="B814" s="15" t="s">
        <v>5</v>
      </c>
      <c r="C814" s="10" t="s">
        <v>5571</v>
      </c>
      <c r="D814" s="16" t="s">
        <v>2922</v>
      </c>
      <c r="E814" s="15" t="s">
        <v>11211</v>
      </c>
      <c r="F814" s="16" t="str">
        <f>VLOOKUP(Table8[[#This Row],[Mã khách hàng]],code_khach_hang[],2,0)</f>
        <v>CHI NHÁNH NGHỆ AN - CÔNG TY CỔ PHẦN DỊCH VỤ THƯƠNG MẠI TỔNG HỢP WINCOMMERCE</v>
      </c>
      <c r="G814" s="16" t="str">
        <f>VLOOKUP(Table8[[#This Row],[Mã khách hàng]],code_khach_hang[],3,0)</f>
        <v>Miền Trung đặc biệt 1</v>
      </c>
      <c r="H814" t="str">
        <f>VLOOKUP(Table8[[#This Row],[Mã khách hàng]],'Khách hàng'!A:D,4,0)</f>
        <v>Food Đức Việt</v>
      </c>
      <c r="I814" t="str">
        <f>VLOOKUP(Table8[[#This Row],[Mã khách hàng]],'Khách hàng'!A:E,5,0)</f>
        <v>HN0040</v>
      </c>
    </row>
    <row r="815" spans="1:9">
      <c r="A815" s="14" t="s">
        <v>5643</v>
      </c>
      <c r="B815" s="15" t="s">
        <v>5</v>
      </c>
      <c r="C815" s="10" t="e">
        <v>#N/A</v>
      </c>
      <c r="D815" s="16" t="s">
        <v>2925</v>
      </c>
      <c r="E815" s="15" t="s">
        <v>11211</v>
      </c>
      <c r="F815" s="16" t="str">
        <f>VLOOKUP(Table8[[#This Row],[Mã khách hàng]],code_khach_hang[],2,0)</f>
        <v>CHI NHÁNH NGHỆ AN - CÔNG TY CỔ PHẦN DỊCH VỤ THƯƠNG MẠI TỔNG HỢP WINCOMMERCE</v>
      </c>
      <c r="G815" s="16" t="str">
        <f>VLOOKUP(Table8[[#This Row],[Mã khách hàng]],code_khach_hang[],3,0)</f>
        <v>Miền Trung đặc biệt 1</v>
      </c>
      <c r="H815" t="str">
        <f>VLOOKUP(Table8[[#This Row],[Mã khách hàng]],'Khách hàng'!A:D,4,0)</f>
        <v>Food Đức Việt</v>
      </c>
      <c r="I815" t="str">
        <f>VLOOKUP(Table8[[#This Row],[Mã khách hàng]],'Khách hàng'!A:E,5,0)</f>
        <v>HN0040</v>
      </c>
    </row>
    <row r="816" spans="1:9">
      <c r="A816" s="14" t="s">
        <v>6276</v>
      </c>
      <c r="B816" s="15" t="s">
        <v>5</v>
      </c>
      <c r="C816" s="10" t="s">
        <v>6277</v>
      </c>
      <c r="D816" s="16" t="s">
        <v>2927</v>
      </c>
      <c r="E816" s="15" t="s">
        <v>11211</v>
      </c>
      <c r="F816" s="16" t="str">
        <f>VLOOKUP(Table8[[#This Row],[Mã khách hàng]],code_khach_hang[],2,0)</f>
        <v>CHI NHÁNH NGHỆ AN - CÔNG TY CỔ PHẦN DỊCH VỤ THƯƠNG MẠI TỔNG HỢP WINCOMMERCE</v>
      </c>
      <c r="G816" s="16" t="str">
        <f>VLOOKUP(Table8[[#This Row],[Mã khách hàng]],code_khach_hang[],3,0)</f>
        <v>Miền Trung đặc biệt 1</v>
      </c>
      <c r="H816" t="str">
        <f>VLOOKUP(Table8[[#This Row],[Mã khách hàng]],'Khách hàng'!A:D,4,0)</f>
        <v>Food Đức Việt</v>
      </c>
      <c r="I816" t="str">
        <f>VLOOKUP(Table8[[#This Row],[Mã khách hàng]],'Khách hàng'!A:E,5,0)</f>
        <v>HN0040</v>
      </c>
    </row>
    <row r="817" spans="1:9">
      <c r="A817" s="14" t="s">
        <v>5559</v>
      </c>
      <c r="B817" s="15" t="s">
        <v>5</v>
      </c>
      <c r="C817" s="10" t="s">
        <v>5560</v>
      </c>
      <c r="D817" s="16" t="s">
        <v>2930</v>
      </c>
      <c r="E817" s="15" t="s">
        <v>11211</v>
      </c>
      <c r="F817" s="16" t="str">
        <f>VLOOKUP(Table8[[#This Row],[Mã khách hàng]],code_khach_hang[],2,0)</f>
        <v>CHI NHÁNH NGHỆ AN - CÔNG TY CỔ PHẦN DỊCH VỤ THƯƠNG MẠI TỔNG HỢP WINCOMMERCE</v>
      </c>
      <c r="G817" s="16" t="str">
        <f>VLOOKUP(Table8[[#This Row],[Mã khách hàng]],code_khach_hang[],3,0)</f>
        <v>Miền Trung đặc biệt 1</v>
      </c>
      <c r="H817" t="str">
        <f>VLOOKUP(Table8[[#This Row],[Mã khách hàng]],'Khách hàng'!A:D,4,0)</f>
        <v>Food Đức Việt</v>
      </c>
      <c r="I817" t="str">
        <f>VLOOKUP(Table8[[#This Row],[Mã khách hàng]],'Khách hàng'!A:E,5,0)</f>
        <v>HN0040</v>
      </c>
    </row>
    <row r="818" spans="1:9">
      <c r="A818" s="14" t="s">
        <v>5932</v>
      </c>
      <c r="B818" s="15" t="s">
        <v>5</v>
      </c>
      <c r="C818" s="10" t="s">
        <v>5933</v>
      </c>
      <c r="D818" s="16" t="s">
        <v>2933</v>
      </c>
      <c r="E818" s="15" t="s">
        <v>11211</v>
      </c>
      <c r="F818" s="16" t="str">
        <f>VLOOKUP(Table8[[#This Row],[Mã khách hàng]],code_khach_hang[],2,0)</f>
        <v>CHI NHÁNH NGHỆ AN - CÔNG TY CỔ PHẦN DỊCH VỤ THƯƠNG MẠI TỔNG HỢP WINCOMMERCE</v>
      </c>
      <c r="G818" s="16" t="str">
        <f>VLOOKUP(Table8[[#This Row],[Mã khách hàng]],code_khach_hang[],3,0)</f>
        <v>Miền Trung đặc biệt 1</v>
      </c>
      <c r="H818" t="str">
        <f>VLOOKUP(Table8[[#This Row],[Mã khách hàng]],'Khách hàng'!A:D,4,0)</f>
        <v>Food Đức Việt</v>
      </c>
      <c r="I818" t="str">
        <f>VLOOKUP(Table8[[#This Row],[Mã khách hàng]],'Khách hàng'!A:E,5,0)</f>
        <v>HN0040</v>
      </c>
    </row>
    <row r="819" spans="1:9">
      <c r="A819" s="14" t="s">
        <v>6025</v>
      </c>
      <c r="B819" s="15" t="s">
        <v>5</v>
      </c>
      <c r="C819" s="10" t="s">
        <v>6026</v>
      </c>
      <c r="D819" s="16" t="s">
        <v>2936</v>
      </c>
      <c r="E819" s="15" t="s">
        <v>11211</v>
      </c>
      <c r="F819" s="16" t="str">
        <f>VLOOKUP(Table8[[#This Row],[Mã khách hàng]],code_khach_hang[],2,0)</f>
        <v>CHI NHÁNH NGHỆ AN - CÔNG TY CỔ PHẦN DỊCH VỤ THƯƠNG MẠI TỔNG HỢP WINCOMMERCE</v>
      </c>
      <c r="G819" s="16" t="str">
        <f>VLOOKUP(Table8[[#This Row],[Mã khách hàng]],code_khach_hang[],3,0)</f>
        <v>Miền Trung đặc biệt 1</v>
      </c>
      <c r="H819" t="str">
        <f>VLOOKUP(Table8[[#This Row],[Mã khách hàng]],'Khách hàng'!A:D,4,0)</f>
        <v>Food Đức Việt</v>
      </c>
      <c r="I819" t="str">
        <f>VLOOKUP(Table8[[#This Row],[Mã khách hàng]],'Khách hàng'!A:E,5,0)</f>
        <v>HN0040</v>
      </c>
    </row>
    <row r="820" spans="1:9">
      <c r="A820" s="14" t="s">
        <v>6779</v>
      </c>
      <c r="B820" s="15" t="s">
        <v>5</v>
      </c>
      <c r="C820" s="10" t="s">
        <v>6780</v>
      </c>
      <c r="D820" s="16" t="s">
        <v>2939</v>
      </c>
      <c r="E820" s="15" t="s">
        <v>11211</v>
      </c>
      <c r="F820" s="16" t="str">
        <f>VLOOKUP(Table8[[#This Row],[Mã khách hàng]],code_khach_hang[],2,0)</f>
        <v>CHI NHÁNH NGHỆ AN - CÔNG TY CỔ PHẦN DỊCH VỤ THƯƠNG MẠI TỔNG HỢP WINCOMMERCE</v>
      </c>
      <c r="G820" s="16" t="str">
        <f>VLOOKUP(Table8[[#This Row],[Mã khách hàng]],code_khach_hang[],3,0)</f>
        <v>Miền Trung đặc biệt 1</v>
      </c>
      <c r="H820" t="str">
        <f>VLOOKUP(Table8[[#This Row],[Mã khách hàng]],'Khách hàng'!A:D,4,0)</f>
        <v>Food Đức Việt</v>
      </c>
      <c r="I820" t="str">
        <f>VLOOKUP(Table8[[#This Row],[Mã khách hàng]],'Khách hàng'!A:E,5,0)</f>
        <v>HN0040</v>
      </c>
    </row>
    <row r="821" spans="1:9">
      <c r="A821" s="14" t="s">
        <v>5615</v>
      </c>
      <c r="B821" s="15" t="s">
        <v>5</v>
      </c>
      <c r="C821" s="10" t="s">
        <v>5616</v>
      </c>
      <c r="D821" s="16" t="s">
        <v>2942</v>
      </c>
      <c r="E821" s="15" t="s">
        <v>11211</v>
      </c>
      <c r="F821" s="16" t="str">
        <f>VLOOKUP(Table8[[#This Row],[Mã khách hàng]],code_khach_hang[],2,0)</f>
        <v>CHI NHÁNH NGHỆ AN - CÔNG TY CỔ PHẦN DỊCH VỤ THƯƠNG MẠI TỔNG HỢP WINCOMMERCE</v>
      </c>
      <c r="G821" s="16" t="str">
        <f>VLOOKUP(Table8[[#This Row],[Mã khách hàng]],code_khach_hang[],3,0)</f>
        <v>Miền Trung đặc biệt 1</v>
      </c>
      <c r="H821" t="str">
        <f>VLOOKUP(Table8[[#This Row],[Mã khách hàng]],'Khách hàng'!A:D,4,0)</f>
        <v>Food Đức Việt</v>
      </c>
      <c r="I821" t="str">
        <f>VLOOKUP(Table8[[#This Row],[Mã khách hàng]],'Khách hàng'!A:E,5,0)</f>
        <v>HN0040</v>
      </c>
    </row>
    <row r="822" spans="1:9">
      <c r="A822" s="14" t="s">
        <v>6345</v>
      </c>
      <c r="B822" s="15" t="s">
        <v>5</v>
      </c>
      <c r="C822" s="10" t="s">
        <v>6346</v>
      </c>
      <c r="D822" s="16" t="s">
        <v>2945</v>
      </c>
      <c r="E822" s="15" t="s">
        <v>11211</v>
      </c>
      <c r="F822" s="16" t="str">
        <f>VLOOKUP(Table8[[#This Row],[Mã khách hàng]],code_khach_hang[],2,0)</f>
        <v>CHI NHÁNH NGHỆ AN - CÔNG TY CỔ PHẦN DỊCH VỤ THƯƠNG MẠI TỔNG HỢP WINCOMMERCE</v>
      </c>
      <c r="G822" s="16" t="str">
        <f>VLOOKUP(Table8[[#This Row],[Mã khách hàng]],code_khach_hang[],3,0)</f>
        <v>Miền Trung đặc biệt 1</v>
      </c>
      <c r="H822" t="str">
        <f>VLOOKUP(Table8[[#This Row],[Mã khách hàng]],'Khách hàng'!A:D,4,0)</f>
        <v>Food Đức Việt</v>
      </c>
      <c r="I822" t="str">
        <f>VLOOKUP(Table8[[#This Row],[Mã khách hàng]],'Khách hàng'!A:E,5,0)</f>
        <v>HN0040</v>
      </c>
    </row>
    <row r="823" spans="1:9">
      <c r="A823" s="14" t="s">
        <v>5980</v>
      </c>
      <c r="B823" s="15" t="s">
        <v>5</v>
      </c>
      <c r="C823" s="10" t="s">
        <v>5981</v>
      </c>
      <c r="D823" s="16" t="s">
        <v>2948</v>
      </c>
      <c r="E823" s="15" t="s">
        <v>11211</v>
      </c>
      <c r="F823" s="16" t="str">
        <f>VLOOKUP(Table8[[#This Row],[Mã khách hàng]],code_khach_hang[],2,0)</f>
        <v>CHI NHÁNH NGHỆ AN - CÔNG TY CỔ PHẦN DỊCH VỤ THƯƠNG MẠI TỔNG HỢP WINCOMMERCE</v>
      </c>
      <c r="G823" s="16" t="str">
        <f>VLOOKUP(Table8[[#This Row],[Mã khách hàng]],code_khach_hang[],3,0)</f>
        <v>Miền Trung đặc biệt 1</v>
      </c>
      <c r="H823" t="str">
        <f>VLOOKUP(Table8[[#This Row],[Mã khách hàng]],'Khách hàng'!A:D,4,0)</f>
        <v>Food Đức Việt</v>
      </c>
      <c r="I823" t="str">
        <f>VLOOKUP(Table8[[#This Row],[Mã khách hàng]],'Khách hàng'!A:E,5,0)</f>
        <v>HN0040</v>
      </c>
    </row>
    <row r="824" spans="1:9">
      <c r="A824" s="14" t="s">
        <v>7759</v>
      </c>
      <c r="B824" s="15" t="s">
        <v>5</v>
      </c>
      <c r="C824" s="10" t="s">
        <v>7760</v>
      </c>
      <c r="D824" s="16" t="s">
        <v>2951</v>
      </c>
      <c r="E824" s="15" t="s">
        <v>11211</v>
      </c>
      <c r="F824" s="16" t="str">
        <f>VLOOKUP(Table8[[#This Row],[Mã khách hàng]],code_khach_hang[],2,0)</f>
        <v>CHI NHÁNH NGHỆ AN - CÔNG TY CỔ PHẦN DỊCH VỤ THƯƠNG MẠI TỔNG HỢP WINCOMMERCE</v>
      </c>
      <c r="G824" s="16" t="str">
        <f>VLOOKUP(Table8[[#This Row],[Mã khách hàng]],code_khach_hang[],3,0)</f>
        <v>Miền Trung đặc biệt 1</v>
      </c>
      <c r="H824" t="str">
        <f>VLOOKUP(Table8[[#This Row],[Mã khách hàng]],'Khách hàng'!A:D,4,0)</f>
        <v>Food Đức Việt</v>
      </c>
      <c r="I824" t="str">
        <f>VLOOKUP(Table8[[#This Row],[Mã khách hàng]],'Khách hàng'!A:E,5,0)</f>
        <v>HN0040</v>
      </c>
    </row>
    <row r="825" spans="1:9">
      <c r="A825" s="14" t="s">
        <v>5564</v>
      </c>
      <c r="B825" s="15" t="s">
        <v>5</v>
      </c>
      <c r="C825" s="10" t="s">
        <v>5565</v>
      </c>
      <c r="D825" s="16" t="s">
        <v>2954</v>
      </c>
      <c r="E825" s="15" t="s">
        <v>11211</v>
      </c>
      <c r="F825" s="16" t="str">
        <f>VLOOKUP(Table8[[#This Row],[Mã khách hàng]],code_khach_hang[],2,0)</f>
        <v>CHI NHÁNH NGHỆ AN - CÔNG TY CỔ PHẦN DỊCH VỤ THƯƠNG MẠI TỔNG HỢP WINCOMMERCE</v>
      </c>
      <c r="G825" s="16" t="str">
        <f>VLOOKUP(Table8[[#This Row],[Mã khách hàng]],code_khach_hang[],3,0)</f>
        <v>Miền Trung đặc biệt 1</v>
      </c>
      <c r="H825" t="str">
        <f>VLOOKUP(Table8[[#This Row],[Mã khách hàng]],'Khách hàng'!A:D,4,0)</f>
        <v>Food Đức Việt</v>
      </c>
      <c r="I825" t="str">
        <f>VLOOKUP(Table8[[#This Row],[Mã khách hàng]],'Khách hàng'!A:E,5,0)</f>
        <v>HN0040</v>
      </c>
    </row>
    <row r="826" spans="1:9">
      <c r="A826" s="14" t="s">
        <v>6040</v>
      </c>
      <c r="B826" s="15" t="s">
        <v>5</v>
      </c>
      <c r="C826" s="10" t="s">
        <v>6041</v>
      </c>
      <c r="D826" s="16" t="s">
        <v>2957</v>
      </c>
      <c r="E826" s="15" t="s">
        <v>11211</v>
      </c>
      <c r="F826" s="16" t="str">
        <f>VLOOKUP(Table8[[#This Row],[Mã khách hàng]],code_khach_hang[],2,0)</f>
        <v>CHI NHÁNH NGHỆ AN - CÔNG TY CỔ PHẦN DỊCH VỤ THƯƠNG MẠI TỔNG HỢP WINCOMMERCE</v>
      </c>
      <c r="G826" s="16" t="str">
        <f>VLOOKUP(Table8[[#This Row],[Mã khách hàng]],code_khach_hang[],3,0)</f>
        <v>Miền Trung đặc biệt 1</v>
      </c>
      <c r="H826" t="str">
        <f>VLOOKUP(Table8[[#This Row],[Mã khách hàng]],'Khách hàng'!A:D,4,0)</f>
        <v>Food Đức Việt</v>
      </c>
      <c r="I826" t="str">
        <f>VLOOKUP(Table8[[#This Row],[Mã khách hàng]],'Khách hàng'!A:E,5,0)</f>
        <v>HN0040</v>
      </c>
    </row>
    <row r="827" spans="1:9">
      <c r="A827" s="14" t="s">
        <v>6342</v>
      </c>
      <c r="B827" s="15" t="s">
        <v>5</v>
      </c>
      <c r="C827" s="10" t="s">
        <v>6343</v>
      </c>
      <c r="D827" s="16" t="s">
        <v>2960</v>
      </c>
      <c r="E827" s="15" t="s">
        <v>11211</v>
      </c>
      <c r="F827" s="16" t="str">
        <f>VLOOKUP(Table8[[#This Row],[Mã khách hàng]],code_khach_hang[],2,0)</f>
        <v>CHI NHÁNH NGHỆ AN - CÔNG TY CỔ PHẦN DỊCH VỤ THƯƠNG MẠI TỔNG HỢP WINCOMMERCE</v>
      </c>
      <c r="G827" s="16" t="str">
        <f>VLOOKUP(Table8[[#This Row],[Mã khách hàng]],code_khach_hang[],3,0)</f>
        <v>Miền Trung đặc biệt 1</v>
      </c>
      <c r="H827" t="str">
        <f>VLOOKUP(Table8[[#This Row],[Mã khách hàng]],'Khách hàng'!A:D,4,0)</f>
        <v>Food Đức Việt</v>
      </c>
      <c r="I827" t="str">
        <f>VLOOKUP(Table8[[#This Row],[Mã khách hàng]],'Khách hàng'!A:E,5,0)</f>
        <v>HN0040</v>
      </c>
    </row>
    <row r="828" spans="1:9">
      <c r="A828" s="14" t="s">
        <v>8154</v>
      </c>
      <c r="B828" s="15" t="s">
        <v>5</v>
      </c>
      <c r="C828" s="10" t="s">
        <v>8155</v>
      </c>
      <c r="D828" s="16" t="s">
        <v>2963</v>
      </c>
      <c r="E828" s="15" t="s">
        <v>11211</v>
      </c>
      <c r="F828" s="16" t="str">
        <f>VLOOKUP(Table8[[#This Row],[Mã khách hàng]],code_khach_hang[],2,0)</f>
        <v>CHI NHÁNH NGHỆ AN - CÔNG TY CỔ PHẦN DỊCH VỤ THƯƠNG MẠI TỔNG HỢP WINCOMMERCE</v>
      </c>
      <c r="G828" s="16" t="str">
        <f>VLOOKUP(Table8[[#This Row],[Mã khách hàng]],code_khach_hang[],3,0)</f>
        <v>Miền Trung đặc biệt 1</v>
      </c>
      <c r="H828" t="str">
        <f>VLOOKUP(Table8[[#This Row],[Mã khách hàng]],'Khách hàng'!A:D,4,0)</f>
        <v>Food Đức Việt</v>
      </c>
      <c r="I828" t="str">
        <f>VLOOKUP(Table8[[#This Row],[Mã khách hàng]],'Khách hàng'!A:E,5,0)</f>
        <v>HN0040</v>
      </c>
    </row>
    <row r="829" spans="1:9">
      <c r="A829" s="14" t="s">
        <v>7951</v>
      </c>
      <c r="B829" s="15" t="s">
        <v>5</v>
      </c>
      <c r="C829" s="10" t="s">
        <v>7952</v>
      </c>
      <c r="D829" s="16" t="s">
        <v>2966</v>
      </c>
      <c r="E829" s="15" t="s">
        <v>11211</v>
      </c>
      <c r="F829" s="16" t="str">
        <f>VLOOKUP(Table8[[#This Row],[Mã khách hàng]],code_khach_hang[],2,0)</f>
        <v>CHI NHÁNH NGHỆ AN - CÔNG TY CỔ PHẦN DỊCH VỤ THƯƠNG MẠI TỔNG HỢP WINCOMMERCE</v>
      </c>
      <c r="G829" s="16" t="str">
        <f>VLOOKUP(Table8[[#This Row],[Mã khách hàng]],code_khach_hang[],3,0)</f>
        <v>Miền Trung đặc biệt 1</v>
      </c>
      <c r="H829" t="str">
        <f>VLOOKUP(Table8[[#This Row],[Mã khách hàng]],'Khách hàng'!A:D,4,0)</f>
        <v>Food Đức Việt</v>
      </c>
      <c r="I829" t="str">
        <f>VLOOKUP(Table8[[#This Row],[Mã khách hàng]],'Khách hàng'!A:E,5,0)</f>
        <v>HN0040</v>
      </c>
    </row>
    <row r="830" spans="1:9">
      <c r="A830" s="14" t="s">
        <v>7831</v>
      </c>
      <c r="B830" s="15" t="s">
        <v>5</v>
      </c>
      <c r="C830" s="10" t="s">
        <v>7832</v>
      </c>
      <c r="D830" s="16" t="s">
        <v>2969</v>
      </c>
      <c r="E830" s="15" t="s">
        <v>11211</v>
      </c>
      <c r="F830" s="16" t="str">
        <f>VLOOKUP(Table8[[#This Row],[Mã khách hàng]],code_khach_hang[],2,0)</f>
        <v>CHI NHÁNH NGHỆ AN - CÔNG TY CỔ PHẦN DỊCH VỤ THƯƠNG MẠI TỔNG HỢP WINCOMMERCE</v>
      </c>
      <c r="G830" s="16" t="str">
        <f>VLOOKUP(Table8[[#This Row],[Mã khách hàng]],code_khach_hang[],3,0)</f>
        <v>Miền Trung đặc biệt 1</v>
      </c>
      <c r="H830" t="str">
        <f>VLOOKUP(Table8[[#This Row],[Mã khách hàng]],'Khách hàng'!A:D,4,0)</f>
        <v>Food Đức Việt</v>
      </c>
      <c r="I830" t="str">
        <f>VLOOKUP(Table8[[#This Row],[Mã khách hàng]],'Khách hàng'!A:E,5,0)</f>
        <v>HN0040</v>
      </c>
    </row>
    <row r="831" spans="1:9">
      <c r="A831" s="14" t="s">
        <v>7866</v>
      </c>
      <c r="B831" s="15" t="s">
        <v>5</v>
      </c>
      <c r="C831" s="10" t="s">
        <v>7867</v>
      </c>
      <c r="D831" s="16" t="s">
        <v>2972</v>
      </c>
      <c r="E831" s="15" t="s">
        <v>11211</v>
      </c>
      <c r="F831" s="16" t="str">
        <f>VLOOKUP(Table8[[#This Row],[Mã khách hàng]],code_khach_hang[],2,0)</f>
        <v>CHI NHÁNH NGHỆ AN - CÔNG TY CỔ PHẦN DỊCH VỤ THƯƠNG MẠI TỔNG HỢP WINCOMMERCE</v>
      </c>
      <c r="G831" s="16" t="str">
        <f>VLOOKUP(Table8[[#This Row],[Mã khách hàng]],code_khach_hang[],3,0)</f>
        <v>Miền Trung đặc biệt 1</v>
      </c>
      <c r="H831" t="str">
        <f>VLOOKUP(Table8[[#This Row],[Mã khách hàng]],'Khách hàng'!A:D,4,0)</f>
        <v>Food Đức Việt</v>
      </c>
      <c r="I831" t="str">
        <f>VLOOKUP(Table8[[#This Row],[Mã khách hàng]],'Khách hàng'!A:E,5,0)</f>
        <v>HN0040</v>
      </c>
    </row>
    <row r="832" spans="1:9">
      <c r="A832" s="14" t="s">
        <v>7886</v>
      </c>
      <c r="B832" s="15" t="s">
        <v>5</v>
      </c>
      <c r="C832" s="10" t="s">
        <v>7887</v>
      </c>
      <c r="D832" s="16" t="s">
        <v>2975</v>
      </c>
      <c r="E832" s="15" t="s">
        <v>11211</v>
      </c>
      <c r="F832" s="16" t="str">
        <f>VLOOKUP(Table8[[#This Row],[Mã khách hàng]],code_khach_hang[],2,0)</f>
        <v>CHI NHÁNH NGHỆ AN - CÔNG TY CỔ PHẦN DỊCH VỤ THƯƠNG MẠI TỔNG HỢP WINCOMMERCE</v>
      </c>
      <c r="G832" s="16" t="str">
        <f>VLOOKUP(Table8[[#This Row],[Mã khách hàng]],code_khach_hang[],3,0)</f>
        <v>Miền Trung đặc biệt 1</v>
      </c>
      <c r="H832" t="str">
        <f>VLOOKUP(Table8[[#This Row],[Mã khách hàng]],'Khách hàng'!A:D,4,0)</f>
        <v>Food Đức Việt</v>
      </c>
      <c r="I832" t="str">
        <f>VLOOKUP(Table8[[#This Row],[Mã khách hàng]],'Khách hàng'!A:E,5,0)</f>
        <v>HN0040</v>
      </c>
    </row>
    <row r="833" spans="1:9">
      <c r="A833" s="14" t="s">
        <v>8163</v>
      </c>
      <c r="B833" s="15" t="s">
        <v>5</v>
      </c>
      <c r="C833" s="10" t="s">
        <v>8164</v>
      </c>
      <c r="D833" s="16" t="s">
        <v>2978</v>
      </c>
      <c r="E833" s="15" t="s">
        <v>11211</v>
      </c>
      <c r="F833" s="16" t="str">
        <f>VLOOKUP(Table8[[#This Row],[Mã khách hàng]],code_khach_hang[],2,0)</f>
        <v>CHI NHÁNH NGHỆ AN - CÔNG TY CỔ PHẦN DỊCH VỤ THƯƠNG MẠI TỔNG HỢP WINCOMMERCE</v>
      </c>
      <c r="G833" s="16" t="str">
        <f>VLOOKUP(Table8[[#This Row],[Mã khách hàng]],code_khach_hang[],3,0)</f>
        <v>Miền Trung đặc biệt 1</v>
      </c>
      <c r="H833" t="str">
        <f>VLOOKUP(Table8[[#This Row],[Mã khách hàng]],'Khách hàng'!A:D,4,0)</f>
        <v>Food Đức Việt</v>
      </c>
      <c r="I833" t="str">
        <f>VLOOKUP(Table8[[#This Row],[Mã khách hàng]],'Khách hàng'!A:E,5,0)</f>
        <v>HN0040</v>
      </c>
    </row>
    <row r="834" spans="1:9">
      <c r="A834" s="14" t="s">
        <v>8204</v>
      </c>
      <c r="B834" s="15" t="s">
        <v>5</v>
      </c>
      <c r="C834" s="10" t="s">
        <v>8205</v>
      </c>
      <c r="D834" s="16" t="s">
        <v>2981</v>
      </c>
      <c r="E834" s="15" t="s">
        <v>11211</v>
      </c>
      <c r="F834" s="16" t="str">
        <f>VLOOKUP(Table8[[#This Row],[Mã khách hàng]],code_khach_hang[],2,0)</f>
        <v>CHI NHÁNH NGHỆ AN - CÔNG TY CỔ PHẦN DỊCH VỤ THƯƠNG MẠI TỔNG HỢP WINCOMMERCE</v>
      </c>
      <c r="G834" s="16" t="str">
        <f>VLOOKUP(Table8[[#This Row],[Mã khách hàng]],code_khach_hang[],3,0)</f>
        <v>Miền Trung đặc biệt 1</v>
      </c>
      <c r="H834" t="str">
        <f>VLOOKUP(Table8[[#This Row],[Mã khách hàng]],'Khách hàng'!A:D,4,0)</f>
        <v>Food Đức Việt</v>
      </c>
      <c r="I834" t="str">
        <f>VLOOKUP(Table8[[#This Row],[Mã khách hàng]],'Khách hàng'!A:E,5,0)</f>
        <v>HN0040</v>
      </c>
    </row>
    <row r="835" spans="1:9">
      <c r="A835" s="14" t="s">
        <v>8166</v>
      </c>
      <c r="B835" s="15" t="s">
        <v>5</v>
      </c>
      <c r="C835" s="10" t="s">
        <v>8167</v>
      </c>
      <c r="D835" s="16" t="s">
        <v>2984</v>
      </c>
      <c r="E835" s="15" t="s">
        <v>11211</v>
      </c>
      <c r="F835" s="16" t="str">
        <f>VLOOKUP(Table8[[#This Row],[Mã khách hàng]],code_khach_hang[],2,0)</f>
        <v>CHI NHÁNH NGHỆ AN - CÔNG TY CỔ PHẦN DỊCH VỤ THƯƠNG MẠI TỔNG HỢP WINCOMMERCE</v>
      </c>
      <c r="G835" s="16" t="str">
        <f>VLOOKUP(Table8[[#This Row],[Mã khách hàng]],code_khach_hang[],3,0)</f>
        <v>Miền Trung đặc biệt 1</v>
      </c>
      <c r="H835" t="str">
        <f>VLOOKUP(Table8[[#This Row],[Mã khách hàng]],'Khách hàng'!A:D,4,0)</f>
        <v>Food Đức Việt</v>
      </c>
      <c r="I835" t="str">
        <f>VLOOKUP(Table8[[#This Row],[Mã khách hàng]],'Khách hàng'!A:E,5,0)</f>
        <v>HN0040</v>
      </c>
    </row>
    <row r="836" spans="1:9">
      <c r="A836" s="14" t="s">
        <v>8269</v>
      </c>
      <c r="B836" s="15" t="s">
        <v>5</v>
      </c>
      <c r="C836" s="10" t="s">
        <v>8270</v>
      </c>
      <c r="D836" s="16" t="s">
        <v>2987</v>
      </c>
      <c r="E836" s="15" t="s">
        <v>11211</v>
      </c>
      <c r="F836" s="16" t="str">
        <f>VLOOKUP(Table8[[#This Row],[Mã khách hàng]],code_khach_hang[],2,0)</f>
        <v>CHI NHÁNH NGHỆ AN - CÔNG TY CỔ PHẦN DỊCH VỤ THƯƠNG MẠI TỔNG HỢP WINCOMMERCE</v>
      </c>
      <c r="G836" s="16" t="str">
        <f>VLOOKUP(Table8[[#This Row],[Mã khách hàng]],code_khach_hang[],3,0)</f>
        <v>Miền Trung đặc biệt 1</v>
      </c>
      <c r="H836" t="str">
        <f>VLOOKUP(Table8[[#This Row],[Mã khách hàng]],'Khách hàng'!A:D,4,0)</f>
        <v>Food Đức Việt</v>
      </c>
      <c r="I836" t="str">
        <f>VLOOKUP(Table8[[#This Row],[Mã khách hàng]],'Khách hàng'!A:E,5,0)</f>
        <v>HN0040</v>
      </c>
    </row>
    <row r="837" spans="1:9">
      <c r="A837" s="14" t="s">
        <v>7861</v>
      </c>
      <c r="B837" s="15" t="s">
        <v>5</v>
      </c>
      <c r="C837" s="10" t="e">
        <v>#N/A</v>
      </c>
      <c r="D837" s="16" t="s">
        <v>2990</v>
      </c>
      <c r="E837" s="15" t="s">
        <v>11211</v>
      </c>
      <c r="F837" s="16" t="str">
        <f>VLOOKUP(Table8[[#This Row],[Mã khách hàng]],code_khach_hang[],2,0)</f>
        <v>CHI NHÁNH NGHỆ AN - CÔNG TY CỔ PHẦN DỊCH VỤ THƯƠNG MẠI TỔNG HỢP WINCOMMERCE</v>
      </c>
      <c r="G837" s="16" t="str">
        <f>VLOOKUP(Table8[[#This Row],[Mã khách hàng]],code_khach_hang[],3,0)</f>
        <v>Miền Trung đặc biệt 1</v>
      </c>
      <c r="H837" t="str">
        <f>VLOOKUP(Table8[[#This Row],[Mã khách hàng]],'Khách hàng'!A:D,4,0)</f>
        <v>Food Đức Việt</v>
      </c>
      <c r="I837" t="str">
        <f>VLOOKUP(Table8[[#This Row],[Mã khách hàng]],'Khách hàng'!A:E,5,0)</f>
        <v>HN0040</v>
      </c>
    </row>
    <row r="838" spans="1:9">
      <c r="A838" s="14" t="s">
        <v>8370</v>
      </c>
      <c r="B838" s="15" t="s">
        <v>5</v>
      </c>
      <c r="C838" s="10" t="s">
        <v>8371</v>
      </c>
      <c r="D838" s="16" t="s">
        <v>2993</v>
      </c>
      <c r="E838" s="15" t="s">
        <v>11211</v>
      </c>
      <c r="F838" s="16" t="str">
        <f>VLOOKUP(Table8[[#This Row],[Mã khách hàng]],code_khach_hang[],2,0)</f>
        <v>CHI NHÁNH NGHỆ AN - CÔNG TY CỔ PHẦN DỊCH VỤ THƯƠNG MẠI TỔNG HỢP WINCOMMERCE</v>
      </c>
      <c r="G838" s="16" t="str">
        <f>VLOOKUP(Table8[[#This Row],[Mã khách hàng]],code_khach_hang[],3,0)</f>
        <v>Miền Trung đặc biệt 1</v>
      </c>
      <c r="H838" t="str">
        <f>VLOOKUP(Table8[[#This Row],[Mã khách hàng]],'Khách hàng'!A:D,4,0)</f>
        <v>Food Đức Việt</v>
      </c>
      <c r="I838" t="str">
        <f>VLOOKUP(Table8[[#This Row],[Mã khách hàng]],'Khách hàng'!A:E,5,0)</f>
        <v>HN0040</v>
      </c>
    </row>
    <row r="839" spans="1:9">
      <c r="A839" s="14" t="s">
        <v>8292</v>
      </c>
      <c r="B839" s="15" t="s">
        <v>5</v>
      </c>
      <c r="C839" s="10" t="s">
        <v>8293</v>
      </c>
      <c r="D839" s="16" t="s">
        <v>2996</v>
      </c>
      <c r="E839" s="15" t="s">
        <v>11211</v>
      </c>
      <c r="F839" s="16" t="str">
        <f>VLOOKUP(Table8[[#This Row],[Mã khách hàng]],code_khach_hang[],2,0)</f>
        <v>CHI NHÁNH NGHỆ AN - CÔNG TY CỔ PHẦN DỊCH VỤ THƯƠNG MẠI TỔNG HỢP WINCOMMERCE</v>
      </c>
      <c r="G839" s="16" t="str">
        <f>VLOOKUP(Table8[[#This Row],[Mã khách hàng]],code_khach_hang[],3,0)</f>
        <v>Miền Trung đặc biệt 1</v>
      </c>
      <c r="H839" t="str">
        <f>VLOOKUP(Table8[[#This Row],[Mã khách hàng]],'Khách hàng'!A:D,4,0)</f>
        <v>Food Đức Việt</v>
      </c>
      <c r="I839" t="str">
        <f>VLOOKUP(Table8[[#This Row],[Mã khách hàng]],'Khách hàng'!A:E,5,0)</f>
        <v>HN0040</v>
      </c>
    </row>
    <row r="840" spans="1:9">
      <c r="A840" s="14" t="s">
        <v>8379</v>
      </c>
      <c r="B840" s="15" t="s">
        <v>5</v>
      </c>
      <c r="C840" s="10" t="e">
        <v>#N/A</v>
      </c>
      <c r="D840" s="16" t="s">
        <v>2999</v>
      </c>
      <c r="E840" s="15" t="s">
        <v>11211</v>
      </c>
      <c r="F840" s="16" t="str">
        <f>VLOOKUP(Table8[[#This Row],[Mã khách hàng]],code_khach_hang[],2,0)</f>
        <v>CHI NHÁNH NGHỆ AN - CÔNG TY CỔ PHẦN DỊCH VỤ THƯƠNG MẠI TỔNG HỢP WINCOMMERCE</v>
      </c>
      <c r="G840" s="16" t="str">
        <f>VLOOKUP(Table8[[#This Row],[Mã khách hàng]],code_khach_hang[],3,0)</f>
        <v>Miền Trung đặc biệt 1</v>
      </c>
      <c r="H840" t="str">
        <f>VLOOKUP(Table8[[#This Row],[Mã khách hàng]],'Khách hàng'!A:D,4,0)</f>
        <v>Food Đức Việt</v>
      </c>
      <c r="I840" t="str">
        <f>VLOOKUP(Table8[[#This Row],[Mã khách hàng]],'Khách hàng'!A:E,5,0)</f>
        <v>HN0040</v>
      </c>
    </row>
    <row r="841" spans="1:9">
      <c r="A841" s="14" t="s">
        <v>8390</v>
      </c>
      <c r="B841" s="15" t="s">
        <v>5</v>
      </c>
      <c r="C841" s="10" t="s">
        <v>8391</v>
      </c>
      <c r="D841" s="16" t="s">
        <v>3002</v>
      </c>
      <c r="E841" s="15" t="s">
        <v>11211</v>
      </c>
      <c r="F841" s="16" t="str">
        <f>VLOOKUP(Table8[[#This Row],[Mã khách hàng]],code_khach_hang[],2,0)</f>
        <v>CHI NHÁNH NGHỆ AN - CÔNG TY CỔ PHẦN DỊCH VỤ THƯƠNG MẠI TỔNG HỢP WINCOMMERCE</v>
      </c>
      <c r="G841" s="16" t="str">
        <f>VLOOKUP(Table8[[#This Row],[Mã khách hàng]],code_khach_hang[],3,0)</f>
        <v>Miền Trung đặc biệt 1</v>
      </c>
      <c r="H841" t="str">
        <f>VLOOKUP(Table8[[#This Row],[Mã khách hàng]],'Khách hàng'!A:D,4,0)</f>
        <v>Food Đức Việt</v>
      </c>
      <c r="I841" t="str">
        <f>VLOOKUP(Table8[[#This Row],[Mã khách hàng]],'Khách hàng'!A:E,5,0)</f>
        <v>HN0040</v>
      </c>
    </row>
    <row r="842" spans="1:9">
      <c r="A842" s="14" t="s">
        <v>8396</v>
      </c>
      <c r="B842" s="15" t="s">
        <v>5</v>
      </c>
      <c r="C842" s="10" t="s">
        <v>8397</v>
      </c>
      <c r="D842" s="16" t="s">
        <v>3005</v>
      </c>
      <c r="E842" s="15" t="s">
        <v>11211</v>
      </c>
      <c r="F842" s="16" t="str">
        <f>VLOOKUP(Table8[[#This Row],[Mã khách hàng]],code_khach_hang[],2,0)</f>
        <v>CHI NHÁNH NGHỆ AN - CÔNG TY CỔ PHẦN DỊCH VỤ THƯƠNG MẠI TỔNG HỢP WINCOMMERCE</v>
      </c>
      <c r="G842" s="16" t="str">
        <f>VLOOKUP(Table8[[#This Row],[Mã khách hàng]],code_khach_hang[],3,0)</f>
        <v>Miền Trung đặc biệt 1</v>
      </c>
      <c r="H842" t="str">
        <f>VLOOKUP(Table8[[#This Row],[Mã khách hàng]],'Khách hàng'!A:D,4,0)</f>
        <v>Food Đức Việt</v>
      </c>
      <c r="I842" t="str">
        <f>VLOOKUP(Table8[[#This Row],[Mã khách hàng]],'Khách hàng'!A:E,5,0)</f>
        <v>HN0040</v>
      </c>
    </row>
    <row r="843" spans="1:9">
      <c r="A843" s="14" t="s">
        <v>8454</v>
      </c>
      <c r="B843" s="15" t="s">
        <v>5</v>
      </c>
      <c r="C843" s="10" t="s">
        <v>8455</v>
      </c>
      <c r="D843" s="16" t="s">
        <v>3008</v>
      </c>
      <c r="E843" s="15" t="s">
        <v>11211</v>
      </c>
      <c r="F843" s="16" t="str">
        <f>VLOOKUP(Table8[[#This Row],[Mã khách hàng]],code_khach_hang[],2,0)</f>
        <v>CHI NHÁNH NGHỆ AN - CÔNG TY CỔ PHẦN DỊCH VỤ THƯƠNG MẠI TỔNG HỢP WINCOMMERCE</v>
      </c>
      <c r="G843" s="16" t="str">
        <f>VLOOKUP(Table8[[#This Row],[Mã khách hàng]],code_khach_hang[],3,0)</f>
        <v>Miền Trung đặc biệt 1</v>
      </c>
      <c r="H843" t="str">
        <f>VLOOKUP(Table8[[#This Row],[Mã khách hàng]],'Khách hàng'!A:D,4,0)</f>
        <v>Food Đức Việt</v>
      </c>
      <c r="I843" t="str">
        <f>VLOOKUP(Table8[[#This Row],[Mã khách hàng]],'Khách hàng'!A:E,5,0)</f>
        <v>HN0040</v>
      </c>
    </row>
    <row r="844" spans="1:9">
      <c r="A844" s="14" t="s">
        <v>8492</v>
      </c>
      <c r="B844" s="15" t="s">
        <v>5</v>
      </c>
      <c r="C844" s="10" t="e">
        <v>#N/A</v>
      </c>
      <c r="D844" s="16" t="s">
        <v>3011</v>
      </c>
      <c r="E844" s="15" t="s">
        <v>11211</v>
      </c>
      <c r="F844" s="16" t="str">
        <f>VLOOKUP(Table8[[#This Row],[Mã khách hàng]],code_khach_hang[],2,0)</f>
        <v>CHI NHÁNH NGHỆ AN - CÔNG TY CỔ PHẦN DỊCH VỤ THƯƠNG MẠI TỔNG HỢP WINCOMMERCE</v>
      </c>
      <c r="G844" s="16" t="str">
        <f>VLOOKUP(Table8[[#This Row],[Mã khách hàng]],code_khach_hang[],3,0)</f>
        <v>Miền Trung đặc biệt 1</v>
      </c>
      <c r="H844" t="str">
        <f>VLOOKUP(Table8[[#This Row],[Mã khách hàng]],'Khách hàng'!A:D,4,0)</f>
        <v>Food Đức Việt</v>
      </c>
      <c r="I844" t="str">
        <f>VLOOKUP(Table8[[#This Row],[Mã khách hàng]],'Khách hàng'!A:E,5,0)</f>
        <v>HN0040</v>
      </c>
    </row>
    <row r="845" spans="1:9">
      <c r="A845" s="14" t="s">
        <v>8384</v>
      </c>
      <c r="B845" s="15" t="s">
        <v>5</v>
      </c>
      <c r="C845" s="10" t="s">
        <v>8385</v>
      </c>
      <c r="D845" s="16" t="s">
        <v>3014</v>
      </c>
      <c r="E845" s="15" t="s">
        <v>11211</v>
      </c>
      <c r="F845" s="16" t="str">
        <f>VLOOKUP(Table8[[#This Row],[Mã khách hàng]],code_khach_hang[],2,0)</f>
        <v>CHI NHÁNH NGHỆ AN - CÔNG TY CỔ PHẦN DỊCH VỤ THƯƠNG MẠI TỔNG HỢP WINCOMMERCE</v>
      </c>
      <c r="G845" s="16" t="str">
        <f>VLOOKUP(Table8[[#This Row],[Mã khách hàng]],code_khach_hang[],3,0)</f>
        <v>Miền Trung đặc biệt 1</v>
      </c>
      <c r="H845" t="str">
        <f>VLOOKUP(Table8[[#This Row],[Mã khách hàng]],'Khách hàng'!A:D,4,0)</f>
        <v>Food Đức Việt</v>
      </c>
      <c r="I845" t="str">
        <f>VLOOKUP(Table8[[#This Row],[Mã khách hàng]],'Khách hàng'!A:E,5,0)</f>
        <v>HN0040</v>
      </c>
    </row>
    <row r="846" spans="1:9">
      <c r="A846" s="14" t="s">
        <v>8416</v>
      </c>
      <c r="B846" s="15" t="s">
        <v>5</v>
      </c>
      <c r="C846" s="10" t="s">
        <v>8417</v>
      </c>
      <c r="D846" s="16" t="s">
        <v>3016</v>
      </c>
      <c r="E846" s="15" t="s">
        <v>11211</v>
      </c>
      <c r="F846" s="16" t="str">
        <f>VLOOKUP(Table8[[#This Row],[Mã khách hàng]],code_khach_hang[],2,0)</f>
        <v>CHI NHÁNH NGHỆ AN - CÔNG TY CỔ PHẦN DỊCH VỤ THƯƠNG MẠI TỔNG HỢP WINCOMMERCE</v>
      </c>
      <c r="G846" s="16" t="str">
        <f>VLOOKUP(Table8[[#This Row],[Mã khách hàng]],code_khach_hang[],3,0)</f>
        <v>Miền Trung đặc biệt 1</v>
      </c>
      <c r="H846" t="str">
        <f>VLOOKUP(Table8[[#This Row],[Mã khách hàng]],'Khách hàng'!A:D,4,0)</f>
        <v>Food Đức Việt</v>
      </c>
      <c r="I846" t="str">
        <f>VLOOKUP(Table8[[#This Row],[Mã khách hàng]],'Khách hàng'!A:E,5,0)</f>
        <v>HN0040</v>
      </c>
    </row>
    <row r="847" spans="1:9">
      <c r="A847" s="14" t="s">
        <v>8541</v>
      </c>
      <c r="B847" s="15" t="s">
        <v>5</v>
      </c>
      <c r="C847" s="10" t="s">
        <v>8542</v>
      </c>
      <c r="D847" s="16" t="s">
        <v>3019</v>
      </c>
      <c r="E847" s="15" t="s">
        <v>11211</v>
      </c>
      <c r="F847" s="16" t="str">
        <f>VLOOKUP(Table8[[#This Row],[Mã khách hàng]],code_khach_hang[],2,0)</f>
        <v>CHI NHÁNH NGHỆ AN - CÔNG TY CỔ PHẦN DỊCH VỤ THƯƠNG MẠI TỔNG HỢP WINCOMMERCE</v>
      </c>
      <c r="G847" s="16" t="str">
        <f>VLOOKUP(Table8[[#This Row],[Mã khách hàng]],code_khach_hang[],3,0)</f>
        <v>Miền Trung đặc biệt 1</v>
      </c>
      <c r="H847" t="str">
        <f>VLOOKUP(Table8[[#This Row],[Mã khách hàng]],'Khách hàng'!A:D,4,0)</f>
        <v>Food Đức Việt</v>
      </c>
      <c r="I847" t="str">
        <f>VLOOKUP(Table8[[#This Row],[Mã khách hàng]],'Khách hàng'!A:E,5,0)</f>
        <v>HN0040</v>
      </c>
    </row>
    <row r="848" spans="1:9">
      <c r="A848" s="14" t="s">
        <v>8565</v>
      </c>
      <c r="B848" s="15" t="s">
        <v>5</v>
      </c>
      <c r="C848" s="10" t="e">
        <v>#N/A</v>
      </c>
      <c r="D848" s="16" t="s">
        <v>3022</v>
      </c>
      <c r="E848" s="15" t="s">
        <v>11211</v>
      </c>
      <c r="F848" s="16" t="str">
        <f>VLOOKUP(Table8[[#This Row],[Mã khách hàng]],code_khach_hang[],2,0)</f>
        <v>CHI NHÁNH NGHỆ AN - CÔNG TY CỔ PHẦN DỊCH VỤ THƯƠNG MẠI TỔNG HỢP WINCOMMERCE</v>
      </c>
      <c r="G848" s="16" t="str">
        <f>VLOOKUP(Table8[[#This Row],[Mã khách hàng]],code_khach_hang[],3,0)</f>
        <v>Miền Trung đặc biệt 1</v>
      </c>
      <c r="H848" t="str">
        <f>VLOOKUP(Table8[[#This Row],[Mã khách hàng]],'Khách hàng'!A:D,4,0)</f>
        <v>Food Đức Việt</v>
      </c>
      <c r="I848" t="str">
        <f>VLOOKUP(Table8[[#This Row],[Mã khách hàng]],'Khách hàng'!A:E,5,0)</f>
        <v>HN0040</v>
      </c>
    </row>
    <row r="849" spans="1:9">
      <c r="A849" s="14" t="s">
        <v>8567</v>
      </c>
      <c r="B849" s="15" t="s">
        <v>5</v>
      </c>
      <c r="C849" s="10" t="s">
        <v>8568</v>
      </c>
      <c r="D849" s="16" t="s">
        <v>3025</v>
      </c>
      <c r="E849" s="15" t="s">
        <v>11211</v>
      </c>
      <c r="F849" s="16" t="str">
        <f>VLOOKUP(Table8[[#This Row],[Mã khách hàng]],code_khach_hang[],2,0)</f>
        <v>CHI NHÁNH NGHỆ AN - CÔNG TY CỔ PHẦN DỊCH VỤ THƯƠNG MẠI TỔNG HỢP WINCOMMERCE</v>
      </c>
      <c r="G849" s="16" t="str">
        <f>VLOOKUP(Table8[[#This Row],[Mã khách hàng]],code_khach_hang[],3,0)</f>
        <v>Miền Trung đặc biệt 1</v>
      </c>
      <c r="H849" t="str">
        <f>VLOOKUP(Table8[[#This Row],[Mã khách hàng]],'Khách hàng'!A:D,4,0)</f>
        <v>Food Đức Việt</v>
      </c>
      <c r="I849" t="str">
        <f>VLOOKUP(Table8[[#This Row],[Mã khách hàng]],'Khách hàng'!A:E,5,0)</f>
        <v>HN0040</v>
      </c>
    </row>
    <row r="850" spans="1:9">
      <c r="A850" s="14" t="s">
        <v>8570</v>
      </c>
      <c r="B850" s="15" t="s">
        <v>5</v>
      </c>
      <c r="C850" s="10" t="s">
        <v>8571</v>
      </c>
      <c r="D850" s="16" t="s">
        <v>3028</v>
      </c>
      <c r="E850" s="15" t="s">
        <v>11211</v>
      </c>
      <c r="F850" s="16" t="str">
        <f>VLOOKUP(Table8[[#This Row],[Mã khách hàng]],code_khach_hang[],2,0)</f>
        <v>CHI NHÁNH NGHỆ AN - CÔNG TY CỔ PHẦN DỊCH VỤ THƯƠNG MẠI TỔNG HỢP WINCOMMERCE</v>
      </c>
      <c r="G850" s="16" t="str">
        <f>VLOOKUP(Table8[[#This Row],[Mã khách hàng]],code_khach_hang[],3,0)</f>
        <v>Miền Trung đặc biệt 1</v>
      </c>
      <c r="H850" t="str">
        <f>VLOOKUP(Table8[[#This Row],[Mã khách hàng]],'Khách hàng'!A:D,4,0)</f>
        <v>Food Đức Việt</v>
      </c>
      <c r="I850" t="str">
        <f>VLOOKUP(Table8[[#This Row],[Mã khách hàng]],'Khách hàng'!A:E,5,0)</f>
        <v>HN0040</v>
      </c>
    </row>
    <row r="851" spans="1:9">
      <c r="A851" s="14" t="s">
        <v>8674</v>
      </c>
      <c r="B851" s="15" t="s">
        <v>5</v>
      </c>
      <c r="C851" s="10" t="s">
        <v>8675</v>
      </c>
      <c r="D851" s="16" t="s">
        <v>3031</v>
      </c>
      <c r="E851" s="15" t="s">
        <v>11211</v>
      </c>
      <c r="F851" s="16" t="str">
        <f>VLOOKUP(Table8[[#This Row],[Mã khách hàng]],code_khach_hang[],2,0)</f>
        <v>CHI NHÁNH NGHỆ AN - CÔNG TY CỔ PHẦN DỊCH VỤ THƯƠNG MẠI TỔNG HỢP WINCOMMERCE</v>
      </c>
      <c r="G851" s="16" t="str">
        <f>VLOOKUP(Table8[[#This Row],[Mã khách hàng]],code_khach_hang[],3,0)</f>
        <v>Miền Trung đặc biệt 1</v>
      </c>
      <c r="H851" t="str">
        <f>VLOOKUP(Table8[[#This Row],[Mã khách hàng]],'Khách hàng'!A:D,4,0)</f>
        <v>Food Đức Việt</v>
      </c>
      <c r="I851" t="str">
        <f>VLOOKUP(Table8[[#This Row],[Mã khách hàng]],'Khách hàng'!A:E,5,0)</f>
        <v>HN0040</v>
      </c>
    </row>
    <row r="852" spans="1:9">
      <c r="A852" s="14" t="s">
        <v>8683</v>
      </c>
      <c r="B852" s="15" t="s">
        <v>5</v>
      </c>
      <c r="C852" s="10" t="e">
        <v>#N/A</v>
      </c>
      <c r="D852" s="16" t="s">
        <v>3034</v>
      </c>
      <c r="E852" s="15" t="s">
        <v>11211</v>
      </c>
      <c r="F852" s="16" t="str">
        <f>VLOOKUP(Table8[[#This Row],[Mã khách hàng]],code_khach_hang[],2,0)</f>
        <v>CHI NHÁNH NGHỆ AN - CÔNG TY CỔ PHẦN DỊCH VỤ THƯƠNG MẠI TỔNG HỢP WINCOMMERCE</v>
      </c>
      <c r="G852" s="16" t="str">
        <f>VLOOKUP(Table8[[#This Row],[Mã khách hàng]],code_khach_hang[],3,0)</f>
        <v>Miền Trung đặc biệt 1</v>
      </c>
      <c r="H852" t="str">
        <f>VLOOKUP(Table8[[#This Row],[Mã khách hàng]],'Khách hàng'!A:D,4,0)</f>
        <v>Food Đức Việt</v>
      </c>
      <c r="I852" t="str">
        <f>VLOOKUP(Table8[[#This Row],[Mã khách hàng]],'Khách hàng'!A:E,5,0)</f>
        <v>HN0040</v>
      </c>
    </row>
    <row r="853" spans="1:9">
      <c r="A853" s="14" t="s">
        <v>8706</v>
      </c>
      <c r="B853" s="15" t="s">
        <v>5</v>
      </c>
      <c r="C853" s="10" t="e">
        <v>#N/A</v>
      </c>
      <c r="D853" s="16" t="s">
        <v>3037</v>
      </c>
      <c r="E853" s="15" t="s">
        <v>11211</v>
      </c>
      <c r="F853" s="16" t="str">
        <f>VLOOKUP(Table8[[#This Row],[Mã khách hàng]],code_khach_hang[],2,0)</f>
        <v>CHI NHÁNH NGHỆ AN - CÔNG TY CỔ PHẦN DỊCH VỤ THƯƠNG MẠI TỔNG HỢP WINCOMMERCE</v>
      </c>
      <c r="G853" s="16" t="str">
        <f>VLOOKUP(Table8[[#This Row],[Mã khách hàng]],code_khach_hang[],3,0)</f>
        <v>Miền Trung đặc biệt 1</v>
      </c>
      <c r="H853" t="str">
        <f>VLOOKUP(Table8[[#This Row],[Mã khách hàng]],'Khách hàng'!A:D,4,0)</f>
        <v>Food Đức Việt</v>
      </c>
      <c r="I853" t="str">
        <f>VLOOKUP(Table8[[#This Row],[Mã khách hàng]],'Khách hàng'!A:E,5,0)</f>
        <v>HN0040</v>
      </c>
    </row>
    <row r="854" spans="1:9">
      <c r="A854" s="14" t="s">
        <v>8668</v>
      </c>
      <c r="B854" s="15" t="s">
        <v>5</v>
      </c>
      <c r="C854" s="10" t="s">
        <v>8669</v>
      </c>
      <c r="D854" s="16" t="s">
        <v>3040</v>
      </c>
      <c r="E854" s="15" t="s">
        <v>11211</v>
      </c>
      <c r="F854" s="16" t="str">
        <f>VLOOKUP(Table8[[#This Row],[Mã khách hàng]],code_khach_hang[],2,0)</f>
        <v>CHI NHÁNH NGHỆ AN - CÔNG TY CỔ PHẦN DỊCH VỤ THƯƠNG MẠI TỔNG HỢP WINCOMMERCE</v>
      </c>
      <c r="G854" s="16" t="str">
        <f>VLOOKUP(Table8[[#This Row],[Mã khách hàng]],code_khach_hang[],3,0)</f>
        <v>Miền Trung đặc biệt 1</v>
      </c>
      <c r="H854" t="str">
        <f>VLOOKUP(Table8[[#This Row],[Mã khách hàng]],'Khách hàng'!A:D,4,0)</f>
        <v>Food Đức Việt</v>
      </c>
      <c r="I854" t="str">
        <f>VLOOKUP(Table8[[#This Row],[Mã khách hàng]],'Khách hàng'!A:E,5,0)</f>
        <v>HN0040</v>
      </c>
    </row>
    <row r="855" spans="1:9">
      <c r="A855" s="14" t="s">
        <v>8747</v>
      </c>
      <c r="B855" s="15" t="s">
        <v>5</v>
      </c>
      <c r="C855" s="10" t="s">
        <v>8748</v>
      </c>
      <c r="D855" s="16" t="s">
        <v>3043</v>
      </c>
      <c r="E855" s="15" t="s">
        <v>11211</v>
      </c>
      <c r="F855" s="16" t="str">
        <f>VLOOKUP(Table8[[#This Row],[Mã khách hàng]],code_khach_hang[],2,0)</f>
        <v>CHI NHÁNH NGHỆ AN - CÔNG TY CỔ PHẦN DỊCH VỤ THƯƠNG MẠI TỔNG HỢP WINCOMMERCE</v>
      </c>
      <c r="G855" s="16" t="str">
        <f>VLOOKUP(Table8[[#This Row],[Mã khách hàng]],code_khach_hang[],3,0)</f>
        <v>Miền Trung đặc biệt 1</v>
      </c>
      <c r="H855" t="str">
        <f>VLOOKUP(Table8[[#This Row],[Mã khách hàng]],'Khách hàng'!A:D,4,0)</f>
        <v>Food Đức Việt</v>
      </c>
      <c r="I855" t="str">
        <f>VLOOKUP(Table8[[#This Row],[Mã khách hàng]],'Khách hàng'!A:E,5,0)</f>
        <v>HN0040</v>
      </c>
    </row>
    <row r="856" spans="1:9">
      <c r="A856" s="14" t="s">
        <v>8830</v>
      </c>
      <c r="B856" s="15" t="s">
        <v>5</v>
      </c>
      <c r="C856" s="10" t="s">
        <v>8831</v>
      </c>
      <c r="D856" s="16" t="s">
        <v>3046</v>
      </c>
      <c r="E856" s="15" t="s">
        <v>11211</v>
      </c>
      <c r="F856" s="16" t="str">
        <f>VLOOKUP(Table8[[#This Row],[Mã khách hàng]],code_khach_hang[],2,0)</f>
        <v>CHI NHÁNH NGHỆ AN - CÔNG TY CỔ PHẦN DỊCH VỤ THƯƠNG MẠI TỔNG HỢP WINCOMMERCE</v>
      </c>
      <c r="G856" s="16" t="str">
        <f>VLOOKUP(Table8[[#This Row],[Mã khách hàng]],code_khach_hang[],3,0)</f>
        <v>Miền Trung đặc biệt 1</v>
      </c>
      <c r="H856" t="str">
        <f>VLOOKUP(Table8[[#This Row],[Mã khách hàng]],'Khách hàng'!A:D,4,0)</f>
        <v>Food Đức Việt</v>
      </c>
      <c r="I856" t="str">
        <f>VLOOKUP(Table8[[#This Row],[Mã khách hàng]],'Khách hàng'!A:E,5,0)</f>
        <v>HN0040</v>
      </c>
    </row>
    <row r="857" spans="1:9">
      <c r="A857" s="14" t="s">
        <v>8726</v>
      </c>
      <c r="B857" s="15" t="s">
        <v>5</v>
      </c>
      <c r="C857" s="10" t="s">
        <v>8727</v>
      </c>
      <c r="D857" s="16" t="s">
        <v>3049</v>
      </c>
      <c r="E857" s="15" t="s">
        <v>11211</v>
      </c>
      <c r="F857" s="16" t="str">
        <f>VLOOKUP(Table8[[#This Row],[Mã khách hàng]],code_khach_hang[],2,0)</f>
        <v>CHI NHÁNH NGHỆ AN - CÔNG TY CỔ PHẦN DỊCH VỤ THƯƠNG MẠI TỔNG HỢP WINCOMMERCE</v>
      </c>
      <c r="G857" s="16" t="str">
        <f>VLOOKUP(Table8[[#This Row],[Mã khách hàng]],code_khach_hang[],3,0)</f>
        <v>Miền Trung đặc biệt 1</v>
      </c>
      <c r="H857" t="str">
        <f>VLOOKUP(Table8[[#This Row],[Mã khách hàng]],'Khách hàng'!A:D,4,0)</f>
        <v>Food Đức Việt</v>
      </c>
      <c r="I857" t="str">
        <f>VLOOKUP(Table8[[#This Row],[Mã khách hàng]],'Khách hàng'!A:E,5,0)</f>
        <v>HN0040</v>
      </c>
    </row>
    <row r="858" spans="1:9">
      <c r="A858" s="14" t="s">
        <v>8941</v>
      </c>
      <c r="B858" s="15" t="s">
        <v>5</v>
      </c>
      <c r="C858" s="10" t="s">
        <v>8942</v>
      </c>
      <c r="D858" s="16" t="s">
        <v>3052</v>
      </c>
      <c r="E858" s="15" t="s">
        <v>11211</v>
      </c>
      <c r="F858" s="16" t="str">
        <f>VLOOKUP(Table8[[#This Row],[Mã khách hàng]],code_khach_hang[],2,0)</f>
        <v>CHI NHÁNH NGHỆ AN - CÔNG TY CỔ PHẦN DỊCH VỤ THƯƠNG MẠI TỔNG HỢP WINCOMMERCE</v>
      </c>
      <c r="G858" s="16" t="str">
        <f>VLOOKUP(Table8[[#This Row],[Mã khách hàng]],code_khach_hang[],3,0)</f>
        <v>Miền Trung đặc biệt 1</v>
      </c>
      <c r="H858" t="str">
        <f>VLOOKUP(Table8[[#This Row],[Mã khách hàng]],'Khách hàng'!A:D,4,0)</f>
        <v>Food Đức Việt</v>
      </c>
      <c r="I858" t="str">
        <f>VLOOKUP(Table8[[#This Row],[Mã khách hàng]],'Khách hàng'!A:E,5,0)</f>
        <v>HN0040</v>
      </c>
    </row>
    <row r="859" spans="1:9">
      <c r="A859" s="14" t="s">
        <v>705</v>
      </c>
      <c r="B859" s="15" t="s">
        <v>183</v>
      </c>
      <c r="C859" s="10" t="s">
        <v>13151</v>
      </c>
      <c r="D859" s="16" t="s">
        <v>3055</v>
      </c>
      <c r="E859" s="15" t="s">
        <v>11211</v>
      </c>
      <c r="F859" s="16" t="str">
        <f>VLOOKUP(Table8[[#This Row],[Mã khách hàng]],code_khach_hang[],2,0)</f>
        <v>CHI NHÁNH NGHỆ AN - CÔNG TY CỔ PHẦN DỊCH VỤ THƯƠNG MẠI TỔNG HỢP WINCOMMERCE</v>
      </c>
      <c r="G859" s="16" t="str">
        <f>VLOOKUP(Table8[[#This Row],[Mã khách hàng]],code_khach_hang[],3,0)</f>
        <v>Miền Trung đặc biệt 1</v>
      </c>
      <c r="H859" t="str">
        <f>VLOOKUP(Table8[[#This Row],[Mã khách hàng]],'Khách hàng'!A:D,4,0)</f>
        <v>Food Đức Việt</v>
      </c>
      <c r="I859" t="str">
        <f>VLOOKUP(Table8[[#This Row],[Mã khách hàng]],'Khách hàng'!A:E,5,0)</f>
        <v>HN0040</v>
      </c>
    </row>
    <row r="860" spans="1:9">
      <c r="A860" s="14" t="s">
        <v>736</v>
      </c>
      <c r="B860" s="15" t="s">
        <v>183</v>
      </c>
      <c r="C860" s="10" t="s">
        <v>737</v>
      </c>
      <c r="D860" s="16" t="s">
        <v>3058</v>
      </c>
      <c r="E860" s="15" t="s">
        <v>11211</v>
      </c>
      <c r="F860" s="16" t="str">
        <f>VLOOKUP(Table8[[#This Row],[Mã khách hàng]],code_khach_hang[],2,0)</f>
        <v>CHI NHÁNH NGHỆ AN - CÔNG TY CỔ PHẦN DỊCH VỤ THƯƠNG MẠI TỔNG HỢP WINCOMMERCE</v>
      </c>
      <c r="G860" s="16" t="str">
        <f>VLOOKUP(Table8[[#This Row],[Mã khách hàng]],code_khach_hang[],3,0)</f>
        <v>Miền Trung đặc biệt 1</v>
      </c>
      <c r="H860" t="str">
        <f>VLOOKUP(Table8[[#This Row],[Mã khách hàng]],'Khách hàng'!A:D,4,0)</f>
        <v>Food Đức Việt</v>
      </c>
      <c r="I860" t="str">
        <f>VLOOKUP(Table8[[#This Row],[Mã khách hàng]],'Khách hàng'!A:E,5,0)</f>
        <v>HN0040</v>
      </c>
    </row>
    <row r="861" spans="1:9">
      <c r="A861" s="14" t="s">
        <v>728</v>
      </c>
      <c r="B861" s="15" t="s">
        <v>183</v>
      </c>
      <c r="C861" s="10" t="s">
        <v>13152</v>
      </c>
      <c r="D861" s="16" t="s">
        <v>3061</v>
      </c>
      <c r="E861" s="15" t="s">
        <v>11211</v>
      </c>
      <c r="F861" s="16" t="str">
        <f>VLOOKUP(Table8[[#This Row],[Mã khách hàng]],code_khach_hang[],2,0)</f>
        <v>CHI NHÁNH NGHỆ AN - CÔNG TY CỔ PHẦN DỊCH VỤ THƯƠNG MẠI TỔNG HỢP WINCOMMERCE</v>
      </c>
      <c r="G861" s="16" t="str">
        <f>VLOOKUP(Table8[[#This Row],[Mã khách hàng]],code_khach_hang[],3,0)</f>
        <v>Miền Trung đặc biệt 1</v>
      </c>
      <c r="H861" t="str">
        <f>VLOOKUP(Table8[[#This Row],[Mã khách hàng]],'Khách hàng'!A:D,4,0)</f>
        <v>Food Đức Việt</v>
      </c>
      <c r="I861" t="str">
        <f>VLOOKUP(Table8[[#This Row],[Mã khách hàng]],'Khách hàng'!A:E,5,0)</f>
        <v>HN0040</v>
      </c>
    </row>
    <row r="862" spans="1:9">
      <c r="A862" s="14" t="s">
        <v>733</v>
      </c>
      <c r="B862" s="15" t="s">
        <v>183</v>
      </c>
      <c r="C862" s="10" t="s">
        <v>734</v>
      </c>
      <c r="D862" s="16" t="s">
        <v>3064</v>
      </c>
      <c r="E862" s="15" t="s">
        <v>11211</v>
      </c>
      <c r="F862" s="16" t="str">
        <f>VLOOKUP(Table8[[#This Row],[Mã khách hàng]],code_khach_hang[],2,0)</f>
        <v>CHI NHÁNH NGHỆ AN - CÔNG TY CỔ PHẦN DỊCH VỤ THƯƠNG MẠI TỔNG HỢP WINCOMMERCE</v>
      </c>
      <c r="G862" s="16" t="str">
        <f>VLOOKUP(Table8[[#This Row],[Mã khách hàng]],code_khach_hang[],3,0)</f>
        <v>Miền Trung đặc biệt 1</v>
      </c>
      <c r="H862" t="str">
        <f>VLOOKUP(Table8[[#This Row],[Mã khách hàng]],'Khách hàng'!A:D,4,0)</f>
        <v>Food Đức Việt</v>
      </c>
      <c r="I862" t="str">
        <f>VLOOKUP(Table8[[#This Row],[Mã khách hàng]],'Khách hàng'!A:E,5,0)</f>
        <v>HN0040</v>
      </c>
    </row>
    <row r="863" spans="1:9">
      <c r="A863" s="14" t="s">
        <v>4134</v>
      </c>
      <c r="B863" s="15" t="s">
        <v>5</v>
      </c>
      <c r="C863" s="10" t="s">
        <v>4135</v>
      </c>
      <c r="D863" s="16" t="s">
        <v>3067</v>
      </c>
      <c r="E863" s="15" t="s">
        <v>11215</v>
      </c>
      <c r="F863" s="16" t="str">
        <f>VLOOKUP(Table8[[#This Row],[Mã khách hàng]],code_khach_hang[],2,0)</f>
        <v>CHI NHÁNH HÀ NỘI - CÔNG TY CỔ PHẦN DỊCH VỤ THƯƠNG MẠI TỔNG HỢP WINCOMMERCE</v>
      </c>
      <c r="G863" s="16" t="str">
        <f>VLOOKUP(Table8[[#This Row],[Mã khách hàng]],code_khach_hang[],3,0)</f>
        <v>Miền Bắc đặc biệt 1</v>
      </c>
      <c r="H863" t="str">
        <f>VLOOKUP(Table8[[#This Row],[Mã khách hàng]],'Khách hàng'!A:D,4,0)</f>
        <v>Food Đức Việt</v>
      </c>
      <c r="I863" t="str">
        <f>VLOOKUP(Table8[[#This Row],[Mã khách hàng]],'Khách hàng'!A:E,5,0)</f>
        <v>HN0040</v>
      </c>
    </row>
    <row r="864" spans="1:9">
      <c r="A864" s="14" t="s">
        <v>4296</v>
      </c>
      <c r="B864" s="15" t="s">
        <v>5</v>
      </c>
      <c r="C864" s="10" t="s">
        <v>4297</v>
      </c>
      <c r="D864" s="16" t="s">
        <v>3070</v>
      </c>
      <c r="E864" s="14" t="s">
        <v>11215</v>
      </c>
      <c r="F864" s="16" t="str">
        <f>VLOOKUP(Table8[[#This Row],[Mã khách hàng]],code_khach_hang[],2,0)</f>
        <v>CHI NHÁNH HÀ NỘI - CÔNG TY CỔ PHẦN DỊCH VỤ THƯƠNG MẠI TỔNG HỢP WINCOMMERCE</v>
      </c>
      <c r="G864" s="16" t="str">
        <f>VLOOKUP(Table8[[#This Row],[Mã khách hàng]],code_khach_hang[],3,0)</f>
        <v>Miền Bắc đặc biệt 1</v>
      </c>
      <c r="H864" t="str">
        <f>VLOOKUP(Table8[[#This Row],[Mã khách hàng]],'Khách hàng'!A:D,4,0)</f>
        <v>Food Đức Việt</v>
      </c>
      <c r="I864" t="str">
        <f>VLOOKUP(Table8[[#This Row],[Mã khách hàng]],'Khách hàng'!A:E,5,0)</f>
        <v>HN0040</v>
      </c>
    </row>
    <row r="865" spans="1:9">
      <c r="A865" s="14" t="s">
        <v>4485</v>
      </c>
      <c r="B865" s="15" t="s">
        <v>5</v>
      </c>
      <c r="C865" s="10" t="s">
        <v>4486</v>
      </c>
      <c r="D865" s="16" t="s">
        <v>3073</v>
      </c>
      <c r="E865" s="15" t="s">
        <v>11215</v>
      </c>
      <c r="F865" s="16" t="str">
        <f>VLOOKUP(Table8[[#This Row],[Mã khách hàng]],code_khach_hang[],2,0)</f>
        <v>CHI NHÁNH HÀ NỘI - CÔNG TY CỔ PHẦN DỊCH VỤ THƯƠNG MẠI TỔNG HỢP WINCOMMERCE</v>
      </c>
      <c r="G865" s="16" t="str">
        <f>VLOOKUP(Table8[[#This Row],[Mã khách hàng]],code_khach_hang[],3,0)</f>
        <v>Miền Bắc đặc biệt 1</v>
      </c>
      <c r="H865" t="str">
        <f>VLOOKUP(Table8[[#This Row],[Mã khách hàng]],'Khách hàng'!A:D,4,0)</f>
        <v>Food Đức Việt</v>
      </c>
      <c r="I865" t="str">
        <f>VLOOKUP(Table8[[#This Row],[Mã khách hàng]],'Khách hàng'!A:E,5,0)</f>
        <v>HN0040</v>
      </c>
    </row>
    <row r="866" spans="1:9">
      <c r="A866" s="14" t="s">
        <v>4740</v>
      </c>
      <c r="B866" s="15" t="s">
        <v>5</v>
      </c>
      <c r="C866" s="10" t="s">
        <v>4741</v>
      </c>
      <c r="D866" s="16" t="s">
        <v>3076</v>
      </c>
      <c r="E866" s="15" t="s">
        <v>11215</v>
      </c>
      <c r="F866" s="16" t="str">
        <f>VLOOKUP(Table8[[#This Row],[Mã khách hàng]],code_khach_hang[],2,0)</f>
        <v>CHI NHÁNH HÀ NỘI - CÔNG TY CỔ PHẦN DỊCH VỤ THƯƠNG MẠI TỔNG HỢP WINCOMMERCE</v>
      </c>
      <c r="G866" s="16" t="str">
        <f>VLOOKUP(Table8[[#This Row],[Mã khách hàng]],code_khach_hang[],3,0)</f>
        <v>Miền Bắc đặc biệt 1</v>
      </c>
      <c r="H866" t="str">
        <f>VLOOKUP(Table8[[#This Row],[Mã khách hàng]],'Khách hàng'!A:D,4,0)</f>
        <v>Food Đức Việt</v>
      </c>
      <c r="I866" t="str">
        <f>VLOOKUP(Table8[[#This Row],[Mã khách hàng]],'Khách hàng'!A:E,5,0)</f>
        <v>HN0040</v>
      </c>
    </row>
    <row r="867" spans="1:9">
      <c r="A867" s="14" t="s">
        <v>4764</v>
      </c>
      <c r="B867" s="15" t="s">
        <v>5</v>
      </c>
      <c r="C867" s="10" t="s">
        <v>4765</v>
      </c>
      <c r="D867" s="16" t="s">
        <v>3079</v>
      </c>
      <c r="E867" s="15" t="s">
        <v>11215</v>
      </c>
      <c r="F867" s="16" t="str">
        <f>VLOOKUP(Table8[[#This Row],[Mã khách hàng]],code_khach_hang[],2,0)</f>
        <v>CHI NHÁNH HÀ NỘI - CÔNG TY CỔ PHẦN DỊCH VỤ THƯƠNG MẠI TỔNG HỢP WINCOMMERCE</v>
      </c>
      <c r="G867" s="16" t="str">
        <f>VLOOKUP(Table8[[#This Row],[Mã khách hàng]],code_khach_hang[],3,0)</f>
        <v>Miền Bắc đặc biệt 1</v>
      </c>
      <c r="H867" t="str">
        <f>VLOOKUP(Table8[[#This Row],[Mã khách hàng]],'Khách hàng'!A:D,4,0)</f>
        <v>Food Đức Việt</v>
      </c>
      <c r="I867" t="str">
        <f>VLOOKUP(Table8[[#This Row],[Mã khách hàng]],'Khách hàng'!A:E,5,0)</f>
        <v>HN0040</v>
      </c>
    </row>
    <row r="868" spans="1:9">
      <c r="A868" s="14" t="s">
        <v>7875</v>
      </c>
      <c r="B868" s="15" t="s">
        <v>5</v>
      </c>
      <c r="C868" s="10" t="s">
        <v>7876</v>
      </c>
      <c r="D868" s="16" t="s">
        <v>3082</v>
      </c>
      <c r="E868" s="15" t="s">
        <v>11215</v>
      </c>
      <c r="F868" s="16" t="str">
        <f>VLOOKUP(Table8[[#This Row],[Mã khách hàng]],code_khach_hang[],2,0)</f>
        <v>CHI NHÁNH HÀ NỘI - CÔNG TY CỔ PHẦN DỊCH VỤ THƯƠNG MẠI TỔNG HỢP WINCOMMERCE</v>
      </c>
      <c r="G868" s="16" t="str">
        <f>VLOOKUP(Table8[[#This Row],[Mã khách hàng]],code_khach_hang[],3,0)</f>
        <v>Miền Bắc đặc biệt 1</v>
      </c>
      <c r="H868" t="str">
        <f>VLOOKUP(Table8[[#This Row],[Mã khách hàng]],'Khách hàng'!A:D,4,0)</f>
        <v>Food Đức Việt</v>
      </c>
      <c r="I868" t="str">
        <f>VLOOKUP(Table8[[#This Row],[Mã khách hàng]],'Khách hàng'!A:E,5,0)</f>
        <v>HN0040</v>
      </c>
    </row>
    <row r="869" spans="1:9">
      <c r="A869" s="14" t="s">
        <v>7972</v>
      </c>
      <c r="B869" s="15" t="s">
        <v>5</v>
      </c>
      <c r="C869" s="10" t="s">
        <v>7973</v>
      </c>
      <c r="D869" s="16" t="s">
        <v>3085</v>
      </c>
      <c r="E869" s="15" t="s">
        <v>11215</v>
      </c>
      <c r="F869" s="16" t="str">
        <f>VLOOKUP(Table8[[#This Row],[Mã khách hàng]],code_khach_hang[],2,0)</f>
        <v>CHI NHÁNH HÀ NỘI - CÔNG TY CỔ PHẦN DỊCH VỤ THƯƠNG MẠI TỔNG HỢP WINCOMMERCE</v>
      </c>
      <c r="G869" s="16" t="str">
        <f>VLOOKUP(Table8[[#This Row],[Mã khách hàng]],code_khach_hang[],3,0)</f>
        <v>Miền Bắc đặc biệt 1</v>
      </c>
      <c r="H869" t="str">
        <f>VLOOKUP(Table8[[#This Row],[Mã khách hàng]],'Khách hàng'!A:D,4,0)</f>
        <v>Food Đức Việt</v>
      </c>
      <c r="I869" t="str">
        <f>VLOOKUP(Table8[[#This Row],[Mã khách hàng]],'Khách hàng'!A:E,5,0)</f>
        <v>HN0040</v>
      </c>
    </row>
    <row r="870" spans="1:9">
      <c r="A870" s="14" t="s">
        <v>981</v>
      </c>
      <c r="B870" s="15" t="s">
        <v>5</v>
      </c>
      <c r="C870" s="10" t="s">
        <v>982</v>
      </c>
      <c r="D870" s="16" t="s">
        <v>3087</v>
      </c>
      <c r="E870" s="14" t="s">
        <v>11215</v>
      </c>
      <c r="F870" s="16" t="str">
        <f>VLOOKUP(Table8[[#This Row],[Mã khách hàng]],code_khach_hang[],2,0)</f>
        <v>CHI NHÁNH HÀ NỘI - CÔNG TY CỔ PHẦN DỊCH VỤ THƯƠNG MẠI TỔNG HỢP WINCOMMERCE</v>
      </c>
      <c r="G870" s="16" t="str">
        <f>VLOOKUP(Table8[[#This Row],[Mã khách hàng]],code_khach_hang[],3,0)</f>
        <v>Miền Bắc đặc biệt 1</v>
      </c>
      <c r="H870" t="str">
        <f>VLOOKUP(Table8[[#This Row],[Mã khách hàng]],'Khách hàng'!A:D,4,0)</f>
        <v>Food Đức Việt</v>
      </c>
      <c r="I870" t="str">
        <f>VLOOKUP(Table8[[#This Row],[Mã khách hàng]],'Khách hàng'!A:E,5,0)</f>
        <v>HN0040</v>
      </c>
    </row>
    <row r="871" spans="1:9">
      <c r="A871" s="14" t="s">
        <v>11103</v>
      </c>
      <c r="B871" s="15" t="s">
        <v>5</v>
      </c>
      <c r="C871" s="10" t="s">
        <v>13153</v>
      </c>
      <c r="D871" s="16" t="s">
        <v>3090</v>
      </c>
      <c r="E871" s="15" t="s">
        <v>11215</v>
      </c>
      <c r="F871" s="16" t="str">
        <f>VLOOKUP(Table8[[#This Row],[Mã khách hàng]],code_khach_hang[],2,0)</f>
        <v>CHI NHÁNH HÀ NỘI - CÔNG TY CỔ PHẦN DỊCH VỤ THƯƠNG MẠI TỔNG HỢP WINCOMMERCE</v>
      </c>
      <c r="G871" s="16" t="str">
        <f>VLOOKUP(Table8[[#This Row],[Mã khách hàng]],code_khach_hang[],3,0)</f>
        <v>Miền Bắc đặc biệt 1</v>
      </c>
      <c r="H871" t="str">
        <f>VLOOKUP(Table8[[#This Row],[Mã khách hàng]],'Khách hàng'!A:D,4,0)</f>
        <v>Food Đức Việt</v>
      </c>
      <c r="I871" t="str">
        <f>VLOOKUP(Table8[[#This Row],[Mã khách hàng]],'Khách hàng'!A:E,5,0)</f>
        <v>HN0040</v>
      </c>
    </row>
    <row r="872" spans="1:9">
      <c r="A872" s="14" t="s">
        <v>1173</v>
      </c>
      <c r="B872" s="15" t="s">
        <v>5</v>
      </c>
      <c r="C872" s="10" t="s">
        <v>1174</v>
      </c>
      <c r="D872" s="16" t="s">
        <v>3093</v>
      </c>
      <c r="E872" s="15" t="s">
        <v>11215</v>
      </c>
      <c r="F872" s="16" t="str">
        <f>VLOOKUP(Table8[[#This Row],[Mã khách hàng]],code_khach_hang[],2,0)</f>
        <v>CHI NHÁNH HÀ NỘI - CÔNG TY CỔ PHẦN DỊCH VỤ THƯƠNG MẠI TỔNG HỢP WINCOMMERCE</v>
      </c>
      <c r="G872" s="16" t="str">
        <f>VLOOKUP(Table8[[#This Row],[Mã khách hàng]],code_khach_hang[],3,0)</f>
        <v>Miền Bắc đặc biệt 1</v>
      </c>
      <c r="H872" t="str">
        <f>VLOOKUP(Table8[[#This Row],[Mã khách hàng]],'Khách hàng'!A:D,4,0)</f>
        <v>Food Đức Việt</v>
      </c>
      <c r="I872" t="str">
        <f>VLOOKUP(Table8[[#This Row],[Mã khách hàng]],'Khách hàng'!A:E,5,0)</f>
        <v>HN0040</v>
      </c>
    </row>
    <row r="873" spans="1:9">
      <c r="A873" s="14" t="s">
        <v>4215</v>
      </c>
      <c r="B873" s="15" t="s">
        <v>5</v>
      </c>
      <c r="C873" s="10" t="s">
        <v>4216</v>
      </c>
      <c r="D873" s="16" t="s">
        <v>3096</v>
      </c>
      <c r="E873" s="15" t="s">
        <v>11215</v>
      </c>
      <c r="F873" s="16" t="str">
        <f>VLOOKUP(Table8[[#This Row],[Mã khách hàng]],code_khach_hang[],2,0)</f>
        <v>CHI NHÁNH HÀ NỘI - CÔNG TY CỔ PHẦN DỊCH VỤ THƯƠNG MẠI TỔNG HỢP WINCOMMERCE</v>
      </c>
      <c r="G873" s="16" t="str">
        <f>VLOOKUP(Table8[[#This Row],[Mã khách hàng]],code_khach_hang[],3,0)</f>
        <v>Miền Bắc đặc biệt 1</v>
      </c>
      <c r="H873" t="str">
        <f>VLOOKUP(Table8[[#This Row],[Mã khách hàng]],'Khách hàng'!A:D,4,0)</f>
        <v>Food Đức Việt</v>
      </c>
      <c r="I873" t="str">
        <f>VLOOKUP(Table8[[#This Row],[Mã khách hàng]],'Khách hàng'!A:E,5,0)</f>
        <v>HN0040</v>
      </c>
    </row>
    <row r="874" spans="1:9">
      <c r="A874" s="14" t="s">
        <v>4218</v>
      </c>
      <c r="B874" s="15" t="s">
        <v>5</v>
      </c>
      <c r="C874" s="10" t="s">
        <v>4219</v>
      </c>
      <c r="D874" s="16" t="s">
        <v>3099</v>
      </c>
      <c r="E874" s="15" t="s">
        <v>11215</v>
      </c>
      <c r="F874" s="16" t="str">
        <f>VLOOKUP(Table8[[#This Row],[Mã khách hàng]],code_khach_hang[],2,0)</f>
        <v>CHI NHÁNH HÀ NỘI - CÔNG TY CỔ PHẦN DỊCH VỤ THƯƠNG MẠI TỔNG HỢP WINCOMMERCE</v>
      </c>
      <c r="G874" s="16" t="str">
        <f>VLOOKUP(Table8[[#This Row],[Mã khách hàng]],code_khach_hang[],3,0)</f>
        <v>Miền Bắc đặc biệt 1</v>
      </c>
      <c r="H874" t="str">
        <f>VLOOKUP(Table8[[#This Row],[Mã khách hàng]],'Khách hàng'!A:D,4,0)</f>
        <v>Food Đức Việt</v>
      </c>
      <c r="I874" t="str">
        <f>VLOOKUP(Table8[[#This Row],[Mã khách hàng]],'Khách hàng'!A:E,5,0)</f>
        <v>HN0040</v>
      </c>
    </row>
    <row r="875" spans="1:9">
      <c r="A875" s="14" t="s">
        <v>4467</v>
      </c>
      <c r="B875" s="15" t="s">
        <v>5</v>
      </c>
      <c r="C875" s="10" t="s">
        <v>4468</v>
      </c>
      <c r="D875" s="16" t="s">
        <v>3102</v>
      </c>
      <c r="E875" s="15" t="s">
        <v>11215</v>
      </c>
      <c r="F875" s="16" t="str">
        <f>VLOOKUP(Table8[[#This Row],[Mã khách hàng]],code_khach_hang[],2,0)</f>
        <v>CHI NHÁNH HÀ NỘI - CÔNG TY CỔ PHẦN DỊCH VỤ THƯƠNG MẠI TỔNG HỢP WINCOMMERCE</v>
      </c>
      <c r="G875" s="16" t="str">
        <f>VLOOKUP(Table8[[#This Row],[Mã khách hàng]],code_khach_hang[],3,0)</f>
        <v>Miền Bắc đặc biệt 1</v>
      </c>
      <c r="H875" t="str">
        <f>VLOOKUP(Table8[[#This Row],[Mã khách hàng]],'Khách hàng'!A:D,4,0)</f>
        <v>Food Đức Việt</v>
      </c>
      <c r="I875" t="str">
        <f>VLOOKUP(Table8[[#This Row],[Mã khách hàng]],'Khách hàng'!A:E,5,0)</f>
        <v>HN0040</v>
      </c>
    </row>
    <row r="876" spans="1:9">
      <c r="A876" s="14" t="s">
        <v>4482</v>
      </c>
      <c r="B876" s="15" t="s">
        <v>5</v>
      </c>
      <c r="C876" s="10" t="s">
        <v>4483</v>
      </c>
      <c r="D876" s="16" t="s">
        <v>3105</v>
      </c>
      <c r="E876" s="14" t="s">
        <v>11215</v>
      </c>
      <c r="F876" s="16" t="str">
        <f>VLOOKUP(Table8[[#This Row],[Mã khách hàng]],code_khach_hang[],2,0)</f>
        <v>CHI NHÁNH HÀ NỘI - CÔNG TY CỔ PHẦN DỊCH VỤ THƯƠNG MẠI TỔNG HỢP WINCOMMERCE</v>
      </c>
      <c r="G876" s="16" t="str">
        <f>VLOOKUP(Table8[[#This Row],[Mã khách hàng]],code_khach_hang[],3,0)</f>
        <v>Miền Bắc đặc biệt 1</v>
      </c>
      <c r="H876" t="str">
        <f>VLOOKUP(Table8[[#This Row],[Mã khách hàng]],'Khách hàng'!A:D,4,0)</f>
        <v>Food Đức Việt</v>
      </c>
      <c r="I876" t="str">
        <f>VLOOKUP(Table8[[#This Row],[Mã khách hàng]],'Khách hàng'!A:E,5,0)</f>
        <v>HN0040</v>
      </c>
    </row>
    <row r="877" spans="1:9">
      <c r="A877" s="14" t="s">
        <v>4656</v>
      </c>
      <c r="B877" s="15" t="s">
        <v>5</v>
      </c>
      <c r="C877" s="10" t="s">
        <v>4657</v>
      </c>
      <c r="D877" s="16" t="s">
        <v>3108</v>
      </c>
      <c r="E877" s="15" t="s">
        <v>11215</v>
      </c>
      <c r="F877" s="16" t="str">
        <f>VLOOKUP(Table8[[#This Row],[Mã khách hàng]],code_khach_hang[],2,0)</f>
        <v>CHI NHÁNH HÀ NỘI - CÔNG TY CỔ PHẦN DỊCH VỤ THƯƠNG MẠI TỔNG HỢP WINCOMMERCE</v>
      </c>
      <c r="G877" s="16" t="str">
        <f>VLOOKUP(Table8[[#This Row],[Mã khách hàng]],code_khach_hang[],3,0)</f>
        <v>Miền Bắc đặc biệt 1</v>
      </c>
      <c r="H877" t="str">
        <f>VLOOKUP(Table8[[#This Row],[Mã khách hàng]],'Khách hàng'!A:D,4,0)</f>
        <v>Food Đức Việt</v>
      </c>
      <c r="I877" t="str">
        <f>VLOOKUP(Table8[[#This Row],[Mã khách hàng]],'Khách hàng'!A:E,5,0)</f>
        <v>HN0040</v>
      </c>
    </row>
    <row r="878" spans="1:9">
      <c r="A878" s="14" t="s">
        <v>4704</v>
      </c>
      <c r="B878" s="15" t="s">
        <v>5</v>
      </c>
      <c r="C878" s="10" t="s">
        <v>4705</v>
      </c>
      <c r="D878" s="16" t="s">
        <v>3111</v>
      </c>
      <c r="E878" s="15" t="s">
        <v>11215</v>
      </c>
      <c r="F878" s="16" t="str">
        <f>VLOOKUP(Table8[[#This Row],[Mã khách hàng]],code_khach_hang[],2,0)</f>
        <v>CHI NHÁNH HÀ NỘI - CÔNG TY CỔ PHẦN DỊCH VỤ THƯƠNG MẠI TỔNG HỢP WINCOMMERCE</v>
      </c>
      <c r="G878" s="16" t="str">
        <f>VLOOKUP(Table8[[#This Row],[Mã khách hàng]],code_khach_hang[],3,0)</f>
        <v>Miền Bắc đặc biệt 1</v>
      </c>
      <c r="H878" t="str">
        <f>VLOOKUP(Table8[[#This Row],[Mã khách hàng]],'Khách hàng'!A:D,4,0)</f>
        <v>Food Đức Việt</v>
      </c>
      <c r="I878" t="str">
        <f>VLOOKUP(Table8[[#This Row],[Mã khách hàng]],'Khách hàng'!A:E,5,0)</f>
        <v>HN0040</v>
      </c>
    </row>
    <row r="879" spans="1:9">
      <c r="A879" s="14" t="s">
        <v>4785</v>
      </c>
      <c r="B879" s="15" t="s">
        <v>5</v>
      </c>
      <c r="C879" s="10" t="s">
        <v>4786</v>
      </c>
      <c r="D879" s="16" t="s">
        <v>3114</v>
      </c>
      <c r="E879" s="15" t="s">
        <v>11215</v>
      </c>
      <c r="F879" s="16" t="str">
        <f>VLOOKUP(Table8[[#This Row],[Mã khách hàng]],code_khach_hang[],2,0)</f>
        <v>CHI NHÁNH HÀ NỘI - CÔNG TY CỔ PHẦN DỊCH VỤ THƯƠNG MẠI TỔNG HỢP WINCOMMERCE</v>
      </c>
      <c r="G879" s="16" t="str">
        <f>VLOOKUP(Table8[[#This Row],[Mã khách hàng]],code_khach_hang[],3,0)</f>
        <v>Miền Bắc đặc biệt 1</v>
      </c>
      <c r="H879" t="str">
        <f>VLOOKUP(Table8[[#This Row],[Mã khách hàng]],'Khách hàng'!A:D,4,0)</f>
        <v>Food Đức Việt</v>
      </c>
      <c r="I879" t="str">
        <f>VLOOKUP(Table8[[#This Row],[Mã khách hàng]],'Khách hàng'!A:E,5,0)</f>
        <v>HN0040</v>
      </c>
    </row>
    <row r="880" spans="1:9">
      <c r="A880" s="14" t="s">
        <v>4935</v>
      </c>
      <c r="B880" s="15" t="s">
        <v>5</v>
      </c>
      <c r="C880" s="10" t="s">
        <v>4936</v>
      </c>
      <c r="D880" s="16" t="s">
        <v>3117</v>
      </c>
      <c r="E880" s="15" t="s">
        <v>11215</v>
      </c>
      <c r="F880" s="16" t="str">
        <f>VLOOKUP(Table8[[#This Row],[Mã khách hàng]],code_khach_hang[],2,0)</f>
        <v>CHI NHÁNH HÀ NỘI - CÔNG TY CỔ PHẦN DỊCH VỤ THƯƠNG MẠI TỔNG HỢP WINCOMMERCE</v>
      </c>
      <c r="G880" s="16" t="str">
        <f>VLOOKUP(Table8[[#This Row],[Mã khách hàng]],code_khach_hang[],3,0)</f>
        <v>Miền Bắc đặc biệt 1</v>
      </c>
      <c r="H880" t="str">
        <f>VLOOKUP(Table8[[#This Row],[Mã khách hàng]],'Khách hàng'!A:D,4,0)</f>
        <v>Food Đức Việt</v>
      </c>
      <c r="I880" t="str">
        <f>VLOOKUP(Table8[[#This Row],[Mã khách hàng]],'Khách hàng'!A:E,5,0)</f>
        <v>HN0040</v>
      </c>
    </row>
    <row r="881" spans="1:9">
      <c r="A881" s="14" t="s">
        <v>5064</v>
      </c>
      <c r="B881" s="15" t="s">
        <v>5</v>
      </c>
      <c r="C881" s="10" t="s">
        <v>5065</v>
      </c>
      <c r="D881" s="16" t="s">
        <v>3120</v>
      </c>
      <c r="E881" s="15" t="s">
        <v>11215</v>
      </c>
      <c r="F881" s="16" t="str">
        <f>VLOOKUP(Table8[[#This Row],[Mã khách hàng]],code_khach_hang[],2,0)</f>
        <v>CHI NHÁNH HÀ NỘI - CÔNG TY CỔ PHẦN DỊCH VỤ THƯƠNG MẠI TỔNG HỢP WINCOMMERCE</v>
      </c>
      <c r="G881" s="16" t="str">
        <f>VLOOKUP(Table8[[#This Row],[Mã khách hàng]],code_khach_hang[],3,0)</f>
        <v>Miền Bắc đặc biệt 1</v>
      </c>
      <c r="H881" t="str">
        <f>VLOOKUP(Table8[[#This Row],[Mã khách hàng]],'Khách hàng'!A:D,4,0)</f>
        <v>Food Đức Việt</v>
      </c>
      <c r="I881" t="str">
        <f>VLOOKUP(Table8[[#This Row],[Mã khách hàng]],'Khách hàng'!A:E,5,0)</f>
        <v>HN0040</v>
      </c>
    </row>
    <row r="882" spans="1:9">
      <c r="A882" s="14" t="s">
        <v>5307</v>
      </c>
      <c r="B882" s="15" t="s">
        <v>5</v>
      </c>
      <c r="C882" s="10" t="s">
        <v>5308</v>
      </c>
      <c r="D882" s="16" t="s">
        <v>3123</v>
      </c>
      <c r="E882" s="15" t="s">
        <v>11215</v>
      </c>
      <c r="F882" s="16" t="str">
        <f>VLOOKUP(Table8[[#This Row],[Mã khách hàng]],code_khach_hang[],2,0)</f>
        <v>CHI NHÁNH HÀ NỘI - CÔNG TY CỔ PHẦN DỊCH VỤ THƯƠNG MẠI TỔNG HỢP WINCOMMERCE</v>
      </c>
      <c r="G882" s="16" t="str">
        <f>VLOOKUP(Table8[[#This Row],[Mã khách hàng]],code_khach_hang[],3,0)</f>
        <v>Miền Bắc đặc biệt 1</v>
      </c>
      <c r="H882" t="str">
        <f>VLOOKUP(Table8[[#This Row],[Mã khách hàng]],'Khách hàng'!A:D,4,0)</f>
        <v>Food Đức Việt</v>
      </c>
      <c r="I882" t="str">
        <f>VLOOKUP(Table8[[#This Row],[Mã khách hàng]],'Khách hàng'!A:E,5,0)</f>
        <v>HN0040</v>
      </c>
    </row>
    <row r="883" spans="1:9">
      <c r="A883" s="14" t="s">
        <v>5424</v>
      </c>
      <c r="B883" s="15" t="s">
        <v>5</v>
      </c>
      <c r="C883" s="10" t="s">
        <v>5425</v>
      </c>
      <c r="D883" s="16" t="s">
        <v>3126</v>
      </c>
      <c r="E883" s="15" t="s">
        <v>11215</v>
      </c>
      <c r="F883" s="16" t="str">
        <f>VLOOKUP(Table8[[#This Row],[Mã khách hàng]],code_khach_hang[],2,0)</f>
        <v>CHI NHÁNH HÀ NỘI - CÔNG TY CỔ PHẦN DỊCH VỤ THƯƠNG MẠI TỔNG HỢP WINCOMMERCE</v>
      </c>
      <c r="G883" s="16" t="str">
        <f>VLOOKUP(Table8[[#This Row],[Mã khách hàng]],code_khach_hang[],3,0)</f>
        <v>Miền Bắc đặc biệt 1</v>
      </c>
      <c r="H883" t="str">
        <f>VLOOKUP(Table8[[#This Row],[Mã khách hàng]],'Khách hàng'!A:D,4,0)</f>
        <v>Food Đức Việt</v>
      </c>
      <c r="I883" t="str">
        <f>VLOOKUP(Table8[[#This Row],[Mã khách hàng]],'Khách hàng'!A:E,5,0)</f>
        <v>HN0040</v>
      </c>
    </row>
    <row r="884" spans="1:9">
      <c r="A884" s="14" t="s">
        <v>5520</v>
      </c>
      <c r="B884" s="15" t="s">
        <v>5</v>
      </c>
      <c r="C884" s="10" t="s">
        <v>5521</v>
      </c>
      <c r="D884" s="16" t="s">
        <v>3129</v>
      </c>
      <c r="E884" s="15" t="s">
        <v>11215</v>
      </c>
      <c r="F884" s="16" t="str">
        <f>VLOOKUP(Table8[[#This Row],[Mã khách hàng]],code_khach_hang[],2,0)</f>
        <v>CHI NHÁNH HÀ NỘI - CÔNG TY CỔ PHẦN DỊCH VỤ THƯƠNG MẠI TỔNG HỢP WINCOMMERCE</v>
      </c>
      <c r="G884" s="16" t="str">
        <f>VLOOKUP(Table8[[#This Row],[Mã khách hàng]],code_khach_hang[],3,0)</f>
        <v>Miền Bắc đặc biệt 1</v>
      </c>
      <c r="H884" t="str">
        <f>VLOOKUP(Table8[[#This Row],[Mã khách hàng]],'Khách hàng'!A:D,4,0)</f>
        <v>Food Đức Việt</v>
      </c>
      <c r="I884" t="str">
        <f>VLOOKUP(Table8[[#This Row],[Mã khách hàng]],'Khách hàng'!A:E,5,0)</f>
        <v>HN0040</v>
      </c>
    </row>
    <row r="885" spans="1:9">
      <c r="A885" s="14" t="s">
        <v>5813</v>
      </c>
      <c r="B885" s="15" t="s">
        <v>5</v>
      </c>
      <c r="C885" s="10" t="s">
        <v>5814</v>
      </c>
      <c r="D885" s="16" t="s">
        <v>3132</v>
      </c>
      <c r="E885" s="15" t="s">
        <v>11215</v>
      </c>
      <c r="F885" s="16" t="str">
        <f>VLOOKUP(Table8[[#This Row],[Mã khách hàng]],code_khach_hang[],2,0)</f>
        <v>CHI NHÁNH HÀ NỘI - CÔNG TY CỔ PHẦN DỊCH VỤ THƯƠNG MẠI TỔNG HỢP WINCOMMERCE</v>
      </c>
      <c r="G885" s="16" t="str">
        <f>VLOOKUP(Table8[[#This Row],[Mã khách hàng]],code_khach_hang[],3,0)</f>
        <v>Miền Bắc đặc biệt 1</v>
      </c>
      <c r="H885" t="str">
        <f>VLOOKUP(Table8[[#This Row],[Mã khách hàng]],'Khách hàng'!A:D,4,0)</f>
        <v>Food Đức Việt</v>
      </c>
      <c r="I885" t="str">
        <f>VLOOKUP(Table8[[#This Row],[Mã khách hàng]],'Khách hàng'!A:E,5,0)</f>
        <v>HN0040</v>
      </c>
    </row>
    <row r="886" spans="1:9">
      <c r="A886" s="14" t="s">
        <v>6184</v>
      </c>
      <c r="B886" s="15" t="s">
        <v>5</v>
      </c>
      <c r="C886" s="10" t="s">
        <v>6185</v>
      </c>
      <c r="D886" s="16" t="s">
        <v>3135</v>
      </c>
      <c r="E886" s="15" t="s">
        <v>11215</v>
      </c>
      <c r="F886" s="16" t="str">
        <f>VLOOKUP(Table8[[#This Row],[Mã khách hàng]],code_khach_hang[],2,0)</f>
        <v>CHI NHÁNH HÀ NỘI - CÔNG TY CỔ PHẦN DỊCH VỤ THƯƠNG MẠI TỔNG HỢP WINCOMMERCE</v>
      </c>
      <c r="G886" s="16" t="str">
        <f>VLOOKUP(Table8[[#This Row],[Mã khách hàng]],code_khach_hang[],3,0)</f>
        <v>Miền Bắc đặc biệt 1</v>
      </c>
      <c r="H886" t="str">
        <f>VLOOKUP(Table8[[#This Row],[Mã khách hàng]],'Khách hàng'!A:D,4,0)</f>
        <v>Food Đức Việt</v>
      </c>
      <c r="I886" t="str">
        <f>VLOOKUP(Table8[[#This Row],[Mã khách hàng]],'Khách hàng'!A:E,5,0)</f>
        <v>HN0040</v>
      </c>
    </row>
    <row r="887" spans="1:9">
      <c r="A887" s="14" t="s">
        <v>6363</v>
      </c>
      <c r="B887" s="15" t="s">
        <v>5</v>
      </c>
      <c r="C887" s="10" t="s">
        <v>6364</v>
      </c>
      <c r="D887" s="16" t="s">
        <v>3138</v>
      </c>
      <c r="E887" s="15" t="s">
        <v>11215</v>
      </c>
      <c r="F887" s="16" t="str">
        <f>VLOOKUP(Table8[[#This Row],[Mã khách hàng]],code_khach_hang[],2,0)</f>
        <v>CHI NHÁNH HÀ NỘI - CÔNG TY CỔ PHẦN DỊCH VỤ THƯƠNG MẠI TỔNG HỢP WINCOMMERCE</v>
      </c>
      <c r="G887" s="16" t="str">
        <f>VLOOKUP(Table8[[#This Row],[Mã khách hàng]],code_khach_hang[],3,0)</f>
        <v>Miền Bắc đặc biệt 1</v>
      </c>
      <c r="H887" t="str">
        <f>VLOOKUP(Table8[[#This Row],[Mã khách hàng]],'Khách hàng'!A:D,4,0)</f>
        <v>Food Đức Việt</v>
      </c>
      <c r="I887" t="str">
        <f>VLOOKUP(Table8[[#This Row],[Mã khách hàng]],'Khách hàng'!A:E,5,0)</f>
        <v>HN0040</v>
      </c>
    </row>
    <row r="888" spans="1:9">
      <c r="A888" s="14" t="s">
        <v>6911</v>
      </c>
      <c r="B888" s="15" t="s">
        <v>5</v>
      </c>
      <c r="C888" s="10" t="s">
        <v>6912</v>
      </c>
      <c r="D888" s="16" t="s">
        <v>3141</v>
      </c>
      <c r="E888" s="15" t="s">
        <v>11215</v>
      </c>
      <c r="F888" s="16" t="str">
        <f>VLOOKUP(Table8[[#This Row],[Mã khách hàng]],code_khach_hang[],2,0)</f>
        <v>CHI NHÁNH HÀ NỘI - CÔNG TY CỔ PHẦN DỊCH VỤ THƯƠNG MẠI TỔNG HỢP WINCOMMERCE</v>
      </c>
      <c r="G888" s="16" t="str">
        <f>VLOOKUP(Table8[[#This Row],[Mã khách hàng]],code_khach_hang[],3,0)</f>
        <v>Miền Bắc đặc biệt 1</v>
      </c>
      <c r="H888" t="str">
        <f>VLOOKUP(Table8[[#This Row],[Mã khách hàng]],'Khách hàng'!A:D,4,0)</f>
        <v>Food Đức Việt</v>
      </c>
      <c r="I888" t="str">
        <f>VLOOKUP(Table8[[#This Row],[Mã khách hàng]],'Khách hàng'!A:E,5,0)</f>
        <v>HN0040</v>
      </c>
    </row>
    <row r="889" spans="1:9">
      <c r="A889" s="14" t="s">
        <v>6971</v>
      </c>
      <c r="B889" s="15" t="s">
        <v>5</v>
      </c>
      <c r="C889" s="10" t="s">
        <v>6972</v>
      </c>
      <c r="D889" s="16" t="s">
        <v>3144</v>
      </c>
      <c r="E889" s="15" t="s">
        <v>11215</v>
      </c>
      <c r="F889" s="16" t="str">
        <f>VLOOKUP(Table8[[#This Row],[Mã khách hàng]],code_khach_hang[],2,0)</f>
        <v>CHI NHÁNH HÀ NỘI - CÔNG TY CỔ PHẦN DỊCH VỤ THƯƠNG MẠI TỔNG HỢP WINCOMMERCE</v>
      </c>
      <c r="G889" s="16" t="str">
        <f>VLOOKUP(Table8[[#This Row],[Mã khách hàng]],code_khach_hang[],3,0)</f>
        <v>Miền Bắc đặc biệt 1</v>
      </c>
      <c r="H889" t="str">
        <f>VLOOKUP(Table8[[#This Row],[Mã khách hàng]],'Khách hàng'!A:D,4,0)</f>
        <v>Food Đức Việt</v>
      </c>
      <c r="I889" t="str">
        <f>VLOOKUP(Table8[[#This Row],[Mã khách hàng]],'Khách hàng'!A:E,5,0)</f>
        <v>HN0040</v>
      </c>
    </row>
    <row r="890" spans="1:9">
      <c r="A890" s="14" t="s">
        <v>6992</v>
      </c>
      <c r="B890" s="15" t="s">
        <v>5</v>
      </c>
      <c r="C890" s="10" t="s">
        <v>6993</v>
      </c>
      <c r="D890" s="16" t="s">
        <v>3147</v>
      </c>
      <c r="E890" s="14" t="s">
        <v>11215</v>
      </c>
      <c r="F890" s="16" t="str">
        <f>VLOOKUP(Table8[[#This Row],[Mã khách hàng]],code_khach_hang[],2,0)</f>
        <v>CHI NHÁNH HÀ NỘI - CÔNG TY CỔ PHẦN DỊCH VỤ THƯƠNG MẠI TỔNG HỢP WINCOMMERCE</v>
      </c>
      <c r="G890" s="16" t="str">
        <f>VLOOKUP(Table8[[#This Row],[Mã khách hàng]],code_khach_hang[],3,0)</f>
        <v>Miền Bắc đặc biệt 1</v>
      </c>
      <c r="H890" t="str">
        <f>VLOOKUP(Table8[[#This Row],[Mã khách hàng]],'Khách hàng'!A:D,4,0)</f>
        <v>Food Đức Việt</v>
      </c>
      <c r="I890" t="str">
        <f>VLOOKUP(Table8[[#This Row],[Mã khách hàng]],'Khách hàng'!A:E,5,0)</f>
        <v>HN0040</v>
      </c>
    </row>
    <row r="891" spans="1:9">
      <c r="A891" s="14" t="s">
        <v>7156</v>
      </c>
      <c r="B891" s="15" t="s">
        <v>5</v>
      </c>
      <c r="C891" s="10" t="s">
        <v>7157</v>
      </c>
      <c r="D891" s="16" t="s">
        <v>3150</v>
      </c>
      <c r="E891" s="14" t="s">
        <v>11215</v>
      </c>
      <c r="F891" s="16" t="str">
        <f>VLOOKUP(Table8[[#This Row],[Mã khách hàng]],code_khach_hang[],2,0)</f>
        <v>CHI NHÁNH HÀ NỘI - CÔNG TY CỔ PHẦN DỊCH VỤ THƯƠNG MẠI TỔNG HỢP WINCOMMERCE</v>
      </c>
      <c r="G891" s="16" t="str">
        <f>VLOOKUP(Table8[[#This Row],[Mã khách hàng]],code_khach_hang[],3,0)</f>
        <v>Miền Bắc đặc biệt 1</v>
      </c>
      <c r="H891" t="str">
        <f>VLOOKUP(Table8[[#This Row],[Mã khách hàng]],'Khách hàng'!A:D,4,0)</f>
        <v>Food Đức Việt</v>
      </c>
      <c r="I891" t="str">
        <f>VLOOKUP(Table8[[#This Row],[Mã khách hàng]],'Khách hàng'!A:E,5,0)</f>
        <v>HN0040</v>
      </c>
    </row>
    <row r="892" spans="1:9">
      <c r="A892" s="14" t="s">
        <v>7739</v>
      </c>
      <c r="B892" s="15" t="s">
        <v>5</v>
      </c>
      <c r="C892" s="10" t="s">
        <v>7740</v>
      </c>
      <c r="D892" s="16" t="s">
        <v>3153</v>
      </c>
      <c r="E892" s="15" t="s">
        <v>11215</v>
      </c>
      <c r="F892" s="16" t="str">
        <f>VLOOKUP(Table8[[#This Row],[Mã khách hàng]],code_khach_hang[],2,0)</f>
        <v>CHI NHÁNH HÀ NỘI - CÔNG TY CỔ PHẦN DỊCH VỤ THƯƠNG MẠI TỔNG HỢP WINCOMMERCE</v>
      </c>
      <c r="G892" s="16" t="str">
        <f>VLOOKUP(Table8[[#This Row],[Mã khách hàng]],code_khach_hang[],3,0)</f>
        <v>Miền Bắc đặc biệt 1</v>
      </c>
      <c r="H892" t="str">
        <f>VLOOKUP(Table8[[#This Row],[Mã khách hàng]],'Khách hàng'!A:D,4,0)</f>
        <v>Food Đức Việt</v>
      </c>
      <c r="I892" t="str">
        <f>VLOOKUP(Table8[[#This Row],[Mã khách hàng]],'Khách hàng'!A:E,5,0)</f>
        <v>HN0040</v>
      </c>
    </row>
    <row r="893" spans="1:9">
      <c r="A893" s="14" t="s">
        <v>7748</v>
      </c>
      <c r="B893" s="15" t="s">
        <v>5</v>
      </c>
      <c r="C893" s="10" t="s">
        <v>7749</v>
      </c>
      <c r="D893" s="16" t="s">
        <v>3156</v>
      </c>
      <c r="E893" s="15" t="s">
        <v>11215</v>
      </c>
      <c r="F893" s="16" t="str">
        <f>VLOOKUP(Table8[[#This Row],[Mã khách hàng]],code_khach_hang[],2,0)</f>
        <v>CHI NHÁNH HÀ NỘI - CÔNG TY CỔ PHẦN DỊCH VỤ THƯƠNG MẠI TỔNG HỢP WINCOMMERCE</v>
      </c>
      <c r="G893" s="16" t="str">
        <f>VLOOKUP(Table8[[#This Row],[Mã khách hàng]],code_khach_hang[],3,0)</f>
        <v>Miền Bắc đặc biệt 1</v>
      </c>
      <c r="H893" t="str">
        <f>VLOOKUP(Table8[[#This Row],[Mã khách hàng]],'Khách hàng'!A:D,4,0)</f>
        <v>Food Đức Việt</v>
      </c>
      <c r="I893" t="str">
        <f>VLOOKUP(Table8[[#This Row],[Mã khách hàng]],'Khách hàng'!A:E,5,0)</f>
        <v>HN0040</v>
      </c>
    </row>
    <row r="894" spans="1:9">
      <c r="A894" s="14" t="s">
        <v>7762</v>
      </c>
      <c r="B894" s="15" t="s">
        <v>5</v>
      </c>
      <c r="C894" s="10" t="s">
        <v>7763</v>
      </c>
      <c r="D894" s="16" t="s">
        <v>3159</v>
      </c>
      <c r="E894" s="15" t="s">
        <v>11215</v>
      </c>
      <c r="F894" s="16" t="str">
        <f>VLOOKUP(Table8[[#This Row],[Mã khách hàng]],code_khach_hang[],2,0)</f>
        <v>CHI NHÁNH HÀ NỘI - CÔNG TY CỔ PHẦN DỊCH VỤ THƯƠNG MẠI TỔNG HỢP WINCOMMERCE</v>
      </c>
      <c r="G894" s="16" t="str">
        <f>VLOOKUP(Table8[[#This Row],[Mã khách hàng]],code_khach_hang[],3,0)</f>
        <v>Miền Bắc đặc biệt 1</v>
      </c>
      <c r="H894" t="str">
        <f>VLOOKUP(Table8[[#This Row],[Mã khách hàng]],'Khách hàng'!A:D,4,0)</f>
        <v>Food Đức Việt</v>
      </c>
      <c r="I894" t="str">
        <f>VLOOKUP(Table8[[#This Row],[Mã khách hàng]],'Khách hàng'!A:E,5,0)</f>
        <v>HN0040</v>
      </c>
    </row>
    <row r="895" spans="1:9">
      <c r="A895" s="14" t="s">
        <v>4374</v>
      </c>
      <c r="B895" s="15" t="s">
        <v>5</v>
      </c>
      <c r="C895" s="10" t="s">
        <v>4375</v>
      </c>
      <c r="D895" s="16" t="s">
        <v>3162</v>
      </c>
      <c r="E895" s="15" t="s">
        <v>11215</v>
      </c>
      <c r="F895" s="16" t="str">
        <f>VLOOKUP(Table8[[#This Row],[Mã khách hàng]],code_khach_hang[],2,0)</f>
        <v>CHI NHÁNH HÀ NỘI - CÔNG TY CỔ PHẦN DỊCH VỤ THƯƠNG MẠI TỔNG HỢP WINCOMMERCE</v>
      </c>
      <c r="G895" s="16" t="str">
        <f>VLOOKUP(Table8[[#This Row],[Mã khách hàng]],code_khach_hang[],3,0)</f>
        <v>Miền Bắc đặc biệt 1</v>
      </c>
      <c r="H895" t="str">
        <f>VLOOKUP(Table8[[#This Row],[Mã khách hàng]],'Khách hàng'!A:D,4,0)</f>
        <v>Food Đức Việt</v>
      </c>
      <c r="I895" t="str">
        <f>VLOOKUP(Table8[[#This Row],[Mã khách hàng]],'Khách hàng'!A:E,5,0)</f>
        <v>HN0040</v>
      </c>
    </row>
    <row r="896" spans="1:9">
      <c r="A896" s="14" t="s">
        <v>4980</v>
      </c>
      <c r="B896" s="15" t="s">
        <v>5</v>
      </c>
      <c r="C896" s="10" t="s">
        <v>4981</v>
      </c>
      <c r="D896" s="16" t="s">
        <v>3165</v>
      </c>
      <c r="E896" s="15" t="s">
        <v>11215</v>
      </c>
      <c r="F896" s="16" t="str">
        <f>VLOOKUP(Table8[[#This Row],[Mã khách hàng]],code_khach_hang[],2,0)</f>
        <v>CHI NHÁNH HÀ NỘI - CÔNG TY CỔ PHẦN DỊCH VỤ THƯƠNG MẠI TỔNG HỢP WINCOMMERCE</v>
      </c>
      <c r="G896" s="16" t="str">
        <f>VLOOKUP(Table8[[#This Row],[Mã khách hàng]],code_khach_hang[],3,0)</f>
        <v>Miền Bắc đặc biệt 1</v>
      </c>
      <c r="H896" t="str">
        <f>VLOOKUP(Table8[[#This Row],[Mã khách hàng]],'Khách hàng'!A:D,4,0)</f>
        <v>Food Đức Việt</v>
      </c>
      <c r="I896" t="str">
        <f>VLOOKUP(Table8[[#This Row],[Mã khách hàng]],'Khách hàng'!A:E,5,0)</f>
        <v>HN0040</v>
      </c>
    </row>
    <row r="897" spans="1:9">
      <c r="A897" s="14" t="s">
        <v>5067</v>
      </c>
      <c r="B897" s="15" t="s">
        <v>5</v>
      </c>
      <c r="C897" s="10" t="s">
        <v>5068</v>
      </c>
      <c r="D897" s="16" t="s">
        <v>3168</v>
      </c>
      <c r="E897" s="14" t="s">
        <v>11215</v>
      </c>
      <c r="F897" s="16" t="str">
        <f>VLOOKUP(Table8[[#This Row],[Mã khách hàng]],code_khach_hang[],2,0)</f>
        <v>CHI NHÁNH HÀ NỘI - CÔNG TY CỔ PHẦN DỊCH VỤ THƯƠNG MẠI TỔNG HỢP WINCOMMERCE</v>
      </c>
      <c r="G897" s="16" t="str">
        <f>VLOOKUP(Table8[[#This Row],[Mã khách hàng]],code_khach_hang[],3,0)</f>
        <v>Miền Bắc đặc biệt 1</v>
      </c>
      <c r="H897" t="str">
        <f>VLOOKUP(Table8[[#This Row],[Mã khách hàng]],'Khách hàng'!A:D,4,0)</f>
        <v>Food Đức Việt</v>
      </c>
      <c r="I897" t="str">
        <f>VLOOKUP(Table8[[#This Row],[Mã khách hàng]],'Khách hàng'!A:E,5,0)</f>
        <v>HN0040</v>
      </c>
    </row>
    <row r="898" spans="1:9">
      <c r="A898" s="14" t="s">
        <v>5136</v>
      </c>
      <c r="B898" s="15" t="s">
        <v>5</v>
      </c>
      <c r="C898" s="10" t="s">
        <v>5137</v>
      </c>
      <c r="D898" s="16" t="s">
        <v>3171</v>
      </c>
      <c r="E898" s="15" t="s">
        <v>11215</v>
      </c>
      <c r="F898" s="16" t="str">
        <f>VLOOKUP(Table8[[#This Row],[Mã khách hàng]],code_khach_hang[],2,0)</f>
        <v>CHI NHÁNH HÀ NỘI - CÔNG TY CỔ PHẦN DỊCH VỤ THƯƠNG MẠI TỔNG HỢP WINCOMMERCE</v>
      </c>
      <c r="G898" s="16" t="str">
        <f>VLOOKUP(Table8[[#This Row],[Mã khách hàng]],code_khach_hang[],3,0)</f>
        <v>Miền Bắc đặc biệt 1</v>
      </c>
      <c r="H898" t="str">
        <f>VLOOKUP(Table8[[#This Row],[Mã khách hàng]],'Khách hàng'!A:D,4,0)</f>
        <v>Food Đức Việt</v>
      </c>
      <c r="I898" t="str">
        <f>VLOOKUP(Table8[[#This Row],[Mã khách hàng]],'Khách hàng'!A:E,5,0)</f>
        <v>HN0040</v>
      </c>
    </row>
    <row r="899" spans="1:9">
      <c r="A899" s="14" t="s">
        <v>6725</v>
      </c>
      <c r="B899" s="15" t="s">
        <v>5</v>
      </c>
      <c r="C899" s="10" t="s">
        <v>6726</v>
      </c>
      <c r="D899" s="16" t="s">
        <v>3174</v>
      </c>
      <c r="E899" s="15" t="s">
        <v>11215</v>
      </c>
      <c r="F899" s="16" t="str">
        <f>VLOOKUP(Table8[[#This Row],[Mã khách hàng]],code_khach_hang[],2,0)</f>
        <v>CHI NHÁNH HÀ NỘI - CÔNG TY CỔ PHẦN DỊCH VỤ THƯƠNG MẠI TỔNG HỢP WINCOMMERCE</v>
      </c>
      <c r="G899" s="16" t="str">
        <f>VLOOKUP(Table8[[#This Row],[Mã khách hàng]],code_khach_hang[],3,0)</f>
        <v>Miền Bắc đặc biệt 1</v>
      </c>
      <c r="H899" t="str">
        <f>VLOOKUP(Table8[[#This Row],[Mã khách hàng]],'Khách hàng'!A:D,4,0)</f>
        <v>Food Đức Việt</v>
      </c>
      <c r="I899" t="str">
        <f>VLOOKUP(Table8[[#This Row],[Mã khách hàng]],'Khách hàng'!A:E,5,0)</f>
        <v>HN0040</v>
      </c>
    </row>
    <row r="900" spans="1:9">
      <c r="A900" s="14" t="s">
        <v>7231</v>
      </c>
      <c r="B900" s="15" t="s">
        <v>5</v>
      </c>
      <c r="C900" s="10" t="s">
        <v>7232</v>
      </c>
      <c r="D900" s="16" t="s">
        <v>3177</v>
      </c>
      <c r="E900" s="15" t="s">
        <v>11215</v>
      </c>
      <c r="F900" s="16" t="str">
        <f>VLOOKUP(Table8[[#This Row],[Mã khách hàng]],code_khach_hang[],2,0)</f>
        <v>CHI NHÁNH HÀ NỘI - CÔNG TY CỔ PHẦN DỊCH VỤ THƯƠNG MẠI TỔNG HỢP WINCOMMERCE</v>
      </c>
      <c r="G900" s="16" t="str">
        <f>VLOOKUP(Table8[[#This Row],[Mã khách hàng]],code_khach_hang[],3,0)</f>
        <v>Miền Bắc đặc biệt 1</v>
      </c>
      <c r="H900" t="str">
        <f>VLOOKUP(Table8[[#This Row],[Mã khách hàng]],'Khách hàng'!A:D,4,0)</f>
        <v>Food Đức Việt</v>
      </c>
      <c r="I900" t="str">
        <f>VLOOKUP(Table8[[#This Row],[Mã khách hàng]],'Khách hàng'!A:E,5,0)</f>
        <v>HN0040</v>
      </c>
    </row>
    <row r="901" spans="1:9">
      <c r="A901" s="14" t="s">
        <v>5016</v>
      </c>
      <c r="B901" s="15" t="s">
        <v>5</v>
      </c>
      <c r="C901" s="10" t="s">
        <v>5017</v>
      </c>
      <c r="D901" s="16" t="s">
        <v>3180</v>
      </c>
      <c r="E901" s="15" t="s">
        <v>11215</v>
      </c>
      <c r="F901" s="16" t="str">
        <f>VLOOKUP(Table8[[#This Row],[Mã khách hàng]],code_khach_hang[],2,0)</f>
        <v>CHI NHÁNH HÀ NỘI - CÔNG TY CỔ PHẦN DỊCH VỤ THƯƠNG MẠI TỔNG HỢP WINCOMMERCE</v>
      </c>
      <c r="G901" s="16" t="str">
        <f>VLOOKUP(Table8[[#This Row],[Mã khách hàng]],code_khach_hang[],3,0)</f>
        <v>Miền Bắc đặc biệt 1</v>
      </c>
      <c r="H901" t="str">
        <f>VLOOKUP(Table8[[#This Row],[Mã khách hàng]],'Khách hàng'!A:D,4,0)</f>
        <v>Food Đức Việt</v>
      </c>
      <c r="I901" t="str">
        <f>VLOOKUP(Table8[[#This Row],[Mã khách hàng]],'Khách hàng'!A:E,5,0)</f>
        <v>HN0040</v>
      </c>
    </row>
    <row r="902" spans="1:9">
      <c r="A902" s="14" t="s">
        <v>7027</v>
      </c>
      <c r="B902" s="15" t="s">
        <v>5</v>
      </c>
      <c r="C902" s="10" t="s">
        <v>7028</v>
      </c>
      <c r="D902" s="16" t="s">
        <v>3183</v>
      </c>
      <c r="E902" s="15" t="s">
        <v>11215</v>
      </c>
      <c r="F902" s="16" t="str">
        <f>VLOOKUP(Table8[[#This Row],[Mã khách hàng]],code_khach_hang[],2,0)</f>
        <v>CHI NHÁNH HÀ NỘI - CÔNG TY CỔ PHẦN DỊCH VỤ THƯƠNG MẠI TỔNG HỢP WINCOMMERCE</v>
      </c>
      <c r="G902" s="16" t="str">
        <f>VLOOKUP(Table8[[#This Row],[Mã khách hàng]],code_khach_hang[],3,0)</f>
        <v>Miền Bắc đặc biệt 1</v>
      </c>
      <c r="H902" t="str">
        <f>VLOOKUP(Table8[[#This Row],[Mã khách hàng]],'Khách hàng'!A:D,4,0)</f>
        <v>Food Đức Việt</v>
      </c>
      <c r="I902" t="str">
        <f>VLOOKUP(Table8[[#This Row],[Mã khách hàng]],'Khách hàng'!A:E,5,0)</f>
        <v>HN0040</v>
      </c>
    </row>
    <row r="903" spans="1:9">
      <c r="A903" s="14" t="s">
        <v>7122</v>
      </c>
      <c r="B903" s="15" t="s">
        <v>5</v>
      </c>
      <c r="C903" s="10" t="s">
        <v>7123</v>
      </c>
      <c r="D903" s="16" t="s">
        <v>3186</v>
      </c>
      <c r="E903" s="15" t="s">
        <v>11215</v>
      </c>
      <c r="F903" s="16" t="str">
        <f>VLOOKUP(Table8[[#This Row],[Mã khách hàng]],code_khach_hang[],2,0)</f>
        <v>CHI NHÁNH HÀ NỘI - CÔNG TY CỔ PHẦN DỊCH VỤ THƯƠNG MẠI TỔNG HỢP WINCOMMERCE</v>
      </c>
      <c r="G903" s="16" t="str">
        <f>VLOOKUP(Table8[[#This Row],[Mã khách hàng]],code_khach_hang[],3,0)</f>
        <v>Miền Bắc đặc biệt 1</v>
      </c>
      <c r="H903" t="str">
        <f>VLOOKUP(Table8[[#This Row],[Mã khách hàng]],'Khách hàng'!A:D,4,0)</f>
        <v>Food Đức Việt</v>
      </c>
      <c r="I903" t="str">
        <f>VLOOKUP(Table8[[#This Row],[Mã khách hàng]],'Khách hàng'!A:E,5,0)</f>
        <v>HN0040</v>
      </c>
    </row>
    <row r="904" spans="1:9">
      <c r="A904" s="14" t="s">
        <v>6163</v>
      </c>
      <c r="B904" s="15" t="s">
        <v>5</v>
      </c>
      <c r="C904" s="10" t="s">
        <v>6164</v>
      </c>
      <c r="D904" s="16" t="s">
        <v>3189</v>
      </c>
      <c r="E904" s="15" t="s">
        <v>11215</v>
      </c>
      <c r="F904" s="16" t="str">
        <f>VLOOKUP(Table8[[#This Row],[Mã khách hàng]],code_khach_hang[],2,0)</f>
        <v>CHI NHÁNH HÀ NỘI - CÔNG TY CỔ PHẦN DỊCH VỤ THƯƠNG MẠI TỔNG HỢP WINCOMMERCE</v>
      </c>
      <c r="G904" s="16" t="str">
        <f>VLOOKUP(Table8[[#This Row],[Mã khách hàng]],code_khach_hang[],3,0)</f>
        <v>Miền Bắc đặc biệt 1</v>
      </c>
      <c r="H904" t="str">
        <f>VLOOKUP(Table8[[#This Row],[Mã khách hàng]],'Khách hàng'!A:D,4,0)</f>
        <v>Food Đức Việt</v>
      </c>
      <c r="I904" t="str">
        <f>VLOOKUP(Table8[[#This Row],[Mã khách hàng]],'Khách hàng'!A:E,5,0)</f>
        <v>HN0040</v>
      </c>
    </row>
    <row r="905" spans="1:9">
      <c r="A905" s="14" t="s">
        <v>637</v>
      </c>
      <c r="B905" s="15" t="s">
        <v>183</v>
      </c>
      <c r="C905" s="10" t="s">
        <v>638</v>
      </c>
      <c r="D905" s="16" t="s">
        <v>3192</v>
      </c>
      <c r="E905" s="15" t="s">
        <v>11195</v>
      </c>
      <c r="F905" s="16" t="str">
        <f>VLOOKUP(Table8[[#This Row],[Mã khách hàng]],code_khach_hang[],2,0)</f>
        <v>CHI NHÁNH HÀ NỘI - CÔNG TY CỔ PHẦN DỊCH VỤ THƯƠNG MẠI TỔNG HỢP WINCOMMERCE</v>
      </c>
      <c r="G905" s="16" t="str">
        <f>VLOOKUP(Table8[[#This Row],[Mã khách hàng]],code_khach_hang[],3,0)</f>
        <v>Miền Bắc đặc biệt 2</v>
      </c>
      <c r="H905" t="str">
        <f>VLOOKUP(Table8[[#This Row],[Mã khách hàng]],'Khách hàng'!A:D,4,0)</f>
        <v>Food Đức Việt</v>
      </c>
      <c r="I905" t="str">
        <f>VLOOKUP(Table8[[#This Row],[Mã khách hàng]],'Khách hàng'!A:E,5,0)</f>
        <v>HN0040</v>
      </c>
    </row>
    <row r="906" spans="1:9">
      <c r="A906" s="14" t="s">
        <v>577</v>
      </c>
      <c r="B906" s="15" t="s">
        <v>183</v>
      </c>
      <c r="C906" s="10" t="s">
        <v>578</v>
      </c>
      <c r="D906" s="16" t="s">
        <v>3195</v>
      </c>
      <c r="E906" s="15" t="s">
        <v>11195</v>
      </c>
      <c r="F906" s="16" t="str">
        <f>VLOOKUP(Table8[[#This Row],[Mã khách hàng]],code_khach_hang[],2,0)</f>
        <v>CHI NHÁNH HÀ NỘI - CÔNG TY CỔ PHẦN DỊCH VỤ THƯƠNG MẠI TỔNG HỢP WINCOMMERCE</v>
      </c>
      <c r="G906" s="16" t="str">
        <f>VLOOKUP(Table8[[#This Row],[Mã khách hàng]],code_khach_hang[],3,0)</f>
        <v>Miền Bắc đặc biệt 2</v>
      </c>
      <c r="H906" t="str">
        <f>VLOOKUP(Table8[[#This Row],[Mã khách hàng]],'Khách hàng'!A:D,4,0)</f>
        <v>Food Đức Việt</v>
      </c>
      <c r="I906" t="str">
        <f>VLOOKUP(Table8[[#This Row],[Mã khách hàng]],'Khách hàng'!A:E,5,0)</f>
        <v>HN0040</v>
      </c>
    </row>
    <row r="907" spans="1:9">
      <c r="A907" s="14" t="s">
        <v>604</v>
      </c>
      <c r="B907" s="15" t="s">
        <v>183</v>
      </c>
      <c r="C907" s="10" t="s">
        <v>605</v>
      </c>
      <c r="D907" s="16" t="s">
        <v>3198</v>
      </c>
      <c r="E907" s="15" t="s">
        <v>11195</v>
      </c>
      <c r="F907" s="16" t="str">
        <f>VLOOKUP(Table8[[#This Row],[Mã khách hàng]],code_khach_hang[],2,0)</f>
        <v>CHI NHÁNH HÀ NỘI - CÔNG TY CỔ PHẦN DỊCH VỤ THƯƠNG MẠI TỔNG HỢP WINCOMMERCE</v>
      </c>
      <c r="G907" s="16" t="str">
        <f>VLOOKUP(Table8[[#This Row],[Mã khách hàng]],code_khach_hang[],3,0)</f>
        <v>Miền Bắc đặc biệt 2</v>
      </c>
      <c r="H907" t="str">
        <f>VLOOKUP(Table8[[#This Row],[Mã khách hàng]],'Khách hàng'!A:D,4,0)</f>
        <v>Food Đức Việt</v>
      </c>
      <c r="I907" t="str">
        <f>VLOOKUP(Table8[[#This Row],[Mã khách hàng]],'Khách hàng'!A:E,5,0)</f>
        <v>HN0040</v>
      </c>
    </row>
    <row r="908" spans="1:9">
      <c r="A908" s="14" t="s">
        <v>849</v>
      </c>
      <c r="B908" s="15" t="s">
        <v>5</v>
      </c>
      <c r="C908" s="10" t="s">
        <v>850</v>
      </c>
      <c r="D908" s="16" t="s">
        <v>3201</v>
      </c>
      <c r="E908" s="15" t="s">
        <v>11215</v>
      </c>
      <c r="F908" s="16" t="str">
        <f>VLOOKUP(Table8[[#This Row],[Mã khách hàng]],code_khach_hang[],2,0)</f>
        <v>CHI NHÁNH HÀ NỘI - CÔNG TY CỔ PHẦN DỊCH VỤ THƯƠNG MẠI TỔNG HỢP WINCOMMERCE</v>
      </c>
      <c r="G908" s="16" t="str">
        <f>VLOOKUP(Table8[[#This Row],[Mã khách hàng]],code_khach_hang[],3,0)</f>
        <v>Miền Bắc đặc biệt 1</v>
      </c>
      <c r="H908" t="str">
        <f>VLOOKUP(Table8[[#This Row],[Mã khách hàng]],'Khách hàng'!A:D,4,0)</f>
        <v>Food Đức Việt</v>
      </c>
      <c r="I908" t="str">
        <f>VLOOKUP(Table8[[#This Row],[Mã khách hàng]],'Khách hàng'!A:E,5,0)</f>
        <v>HN0040</v>
      </c>
    </row>
    <row r="909" spans="1:9">
      <c r="A909" s="14" t="s">
        <v>867</v>
      </c>
      <c r="B909" s="15" t="s">
        <v>5</v>
      </c>
      <c r="C909" s="10" t="s">
        <v>868</v>
      </c>
      <c r="D909" s="16" t="s">
        <v>3204</v>
      </c>
      <c r="E909" s="15" t="s">
        <v>11215</v>
      </c>
      <c r="F909" s="16" t="str">
        <f>VLOOKUP(Table8[[#This Row],[Mã khách hàng]],code_khach_hang[],2,0)</f>
        <v>CHI NHÁNH HÀ NỘI - CÔNG TY CỔ PHẦN DỊCH VỤ THƯƠNG MẠI TỔNG HỢP WINCOMMERCE</v>
      </c>
      <c r="G909" s="16" t="str">
        <f>VLOOKUP(Table8[[#This Row],[Mã khách hàng]],code_khach_hang[],3,0)</f>
        <v>Miền Bắc đặc biệt 1</v>
      </c>
      <c r="H909" t="str">
        <f>VLOOKUP(Table8[[#This Row],[Mã khách hàng]],'Khách hàng'!A:D,4,0)</f>
        <v>Food Đức Việt</v>
      </c>
      <c r="I909" t="str">
        <f>VLOOKUP(Table8[[#This Row],[Mã khách hàng]],'Khách hàng'!A:E,5,0)</f>
        <v>HN0040</v>
      </c>
    </row>
    <row r="910" spans="1:9">
      <c r="A910" s="14" t="s">
        <v>939</v>
      </c>
      <c r="B910" s="15" t="s">
        <v>5</v>
      </c>
      <c r="C910" s="10" t="s">
        <v>940</v>
      </c>
      <c r="D910" s="16" t="s">
        <v>3207</v>
      </c>
      <c r="E910" s="15" t="s">
        <v>11215</v>
      </c>
      <c r="F910" s="16" t="str">
        <f>VLOOKUP(Table8[[#This Row],[Mã khách hàng]],code_khach_hang[],2,0)</f>
        <v>CHI NHÁNH HÀ NỘI - CÔNG TY CỔ PHẦN DỊCH VỤ THƯƠNG MẠI TỔNG HỢP WINCOMMERCE</v>
      </c>
      <c r="G910" s="16" t="str">
        <f>VLOOKUP(Table8[[#This Row],[Mã khách hàng]],code_khach_hang[],3,0)</f>
        <v>Miền Bắc đặc biệt 1</v>
      </c>
      <c r="H910" t="str">
        <f>VLOOKUP(Table8[[#This Row],[Mã khách hàng]],'Khách hàng'!A:D,4,0)</f>
        <v>Food Đức Việt</v>
      </c>
      <c r="I910" t="str">
        <f>VLOOKUP(Table8[[#This Row],[Mã khách hàng]],'Khách hàng'!A:E,5,0)</f>
        <v>HN0040</v>
      </c>
    </row>
    <row r="911" spans="1:9">
      <c r="A911" s="14" t="s">
        <v>1074</v>
      </c>
      <c r="B911" s="15" t="s">
        <v>5</v>
      </c>
      <c r="C911" s="10" t="s">
        <v>1075</v>
      </c>
      <c r="D911" s="16" t="s">
        <v>3210</v>
      </c>
      <c r="E911" s="15" t="s">
        <v>11215</v>
      </c>
      <c r="F911" s="16" t="str">
        <f>VLOOKUP(Table8[[#This Row],[Mã khách hàng]],code_khach_hang[],2,0)</f>
        <v>CHI NHÁNH HÀ NỘI - CÔNG TY CỔ PHẦN DỊCH VỤ THƯƠNG MẠI TỔNG HỢP WINCOMMERCE</v>
      </c>
      <c r="G911" s="16" t="str">
        <f>VLOOKUP(Table8[[#This Row],[Mã khách hàng]],code_khach_hang[],3,0)</f>
        <v>Miền Bắc đặc biệt 1</v>
      </c>
      <c r="H911" t="str">
        <f>VLOOKUP(Table8[[#This Row],[Mã khách hàng]],'Khách hàng'!A:D,4,0)</f>
        <v>Food Đức Việt</v>
      </c>
      <c r="I911" t="str">
        <f>VLOOKUP(Table8[[#This Row],[Mã khách hàng]],'Khách hàng'!A:E,5,0)</f>
        <v>HN0040</v>
      </c>
    </row>
    <row r="912" spans="1:9">
      <c r="A912" s="14" t="s">
        <v>1086</v>
      </c>
      <c r="B912" s="15" t="s">
        <v>5</v>
      </c>
      <c r="C912" s="10" t="s">
        <v>1087</v>
      </c>
      <c r="D912" s="16" t="s">
        <v>3213</v>
      </c>
      <c r="E912" s="15" t="s">
        <v>11215</v>
      </c>
      <c r="F912" s="16" t="str">
        <f>VLOOKUP(Table8[[#This Row],[Mã khách hàng]],code_khach_hang[],2,0)</f>
        <v>CHI NHÁNH HÀ NỘI - CÔNG TY CỔ PHẦN DỊCH VỤ THƯƠNG MẠI TỔNG HỢP WINCOMMERCE</v>
      </c>
      <c r="G912" s="16" t="str">
        <f>VLOOKUP(Table8[[#This Row],[Mã khách hàng]],code_khach_hang[],3,0)</f>
        <v>Miền Bắc đặc biệt 1</v>
      </c>
      <c r="H912" t="str">
        <f>VLOOKUP(Table8[[#This Row],[Mã khách hàng]],'Khách hàng'!A:D,4,0)</f>
        <v>Food Đức Việt</v>
      </c>
      <c r="I912" t="str">
        <f>VLOOKUP(Table8[[#This Row],[Mã khách hàng]],'Khách hàng'!A:E,5,0)</f>
        <v>HN0040</v>
      </c>
    </row>
    <row r="913" spans="1:9">
      <c r="A913" s="14" t="s">
        <v>11104</v>
      </c>
      <c r="B913" s="15" t="s">
        <v>5</v>
      </c>
      <c r="C913" s="10" t="s">
        <v>13154</v>
      </c>
      <c r="D913" s="16" t="s">
        <v>3216</v>
      </c>
      <c r="E913" s="15" t="s">
        <v>11215</v>
      </c>
      <c r="F913" s="16" t="str">
        <f>VLOOKUP(Table8[[#This Row],[Mã khách hàng]],code_khach_hang[],2,0)</f>
        <v>CHI NHÁNH HÀ NỘI - CÔNG TY CỔ PHẦN DỊCH VỤ THƯƠNG MẠI TỔNG HỢP WINCOMMERCE</v>
      </c>
      <c r="G913" s="16" t="str">
        <f>VLOOKUP(Table8[[#This Row],[Mã khách hàng]],code_khach_hang[],3,0)</f>
        <v>Miền Bắc đặc biệt 1</v>
      </c>
      <c r="H913" t="str">
        <f>VLOOKUP(Table8[[#This Row],[Mã khách hàng]],'Khách hàng'!A:D,4,0)</f>
        <v>Food Đức Việt</v>
      </c>
      <c r="I913" t="str">
        <f>VLOOKUP(Table8[[#This Row],[Mã khách hàng]],'Khách hàng'!A:E,5,0)</f>
        <v>HN0040</v>
      </c>
    </row>
    <row r="914" spans="1:9">
      <c r="A914" s="14" t="s">
        <v>1230</v>
      </c>
      <c r="B914" s="15" t="s">
        <v>5</v>
      </c>
      <c r="C914" s="10" t="s">
        <v>1231</v>
      </c>
      <c r="D914" s="16" t="s">
        <v>3219</v>
      </c>
      <c r="E914" s="15" t="s">
        <v>11215</v>
      </c>
      <c r="F914" s="16" t="str">
        <f>VLOOKUP(Table8[[#This Row],[Mã khách hàng]],code_khach_hang[],2,0)</f>
        <v>CHI NHÁNH HÀ NỘI - CÔNG TY CỔ PHẦN DỊCH VỤ THƯƠNG MẠI TỔNG HỢP WINCOMMERCE</v>
      </c>
      <c r="G914" s="16" t="str">
        <f>VLOOKUP(Table8[[#This Row],[Mã khách hàng]],code_khach_hang[],3,0)</f>
        <v>Miền Bắc đặc biệt 1</v>
      </c>
      <c r="H914" t="str">
        <f>VLOOKUP(Table8[[#This Row],[Mã khách hàng]],'Khách hàng'!A:D,4,0)</f>
        <v>Food Đức Việt</v>
      </c>
      <c r="I914" t="str">
        <f>VLOOKUP(Table8[[#This Row],[Mã khách hàng]],'Khách hàng'!A:E,5,0)</f>
        <v>HN0040</v>
      </c>
    </row>
    <row r="915" spans="1:9">
      <c r="A915" s="14" t="s">
        <v>1257</v>
      </c>
      <c r="B915" s="15" t="s">
        <v>5</v>
      </c>
      <c r="C915" s="10" t="s">
        <v>1258</v>
      </c>
      <c r="D915" s="16" t="s">
        <v>3222</v>
      </c>
      <c r="E915" s="15" t="s">
        <v>11215</v>
      </c>
      <c r="F915" s="16" t="str">
        <f>VLOOKUP(Table8[[#This Row],[Mã khách hàng]],code_khach_hang[],2,0)</f>
        <v>CHI NHÁNH HÀ NỘI - CÔNG TY CỔ PHẦN DỊCH VỤ THƯƠNG MẠI TỔNG HỢP WINCOMMERCE</v>
      </c>
      <c r="G915" s="16" t="str">
        <f>VLOOKUP(Table8[[#This Row],[Mã khách hàng]],code_khach_hang[],3,0)</f>
        <v>Miền Bắc đặc biệt 1</v>
      </c>
      <c r="H915" t="str">
        <f>VLOOKUP(Table8[[#This Row],[Mã khách hàng]],'Khách hàng'!A:D,4,0)</f>
        <v>Food Đức Việt</v>
      </c>
      <c r="I915" t="str">
        <f>VLOOKUP(Table8[[#This Row],[Mã khách hàng]],'Khách hàng'!A:E,5,0)</f>
        <v>HN0040</v>
      </c>
    </row>
    <row r="916" spans="1:9">
      <c r="A916" s="14" t="s">
        <v>4152</v>
      </c>
      <c r="B916" s="15" t="s">
        <v>5</v>
      </c>
      <c r="C916" s="10" t="s">
        <v>4153</v>
      </c>
      <c r="D916" s="16" t="s">
        <v>3225</v>
      </c>
      <c r="E916" s="15" t="s">
        <v>11215</v>
      </c>
      <c r="F916" s="16" t="str">
        <f>VLOOKUP(Table8[[#This Row],[Mã khách hàng]],code_khach_hang[],2,0)</f>
        <v>CHI NHÁNH HÀ NỘI - CÔNG TY CỔ PHẦN DỊCH VỤ THƯƠNG MẠI TỔNG HỢP WINCOMMERCE</v>
      </c>
      <c r="G916" s="16" t="str">
        <f>VLOOKUP(Table8[[#This Row],[Mã khách hàng]],code_khach_hang[],3,0)</f>
        <v>Miền Bắc đặc biệt 1</v>
      </c>
      <c r="H916" t="str">
        <f>VLOOKUP(Table8[[#This Row],[Mã khách hàng]],'Khách hàng'!A:D,4,0)</f>
        <v>Food Đức Việt</v>
      </c>
      <c r="I916" t="str">
        <f>VLOOKUP(Table8[[#This Row],[Mã khách hàng]],'Khách hàng'!A:E,5,0)</f>
        <v>HN0040</v>
      </c>
    </row>
    <row r="917" spans="1:9">
      <c r="A917" s="14" t="s">
        <v>4191</v>
      </c>
      <c r="B917" s="15" t="s">
        <v>5</v>
      </c>
      <c r="C917" s="10" t="s">
        <v>4192</v>
      </c>
      <c r="D917" s="16" t="s">
        <v>3228</v>
      </c>
      <c r="E917" s="15" t="s">
        <v>11215</v>
      </c>
      <c r="F917" s="16" t="str">
        <f>VLOOKUP(Table8[[#This Row],[Mã khách hàng]],code_khach_hang[],2,0)</f>
        <v>CHI NHÁNH HÀ NỘI - CÔNG TY CỔ PHẦN DỊCH VỤ THƯƠNG MẠI TỔNG HỢP WINCOMMERCE</v>
      </c>
      <c r="G917" s="16" t="str">
        <f>VLOOKUP(Table8[[#This Row],[Mã khách hàng]],code_khach_hang[],3,0)</f>
        <v>Miền Bắc đặc biệt 1</v>
      </c>
      <c r="H917" t="str">
        <f>VLOOKUP(Table8[[#This Row],[Mã khách hàng]],'Khách hàng'!A:D,4,0)</f>
        <v>Food Đức Việt</v>
      </c>
      <c r="I917" t="str">
        <f>VLOOKUP(Table8[[#This Row],[Mã khách hàng]],'Khách hàng'!A:E,5,0)</f>
        <v>HN0040</v>
      </c>
    </row>
    <row r="918" spans="1:9">
      <c r="A918" s="14" t="s">
        <v>4194</v>
      </c>
      <c r="B918" s="15" t="s">
        <v>5</v>
      </c>
      <c r="C918" s="10" t="s">
        <v>4195</v>
      </c>
      <c r="D918" s="16" t="s">
        <v>3231</v>
      </c>
      <c r="E918" s="15" t="s">
        <v>11215</v>
      </c>
      <c r="F918" s="16" t="str">
        <f>VLOOKUP(Table8[[#This Row],[Mã khách hàng]],code_khach_hang[],2,0)</f>
        <v>CHI NHÁNH HÀ NỘI - CÔNG TY CỔ PHẦN DỊCH VỤ THƯƠNG MẠI TỔNG HỢP WINCOMMERCE</v>
      </c>
      <c r="G918" s="16" t="str">
        <f>VLOOKUP(Table8[[#This Row],[Mã khách hàng]],code_khach_hang[],3,0)</f>
        <v>Miền Bắc đặc biệt 1</v>
      </c>
      <c r="H918" t="str">
        <f>VLOOKUP(Table8[[#This Row],[Mã khách hàng]],'Khách hàng'!A:D,4,0)</f>
        <v>Food Đức Việt</v>
      </c>
      <c r="I918" t="str">
        <f>VLOOKUP(Table8[[#This Row],[Mã khách hàng]],'Khách hàng'!A:E,5,0)</f>
        <v>HN0040</v>
      </c>
    </row>
    <row r="919" spans="1:9">
      <c r="A919" s="14" t="s">
        <v>4305</v>
      </c>
      <c r="B919" s="15" t="s">
        <v>5</v>
      </c>
      <c r="C919" s="10" t="s">
        <v>4306</v>
      </c>
      <c r="D919" s="16" t="s">
        <v>3234</v>
      </c>
      <c r="E919" s="15" t="s">
        <v>11215</v>
      </c>
      <c r="F919" s="16" t="str">
        <f>VLOOKUP(Table8[[#This Row],[Mã khách hàng]],code_khach_hang[],2,0)</f>
        <v>CHI NHÁNH HÀ NỘI - CÔNG TY CỔ PHẦN DỊCH VỤ THƯƠNG MẠI TỔNG HỢP WINCOMMERCE</v>
      </c>
      <c r="G919" s="16" t="str">
        <f>VLOOKUP(Table8[[#This Row],[Mã khách hàng]],code_khach_hang[],3,0)</f>
        <v>Miền Bắc đặc biệt 1</v>
      </c>
      <c r="H919" t="str">
        <f>VLOOKUP(Table8[[#This Row],[Mã khách hàng]],'Khách hàng'!A:D,4,0)</f>
        <v>Food Đức Việt</v>
      </c>
      <c r="I919" t="str">
        <f>VLOOKUP(Table8[[#This Row],[Mã khách hàng]],'Khách hàng'!A:E,5,0)</f>
        <v>HN0040</v>
      </c>
    </row>
    <row r="920" spans="1:9">
      <c r="A920" s="14" t="s">
        <v>4530</v>
      </c>
      <c r="B920" s="15" t="s">
        <v>5</v>
      </c>
      <c r="C920" s="10" t="s">
        <v>4531</v>
      </c>
      <c r="D920" s="16" t="s">
        <v>3237</v>
      </c>
      <c r="E920" s="15" t="s">
        <v>11215</v>
      </c>
      <c r="F920" s="16" t="str">
        <f>VLOOKUP(Table8[[#This Row],[Mã khách hàng]],code_khach_hang[],2,0)</f>
        <v>CHI NHÁNH HÀ NỘI - CÔNG TY CỔ PHẦN DỊCH VỤ THƯƠNG MẠI TỔNG HỢP WINCOMMERCE</v>
      </c>
      <c r="G920" s="16" t="str">
        <f>VLOOKUP(Table8[[#This Row],[Mã khách hàng]],code_khach_hang[],3,0)</f>
        <v>Miền Bắc đặc biệt 1</v>
      </c>
      <c r="H920" t="str">
        <f>VLOOKUP(Table8[[#This Row],[Mã khách hàng]],'Khách hàng'!A:D,4,0)</f>
        <v>Food Đức Việt</v>
      </c>
      <c r="I920" t="str">
        <f>VLOOKUP(Table8[[#This Row],[Mã khách hàng]],'Khách hàng'!A:E,5,0)</f>
        <v>HN0040</v>
      </c>
    </row>
    <row r="921" spans="1:9">
      <c r="A921" s="14" t="s">
        <v>5112</v>
      </c>
      <c r="B921" s="15" t="s">
        <v>5</v>
      </c>
      <c r="C921" s="10" t="s">
        <v>5113</v>
      </c>
      <c r="D921" s="16" t="s">
        <v>3240</v>
      </c>
      <c r="E921" s="15" t="s">
        <v>11215</v>
      </c>
      <c r="F921" s="16" t="str">
        <f>VLOOKUP(Table8[[#This Row],[Mã khách hàng]],code_khach_hang[],2,0)</f>
        <v>CHI NHÁNH HÀ NỘI - CÔNG TY CỔ PHẦN DỊCH VỤ THƯƠNG MẠI TỔNG HỢP WINCOMMERCE</v>
      </c>
      <c r="G921" s="16" t="str">
        <f>VLOOKUP(Table8[[#This Row],[Mã khách hàng]],code_khach_hang[],3,0)</f>
        <v>Miền Bắc đặc biệt 1</v>
      </c>
      <c r="H921" t="str">
        <f>VLOOKUP(Table8[[#This Row],[Mã khách hàng]],'Khách hàng'!A:D,4,0)</f>
        <v>Food Đức Việt</v>
      </c>
      <c r="I921" t="str">
        <f>VLOOKUP(Table8[[#This Row],[Mã khách hàng]],'Khách hàng'!A:E,5,0)</f>
        <v>HN0040</v>
      </c>
    </row>
    <row r="922" spans="1:9">
      <c r="A922" s="14" t="s">
        <v>11105</v>
      </c>
      <c r="B922" s="15" t="s">
        <v>5</v>
      </c>
      <c r="C922" s="10" t="e">
        <v>#N/A</v>
      </c>
      <c r="D922" s="16" t="s">
        <v>3243</v>
      </c>
      <c r="E922" s="15" t="s">
        <v>11215</v>
      </c>
      <c r="F922" s="16" t="str">
        <f>VLOOKUP(Table8[[#This Row],[Mã khách hàng]],code_khach_hang[],2,0)</f>
        <v>CHI NHÁNH HÀ NỘI - CÔNG TY CỔ PHẦN DỊCH VỤ THƯƠNG MẠI TỔNG HỢP WINCOMMERCE</v>
      </c>
      <c r="G922" s="16" t="str">
        <f>VLOOKUP(Table8[[#This Row],[Mã khách hàng]],code_khach_hang[],3,0)</f>
        <v>Miền Bắc đặc biệt 1</v>
      </c>
      <c r="H922" t="str">
        <f>VLOOKUP(Table8[[#This Row],[Mã khách hàng]],'Khách hàng'!A:D,4,0)</f>
        <v>Food Đức Việt</v>
      </c>
      <c r="I922" t="str">
        <f>VLOOKUP(Table8[[#This Row],[Mã khách hàng]],'Khách hàng'!A:E,5,0)</f>
        <v>HN0040</v>
      </c>
    </row>
    <row r="923" spans="1:9">
      <c r="A923" s="14" t="s">
        <v>6584</v>
      </c>
      <c r="B923" s="15" t="s">
        <v>5</v>
      </c>
      <c r="C923" s="10" t="s">
        <v>6585</v>
      </c>
      <c r="D923" s="16" t="s">
        <v>3245</v>
      </c>
      <c r="E923" s="15" t="s">
        <v>11215</v>
      </c>
      <c r="F923" s="16" t="str">
        <f>VLOOKUP(Table8[[#This Row],[Mã khách hàng]],code_khach_hang[],2,0)</f>
        <v>CHI NHÁNH HÀ NỘI - CÔNG TY CỔ PHẦN DỊCH VỤ THƯƠNG MẠI TỔNG HỢP WINCOMMERCE</v>
      </c>
      <c r="G923" s="16" t="str">
        <f>VLOOKUP(Table8[[#This Row],[Mã khách hàng]],code_khach_hang[],3,0)</f>
        <v>Miền Bắc đặc biệt 1</v>
      </c>
      <c r="H923" t="str">
        <f>VLOOKUP(Table8[[#This Row],[Mã khách hàng]],'Khách hàng'!A:D,4,0)</f>
        <v>Food Đức Việt</v>
      </c>
      <c r="I923" t="str">
        <f>VLOOKUP(Table8[[#This Row],[Mã khách hàng]],'Khách hàng'!A:E,5,0)</f>
        <v>HN0040</v>
      </c>
    </row>
    <row r="924" spans="1:9">
      <c r="A924" s="14" t="s">
        <v>6767</v>
      </c>
      <c r="B924" s="15" t="s">
        <v>5</v>
      </c>
      <c r="C924" s="10" t="s">
        <v>6768</v>
      </c>
      <c r="D924" s="16" t="s">
        <v>3248</v>
      </c>
      <c r="E924" s="14" t="s">
        <v>11215</v>
      </c>
      <c r="F924" s="16" t="str">
        <f>VLOOKUP(Table8[[#This Row],[Mã khách hàng]],code_khach_hang[],2,0)</f>
        <v>CHI NHÁNH HÀ NỘI - CÔNG TY CỔ PHẦN DỊCH VỤ THƯƠNG MẠI TỔNG HỢP WINCOMMERCE</v>
      </c>
      <c r="G924" s="16" t="str">
        <f>VLOOKUP(Table8[[#This Row],[Mã khách hàng]],code_khach_hang[],3,0)</f>
        <v>Miền Bắc đặc biệt 1</v>
      </c>
      <c r="H924" t="str">
        <f>VLOOKUP(Table8[[#This Row],[Mã khách hàng]],'Khách hàng'!A:D,4,0)</f>
        <v>Food Đức Việt</v>
      </c>
      <c r="I924" t="str">
        <f>VLOOKUP(Table8[[#This Row],[Mã khách hàng]],'Khách hàng'!A:E,5,0)</f>
        <v>HN0040</v>
      </c>
    </row>
    <row r="925" spans="1:9">
      <c r="A925" s="14" t="s">
        <v>6887</v>
      </c>
      <c r="B925" s="15" t="s">
        <v>5</v>
      </c>
      <c r="C925" s="10" t="s">
        <v>6888</v>
      </c>
      <c r="D925" s="16" t="s">
        <v>3251</v>
      </c>
      <c r="E925" s="15" t="s">
        <v>11215</v>
      </c>
      <c r="F925" s="16" t="str">
        <f>VLOOKUP(Table8[[#This Row],[Mã khách hàng]],code_khach_hang[],2,0)</f>
        <v>CHI NHÁNH HÀ NỘI - CÔNG TY CỔ PHẦN DỊCH VỤ THƯƠNG MẠI TỔNG HỢP WINCOMMERCE</v>
      </c>
      <c r="G925" s="16" t="str">
        <f>VLOOKUP(Table8[[#This Row],[Mã khách hàng]],code_khach_hang[],3,0)</f>
        <v>Miền Bắc đặc biệt 1</v>
      </c>
      <c r="H925" t="str">
        <f>VLOOKUP(Table8[[#This Row],[Mã khách hàng]],'Khách hàng'!A:D,4,0)</f>
        <v>Food Đức Việt</v>
      </c>
      <c r="I925" t="str">
        <f>VLOOKUP(Table8[[#This Row],[Mã khách hàng]],'Khách hàng'!A:E,5,0)</f>
        <v>HN0040</v>
      </c>
    </row>
    <row r="926" spans="1:9">
      <c r="A926" s="14" t="s">
        <v>631</v>
      </c>
      <c r="B926" s="15" t="s">
        <v>183</v>
      </c>
      <c r="C926" s="10" t="s">
        <v>632</v>
      </c>
      <c r="D926" s="16" t="s">
        <v>3254</v>
      </c>
      <c r="E926" s="15" t="s">
        <v>11195</v>
      </c>
      <c r="F926" s="16" t="str">
        <f>VLOOKUP(Table8[[#This Row],[Mã khách hàng]],code_khach_hang[],2,0)</f>
        <v>CHI NHÁNH HÀ NỘI - CÔNG TY CỔ PHẦN DỊCH VỤ THƯƠNG MẠI TỔNG HỢP WINCOMMERCE</v>
      </c>
      <c r="G926" s="16" t="str">
        <f>VLOOKUP(Table8[[#This Row],[Mã khách hàng]],code_khach_hang[],3,0)</f>
        <v>Miền Bắc đặc biệt 2</v>
      </c>
      <c r="H926" t="str">
        <f>VLOOKUP(Table8[[#This Row],[Mã khách hàng]],'Khách hàng'!A:D,4,0)</f>
        <v>Food Đức Việt</v>
      </c>
      <c r="I926" t="str">
        <f>VLOOKUP(Table8[[#This Row],[Mã khách hàng]],'Khách hàng'!A:E,5,0)</f>
        <v>HN0040</v>
      </c>
    </row>
    <row r="927" spans="1:9">
      <c r="A927" s="14" t="s">
        <v>574</v>
      </c>
      <c r="B927" s="15" t="s">
        <v>183</v>
      </c>
      <c r="C927" s="10" t="s">
        <v>575</v>
      </c>
      <c r="D927" s="16" t="s">
        <v>3257</v>
      </c>
      <c r="E927" s="15" t="s">
        <v>11195</v>
      </c>
      <c r="F927" s="16" t="str">
        <f>VLOOKUP(Table8[[#This Row],[Mã khách hàng]],code_khach_hang[],2,0)</f>
        <v>CHI NHÁNH HÀ NỘI - CÔNG TY CỔ PHẦN DỊCH VỤ THƯƠNG MẠI TỔNG HỢP WINCOMMERCE</v>
      </c>
      <c r="G927" s="16" t="str">
        <f>VLOOKUP(Table8[[#This Row],[Mã khách hàng]],code_khach_hang[],3,0)</f>
        <v>Miền Bắc đặc biệt 2</v>
      </c>
      <c r="H927" t="str">
        <f>VLOOKUP(Table8[[#This Row],[Mã khách hàng]],'Khách hàng'!A:D,4,0)</f>
        <v>Food Đức Việt</v>
      </c>
      <c r="I927" t="str">
        <f>VLOOKUP(Table8[[#This Row],[Mã khách hàng]],'Khách hàng'!A:E,5,0)</f>
        <v>HN0040</v>
      </c>
    </row>
    <row r="928" spans="1:9">
      <c r="A928" s="14" t="s">
        <v>6881</v>
      </c>
      <c r="B928" s="15" t="s">
        <v>5</v>
      </c>
      <c r="C928" s="10" t="s">
        <v>6882</v>
      </c>
      <c r="D928" s="16" t="s">
        <v>3260</v>
      </c>
      <c r="E928" s="15" t="s">
        <v>11215</v>
      </c>
      <c r="F928" s="16" t="str">
        <f>VLOOKUP(Table8[[#This Row],[Mã khách hàng]],code_khach_hang[],2,0)</f>
        <v>CHI NHÁNH HÀ NỘI - CÔNG TY CỔ PHẦN DỊCH VỤ THƯƠNG MẠI TỔNG HỢP WINCOMMERCE</v>
      </c>
      <c r="G928" s="16" t="str">
        <f>VLOOKUP(Table8[[#This Row],[Mã khách hàng]],code_khach_hang[],3,0)</f>
        <v>Miền Bắc đặc biệt 1</v>
      </c>
      <c r="H928" t="str">
        <f>VLOOKUP(Table8[[#This Row],[Mã khách hàng]],'Khách hàng'!A:D,4,0)</f>
        <v>Food Đức Việt</v>
      </c>
      <c r="I928" t="str">
        <f>VLOOKUP(Table8[[#This Row],[Mã khách hàng]],'Khách hàng'!A:E,5,0)</f>
        <v>HN0040</v>
      </c>
    </row>
    <row r="929" spans="1:9">
      <c r="A929" s="14" t="s">
        <v>7056</v>
      </c>
      <c r="B929" s="15" t="s">
        <v>5</v>
      </c>
      <c r="C929" s="10" t="s">
        <v>7057</v>
      </c>
      <c r="D929" s="16" t="s">
        <v>3263</v>
      </c>
      <c r="E929" s="15" t="s">
        <v>11215</v>
      </c>
      <c r="F929" s="16" t="str">
        <f>VLOOKUP(Table8[[#This Row],[Mã khách hàng]],code_khach_hang[],2,0)</f>
        <v>CHI NHÁNH HÀ NỘI - CÔNG TY CỔ PHẦN DỊCH VỤ THƯƠNG MẠI TỔNG HỢP WINCOMMERCE</v>
      </c>
      <c r="G929" s="16" t="str">
        <f>VLOOKUP(Table8[[#This Row],[Mã khách hàng]],code_khach_hang[],3,0)</f>
        <v>Miền Bắc đặc biệt 1</v>
      </c>
      <c r="H929" t="str">
        <f>VLOOKUP(Table8[[#This Row],[Mã khách hàng]],'Khách hàng'!A:D,4,0)</f>
        <v>Food Đức Việt</v>
      </c>
      <c r="I929" t="str">
        <f>VLOOKUP(Table8[[#This Row],[Mã khách hàng]],'Khách hàng'!A:E,5,0)</f>
        <v>HN0040</v>
      </c>
    </row>
    <row r="930" spans="1:9">
      <c r="A930" s="14" t="s">
        <v>7496</v>
      </c>
      <c r="B930" s="15" t="s">
        <v>5</v>
      </c>
      <c r="C930" s="10" t="s">
        <v>7497</v>
      </c>
      <c r="D930" s="16" t="s">
        <v>3266</v>
      </c>
      <c r="E930" s="15" t="s">
        <v>11215</v>
      </c>
      <c r="F930" s="16" t="str">
        <f>VLOOKUP(Table8[[#This Row],[Mã khách hàng]],code_khach_hang[],2,0)</f>
        <v>CHI NHÁNH HÀ NỘI - CÔNG TY CỔ PHẦN DỊCH VỤ THƯƠNG MẠI TỔNG HỢP WINCOMMERCE</v>
      </c>
      <c r="G930" s="16" t="str">
        <f>VLOOKUP(Table8[[#This Row],[Mã khách hàng]],code_khach_hang[],3,0)</f>
        <v>Miền Bắc đặc biệt 1</v>
      </c>
      <c r="H930" t="str">
        <f>VLOOKUP(Table8[[#This Row],[Mã khách hàng]],'Khách hàng'!A:D,4,0)</f>
        <v>Food Đức Việt</v>
      </c>
      <c r="I930" t="str">
        <f>VLOOKUP(Table8[[#This Row],[Mã khách hàng]],'Khách hàng'!A:E,5,0)</f>
        <v>HN0040</v>
      </c>
    </row>
    <row r="931" spans="1:9">
      <c r="A931" s="14" t="s">
        <v>7667</v>
      </c>
      <c r="B931" s="15" t="s">
        <v>5</v>
      </c>
      <c r="C931" s="10" t="s">
        <v>7668</v>
      </c>
      <c r="D931" s="16" t="s">
        <v>3269</v>
      </c>
      <c r="E931" s="15" t="s">
        <v>11215</v>
      </c>
      <c r="F931" s="16" t="str">
        <f>VLOOKUP(Table8[[#This Row],[Mã khách hàng]],code_khach_hang[],2,0)</f>
        <v>CHI NHÁNH HÀ NỘI - CÔNG TY CỔ PHẦN DỊCH VỤ THƯƠNG MẠI TỔNG HỢP WINCOMMERCE</v>
      </c>
      <c r="G931" s="16" t="str">
        <f>VLOOKUP(Table8[[#This Row],[Mã khách hàng]],code_khach_hang[],3,0)</f>
        <v>Miền Bắc đặc biệt 1</v>
      </c>
      <c r="H931" t="str">
        <f>VLOOKUP(Table8[[#This Row],[Mã khách hàng]],'Khách hàng'!A:D,4,0)</f>
        <v>Food Đức Việt</v>
      </c>
      <c r="I931" t="str">
        <f>VLOOKUP(Table8[[#This Row],[Mã khách hàng]],'Khách hàng'!A:E,5,0)</f>
        <v>HN0040</v>
      </c>
    </row>
    <row r="932" spans="1:9">
      <c r="A932" s="14" t="s">
        <v>7694</v>
      </c>
      <c r="B932" s="15" t="s">
        <v>5</v>
      </c>
      <c r="C932" s="10" t="s">
        <v>7695</v>
      </c>
      <c r="D932" s="16" t="s">
        <v>3272</v>
      </c>
      <c r="E932" s="15" t="s">
        <v>11215</v>
      </c>
      <c r="F932" s="16" t="str">
        <f>VLOOKUP(Table8[[#This Row],[Mã khách hàng]],code_khach_hang[],2,0)</f>
        <v>CHI NHÁNH HÀ NỘI - CÔNG TY CỔ PHẦN DỊCH VỤ THƯƠNG MẠI TỔNG HỢP WINCOMMERCE</v>
      </c>
      <c r="G932" s="16" t="str">
        <f>VLOOKUP(Table8[[#This Row],[Mã khách hàng]],code_khach_hang[],3,0)</f>
        <v>Miền Bắc đặc biệt 1</v>
      </c>
      <c r="H932" t="str">
        <f>VLOOKUP(Table8[[#This Row],[Mã khách hàng]],'Khách hàng'!A:D,4,0)</f>
        <v>Food Đức Việt</v>
      </c>
      <c r="I932" t="str">
        <f>VLOOKUP(Table8[[#This Row],[Mã khách hàng]],'Khách hàng'!A:E,5,0)</f>
        <v>HN0040</v>
      </c>
    </row>
    <row r="933" spans="1:9">
      <c r="A933" s="14" t="s">
        <v>7706</v>
      </c>
      <c r="B933" s="15" t="s">
        <v>5</v>
      </c>
      <c r="C933" s="10" t="s">
        <v>7707</v>
      </c>
      <c r="D933" s="16" t="s">
        <v>3275</v>
      </c>
      <c r="E933" s="15" t="s">
        <v>11215</v>
      </c>
      <c r="F933" s="16" t="str">
        <f>VLOOKUP(Table8[[#This Row],[Mã khách hàng]],code_khach_hang[],2,0)</f>
        <v>CHI NHÁNH HÀ NỘI - CÔNG TY CỔ PHẦN DỊCH VỤ THƯƠNG MẠI TỔNG HỢP WINCOMMERCE</v>
      </c>
      <c r="G933" s="16" t="str">
        <f>VLOOKUP(Table8[[#This Row],[Mã khách hàng]],code_khach_hang[],3,0)</f>
        <v>Miền Bắc đặc biệt 1</v>
      </c>
      <c r="H933" t="str">
        <f>VLOOKUP(Table8[[#This Row],[Mã khách hàng]],'Khách hàng'!A:D,4,0)</f>
        <v>Food Đức Việt</v>
      </c>
      <c r="I933" t="str">
        <f>VLOOKUP(Table8[[#This Row],[Mã khách hàng]],'Khách hàng'!A:E,5,0)</f>
        <v>HN0040</v>
      </c>
    </row>
    <row r="934" spans="1:9">
      <c r="A934" s="14" t="s">
        <v>8028</v>
      </c>
      <c r="B934" s="15" t="s">
        <v>5</v>
      </c>
      <c r="C934" s="10" t="s">
        <v>8029</v>
      </c>
      <c r="D934" s="16" t="s">
        <v>3278</v>
      </c>
      <c r="E934" s="15" t="s">
        <v>11215</v>
      </c>
      <c r="F934" s="16" t="str">
        <f>VLOOKUP(Table8[[#This Row],[Mã khách hàng]],code_khach_hang[],2,0)</f>
        <v>CHI NHÁNH HÀ NỘI - CÔNG TY CỔ PHẦN DỊCH VỤ THƯƠNG MẠI TỔNG HỢP WINCOMMERCE</v>
      </c>
      <c r="G934" s="16" t="str">
        <f>VLOOKUP(Table8[[#This Row],[Mã khách hàng]],code_khach_hang[],3,0)</f>
        <v>Miền Bắc đặc biệt 1</v>
      </c>
      <c r="H934" t="str">
        <f>VLOOKUP(Table8[[#This Row],[Mã khách hàng]],'Khách hàng'!A:D,4,0)</f>
        <v>Food Đức Việt</v>
      </c>
      <c r="I934" t="str">
        <f>VLOOKUP(Table8[[#This Row],[Mã khách hàng]],'Khách hàng'!A:E,5,0)</f>
        <v>HN0040</v>
      </c>
    </row>
    <row r="935" spans="1:9">
      <c r="A935" s="14" t="s">
        <v>6136</v>
      </c>
      <c r="B935" s="15" t="s">
        <v>5</v>
      </c>
      <c r="C935" s="10" t="s">
        <v>6137</v>
      </c>
      <c r="D935" s="16" t="s">
        <v>3281</v>
      </c>
      <c r="E935" s="15" t="s">
        <v>11215</v>
      </c>
      <c r="F935" s="16" t="str">
        <f>VLOOKUP(Table8[[#This Row],[Mã khách hàng]],code_khach_hang[],2,0)</f>
        <v>CHI NHÁNH HÀ NỘI - CÔNG TY CỔ PHẦN DỊCH VỤ THƯƠNG MẠI TỔNG HỢP WINCOMMERCE</v>
      </c>
      <c r="G935" s="16" t="str">
        <f>VLOOKUP(Table8[[#This Row],[Mã khách hàng]],code_khach_hang[],3,0)</f>
        <v>Miền Bắc đặc biệt 1</v>
      </c>
      <c r="H935" t="str">
        <f>VLOOKUP(Table8[[#This Row],[Mã khách hàng]],'Khách hàng'!A:D,4,0)</f>
        <v>Food Đức Việt</v>
      </c>
      <c r="I935" t="str">
        <f>VLOOKUP(Table8[[#This Row],[Mã khách hàng]],'Khách hàng'!A:E,5,0)</f>
        <v>HN0040</v>
      </c>
    </row>
    <row r="936" spans="1:9">
      <c r="A936" s="14" t="s">
        <v>7165</v>
      </c>
      <c r="B936" s="15" t="s">
        <v>5</v>
      </c>
      <c r="C936" s="10" t="s">
        <v>7166</v>
      </c>
      <c r="D936" s="16" t="s">
        <v>3284</v>
      </c>
      <c r="E936" s="15" t="s">
        <v>11215</v>
      </c>
      <c r="F936" s="16" t="str">
        <f>VLOOKUP(Table8[[#This Row],[Mã khách hàng]],code_khach_hang[],2,0)</f>
        <v>CHI NHÁNH HÀ NỘI - CÔNG TY CỔ PHẦN DỊCH VỤ THƯƠNG MẠI TỔNG HỢP WINCOMMERCE</v>
      </c>
      <c r="G936" s="16" t="str">
        <f>VLOOKUP(Table8[[#This Row],[Mã khách hàng]],code_khach_hang[],3,0)</f>
        <v>Miền Bắc đặc biệt 1</v>
      </c>
      <c r="H936" t="str">
        <f>VLOOKUP(Table8[[#This Row],[Mã khách hàng]],'Khách hàng'!A:D,4,0)</f>
        <v>Food Đức Việt</v>
      </c>
      <c r="I936" t="str">
        <f>VLOOKUP(Table8[[#This Row],[Mã khách hàng]],'Khách hàng'!A:E,5,0)</f>
        <v>HN0040</v>
      </c>
    </row>
    <row r="937" spans="1:9">
      <c r="A937" s="14" t="s">
        <v>7196</v>
      </c>
      <c r="B937" s="15" t="s">
        <v>5</v>
      </c>
      <c r="C937" s="10" t="s">
        <v>7197</v>
      </c>
      <c r="D937" s="16" t="s">
        <v>3287</v>
      </c>
      <c r="E937" s="15" t="s">
        <v>11215</v>
      </c>
      <c r="F937" s="16" t="str">
        <f>VLOOKUP(Table8[[#This Row],[Mã khách hàng]],code_khach_hang[],2,0)</f>
        <v>CHI NHÁNH HÀ NỘI - CÔNG TY CỔ PHẦN DỊCH VỤ THƯƠNG MẠI TỔNG HỢP WINCOMMERCE</v>
      </c>
      <c r="G937" s="16" t="str">
        <f>VLOOKUP(Table8[[#This Row],[Mã khách hàng]],code_khach_hang[],3,0)</f>
        <v>Miền Bắc đặc biệt 1</v>
      </c>
      <c r="H937" t="str">
        <f>VLOOKUP(Table8[[#This Row],[Mã khách hàng]],'Khách hàng'!A:D,4,0)</f>
        <v>Food Đức Việt</v>
      </c>
      <c r="I937" t="str">
        <f>VLOOKUP(Table8[[#This Row],[Mã khách hàng]],'Khách hàng'!A:E,5,0)</f>
        <v>HN0040</v>
      </c>
    </row>
    <row r="938" spans="1:9">
      <c r="A938" s="14" t="s">
        <v>7786</v>
      </c>
      <c r="B938" s="15" t="s">
        <v>5</v>
      </c>
      <c r="C938" s="10" t="s">
        <v>7787</v>
      </c>
      <c r="D938" s="16" t="s">
        <v>3290</v>
      </c>
      <c r="E938" s="15" t="s">
        <v>11215</v>
      </c>
      <c r="F938" s="16" t="str">
        <f>VLOOKUP(Table8[[#This Row],[Mã khách hàng]],code_khach_hang[],2,0)</f>
        <v>CHI NHÁNH HÀ NỘI - CÔNG TY CỔ PHẦN DỊCH VỤ THƯƠNG MẠI TỔNG HỢP WINCOMMERCE</v>
      </c>
      <c r="G938" s="16" t="str">
        <f>VLOOKUP(Table8[[#This Row],[Mã khách hàng]],code_khach_hang[],3,0)</f>
        <v>Miền Bắc đặc biệt 1</v>
      </c>
      <c r="H938" t="str">
        <f>VLOOKUP(Table8[[#This Row],[Mã khách hàng]],'Khách hàng'!A:D,4,0)</f>
        <v>Food Đức Việt</v>
      </c>
      <c r="I938" t="str">
        <f>VLOOKUP(Table8[[#This Row],[Mã khách hàng]],'Khách hàng'!A:E,5,0)</f>
        <v>HN0040</v>
      </c>
    </row>
    <row r="939" spans="1:9">
      <c r="A939" s="14" t="s">
        <v>7828</v>
      </c>
      <c r="B939" s="15" t="s">
        <v>5</v>
      </c>
      <c r="C939" s="10" t="s">
        <v>7829</v>
      </c>
      <c r="D939" s="16" t="s">
        <v>3293</v>
      </c>
      <c r="E939" s="15" t="s">
        <v>11215</v>
      </c>
      <c r="F939" s="16" t="str">
        <f>VLOOKUP(Table8[[#This Row],[Mã khách hàng]],code_khach_hang[],2,0)</f>
        <v>CHI NHÁNH HÀ NỘI - CÔNG TY CỔ PHẦN DỊCH VỤ THƯƠNG MẠI TỔNG HỢP WINCOMMERCE</v>
      </c>
      <c r="G939" s="16" t="str">
        <f>VLOOKUP(Table8[[#This Row],[Mã khách hàng]],code_khach_hang[],3,0)</f>
        <v>Miền Bắc đặc biệt 1</v>
      </c>
      <c r="H939" t="str">
        <f>VLOOKUP(Table8[[#This Row],[Mã khách hàng]],'Khách hàng'!A:D,4,0)</f>
        <v>Food Đức Việt</v>
      </c>
      <c r="I939" t="str">
        <f>VLOOKUP(Table8[[#This Row],[Mã khách hàng]],'Khách hàng'!A:E,5,0)</f>
        <v>HN0040</v>
      </c>
    </row>
    <row r="940" spans="1:9">
      <c r="A940" s="14" t="s">
        <v>7855</v>
      </c>
      <c r="B940" s="15" t="s">
        <v>5</v>
      </c>
      <c r="C940" s="10" t="s">
        <v>7856</v>
      </c>
      <c r="D940" s="16" t="s">
        <v>3296</v>
      </c>
      <c r="E940" s="15" t="s">
        <v>11215</v>
      </c>
      <c r="F940" s="16" t="str">
        <f>VLOOKUP(Table8[[#This Row],[Mã khách hàng]],code_khach_hang[],2,0)</f>
        <v>CHI NHÁNH HÀ NỘI - CÔNG TY CỔ PHẦN DỊCH VỤ THƯƠNG MẠI TỔNG HỢP WINCOMMERCE</v>
      </c>
      <c r="G940" s="16" t="str">
        <f>VLOOKUP(Table8[[#This Row],[Mã khách hàng]],code_khach_hang[],3,0)</f>
        <v>Miền Bắc đặc biệt 1</v>
      </c>
      <c r="H940" t="str">
        <f>VLOOKUP(Table8[[#This Row],[Mã khách hàng]],'Khách hàng'!A:D,4,0)</f>
        <v>Food Đức Việt</v>
      </c>
      <c r="I940" t="str">
        <f>VLOOKUP(Table8[[#This Row],[Mã khách hàng]],'Khách hàng'!A:E,5,0)</f>
        <v>HN0040</v>
      </c>
    </row>
    <row r="941" spans="1:9">
      <c r="A941" s="14" t="s">
        <v>7884</v>
      </c>
      <c r="B941" s="15" t="s">
        <v>5</v>
      </c>
      <c r="C941" s="10" t="e">
        <v>#N/A</v>
      </c>
      <c r="D941" s="16" t="s">
        <v>3299</v>
      </c>
      <c r="E941" s="15" t="s">
        <v>11215</v>
      </c>
      <c r="F941" s="16" t="str">
        <f>VLOOKUP(Table8[[#This Row],[Mã khách hàng]],code_khach_hang[],2,0)</f>
        <v>CHI NHÁNH HÀ NỘI - CÔNG TY CỔ PHẦN DỊCH VỤ THƯƠNG MẠI TỔNG HỢP WINCOMMERCE</v>
      </c>
      <c r="G941" s="16" t="str">
        <f>VLOOKUP(Table8[[#This Row],[Mã khách hàng]],code_khach_hang[],3,0)</f>
        <v>Miền Bắc đặc biệt 1</v>
      </c>
      <c r="H941" t="str">
        <f>VLOOKUP(Table8[[#This Row],[Mã khách hàng]],'Khách hàng'!A:D,4,0)</f>
        <v>Food Đức Việt</v>
      </c>
      <c r="I941" t="str">
        <f>VLOOKUP(Table8[[#This Row],[Mã khách hàng]],'Khách hàng'!A:E,5,0)</f>
        <v>HN0040</v>
      </c>
    </row>
    <row r="942" spans="1:9">
      <c r="A942" s="14" t="s">
        <v>7957</v>
      </c>
      <c r="B942" s="15" t="s">
        <v>5</v>
      </c>
      <c r="C942" s="10" t="s">
        <v>7958</v>
      </c>
      <c r="D942" s="16" t="s">
        <v>3302</v>
      </c>
      <c r="E942" s="15" t="s">
        <v>11215</v>
      </c>
      <c r="F942" s="16" t="str">
        <f>VLOOKUP(Table8[[#This Row],[Mã khách hàng]],code_khach_hang[],2,0)</f>
        <v>CHI NHÁNH HÀ NỘI - CÔNG TY CỔ PHẦN DỊCH VỤ THƯƠNG MẠI TỔNG HỢP WINCOMMERCE</v>
      </c>
      <c r="G942" s="16" t="str">
        <f>VLOOKUP(Table8[[#This Row],[Mã khách hàng]],code_khach_hang[],3,0)</f>
        <v>Miền Bắc đặc biệt 1</v>
      </c>
      <c r="H942" t="str">
        <f>VLOOKUP(Table8[[#This Row],[Mã khách hàng]],'Khách hàng'!A:D,4,0)</f>
        <v>Food Đức Việt</v>
      </c>
      <c r="I942" t="str">
        <f>VLOOKUP(Table8[[#This Row],[Mã khách hàng]],'Khách hàng'!A:E,5,0)</f>
        <v>HN0040</v>
      </c>
    </row>
    <row r="943" spans="1:9">
      <c r="A943" s="14" t="s">
        <v>8230</v>
      </c>
      <c r="B943" s="15" t="s">
        <v>5</v>
      </c>
      <c r="C943" s="10" t="s">
        <v>8231</v>
      </c>
      <c r="D943" s="16" t="s">
        <v>3305</v>
      </c>
      <c r="E943" s="15" t="s">
        <v>11215</v>
      </c>
      <c r="F943" s="16" t="str">
        <f>VLOOKUP(Table8[[#This Row],[Mã khách hàng]],code_khach_hang[],2,0)</f>
        <v>CHI NHÁNH HÀ NỘI - CÔNG TY CỔ PHẦN DỊCH VỤ THƯƠNG MẠI TỔNG HỢP WINCOMMERCE</v>
      </c>
      <c r="G943" s="16" t="str">
        <f>VLOOKUP(Table8[[#This Row],[Mã khách hàng]],code_khach_hang[],3,0)</f>
        <v>Miền Bắc đặc biệt 1</v>
      </c>
      <c r="H943" t="str">
        <f>VLOOKUP(Table8[[#This Row],[Mã khách hàng]],'Khách hàng'!A:D,4,0)</f>
        <v>Food Đức Việt</v>
      </c>
      <c r="I943" t="str">
        <f>VLOOKUP(Table8[[#This Row],[Mã khách hàng]],'Khách hàng'!A:E,5,0)</f>
        <v>HN0040</v>
      </c>
    </row>
    <row r="944" spans="1:9">
      <c r="A944" s="14" t="s">
        <v>8073</v>
      </c>
      <c r="B944" s="15" t="s">
        <v>5</v>
      </c>
      <c r="C944" s="10" t="s">
        <v>8074</v>
      </c>
      <c r="D944" s="16" t="s">
        <v>3308</v>
      </c>
      <c r="E944" s="15" t="s">
        <v>11215</v>
      </c>
      <c r="F944" s="16" t="str">
        <f>VLOOKUP(Table8[[#This Row],[Mã khách hàng]],code_khach_hang[],2,0)</f>
        <v>CHI NHÁNH HÀ NỘI - CÔNG TY CỔ PHẦN DỊCH VỤ THƯƠNG MẠI TỔNG HỢP WINCOMMERCE</v>
      </c>
      <c r="G944" s="16" t="str">
        <f>VLOOKUP(Table8[[#This Row],[Mã khách hàng]],code_khach_hang[],3,0)</f>
        <v>Miền Bắc đặc biệt 1</v>
      </c>
      <c r="H944" t="str">
        <f>VLOOKUP(Table8[[#This Row],[Mã khách hàng]],'Khách hàng'!A:D,4,0)</f>
        <v>Food Đức Việt</v>
      </c>
      <c r="I944" t="str">
        <f>VLOOKUP(Table8[[#This Row],[Mã khách hàng]],'Khách hàng'!A:E,5,0)</f>
        <v>HN0040</v>
      </c>
    </row>
    <row r="945" spans="1:9">
      <c r="A945" s="14" t="s">
        <v>5004</v>
      </c>
      <c r="B945" s="15" t="s">
        <v>5</v>
      </c>
      <c r="C945" s="10" t="s">
        <v>5005</v>
      </c>
      <c r="D945" s="16" t="s">
        <v>3311</v>
      </c>
      <c r="E945" s="15" t="s">
        <v>11215</v>
      </c>
      <c r="F945" s="16" t="str">
        <f>VLOOKUP(Table8[[#This Row],[Mã khách hàng]],code_khach_hang[],2,0)</f>
        <v>CHI NHÁNH HÀ NỘI - CÔNG TY CỔ PHẦN DỊCH VỤ THƯƠNG MẠI TỔNG HỢP WINCOMMERCE</v>
      </c>
      <c r="G945" s="16" t="str">
        <f>VLOOKUP(Table8[[#This Row],[Mã khách hàng]],code_khach_hang[],3,0)</f>
        <v>Miền Bắc đặc biệt 1</v>
      </c>
      <c r="H945" t="str">
        <f>VLOOKUP(Table8[[#This Row],[Mã khách hàng]],'Khách hàng'!A:D,4,0)</f>
        <v>Food Đức Việt</v>
      </c>
      <c r="I945" t="str">
        <f>VLOOKUP(Table8[[#This Row],[Mã khách hàng]],'Khách hàng'!A:E,5,0)</f>
        <v>HN0040</v>
      </c>
    </row>
    <row r="946" spans="1:9">
      <c r="A946" s="14" t="s">
        <v>5028</v>
      </c>
      <c r="B946" s="15" t="s">
        <v>5</v>
      </c>
      <c r="C946" s="10" t="s">
        <v>5029</v>
      </c>
      <c r="D946" s="16" t="s">
        <v>3314</v>
      </c>
      <c r="E946" s="15" t="s">
        <v>11215</v>
      </c>
      <c r="F946" s="16" t="str">
        <f>VLOOKUP(Table8[[#This Row],[Mã khách hàng]],code_khach_hang[],2,0)</f>
        <v>CHI NHÁNH HÀ NỘI - CÔNG TY CỔ PHẦN DỊCH VỤ THƯƠNG MẠI TỔNG HỢP WINCOMMERCE</v>
      </c>
      <c r="G946" s="16" t="str">
        <f>VLOOKUP(Table8[[#This Row],[Mã khách hàng]],code_khach_hang[],3,0)</f>
        <v>Miền Bắc đặc biệt 1</v>
      </c>
      <c r="H946" t="str">
        <f>VLOOKUP(Table8[[#This Row],[Mã khách hàng]],'Khách hàng'!A:D,4,0)</f>
        <v>Food Đức Việt</v>
      </c>
      <c r="I946" t="str">
        <f>VLOOKUP(Table8[[#This Row],[Mã khách hàng]],'Khách hàng'!A:E,5,0)</f>
        <v>HN0040</v>
      </c>
    </row>
    <row r="947" spans="1:9">
      <c r="A947" s="14" t="s">
        <v>8233</v>
      </c>
      <c r="B947" s="15" t="s">
        <v>5</v>
      </c>
      <c r="C947" s="10" t="s">
        <v>8234</v>
      </c>
      <c r="D947" s="16" t="s">
        <v>3317</v>
      </c>
      <c r="E947" s="15" t="s">
        <v>11215</v>
      </c>
      <c r="F947" s="16" t="str">
        <f>VLOOKUP(Table8[[#This Row],[Mã khách hàng]],code_khach_hang[],2,0)</f>
        <v>CHI NHÁNH HÀ NỘI - CÔNG TY CỔ PHẦN DỊCH VỤ THƯƠNG MẠI TỔNG HỢP WINCOMMERCE</v>
      </c>
      <c r="G947" s="16" t="str">
        <f>VLOOKUP(Table8[[#This Row],[Mã khách hàng]],code_khach_hang[],3,0)</f>
        <v>Miền Bắc đặc biệt 1</v>
      </c>
      <c r="H947" t="str">
        <f>VLOOKUP(Table8[[#This Row],[Mã khách hàng]],'Khách hàng'!A:D,4,0)</f>
        <v>Food Đức Việt</v>
      </c>
      <c r="I947" t="str">
        <f>VLOOKUP(Table8[[#This Row],[Mã khách hàng]],'Khách hàng'!A:E,5,0)</f>
        <v>HN0040</v>
      </c>
    </row>
    <row r="948" spans="1:9">
      <c r="A948" s="14" t="s">
        <v>5502</v>
      </c>
      <c r="B948" s="15" t="s">
        <v>5</v>
      </c>
      <c r="C948" s="10" t="s">
        <v>5503</v>
      </c>
      <c r="D948" s="16" t="s">
        <v>3320</v>
      </c>
      <c r="E948" s="15" t="s">
        <v>11215</v>
      </c>
      <c r="F948" s="16" t="str">
        <f>VLOOKUP(Table8[[#This Row],[Mã khách hàng]],code_khach_hang[],2,0)</f>
        <v>CHI NHÁNH HÀ NỘI - CÔNG TY CỔ PHẦN DỊCH VỤ THƯƠNG MẠI TỔNG HỢP WINCOMMERCE</v>
      </c>
      <c r="G948" s="16" t="str">
        <f>VLOOKUP(Table8[[#This Row],[Mã khách hàng]],code_khach_hang[],3,0)</f>
        <v>Miền Bắc đặc biệt 1</v>
      </c>
      <c r="H948" t="str">
        <f>VLOOKUP(Table8[[#This Row],[Mã khách hàng]],'Khách hàng'!A:D,4,0)</f>
        <v>Food Đức Việt</v>
      </c>
      <c r="I948" t="str">
        <f>VLOOKUP(Table8[[#This Row],[Mã khách hàng]],'Khách hàng'!A:E,5,0)</f>
        <v>HN0040</v>
      </c>
    </row>
    <row r="949" spans="1:9">
      <c r="A949" s="14" t="s">
        <v>7834</v>
      </c>
      <c r="B949" s="15" t="s">
        <v>5</v>
      </c>
      <c r="C949" s="10" t="s">
        <v>7835</v>
      </c>
      <c r="D949" s="16" t="s">
        <v>3323</v>
      </c>
      <c r="E949" s="15" t="s">
        <v>11215</v>
      </c>
      <c r="F949" s="16" t="str">
        <f>VLOOKUP(Table8[[#This Row],[Mã khách hàng]],code_khach_hang[],2,0)</f>
        <v>CHI NHÁNH HÀ NỘI - CÔNG TY CỔ PHẦN DỊCH VỤ THƯƠNG MẠI TỔNG HỢP WINCOMMERCE</v>
      </c>
      <c r="G949" s="16" t="str">
        <f>VLOOKUP(Table8[[#This Row],[Mã khách hàng]],code_khach_hang[],3,0)</f>
        <v>Miền Bắc đặc biệt 1</v>
      </c>
      <c r="H949" t="str">
        <f>VLOOKUP(Table8[[#This Row],[Mã khách hàng]],'Khách hàng'!A:D,4,0)</f>
        <v>Food Đức Việt</v>
      </c>
      <c r="I949" t="str">
        <f>VLOOKUP(Table8[[#This Row],[Mã khách hàng]],'Khách hàng'!A:E,5,0)</f>
        <v>HN0040</v>
      </c>
    </row>
    <row r="950" spans="1:9">
      <c r="A950" s="14" t="s">
        <v>6632</v>
      </c>
      <c r="B950" s="15" t="s">
        <v>5</v>
      </c>
      <c r="C950" s="10" t="s">
        <v>6633</v>
      </c>
      <c r="D950" s="16" t="s">
        <v>3326</v>
      </c>
      <c r="E950" s="15" t="s">
        <v>11215</v>
      </c>
      <c r="F950" s="16" t="str">
        <f>VLOOKUP(Table8[[#This Row],[Mã khách hàng]],code_khach_hang[],2,0)</f>
        <v>CHI NHÁNH HÀ NỘI - CÔNG TY CỔ PHẦN DỊCH VỤ THƯƠNG MẠI TỔNG HỢP WINCOMMERCE</v>
      </c>
      <c r="G950" s="16" t="str">
        <f>VLOOKUP(Table8[[#This Row],[Mã khách hàng]],code_khach_hang[],3,0)</f>
        <v>Miền Bắc đặc biệt 1</v>
      </c>
      <c r="H950" t="str">
        <f>VLOOKUP(Table8[[#This Row],[Mã khách hàng]],'Khách hàng'!A:D,4,0)</f>
        <v>Food Đức Việt</v>
      </c>
      <c r="I950" t="str">
        <f>VLOOKUP(Table8[[#This Row],[Mã khách hàng]],'Khách hàng'!A:E,5,0)</f>
        <v>HN0040</v>
      </c>
    </row>
    <row r="951" spans="1:9">
      <c r="A951" s="14" t="s">
        <v>6746</v>
      </c>
      <c r="B951" s="15" t="s">
        <v>5</v>
      </c>
      <c r="C951" s="10" t="s">
        <v>6747</v>
      </c>
      <c r="D951" s="16" t="s">
        <v>3329</v>
      </c>
      <c r="E951" s="15" t="s">
        <v>11215</v>
      </c>
      <c r="F951" s="16" t="str">
        <f>VLOOKUP(Table8[[#This Row],[Mã khách hàng]],code_khach_hang[],2,0)</f>
        <v>CHI NHÁNH HÀ NỘI - CÔNG TY CỔ PHẦN DỊCH VỤ THƯƠNG MẠI TỔNG HỢP WINCOMMERCE</v>
      </c>
      <c r="G951" s="16" t="str">
        <f>VLOOKUP(Table8[[#This Row],[Mã khách hàng]],code_khach_hang[],3,0)</f>
        <v>Miền Bắc đặc biệt 1</v>
      </c>
      <c r="H951" t="str">
        <f>VLOOKUP(Table8[[#This Row],[Mã khách hàng]],'Khách hàng'!A:D,4,0)</f>
        <v>Food Đức Việt</v>
      </c>
      <c r="I951" t="str">
        <f>VLOOKUP(Table8[[#This Row],[Mã khách hàng]],'Khách hàng'!A:E,5,0)</f>
        <v>HN0040</v>
      </c>
    </row>
    <row r="952" spans="1:9">
      <c r="A952" s="14" t="s">
        <v>7703</v>
      </c>
      <c r="B952" s="15" t="s">
        <v>5</v>
      </c>
      <c r="C952" s="10" t="s">
        <v>7704</v>
      </c>
      <c r="D952" s="16" t="s">
        <v>3332</v>
      </c>
      <c r="E952" s="15" t="s">
        <v>11215</v>
      </c>
      <c r="F952" s="16" t="str">
        <f>VLOOKUP(Table8[[#This Row],[Mã khách hàng]],code_khach_hang[],2,0)</f>
        <v>CHI NHÁNH HÀ NỘI - CÔNG TY CỔ PHẦN DỊCH VỤ THƯƠNG MẠI TỔNG HỢP WINCOMMERCE</v>
      </c>
      <c r="G952" s="16" t="str">
        <f>VLOOKUP(Table8[[#This Row],[Mã khách hàng]],code_khach_hang[],3,0)</f>
        <v>Miền Bắc đặc biệt 1</v>
      </c>
      <c r="H952" t="str">
        <f>VLOOKUP(Table8[[#This Row],[Mã khách hàng]],'Khách hàng'!A:D,4,0)</f>
        <v>Food Đức Việt</v>
      </c>
      <c r="I952" t="str">
        <f>VLOOKUP(Table8[[#This Row],[Mã khách hàng]],'Khách hàng'!A:E,5,0)</f>
        <v>HN0040</v>
      </c>
    </row>
    <row r="953" spans="1:9">
      <c r="A953" s="14" t="s">
        <v>4677</v>
      </c>
      <c r="B953" s="15" t="s">
        <v>5</v>
      </c>
      <c r="C953" s="10" t="s">
        <v>4678</v>
      </c>
      <c r="D953" s="16" t="s">
        <v>3335</v>
      </c>
      <c r="E953" s="15" t="s">
        <v>11215</v>
      </c>
      <c r="F953" s="16" t="str">
        <f>VLOOKUP(Table8[[#This Row],[Mã khách hàng]],code_khach_hang[],2,0)</f>
        <v>CHI NHÁNH HÀ NỘI - CÔNG TY CỔ PHẦN DỊCH VỤ THƯƠNG MẠI TỔNG HỢP WINCOMMERCE</v>
      </c>
      <c r="G953" s="16" t="str">
        <f>VLOOKUP(Table8[[#This Row],[Mã khách hàng]],code_khach_hang[],3,0)</f>
        <v>Miền Bắc đặc biệt 1</v>
      </c>
      <c r="H953" t="str">
        <f>VLOOKUP(Table8[[#This Row],[Mã khách hàng]],'Khách hàng'!A:D,4,0)</f>
        <v>Food Đức Việt</v>
      </c>
      <c r="I953" t="str">
        <f>VLOOKUP(Table8[[#This Row],[Mã khách hàng]],'Khách hàng'!A:E,5,0)</f>
        <v>HN0040</v>
      </c>
    </row>
    <row r="954" spans="1:9">
      <c r="A954" s="14" t="s">
        <v>4779</v>
      </c>
      <c r="B954" s="15" t="s">
        <v>5</v>
      </c>
      <c r="C954" s="10" t="s">
        <v>4780</v>
      </c>
      <c r="D954" s="16" t="s">
        <v>3338</v>
      </c>
      <c r="E954" s="15" t="s">
        <v>11215</v>
      </c>
      <c r="F954" s="16" t="str">
        <f>VLOOKUP(Table8[[#This Row],[Mã khách hàng]],code_khach_hang[],2,0)</f>
        <v>CHI NHÁNH HÀ NỘI - CÔNG TY CỔ PHẦN DỊCH VỤ THƯƠNG MẠI TỔNG HỢP WINCOMMERCE</v>
      </c>
      <c r="G954" s="16" t="str">
        <f>VLOOKUP(Table8[[#This Row],[Mã khách hàng]],code_khach_hang[],3,0)</f>
        <v>Miền Bắc đặc biệt 1</v>
      </c>
      <c r="H954" t="str">
        <f>VLOOKUP(Table8[[#This Row],[Mã khách hàng]],'Khách hàng'!A:D,4,0)</f>
        <v>Food Đức Việt</v>
      </c>
      <c r="I954" t="str">
        <f>VLOOKUP(Table8[[#This Row],[Mã khách hàng]],'Khách hàng'!A:E,5,0)</f>
        <v>HN0040</v>
      </c>
    </row>
    <row r="955" spans="1:9">
      <c r="A955" s="14" t="s">
        <v>4791</v>
      </c>
      <c r="B955" s="15" t="s">
        <v>5</v>
      </c>
      <c r="C955" s="10" t="s">
        <v>4792</v>
      </c>
      <c r="D955" s="16" t="s">
        <v>3341</v>
      </c>
      <c r="E955" s="15" t="s">
        <v>11215</v>
      </c>
      <c r="F955" s="16" t="str">
        <f>VLOOKUP(Table8[[#This Row],[Mã khách hàng]],code_khach_hang[],2,0)</f>
        <v>CHI NHÁNH HÀ NỘI - CÔNG TY CỔ PHẦN DỊCH VỤ THƯƠNG MẠI TỔNG HỢP WINCOMMERCE</v>
      </c>
      <c r="G955" s="16" t="str">
        <f>VLOOKUP(Table8[[#This Row],[Mã khách hàng]],code_khach_hang[],3,0)</f>
        <v>Miền Bắc đặc biệt 1</v>
      </c>
      <c r="H955" t="str">
        <f>VLOOKUP(Table8[[#This Row],[Mã khách hàng]],'Khách hàng'!A:D,4,0)</f>
        <v>Food Đức Việt</v>
      </c>
      <c r="I955" t="str">
        <f>VLOOKUP(Table8[[#This Row],[Mã khách hàng]],'Khách hàng'!A:E,5,0)</f>
        <v>HN0040</v>
      </c>
    </row>
    <row r="956" spans="1:9">
      <c r="A956" s="14" t="s">
        <v>5001</v>
      </c>
      <c r="B956" s="15" t="s">
        <v>5</v>
      </c>
      <c r="C956" s="10" t="s">
        <v>5002</v>
      </c>
      <c r="D956" s="16" t="s">
        <v>3344</v>
      </c>
      <c r="E956" s="15" t="s">
        <v>11215</v>
      </c>
      <c r="F956" s="16" t="str">
        <f>VLOOKUP(Table8[[#This Row],[Mã khách hàng]],code_khach_hang[],2,0)</f>
        <v>CHI NHÁNH HÀ NỘI - CÔNG TY CỔ PHẦN DỊCH VỤ THƯƠNG MẠI TỔNG HỢP WINCOMMERCE</v>
      </c>
      <c r="G956" s="16" t="str">
        <f>VLOOKUP(Table8[[#This Row],[Mã khách hàng]],code_khach_hang[],3,0)</f>
        <v>Miền Bắc đặc biệt 1</v>
      </c>
      <c r="H956" t="str">
        <f>VLOOKUP(Table8[[#This Row],[Mã khách hàng]],'Khách hàng'!A:D,4,0)</f>
        <v>Food Đức Việt</v>
      </c>
      <c r="I956" t="str">
        <f>VLOOKUP(Table8[[#This Row],[Mã khách hàng]],'Khách hàng'!A:E,5,0)</f>
        <v>HN0040</v>
      </c>
    </row>
    <row r="957" spans="1:9">
      <c r="A957" s="14" t="s">
        <v>5505</v>
      </c>
      <c r="B957" s="15" t="s">
        <v>5</v>
      </c>
      <c r="C957" s="10" t="s">
        <v>5506</v>
      </c>
      <c r="D957" s="16" t="s">
        <v>3347</v>
      </c>
      <c r="E957" s="15" t="s">
        <v>11215</v>
      </c>
      <c r="F957" s="16" t="str">
        <f>VLOOKUP(Table8[[#This Row],[Mã khách hàng]],code_khach_hang[],2,0)</f>
        <v>CHI NHÁNH HÀ NỘI - CÔNG TY CỔ PHẦN DỊCH VỤ THƯƠNG MẠI TỔNG HỢP WINCOMMERCE</v>
      </c>
      <c r="G957" s="16" t="str">
        <f>VLOOKUP(Table8[[#This Row],[Mã khách hàng]],code_khach_hang[],3,0)</f>
        <v>Miền Bắc đặc biệt 1</v>
      </c>
      <c r="H957" t="str">
        <f>VLOOKUP(Table8[[#This Row],[Mã khách hàng]],'Khách hàng'!A:D,4,0)</f>
        <v>Food Đức Việt</v>
      </c>
      <c r="I957" t="str">
        <f>VLOOKUP(Table8[[#This Row],[Mã khách hàng]],'Khách hàng'!A:E,5,0)</f>
        <v>HN0040</v>
      </c>
    </row>
    <row r="958" spans="1:9">
      <c r="A958" s="14" t="s">
        <v>5798</v>
      </c>
      <c r="B958" s="15" t="s">
        <v>5</v>
      </c>
      <c r="C958" s="10" t="s">
        <v>5799</v>
      </c>
      <c r="D958" s="16" t="s">
        <v>3350</v>
      </c>
      <c r="E958" s="15" t="s">
        <v>11215</v>
      </c>
      <c r="F958" s="16" t="str">
        <f>VLOOKUP(Table8[[#This Row],[Mã khách hàng]],code_khach_hang[],2,0)</f>
        <v>CHI NHÁNH HÀ NỘI - CÔNG TY CỔ PHẦN DỊCH VỤ THƯƠNG MẠI TỔNG HỢP WINCOMMERCE</v>
      </c>
      <c r="G958" s="16" t="str">
        <f>VLOOKUP(Table8[[#This Row],[Mã khách hàng]],code_khach_hang[],3,0)</f>
        <v>Miền Bắc đặc biệt 1</v>
      </c>
      <c r="H958" t="str">
        <f>VLOOKUP(Table8[[#This Row],[Mã khách hàng]],'Khách hàng'!A:D,4,0)</f>
        <v>Food Đức Việt</v>
      </c>
      <c r="I958" t="str">
        <f>VLOOKUP(Table8[[#This Row],[Mã khách hàng]],'Khách hàng'!A:E,5,0)</f>
        <v>HN0040</v>
      </c>
    </row>
    <row r="959" spans="1:9">
      <c r="A959" s="14" t="s">
        <v>5971</v>
      </c>
      <c r="B959" s="15" t="s">
        <v>5</v>
      </c>
      <c r="C959" s="10" t="s">
        <v>5972</v>
      </c>
      <c r="D959" s="16" t="s">
        <v>3353</v>
      </c>
      <c r="E959" s="15" t="s">
        <v>11215</v>
      </c>
      <c r="F959" s="16" t="str">
        <f>VLOOKUP(Table8[[#This Row],[Mã khách hàng]],code_khach_hang[],2,0)</f>
        <v>CHI NHÁNH HÀ NỘI - CÔNG TY CỔ PHẦN DỊCH VỤ THƯƠNG MẠI TỔNG HỢP WINCOMMERCE</v>
      </c>
      <c r="G959" s="16" t="str">
        <f>VLOOKUP(Table8[[#This Row],[Mã khách hàng]],code_khach_hang[],3,0)</f>
        <v>Miền Bắc đặc biệt 1</v>
      </c>
      <c r="H959" t="str">
        <f>VLOOKUP(Table8[[#This Row],[Mã khách hàng]],'Khách hàng'!A:D,4,0)</f>
        <v>Food Đức Việt</v>
      </c>
      <c r="I959" t="str">
        <f>VLOOKUP(Table8[[#This Row],[Mã khách hàng]],'Khách hàng'!A:E,5,0)</f>
        <v>HN0040</v>
      </c>
    </row>
    <row r="960" spans="1:9">
      <c r="A960" s="14" t="s">
        <v>8076</v>
      </c>
      <c r="B960" s="15" t="s">
        <v>5</v>
      </c>
      <c r="C960" s="10" t="s">
        <v>8077</v>
      </c>
      <c r="D960" s="16" t="s">
        <v>3356</v>
      </c>
      <c r="E960" s="15" t="s">
        <v>11215</v>
      </c>
      <c r="F960" s="16" t="str">
        <f>VLOOKUP(Table8[[#This Row],[Mã khách hàng]],code_khach_hang[],2,0)</f>
        <v>CHI NHÁNH HÀ NỘI - CÔNG TY CỔ PHẦN DỊCH VỤ THƯƠNG MẠI TỔNG HỢP WINCOMMERCE</v>
      </c>
      <c r="G960" s="16" t="str">
        <f>VLOOKUP(Table8[[#This Row],[Mã khách hàng]],code_khach_hang[],3,0)</f>
        <v>Miền Bắc đặc biệt 1</v>
      </c>
      <c r="H960" t="str">
        <f>VLOOKUP(Table8[[#This Row],[Mã khách hàng]],'Khách hàng'!A:D,4,0)</f>
        <v>Food Đức Việt</v>
      </c>
      <c r="I960" t="str">
        <f>VLOOKUP(Table8[[#This Row],[Mã khách hàng]],'Khách hàng'!A:E,5,0)</f>
        <v>HN0040</v>
      </c>
    </row>
    <row r="961" spans="1:9">
      <c r="A961" s="14" t="s">
        <v>11106</v>
      </c>
      <c r="B961" s="15" t="s">
        <v>5</v>
      </c>
      <c r="C961" s="10" t="e">
        <v>#N/A</v>
      </c>
      <c r="D961" s="16" t="s">
        <v>3359</v>
      </c>
      <c r="E961" s="15" t="s">
        <v>11215</v>
      </c>
      <c r="F961" s="16" t="str">
        <f>VLOOKUP(Table8[[#This Row],[Mã khách hàng]],code_khach_hang[],2,0)</f>
        <v>CHI NHÁNH HÀ NỘI - CÔNG TY CỔ PHẦN DỊCH VỤ THƯƠNG MẠI TỔNG HỢP WINCOMMERCE</v>
      </c>
      <c r="G961" s="16" t="str">
        <f>VLOOKUP(Table8[[#This Row],[Mã khách hàng]],code_khach_hang[],3,0)</f>
        <v>Miền Bắc đặc biệt 1</v>
      </c>
      <c r="H961" t="str">
        <f>VLOOKUP(Table8[[#This Row],[Mã khách hàng]],'Khách hàng'!A:D,4,0)</f>
        <v>Food Đức Việt</v>
      </c>
      <c r="I961" t="str">
        <f>VLOOKUP(Table8[[#This Row],[Mã khách hàng]],'Khách hàng'!A:E,5,0)</f>
        <v>HN0040</v>
      </c>
    </row>
    <row r="962" spans="1:9">
      <c r="A962" s="14" t="s">
        <v>6416</v>
      </c>
      <c r="B962" s="15" t="s">
        <v>5</v>
      </c>
      <c r="C962" s="10" t="s">
        <v>6417</v>
      </c>
      <c r="D962" s="16" t="s">
        <v>3362</v>
      </c>
      <c r="E962" s="15" t="s">
        <v>11215</v>
      </c>
      <c r="F962" s="16" t="str">
        <f>VLOOKUP(Table8[[#This Row],[Mã khách hàng]],code_khach_hang[],2,0)</f>
        <v>CHI NHÁNH HÀ NỘI - CÔNG TY CỔ PHẦN DỊCH VỤ THƯƠNG MẠI TỔNG HỢP WINCOMMERCE</v>
      </c>
      <c r="G962" s="16" t="str">
        <f>VLOOKUP(Table8[[#This Row],[Mã khách hàng]],code_khach_hang[],3,0)</f>
        <v>Miền Bắc đặc biệt 1</v>
      </c>
      <c r="H962" t="str">
        <f>VLOOKUP(Table8[[#This Row],[Mã khách hàng]],'Khách hàng'!A:D,4,0)</f>
        <v>Food Đức Việt</v>
      </c>
      <c r="I962" t="str">
        <f>VLOOKUP(Table8[[#This Row],[Mã khách hàng]],'Khách hàng'!A:E,5,0)</f>
        <v>HN0040</v>
      </c>
    </row>
    <row r="963" spans="1:9">
      <c r="A963" s="14" t="s">
        <v>6515</v>
      </c>
      <c r="B963" s="15" t="s">
        <v>5</v>
      </c>
      <c r="C963" s="10" t="s">
        <v>6516</v>
      </c>
      <c r="D963" s="16" t="s">
        <v>3365</v>
      </c>
      <c r="E963" s="15" t="s">
        <v>11215</v>
      </c>
      <c r="F963" s="16" t="str">
        <f>VLOOKUP(Table8[[#This Row],[Mã khách hàng]],code_khach_hang[],2,0)</f>
        <v>CHI NHÁNH HÀ NỘI - CÔNG TY CỔ PHẦN DỊCH VỤ THƯƠNG MẠI TỔNG HỢP WINCOMMERCE</v>
      </c>
      <c r="G963" s="16" t="str">
        <f>VLOOKUP(Table8[[#This Row],[Mã khách hàng]],code_khach_hang[],3,0)</f>
        <v>Miền Bắc đặc biệt 1</v>
      </c>
      <c r="H963" t="str">
        <f>VLOOKUP(Table8[[#This Row],[Mã khách hàng]],'Khách hàng'!A:D,4,0)</f>
        <v>Food Đức Việt</v>
      </c>
      <c r="I963" t="str">
        <f>VLOOKUP(Table8[[#This Row],[Mã khách hàng]],'Khách hàng'!A:E,5,0)</f>
        <v>HN0040</v>
      </c>
    </row>
    <row r="964" spans="1:9">
      <c r="A964" s="14" t="s">
        <v>6677</v>
      </c>
      <c r="B964" s="15" t="s">
        <v>5</v>
      </c>
      <c r="C964" s="10" t="s">
        <v>6678</v>
      </c>
      <c r="D964" s="16" t="s">
        <v>3368</v>
      </c>
      <c r="E964" s="15" t="s">
        <v>11215</v>
      </c>
      <c r="F964" s="16" t="str">
        <f>VLOOKUP(Table8[[#This Row],[Mã khách hàng]],code_khach_hang[],2,0)</f>
        <v>CHI NHÁNH HÀ NỘI - CÔNG TY CỔ PHẦN DỊCH VỤ THƯƠNG MẠI TỔNG HỢP WINCOMMERCE</v>
      </c>
      <c r="G964" s="16" t="str">
        <f>VLOOKUP(Table8[[#This Row],[Mã khách hàng]],code_khach_hang[],3,0)</f>
        <v>Miền Bắc đặc biệt 1</v>
      </c>
      <c r="H964" t="str">
        <f>VLOOKUP(Table8[[#This Row],[Mã khách hàng]],'Khách hàng'!A:D,4,0)</f>
        <v>Food Đức Việt</v>
      </c>
      <c r="I964" t="str">
        <f>VLOOKUP(Table8[[#This Row],[Mã khách hàng]],'Khách hàng'!A:E,5,0)</f>
        <v>HN0040</v>
      </c>
    </row>
    <row r="965" spans="1:9">
      <c r="A965" s="14" t="s">
        <v>7751</v>
      </c>
      <c r="B965" s="15" t="s">
        <v>5</v>
      </c>
      <c r="C965" s="10" t="s">
        <v>7752</v>
      </c>
      <c r="D965" s="16" t="s">
        <v>3371</v>
      </c>
      <c r="E965" s="15" t="s">
        <v>11215</v>
      </c>
      <c r="F965" s="16" t="str">
        <f>VLOOKUP(Table8[[#This Row],[Mã khách hàng]],code_khach_hang[],2,0)</f>
        <v>CHI NHÁNH HÀ NỘI - CÔNG TY CỔ PHẦN DỊCH VỤ THƯƠNG MẠI TỔNG HỢP WINCOMMERCE</v>
      </c>
      <c r="G965" s="16" t="str">
        <f>VLOOKUP(Table8[[#This Row],[Mã khách hàng]],code_khach_hang[],3,0)</f>
        <v>Miền Bắc đặc biệt 1</v>
      </c>
      <c r="H965" t="str">
        <f>VLOOKUP(Table8[[#This Row],[Mã khách hàng]],'Khách hàng'!A:D,4,0)</f>
        <v>Food Đức Việt</v>
      </c>
      <c r="I965" t="str">
        <f>VLOOKUP(Table8[[#This Row],[Mã khách hàng]],'Khách hàng'!A:E,5,0)</f>
        <v>HN0040</v>
      </c>
    </row>
    <row r="966" spans="1:9">
      <c r="A966" s="14" t="s">
        <v>7942</v>
      </c>
      <c r="B966" s="15" t="s">
        <v>5</v>
      </c>
      <c r="C966" s="10" t="s">
        <v>7943</v>
      </c>
      <c r="D966" s="16" t="s">
        <v>3374</v>
      </c>
      <c r="E966" s="15" t="s">
        <v>11215</v>
      </c>
      <c r="F966" s="16" t="str">
        <f>VLOOKUP(Table8[[#This Row],[Mã khách hàng]],code_khach_hang[],2,0)</f>
        <v>CHI NHÁNH HÀ NỘI - CÔNG TY CỔ PHẦN DỊCH VỤ THƯƠNG MẠI TỔNG HỢP WINCOMMERCE</v>
      </c>
      <c r="G966" s="16" t="str">
        <f>VLOOKUP(Table8[[#This Row],[Mã khách hàng]],code_khach_hang[],3,0)</f>
        <v>Miền Bắc đặc biệt 1</v>
      </c>
      <c r="H966" t="str">
        <f>VLOOKUP(Table8[[#This Row],[Mã khách hàng]],'Khách hàng'!A:D,4,0)</f>
        <v>Food Đức Việt</v>
      </c>
      <c r="I966" t="str">
        <f>VLOOKUP(Table8[[#This Row],[Mã khách hàng]],'Khách hàng'!A:E,5,0)</f>
        <v>HN0040</v>
      </c>
    </row>
    <row r="967" spans="1:9">
      <c r="A967" s="14" t="s">
        <v>5130</v>
      </c>
      <c r="B967" s="15" t="s">
        <v>5</v>
      </c>
      <c r="C967" s="10" t="s">
        <v>5131</v>
      </c>
      <c r="D967" s="16" t="s">
        <v>3377</v>
      </c>
      <c r="E967" s="15" t="s">
        <v>11215</v>
      </c>
      <c r="F967" s="16" t="str">
        <f>VLOOKUP(Table8[[#This Row],[Mã khách hàng]],code_khach_hang[],2,0)</f>
        <v>CHI NHÁNH HÀ NỘI - CÔNG TY CỔ PHẦN DỊCH VỤ THƯƠNG MẠI TỔNG HỢP WINCOMMERCE</v>
      </c>
      <c r="G967" s="16" t="str">
        <f>VLOOKUP(Table8[[#This Row],[Mã khách hàng]],code_khach_hang[],3,0)</f>
        <v>Miền Bắc đặc biệt 1</v>
      </c>
      <c r="H967" t="str">
        <f>VLOOKUP(Table8[[#This Row],[Mã khách hàng]],'Khách hàng'!A:D,4,0)</f>
        <v>Food Đức Việt</v>
      </c>
      <c r="I967" t="str">
        <f>VLOOKUP(Table8[[#This Row],[Mã khách hàng]],'Khách hàng'!A:E,5,0)</f>
        <v>HN0040</v>
      </c>
    </row>
    <row r="968" spans="1:9">
      <c r="A968" s="14" t="s">
        <v>5172</v>
      </c>
      <c r="B968" s="15" t="s">
        <v>5</v>
      </c>
      <c r="C968" s="10" t="s">
        <v>5173</v>
      </c>
      <c r="D968" s="16" t="s">
        <v>3380</v>
      </c>
      <c r="E968" s="15" t="s">
        <v>11215</v>
      </c>
      <c r="F968" s="16" t="str">
        <f>VLOOKUP(Table8[[#This Row],[Mã khách hàng]],code_khach_hang[],2,0)</f>
        <v>CHI NHÁNH HÀ NỘI - CÔNG TY CỔ PHẦN DỊCH VỤ THƯƠNG MẠI TỔNG HỢP WINCOMMERCE</v>
      </c>
      <c r="G968" s="16" t="str">
        <f>VLOOKUP(Table8[[#This Row],[Mã khách hàng]],code_khach_hang[],3,0)</f>
        <v>Miền Bắc đặc biệt 1</v>
      </c>
      <c r="H968" t="str">
        <f>VLOOKUP(Table8[[#This Row],[Mã khách hàng]],'Khách hàng'!A:D,4,0)</f>
        <v>Food Đức Việt</v>
      </c>
      <c r="I968" t="str">
        <f>VLOOKUP(Table8[[#This Row],[Mã khách hàng]],'Khách hàng'!A:E,5,0)</f>
        <v>HN0040</v>
      </c>
    </row>
    <row r="969" spans="1:9">
      <c r="A969" s="14" t="s">
        <v>5190</v>
      </c>
      <c r="B969" s="15" t="s">
        <v>5</v>
      </c>
      <c r="C969" s="10" t="s">
        <v>5191</v>
      </c>
      <c r="D969" s="16" t="s">
        <v>3383</v>
      </c>
      <c r="E969" s="15" t="s">
        <v>11215</v>
      </c>
      <c r="F969" s="16" t="str">
        <f>VLOOKUP(Table8[[#This Row],[Mã khách hàng]],code_khach_hang[],2,0)</f>
        <v>CHI NHÁNH HÀ NỘI - CÔNG TY CỔ PHẦN DỊCH VỤ THƯƠNG MẠI TỔNG HỢP WINCOMMERCE</v>
      </c>
      <c r="G969" s="16" t="str">
        <f>VLOOKUP(Table8[[#This Row],[Mã khách hàng]],code_khach_hang[],3,0)</f>
        <v>Miền Bắc đặc biệt 1</v>
      </c>
      <c r="H969" t="str">
        <f>VLOOKUP(Table8[[#This Row],[Mã khách hàng]],'Khách hàng'!A:D,4,0)</f>
        <v>Food Đức Việt</v>
      </c>
      <c r="I969" t="str">
        <f>VLOOKUP(Table8[[#This Row],[Mã khách hàng]],'Khách hàng'!A:E,5,0)</f>
        <v>HN0040</v>
      </c>
    </row>
    <row r="970" spans="1:9">
      <c r="A970" s="14" t="s">
        <v>11107</v>
      </c>
      <c r="B970" s="15" t="s">
        <v>5</v>
      </c>
      <c r="C970" s="10" t="s">
        <v>13155</v>
      </c>
      <c r="D970" s="16" t="s">
        <v>3386</v>
      </c>
      <c r="E970" s="15" t="s">
        <v>11215</v>
      </c>
      <c r="F970" s="16" t="str">
        <f>VLOOKUP(Table8[[#This Row],[Mã khách hàng]],code_khach_hang[],2,0)</f>
        <v>CHI NHÁNH HÀ NỘI - CÔNG TY CỔ PHẦN DỊCH VỤ THƯƠNG MẠI TỔNG HỢP WINCOMMERCE</v>
      </c>
      <c r="G970" s="16" t="str">
        <f>VLOOKUP(Table8[[#This Row],[Mã khách hàng]],code_khach_hang[],3,0)</f>
        <v>Miền Bắc đặc biệt 1</v>
      </c>
      <c r="H970" t="str">
        <f>VLOOKUP(Table8[[#This Row],[Mã khách hàng]],'Khách hàng'!A:D,4,0)</f>
        <v>Food Đức Việt</v>
      </c>
      <c r="I970" t="str">
        <f>VLOOKUP(Table8[[#This Row],[Mã khách hàng]],'Khách hàng'!A:E,5,0)</f>
        <v>HN0040</v>
      </c>
    </row>
    <row r="971" spans="1:9">
      <c r="A971" s="14" t="s">
        <v>5340</v>
      </c>
      <c r="B971" s="15" t="s">
        <v>5</v>
      </c>
      <c r="C971" s="10" t="s">
        <v>5341</v>
      </c>
      <c r="D971" s="16" t="s">
        <v>3389</v>
      </c>
      <c r="E971" s="15" t="s">
        <v>11215</v>
      </c>
      <c r="F971" s="16" t="str">
        <f>VLOOKUP(Table8[[#This Row],[Mã khách hàng]],code_khach_hang[],2,0)</f>
        <v>CHI NHÁNH HÀ NỘI - CÔNG TY CỔ PHẦN DỊCH VỤ THƯƠNG MẠI TỔNG HỢP WINCOMMERCE</v>
      </c>
      <c r="G971" s="16" t="str">
        <f>VLOOKUP(Table8[[#This Row],[Mã khách hàng]],code_khach_hang[],3,0)</f>
        <v>Miền Bắc đặc biệt 1</v>
      </c>
      <c r="H971" t="str">
        <f>VLOOKUP(Table8[[#This Row],[Mã khách hàng]],'Khách hàng'!A:D,4,0)</f>
        <v>Food Đức Việt</v>
      </c>
      <c r="I971" t="str">
        <f>VLOOKUP(Table8[[#This Row],[Mã khách hàng]],'Khách hàng'!A:E,5,0)</f>
        <v>HN0040</v>
      </c>
    </row>
    <row r="972" spans="1:9">
      <c r="A972" s="14" t="s">
        <v>8281</v>
      </c>
      <c r="B972" s="15" t="s">
        <v>5</v>
      </c>
      <c r="C972" s="10" t="s">
        <v>8282</v>
      </c>
      <c r="D972" s="16" t="s">
        <v>3392</v>
      </c>
      <c r="E972" s="15" t="s">
        <v>11215</v>
      </c>
      <c r="F972" s="16" t="str">
        <f>VLOOKUP(Table8[[#This Row],[Mã khách hàng]],code_khach_hang[],2,0)</f>
        <v>CHI NHÁNH HÀ NỘI - CÔNG TY CỔ PHẦN DỊCH VỤ THƯƠNG MẠI TỔNG HỢP WINCOMMERCE</v>
      </c>
      <c r="G972" s="16" t="str">
        <f>VLOOKUP(Table8[[#This Row],[Mã khách hàng]],code_khach_hang[],3,0)</f>
        <v>Miền Bắc đặc biệt 1</v>
      </c>
      <c r="H972" t="str">
        <f>VLOOKUP(Table8[[#This Row],[Mã khách hàng]],'Khách hàng'!A:D,4,0)</f>
        <v>Food Đức Việt</v>
      </c>
      <c r="I972" t="str">
        <f>VLOOKUP(Table8[[#This Row],[Mã khách hàng]],'Khách hàng'!A:E,5,0)</f>
        <v>HN0040</v>
      </c>
    </row>
    <row r="973" spans="1:9">
      <c r="A973" s="14" t="s">
        <v>8088</v>
      </c>
      <c r="B973" s="15" t="s">
        <v>5</v>
      </c>
      <c r="C973" s="10" t="s">
        <v>8089</v>
      </c>
      <c r="D973" s="16" t="s">
        <v>3395</v>
      </c>
      <c r="E973" s="15" t="s">
        <v>11215</v>
      </c>
      <c r="F973" s="16" t="str">
        <f>VLOOKUP(Table8[[#This Row],[Mã khách hàng]],code_khach_hang[],2,0)</f>
        <v>CHI NHÁNH HÀ NỘI - CÔNG TY CỔ PHẦN DỊCH VỤ THƯƠNG MẠI TỔNG HỢP WINCOMMERCE</v>
      </c>
      <c r="G973" s="16" t="str">
        <f>VLOOKUP(Table8[[#This Row],[Mã khách hàng]],code_khach_hang[],3,0)</f>
        <v>Miền Bắc đặc biệt 1</v>
      </c>
      <c r="H973" t="str">
        <f>VLOOKUP(Table8[[#This Row],[Mã khách hàng]],'Khách hàng'!A:D,4,0)</f>
        <v>Food Đức Việt</v>
      </c>
      <c r="I973" t="str">
        <f>VLOOKUP(Table8[[#This Row],[Mã khách hàng]],'Khách hàng'!A:E,5,0)</f>
        <v>HN0040</v>
      </c>
    </row>
    <row r="974" spans="1:9">
      <c r="A974" s="14" t="s">
        <v>7909</v>
      </c>
      <c r="B974" s="15" t="s">
        <v>5</v>
      </c>
      <c r="C974" s="10" t="s">
        <v>7910</v>
      </c>
      <c r="D974" s="16" t="s">
        <v>3398</v>
      </c>
      <c r="E974" s="15" t="s">
        <v>11215</v>
      </c>
      <c r="F974" s="16" t="str">
        <f>VLOOKUP(Table8[[#This Row],[Mã khách hàng]],code_khach_hang[],2,0)</f>
        <v>CHI NHÁNH HÀ NỘI - CÔNG TY CỔ PHẦN DỊCH VỤ THƯƠNG MẠI TỔNG HỢP WINCOMMERCE</v>
      </c>
      <c r="G974" s="16" t="str">
        <f>VLOOKUP(Table8[[#This Row],[Mã khách hàng]],code_khach_hang[],3,0)</f>
        <v>Miền Bắc đặc biệt 1</v>
      </c>
      <c r="H974" t="str">
        <f>VLOOKUP(Table8[[#This Row],[Mã khách hàng]],'Khách hàng'!A:D,4,0)</f>
        <v>Food Đức Việt</v>
      </c>
      <c r="I974" t="str">
        <f>VLOOKUP(Table8[[#This Row],[Mã khách hàng]],'Khách hàng'!A:E,5,0)</f>
        <v>HN0040</v>
      </c>
    </row>
    <row r="975" spans="1:9">
      <c r="A975" s="14" t="s">
        <v>5163</v>
      </c>
      <c r="B975" s="15" t="s">
        <v>5</v>
      </c>
      <c r="C975" s="10" t="s">
        <v>5164</v>
      </c>
      <c r="D975" s="16" t="s">
        <v>3400</v>
      </c>
      <c r="E975" s="15" t="s">
        <v>11215</v>
      </c>
      <c r="F975" s="16" t="str">
        <f>VLOOKUP(Table8[[#This Row],[Mã khách hàng]],code_khach_hang[],2,0)</f>
        <v>CHI NHÁNH HÀ NỘI - CÔNG TY CỔ PHẦN DỊCH VỤ THƯƠNG MẠI TỔNG HỢP WINCOMMERCE</v>
      </c>
      <c r="G975" s="16" t="str">
        <f>VLOOKUP(Table8[[#This Row],[Mã khách hàng]],code_khach_hang[],3,0)</f>
        <v>Miền Bắc đặc biệt 1</v>
      </c>
      <c r="H975" t="str">
        <f>VLOOKUP(Table8[[#This Row],[Mã khách hàng]],'Khách hàng'!A:D,4,0)</f>
        <v>Food Đức Việt</v>
      </c>
      <c r="I975" t="str">
        <f>VLOOKUP(Table8[[#This Row],[Mã khách hàng]],'Khách hàng'!A:E,5,0)</f>
        <v>HN0040</v>
      </c>
    </row>
    <row r="976" spans="1:9">
      <c r="A976" s="14" t="s">
        <v>5409</v>
      </c>
      <c r="B976" s="15" t="s">
        <v>5</v>
      </c>
      <c r="C976" s="10" t="s">
        <v>5410</v>
      </c>
      <c r="D976" s="16" t="s">
        <v>3403</v>
      </c>
      <c r="E976" s="15" t="s">
        <v>11215</v>
      </c>
      <c r="F976" s="16" t="str">
        <f>VLOOKUP(Table8[[#This Row],[Mã khách hàng]],code_khach_hang[],2,0)</f>
        <v>CHI NHÁNH HÀ NỘI - CÔNG TY CỔ PHẦN DỊCH VỤ THƯƠNG MẠI TỔNG HỢP WINCOMMERCE</v>
      </c>
      <c r="G976" s="16" t="str">
        <f>VLOOKUP(Table8[[#This Row],[Mã khách hàng]],code_khach_hang[],3,0)</f>
        <v>Miền Bắc đặc biệt 1</v>
      </c>
      <c r="H976" t="str">
        <f>VLOOKUP(Table8[[#This Row],[Mã khách hàng]],'Khách hàng'!A:D,4,0)</f>
        <v>Food Đức Việt</v>
      </c>
      <c r="I976" t="str">
        <f>VLOOKUP(Table8[[#This Row],[Mã khách hàng]],'Khách hàng'!A:E,5,0)</f>
        <v>HN0040</v>
      </c>
    </row>
    <row r="977" spans="1:9">
      <c r="A977" s="14" t="s">
        <v>5576</v>
      </c>
      <c r="B977" s="15" t="s">
        <v>5</v>
      </c>
      <c r="C977" s="10" t="s">
        <v>5577</v>
      </c>
      <c r="D977" s="16" t="s">
        <v>3406</v>
      </c>
      <c r="E977" s="15" t="s">
        <v>11215</v>
      </c>
      <c r="F977" s="16" t="str">
        <f>VLOOKUP(Table8[[#This Row],[Mã khách hàng]],code_khach_hang[],2,0)</f>
        <v>CHI NHÁNH HÀ NỘI - CÔNG TY CỔ PHẦN DỊCH VỤ THƯƠNG MẠI TỔNG HỢP WINCOMMERCE</v>
      </c>
      <c r="G977" s="16" t="str">
        <f>VLOOKUP(Table8[[#This Row],[Mã khách hàng]],code_khach_hang[],3,0)</f>
        <v>Miền Bắc đặc biệt 1</v>
      </c>
      <c r="H977" t="str">
        <f>VLOOKUP(Table8[[#This Row],[Mã khách hàng]],'Khách hàng'!A:D,4,0)</f>
        <v>Food Đức Việt</v>
      </c>
      <c r="I977" t="str">
        <f>VLOOKUP(Table8[[#This Row],[Mã khách hàng]],'Khách hàng'!A:E,5,0)</f>
        <v>HN0040</v>
      </c>
    </row>
    <row r="978" spans="1:9">
      <c r="A978" s="14" t="s">
        <v>5612</v>
      </c>
      <c r="B978" s="15" t="s">
        <v>5</v>
      </c>
      <c r="C978" s="10" t="s">
        <v>5613</v>
      </c>
      <c r="D978" s="16" t="s">
        <v>3409</v>
      </c>
      <c r="E978" s="15" t="s">
        <v>11215</v>
      </c>
      <c r="F978" s="16" t="str">
        <f>VLOOKUP(Table8[[#This Row],[Mã khách hàng]],code_khach_hang[],2,0)</f>
        <v>CHI NHÁNH HÀ NỘI - CÔNG TY CỔ PHẦN DỊCH VỤ THƯƠNG MẠI TỔNG HỢP WINCOMMERCE</v>
      </c>
      <c r="G978" s="16" t="str">
        <f>VLOOKUP(Table8[[#This Row],[Mã khách hàng]],code_khach_hang[],3,0)</f>
        <v>Miền Bắc đặc biệt 1</v>
      </c>
      <c r="H978" t="str">
        <f>VLOOKUP(Table8[[#This Row],[Mã khách hàng]],'Khách hàng'!A:D,4,0)</f>
        <v>Food Đức Việt</v>
      </c>
      <c r="I978" t="str">
        <f>VLOOKUP(Table8[[#This Row],[Mã khách hàng]],'Khách hàng'!A:E,5,0)</f>
        <v>HN0040</v>
      </c>
    </row>
    <row r="979" spans="1:9">
      <c r="A979" s="14" t="s">
        <v>5674</v>
      </c>
      <c r="B979" s="15" t="s">
        <v>5</v>
      </c>
      <c r="C979" s="10" t="s">
        <v>5675</v>
      </c>
      <c r="D979" s="16" t="s">
        <v>3412</v>
      </c>
      <c r="E979" s="15" t="s">
        <v>11215</v>
      </c>
      <c r="F979" s="16" t="str">
        <f>VLOOKUP(Table8[[#This Row],[Mã khách hàng]],code_khach_hang[],2,0)</f>
        <v>CHI NHÁNH HÀ NỘI - CÔNG TY CỔ PHẦN DỊCH VỤ THƯƠNG MẠI TỔNG HỢP WINCOMMERCE</v>
      </c>
      <c r="G979" s="16" t="str">
        <f>VLOOKUP(Table8[[#This Row],[Mã khách hàng]],code_khach_hang[],3,0)</f>
        <v>Miền Bắc đặc biệt 1</v>
      </c>
      <c r="H979" t="str">
        <f>VLOOKUP(Table8[[#This Row],[Mã khách hàng]],'Khách hàng'!A:D,4,0)</f>
        <v>Food Đức Việt</v>
      </c>
      <c r="I979" t="str">
        <f>VLOOKUP(Table8[[#This Row],[Mã khách hàng]],'Khách hàng'!A:E,5,0)</f>
        <v>HN0040</v>
      </c>
    </row>
    <row r="980" spans="1:9">
      <c r="A980" s="14" t="s">
        <v>8278</v>
      </c>
      <c r="B980" s="15" t="s">
        <v>5</v>
      </c>
      <c r="C980" s="10" t="s">
        <v>8279</v>
      </c>
      <c r="D980" s="16" t="s">
        <v>3415</v>
      </c>
      <c r="E980" s="15" t="s">
        <v>11215</v>
      </c>
      <c r="F980" s="16" t="str">
        <f>VLOOKUP(Table8[[#This Row],[Mã khách hàng]],code_khach_hang[],2,0)</f>
        <v>CHI NHÁNH HÀ NỘI - CÔNG TY CỔ PHẦN DỊCH VỤ THƯƠNG MẠI TỔNG HỢP WINCOMMERCE</v>
      </c>
      <c r="G980" s="16" t="str">
        <f>VLOOKUP(Table8[[#This Row],[Mã khách hàng]],code_khach_hang[],3,0)</f>
        <v>Miền Bắc đặc biệt 1</v>
      </c>
      <c r="H980" t="str">
        <f>VLOOKUP(Table8[[#This Row],[Mã khách hàng]],'Khách hàng'!A:D,4,0)</f>
        <v>Food Đức Việt</v>
      </c>
      <c r="I980" t="str">
        <f>VLOOKUP(Table8[[#This Row],[Mã khách hàng]],'Khách hàng'!A:E,5,0)</f>
        <v>HN0040</v>
      </c>
    </row>
    <row r="981" spans="1:9">
      <c r="A981" s="14" t="s">
        <v>6118</v>
      </c>
      <c r="B981" s="15" t="s">
        <v>5</v>
      </c>
      <c r="C981" s="10" t="s">
        <v>6119</v>
      </c>
      <c r="D981" s="16" t="s">
        <v>3418</v>
      </c>
      <c r="E981" s="15" t="s">
        <v>11215</v>
      </c>
      <c r="F981" s="16" t="str">
        <f>VLOOKUP(Table8[[#This Row],[Mã khách hàng]],code_khach_hang[],2,0)</f>
        <v>CHI NHÁNH HÀ NỘI - CÔNG TY CỔ PHẦN DỊCH VỤ THƯƠNG MẠI TỔNG HỢP WINCOMMERCE</v>
      </c>
      <c r="G981" s="16" t="str">
        <f>VLOOKUP(Table8[[#This Row],[Mã khách hàng]],code_khach_hang[],3,0)</f>
        <v>Miền Bắc đặc biệt 1</v>
      </c>
      <c r="H981" t="str">
        <f>VLOOKUP(Table8[[#This Row],[Mã khách hàng]],'Khách hàng'!A:D,4,0)</f>
        <v>Food Đức Việt</v>
      </c>
      <c r="I981" t="str">
        <f>VLOOKUP(Table8[[#This Row],[Mã khách hàng]],'Khách hàng'!A:E,5,0)</f>
        <v>HN0040</v>
      </c>
    </row>
    <row r="982" spans="1:9">
      <c r="A982" s="14" t="s">
        <v>6157</v>
      </c>
      <c r="B982" s="15" t="s">
        <v>5</v>
      </c>
      <c r="C982" s="10" t="s">
        <v>6158</v>
      </c>
      <c r="D982" s="16" t="s">
        <v>3421</v>
      </c>
      <c r="E982" s="15" t="s">
        <v>11215</v>
      </c>
      <c r="F982" s="16" t="str">
        <f>VLOOKUP(Table8[[#This Row],[Mã khách hàng]],code_khach_hang[],2,0)</f>
        <v>CHI NHÁNH HÀ NỘI - CÔNG TY CỔ PHẦN DỊCH VỤ THƯƠNG MẠI TỔNG HỢP WINCOMMERCE</v>
      </c>
      <c r="G982" s="16" t="str">
        <f>VLOOKUP(Table8[[#This Row],[Mã khách hàng]],code_khach_hang[],3,0)</f>
        <v>Miền Bắc đặc biệt 1</v>
      </c>
      <c r="H982" t="str">
        <f>VLOOKUP(Table8[[#This Row],[Mã khách hàng]],'Khách hàng'!A:D,4,0)</f>
        <v>Food Đức Việt</v>
      </c>
      <c r="I982" t="str">
        <f>VLOOKUP(Table8[[#This Row],[Mã khách hàng]],'Khách hàng'!A:E,5,0)</f>
        <v>HN0040</v>
      </c>
    </row>
    <row r="983" spans="1:9">
      <c r="A983" s="14" t="s">
        <v>6449</v>
      </c>
      <c r="B983" s="15" t="s">
        <v>5</v>
      </c>
      <c r="C983" s="10" t="s">
        <v>6450</v>
      </c>
      <c r="D983" s="16" t="s">
        <v>3424</v>
      </c>
      <c r="E983" s="15" t="s">
        <v>11215</v>
      </c>
      <c r="F983" s="16" t="str">
        <f>VLOOKUP(Table8[[#This Row],[Mã khách hàng]],code_khach_hang[],2,0)</f>
        <v>CHI NHÁNH HÀ NỘI - CÔNG TY CỔ PHẦN DỊCH VỤ THƯƠNG MẠI TỔNG HỢP WINCOMMERCE</v>
      </c>
      <c r="G983" s="16" t="str">
        <f>VLOOKUP(Table8[[#This Row],[Mã khách hàng]],code_khach_hang[],3,0)</f>
        <v>Miền Bắc đặc biệt 1</v>
      </c>
      <c r="H983" t="str">
        <f>VLOOKUP(Table8[[#This Row],[Mã khách hàng]],'Khách hàng'!A:D,4,0)</f>
        <v>Food Đức Việt</v>
      </c>
      <c r="I983" t="str">
        <f>VLOOKUP(Table8[[#This Row],[Mã khách hàng]],'Khách hàng'!A:E,5,0)</f>
        <v>HN0040</v>
      </c>
    </row>
    <row r="984" spans="1:9">
      <c r="A984" s="14" t="s">
        <v>6941</v>
      </c>
      <c r="B984" s="15" t="s">
        <v>5</v>
      </c>
      <c r="C984" s="10" t="s">
        <v>6942</v>
      </c>
      <c r="D984" s="16" t="s">
        <v>3427</v>
      </c>
      <c r="E984" s="15" t="s">
        <v>11215</v>
      </c>
      <c r="F984" s="16" t="str">
        <f>VLOOKUP(Table8[[#This Row],[Mã khách hàng]],code_khach_hang[],2,0)</f>
        <v>CHI NHÁNH HÀ NỘI - CÔNG TY CỔ PHẦN DỊCH VỤ THƯƠNG MẠI TỔNG HỢP WINCOMMERCE</v>
      </c>
      <c r="G984" s="16" t="str">
        <f>VLOOKUP(Table8[[#This Row],[Mã khách hàng]],code_khach_hang[],3,0)</f>
        <v>Miền Bắc đặc biệt 1</v>
      </c>
      <c r="H984" t="str">
        <f>VLOOKUP(Table8[[#This Row],[Mã khách hàng]],'Khách hàng'!A:D,4,0)</f>
        <v>Food Đức Việt</v>
      </c>
      <c r="I984" t="str">
        <f>VLOOKUP(Table8[[#This Row],[Mã khách hàng]],'Khách hàng'!A:E,5,0)</f>
        <v>HN0040</v>
      </c>
    </row>
    <row r="985" spans="1:9">
      <c r="A985" s="14" t="s">
        <v>7685</v>
      </c>
      <c r="B985" s="15" t="s">
        <v>5</v>
      </c>
      <c r="C985" s="10" t="s">
        <v>7686</v>
      </c>
      <c r="D985" s="16" t="s">
        <v>3430</v>
      </c>
      <c r="E985" s="15" t="s">
        <v>11215</v>
      </c>
      <c r="F985" s="16" t="str">
        <f>VLOOKUP(Table8[[#This Row],[Mã khách hàng]],code_khach_hang[],2,0)</f>
        <v>CHI NHÁNH HÀ NỘI - CÔNG TY CỔ PHẦN DỊCH VỤ THƯƠNG MẠI TỔNG HỢP WINCOMMERCE</v>
      </c>
      <c r="G985" s="16" t="str">
        <f>VLOOKUP(Table8[[#This Row],[Mã khách hàng]],code_khach_hang[],3,0)</f>
        <v>Miền Bắc đặc biệt 1</v>
      </c>
      <c r="H985" t="str">
        <f>VLOOKUP(Table8[[#This Row],[Mã khách hàng]],'Khách hàng'!A:D,4,0)</f>
        <v>Food Đức Việt</v>
      </c>
      <c r="I985" t="str">
        <f>VLOOKUP(Table8[[#This Row],[Mã khách hàng]],'Khách hàng'!A:E,5,0)</f>
        <v>HN0040</v>
      </c>
    </row>
    <row r="986" spans="1:9">
      <c r="A986" s="14" t="s">
        <v>5585</v>
      </c>
      <c r="B986" s="15" t="s">
        <v>5</v>
      </c>
      <c r="C986" s="10" t="s">
        <v>5586</v>
      </c>
      <c r="D986" s="16" t="s">
        <v>3433</v>
      </c>
      <c r="E986" s="15" t="s">
        <v>11215</v>
      </c>
      <c r="F986" s="16" t="str">
        <f>VLOOKUP(Table8[[#This Row],[Mã khách hàng]],code_khach_hang[],2,0)</f>
        <v>CHI NHÁNH HÀ NỘI - CÔNG TY CỔ PHẦN DỊCH VỤ THƯƠNG MẠI TỔNG HỢP WINCOMMERCE</v>
      </c>
      <c r="G986" s="16" t="str">
        <f>VLOOKUP(Table8[[#This Row],[Mã khách hàng]],code_khach_hang[],3,0)</f>
        <v>Miền Bắc đặc biệt 1</v>
      </c>
      <c r="H986" t="str">
        <f>VLOOKUP(Table8[[#This Row],[Mã khách hàng]],'Khách hàng'!A:D,4,0)</f>
        <v>Food Đức Việt</v>
      </c>
      <c r="I986" t="str">
        <f>VLOOKUP(Table8[[#This Row],[Mã khách hàng]],'Khách hàng'!A:E,5,0)</f>
        <v>HN0040</v>
      </c>
    </row>
    <row r="987" spans="1:9">
      <c r="A987" s="14" t="s">
        <v>5588</v>
      </c>
      <c r="B987" s="15" t="s">
        <v>5</v>
      </c>
      <c r="C987" s="10" t="s">
        <v>5589</v>
      </c>
      <c r="D987" s="16" t="s">
        <v>3436</v>
      </c>
      <c r="E987" s="15" t="s">
        <v>11215</v>
      </c>
      <c r="F987" s="16" t="str">
        <f>VLOOKUP(Table8[[#This Row],[Mã khách hàng]],code_khach_hang[],2,0)</f>
        <v>CHI NHÁNH HÀ NỘI - CÔNG TY CỔ PHẦN DỊCH VỤ THƯƠNG MẠI TỔNG HỢP WINCOMMERCE</v>
      </c>
      <c r="G987" s="16" t="str">
        <f>VLOOKUP(Table8[[#This Row],[Mã khách hàng]],code_khach_hang[],3,0)</f>
        <v>Miền Bắc đặc biệt 1</v>
      </c>
      <c r="H987" t="str">
        <f>VLOOKUP(Table8[[#This Row],[Mã khách hàng]],'Khách hàng'!A:D,4,0)</f>
        <v>Food Đức Việt</v>
      </c>
      <c r="I987" t="str">
        <f>VLOOKUP(Table8[[#This Row],[Mã khách hàng]],'Khách hàng'!A:E,5,0)</f>
        <v>HN0040</v>
      </c>
    </row>
    <row r="988" spans="1:9">
      <c r="A988" s="14" t="s">
        <v>8251</v>
      </c>
      <c r="B988" s="15" t="s">
        <v>5</v>
      </c>
      <c r="C988" s="10" t="s">
        <v>8252</v>
      </c>
      <c r="D988" s="16" t="s">
        <v>3439</v>
      </c>
      <c r="E988" s="15" t="s">
        <v>11215</v>
      </c>
      <c r="F988" s="16" t="str">
        <f>VLOOKUP(Table8[[#This Row],[Mã khách hàng]],code_khach_hang[],2,0)</f>
        <v>CHI NHÁNH HÀ NỘI - CÔNG TY CỔ PHẦN DỊCH VỤ THƯƠNG MẠI TỔNG HỢP WINCOMMERCE</v>
      </c>
      <c r="G988" s="16" t="str">
        <f>VLOOKUP(Table8[[#This Row],[Mã khách hàng]],code_khach_hang[],3,0)</f>
        <v>Miền Bắc đặc biệt 1</v>
      </c>
      <c r="H988" t="str">
        <f>VLOOKUP(Table8[[#This Row],[Mã khách hàng]],'Khách hàng'!A:D,4,0)</f>
        <v>Food Đức Việt</v>
      </c>
      <c r="I988" t="str">
        <f>VLOOKUP(Table8[[#This Row],[Mã khách hàng]],'Khách hàng'!A:E,5,0)</f>
        <v>HN0040</v>
      </c>
    </row>
    <row r="989" spans="1:9">
      <c r="A989" s="14" t="s">
        <v>8650</v>
      </c>
      <c r="B989" s="15" t="s">
        <v>5</v>
      </c>
      <c r="C989" s="10" t="s">
        <v>8651</v>
      </c>
      <c r="D989" s="16" t="s">
        <v>3442</v>
      </c>
      <c r="E989" s="15" t="s">
        <v>11215</v>
      </c>
      <c r="F989" s="16" t="str">
        <f>VLOOKUP(Table8[[#This Row],[Mã khách hàng]],code_khach_hang[],2,0)</f>
        <v>CHI NHÁNH HÀ NỘI - CÔNG TY CỔ PHẦN DỊCH VỤ THƯƠNG MẠI TỔNG HỢP WINCOMMERCE</v>
      </c>
      <c r="G989" s="16" t="str">
        <f>VLOOKUP(Table8[[#This Row],[Mã khách hàng]],code_khach_hang[],3,0)</f>
        <v>Miền Bắc đặc biệt 1</v>
      </c>
      <c r="H989" t="str">
        <f>VLOOKUP(Table8[[#This Row],[Mã khách hàng]],'Khách hàng'!A:D,4,0)</f>
        <v>Food Đức Việt</v>
      </c>
      <c r="I989" t="str">
        <f>VLOOKUP(Table8[[#This Row],[Mã khách hàng]],'Khách hàng'!A:E,5,0)</f>
        <v>HN0040</v>
      </c>
    </row>
    <row r="990" spans="1:9">
      <c r="A990" s="14" t="s">
        <v>8901</v>
      </c>
      <c r="B990" s="15" t="s">
        <v>5</v>
      </c>
      <c r="C990" s="10" t="s">
        <v>8902</v>
      </c>
      <c r="D990" s="16" t="s">
        <v>3445</v>
      </c>
      <c r="E990" s="15" t="s">
        <v>11215</v>
      </c>
      <c r="F990" s="16" t="str">
        <f>VLOOKUP(Table8[[#This Row],[Mã khách hàng]],code_khach_hang[],2,0)</f>
        <v>CHI NHÁNH HÀ NỘI - CÔNG TY CỔ PHẦN DỊCH VỤ THƯƠNG MẠI TỔNG HỢP WINCOMMERCE</v>
      </c>
      <c r="G990" s="16" t="str">
        <f>VLOOKUP(Table8[[#This Row],[Mã khách hàng]],code_khach_hang[],3,0)</f>
        <v>Miền Bắc đặc biệt 1</v>
      </c>
      <c r="H990" t="str">
        <f>VLOOKUP(Table8[[#This Row],[Mã khách hàng]],'Khách hàng'!A:D,4,0)</f>
        <v>Food Đức Việt</v>
      </c>
      <c r="I990" t="str">
        <f>VLOOKUP(Table8[[#This Row],[Mã khách hàng]],'Khách hàng'!A:E,5,0)</f>
        <v>HN0040</v>
      </c>
    </row>
    <row r="991" spans="1:9">
      <c r="A991" s="14" t="s">
        <v>9088</v>
      </c>
      <c r="B991" s="15" t="s">
        <v>5</v>
      </c>
      <c r="C991" s="10" t="s">
        <v>9089</v>
      </c>
      <c r="D991" s="16" t="s">
        <v>3448</v>
      </c>
      <c r="E991" s="15" t="s">
        <v>11215</v>
      </c>
      <c r="F991" s="16" t="str">
        <f>VLOOKUP(Table8[[#This Row],[Mã khách hàng]],code_khach_hang[],2,0)</f>
        <v>CHI NHÁNH HÀ NỘI - CÔNG TY CỔ PHẦN DỊCH VỤ THƯƠNG MẠI TỔNG HỢP WINCOMMERCE</v>
      </c>
      <c r="G991" s="16" t="str">
        <f>VLOOKUP(Table8[[#This Row],[Mã khách hàng]],code_khach_hang[],3,0)</f>
        <v>Miền Bắc đặc biệt 1</v>
      </c>
      <c r="H991" t="str">
        <f>VLOOKUP(Table8[[#This Row],[Mã khách hàng]],'Khách hàng'!A:D,4,0)</f>
        <v>Food Đức Việt</v>
      </c>
      <c r="I991" t="str">
        <f>VLOOKUP(Table8[[#This Row],[Mã khách hàng]],'Khách hàng'!A:E,5,0)</f>
        <v>HN0040</v>
      </c>
    </row>
    <row r="992" spans="1:9">
      <c r="A992" s="14" t="s">
        <v>562</v>
      </c>
      <c r="B992" s="15" t="s">
        <v>183</v>
      </c>
      <c r="C992" s="10" t="s">
        <v>563</v>
      </c>
      <c r="D992" s="16" t="s">
        <v>3451</v>
      </c>
      <c r="E992" s="15" t="s">
        <v>11195</v>
      </c>
      <c r="F992" s="16" t="str">
        <f>VLOOKUP(Table8[[#This Row],[Mã khách hàng]],code_khach_hang[],2,0)</f>
        <v>CHI NHÁNH HÀ NỘI - CÔNG TY CỔ PHẦN DỊCH VỤ THƯƠNG MẠI TỔNG HỢP WINCOMMERCE</v>
      </c>
      <c r="G992" s="16" t="str">
        <f>VLOOKUP(Table8[[#This Row],[Mã khách hàng]],code_khach_hang[],3,0)</f>
        <v>Miền Bắc đặc biệt 2</v>
      </c>
      <c r="H992" t="str">
        <f>VLOOKUP(Table8[[#This Row],[Mã khách hàng]],'Khách hàng'!A:D,4,0)</f>
        <v>Food Đức Việt</v>
      </c>
      <c r="I992" t="str">
        <f>VLOOKUP(Table8[[#This Row],[Mã khách hàng]],'Khách hàng'!A:E,5,0)</f>
        <v>HN0040</v>
      </c>
    </row>
    <row r="993" spans="1:9">
      <c r="A993" s="14" t="s">
        <v>8871</v>
      </c>
      <c r="B993" s="15" t="s">
        <v>5</v>
      </c>
      <c r="C993" s="10" t="s">
        <v>8872</v>
      </c>
      <c r="D993" s="16" t="s">
        <v>3454</v>
      </c>
      <c r="E993" s="15" t="s">
        <v>11215</v>
      </c>
      <c r="F993" s="16" t="str">
        <f>VLOOKUP(Table8[[#This Row],[Mã khách hàng]],code_khach_hang[],2,0)</f>
        <v>CHI NHÁNH HÀ NỘI - CÔNG TY CỔ PHẦN DỊCH VỤ THƯƠNG MẠI TỔNG HỢP WINCOMMERCE</v>
      </c>
      <c r="G993" s="16" t="str">
        <f>VLOOKUP(Table8[[#This Row],[Mã khách hàng]],code_khach_hang[],3,0)</f>
        <v>Miền Bắc đặc biệt 1</v>
      </c>
      <c r="H993" t="str">
        <f>VLOOKUP(Table8[[#This Row],[Mã khách hàng]],'Khách hàng'!A:D,4,0)</f>
        <v>Food Đức Việt</v>
      </c>
      <c r="I993" t="str">
        <f>VLOOKUP(Table8[[#This Row],[Mã khách hàng]],'Khách hàng'!A:E,5,0)</f>
        <v>HN0040</v>
      </c>
    </row>
    <row r="994" spans="1:9">
      <c r="A994" s="14" t="s">
        <v>8874</v>
      </c>
      <c r="B994" s="15" t="s">
        <v>5</v>
      </c>
      <c r="C994" s="10" t="s">
        <v>8875</v>
      </c>
      <c r="D994" s="16" t="s">
        <v>3457</v>
      </c>
      <c r="E994" s="15" t="s">
        <v>11215</v>
      </c>
      <c r="F994" s="16" t="str">
        <f>VLOOKUP(Table8[[#This Row],[Mã khách hàng]],code_khach_hang[],2,0)</f>
        <v>CHI NHÁNH HÀ NỘI - CÔNG TY CỔ PHẦN DỊCH VỤ THƯƠNG MẠI TỔNG HỢP WINCOMMERCE</v>
      </c>
      <c r="G994" s="16" t="str">
        <f>VLOOKUP(Table8[[#This Row],[Mã khách hàng]],code_khach_hang[],3,0)</f>
        <v>Miền Bắc đặc biệt 1</v>
      </c>
      <c r="H994" t="str">
        <f>VLOOKUP(Table8[[#This Row],[Mã khách hàng]],'Khách hàng'!A:D,4,0)</f>
        <v>Food Đức Việt</v>
      </c>
      <c r="I994" t="str">
        <f>VLOOKUP(Table8[[#This Row],[Mã khách hàng]],'Khách hàng'!A:E,5,0)</f>
        <v>HN0040</v>
      </c>
    </row>
    <row r="995" spans="1:9">
      <c r="A995" s="14" t="s">
        <v>8720</v>
      </c>
      <c r="B995" s="15" t="s">
        <v>5</v>
      </c>
      <c r="C995" s="10" t="s">
        <v>8721</v>
      </c>
      <c r="D995" s="16" t="s">
        <v>3460</v>
      </c>
      <c r="E995" s="15" t="s">
        <v>11215</v>
      </c>
      <c r="F995" s="16" t="str">
        <f>VLOOKUP(Table8[[#This Row],[Mã khách hàng]],code_khach_hang[],2,0)</f>
        <v>CHI NHÁNH HÀ NỘI - CÔNG TY CỔ PHẦN DỊCH VỤ THƯƠNG MẠI TỔNG HỢP WINCOMMERCE</v>
      </c>
      <c r="G995" s="16" t="str">
        <f>VLOOKUP(Table8[[#This Row],[Mã khách hàng]],code_khach_hang[],3,0)</f>
        <v>Miền Bắc đặc biệt 1</v>
      </c>
      <c r="H995" t="str">
        <f>VLOOKUP(Table8[[#This Row],[Mã khách hàng]],'Khách hàng'!A:D,4,0)</f>
        <v>Food Đức Việt</v>
      </c>
      <c r="I995" t="str">
        <f>VLOOKUP(Table8[[#This Row],[Mã khách hàng]],'Khách hàng'!A:E,5,0)</f>
        <v>HN0040</v>
      </c>
    </row>
    <row r="996" spans="1:9">
      <c r="A996" s="14" t="s">
        <v>7915</v>
      </c>
      <c r="B996" s="15" t="s">
        <v>5</v>
      </c>
      <c r="C996" s="10" t="s">
        <v>7916</v>
      </c>
      <c r="D996" s="16" t="s">
        <v>3463</v>
      </c>
      <c r="E996" s="15" t="s">
        <v>11215</v>
      </c>
      <c r="F996" s="16" t="str">
        <f>VLOOKUP(Table8[[#This Row],[Mã khách hàng]],code_khach_hang[],2,0)</f>
        <v>CHI NHÁNH HÀ NỘI - CÔNG TY CỔ PHẦN DỊCH VỤ THƯƠNG MẠI TỔNG HỢP WINCOMMERCE</v>
      </c>
      <c r="G996" s="16" t="str">
        <f>VLOOKUP(Table8[[#This Row],[Mã khách hàng]],code_khach_hang[],3,0)</f>
        <v>Miền Bắc đặc biệt 1</v>
      </c>
      <c r="H996" t="str">
        <f>VLOOKUP(Table8[[#This Row],[Mã khách hàng]],'Khách hàng'!A:D,4,0)</f>
        <v>Food Đức Việt</v>
      </c>
      <c r="I996" t="str">
        <f>VLOOKUP(Table8[[#This Row],[Mã khách hàng]],'Khách hàng'!A:E,5,0)</f>
        <v>HN0040</v>
      </c>
    </row>
    <row r="997" spans="1:9">
      <c r="A997" s="14" t="s">
        <v>5319</v>
      </c>
      <c r="B997" s="15" t="s">
        <v>5</v>
      </c>
      <c r="C997" s="10" t="s">
        <v>5320</v>
      </c>
      <c r="D997" s="16" t="s">
        <v>3466</v>
      </c>
      <c r="E997" s="15" t="s">
        <v>11215</v>
      </c>
      <c r="F997" s="16" t="str">
        <f>VLOOKUP(Table8[[#This Row],[Mã khách hàng]],code_khach_hang[],2,0)</f>
        <v>CHI NHÁNH HÀ NỘI - CÔNG TY CỔ PHẦN DỊCH VỤ THƯƠNG MẠI TỔNG HỢP WINCOMMERCE</v>
      </c>
      <c r="G997" s="16" t="str">
        <f>VLOOKUP(Table8[[#This Row],[Mã khách hàng]],code_khach_hang[],3,0)</f>
        <v>Miền Bắc đặc biệt 1</v>
      </c>
      <c r="H997" t="str">
        <f>VLOOKUP(Table8[[#This Row],[Mã khách hàng]],'Khách hàng'!A:D,4,0)</f>
        <v>Food Đức Việt</v>
      </c>
      <c r="I997" t="str">
        <f>VLOOKUP(Table8[[#This Row],[Mã khách hàng]],'Khách hàng'!A:E,5,0)</f>
        <v>HN0040</v>
      </c>
    </row>
    <row r="998" spans="1:9">
      <c r="A998" s="14" t="s">
        <v>828</v>
      </c>
      <c r="B998" s="15" t="s">
        <v>5</v>
      </c>
      <c r="C998" s="10" t="s">
        <v>829</v>
      </c>
      <c r="D998" s="16" t="s">
        <v>3469</v>
      </c>
      <c r="E998" s="15" t="s">
        <v>11215</v>
      </c>
      <c r="F998" s="16" t="str">
        <f>VLOOKUP(Table8[[#This Row],[Mã khách hàng]],code_khach_hang[],2,0)</f>
        <v>CHI NHÁNH HÀ NỘI - CÔNG TY CỔ PHẦN DỊCH VỤ THƯƠNG MẠI TỔNG HỢP WINCOMMERCE</v>
      </c>
      <c r="G998" s="16" t="str">
        <f>VLOOKUP(Table8[[#This Row],[Mã khách hàng]],code_khach_hang[],3,0)</f>
        <v>Miền Bắc đặc biệt 1</v>
      </c>
      <c r="H998" t="str">
        <f>VLOOKUP(Table8[[#This Row],[Mã khách hàng]],'Khách hàng'!A:D,4,0)</f>
        <v>Food Đức Việt</v>
      </c>
      <c r="I998" t="str">
        <f>VLOOKUP(Table8[[#This Row],[Mã khách hàng]],'Khách hàng'!A:E,5,0)</f>
        <v>HN0040</v>
      </c>
    </row>
    <row r="999" spans="1:9">
      <c r="A999" s="14" t="s">
        <v>1122</v>
      </c>
      <c r="B999" s="15" t="s">
        <v>5</v>
      </c>
      <c r="C999" s="10" t="s">
        <v>1123</v>
      </c>
      <c r="D999" s="16" t="s">
        <v>3472</v>
      </c>
      <c r="E999" s="15" t="s">
        <v>11215</v>
      </c>
      <c r="F999" s="16" t="str">
        <f>VLOOKUP(Table8[[#This Row],[Mã khách hàng]],code_khach_hang[],2,0)</f>
        <v>CHI NHÁNH HÀ NỘI - CÔNG TY CỔ PHẦN DỊCH VỤ THƯƠNG MẠI TỔNG HỢP WINCOMMERCE</v>
      </c>
      <c r="G999" s="16" t="str">
        <f>VLOOKUP(Table8[[#This Row],[Mã khách hàng]],code_khach_hang[],3,0)</f>
        <v>Miền Bắc đặc biệt 1</v>
      </c>
      <c r="H999" t="str">
        <f>VLOOKUP(Table8[[#This Row],[Mã khách hàng]],'Khách hàng'!A:D,4,0)</f>
        <v>Food Đức Việt</v>
      </c>
      <c r="I999" t="str">
        <f>VLOOKUP(Table8[[#This Row],[Mã khách hàng]],'Khách hàng'!A:E,5,0)</f>
        <v>HN0040</v>
      </c>
    </row>
    <row r="1000" spans="1:9">
      <c r="A1000" s="14" t="s">
        <v>1200</v>
      </c>
      <c r="B1000" s="15" t="s">
        <v>5</v>
      </c>
      <c r="C1000" s="10" t="s">
        <v>1201</v>
      </c>
      <c r="D1000" s="16" t="s">
        <v>3475</v>
      </c>
      <c r="E1000" s="15" t="s">
        <v>11215</v>
      </c>
      <c r="F1000" s="16" t="str">
        <f>VLOOKUP(Table8[[#This Row],[Mã khách hàng]],code_khach_hang[],2,0)</f>
        <v>CHI NHÁNH HÀ NỘI - CÔNG TY CỔ PHẦN DỊCH VỤ THƯƠNG MẠI TỔNG HỢP WINCOMMERCE</v>
      </c>
      <c r="G1000" s="16" t="str">
        <f>VLOOKUP(Table8[[#This Row],[Mã khách hàng]],code_khach_hang[],3,0)</f>
        <v>Miền Bắc đặc biệt 1</v>
      </c>
      <c r="H1000" t="str">
        <f>VLOOKUP(Table8[[#This Row],[Mã khách hàng]],'Khách hàng'!A:D,4,0)</f>
        <v>Food Đức Việt</v>
      </c>
      <c r="I1000" t="str">
        <f>VLOOKUP(Table8[[#This Row],[Mã khách hàng]],'Khách hàng'!A:E,5,0)</f>
        <v>HN0040</v>
      </c>
    </row>
    <row r="1001" spans="1:9">
      <c r="A1001" s="14" t="s">
        <v>4188</v>
      </c>
      <c r="B1001" s="15" t="s">
        <v>5</v>
      </c>
      <c r="C1001" s="10" t="s">
        <v>4189</v>
      </c>
      <c r="D1001" s="16" t="s">
        <v>3479</v>
      </c>
      <c r="E1001" s="15" t="s">
        <v>11215</v>
      </c>
      <c r="F1001" s="16" t="str">
        <f>VLOOKUP(Table8[[#This Row],[Mã khách hàng]],code_khach_hang[],2,0)</f>
        <v>CHI NHÁNH HÀ NỘI - CÔNG TY CỔ PHẦN DỊCH VỤ THƯƠNG MẠI TỔNG HỢP WINCOMMERCE</v>
      </c>
      <c r="G1001" s="16" t="str">
        <f>VLOOKUP(Table8[[#This Row],[Mã khách hàng]],code_khach_hang[],3,0)</f>
        <v>Miền Bắc đặc biệt 1</v>
      </c>
      <c r="H1001" t="str">
        <f>VLOOKUP(Table8[[#This Row],[Mã khách hàng]],'Khách hàng'!A:D,4,0)</f>
        <v>Food Đức Việt</v>
      </c>
      <c r="I1001" t="str">
        <f>VLOOKUP(Table8[[#This Row],[Mã khách hàng]],'Khách hàng'!A:E,5,0)</f>
        <v>HN0040</v>
      </c>
    </row>
    <row r="1002" spans="1:9">
      <c r="A1002" s="14" t="s">
        <v>4275</v>
      </c>
      <c r="B1002" s="15" t="s">
        <v>5</v>
      </c>
      <c r="C1002" s="10" t="s">
        <v>4276</v>
      </c>
      <c r="D1002" s="16" t="s">
        <v>3482</v>
      </c>
      <c r="E1002" s="15" t="s">
        <v>11215</v>
      </c>
      <c r="F1002" s="16" t="str">
        <f>VLOOKUP(Table8[[#This Row],[Mã khách hàng]],code_khach_hang[],2,0)</f>
        <v>CHI NHÁNH HÀ NỘI - CÔNG TY CỔ PHẦN DỊCH VỤ THƯƠNG MẠI TỔNG HỢP WINCOMMERCE</v>
      </c>
      <c r="G1002" s="16" t="str">
        <f>VLOOKUP(Table8[[#This Row],[Mã khách hàng]],code_khach_hang[],3,0)</f>
        <v>Miền Bắc đặc biệt 1</v>
      </c>
      <c r="H1002" t="str">
        <f>VLOOKUP(Table8[[#This Row],[Mã khách hàng]],'Khách hàng'!A:D,4,0)</f>
        <v>Food Đức Việt</v>
      </c>
      <c r="I1002" t="str">
        <f>VLOOKUP(Table8[[#This Row],[Mã khách hàng]],'Khách hàng'!A:E,5,0)</f>
        <v>HN0040</v>
      </c>
    </row>
    <row r="1003" spans="1:9">
      <c r="A1003" s="14" t="s">
        <v>4290</v>
      </c>
      <c r="B1003" s="15" t="s">
        <v>5</v>
      </c>
      <c r="C1003" s="10" t="s">
        <v>4291</v>
      </c>
      <c r="D1003" s="16" t="s">
        <v>3484</v>
      </c>
      <c r="E1003" s="15" t="s">
        <v>11215</v>
      </c>
      <c r="F1003" s="16" t="str">
        <f>VLOOKUP(Table8[[#This Row],[Mã khách hàng]],code_khach_hang[],2,0)</f>
        <v>CHI NHÁNH HÀ NỘI - CÔNG TY CỔ PHẦN DỊCH VỤ THƯƠNG MẠI TỔNG HỢP WINCOMMERCE</v>
      </c>
      <c r="G1003" s="16" t="str">
        <f>VLOOKUP(Table8[[#This Row],[Mã khách hàng]],code_khach_hang[],3,0)</f>
        <v>Miền Bắc đặc biệt 1</v>
      </c>
      <c r="H1003" t="str">
        <f>VLOOKUP(Table8[[#This Row],[Mã khách hàng]],'Khách hàng'!A:D,4,0)</f>
        <v>Food Đức Việt</v>
      </c>
      <c r="I1003" t="str">
        <f>VLOOKUP(Table8[[#This Row],[Mã khách hàng]],'Khách hàng'!A:E,5,0)</f>
        <v>HN0040</v>
      </c>
    </row>
    <row r="1004" spans="1:9">
      <c r="A1004" s="14" t="s">
        <v>4425</v>
      </c>
      <c r="B1004" s="15" t="s">
        <v>5</v>
      </c>
      <c r="C1004" s="10" t="s">
        <v>4426</v>
      </c>
      <c r="D1004" s="16" t="s">
        <v>3487</v>
      </c>
      <c r="E1004" s="15" t="s">
        <v>11215</v>
      </c>
      <c r="F1004" s="16" t="str">
        <f>VLOOKUP(Table8[[#This Row],[Mã khách hàng]],code_khach_hang[],2,0)</f>
        <v>CHI NHÁNH HÀ NỘI - CÔNG TY CỔ PHẦN DỊCH VỤ THƯƠNG MẠI TỔNG HỢP WINCOMMERCE</v>
      </c>
      <c r="G1004" s="16" t="str">
        <f>VLOOKUP(Table8[[#This Row],[Mã khách hàng]],code_khach_hang[],3,0)</f>
        <v>Miền Bắc đặc biệt 1</v>
      </c>
      <c r="H1004" t="str">
        <f>VLOOKUP(Table8[[#This Row],[Mã khách hàng]],'Khách hàng'!A:D,4,0)</f>
        <v>Food Đức Việt</v>
      </c>
      <c r="I1004" t="str">
        <f>VLOOKUP(Table8[[#This Row],[Mã khách hàng]],'Khách hàng'!A:E,5,0)</f>
        <v>HN0040</v>
      </c>
    </row>
    <row r="1005" spans="1:9">
      <c r="A1005" s="14" t="s">
        <v>4575</v>
      </c>
      <c r="B1005" s="15" t="s">
        <v>5</v>
      </c>
      <c r="C1005" s="10" t="s">
        <v>4576</v>
      </c>
      <c r="D1005" s="16" t="s">
        <v>3490</v>
      </c>
      <c r="E1005" s="15" t="s">
        <v>11215</v>
      </c>
      <c r="F1005" s="16" t="str">
        <f>VLOOKUP(Table8[[#This Row],[Mã khách hàng]],code_khach_hang[],2,0)</f>
        <v>CHI NHÁNH HÀ NỘI - CÔNG TY CỔ PHẦN DỊCH VỤ THƯƠNG MẠI TỔNG HỢP WINCOMMERCE</v>
      </c>
      <c r="G1005" s="16" t="str">
        <f>VLOOKUP(Table8[[#This Row],[Mã khách hàng]],code_khach_hang[],3,0)</f>
        <v>Miền Bắc đặc biệt 1</v>
      </c>
      <c r="H1005" t="str">
        <f>VLOOKUP(Table8[[#This Row],[Mã khách hàng]],'Khách hàng'!A:D,4,0)</f>
        <v>Food Đức Việt</v>
      </c>
      <c r="I1005" t="str">
        <f>VLOOKUP(Table8[[#This Row],[Mã khách hàng]],'Khách hàng'!A:E,5,0)</f>
        <v>HN0040</v>
      </c>
    </row>
    <row r="1006" spans="1:9">
      <c r="A1006" s="14" t="s">
        <v>4623</v>
      </c>
      <c r="B1006" s="15" t="s">
        <v>5</v>
      </c>
      <c r="C1006" s="10" t="s">
        <v>4624</v>
      </c>
      <c r="D1006" s="16" t="s">
        <v>3493</v>
      </c>
      <c r="E1006" s="15" t="s">
        <v>11215</v>
      </c>
      <c r="F1006" s="16" t="str">
        <f>VLOOKUP(Table8[[#This Row],[Mã khách hàng]],code_khach_hang[],2,0)</f>
        <v>CHI NHÁNH HÀ NỘI - CÔNG TY CỔ PHẦN DỊCH VỤ THƯƠNG MẠI TỔNG HỢP WINCOMMERCE</v>
      </c>
      <c r="G1006" s="16" t="str">
        <f>VLOOKUP(Table8[[#This Row],[Mã khách hàng]],code_khach_hang[],3,0)</f>
        <v>Miền Bắc đặc biệt 1</v>
      </c>
      <c r="H1006" t="str">
        <f>VLOOKUP(Table8[[#This Row],[Mã khách hàng]],'Khách hàng'!A:D,4,0)</f>
        <v>Food Đức Việt</v>
      </c>
      <c r="I1006" t="str">
        <f>VLOOKUP(Table8[[#This Row],[Mã khách hàng]],'Khách hàng'!A:E,5,0)</f>
        <v>HN0040</v>
      </c>
    </row>
    <row r="1007" spans="1:9">
      <c r="A1007" s="14" t="s">
        <v>4695</v>
      </c>
      <c r="B1007" s="15" t="s">
        <v>5</v>
      </c>
      <c r="C1007" s="10" t="s">
        <v>4696</v>
      </c>
      <c r="D1007" s="16" t="s">
        <v>3496</v>
      </c>
      <c r="E1007" s="15" t="s">
        <v>11215</v>
      </c>
      <c r="F1007" s="16" t="str">
        <f>VLOOKUP(Table8[[#This Row],[Mã khách hàng]],code_khach_hang[],2,0)</f>
        <v>CHI NHÁNH HÀ NỘI - CÔNG TY CỔ PHẦN DỊCH VỤ THƯƠNG MẠI TỔNG HỢP WINCOMMERCE</v>
      </c>
      <c r="G1007" s="16" t="str">
        <f>VLOOKUP(Table8[[#This Row],[Mã khách hàng]],code_khach_hang[],3,0)</f>
        <v>Miền Bắc đặc biệt 1</v>
      </c>
      <c r="H1007" t="str">
        <f>VLOOKUP(Table8[[#This Row],[Mã khách hàng]],'Khách hàng'!A:D,4,0)</f>
        <v>Food Đức Việt</v>
      </c>
      <c r="I1007" t="str">
        <f>VLOOKUP(Table8[[#This Row],[Mã khách hàng]],'Khách hàng'!A:E,5,0)</f>
        <v>HN0040</v>
      </c>
    </row>
    <row r="1008" spans="1:9">
      <c r="A1008" s="14" t="s">
        <v>5199</v>
      </c>
      <c r="B1008" s="15" t="s">
        <v>5</v>
      </c>
      <c r="C1008" s="10" t="s">
        <v>5200</v>
      </c>
      <c r="D1008" s="16" t="s">
        <v>3499</v>
      </c>
      <c r="E1008" s="15" t="s">
        <v>11215</v>
      </c>
      <c r="F1008" s="16" t="str">
        <f>VLOOKUP(Table8[[#This Row],[Mã khách hàng]],code_khach_hang[],2,0)</f>
        <v>CHI NHÁNH HÀ NỘI - CÔNG TY CỔ PHẦN DỊCH VỤ THƯƠNG MẠI TỔNG HỢP WINCOMMERCE</v>
      </c>
      <c r="G1008" s="16" t="str">
        <f>VLOOKUP(Table8[[#This Row],[Mã khách hàng]],code_khach_hang[],3,0)</f>
        <v>Miền Bắc đặc biệt 1</v>
      </c>
      <c r="H1008" t="str">
        <f>VLOOKUP(Table8[[#This Row],[Mã khách hàng]],'Khách hàng'!A:D,4,0)</f>
        <v>Food Đức Việt</v>
      </c>
      <c r="I1008" t="str">
        <f>VLOOKUP(Table8[[#This Row],[Mã khách hàng]],'Khách hàng'!A:E,5,0)</f>
        <v>HN0040</v>
      </c>
    </row>
    <row r="1009" spans="1:9">
      <c r="A1009" s="14" t="s">
        <v>5241</v>
      </c>
      <c r="B1009" s="15" t="s">
        <v>5</v>
      </c>
      <c r="C1009" s="10" t="s">
        <v>5242</v>
      </c>
      <c r="D1009" s="16" t="s">
        <v>3502</v>
      </c>
      <c r="E1009" s="15" t="s">
        <v>11215</v>
      </c>
      <c r="F1009" s="16" t="str">
        <f>VLOOKUP(Table8[[#This Row],[Mã khách hàng]],code_khach_hang[],2,0)</f>
        <v>CHI NHÁNH HÀ NỘI - CÔNG TY CỔ PHẦN DỊCH VỤ THƯƠNG MẠI TỔNG HỢP WINCOMMERCE</v>
      </c>
      <c r="G1009" s="16" t="str">
        <f>VLOOKUP(Table8[[#This Row],[Mã khách hàng]],code_khach_hang[],3,0)</f>
        <v>Miền Bắc đặc biệt 1</v>
      </c>
      <c r="H1009" t="str">
        <f>VLOOKUP(Table8[[#This Row],[Mã khách hàng]],'Khách hàng'!A:D,4,0)</f>
        <v>Food Đức Việt</v>
      </c>
      <c r="I1009" t="str">
        <f>VLOOKUP(Table8[[#This Row],[Mã khách hàng]],'Khách hàng'!A:E,5,0)</f>
        <v>HN0040</v>
      </c>
    </row>
    <row r="1010" spans="1:9">
      <c r="A1010" s="14" t="s">
        <v>5322</v>
      </c>
      <c r="B1010" s="15" t="s">
        <v>5</v>
      </c>
      <c r="C1010" s="10" t="s">
        <v>5323</v>
      </c>
      <c r="D1010" s="16" t="s">
        <v>3505</v>
      </c>
      <c r="E1010" s="15" t="s">
        <v>11215</v>
      </c>
      <c r="F1010" s="16" t="str">
        <f>VLOOKUP(Table8[[#This Row],[Mã khách hàng]],code_khach_hang[],2,0)</f>
        <v>CHI NHÁNH HÀ NỘI - CÔNG TY CỔ PHẦN DỊCH VỤ THƯƠNG MẠI TỔNG HỢP WINCOMMERCE</v>
      </c>
      <c r="G1010" s="16" t="str">
        <f>VLOOKUP(Table8[[#This Row],[Mã khách hàng]],code_khach_hang[],3,0)</f>
        <v>Miền Bắc đặc biệt 1</v>
      </c>
      <c r="H1010" t="str">
        <f>VLOOKUP(Table8[[#This Row],[Mã khách hàng]],'Khách hàng'!A:D,4,0)</f>
        <v>Food Đức Việt</v>
      </c>
      <c r="I1010" t="str">
        <f>VLOOKUP(Table8[[#This Row],[Mã khách hàng]],'Khách hàng'!A:E,5,0)</f>
        <v>HN0040</v>
      </c>
    </row>
    <row r="1011" spans="1:9">
      <c r="A1011" s="14" t="s">
        <v>5412</v>
      </c>
      <c r="B1011" s="15" t="s">
        <v>5</v>
      </c>
      <c r="C1011" s="10" t="s">
        <v>5413</v>
      </c>
      <c r="D1011" s="16" t="s">
        <v>3508</v>
      </c>
      <c r="E1011" s="15" t="s">
        <v>11215</v>
      </c>
      <c r="F1011" s="16" t="str">
        <f>VLOOKUP(Table8[[#This Row],[Mã khách hàng]],code_khach_hang[],2,0)</f>
        <v>CHI NHÁNH HÀ NỘI - CÔNG TY CỔ PHẦN DỊCH VỤ THƯƠNG MẠI TỔNG HỢP WINCOMMERCE</v>
      </c>
      <c r="G1011" s="16" t="str">
        <f>VLOOKUP(Table8[[#This Row],[Mã khách hàng]],code_khach_hang[],3,0)</f>
        <v>Miền Bắc đặc biệt 1</v>
      </c>
      <c r="H1011" t="str">
        <f>VLOOKUP(Table8[[#This Row],[Mã khách hàng]],'Khách hàng'!A:D,4,0)</f>
        <v>Food Đức Việt</v>
      </c>
      <c r="I1011" t="str">
        <f>VLOOKUP(Table8[[#This Row],[Mã khách hàng]],'Khách hàng'!A:E,5,0)</f>
        <v>HN0040</v>
      </c>
    </row>
    <row r="1012" spans="1:9">
      <c r="A1012" s="14" t="s">
        <v>5857</v>
      </c>
      <c r="B1012" s="15" t="s">
        <v>5</v>
      </c>
      <c r="C1012" s="10" t="s">
        <v>5858</v>
      </c>
      <c r="D1012" s="16" t="s">
        <v>3511</v>
      </c>
      <c r="E1012" s="15" t="s">
        <v>11215</v>
      </c>
      <c r="F1012" s="16" t="str">
        <f>VLOOKUP(Table8[[#This Row],[Mã khách hàng]],code_khach_hang[],2,0)</f>
        <v>CHI NHÁNH HÀ NỘI - CÔNG TY CỔ PHẦN DỊCH VỤ THƯƠNG MẠI TỔNG HỢP WINCOMMERCE</v>
      </c>
      <c r="G1012" s="16" t="str">
        <f>VLOOKUP(Table8[[#This Row],[Mã khách hàng]],code_khach_hang[],3,0)</f>
        <v>Miền Bắc đặc biệt 1</v>
      </c>
      <c r="H1012" t="str">
        <f>VLOOKUP(Table8[[#This Row],[Mã khách hàng]],'Khách hàng'!A:D,4,0)</f>
        <v>Food Đức Việt</v>
      </c>
      <c r="I1012" t="str">
        <f>VLOOKUP(Table8[[#This Row],[Mã khách hàng]],'Khách hàng'!A:E,5,0)</f>
        <v>HN0040</v>
      </c>
    </row>
    <row r="1013" spans="1:9">
      <c r="A1013" s="14" t="s">
        <v>6836</v>
      </c>
      <c r="B1013" s="15" t="s">
        <v>5</v>
      </c>
      <c r="C1013" s="10" t="s">
        <v>6837</v>
      </c>
      <c r="D1013" s="16" t="s">
        <v>3514</v>
      </c>
      <c r="E1013" s="15" t="s">
        <v>11215</v>
      </c>
      <c r="F1013" s="16" t="str">
        <f>VLOOKUP(Table8[[#This Row],[Mã khách hàng]],code_khach_hang[],2,0)</f>
        <v>CHI NHÁNH HÀ NỘI - CÔNG TY CỔ PHẦN DỊCH VỤ THƯƠNG MẠI TỔNG HỢP WINCOMMERCE</v>
      </c>
      <c r="G1013" s="16" t="str">
        <f>VLOOKUP(Table8[[#This Row],[Mã khách hàng]],code_khach_hang[],3,0)</f>
        <v>Miền Bắc đặc biệt 1</v>
      </c>
      <c r="H1013" t="str">
        <f>VLOOKUP(Table8[[#This Row],[Mã khách hàng]],'Khách hàng'!A:D,4,0)</f>
        <v>Food Đức Việt</v>
      </c>
      <c r="I1013" t="str">
        <f>VLOOKUP(Table8[[#This Row],[Mã khách hàng]],'Khách hàng'!A:E,5,0)</f>
        <v>HN0040</v>
      </c>
    </row>
    <row r="1014" spans="1:9">
      <c r="A1014" s="14" t="s">
        <v>7443</v>
      </c>
      <c r="B1014" s="15" t="s">
        <v>5</v>
      </c>
      <c r="C1014" s="10" t="s">
        <v>7444</v>
      </c>
      <c r="D1014" s="16" t="s">
        <v>3517</v>
      </c>
      <c r="E1014" s="15" t="s">
        <v>11215</v>
      </c>
      <c r="F1014" s="16" t="str">
        <f>VLOOKUP(Table8[[#This Row],[Mã khách hàng]],code_khach_hang[],2,0)</f>
        <v>CHI NHÁNH HÀ NỘI - CÔNG TY CỔ PHẦN DỊCH VỤ THƯƠNG MẠI TỔNG HỢP WINCOMMERCE</v>
      </c>
      <c r="G1014" s="16" t="str">
        <f>VLOOKUP(Table8[[#This Row],[Mã khách hàng]],code_khach_hang[],3,0)</f>
        <v>Miền Bắc đặc biệt 1</v>
      </c>
      <c r="H1014" t="str">
        <f>VLOOKUP(Table8[[#This Row],[Mã khách hàng]],'Khách hàng'!A:D,4,0)</f>
        <v>Food Đức Việt</v>
      </c>
      <c r="I1014" t="str">
        <f>VLOOKUP(Table8[[#This Row],[Mã khách hàng]],'Khách hàng'!A:E,5,0)</f>
        <v>HN0040</v>
      </c>
    </row>
    <row r="1015" spans="1:9">
      <c r="A1015" s="14" t="s">
        <v>7535</v>
      </c>
      <c r="B1015" s="15" t="s">
        <v>5</v>
      </c>
      <c r="C1015" s="10" t="s">
        <v>7536</v>
      </c>
      <c r="D1015" s="16" t="s">
        <v>3519</v>
      </c>
      <c r="E1015" s="15" t="s">
        <v>11215</v>
      </c>
      <c r="F1015" s="16" t="str">
        <f>VLOOKUP(Table8[[#This Row],[Mã khách hàng]],code_khach_hang[],2,0)</f>
        <v>CHI NHÁNH HÀ NỘI - CÔNG TY CỔ PHẦN DỊCH VỤ THƯƠNG MẠI TỔNG HỢP WINCOMMERCE</v>
      </c>
      <c r="G1015" s="16" t="str">
        <f>VLOOKUP(Table8[[#This Row],[Mã khách hàng]],code_khach_hang[],3,0)</f>
        <v>Miền Bắc đặc biệt 1</v>
      </c>
      <c r="H1015" t="str">
        <f>VLOOKUP(Table8[[#This Row],[Mã khách hàng]],'Khách hàng'!A:D,4,0)</f>
        <v>Food Đức Việt</v>
      </c>
      <c r="I1015" t="str">
        <f>VLOOKUP(Table8[[#This Row],[Mã khách hàng]],'Khách hàng'!A:E,5,0)</f>
        <v>HN0040</v>
      </c>
    </row>
    <row r="1016" spans="1:9">
      <c r="A1016" s="14" t="s">
        <v>7604</v>
      </c>
      <c r="B1016" s="15" t="s">
        <v>5</v>
      </c>
      <c r="C1016" s="10" t="s">
        <v>7605</v>
      </c>
      <c r="D1016" s="16" t="s">
        <v>3522</v>
      </c>
      <c r="E1016" s="15" t="s">
        <v>11215</v>
      </c>
      <c r="F1016" s="16" t="str">
        <f>VLOOKUP(Table8[[#This Row],[Mã khách hàng]],code_khach_hang[],2,0)</f>
        <v>CHI NHÁNH HÀ NỘI - CÔNG TY CỔ PHẦN DỊCH VỤ THƯƠNG MẠI TỔNG HỢP WINCOMMERCE</v>
      </c>
      <c r="G1016" s="16" t="str">
        <f>VLOOKUP(Table8[[#This Row],[Mã khách hàng]],code_khach_hang[],3,0)</f>
        <v>Miền Bắc đặc biệt 1</v>
      </c>
      <c r="H1016" t="str">
        <f>VLOOKUP(Table8[[#This Row],[Mã khách hàng]],'Khách hàng'!A:D,4,0)</f>
        <v>Food Đức Việt</v>
      </c>
      <c r="I1016" t="str">
        <f>VLOOKUP(Table8[[#This Row],[Mã khách hàng]],'Khách hàng'!A:E,5,0)</f>
        <v>HN0040</v>
      </c>
    </row>
    <row r="1017" spans="1:9">
      <c r="A1017" s="14" t="s">
        <v>8079</v>
      </c>
      <c r="B1017" s="15" t="s">
        <v>5</v>
      </c>
      <c r="C1017" s="10" t="s">
        <v>8080</v>
      </c>
      <c r="D1017" s="16" t="s">
        <v>3524</v>
      </c>
      <c r="E1017" s="15" t="s">
        <v>11215</v>
      </c>
      <c r="F1017" s="16" t="str">
        <f>VLOOKUP(Table8[[#This Row],[Mã khách hàng]],code_khach_hang[],2,0)</f>
        <v>CHI NHÁNH HÀ NỘI - CÔNG TY CỔ PHẦN DỊCH VỤ THƯƠNG MẠI TỔNG HỢP WINCOMMERCE</v>
      </c>
      <c r="G1017" s="16" t="str">
        <f>VLOOKUP(Table8[[#This Row],[Mã khách hàng]],code_khach_hang[],3,0)</f>
        <v>Miền Bắc đặc biệt 1</v>
      </c>
      <c r="H1017" t="str">
        <f>VLOOKUP(Table8[[#This Row],[Mã khách hàng]],'Khách hàng'!A:D,4,0)</f>
        <v>Food Đức Việt</v>
      </c>
      <c r="I1017" t="str">
        <f>VLOOKUP(Table8[[#This Row],[Mã khách hàng]],'Khách hàng'!A:E,5,0)</f>
        <v>HN0040</v>
      </c>
    </row>
    <row r="1018" spans="1:9">
      <c r="A1018" s="14" t="s">
        <v>6713</v>
      </c>
      <c r="B1018" s="15" t="s">
        <v>5</v>
      </c>
      <c r="C1018" s="10" t="s">
        <v>6714</v>
      </c>
      <c r="D1018" s="16" t="s">
        <v>3527</v>
      </c>
      <c r="E1018" s="15" t="s">
        <v>11215</v>
      </c>
      <c r="F1018" s="16" t="str">
        <f>VLOOKUP(Table8[[#This Row],[Mã khách hàng]],code_khach_hang[],2,0)</f>
        <v>CHI NHÁNH HÀ NỘI - CÔNG TY CỔ PHẦN DỊCH VỤ THƯƠNG MẠI TỔNG HỢP WINCOMMERCE</v>
      </c>
      <c r="G1018" s="16" t="str">
        <f>VLOOKUP(Table8[[#This Row],[Mã khách hàng]],code_khach_hang[],3,0)</f>
        <v>Miền Bắc đặc biệt 1</v>
      </c>
      <c r="H1018" t="str">
        <f>VLOOKUP(Table8[[#This Row],[Mã khách hàng]],'Khách hàng'!A:D,4,0)</f>
        <v>Food Đức Việt</v>
      </c>
      <c r="I1018" t="str">
        <f>VLOOKUP(Table8[[#This Row],[Mã khách hàng]],'Khách hàng'!A:E,5,0)</f>
        <v>HN0040</v>
      </c>
    </row>
    <row r="1019" spans="1:9">
      <c r="A1019" s="14" t="s">
        <v>8103</v>
      </c>
      <c r="B1019" s="15" t="s">
        <v>5</v>
      </c>
      <c r="C1019" s="10" t="s">
        <v>8104</v>
      </c>
      <c r="D1019" s="16" t="s">
        <v>3530</v>
      </c>
      <c r="E1019" s="15" t="s">
        <v>11215</v>
      </c>
      <c r="F1019" s="16" t="str">
        <f>VLOOKUP(Table8[[#This Row],[Mã khách hàng]],code_khach_hang[],2,0)</f>
        <v>CHI NHÁNH HÀ NỘI - CÔNG TY CỔ PHẦN DỊCH VỤ THƯƠNG MẠI TỔNG HỢP WINCOMMERCE</v>
      </c>
      <c r="G1019" s="16" t="str">
        <f>VLOOKUP(Table8[[#This Row],[Mã khách hàng]],code_khach_hang[],3,0)</f>
        <v>Miền Bắc đặc biệt 1</v>
      </c>
      <c r="H1019" t="str">
        <f>VLOOKUP(Table8[[#This Row],[Mã khách hàng]],'Khách hàng'!A:D,4,0)</f>
        <v>Food Đức Việt</v>
      </c>
      <c r="I1019" t="str">
        <f>VLOOKUP(Table8[[#This Row],[Mã khách hàng]],'Khách hàng'!A:E,5,0)</f>
        <v>HN0040</v>
      </c>
    </row>
    <row r="1020" spans="1:9">
      <c r="A1020" s="14" t="s">
        <v>6656</v>
      </c>
      <c r="B1020" s="15" t="s">
        <v>5</v>
      </c>
      <c r="C1020" s="10" t="s">
        <v>6657</v>
      </c>
      <c r="D1020" s="16" t="s">
        <v>3533</v>
      </c>
      <c r="E1020" s="15" t="s">
        <v>11215</v>
      </c>
      <c r="F1020" s="16" t="str">
        <f>VLOOKUP(Table8[[#This Row],[Mã khách hàng]],code_khach_hang[],2,0)</f>
        <v>CHI NHÁNH HÀ NỘI - CÔNG TY CỔ PHẦN DỊCH VỤ THƯƠNG MẠI TỔNG HỢP WINCOMMERCE</v>
      </c>
      <c r="G1020" s="16" t="str">
        <f>VLOOKUP(Table8[[#This Row],[Mã khách hàng]],code_khach_hang[],3,0)</f>
        <v>Miền Bắc đặc biệt 1</v>
      </c>
      <c r="H1020" t="str">
        <f>VLOOKUP(Table8[[#This Row],[Mã khách hàng]],'Khách hàng'!A:D,4,0)</f>
        <v>Food Đức Việt</v>
      </c>
      <c r="I1020" t="str">
        <f>VLOOKUP(Table8[[#This Row],[Mã khách hàng]],'Khách hàng'!A:E,5,0)</f>
        <v>HN0040</v>
      </c>
    </row>
    <row r="1021" spans="1:9">
      <c r="A1021" s="14" t="s">
        <v>6728</v>
      </c>
      <c r="B1021" s="15" t="s">
        <v>5</v>
      </c>
      <c r="C1021" s="10" t="s">
        <v>6729</v>
      </c>
      <c r="D1021" s="16" t="s">
        <v>3536</v>
      </c>
      <c r="E1021" s="15" t="s">
        <v>11215</v>
      </c>
      <c r="F1021" s="16" t="str">
        <f>VLOOKUP(Table8[[#This Row],[Mã khách hàng]],code_khach_hang[],2,0)</f>
        <v>CHI NHÁNH HÀ NỘI - CÔNG TY CỔ PHẦN DỊCH VỤ THƯƠNG MẠI TỔNG HỢP WINCOMMERCE</v>
      </c>
      <c r="G1021" s="16" t="str">
        <f>VLOOKUP(Table8[[#This Row],[Mã khách hàng]],code_khach_hang[],3,0)</f>
        <v>Miền Bắc đặc biệt 1</v>
      </c>
      <c r="H1021" t="str">
        <f>VLOOKUP(Table8[[#This Row],[Mã khách hàng]],'Khách hàng'!A:D,4,0)</f>
        <v>Food Đức Việt</v>
      </c>
      <c r="I1021" t="str">
        <f>VLOOKUP(Table8[[#This Row],[Mã khách hàng]],'Khách hàng'!A:E,5,0)</f>
        <v>HN0040</v>
      </c>
    </row>
    <row r="1022" spans="1:9">
      <c r="A1022" s="14" t="s">
        <v>7676</v>
      </c>
      <c r="B1022" s="15" t="s">
        <v>5</v>
      </c>
      <c r="C1022" s="10" t="s">
        <v>7677</v>
      </c>
      <c r="D1022" s="16" t="s">
        <v>3539</v>
      </c>
      <c r="E1022" s="15" t="s">
        <v>11215</v>
      </c>
      <c r="F1022" s="16" t="str">
        <f>VLOOKUP(Table8[[#This Row],[Mã khách hàng]],code_khach_hang[],2,0)</f>
        <v>CHI NHÁNH HÀ NỘI - CÔNG TY CỔ PHẦN DỊCH VỤ THƯƠNG MẠI TỔNG HỢP WINCOMMERCE</v>
      </c>
      <c r="G1022" s="16" t="str">
        <f>VLOOKUP(Table8[[#This Row],[Mã khách hàng]],code_khach_hang[],3,0)</f>
        <v>Miền Bắc đặc biệt 1</v>
      </c>
      <c r="H1022" t="str">
        <f>VLOOKUP(Table8[[#This Row],[Mã khách hàng]],'Khách hàng'!A:D,4,0)</f>
        <v>Food Đức Việt</v>
      </c>
      <c r="I1022" t="str">
        <f>VLOOKUP(Table8[[#This Row],[Mã khách hàng]],'Khách hàng'!A:E,5,0)</f>
        <v>HN0040</v>
      </c>
    </row>
    <row r="1023" spans="1:9">
      <c r="A1023" s="14" t="s">
        <v>8358</v>
      </c>
      <c r="B1023" s="15" t="s">
        <v>5</v>
      </c>
      <c r="C1023" s="10" t="s">
        <v>8359</v>
      </c>
      <c r="D1023" s="16" t="s">
        <v>3542</v>
      </c>
      <c r="E1023" s="15" t="s">
        <v>11215</v>
      </c>
      <c r="F1023" s="16" t="str">
        <f>VLOOKUP(Table8[[#This Row],[Mã khách hàng]],code_khach_hang[],2,0)</f>
        <v>CHI NHÁNH HÀ NỘI - CÔNG TY CỔ PHẦN DỊCH VỤ THƯƠNG MẠI TỔNG HỢP WINCOMMERCE</v>
      </c>
      <c r="G1023" s="16" t="str">
        <f>VLOOKUP(Table8[[#This Row],[Mã khách hàng]],code_khach_hang[],3,0)</f>
        <v>Miền Bắc đặc biệt 1</v>
      </c>
      <c r="H1023" t="str">
        <f>VLOOKUP(Table8[[#This Row],[Mã khách hàng]],'Khách hàng'!A:D,4,0)</f>
        <v>Food Đức Việt</v>
      </c>
      <c r="I1023" t="str">
        <f>VLOOKUP(Table8[[#This Row],[Mã khách hàng]],'Khách hàng'!A:E,5,0)</f>
        <v>HN0040</v>
      </c>
    </row>
    <row r="1024" spans="1:9">
      <c r="A1024" s="14" t="s">
        <v>8346</v>
      </c>
      <c r="B1024" s="15" t="s">
        <v>5</v>
      </c>
      <c r="C1024" s="10" t="s">
        <v>8347</v>
      </c>
      <c r="D1024" s="16" t="s">
        <v>3545</v>
      </c>
      <c r="E1024" s="15" t="s">
        <v>11215</v>
      </c>
      <c r="F1024" s="16" t="str">
        <f>VLOOKUP(Table8[[#This Row],[Mã khách hàng]],code_khach_hang[],2,0)</f>
        <v>CHI NHÁNH HÀ NỘI - CÔNG TY CỔ PHẦN DỊCH VỤ THƯƠNG MẠI TỔNG HỢP WINCOMMERCE</v>
      </c>
      <c r="G1024" s="16" t="str">
        <f>VLOOKUP(Table8[[#This Row],[Mã khách hàng]],code_khach_hang[],3,0)</f>
        <v>Miền Bắc đặc biệt 1</v>
      </c>
      <c r="H1024" t="str">
        <f>VLOOKUP(Table8[[#This Row],[Mã khách hàng]],'Khách hàng'!A:D,4,0)</f>
        <v>Food Đức Việt</v>
      </c>
      <c r="I1024" t="str">
        <f>VLOOKUP(Table8[[#This Row],[Mã khách hàng]],'Khách hàng'!A:E,5,0)</f>
        <v>HN0040</v>
      </c>
    </row>
    <row r="1025" spans="1:9">
      <c r="A1025" s="14" t="s">
        <v>8547</v>
      </c>
      <c r="B1025" s="15" t="s">
        <v>5</v>
      </c>
      <c r="C1025" s="10" t="s">
        <v>8548</v>
      </c>
      <c r="D1025" s="16" t="s">
        <v>3547</v>
      </c>
      <c r="E1025" s="15" t="s">
        <v>11215</v>
      </c>
      <c r="F1025" s="16" t="str">
        <f>VLOOKUP(Table8[[#This Row],[Mã khách hàng]],code_khach_hang[],2,0)</f>
        <v>CHI NHÁNH HÀ NỘI - CÔNG TY CỔ PHẦN DỊCH VỤ THƯƠNG MẠI TỔNG HỢP WINCOMMERCE</v>
      </c>
      <c r="G1025" s="16" t="str">
        <f>VLOOKUP(Table8[[#This Row],[Mã khách hàng]],code_khach_hang[],3,0)</f>
        <v>Miền Bắc đặc biệt 1</v>
      </c>
      <c r="H1025" t="str">
        <f>VLOOKUP(Table8[[#This Row],[Mã khách hàng]],'Khách hàng'!A:D,4,0)</f>
        <v>Food Đức Việt</v>
      </c>
      <c r="I1025" t="str">
        <f>VLOOKUP(Table8[[#This Row],[Mã khách hàng]],'Khách hàng'!A:E,5,0)</f>
        <v>HN0040</v>
      </c>
    </row>
    <row r="1026" spans="1:9">
      <c r="A1026" s="14" t="s">
        <v>8714</v>
      </c>
      <c r="B1026" s="15" t="s">
        <v>5</v>
      </c>
      <c r="C1026" s="10" t="s">
        <v>8715</v>
      </c>
      <c r="D1026" s="16" t="s">
        <v>3550</v>
      </c>
      <c r="E1026" s="15" t="s">
        <v>11215</v>
      </c>
      <c r="F1026" s="16" t="str">
        <f>VLOOKUP(Table8[[#This Row],[Mã khách hàng]],code_khach_hang[],2,0)</f>
        <v>CHI NHÁNH HÀ NỘI - CÔNG TY CỔ PHẦN DỊCH VỤ THƯƠNG MẠI TỔNG HỢP WINCOMMERCE</v>
      </c>
      <c r="G1026" s="16" t="str">
        <f>VLOOKUP(Table8[[#This Row],[Mã khách hàng]],code_khach_hang[],3,0)</f>
        <v>Miền Bắc đặc biệt 1</v>
      </c>
      <c r="H1026" t="str">
        <f>VLOOKUP(Table8[[#This Row],[Mã khách hàng]],'Khách hàng'!A:D,4,0)</f>
        <v>Food Đức Việt</v>
      </c>
      <c r="I1026" t="str">
        <f>VLOOKUP(Table8[[#This Row],[Mã khách hàng]],'Khách hàng'!A:E,5,0)</f>
        <v>HN0040</v>
      </c>
    </row>
    <row r="1027" spans="1:9">
      <c r="A1027" s="14" t="s">
        <v>8965</v>
      </c>
      <c r="B1027" s="15" t="s">
        <v>5</v>
      </c>
      <c r="C1027" s="10" t="s">
        <v>8966</v>
      </c>
      <c r="D1027" s="16" t="s">
        <v>3553</v>
      </c>
      <c r="E1027" s="15" t="s">
        <v>11215</v>
      </c>
      <c r="F1027" s="16" t="str">
        <f>VLOOKUP(Table8[[#This Row],[Mã khách hàng]],code_khach_hang[],2,0)</f>
        <v>CHI NHÁNH HÀ NỘI - CÔNG TY CỔ PHẦN DỊCH VỤ THƯƠNG MẠI TỔNG HỢP WINCOMMERCE</v>
      </c>
      <c r="G1027" s="16" t="str">
        <f>VLOOKUP(Table8[[#This Row],[Mã khách hàng]],code_khach_hang[],3,0)</f>
        <v>Miền Bắc đặc biệt 1</v>
      </c>
      <c r="H1027" t="str">
        <f>VLOOKUP(Table8[[#This Row],[Mã khách hàng]],'Khách hàng'!A:D,4,0)</f>
        <v>Food Đức Việt</v>
      </c>
      <c r="I1027" t="str">
        <f>VLOOKUP(Table8[[#This Row],[Mã khách hàng]],'Khách hàng'!A:E,5,0)</f>
        <v>HN0040</v>
      </c>
    </row>
    <row r="1028" spans="1:9">
      <c r="A1028" s="14" t="s">
        <v>9007</v>
      </c>
      <c r="B1028" s="15" t="s">
        <v>5</v>
      </c>
      <c r="C1028" s="10" t="s">
        <v>9008</v>
      </c>
      <c r="D1028" s="16" t="s">
        <v>3556</v>
      </c>
      <c r="E1028" s="15" t="s">
        <v>11215</v>
      </c>
      <c r="F1028" s="16" t="str">
        <f>VLOOKUP(Table8[[#This Row],[Mã khách hàng]],code_khach_hang[],2,0)</f>
        <v>CHI NHÁNH HÀ NỘI - CÔNG TY CỔ PHẦN DỊCH VỤ THƯƠNG MẠI TỔNG HỢP WINCOMMERCE</v>
      </c>
      <c r="G1028" s="16" t="str">
        <f>VLOOKUP(Table8[[#This Row],[Mã khách hàng]],code_khach_hang[],3,0)</f>
        <v>Miền Bắc đặc biệt 1</v>
      </c>
      <c r="H1028" t="str">
        <f>VLOOKUP(Table8[[#This Row],[Mã khách hàng]],'Khách hàng'!A:D,4,0)</f>
        <v>Food Đức Việt</v>
      </c>
      <c r="I1028" t="str">
        <f>VLOOKUP(Table8[[#This Row],[Mã khách hàng]],'Khách hàng'!A:E,5,0)</f>
        <v>HN0040</v>
      </c>
    </row>
    <row r="1029" spans="1:9">
      <c r="A1029" s="14" t="s">
        <v>556</v>
      </c>
      <c r="B1029" s="15" t="s">
        <v>183</v>
      </c>
      <c r="C1029" s="10" t="s">
        <v>557</v>
      </c>
      <c r="D1029" s="16" t="s">
        <v>3559</v>
      </c>
      <c r="E1029" s="15" t="s">
        <v>11195</v>
      </c>
      <c r="F1029" s="16" t="str">
        <f>VLOOKUP(Table8[[#This Row],[Mã khách hàng]],code_khach_hang[],2,0)</f>
        <v>CHI NHÁNH HÀ NỘI - CÔNG TY CỔ PHẦN DỊCH VỤ THƯƠNG MẠI TỔNG HỢP WINCOMMERCE</v>
      </c>
      <c r="G1029" s="16" t="str">
        <f>VLOOKUP(Table8[[#This Row],[Mã khách hàng]],code_khach_hang[],3,0)</f>
        <v>Miền Bắc đặc biệt 2</v>
      </c>
      <c r="H1029" t="str">
        <f>VLOOKUP(Table8[[#This Row],[Mã khách hàng]],'Khách hàng'!A:D,4,0)</f>
        <v>Food Đức Việt</v>
      </c>
      <c r="I1029" t="str">
        <f>VLOOKUP(Table8[[#This Row],[Mã khách hàng]],'Khách hàng'!A:E,5,0)</f>
        <v>HN0040</v>
      </c>
    </row>
    <row r="1030" spans="1:9">
      <c r="A1030" s="14" t="s">
        <v>4947</v>
      </c>
      <c r="B1030" s="15" t="s">
        <v>5</v>
      </c>
      <c r="C1030" s="10" t="s">
        <v>4948</v>
      </c>
      <c r="D1030" s="16" t="s">
        <v>3562</v>
      </c>
      <c r="E1030" s="15" t="s">
        <v>11203</v>
      </c>
      <c r="F1030" s="16" t="str">
        <f>VLOOKUP(Table8[[#This Row],[Mã khách hàng]],code_khach_hang[],2,0)</f>
        <v>CHI NHÁNH THANH HÓA - CÔNG TY CỔ PHẦN DỊCH VỤ THƯƠNG MẠI TỔNG HỢP WINCOMMERCE</v>
      </c>
      <c r="G1030" s="16" t="str">
        <f>VLOOKUP(Table8[[#This Row],[Mã khách hàng]],code_khach_hang[],3,0)</f>
        <v>Miền Trung đặc biệt 1</v>
      </c>
      <c r="H1030" t="str">
        <f>VLOOKUP(Table8[[#This Row],[Mã khách hàng]],'Khách hàng'!A:D,4,0)</f>
        <v>Food Đức Việt</v>
      </c>
      <c r="I1030" t="str">
        <f>VLOOKUP(Table8[[#This Row],[Mã khách hàng]],'Khách hàng'!A:E,5,0)</f>
        <v>HN0040</v>
      </c>
    </row>
    <row r="1031" spans="1:9">
      <c r="A1031" s="14" t="s">
        <v>4614</v>
      </c>
      <c r="B1031" s="15" t="s">
        <v>5</v>
      </c>
      <c r="C1031" s="10" t="s">
        <v>4615</v>
      </c>
      <c r="D1031" s="16" t="s">
        <v>3565</v>
      </c>
      <c r="E1031" s="15" t="s">
        <v>11203</v>
      </c>
      <c r="F1031" s="16" t="str">
        <f>VLOOKUP(Table8[[#This Row],[Mã khách hàng]],code_khach_hang[],2,0)</f>
        <v>CHI NHÁNH THANH HÓA - CÔNG TY CỔ PHẦN DỊCH VỤ THƯƠNG MẠI TỔNG HỢP WINCOMMERCE</v>
      </c>
      <c r="G1031" s="16" t="str">
        <f>VLOOKUP(Table8[[#This Row],[Mã khách hàng]],code_khach_hang[],3,0)</f>
        <v>Miền Trung đặc biệt 1</v>
      </c>
      <c r="H1031" t="str">
        <f>VLOOKUP(Table8[[#This Row],[Mã khách hàng]],'Khách hàng'!A:D,4,0)</f>
        <v>Food Đức Việt</v>
      </c>
      <c r="I1031" t="str">
        <f>VLOOKUP(Table8[[#This Row],[Mã khách hàng]],'Khách hàng'!A:E,5,0)</f>
        <v>HN0040</v>
      </c>
    </row>
    <row r="1032" spans="1:9">
      <c r="A1032" s="14" t="s">
        <v>4620</v>
      </c>
      <c r="B1032" s="15" t="s">
        <v>5</v>
      </c>
      <c r="C1032" s="10" t="s">
        <v>4621</v>
      </c>
      <c r="D1032" s="16" t="s">
        <v>3567</v>
      </c>
      <c r="E1032" s="15" t="s">
        <v>11203</v>
      </c>
      <c r="F1032" s="16" t="str">
        <f>VLOOKUP(Table8[[#This Row],[Mã khách hàng]],code_khach_hang[],2,0)</f>
        <v>CHI NHÁNH THANH HÓA - CÔNG TY CỔ PHẦN DỊCH VỤ THƯƠNG MẠI TỔNG HỢP WINCOMMERCE</v>
      </c>
      <c r="G1032" s="16" t="str">
        <f>VLOOKUP(Table8[[#This Row],[Mã khách hàng]],code_khach_hang[],3,0)</f>
        <v>Miền Trung đặc biệt 1</v>
      </c>
      <c r="H1032" t="str">
        <f>VLOOKUP(Table8[[#This Row],[Mã khách hàng]],'Khách hàng'!A:D,4,0)</f>
        <v>Food Đức Việt</v>
      </c>
      <c r="I1032" t="str">
        <f>VLOOKUP(Table8[[#This Row],[Mã khách hàng]],'Khách hàng'!A:E,5,0)</f>
        <v>HN0040</v>
      </c>
    </row>
    <row r="1033" spans="1:9">
      <c r="A1033" s="14" t="s">
        <v>4626</v>
      </c>
      <c r="B1033" s="15" t="s">
        <v>5</v>
      </c>
      <c r="C1033" s="10" t="s">
        <v>4627</v>
      </c>
      <c r="D1033" s="16" t="s">
        <v>3570</v>
      </c>
      <c r="E1033" s="15" t="s">
        <v>11203</v>
      </c>
      <c r="F1033" s="16" t="str">
        <f>VLOOKUP(Table8[[#This Row],[Mã khách hàng]],code_khach_hang[],2,0)</f>
        <v>CHI NHÁNH THANH HÓA - CÔNG TY CỔ PHẦN DỊCH VỤ THƯƠNG MẠI TỔNG HỢP WINCOMMERCE</v>
      </c>
      <c r="G1033" s="16" t="str">
        <f>VLOOKUP(Table8[[#This Row],[Mã khách hàng]],code_khach_hang[],3,0)</f>
        <v>Miền Trung đặc biệt 1</v>
      </c>
      <c r="H1033" t="str">
        <f>VLOOKUP(Table8[[#This Row],[Mã khách hàng]],'Khách hàng'!A:D,4,0)</f>
        <v>Food Đức Việt</v>
      </c>
      <c r="I1033" t="str">
        <f>VLOOKUP(Table8[[#This Row],[Mã khách hàng]],'Khách hàng'!A:E,5,0)</f>
        <v>HN0040</v>
      </c>
    </row>
    <row r="1034" spans="1:9">
      <c r="A1034" s="14" t="s">
        <v>4635</v>
      </c>
      <c r="B1034" s="15" t="s">
        <v>5</v>
      </c>
      <c r="C1034" s="10" t="s">
        <v>4636</v>
      </c>
      <c r="D1034" s="16" t="s">
        <v>3573</v>
      </c>
      <c r="E1034" s="15" t="s">
        <v>11203</v>
      </c>
      <c r="F1034" s="16" t="str">
        <f>VLOOKUP(Table8[[#This Row],[Mã khách hàng]],code_khach_hang[],2,0)</f>
        <v>CHI NHÁNH THANH HÓA - CÔNG TY CỔ PHẦN DỊCH VỤ THƯƠNG MẠI TỔNG HỢP WINCOMMERCE</v>
      </c>
      <c r="G1034" s="16" t="str">
        <f>VLOOKUP(Table8[[#This Row],[Mã khách hàng]],code_khach_hang[],3,0)</f>
        <v>Miền Trung đặc biệt 1</v>
      </c>
      <c r="H1034" t="str">
        <f>VLOOKUP(Table8[[#This Row],[Mã khách hàng]],'Khách hàng'!A:D,4,0)</f>
        <v>Food Đức Việt</v>
      </c>
      <c r="I1034" t="str">
        <f>VLOOKUP(Table8[[#This Row],[Mã khách hàng]],'Khách hàng'!A:E,5,0)</f>
        <v>HN0040</v>
      </c>
    </row>
    <row r="1035" spans="1:9">
      <c r="A1035" s="14" t="s">
        <v>4644</v>
      </c>
      <c r="B1035" s="15" t="s">
        <v>5</v>
      </c>
      <c r="C1035" s="10" t="s">
        <v>4645</v>
      </c>
      <c r="D1035" s="16" t="s">
        <v>3576</v>
      </c>
      <c r="E1035" s="15" t="s">
        <v>11203</v>
      </c>
      <c r="F1035" s="16" t="str">
        <f>VLOOKUP(Table8[[#This Row],[Mã khách hàng]],code_khach_hang[],2,0)</f>
        <v>CHI NHÁNH THANH HÓA - CÔNG TY CỔ PHẦN DỊCH VỤ THƯƠNG MẠI TỔNG HỢP WINCOMMERCE</v>
      </c>
      <c r="G1035" s="16" t="str">
        <f>VLOOKUP(Table8[[#This Row],[Mã khách hàng]],code_khach_hang[],3,0)</f>
        <v>Miền Trung đặc biệt 1</v>
      </c>
      <c r="H1035" t="str">
        <f>VLOOKUP(Table8[[#This Row],[Mã khách hàng]],'Khách hàng'!A:D,4,0)</f>
        <v>Food Đức Việt</v>
      </c>
      <c r="I1035" t="str">
        <f>VLOOKUP(Table8[[#This Row],[Mã khách hàng]],'Khách hàng'!A:E,5,0)</f>
        <v>HN0040</v>
      </c>
    </row>
    <row r="1036" spans="1:9">
      <c r="A1036" s="14" t="s">
        <v>4731</v>
      </c>
      <c r="B1036" s="15" t="s">
        <v>5</v>
      </c>
      <c r="C1036" s="10" t="s">
        <v>4732</v>
      </c>
      <c r="D1036" s="16" t="s">
        <v>3579</v>
      </c>
      <c r="E1036" s="15" t="s">
        <v>11203</v>
      </c>
      <c r="F1036" s="16" t="str">
        <f>VLOOKUP(Table8[[#This Row],[Mã khách hàng]],code_khach_hang[],2,0)</f>
        <v>CHI NHÁNH THANH HÓA - CÔNG TY CỔ PHẦN DỊCH VỤ THƯƠNG MẠI TỔNG HỢP WINCOMMERCE</v>
      </c>
      <c r="G1036" s="16" t="str">
        <f>VLOOKUP(Table8[[#This Row],[Mã khách hàng]],code_khach_hang[],3,0)</f>
        <v>Miền Trung đặc biệt 1</v>
      </c>
      <c r="H1036" t="str">
        <f>VLOOKUP(Table8[[#This Row],[Mã khách hàng]],'Khách hàng'!A:D,4,0)</f>
        <v>Food Đức Việt</v>
      </c>
      <c r="I1036" t="str">
        <f>VLOOKUP(Table8[[#This Row],[Mã khách hàng]],'Khách hàng'!A:E,5,0)</f>
        <v>HN0040</v>
      </c>
    </row>
    <row r="1037" spans="1:9">
      <c r="A1037" s="14" t="s">
        <v>4752</v>
      </c>
      <c r="B1037" s="15" t="s">
        <v>5</v>
      </c>
      <c r="C1037" s="10" t="s">
        <v>4753</v>
      </c>
      <c r="D1037" s="16" t="s">
        <v>3582</v>
      </c>
      <c r="E1037" s="15" t="s">
        <v>11203</v>
      </c>
      <c r="F1037" s="16" t="str">
        <f>VLOOKUP(Table8[[#This Row],[Mã khách hàng]],code_khach_hang[],2,0)</f>
        <v>CHI NHÁNH THANH HÓA - CÔNG TY CỔ PHẦN DỊCH VỤ THƯƠNG MẠI TỔNG HỢP WINCOMMERCE</v>
      </c>
      <c r="G1037" s="16" t="str">
        <f>VLOOKUP(Table8[[#This Row],[Mã khách hàng]],code_khach_hang[],3,0)</f>
        <v>Miền Trung đặc biệt 1</v>
      </c>
      <c r="H1037" t="str">
        <f>VLOOKUP(Table8[[#This Row],[Mã khách hàng]],'Khách hàng'!A:D,4,0)</f>
        <v>Food Đức Việt</v>
      </c>
      <c r="I1037" t="str">
        <f>VLOOKUP(Table8[[#This Row],[Mã khách hàng]],'Khách hàng'!A:E,5,0)</f>
        <v>HN0040</v>
      </c>
    </row>
    <row r="1038" spans="1:9">
      <c r="A1038" s="14" t="s">
        <v>6785</v>
      </c>
      <c r="B1038" s="15" t="s">
        <v>5</v>
      </c>
      <c r="C1038" s="10" t="s">
        <v>6786</v>
      </c>
      <c r="D1038" s="16" t="s">
        <v>3585</v>
      </c>
      <c r="E1038" s="15" t="s">
        <v>11203</v>
      </c>
      <c r="F1038" s="16" t="str">
        <f>VLOOKUP(Table8[[#This Row],[Mã khách hàng]],code_khach_hang[],2,0)</f>
        <v>CHI NHÁNH THANH HÓA - CÔNG TY CỔ PHẦN DỊCH VỤ THƯƠNG MẠI TỔNG HỢP WINCOMMERCE</v>
      </c>
      <c r="G1038" s="16" t="str">
        <f>VLOOKUP(Table8[[#This Row],[Mã khách hàng]],code_khach_hang[],3,0)</f>
        <v>Miền Trung đặc biệt 1</v>
      </c>
      <c r="H1038" t="str">
        <f>VLOOKUP(Table8[[#This Row],[Mã khách hàng]],'Khách hàng'!A:D,4,0)</f>
        <v>Food Đức Việt</v>
      </c>
      <c r="I1038" t="str">
        <f>VLOOKUP(Table8[[#This Row],[Mã khách hàng]],'Khách hàng'!A:E,5,0)</f>
        <v>HN0040</v>
      </c>
    </row>
    <row r="1039" spans="1:9">
      <c r="A1039" s="14" t="s">
        <v>7895</v>
      </c>
      <c r="B1039" s="15" t="s">
        <v>5</v>
      </c>
      <c r="C1039" s="10" t="e">
        <v>#N/A</v>
      </c>
      <c r="D1039" s="16" t="s">
        <v>3587</v>
      </c>
      <c r="E1039" s="15" t="s">
        <v>11203</v>
      </c>
      <c r="F1039" s="16" t="str">
        <f>VLOOKUP(Table8[[#This Row],[Mã khách hàng]],code_khach_hang[],2,0)</f>
        <v>CHI NHÁNH THANH HÓA - CÔNG TY CỔ PHẦN DỊCH VỤ THƯƠNG MẠI TỔNG HỢP WINCOMMERCE</v>
      </c>
      <c r="G1039" s="16" t="str">
        <f>VLOOKUP(Table8[[#This Row],[Mã khách hàng]],code_khach_hang[],3,0)</f>
        <v>Miền Trung đặc biệt 1</v>
      </c>
      <c r="H1039" t="str">
        <f>VLOOKUP(Table8[[#This Row],[Mã khách hàng]],'Khách hàng'!A:D,4,0)</f>
        <v>Food Đức Việt</v>
      </c>
      <c r="I1039" t="str">
        <f>VLOOKUP(Table8[[#This Row],[Mã khách hàng]],'Khách hàng'!A:E,5,0)</f>
        <v>HN0040</v>
      </c>
    </row>
    <row r="1040" spans="1:9">
      <c r="A1040" s="14" t="s">
        <v>7065</v>
      </c>
      <c r="B1040" s="15" t="s">
        <v>5</v>
      </c>
      <c r="C1040" s="10" t="s">
        <v>7066</v>
      </c>
      <c r="D1040" s="16" t="s">
        <v>3590</v>
      </c>
      <c r="E1040" s="15" t="s">
        <v>11203</v>
      </c>
      <c r="F1040" s="16" t="str">
        <f>VLOOKUP(Table8[[#This Row],[Mã khách hàng]],code_khach_hang[],2,0)</f>
        <v>CHI NHÁNH THANH HÓA - CÔNG TY CỔ PHẦN DỊCH VỤ THƯƠNG MẠI TỔNG HỢP WINCOMMERCE</v>
      </c>
      <c r="G1040" s="16" t="str">
        <f>VLOOKUP(Table8[[#This Row],[Mã khách hàng]],code_khach_hang[],3,0)</f>
        <v>Miền Trung đặc biệt 1</v>
      </c>
      <c r="H1040" t="str">
        <f>VLOOKUP(Table8[[#This Row],[Mã khách hàng]],'Khách hàng'!A:D,4,0)</f>
        <v>Food Đức Việt</v>
      </c>
      <c r="I1040" t="str">
        <f>VLOOKUP(Table8[[#This Row],[Mã khách hàng]],'Khách hàng'!A:E,5,0)</f>
        <v>HN0040</v>
      </c>
    </row>
    <row r="1041" spans="1:9">
      <c r="A1041" s="14" t="s">
        <v>7039</v>
      </c>
      <c r="B1041" s="15" t="s">
        <v>5</v>
      </c>
      <c r="C1041" s="10" t="s">
        <v>7040</v>
      </c>
      <c r="D1041" s="16" t="s">
        <v>3593</v>
      </c>
      <c r="E1041" s="15" t="s">
        <v>11203</v>
      </c>
      <c r="F1041" s="16" t="str">
        <f>VLOOKUP(Table8[[#This Row],[Mã khách hàng]],code_khach_hang[],2,0)</f>
        <v>CHI NHÁNH THANH HÓA - CÔNG TY CỔ PHẦN DỊCH VỤ THƯƠNG MẠI TỔNG HỢP WINCOMMERCE</v>
      </c>
      <c r="G1041" s="16" t="str">
        <f>VLOOKUP(Table8[[#This Row],[Mã khách hàng]],code_khach_hang[],3,0)</f>
        <v>Miền Trung đặc biệt 1</v>
      </c>
      <c r="H1041" t="str">
        <f>VLOOKUP(Table8[[#This Row],[Mã khách hàng]],'Khách hàng'!A:D,4,0)</f>
        <v>Food Đức Việt</v>
      </c>
      <c r="I1041" t="str">
        <f>VLOOKUP(Table8[[#This Row],[Mã khách hàng]],'Khách hàng'!A:E,5,0)</f>
        <v>HN0040</v>
      </c>
    </row>
    <row r="1042" spans="1:9">
      <c r="A1042" s="14" t="s">
        <v>7047</v>
      </c>
      <c r="B1042" s="15" t="s">
        <v>5</v>
      </c>
      <c r="C1042" s="10" t="s">
        <v>7048</v>
      </c>
      <c r="D1042" s="16" t="s">
        <v>3596</v>
      </c>
      <c r="E1042" s="15" t="s">
        <v>11203</v>
      </c>
      <c r="F1042" s="16" t="str">
        <f>VLOOKUP(Table8[[#This Row],[Mã khách hàng]],code_khach_hang[],2,0)</f>
        <v>CHI NHÁNH THANH HÓA - CÔNG TY CỔ PHẦN DỊCH VỤ THƯƠNG MẠI TỔNG HỢP WINCOMMERCE</v>
      </c>
      <c r="G1042" s="16" t="str">
        <f>VLOOKUP(Table8[[#This Row],[Mã khách hàng]],code_khach_hang[],3,0)</f>
        <v>Miền Trung đặc biệt 1</v>
      </c>
      <c r="H1042" t="str">
        <f>VLOOKUP(Table8[[#This Row],[Mã khách hàng]],'Khách hàng'!A:D,4,0)</f>
        <v>Food Đức Việt</v>
      </c>
      <c r="I1042" t="str">
        <f>VLOOKUP(Table8[[#This Row],[Mã khách hàng]],'Khách hàng'!A:E,5,0)</f>
        <v>HN0040</v>
      </c>
    </row>
    <row r="1043" spans="1:9">
      <c r="A1043" s="14" t="s">
        <v>7036</v>
      </c>
      <c r="B1043" s="15" t="s">
        <v>5</v>
      </c>
      <c r="C1043" s="10" t="s">
        <v>7037</v>
      </c>
      <c r="D1043" s="16" t="s">
        <v>3599</v>
      </c>
      <c r="E1043" s="15" t="s">
        <v>11203</v>
      </c>
      <c r="F1043" s="16" t="str">
        <f>VLOOKUP(Table8[[#This Row],[Mã khách hàng]],code_khach_hang[],2,0)</f>
        <v>CHI NHÁNH THANH HÓA - CÔNG TY CỔ PHẦN DỊCH VỤ THƯƠNG MẠI TỔNG HỢP WINCOMMERCE</v>
      </c>
      <c r="G1043" s="16" t="str">
        <f>VLOOKUP(Table8[[#This Row],[Mã khách hàng]],code_khach_hang[],3,0)</f>
        <v>Miền Trung đặc biệt 1</v>
      </c>
      <c r="H1043" t="str">
        <f>VLOOKUP(Table8[[#This Row],[Mã khách hàng]],'Khách hàng'!A:D,4,0)</f>
        <v>Food Đức Việt</v>
      </c>
      <c r="I1043" t="str">
        <f>VLOOKUP(Table8[[#This Row],[Mã khách hàng]],'Khách hàng'!A:E,5,0)</f>
        <v>HN0040</v>
      </c>
    </row>
    <row r="1044" spans="1:9">
      <c r="A1044" s="14" t="s">
        <v>7068</v>
      </c>
      <c r="B1044" s="15" t="s">
        <v>5</v>
      </c>
      <c r="C1044" s="10" t="s">
        <v>7069</v>
      </c>
      <c r="D1044" s="16" t="s">
        <v>3602</v>
      </c>
      <c r="E1044" s="15" t="s">
        <v>11203</v>
      </c>
      <c r="F1044" s="16" t="str">
        <f>VLOOKUP(Table8[[#This Row],[Mã khách hàng]],code_khach_hang[],2,0)</f>
        <v>CHI NHÁNH THANH HÓA - CÔNG TY CỔ PHẦN DỊCH VỤ THƯƠNG MẠI TỔNG HỢP WINCOMMERCE</v>
      </c>
      <c r="G1044" s="16" t="str">
        <f>VLOOKUP(Table8[[#This Row],[Mã khách hàng]],code_khach_hang[],3,0)</f>
        <v>Miền Trung đặc biệt 1</v>
      </c>
      <c r="H1044" t="str">
        <f>VLOOKUP(Table8[[#This Row],[Mã khách hàng]],'Khách hàng'!A:D,4,0)</f>
        <v>Food Đức Việt</v>
      </c>
      <c r="I1044" t="str">
        <f>VLOOKUP(Table8[[#This Row],[Mã khách hàng]],'Khách hàng'!A:E,5,0)</f>
        <v>HN0040</v>
      </c>
    </row>
    <row r="1045" spans="1:9">
      <c r="A1045" s="14" t="s">
        <v>5941</v>
      </c>
      <c r="B1045" s="15" t="s">
        <v>5</v>
      </c>
      <c r="C1045" s="10" t="s">
        <v>5942</v>
      </c>
      <c r="D1045" s="16" t="s">
        <v>3605</v>
      </c>
      <c r="E1045" s="15" t="s">
        <v>11203</v>
      </c>
      <c r="F1045" s="16" t="str">
        <f>VLOOKUP(Table8[[#This Row],[Mã khách hàng]],code_khach_hang[],2,0)</f>
        <v>CHI NHÁNH THANH HÓA - CÔNG TY CỔ PHẦN DỊCH VỤ THƯƠNG MẠI TỔNG HỢP WINCOMMERCE</v>
      </c>
      <c r="G1045" s="16" t="str">
        <f>VLOOKUP(Table8[[#This Row],[Mã khách hàng]],code_khach_hang[],3,0)</f>
        <v>Miền Trung đặc biệt 1</v>
      </c>
      <c r="H1045" t="str">
        <f>VLOOKUP(Table8[[#This Row],[Mã khách hàng]],'Khách hàng'!A:D,4,0)</f>
        <v>Food Đức Việt</v>
      </c>
      <c r="I1045" t="str">
        <f>VLOOKUP(Table8[[#This Row],[Mã khách hàng]],'Khách hàng'!A:E,5,0)</f>
        <v>HN0040</v>
      </c>
    </row>
    <row r="1046" spans="1:9">
      <c r="A1046" s="14" t="s">
        <v>6629</v>
      </c>
      <c r="B1046" s="15" t="s">
        <v>5</v>
      </c>
      <c r="C1046" s="10" t="s">
        <v>6630</v>
      </c>
      <c r="D1046" s="16" t="s">
        <v>3608</v>
      </c>
      <c r="E1046" s="15" t="s">
        <v>11203</v>
      </c>
      <c r="F1046" s="16" t="str">
        <f>VLOOKUP(Table8[[#This Row],[Mã khách hàng]],code_khach_hang[],2,0)</f>
        <v>CHI NHÁNH THANH HÓA - CÔNG TY CỔ PHẦN DỊCH VỤ THƯƠNG MẠI TỔNG HỢP WINCOMMERCE</v>
      </c>
      <c r="G1046" s="16" t="str">
        <f>VLOOKUP(Table8[[#This Row],[Mã khách hàng]],code_khach_hang[],3,0)</f>
        <v>Miền Trung đặc biệt 1</v>
      </c>
      <c r="H1046" t="str">
        <f>VLOOKUP(Table8[[#This Row],[Mã khách hàng]],'Khách hàng'!A:D,4,0)</f>
        <v>Food Đức Việt</v>
      </c>
      <c r="I1046" t="str">
        <f>VLOOKUP(Table8[[#This Row],[Mã khách hàng]],'Khách hàng'!A:E,5,0)</f>
        <v>HN0040</v>
      </c>
    </row>
    <row r="1047" spans="1:9">
      <c r="A1047" s="14" t="s">
        <v>4926</v>
      </c>
      <c r="B1047" s="15" t="s">
        <v>5</v>
      </c>
      <c r="C1047" s="10" t="s">
        <v>4927</v>
      </c>
      <c r="D1047" s="16" t="s">
        <v>3611</v>
      </c>
      <c r="E1047" s="15" t="s">
        <v>11203</v>
      </c>
      <c r="F1047" s="16" t="str">
        <f>VLOOKUP(Table8[[#This Row],[Mã khách hàng]],code_khach_hang[],2,0)</f>
        <v>CHI NHÁNH THANH HÓA - CÔNG TY CỔ PHẦN DỊCH VỤ THƯƠNG MẠI TỔNG HỢP WINCOMMERCE</v>
      </c>
      <c r="G1047" s="16" t="str">
        <f>VLOOKUP(Table8[[#This Row],[Mã khách hàng]],code_khach_hang[],3,0)</f>
        <v>Miền Trung đặc biệt 1</v>
      </c>
      <c r="H1047" t="str">
        <f>VLOOKUP(Table8[[#This Row],[Mã khách hàng]],'Khách hàng'!A:D,4,0)</f>
        <v>Food Đức Việt</v>
      </c>
      <c r="I1047" t="str">
        <f>VLOOKUP(Table8[[#This Row],[Mã khách hàng]],'Khách hàng'!A:E,5,0)</f>
        <v>HN0040</v>
      </c>
    </row>
    <row r="1048" spans="1:9">
      <c r="A1048" s="14" t="s">
        <v>7843</v>
      </c>
      <c r="B1048" s="15" t="s">
        <v>5</v>
      </c>
      <c r="C1048" s="10" t="s">
        <v>7844</v>
      </c>
      <c r="D1048" s="16" t="s">
        <v>3614</v>
      </c>
      <c r="E1048" s="15" t="s">
        <v>11203</v>
      </c>
      <c r="F1048" s="16" t="str">
        <f>VLOOKUP(Table8[[#This Row],[Mã khách hàng]],code_khach_hang[],2,0)</f>
        <v>CHI NHÁNH THANH HÓA - CÔNG TY CỔ PHẦN DỊCH VỤ THƯƠNG MẠI TỔNG HỢP WINCOMMERCE</v>
      </c>
      <c r="G1048" s="16" t="str">
        <f>VLOOKUP(Table8[[#This Row],[Mã khách hàng]],code_khach_hang[],3,0)</f>
        <v>Miền Trung đặc biệt 1</v>
      </c>
      <c r="H1048" t="str">
        <f>VLOOKUP(Table8[[#This Row],[Mã khách hàng]],'Khách hàng'!A:D,4,0)</f>
        <v>Food Đức Việt</v>
      </c>
      <c r="I1048" t="str">
        <f>VLOOKUP(Table8[[#This Row],[Mã khách hàng]],'Khách hàng'!A:E,5,0)</f>
        <v>HN0040</v>
      </c>
    </row>
    <row r="1049" spans="1:9">
      <c r="A1049" s="14" t="s">
        <v>7792</v>
      </c>
      <c r="B1049" s="15" t="s">
        <v>5</v>
      </c>
      <c r="C1049" s="10" t="s">
        <v>7793</v>
      </c>
      <c r="D1049" s="16" t="s">
        <v>3617</v>
      </c>
      <c r="E1049" s="15" t="s">
        <v>11203</v>
      </c>
      <c r="F1049" s="16" t="str">
        <f>VLOOKUP(Table8[[#This Row],[Mã khách hàng]],code_khach_hang[],2,0)</f>
        <v>CHI NHÁNH THANH HÓA - CÔNG TY CỔ PHẦN DỊCH VỤ THƯƠNG MẠI TỔNG HỢP WINCOMMERCE</v>
      </c>
      <c r="G1049" s="16" t="str">
        <f>VLOOKUP(Table8[[#This Row],[Mã khách hàng]],code_khach_hang[],3,0)</f>
        <v>Miền Trung đặc biệt 1</v>
      </c>
      <c r="H1049" t="str">
        <f>VLOOKUP(Table8[[#This Row],[Mã khách hàng]],'Khách hàng'!A:D,4,0)</f>
        <v>Food Đức Việt</v>
      </c>
      <c r="I1049" t="str">
        <f>VLOOKUP(Table8[[#This Row],[Mã khách hàng]],'Khách hàng'!A:E,5,0)</f>
        <v>HN0040</v>
      </c>
    </row>
    <row r="1050" spans="1:9">
      <c r="A1050" s="14" t="s">
        <v>4671</v>
      </c>
      <c r="B1050" s="15" t="s">
        <v>5</v>
      </c>
      <c r="C1050" s="10" t="s">
        <v>4672</v>
      </c>
      <c r="D1050" s="16" t="s">
        <v>3620</v>
      </c>
      <c r="E1050" s="15" t="s">
        <v>11203</v>
      </c>
      <c r="F1050" s="16" t="str">
        <f>VLOOKUP(Table8[[#This Row],[Mã khách hàng]],code_khach_hang[],2,0)</f>
        <v>CHI NHÁNH THANH HÓA - CÔNG TY CỔ PHẦN DỊCH VỤ THƯƠNG MẠI TỔNG HỢP WINCOMMERCE</v>
      </c>
      <c r="G1050" s="16" t="str">
        <f>VLOOKUP(Table8[[#This Row],[Mã khách hàng]],code_khach_hang[],3,0)</f>
        <v>Miền Trung đặc biệt 1</v>
      </c>
      <c r="H1050" t="str">
        <f>VLOOKUP(Table8[[#This Row],[Mã khách hàng]],'Khách hàng'!A:D,4,0)</f>
        <v>Food Đức Việt</v>
      </c>
      <c r="I1050" t="str">
        <f>VLOOKUP(Table8[[#This Row],[Mã khách hàng]],'Khách hàng'!A:E,5,0)</f>
        <v>HN0040</v>
      </c>
    </row>
    <row r="1051" spans="1:9">
      <c r="A1051" s="14" t="s">
        <v>8043</v>
      </c>
      <c r="B1051" s="15" t="s">
        <v>5</v>
      </c>
      <c r="C1051" s="10" t="s">
        <v>8044</v>
      </c>
      <c r="D1051" s="16" t="s">
        <v>3623</v>
      </c>
      <c r="E1051" s="15" t="s">
        <v>11203</v>
      </c>
      <c r="F1051" s="16" t="str">
        <f>VLOOKUP(Table8[[#This Row],[Mã khách hàng]],code_khach_hang[],2,0)</f>
        <v>CHI NHÁNH THANH HÓA - CÔNG TY CỔ PHẦN DỊCH VỤ THƯƠNG MẠI TỔNG HỢP WINCOMMERCE</v>
      </c>
      <c r="G1051" s="16" t="str">
        <f>VLOOKUP(Table8[[#This Row],[Mã khách hàng]],code_khach_hang[],3,0)</f>
        <v>Miền Trung đặc biệt 1</v>
      </c>
      <c r="H1051" t="str">
        <f>VLOOKUP(Table8[[#This Row],[Mã khách hàng]],'Khách hàng'!A:D,4,0)</f>
        <v>Food Đức Việt</v>
      </c>
      <c r="I1051" t="str">
        <f>VLOOKUP(Table8[[#This Row],[Mã khách hàng]],'Khách hàng'!A:E,5,0)</f>
        <v>HN0040</v>
      </c>
    </row>
    <row r="1052" spans="1:9">
      <c r="A1052" s="14" t="s">
        <v>4845</v>
      </c>
      <c r="B1052" s="15" t="s">
        <v>5</v>
      </c>
      <c r="C1052" s="10" t="s">
        <v>4846</v>
      </c>
      <c r="D1052" s="16" t="s">
        <v>3626</v>
      </c>
      <c r="E1052" s="15" t="s">
        <v>11203</v>
      </c>
      <c r="F1052" s="16" t="str">
        <f>VLOOKUP(Table8[[#This Row],[Mã khách hàng]],code_khach_hang[],2,0)</f>
        <v>CHI NHÁNH THANH HÓA - CÔNG TY CỔ PHẦN DỊCH VỤ THƯƠNG MẠI TỔNG HỢP WINCOMMERCE</v>
      </c>
      <c r="G1052" s="16" t="str">
        <f>VLOOKUP(Table8[[#This Row],[Mã khách hàng]],code_khach_hang[],3,0)</f>
        <v>Miền Trung đặc biệt 1</v>
      </c>
      <c r="H1052" t="str">
        <f>VLOOKUP(Table8[[#This Row],[Mã khách hàng]],'Khách hàng'!A:D,4,0)</f>
        <v>Food Đức Việt</v>
      </c>
      <c r="I1052" t="str">
        <f>VLOOKUP(Table8[[#This Row],[Mã khách hàng]],'Khách hàng'!A:E,5,0)</f>
        <v>HN0040</v>
      </c>
    </row>
    <row r="1053" spans="1:9">
      <c r="A1053" s="14" t="s">
        <v>5902</v>
      </c>
      <c r="B1053" s="15" t="s">
        <v>5</v>
      </c>
      <c r="C1053" s="10" t="s">
        <v>5903</v>
      </c>
      <c r="D1053" s="16" t="s">
        <v>3629</v>
      </c>
      <c r="E1053" s="15" t="s">
        <v>11203</v>
      </c>
      <c r="F1053" s="16" t="str">
        <f>VLOOKUP(Table8[[#This Row],[Mã khách hàng]],code_khach_hang[],2,0)</f>
        <v>CHI NHÁNH THANH HÓA - CÔNG TY CỔ PHẦN DỊCH VỤ THƯƠNG MẠI TỔNG HỢP WINCOMMERCE</v>
      </c>
      <c r="G1053" s="16" t="str">
        <f>VLOOKUP(Table8[[#This Row],[Mã khách hàng]],code_khach_hang[],3,0)</f>
        <v>Miền Trung đặc biệt 1</v>
      </c>
      <c r="H1053" t="str">
        <f>VLOOKUP(Table8[[#This Row],[Mã khách hàng]],'Khách hàng'!A:D,4,0)</f>
        <v>Food Đức Việt</v>
      </c>
      <c r="I1053" t="str">
        <f>VLOOKUP(Table8[[#This Row],[Mã khách hàng]],'Khách hàng'!A:E,5,0)</f>
        <v>HN0040</v>
      </c>
    </row>
    <row r="1054" spans="1:9">
      <c r="A1054" s="14" t="s">
        <v>4842</v>
      </c>
      <c r="B1054" s="15" t="s">
        <v>5</v>
      </c>
      <c r="C1054" s="10" t="s">
        <v>4843</v>
      </c>
      <c r="D1054" s="16" t="s">
        <v>3632</v>
      </c>
      <c r="E1054" s="15" t="s">
        <v>11203</v>
      </c>
      <c r="F1054" s="16" t="str">
        <f>VLOOKUP(Table8[[#This Row],[Mã khách hàng]],code_khach_hang[],2,0)</f>
        <v>CHI NHÁNH THANH HÓA - CÔNG TY CỔ PHẦN DỊCH VỤ THƯƠNG MẠI TỔNG HỢP WINCOMMERCE</v>
      </c>
      <c r="G1054" s="16" t="str">
        <f>VLOOKUP(Table8[[#This Row],[Mã khách hàng]],code_khach_hang[],3,0)</f>
        <v>Miền Trung đặc biệt 1</v>
      </c>
      <c r="H1054" t="str">
        <f>VLOOKUP(Table8[[#This Row],[Mã khách hàng]],'Khách hàng'!A:D,4,0)</f>
        <v>Food Đức Việt</v>
      </c>
      <c r="I1054" t="str">
        <f>VLOOKUP(Table8[[#This Row],[Mã khách hàng]],'Khách hàng'!A:E,5,0)</f>
        <v>HN0040</v>
      </c>
    </row>
    <row r="1055" spans="1:9">
      <c r="A1055" s="14" t="s">
        <v>4839</v>
      </c>
      <c r="B1055" s="15" t="s">
        <v>5</v>
      </c>
      <c r="C1055" s="10" t="s">
        <v>4840</v>
      </c>
      <c r="D1055" s="16" t="s">
        <v>3635</v>
      </c>
      <c r="E1055" s="15" t="s">
        <v>11203</v>
      </c>
      <c r="F1055" s="16" t="str">
        <f>VLOOKUP(Table8[[#This Row],[Mã khách hàng]],code_khach_hang[],2,0)</f>
        <v>CHI NHÁNH THANH HÓA - CÔNG TY CỔ PHẦN DỊCH VỤ THƯƠNG MẠI TỔNG HỢP WINCOMMERCE</v>
      </c>
      <c r="G1055" s="16" t="str">
        <f>VLOOKUP(Table8[[#This Row],[Mã khách hàng]],code_khach_hang[],3,0)</f>
        <v>Miền Trung đặc biệt 1</v>
      </c>
      <c r="H1055" t="str">
        <f>VLOOKUP(Table8[[#This Row],[Mã khách hàng]],'Khách hàng'!A:D,4,0)</f>
        <v>Food Đức Việt</v>
      </c>
      <c r="I1055" t="str">
        <f>VLOOKUP(Table8[[#This Row],[Mã khách hàng]],'Khách hàng'!A:E,5,0)</f>
        <v>HN0040</v>
      </c>
    </row>
    <row r="1056" spans="1:9">
      <c r="A1056" s="14" t="s">
        <v>6698</v>
      </c>
      <c r="B1056" s="15" t="s">
        <v>5</v>
      </c>
      <c r="C1056" s="10" t="s">
        <v>6699</v>
      </c>
      <c r="D1056" s="16" t="s">
        <v>3638</v>
      </c>
      <c r="E1056" s="15" t="s">
        <v>11203</v>
      </c>
      <c r="F1056" s="16" t="str">
        <f>VLOOKUP(Table8[[#This Row],[Mã khách hàng]],code_khach_hang[],2,0)</f>
        <v>CHI NHÁNH THANH HÓA - CÔNG TY CỔ PHẦN DỊCH VỤ THƯƠNG MẠI TỔNG HỢP WINCOMMERCE</v>
      </c>
      <c r="G1056" s="16" t="str">
        <f>VLOOKUP(Table8[[#This Row],[Mã khách hàng]],code_khach_hang[],3,0)</f>
        <v>Miền Trung đặc biệt 1</v>
      </c>
      <c r="H1056" t="str">
        <f>VLOOKUP(Table8[[#This Row],[Mã khách hàng]],'Khách hàng'!A:D,4,0)</f>
        <v>Food Đức Việt</v>
      </c>
      <c r="I1056" t="str">
        <f>VLOOKUP(Table8[[#This Row],[Mã khách hàng]],'Khách hàng'!A:E,5,0)</f>
        <v>HN0040</v>
      </c>
    </row>
    <row r="1057" spans="1:9">
      <c r="A1057" s="14" t="s">
        <v>5457</v>
      </c>
      <c r="B1057" s="15" t="s">
        <v>5</v>
      </c>
      <c r="C1057" s="10" t="s">
        <v>5458</v>
      </c>
      <c r="D1057" s="16" t="s">
        <v>3640</v>
      </c>
      <c r="E1057" s="15" t="s">
        <v>11203</v>
      </c>
      <c r="F1057" s="16" t="str">
        <f>VLOOKUP(Table8[[#This Row],[Mã khách hàng]],code_khach_hang[],2,0)</f>
        <v>CHI NHÁNH THANH HÓA - CÔNG TY CỔ PHẦN DỊCH VỤ THƯƠNG MẠI TỔNG HỢP WINCOMMERCE</v>
      </c>
      <c r="G1057" s="16" t="str">
        <f>VLOOKUP(Table8[[#This Row],[Mã khách hàng]],code_khach_hang[],3,0)</f>
        <v>Miền Trung đặc biệt 1</v>
      </c>
      <c r="H1057" t="str">
        <f>VLOOKUP(Table8[[#This Row],[Mã khách hàng]],'Khách hàng'!A:D,4,0)</f>
        <v>Food Đức Việt</v>
      </c>
      <c r="I1057" t="str">
        <f>VLOOKUP(Table8[[#This Row],[Mã khách hàng]],'Khách hàng'!A:E,5,0)</f>
        <v>HN0040</v>
      </c>
    </row>
    <row r="1058" spans="1:9">
      <c r="A1058" s="14" t="s">
        <v>5058</v>
      </c>
      <c r="B1058" s="15" t="s">
        <v>5</v>
      </c>
      <c r="C1058" s="10" t="s">
        <v>5059</v>
      </c>
      <c r="D1058" s="16" t="s">
        <v>3643</v>
      </c>
      <c r="E1058" s="15" t="s">
        <v>11203</v>
      </c>
      <c r="F1058" s="16" t="str">
        <f>VLOOKUP(Table8[[#This Row],[Mã khách hàng]],code_khach_hang[],2,0)</f>
        <v>CHI NHÁNH THANH HÓA - CÔNG TY CỔ PHẦN DỊCH VỤ THƯƠNG MẠI TỔNG HỢP WINCOMMERCE</v>
      </c>
      <c r="G1058" s="16" t="str">
        <f>VLOOKUP(Table8[[#This Row],[Mã khách hàng]],code_khach_hang[],3,0)</f>
        <v>Miền Trung đặc biệt 1</v>
      </c>
      <c r="H1058" t="str">
        <f>VLOOKUP(Table8[[#This Row],[Mã khách hàng]],'Khách hàng'!A:D,4,0)</f>
        <v>Food Đức Việt</v>
      </c>
      <c r="I1058" t="str">
        <f>VLOOKUP(Table8[[#This Row],[Mã khách hàng]],'Khách hàng'!A:E,5,0)</f>
        <v>HN0040</v>
      </c>
    </row>
    <row r="1059" spans="1:9">
      <c r="A1059" s="14" t="s">
        <v>4929</v>
      </c>
      <c r="B1059" s="15" t="s">
        <v>5</v>
      </c>
      <c r="C1059" s="10" t="s">
        <v>4930</v>
      </c>
      <c r="D1059" s="16" t="s">
        <v>3646</v>
      </c>
      <c r="E1059" s="15" t="s">
        <v>11203</v>
      </c>
      <c r="F1059" s="16" t="str">
        <f>VLOOKUP(Table8[[#This Row],[Mã khách hàng]],code_khach_hang[],2,0)</f>
        <v>CHI NHÁNH THANH HÓA - CÔNG TY CỔ PHẦN DỊCH VỤ THƯƠNG MẠI TỔNG HỢP WINCOMMERCE</v>
      </c>
      <c r="G1059" s="16" t="str">
        <f>VLOOKUP(Table8[[#This Row],[Mã khách hàng]],code_khach_hang[],3,0)</f>
        <v>Miền Trung đặc biệt 1</v>
      </c>
      <c r="H1059" t="str">
        <f>VLOOKUP(Table8[[#This Row],[Mã khách hàng]],'Khách hàng'!A:D,4,0)</f>
        <v>Food Đức Việt</v>
      </c>
      <c r="I1059" t="str">
        <f>VLOOKUP(Table8[[#This Row],[Mã khách hàng]],'Khách hàng'!A:E,5,0)</f>
        <v>HN0040</v>
      </c>
    </row>
    <row r="1060" spans="1:9">
      <c r="A1060" s="14" t="s">
        <v>5382</v>
      </c>
      <c r="B1060" s="15" t="s">
        <v>5</v>
      </c>
      <c r="C1060" s="10" t="s">
        <v>5383</v>
      </c>
      <c r="D1060" s="16" t="s">
        <v>3648</v>
      </c>
      <c r="E1060" s="15" t="s">
        <v>11203</v>
      </c>
      <c r="F1060" s="16" t="str">
        <f>VLOOKUP(Table8[[#This Row],[Mã khách hàng]],code_khach_hang[],2,0)</f>
        <v>CHI NHÁNH THANH HÓA - CÔNG TY CỔ PHẦN DỊCH VỤ THƯƠNG MẠI TỔNG HỢP WINCOMMERCE</v>
      </c>
      <c r="G1060" s="16" t="str">
        <f>VLOOKUP(Table8[[#This Row],[Mã khách hàng]],code_khach_hang[],3,0)</f>
        <v>Miền Trung đặc biệt 1</v>
      </c>
      <c r="H1060" t="str">
        <f>VLOOKUP(Table8[[#This Row],[Mã khách hàng]],'Khách hàng'!A:D,4,0)</f>
        <v>Food Đức Việt</v>
      </c>
      <c r="I1060" t="str">
        <f>VLOOKUP(Table8[[#This Row],[Mã khách hàng]],'Khách hàng'!A:E,5,0)</f>
        <v>HN0040</v>
      </c>
    </row>
    <row r="1061" spans="1:9">
      <c r="A1061" s="14" t="s">
        <v>5869</v>
      </c>
      <c r="B1061" s="15" t="s">
        <v>5</v>
      </c>
      <c r="C1061" s="10" t="s">
        <v>5870</v>
      </c>
      <c r="D1061" s="16" t="s">
        <v>3651</v>
      </c>
      <c r="E1061" s="15" t="s">
        <v>11203</v>
      </c>
      <c r="F1061" s="16" t="str">
        <f>VLOOKUP(Table8[[#This Row],[Mã khách hàng]],code_khach_hang[],2,0)</f>
        <v>CHI NHÁNH THANH HÓA - CÔNG TY CỔ PHẦN DỊCH VỤ THƯƠNG MẠI TỔNG HỢP WINCOMMERCE</v>
      </c>
      <c r="G1061" s="16" t="str">
        <f>VLOOKUP(Table8[[#This Row],[Mã khách hàng]],code_khach_hang[],3,0)</f>
        <v>Miền Trung đặc biệt 1</v>
      </c>
      <c r="H1061" t="str">
        <f>VLOOKUP(Table8[[#This Row],[Mã khách hàng]],'Khách hàng'!A:D,4,0)</f>
        <v>Food Đức Việt</v>
      </c>
      <c r="I1061" t="str">
        <f>VLOOKUP(Table8[[#This Row],[Mã khách hàng]],'Khách hàng'!A:E,5,0)</f>
        <v>HN0040</v>
      </c>
    </row>
    <row r="1062" spans="1:9">
      <c r="A1062" s="14" t="s">
        <v>5262</v>
      </c>
      <c r="B1062" s="15" t="s">
        <v>5</v>
      </c>
      <c r="C1062" s="10" t="s">
        <v>5263</v>
      </c>
      <c r="D1062" s="16" t="s">
        <v>3654</v>
      </c>
      <c r="E1062" s="15" t="s">
        <v>11203</v>
      </c>
      <c r="F1062" s="16" t="str">
        <f>VLOOKUP(Table8[[#This Row],[Mã khách hàng]],code_khach_hang[],2,0)</f>
        <v>CHI NHÁNH THANH HÓA - CÔNG TY CỔ PHẦN DỊCH VỤ THƯƠNG MẠI TỔNG HỢP WINCOMMERCE</v>
      </c>
      <c r="G1062" s="16" t="str">
        <f>VLOOKUP(Table8[[#This Row],[Mã khách hàng]],code_khach_hang[],3,0)</f>
        <v>Miền Trung đặc biệt 1</v>
      </c>
      <c r="H1062" t="str">
        <f>VLOOKUP(Table8[[#This Row],[Mã khách hàng]],'Khách hàng'!A:D,4,0)</f>
        <v>Food Đức Việt</v>
      </c>
      <c r="I1062" t="str">
        <f>VLOOKUP(Table8[[#This Row],[Mã khách hàng]],'Khách hàng'!A:E,5,0)</f>
        <v>HN0040</v>
      </c>
    </row>
    <row r="1063" spans="1:9">
      <c r="A1063" s="14" t="s">
        <v>5475</v>
      </c>
      <c r="B1063" s="15" t="s">
        <v>5</v>
      </c>
      <c r="C1063" s="10" t="s">
        <v>5476</v>
      </c>
      <c r="D1063" s="16" t="s">
        <v>3657</v>
      </c>
      <c r="E1063" s="15" t="s">
        <v>11203</v>
      </c>
      <c r="F1063" s="16" t="str">
        <f>VLOOKUP(Table8[[#This Row],[Mã khách hàng]],code_khach_hang[],2,0)</f>
        <v>CHI NHÁNH THANH HÓA - CÔNG TY CỔ PHẦN DỊCH VỤ THƯƠNG MẠI TỔNG HỢP WINCOMMERCE</v>
      </c>
      <c r="G1063" s="16" t="str">
        <f>VLOOKUP(Table8[[#This Row],[Mã khách hàng]],code_khach_hang[],3,0)</f>
        <v>Miền Trung đặc biệt 1</v>
      </c>
      <c r="H1063" t="str">
        <f>VLOOKUP(Table8[[#This Row],[Mã khách hàng]],'Khách hàng'!A:D,4,0)</f>
        <v>Food Đức Việt</v>
      </c>
      <c r="I1063" t="str">
        <f>VLOOKUP(Table8[[#This Row],[Mã khách hàng]],'Khách hàng'!A:E,5,0)</f>
        <v>HN0040</v>
      </c>
    </row>
    <row r="1064" spans="1:9">
      <c r="A1064" s="14" t="s">
        <v>4920</v>
      </c>
      <c r="B1064" s="15" t="s">
        <v>5</v>
      </c>
      <c r="C1064" s="10" t="s">
        <v>4921</v>
      </c>
      <c r="D1064" s="16" t="s">
        <v>3660</v>
      </c>
      <c r="E1064" s="15" t="s">
        <v>11203</v>
      </c>
      <c r="F1064" s="16" t="str">
        <f>VLOOKUP(Table8[[#This Row],[Mã khách hàng]],code_khach_hang[],2,0)</f>
        <v>CHI NHÁNH THANH HÓA - CÔNG TY CỔ PHẦN DỊCH VỤ THƯƠNG MẠI TỔNG HỢP WINCOMMERCE</v>
      </c>
      <c r="G1064" s="16" t="str">
        <f>VLOOKUP(Table8[[#This Row],[Mã khách hàng]],code_khach_hang[],3,0)</f>
        <v>Miền Trung đặc biệt 1</v>
      </c>
      <c r="H1064" t="str">
        <f>VLOOKUP(Table8[[#This Row],[Mã khách hàng]],'Khách hàng'!A:D,4,0)</f>
        <v>Food Đức Việt</v>
      </c>
      <c r="I1064" t="str">
        <f>VLOOKUP(Table8[[#This Row],[Mã khách hàng]],'Khách hàng'!A:E,5,0)</f>
        <v>HN0040</v>
      </c>
    </row>
    <row r="1065" spans="1:9">
      <c r="A1065" s="14" t="s">
        <v>5208</v>
      </c>
      <c r="B1065" s="15" t="s">
        <v>5</v>
      </c>
      <c r="C1065" s="10" t="s">
        <v>5209</v>
      </c>
      <c r="D1065" s="16" t="s">
        <v>3662</v>
      </c>
      <c r="E1065" s="15" t="s">
        <v>11203</v>
      </c>
      <c r="F1065" s="16" t="str">
        <f>VLOOKUP(Table8[[#This Row],[Mã khách hàng]],code_khach_hang[],2,0)</f>
        <v>CHI NHÁNH THANH HÓA - CÔNG TY CỔ PHẦN DỊCH VỤ THƯƠNG MẠI TỔNG HỢP WINCOMMERCE</v>
      </c>
      <c r="G1065" s="16" t="str">
        <f>VLOOKUP(Table8[[#This Row],[Mã khách hàng]],code_khach_hang[],3,0)</f>
        <v>Miền Trung đặc biệt 1</v>
      </c>
      <c r="H1065" t="str">
        <f>VLOOKUP(Table8[[#This Row],[Mã khách hàng]],'Khách hàng'!A:D,4,0)</f>
        <v>Food Đức Việt</v>
      </c>
      <c r="I1065" t="str">
        <f>VLOOKUP(Table8[[#This Row],[Mã khách hàng]],'Khách hàng'!A:E,5,0)</f>
        <v>HN0040</v>
      </c>
    </row>
    <row r="1066" spans="1:9">
      <c r="A1066" s="14" t="s">
        <v>5181</v>
      </c>
      <c r="B1066" s="15" t="s">
        <v>5</v>
      </c>
      <c r="C1066" s="10" t="s">
        <v>5182</v>
      </c>
      <c r="D1066" s="16" t="s">
        <v>3665</v>
      </c>
      <c r="E1066" s="15" t="s">
        <v>11203</v>
      </c>
      <c r="F1066" s="16" t="str">
        <f>VLOOKUP(Table8[[#This Row],[Mã khách hàng]],code_khach_hang[],2,0)</f>
        <v>CHI NHÁNH THANH HÓA - CÔNG TY CỔ PHẦN DỊCH VỤ THƯƠNG MẠI TỔNG HỢP WINCOMMERCE</v>
      </c>
      <c r="G1066" s="16" t="str">
        <f>VLOOKUP(Table8[[#This Row],[Mã khách hàng]],code_khach_hang[],3,0)</f>
        <v>Miền Trung đặc biệt 1</v>
      </c>
      <c r="H1066" t="str">
        <f>VLOOKUP(Table8[[#This Row],[Mã khách hàng]],'Khách hàng'!A:D,4,0)</f>
        <v>Food Đức Việt</v>
      </c>
      <c r="I1066" t="str">
        <f>VLOOKUP(Table8[[#This Row],[Mã khách hàng]],'Khách hàng'!A:E,5,0)</f>
        <v>HN0040</v>
      </c>
    </row>
    <row r="1067" spans="1:9">
      <c r="A1067" s="14" t="s">
        <v>9258</v>
      </c>
      <c r="B1067" s="15" t="s">
        <v>5</v>
      </c>
      <c r="C1067" s="10" t="s">
        <v>9259</v>
      </c>
      <c r="D1067" s="16" t="s">
        <v>3668</v>
      </c>
      <c r="E1067" s="15" t="s">
        <v>11203</v>
      </c>
      <c r="F1067" s="16" t="str">
        <f>VLOOKUP(Table8[[#This Row],[Mã khách hàng]],code_khach_hang[],2,0)</f>
        <v>CHI NHÁNH THANH HÓA - CÔNG TY CỔ PHẦN DỊCH VỤ THƯƠNG MẠI TỔNG HỢP WINCOMMERCE</v>
      </c>
      <c r="G1067" s="16" t="str">
        <f>VLOOKUP(Table8[[#This Row],[Mã khách hàng]],code_khach_hang[],3,0)</f>
        <v>Miền Trung đặc biệt 1</v>
      </c>
      <c r="H1067" t="str">
        <f>VLOOKUP(Table8[[#This Row],[Mã khách hàng]],'Khách hàng'!A:D,4,0)</f>
        <v>Food Đức Việt</v>
      </c>
      <c r="I1067" t="str">
        <f>VLOOKUP(Table8[[#This Row],[Mã khách hàng]],'Khách hàng'!A:E,5,0)</f>
        <v>HN0040</v>
      </c>
    </row>
    <row r="1068" spans="1:9">
      <c r="A1068" s="14" t="s">
        <v>5349</v>
      </c>
      <c r="B1068" s="15" t="s">
        <v>5</v>
      </c>
      <c r="C1068" s="10" t="s">
        <v>5350</v>
      </c>
      <c r="D1068" s="16" t="s">
        <v>3671</v>
      </c>
      <c r="E1068" s="15" t="s">
        <v>11203</v>
      </c>
      <c r="F1068" s="16" t="str">
        <f>VLOOKUP(Table8[[#This Row],[Mã khách hàng]],code_khach_hang[],2,0)</f>
        <v>CHI NHÁNH THANH HÓA - CÔNG TY CỔ PHẦN DỊCH VỤ THƯƠNG MẠI TỔNG HỢP WINCOMMERCE</v>
      </c>
      <c r="G1068" s="16" t="str">
        <f>VLOOKUP(Table8[[#This Row],[Mã khách hàng]],code_khach_hang[],3,0)</f>
        <v>Miền Trung đặc biệt 1</v>
      </c>
      <c r="H1068" t="str">
        <f>VLOOKUP(Table8[[#This Row],[Mã khách hàng]],'Khách hàng'!A:D,4,0)</f>
        <v>Food Đức Việt</v>
      </c>
      <c r="I1068" t="str">
        <f>VLOOKUP(Table8[[#This Row],[Mã khách hàng]],'Khách hàng'!A:E,5,0)</f>
        <v>HN0040</v>
      </c>
    </row>
    <row r="1069" spans="1:9">
      <c r="A1069" s="14" t="s">
        <v>5247</v>
      </c>
      <c r="B1069" s="15" t="s">
        <v>5</v>
      </c>
      <c r="C1069" s="10" t="s">
        <v>5248</v>
      </c>
      <c r="D1069" s="16" t="s">
        <v>3674</v>
      </c>
      <c r="E1069" s="15" t="s">
        <v>11203</v>
      </c>
      <c r="F1069" s="16" t="str">
        <f>VLOOKUP(Table8[[#This Row],[Mã khách hàng]],code_khach_hang[],2,0)</f>
        <v>CHI NHÁNH THANH HÓA - CÔNG TY CỔ PHẦN DỊCH VỤ THƯƠNG MẠI TỔNG HỢP WINCOMMERCE</v>
      </c>
      <c r="G1069" s="16" t="str">
        <f>VLOOKUP(Table8[[#This Row],[Mã khách hàng]],code_khach_hang[],3,0)</f>
        <v>Miền Trung đặc biệt 1</v>
      </c>
      <c r="H1069" t="str">
        <f>VLOOKUP(Table8[[#This Row],[Mã khách hàng]],'Khách hàng'!A:D,4,0)</f>
        <v>Food Đức Việt</v>
      </c>
      <c r="I1069" t="str">
        <f>VLOOKUP(Table8[[#This Row],[Mã khách hàng]],'Khách hàng'!A:E,5,0)</f>
        <v>HN0040</v>
      </c>
    </row>
    <row r="1070" spans="1:9">
      <c r="A1070" s="14" t="s">
        <v>5385</v>
      </c>
      <c r="B1070" s="15" t="s">
        <v>5</v>
      </c>
      <c r="C1070" s="10" t="s">
        <v>5386</v>
      </c>
      <c r="D1070" s="16" t="s">
        <v>3677</v>
      </c>
      <c r="E1070" s="15" t="s">
        <v>11203</v>
      </c>
      <c r="F1070" s="16" t="str">
        <f>VLOOKUP(Table8[[#This Row],[Mã khách hàng]],code_khach_hang[],2,0)</f>
        <v>CHI NHÁNH THANH HÓA - CÔNG TY CỔ PHẦN DỊCH VỤ THƯƠNG MẠI TỔNG HỢP WINCOMMERCE</v>
      </c>
      <c r="G1070" s="16" t="str">
        <f>VLOOKUP(Table8[[#This Row],[Mã khách hàng]],code_khach_hang[],3,0)</f>
        <v>Miền Trung đặc biệt 1</v>
      </c>
      <c r="H1070" t="str">
        <f>VLOOKUP(Table8[[#This Row],[Mã khách hàng]],'Khách hàng'!A:D,4,0)</f>
        <v>Food Đức Việt</v>
      </c>
      <c r="I1070" t="str">
        <f>VLOOKUP(Table8[[#This Row],[Mã khách hàng]],'Khách hàng'!A:E,5,0)</f>
        <v>HN0040</v>
      </c>
    </row>
    <row r="1071" spans="1:9">
      <c r="A1071" s="14" t="s">
        <v>5433</v>
      </c>
      <c r="B1071" s="15" t="s">
        <v>5</v>
      </c>
      <c r="C1071" s="10" t="s">
        <v>5434</v>
      </c>
      <c r="D1071" s="16" t="s">
        <v>3680</v>
      </c>
      <c r="E1071" s="15" t="s">
        <v>11203</v>
      </c>
      <c r="F1071" s="16" t="str">
        <f>VLOOKUP(Table8[[#This Row],[Mã khách hàng]],code_khach_hang[],2,0)</f>
        <v>CHI NHÁNH THANH HÓA - CÔNG TY CỔ PHẦN DỊCH VỤ THƯƠNG MẠI TỔNG HỢP WINCOMMERCE</v>
      </c>
      <c r="G1071" s="16" t="str">
        <f>VLOOKUP(Table8[[#This Row],[Mã khách hàng]],code_khach_hang[],3,0)</f>
        <v>Miền Trung đặc biệt 1</v>
      </c>
      <c r="H1071" t="str">
        <f>VLOOKUP(Table8[[#This Row],[Mã khách hàng]],'Khách hàng'!A:D,4,0)</f>
        <v>Food Đức Việt</v>
      </c>
      <c r="I1071" t="str">
        <f>VLOOKUP(Table8[[#This Row],[Mã khách hàng]],'Khách hàng'!A:E,5,0)</f>
        <v>HN0040</v>
      </c>
    </row>
    <row r="1072" spans="1:9">
      <c r="A1072" s="14" t="s">
        <v>8085</v>
      </c>
      <c r="B1072" s="15" t="s">
        <v>5</v>
      </c>
      <c r="C1072" s="10" t="s">
        <v>8086</v>
      </c>
      <c r="D1072" s="16" t="s">
        <v>3683</v>
      </c>
      <c r="E1072" s="15" t="s">
        <v>11203</v>
      </c>
      <c r="F1072" s="16" t="str">
        <f>VLOOKUP(Table8[[#This Row],[Mã khách hàng]],code_khach_hang[],2,0)</f>
        <v>CHI NHÁNH THANH HÓA - CÔNG TY CỔ PHẦN DỊCH VỤ THƯƠNG MẠI TỔNG HỢP WINCOMMERCE</v>
      </c>
      <c r="G1072" s="16" t="str">
        <f>VLOOKUP(Table8[[#This Row],[Mã khách hàng]],code_khach_hang[],3,0)</f>
        <v>Miền Trung đặc biệt 1</v>
      </c>
      <c r="H1072" t="str">
        <f>VLOOKUP(Table8[[#This Row],[Mã khách hàng]],'Khách hàng'!A:D,4,0)</f>
        <v>Food Đức Việt</v>
      </c>
      <c r="I1072" t="str">
        <f>VLOOKUP(Table8[[#This Row],[Mã khách hàng]],'Khách hàng'!A:E,5,0)</f>
        <v>HN0040</v>
      </c>
    </row>
    <row r="1073" spans="1:9">
      <c r="A1073" s="14" t="s">
        <v>8091</v>
      </c>
      <c r="B1073" s="15" t="s">
        <v>5</v>
      </c>
      <c r="C1073" s="10" t="s">
        <v>8092</v>
      </c>
      <c r="D1073" s="16" t="s">
        <v>3686</v>
      </c>
      <c r="E1073" s="15" t="s">
        <v>11203</v>
      </c>
      <c r="F1073" s="16" t="str">
        <f>VLOOKUP(Table8[[#This Row],[Mã khách hàng]],code_khach_hang[],2,0)</f>
        <v>CHI NHÁNH THANH HÓA - CÔNG TY CỔ PHẦN DỊCH VỤ THƯƠNG MẠI TỔNG HỢP WINCOMMERCE</v>
      </c>
      <c r="G1073" s="16" t="str">
        <f>VLOOKUP(Table8[[#This Row],[Mã khách hàng]],code_khach_hang[],3,0)</f>
        <v>Miền Trung đặc biệt 1</v>
      </c>
      <c r="H1073" t="str">
        <f>VLOOKUP(Table8[[#This Row],[Mã khách hàng]],'Khách hàng'!A:D,4,0)</f>
        <v>Food Đức Việt</v>
      </c>
      <c r="I1073" t="str">
        <f>VLOOKUP(Table8[[#This Row],[Mã khách hàng]],'Khách hàng'!A:E,5,0)</f>
        <v>HN0040</v>
      </c>
    </row>
    <row r="1074" spans="1:9">
      <c r="A1074" s="14" t="s">
        <v>8094</v>
      </c>
      <c r="B1074" s="15" t="s">
        <v>5</v>
      </c>
      <c r="C1074" s="10" t="s">
        <v>8095</v>
      </c>
      <c r="D1074" s="16" t="s">
        <v>3689</v>
      </c>
      <c r="E1074" s="15" t="s">
        <v>11203</v>
      </c>
      <c r="F1074" s="16" t="str">
        <f>VLOOKUP(Table8[[#This Row],[Mã khách hàng]],code_khach_hang[],2,0)</f>
        <v>CHI NHÁNH THANH HÓA - CÔNG TY CỔ PHẦN DỊCH VỤ THƯƠNG MẠI TỔNG HỢP WINCOMMERCE</v>
      </c>
      <c r="G1074" s="16" t="str">
        <f>VLOOKUP(Table8[[#This Row],[Mã khách hàng]],code_khach_hang[],3,0)</f>
        <v>Miền Trung đặc biệt 1</v>
      </c>
      <c r="H1074" t="str">
        <f>VLOOKUP(Table8[[#This Row],[Mã khách hàng]],'Khách hàng'!A:D,4,0)</f>
        <v>Food Đức Việt</v>
      </c>
      <c r="I1074" t="str">
        <f>VLOOKUP(Table8[[#This Row],[Mã khách hàng]],'Khách hàng'!A:E,5,0)</f>
        <v>HN0040</v>
      </c>
    </row>
    <row r="1075" spans="1:9">
      <c r="A1075" s="14" t="s">
        <v>5430</v>
      </c>
      <c r="B1075" s="15" t="s">
        <v>5</v>
      </c>
      <c r="C1075" s="10" t="s">
        <v>5431</v>
      </c>
      <c r="D1075" s="16" t="s">
        <v>3692</v>
      </c>
      <c r="E1075" s="15" t="s">
        <v>11203</v>
      </c>
      <c r="F1075" s="16" t="str">
        <f>VLOOKUP(Table8[[#This Row],[Mã khách hàng]],code_khach_hang[],2,0)</f>
        <v>CHI NHÁNH THANH HÓA - CÔNG TY CỔ PHẦN DỊCH VỤ THƯƠNG MẠI TỔNG HỢP WINCOMMERCE</v>
      </c>
      <c r="G1075" s="16" t="str">
        <f>VLOOKUP(Table8[[#This Row],[Mã khách hàng]],code_khach_hang[],3,0)</f>
        <v>Miền Trung đặc biệt 1</v>
      </c>
      <c r="H1075" t="str">
        <f>VLOOKUP(Table8[[#This Row],[Mã khách hàng]],'Khách hàng'!A:D,4,0)</f>
        <v>Food Đức Việt</v>
      </c>
      <c r="I1075" t="str">
        <f>VLOOKUP(Table8[[#This Row],[Mã khách hàng]],'Khách hàng'!A:E,5,0)</f>
        <v>HN0040</v>
      </c>
    </row>
    <row r="1076" spans="1:9">
      <c r="A1076" s="14" t="s">
        <v>5451</v>
      </c>
      <c r="B1076" s="15" t="s">
        <v>5</v>
      </c>
      <c r="C1076" s="10" t="s">
        <v>5452</v>
      </c>
      <c r="D1076" s="16" t="s">
        <v>3695</v>
      </c>
      <c r="E1076" s="15" t="s">
        <v>11203</v>
      </c>
      <c r="F1076" s="16" t="str">
        <f>VLOOKUP(Table8[[#This Row],[Mã khách hàng]],code_khach_hang[],2,0)</f>
        <v>CHI NHÁNH THANH HÓA - CÔNG TY CỔ PHẦN DỊCH VỤ THƯƠNG MẠI TỔNG HỢP WINCOMMERCE</v>
      </c>
      <c r="G1076" s="16" t="str">
        <f>VLOOKUP(Table8[[#This Row],[Mã khách hàng]],code_khach_hang[],3,0)</f>
        <v>Miền Trung đặc biệt 1</v>
      </c>
      <c r="H1076" t="str">
        <f>VLOOKUP(Table8[[#This Row],[Mã khách hàng]],'Khách hàng'!A:D,4,0)</f>
        <v>Food Đức Việt</v>
      </c>
      <c r="I1076" t="str">
        <f>VLOOKUP(Table8[[#This Row],[Mã khách hàng]],'Khách hàng'!A:E,5,0)</f>
        <v>HN0040</v>
      </c>
    </row>
    <row r="1077" spans="1:9">
      <c r="A1077" s="14" t="s">
        <v>7407</v>
      </c>
      <c r="B1077" s="15" t="s">
        <v>5</v>
      </c>
      <c r="C1077" s="10" t="s">
        <v>7408</v>
      </c>
      <c r="D1077" s="16" t="s">
        <v>3697</v>
      </c>
      <c r="E1077" s="15" t="s">
        <v>11203</v>
      </c>
      <c r="F1077" s="16" t="str">
        <f>VLOOKUP(Table8[[#This Row],[Mã khách hàng]],code_khach_hang[],2,0)</f>
        <v>CHI NHÁNH THANH HÓA - CÔNG TY CỔ PHẦN DỊCH VỤ THƯƠNG MẠI TỔNG HỢP WINCOMMERCE</v>
      </c>
      <c r="G1077" s="16" t="str">
        <f>VLOOKUP(Table8[[#This Row],[Mã khách hàng]],code_khach_hang[],3,0)</f>
        <v>Miền Trung đặc biệt 1</v>
      </c>
      <c r="H1077" t="str">
        <f>VLOOKUP(Table8[[#This Row],[Mã khách hàng]],'Khách hàng'!A:D,4,0)</f>
        <v>Food Đức Việt</v>
      </c>
      <c r="I1077" t="str">
        <f>VLOOKUP(Table8[[#This Row],[Mã khách hàng]],'Khách hàng'!A:E,5,0)</f>
        <v>HN0040</v>
      </c>
    </row>
    <row r="1078" spans="1:9">
      <c r="A1078" s="14" t="s">
        <v>6199</v>
      </c>
      <c r="B1078" s="15" t="s">
        <v>5</v>
      </c>
      <c r="C1078" s="10" t="s">
        <v>6200</v>
      </c>
      <c r="D1078" s="16" t="s">
        <v>3700</v>
      </c>
      <c r="E1078" s="15" t="s">
        <v>11203</v>
      </c>
      <c r="F1078" s="16" t="str">
        <f>VLOOKUP(Table8[[#This Row],[Mã khách hàng]],code_khach_hang[],2,0)</f>
        <v>CHI NHÁNH THANH HÓA - CÔNG TY CỔ PHẦN DỊCH VỤ THƯƠNG MẠI TỔNG HỢP WINCOMMERCE</v>
      </c>
      <c r="G1078" s="16" t="str">
        <f>VLOOKUP(Table8[[#This Row],[Mã khách hàng]],code_khach_hang[],3,0)</f>
        <v>Miền Trung đặc biệt 1</v>
      </c>
      <c r="H1078" t="str">
        <f>VLOOKUP(Table8[[#This Row],[Mã khách hàng]],'Khách hàng'!A:D,4,0)</f>
        <v>Food Đức Việt</v>
      </c>
      <c r="I1078" t="str">
        <f>VLOOKUP(Table8[[#This Row],[Mã khách hàng]],'Khách hàng'!A:E,5,0)</f>
        <v>HN0040</v>
      </c>
    </row>
    <row r="1079" spans="1:9">
      <c r="A1079" s="14" t="s">
        <v>6884</v>
      </c>
      <c r="B1079" s="15" t="s">
        <v>5</v>
      </c>
      <c r="C1079" s="10" t="s">
        <v>6885</v>
      </c>
      <c r="D1079" s="16" t="s">
        <v>3703</v>
      </c>
      <c r="E1079" s="15" t="s">
        <v>11203</v>
      </c>
      <c r="F1079" s="16" t="str">
        <f>VLOOKUP(Table8[[#This Row],[Mã khách hàng]],code_khach_hang[],2,0)</f>
        <v>CHI NHÁNH THANH HÓA - CÔNG TY CỔ PHẦN DỊCH VỤ THƯƠNG MẠI TỔNG HỢP WINCOMMERCE</v>
      </c>
      <c r="G1079" s="16" t="str">
        <f>VLOOKUP(Table8[[#This Row],[Mã khách hàng]],code_khach_hang[],3,0)</f>
        <v>Miền Trung đặc biệt 1</v>
      </c>
      <c r="H1079" t="str">
        <f>VLOOKUP(Table8[[#This Row],[Mã khách hàng]],'Khách hàng'!A:D,4,0)</f>
        <v>Food Đức Việt</v>
      </c>
      <c r="I1079" t="str">
        <f>VLOOKUP(Table8[[#This Row],[Mã khách hàng]],'Khách hàng'!A:E,5,0)</f>
        <v>HN0040</v>
      </c>
    </row>
    <row r="1080" spans="1:9">
      <c r="A1080" s="14" t="s">
        <v>7405</v>
      </c>
      <c r="B1080" s="15" t="s">
        <v>5</v>
      </c>
      <c r="C1080" s="10" t="e">
        <v>#N/A</v>
      </c>
      <c r="D1080" s="16" t="s">
        <v>3706</v>
      </c>
      <c r="E1080" s="15" t="s">
        <v>11203</v>
      </c>
      <c r="F1080" s="16" t="str">
        <f>VLOOKUP(Table8[[#This Row],[Mã khách hàng]],code_khach_hang[],2,0)</f>
        <v>CHI NHÁNH THANH HÓA - CÔNG TY CỔ PHẦN DỊCH VỤ THƯƠNG MẠI TỔNG HỢP WINCOMMERCE</v>
      </c>
      <c r="G1080" s="16" t="str">
        <f>VLOOKUP(Table8[[#This Row],[Mã khách hàng]],code_khach_hang[],3,0)</f>
        <v>Miền Trung đặc biệt 1</v>
      </c>
      <c r="H1080" t="str">
        <f>VLOOKUP(Table8[[#This Row],[Mã khách hàng]],'Khách hàng'!A:D,4,0)</f>
        <v>Food Đức Việt</v>
      </c>
      <c r="I1080" t="str">
        <f>VLOOKUP(Table8[[#This Row],[Mã khách hàng]],'Khách hàng'!A:E,5,0)</f>
        <v>HN0040</v>
      </c>
    </row>
    <row r="1081" spans="1:9">
      <c r="A1081" s="14" t="s">
        <v>5205</v>
      </c>
      <c r="B1081" s="15" t="s">
        <v>5</v>
      </c>
      <c r="C1081" s="10" t="s">
        <v>5206</v>
      </c>
      <c r="D1081" s="16" t="s">
        <v>3709</v>
      </c>
      <c r="E1081" s="15" t="s">
        <v>11203</v>
      </c>
      <c r="F1081" s="16" t="str">
        <f>VLOOKUP(Table8[[#This Row],[Mã khách hàng]],code_khach_hang[],2,0)</f>
        <v>CHI NHÁNH THANH HÓA - CÔNG TY CỔ PHẦN DỊCH VỤ THƯƠNG MẠI TỔNG HỢP WINCOMMERCE</v>
      </c>
      <c r="G1081" s="16" t="str">
        <f>VLOOKUP(Table8[[#This Row],[Mã khách hàng]],code_khach_hang[],3,0)</f>
        <v>Miền Trung đặc biệt 1</v>
      </c>
      <c r="H1081" t="str">
        <f>VLOOKUP(Table8[[#This Row],[Mã khách hàng]],'Khách hàng'!A:D,4,0)</f>
        <v>Food Đức Việt</v>
      </c>
      <c r="I1081" t="str">
        <f>VLOOKUP(Table8[[#This Row],[Mã khách hàng]],'Khách hàng'!A:E,5,0)</f>
        <v>HN0040</v>
      </c>
    </row>
    <row r="1082" spans="1:9">
      <c r="A1082" s="14" t="s">
        <v>6692</v>
      </c>
      <c r="B1082" s="15" t="s">
        <v>5</v>
      </c>
      <c r="C1082" s="10" t="s">
        <v>6693</v>
      </c>
      <c r="D1082" s="16" t="s">
        <v>3712</v>
      </c>
      <c r="E1082" s="15" t="s">
        <v>11203</v>
      </c>
      <c r="F1082" s="16" t="str">
        <f>VLOOKUP(Table8[[#This Row],[Mã khách hàng]],code_khach_hang[],2,0)</f>
        <v>CHI NHÁNH THANH HÓA - CÔNG TY CỔ PHẦN DỊCH VỤ THƯƠNG MẠI TỔNG HỢP WINCOMMERCE</v>
      </c>
      <c r="G1082" s="16" t="str">
        <f>VLOOKUP(Table8[[#This Row],[Mã khách hàng]],code_khach_hang[],3,0)</f>
        <v>Miền Trung đặc biệt 1</v>
      </c>
      <c r="H1082" t="str">
        <f>VLOOKUP(Table8[[#This Row],[Mã khách hàng]],'Khách hàng'!A:D,4,0)</f>
        <v>Food Đức Việt</v>
      </c>
      <c r="I1082" t="str">
        <f>VLOOKUP(Table8[[#This Row],[Mã khách hàng]],'Khách hàng'!A:E,5,0)</f>
        <v>HN0040</v>
      </c>
    </row>
    <row r="1083" spans="1:9">
      <c r="A1083" s="14" t="s">
        <v>5379</v>
      </c>
      <c r="B1083" s="15" t="s">
        <v>5</v>
      </c>
      <c r="C1083" s="10" t="s">
        <v>5380</v>
      </c>
      <c r="D1083" s="16" t="s">
        <v>3715</v>
      </c>
      <c r="E1083" s="15" t="s">
        <v>11203</v>
      </c>
      <c r="F1083" s="16" t="str">
        <f>VLOOKUP(Table8[[#This Row],[Mã khách hàng]],code_khach_hang[],2,0)</f>
        <v>CHI NHÁNH THANH HÓA - CÔNG TY CỔ PHẦN DỊCH VỤ THƯƠNG MẠI TỔNG HỢP WINCOMMERCE</v>
      </c>
      <c r="G1083" s="16" t="str">
        <f>VLOOKUP(Table8[[#This Row],[Mã khách hàng]],code_khach_hang[],3,0)</f>
        <v>Miền Trung đặc biệt 1</v>
      </c>
      <c r="H1083" t="str">
        <f>VLOOKUP(Table8[[#This Row],[Mã khách hàng]],'Khách hàng'!A:D,4,0)</f>
        <v>Food Đức Việt</v>
      </c>
      <c r="I1083" t="str">
        <f>VLOOKUP(Table8[[#This Row],[Mã khách hàng]],'Khách hàng'!A:E,5,0)</f>
        <v>HN0040</v>
      </c>
    </row>
    <row r="1084" spans="1:9">
      <c r="A1084" s="14" t="s">
        <v>5211</v>
      </c>
      <c r="B1084" s="15" t="s">
        <v>5</v>
      </c>
      <c r="C1084" s="10" t="s">
        <v>5212</v>
      </c>
      <c r="D1084" s="16" t="s">
        <v>3718</v>
      </c>
      <c r="E1084" s="15" t="s">
        <v>11203</v>
      </c>
      <c r="F1084" s="16" t="str">
        <f>VLOOKUP(Table8[[#This Row],[Mã khách hàng]],code_khach_hang[],2,0)</f>
        <v>CHI NHÁNH THANH HÓA - CÔNG TY CỔ PHẦN DỊCH VỤ THƯƠNG MẠI TỔNG HỢP WINCOMMERCE</v>
      </c>
      <c r="G1084" s="16" t="str">
        <f>VLOOKUP(Table8[[#This Row],[Mã khách hàng]],code_khach_hang[],3,0)</f>
        <v>Miền Trung đặc biệt 1</v>
      </c>
      <c r="H1084" t="str">
        <f>VLOOKUP(Table8[[#This Row],[Mã khách hàng]],'Khách hàng'!A:D,4,0)</f>
        <v>Food Đức Việt</v>
      </c>
      <c r="I1084" t="str">
        <f>VLOOKUP(Table8[[#This Row],[Mã khách hàng]],'Khách hàng'!A:E,5,0)</f>
        <v>HN0040</v>
      </c>
    </row>
    <row r="1085" spans="1:9">
      <c r="A1085" s="14" t="s">
        <v>8145</v>
      </c>
      <c r="B1085" s="15" t="s">
        <v>5</v>
      </c>
      <c r="C1085" s="10" t="s">
        <v>8146</v>
      </c>
      <c r="D1085" s="16" t="s">
        <v>3720</v>
      </c>
      <c r="E1085" s="15" t="s">
        <v>11203</v>
      </c>
      <c r="F1085" s="16" t="str">
        <f>VLOOKUP(Table8[[#This Row],[Mã khách hàng]],code_khach_hang[],2,0)</f>
        <v>CHI NHÁNH THANH HÓA - CÔNG TY CỔ PHẦN DỊCH VỤ THƯƠNG MẠI TỔNG HỢP WINCOMMERCE</v>
      </c>
      <c r="G1085" s="16" t="str">
        <f>VLOOKUP(Table8[[#This Row],[Mã khách hàng]],code_khach_hang[],3,0)</f>
        <v>Miền Trung đặc biệt 1</v>
      </c>
      <c r="H1085" t="str">
        <f>VLOOKUP(Table8[[#This Row],[Mã khách hàng]],'Khách hàng'!A:D,4,0)</f>
        <v>Food Đức Việt</v>
      </c>
      <c r="I1085" t="str">
        <f>VLOOKUP(Table8[[#This Row],[Mã khách hàng]],'Khách hàng'!A:E,5,0)</f>
        <v>HN0040</v>
      </c>
    </row>
    <row r="1086" spans="1:9">
      <c r="A1086" s="14" t="s">
        <v>8175</v>
      </c>
      <c r="B1086" s="15" t="s">
        <v>5</v>
      </c>
      <c r="C1086" s="10" t="s">
        <v>8176</v>
      </c>
      <c r="D1086" s="16" t="s">
        <v>3723</v>
      </c>
      <c r="E1086" s="15" t="s">
        <v>11203</v>
      </c>
      <c r="F1086" s="16" t="str">
        <f>VLOOKUP(Table8[[#This Row],[Mã khách hàng]],code_khach_hang[],2,0)</f>
        <v>CHI NHÁNH THANH HÓA - CÔNG TY CỔ PHẦN DỊCH VỤ THƯƠNG MẠI TỔNG HỢP WINCOMMERCE</v>
      </c>
      <c r="G1086" s="16" t="str">
        <f>VLOOKUP(Table8[[#This Row],[Mã khách hàng]],code_khach_hang[],3,0)</f>
        <v>Miền Trung đặc biệt 1</v>
      </c>
      <c r="H1086" t="str">
        <f>VLOOKUP(Table8[[#This Row],[Mã khách hàng]],'Khách hàng'!A:D,4,0)</f>
        <v>Food Đức Việt</v>
      </c>
      <c r="I1086" t="str">
        <f>VLOOKUP(Table8[[#This Row],[Mã khách hàng]],'Khách hàng'!A:E,5,0)</f>
        <v>HN0040</v>
      </c>
    </row>
    <row r="1087" spans="1:9">
      <c r="A1087" s="14" t="s">
        <v>8148</v>
      </c>
      <c r="B1087" s="15" t="s">
        <v>5</v>
      </c>
      <c r="C1087" s="10" t="s">
        <v>8149</v>
      </c>
      <c r="D1087" s="16" t="s">
        <v>3725</v>
      </c>
      <c r="E1087" s="15" t="s">
        <v>11203</v>
      </c>
      <c r="F1087" s="16" t="str">
        <f>VLOOKUP(Table8[[#This Row],[Mã khách hàng]],code_khach_hang[],2,0)</f>
        <v>CHI NHÁNH THANH HÓA - CÔNG TY CỔ PHẦN DỊCH VỤ THƯƠNG MẠI TỔNG HỢP WINCOMMERCE</v>
      </c>
      <c r="G1087" s="16" t="str">
        <f>VLOOKUP(Table8[[#This Row],[Mã khách hàng]],code_khach_hang[],3,0)</f>
        <v>Miền Trung đặc biệt 1</v>
      </c>
      <c r="H1087" t="str">
        <f>VLOOKUP(Table8[[#This Row],[Mã khách hàng]],'Khách hàng'!A:D,4,0)</f>
        <v>Food Đức Việt</v>
      </c>
      <c r="I1087" t="str">
        <f>VLOOKUP(Table8[[#This Row],[Mã khách hàng]],'Khách hàng'!A:E,5,0)</f>
        <v>HN0040</v>
      </c>
    </row>
    <row r="1088" spans="1:9">
      <c r="A1088" s="14" t="s">
        <v>8190</v>
      </c>
      <c r="B1088" s="15" t="s">
        <v>5</v>
      </c>
      <c r="C1088" s="10" t="e">
        <v>#N/A</v>
      </c>
      <c r="D1088" s="16" t="s">
        <v>3728</v>
      </c>
      <c r="E1088" s="15" t="s">
        <v>11203</v>
      </c>
      <c r="F1088" s="16" t="str">
        <f>VLOOKUP(Table8[[#This Row],[Mã khách hàng]],code_khach_hang[],2,0)</f>
        <v>CHI NHÁNH THANH HÓA - CÔNG TY CỔ PHẦN DỊCH VỤ THƯƠNG MẠI TỔNG HỢP WINCOMMERCE</v>
      </c>
      <c r="G1088" s="16" t="str">
        <f>VLOOKUP(Table8[[#This Row],[Mã khách hàng]],code_khach_hang[],3,0)</f>
        <v>Miền Trung đặc biệt 1</v>
      </c>
      <c r="H1088" t="str">
        <f>VLOOKUP(Table8[[#This Row],[Mã khách hàng]],'Khách hàng'!A:D,4,0)</f>
        <v>Food Đức Việt</v>
      </c>
      <c r="I1088" t="str">
        <f>VLOOKUP(Table8[[#This Row],[Mã khách hàng]],'Khách hàng'!A:E,5,0)</f>
        <v>HN0040</v>
      </c>
    </row>
    <row r="1089" spans="1:9">
      <c r="A1089" s="14" t="s">
        <v>8275</v>
      </c>
      <c r="B1089" s="15" t="s">
        <v>5</v>
      </c>
      <c r="C1089" s="10" t="s">
        <v>8276</v>
      </c>
      <c r="D1089" s="16" t="s">
        <v>3731</v>
      </c>
      <c r="E1089" s="15" t="s">
        <v>11203</v>
      </c>
      <c r="F1089" s="16" t="str">
        <f>VLOOKUP(Table8[[#This Row],[Mã khách hàng]],code_khach_hang[],2,0)</f>
        <v>CHI NHÁNH THANH HÓA - CÔNG TY CỔ PHẦN DỊCH VỤ THƯƠNG MẠI TỔNG HỢP WINCOMMERCE</v>
      </c>
      <c r="G1089" s="16" t="str">
        <f>VLOOKUP(Table8[[#This Row],[Mã khách hàng]],code_khach_hang[],3,0)</f>
        <v>Miền Trung đặc biệt 1</v>
      </c>
      <c r="H1089" t="str">
        <f>VLOOKUP(Table8[[#This Row],[Mã khách hàng]],'Khách hàng'!A:D,4,0)</f>
        <v>Food Đức Việt</v>
      </c>
      <c r="I1089" t="str">
        <f>VLOOKUP(Table8[[#This Row],[Mã khách hàng]],'Khách hàng'!A:E,5,0)</f>
        <v>HN0040</v>
      </c>
    </row>
    <row r="1090" spans="1:9">
      <c r="A1090" s="14" t="s">
        <v>8301</v>
      </c>
      <c r="B1090" s="15" t="s">
        <v>5</v>
      </c>
      <c r="C1090" s="10" t="s">
        <v>8302</v>
      </c>
      <c r="D1090" s="16" t="s">
        <v>3734</v>
      </c>
      <c r="E1090" s="15" t="s">
        <v>11203</v>
      </c>
      <c r="F1090" s="16" t="str">
        <f>VLOOKUP(Table8[[#This Row],[Mã khách hàng]],code_khach_hang[],2,0)</f>
        <v>CHI NHÁNH THANH HÓA - CÔNG TY CỔ PHẦN DỊCH VỤ THƯƠNG MẠI TỔNG HỢP WINCOMMERCE</v>
      </c>
      <c r="G1090" s="16" t="str">
        <f>VLOOKUP(Table8[[#This Row],[Mã khách hàng]],code_khach_hang[],3,0)</f>
        <v>Miền Trung đặc biệt 1</v>
      </c>
      <c r="H1090" t="str">
        <f>VLOOKUP(Table8[[#This Row],[Mã khách hàng]],'Khách hàng'!A:D,4,0)</f>
        <v>Food Đức Việt</v>
      </c>
      <c r="I1090" t="str">
        <f>VLOOKUP(Table8[[#This Row],[Mã khách hàng]],'Khách hàng'!A:E,5,0)</f>
        <v>HN0040</v>
      </c>
    </row>
    <row r="1091" spans="1:9">
      <c r="A1091" s="14" t="s">
        <v>8373</v>
      </c>
      <c r="B1091" s="15" t="s">
        <v>5</v>
      </c>
      <c r="C1091" s="10" t="s">
        <v>8374</v>
      </c>
      <c r="D1091" s="16" t="s">
        <v>3737</v>
      </c>
      <c r="E1091" s="15" t="s">
        <v>11203</v>
      </c>
      <c r="F1091" s="16" t="str">
        <f>VLOOKUP(Table8[[#This Row],[Mã khách hàng]],code_khach_hang[],2,0)</f>
        <v>CHI NHÁNH THANH HÓA - CÔNG TY CỔ PHẦN DỊCH VỤ THƯƠNG MẠI TỔNG HỢP WINCOMMERCE</v>
      </c>
      <c r="G1091" s="16" t="str">
        <f>VLOOKUP(Table8[[#This Row],[Mã khách hàng]],code_khach_hang[],3,0)</f>
        <v>Miền Trung đặc biệt 1</v>
      </c>
      <c r="H1091" t="str">
        <f>VLOOKUP(Table8[[#This Row],[Mã khách hàng]],'Khách hàng'!A:D,4,0)</f>
        <v>Food Đức Việt</v>
      </c>
      <c r="I1091" t="str">
        <f>VLOOKUP(Table8[[#This Row],[Mã khách hàng]],'Khách hàng'!A:E,5,0)</f>
        <v>HN0040</v>
      </c>
    </row>
    <row r="1092" spans="1:9">
      <c r="A1092" s="14" t="s">
        <v>8387</v>
      </c>
      <c r="B1092" s="15" t="s">
        <v>5</v>
      </c>
      <c r="C1092" s="10" t="s">
        <v>8388</v>
      </c>
      <c r="D1092" s="16" t="s">
        <v>3740</v>
      </c>
      <c r="E1092" s="15" t="s">
        <v>11203</v>
      </c>
      <c r="F1092" s="16" t="str">
        <f>VLOOKUP(Table8[[#This Row],[Mã khách hàng]],code_khach_hang[],2,0)</f>
        <v>CHI NHÁNH THANH HÓA - CÔNG TY CỔ PHẦN DỊCH VỤ THƯƠNG MẠI TỔNG HỢP WINCOMMERCE</v>
      </c>
      <c r="G1092" s="16" t="str">
        <f>VLOOKUP(Table8[[#This Row],[Mã khách hàng]],code_khach_hang[],3,0)</f>
        <v>Miền Trung đặc biệt 1</v>
      </c>
      <c r="H1092" t="str">
        <f>VLOOKUP(Table8[[#This Row],[Mã khách hàng]],'Khách hàng'!A:D,4,0)</f>
        <v>Food Đức Việt</v>
      </c>
      <c r="I1092" t="str">
        <f>VLOOKUP(Table8[[#This Row],[Mã khách hàng]],'Khách hàng'!A:E,5,0)</f>
        <v>HN0040</v>
      </c>
    </row>
    <row r="1093" spans="1:9">
      <c r="A1093" s="14" t="s">
        <v>8477</v>
      </c>
      <c r="B1093" s="15" t="s">
        <v>5</v>
      </c>
      <c r="C1093" s="10" t="s">
        <v>8478</v>
      </c>
      <c r="D1093" s="16" t="s">
        <v>3743</v>
      </c>
      <c r="E1093" s="15" t="s">
        <v>11203</v>
      </c>
      <c r="F1093" s="16" t="str">
        <f>VLOOKUP(Table8[[#This Row],[Mã khách hàng]],code_khach_hang[],2,0)</f>
        <v>CHI NHÁNH THANH HÓA - CÔNG TY CỔ PHẦN DỊCH VỤ THƯƠNG MẠI TỔNG HỢP WINCOMMERCE</v>
      </c>
      <c r="G1093" s="16" t="str">
        <f>VLOOKUP(Table8[[#This Row],[Mã khách hàng]],code_khach_hang[],3,0)</f>
        <v>Miền Trung đặc biệt 1</v>
      </c>
      <c r="H1093" t="str">
        <f>VLOOKUP(Table8[[#This Row],[Mã khách hàng]],'Khách hàng'!A:D,4,0)</f>
        <v>Food Đức Việt</v>
      </c>
      <c r="I1093" t="str">
        <f>VLOOKUP(Table8[[#This Row],[Mã khách hàng]],'Khách hàng'!A:E,5,0)</f>
        <v>HN0040</v>
      </c>
    </row>
    <row r="1094" spans="1:9">
      <c r="A1094" s="14" t="s">
        <v>8597</v>
      </c>
      <c r="B1094" s="15" t="s">
        <v>5</v>
      </c>
      <c r="C1094" s="10" t="s">
        <v>8598</v>
      </c>
      <c r="D1094" s="16" t="s">
        <v>3746</v>
      </c>
      <c r="E1094" s="15" t="s">
        <v>11203</v>
      </c>
      <c r="F1094" s="16" t="str">
        <f>VLOOKUP(Table8[[#This Row],[Mã khách hàng]],code_khach_hang[],2,0)</f>
        <v>CHI NHÁNH THANH HÓA - CÔNG TY CỔ PHẦN DỊCH VỤ THƯƠNG MẠI TỔNG HỢP WINCOMMERCE</v>
      </c>
      <c r="G1094" s="16" t="str">
        <f>VLOOKUP(Table8[[#This Row],[Mã khách hàng]],code_khach_hang[],3,0)</f>
        <v>Miền Trung đặc biệt 1</v>
      </c>
      <c r="H1094" t="str">
        <f>VLOOKUP(Table8[[#This Row],[Mã khách hàng]],'Khách hàng'!A:D,4,0)</f>
        <v>Food Đức Việt</v>
      </c>
      <c r="I1094" t="str">
        <f>VLOOKUP(Table8[[#This Row],[Mã khách hàng]],'Khách hàng'!A:E,5,0)</f>
        <v>HN0040</v>
      </c>
    </row>
    <row r="1095" spans="1:9">
      <c r="A1095" s="14" t="s">
        <v>8295</v>
      </c>
      <c r="B1095" s="15" t="s">
        <v>5</v>
      </c>
      <c r="C1095" s="10" t="s">
        <v>8296</v>
      </c>
      <c r="D1095" s="16" t="s">
        <v>3749</v>
      </c>
      <c r="E1095" s="15" t="s">
        <v>11203</v>
      </c>
      <c r="F1095" s="16" t="str">
        <f>VLOOKUP(Table8[[#This Row],[Mã khách hàng]],code_khach_hang[],2,0)</f>
        <v>CHI NHÁNH THANH HÓA - CÔNG TY CỔ PHẦN DỊCH VỤ THƯƠNG MẠI TỔNG HỢP WINCOMMERCE</v>
      </c>
      <c r="G1095" s="16" t="str">
        <f>VLOOKUP(Table8[[#This Row],[Mã khách hàng]],code_khach_hang[],3,0)</f>
        <v>Miền Trung đặc biệt 1</v>
      </c>
      <c r="H1095" t="str">
        <f>VLOOKUP(Table8[[#This Row],[Mã khách hàng]],'Khách hàng'!A:D,4,0)</f>
        <v>Food Đức Việt</v>
      </c>
      <c r="I1095" t="str">
        <f>VLOOKUP(Table8[[#This Row],[Mã khách hàng]],'Khách hàng'!A:E,5,0)</f>
        <v>HN0040</v>
      </c>
    </row>
    <row r="1096" spans="1:9">
      <c r="A1096" s="14" t="s">
        <v>8428</v>
      </c>
      <c r="B1096" s="15" t="s">
        <v>5</v>
      </c>
      <c r="C1096" s="10" t="s">
        <v>8429</v>
      </c>
      <c r="D1096" s="16" t="s">
        <v>3752</v>
      </c>
      <c r="E1096" s="15" t="s">
        <v>11203</v>
      </c>
      <c r="F1096" s="16" t="str">
        <f>VLOOKUP(Table8[[#This Row],[Mã khách hàng]],code_khach_hang[],2,0)</f>
        <v>CHI NHÁNH THANH HÓA - CÔNG TY CỔ PHẦN DỊCH VỤ THƯƠNG MẠI TỔNG HỢP WINCOMMERCE</v>
      </c>
      <c r="G1096" s="16" t="str">
        <f>VLOOKUP(Table8[[#This Row],[Mã khách hàng]],code_khach_hang[],3,0)</f>
        <v>Miền Trung đặc biệt 1</v>
      </c>
      <c r="H1096" t="str">
        <f>VLOOKUP(Table8[[#This Row],[Mã khách hàng]],'Khách hàng'!A:D,4,0)</f>
        <v>Food Đức Việt</v>
      </c>
      <c r="I1096" t="str">
        <f>VLOOKUP(Table8[[#This Row],[Mã khách hàng]],'Khách hàng'!A:E,5,0)</f>
        <v>HN0040</v>
      </c>
    </row>
    <row r="1097" spans="1:9">
      <c r="A1097" s="14" t="s">
        <v>8524</v>
      </c>
      <c r="B1097" s="15" t="s">
        <v>5</v>
      </c>
      <c r="C1097" s="10" t="e">
        <v>#N/A</v>
      </c>
      <c r="D1097" s="16" t="s">
        <v>3755</v>
      </c>
      <c r="E1097" s="15" t="s">
        <v>11203</v>
      </c>
      <c r="F1097" s="16" t="str">
        <f>VLOOKUP(Table8[[#This Row],[Mã khách hàng]],code_khach_hang[],2,0)</f>
        <v>CHI NHÁNH THANH HÓA - CÔNG TY CỔ PHẦN DỊCH VỤ THƯƠNG MẠI TỔNG HỢP WINCOMMERCE</v>
      </c>
      <c r="G1097" s="16" t="str">
        <f>VLOOKUP(Table8[[#This Row],[Mã khách hàng]],code_khach_hang[],3,0)</f>
        <v>Miền Trung đặc biệt 1</v>
      </c>
      <c r="H1097" t="str">
        <f>VLOOKUP(Table8[[#This Row],[Mã khách hàng]],'Khách hàng'!A:D,4,0)</f>
        <v>Food Đức Việt</v>
      </c>
      <c r="I1097" t="str">
        <f>VLOOKUP(Table8[[#This Row],[Mã khách hàng]],'Khách hàng'!A:E,5,0)</f>
        <v>HN0040</v>
      </c>
    </row>
    <row r="1098" spans="1:9">
      <c r="A1098" s="14" t="s">
        <v>8603</v>
      </c>
      <c r="B1098" s="15" t="s">
        <v>5</v>
      </c>
      <c r="C1098" s="10" t="e">
        <v>#N/A</v>
      </c>
      <c r="D1098" s="16" t="s">
        <v>3758</v>
      </c>
      <c r="E1098" s="15" t="s">
        <v>11203</v>
      </c>
      <c r="F1098" s="16" t="str">
        <f>VLOOKUP(Table8[[#This Row],[Mã khách hàng]],code_khach_hang[],2,0)</f>
        <v>CHI NHÁNH THANH HÓA - CÔNG TY CỔ PHẦN DỊCH VỤ THƯƠNG MẠI TỔNG HỢP WINCOMMERCE</v>
      </c>
      <c r="G1098" s="16" t="str">
        <f>VLOOKUP(Table8[[#This Row],[Mã khách hàng]],code_khach_hang[],3,0)</f>
        <v>Miền Trung đặc biệt 1</v>
      </c>
      <c r="H1098" t="str">
        <f>VLOOKUP(Table8[[#This Row],[Mã khách hàng]],'Khách hàng'!A:D,4,0)</f>
        <v>Food Đức Việt</v>
      </c>
      <c r="I1098" t="str">
        <f>VLOOKUP(Table8[[#This Row],[Mã khách hàng]],'Khách hàng'!A:E,5,0)</f>
        <v>HN0040</v>
      </c>
    </row>
    <row r="1099" spans="1:9">
      <c r="A1099" s="14" t="s">
        <v>8614</v>
      </c>
      <c r="B1099" s="15" t="s">
        <v>5</v>
      </c>
      <c r="C1099" s="10" t="s">
        <v>8615</v>
      </c>
      <c r="D1099" s="16" t="s">
        <v>3761</v>
      </c>
      <c r="E1099" s="15" t="s">
        <v>11203</v>
      </c>
      <c r="F1099" s="16" t="str">
        <f>VLOOKUP(Table8[[#This Row],[Mã khách hàng]],code_khach_hang[],2,0)</f>
        <v>CHI NHÁNH THANH HÓA - CÔNG TY CỔ PHẦN DỊCH VỤ THƯƠNG MẠI TỔNG HỢP WINCOMMERCE</v>
      </c>
      <c r="G1099" s="16" t="str">
        <f>VLOOKUP(Table8[[#This Row],[Mã khách hàng]],code_khach_hang[],3,0)</f>
        <v>Miền Trung đặc biệt 1</v>
      </c>
      <c r="H1099" t="str">
        <f>VLOOKUP(Table8[[#This Row],[Mã khách hàng]],'Khách hàng'!A:D,4,0)</f>
        <v>Food Đức Việt</v>
      </c>
      <c r="I1099" t="str">
        <f>VLOOKUP(Table8[[#This Row],[Mã khách hàng]],'Khách hàng'!A:E,5,0)</f>
        <v>HN0040</v>
      </c>
    </row>
    <row r="1100" spans="1:9">
      <c r="A1100" s="14" t="s">
        <v>8662</v>
      </c>
      <c r="B1100" s="15" t="s">
        <v>5</v>
      </c>
      <c r="C1100" s="10" t="s">
        <v>8663</v>
      </c>
      <c r="D1100" s="16" t="s">
        <v>3763</v>
      </c>
      <c r="E1100" s="15" t="s">
        <v>11203</v>
      </c>
      <c r="F1100" s="16" t="str">
        <f>VLOOKUP(Table8[[#This Row],[Mã khách hàng]],code_khach_hang[],2,0)</f>
        <v>CHI NHÁNH THANH HÓA - CÔNG TY CỔ PHẦN DỊCH VỤ THƯƠNG MẠI TỔNG HỢP WINCOMMERCE</v>
      </c>
      <c r="G1100" s="16" t="str">
        <f>VLOOKUP(Table8[[#This Row],[Mã khách hàng]],code_khach_hang[],3,0)</f>
        <v>Miền Trung đặc biệt 1</v>
      </c>
      <c r="H1100" t="str">
        <f>VLOOKUP(Table8[[#This Row],[Mã khách hàng]],'Khách hàng'!A:D,4,0)</f>
        <v>Food Đức Việt</v>
      </c>
      <c r="I1100" t="str">
        <f>VLOOKUP(Table8[[#This Row],[Mã khách hàng]],'Khách hàng'!A:E,5,0)</f>
        <v>HN0040</v>
      </c>
    </row>
    <row r="1101" spans="1:9">
      <c r="A1101" s="14" t="s">
        <v>8665</v>
      </c>
      <c r="B1101" s="15" t="s">
        <v>5</v>
      </c>
      <c r="C1101" s="10" t="s">
        <v>8666</v>
      </c>
      <c r="D1101" s="16" t="s">
        <v>3766</v>
      </c>
      <c r="E1101" s="15" t="s">
        <v>11203</v>
      </c>
      <c r="F1101" s="16" t="str">
        <f>VLOOKUP(Table8[[#This Row],[Mã khách hàng]],code_khach_hang[],2,0)</f>
        <v>CHI NHÁNH THANH HÓA - CÔNG TY CỔ PHẦN DỊCH VỤ THƯƠNG MẠI TỔNG HỢP WINCOMMERCE</v>
      </c>
      <c r="G1101" s="16" t="str">
        <f>VLOOKUP(Table8[[#This Row],[Mã khách hàng]],code_khach_hang[],3,0)</f>
        <v>Miền Trung đặc biệt 1</v>
      </c>
      <c r="H1101" t="str">
        <f>VLOOKUP(Table8[[#This Row],[Mã khách hàng]],'Khách hàng'!A:D,4,0)</f>
        <v>Food Đức Việt</v>
      </c>
      <c r="I1101" t="str">
        <f>VLOOKUP(Table8[[#This Row],[Mã khách hàng]],'Khách hàng'!A:E,5,0)</f>
        <v>HN0040</v>
      </c>
    </row>
    <row r="1102" spans="1:9">
      <c r="A1102" s="14" t="s">
        <v>8717</v>
      </c>
      <c r="B1102" s="15" t="s">
        <v>5</v>
      </c>
      <c r="C1102" s="10" t="s">
        <v>8718</v>
      </c>
      <c r="D1102" s="16" t="s">
        <v>3769</v>
      </c>
      <c r="E1102" s="15" t="s">
        <v>11203</v>
      </c>
      <c r="F1102" s="16" t="str">
        <f>VLOOKUP(Table8[[#This Row],[Mã khách hàng]],code_khach_hang[],2,0)</f>
        <v>CHI NHÁNH THANH HÓA - CÔNG TY CỔ PHẦN DỊCH VỤ THƯƠNG MẠI TỔNG HỢP WINCOMMERCE</v>
      </c>
      <c r="G1102" s="16" t="str">
        <f>VLOOKUP(Table8[[#This Row],[Mã khách hàng]],code_khach_hang[],3,0)</f>
        <v>Miền Trung đặc biệt 1</v>
      </c>
      <c r="H1102" t="str">
        <f>VLOOKUP(Table8[[#This Row],[Mã khách hàng]],'Khách hàng'!A:D,4,0)</f>
        <v>Food Đức Việt</v>
      </c>
      <c r="I1102" t="str">
        <f>VLOOKUP(Table8[[#This Row],[Mã khách hàng]],'Khách hàng'!A:E,5,0)</f>
        <v>HN0040</v>
      </c>
    </row>
    <row r="1103" spans="1:9">
      <c r="A1103" s="14" t="s">
        <v>8777</v>
      </c>
      <c r="B1103" s="15" t="s">
        <v>5</v>
      </c>
      <c r="C1103" s="10" t="s">
        <v>8778</v>
      </c>
      <c r="D1103" s="16" t="s">
        <v>3772</v>
      </c>
      <c r="E1103" s="15" t="s">
        <v>11203</v>
      </c>
      <c r="F1103" s="16" t="str">
        <f>VLOOKUP(Table8[[#This Row],[Mã khách hàng]],code_khach_hang[],2,0)</f>
        <v>CHI NHÁNH THANH HÓA - CÔNG TY CỔ PHẦN DỊCH VỤ THƯƠNG MẠI TỔNG HỢP WINCOMMERCE</v>
      </c>
      <c r="G1103" s="16" t="str">
        <f>VLOOKUP(Table8[[#This Row],[Mã khách hàng]],code_khach_hang[],3,0)</f>
        <v>Miền Trung đặc biệt 1</v>
      </c>
      <c r="H1103" t="str">
        <f>VLOOKUP(Table8[[#This Row],[Mã khách hàng]],'Khách hàng'!A:D,4,0)</f>
        <v>Food Đức Việt</v>
      </c>
      <c r="I1103" t="str">
        <f>VLOOKUP(Table8[[#This Row],[Mã khách hàng]],'Khách hàng'!A:E,5,0)</f>
        <v>HN0040</v>
      </c>
    </row>
    <row r="1104" spans="1:9">
      <c r="A1104" s="14" t="s">
        <v>8780</v>
      </c>
      <c r="B1104" s="15" t="s">
        <v>5</v>
      </c>
      <c r="C1104" s="10" t="s">
        <v>8781</v>
      </c>
      <c r="D1104" s="16" t="s">
        <v>3775</v>
      </c>
      <c r="E1104" s="15" t="s">
        <v>11203</v>
      </c>
      <c r="F1104" s="16" t="str">
        <f>VLOOKUP(Table8[[#This Row],[Mã khách hàng]],code_khach_hang[],2,0)</f>
        <v>CHI NHÁNH THANH HÓA - CÔNG TY CỔ PHẦN DỊCH VỤ THƯƠNG MẠI TỔNG HỢP WINCOMMERCE</v>
      </c>
      <c r="G1104" s="16" t="str">
        <f>VLOOKUP(Table8[[#This Row],[Mã khách hàng]],code_khach_hang[],3,0)</f>
        <v>Miền Trung đặc biệt 1</v>
      </c>
      <c r="H1104" t="str">
        <f>VLOOKUP(Table8[[#This Row],[Mã khách hàng]],'Khách hàng'!A:D,4,0)</f>
        <v>Food Đức Việt</v>
      </c>
      <c r="I1104" t="str">
        <f>VLOOKUP(Table8[[#This Row],[Mã khách hàng]],'Khách hàng'!A:E,5,0)</f>
        <v>HN0040</v>
      </c>
    </row>
    <row r="1105" spans="1:9">
      <c r="A1105" s="14" t="s">
        <v>8827</v>
      </c>
      <c r="B1105" s="15" t="s">
        <v>5</v>
      </c>
      <c r="C1105" s="10" t="s">
        <v>8828</v>
      </c>
      <c r="D1105" s="16" t="s">
        <v>3778</v>
      </c>
      <c r="E1105" s="15" t="s">
        <v>11203</v>
      </c>
      <c r="F1105" s="16" t="str">
        <f>VLOOKUP(Table8[[#This Row],[Mã khách hàng]],code_khach_hang[],2,0)</f>
        <v>CHI NHÁNH THANH HÓA - CÔNG TY CỔ PHẦN DỊCH VỤ THƯƠNG MẠI TỔNG HỢP WINCOMMERCE</v>
      </c>
      <c r="G1105" s="16" t="str">
        <f>VLOOKUP(Table8[[#This Row],[Mã khách hàng]],code_khach_hang[],3,0)</f>
        <v>Miền Trung đặc biệt 1</v>
      </c>
      <c r="H1105" t="str">
        <f>VLOOKUP(Table8[[#This Row],[Mã khách hàng]],'Khách hàng'!A:D,4,0)</f>
        <v>Food Đức Việt</v>
      </c>
      <c r="I1105" t="str">
        <f>VLOOKUP(Table8[[#This Row],[Mã khách hàng]],'Khách hàng'!A:E,5,0)</f>
        <v>HN0040</v>
      </c>
    </row>
    <row r="1106" spans="1:9">
      <c r="A1106" s="14" t="s">
        <v>8803</v>
      </c>
      <c r="B1106" s="15" t="s">
        <v>5</v>
      </c>
      <c r="C1106" s="10" t="s">
        <v>8804</v>
      </c>
      <c r="D1106" s="16" t="s">
        <v>3780</v>
      </c>
      <c r="E1106" s="15" t="s">
        <v>11203</v>
      </c>
      <c r="F1106" s="16" t="str">
        <f>VLOOKUP(Table8[[#This Row],[Mã khách hàng]],code_khach_hang[],2,0)</f>
        <v>CHI NHÁNH THANH HÓA - CÔNG TY CỔ PHẦN DỊCH VỤ THƯƠNG MẠI TỔNG HỢP WINCOMMERCE</v>
      </c>
      <c r="G1106" s="16" t="str">
        <f>VLOOKUP(Table8[[#This Row],[Mã khách hàng]],code_khach_hang[],3,0)</f>
        <v>Miền Trung đặc biệt 1</v>
      </c>
      <c r="H1106" t="str">
        <f>VLOOKUP(Table8[[#This Row],[Mã khách hàng]],'Khách hàng'!A:D,4,0)</f>
        <v>Food Đức Việt</v>
      </c>
      <c r="I1106" t="str">
        <f>VLOOKUP(Table8[[#This Row],[Mã khách hàng]],'Khách hàng'!A:E,5,0)</f>
        <v>HN0040</v>
      </c>
    </row>
    <row r="1107" spans="1:9">
      <c r="A1107" s="14" t="s">
        <v>8809</v>
      </c>
      <c r="B1107" s="15" t="s">
        <v>5</v>
      </c>
      <c r="C1107" s="10" t="s">
        <v>8810</v>
      </c>
      <c r="D1107" s="16" t="s">
        <v>3783</v>
      </c>
      <c r="E1107" s="15" t="s">
        <v>11203</v>
      </c>
      <c r="F1107" s="16" t="str">
        <f>VLOOKUP(Table8[[#This Row],[Mã khách hàng]],code_khach_hang[],2,0)</f>
        <v>CHI NHÁNH THANH HÓA - CÔNG TY CỔ PHẦN DỊCH VỤ THƯƠNG MẠI TỔNG HỢP WINCOMMERCE</v>
      </c>
      <c r="G1107" s="16" t="str">
        <f>VLOOKUP(Table8[[#This Row],[Mã khách hàng]],code_khach_hang[],3,0)</f>
        <v>Miền Trung đặc biệt 1</v>
      </c>
      <c r="H1107" t="str">
        <f>VLOOKUP(Table8[[#This Row],[Mã khách hàng]],'Khách hàng'!A:D,4,0)</f>
        <v>Food Đức Việt</v>
      </c>
      <c r="I1107" t="str">
        <f>VLOOKUP(Table8[[#This Row],[Mã khách hàng]],'Khách hàng'!A:E,5,0)</f>
        <v>HN0040</v>
      </c>
    </row>
    <row r="1108" spans="1:9">
      <c r="A1108" s="14" t="s">
        <v>8818</v>
      </c>
      <c r="B1108" s="15" t="s">
        <v>5</v>
      </c>
      <c r="C1108" s="10" t="s">
        <v>8819</v>
      </c>
      <c r="D1108" s="16" t="s">
        <v>3786</v>
      </c>
      <c r="E1108" s="15" t="s">
        <v>11203</v>
      </c>
      <c r="F1108" s="16" t="str">
        <f>VLOOKUP(Table8[[#This Row],[Mã khách hàng]],code_khach_hang[],2,0)</f>
        <v>CHI NHÁNH THANH HÓA - CÔNG TY CỔ PHẦN DỊCH VỤ THƯƠNG MẠI TỔNG HỢP WINCOMMERCE</v>
      </c>
      <c r="G1108" s="16" t="str">
        <f>VLOOKUP(Table8[[#This Row],[Mã khách hàng]],code_khach_hang[],3,0)</f>
        <v>Miền Trung đặc biệt 1</v>
      </c>
      <c r="H1108" t="str">
        <f>VLOOKUP(Table8[[#This Row],[Mã khách hàng]],'Khách hàng'!A:D,4,0)</f>
        <v>Food Đức Việt</v>
      </c>
      <c r="I1108" t="str">
        <f>VLOOKUP(Table8[[#This Row],[Mã khách hàng]],'Khách hàng'!A:E,5,0)</f>
        <v>HN0040</v>
      </c>
    </row>
    <row r="1109" spans="1:9">
      <c r="A1109" s="14" t="s">
        <v>8629</v>
      </c>
      <c r="B1109" s="15" t="s">
        <v>5</v>
      </c>
      <c r="C1109" s="10" t="e">
        <v>#N/A</v>
      </c>
      <c r="D1109" s="16" t="s">
        <v>3789</v>
      </c>
      <c r="E1109" s="15" t="s">
        <v>11203</v>
      </c>
      <c r="F1109" s="16" t="str">
        <f>VLOOKUP(Table8[[#This Row],[Mã khách hàng]],code_khach_hang[],2,0)</f>
        <v>CHI NHÁNH THANH HÓA - CÔNG TY CỔ PHẦN DỊCH VỤ THƯƠNG MẠI TỔNG HỢP WINCOMMERCE</v>
      </c>
      <c r="G1109" s="16" t="str">
        <f>VLOOKUP(Table8[[#This Row],[Mã khách hàng]],code_khach_hang[],3,0)</f>
        <v>Miền Trung đặc biệt 1</v>
      </c>
      <c r="H1109" t="str">
        <f>VLOOKUP(Table8[[#This Row],[Mã khách hàng]],'Khách hàng'!A:D,4,0)</f>
        <v>Food Đức Việt</v>
      </c>
      <c r="I1109" t="str">
        <f>VLOOKUP(Table8[[#This Row],[Mã khách hàng]],'Khách hàng'!A:E,5,0)</f>
        <v>HN0040</v>
      </c>
    </row>
    <row r="1110" spans="1:9">
      <c r="A1110" s="14" t="s">
        <v>8956</v>
      </c>
      <c r="B1110" s="15" t="s">
        <v>5</v>
      </c>
      <c r="C1110" s="10" t="s">
        <v>8957</v>
      </c>
      <c r="D1110" s="16" t="s">
        <v>3792</v>
      </c>
      <c r="E1110" s="15" t="s">
        <v>11203</v>
      </c>
      <c r="F1110" s="16" t="str">
        <f>VLOOKUP(Table8[[#This Row],[Mã khách hàng]],code_khach_hang[],2,0)</f>
        <v>CHI NHÁNH THANH HÓA - CÔNG TY CỔ PHẦN DỊCH VỤ THƯƠNG MẠI TỔNG HỢP WINCOMMERCE</v>
      </c>
      <c r="G1110" s="16" t="str">
        <f>VLOOKUP(Table8[[#This Row],[Mã khách hàng]],code_khach_hang[],3,0)</f>
        <v>Miền Trung đặc biệt 1</v>
      </c>
      <c r="H1110" t="str">
        <f>VLOOKUP(Table8[[#This Row],[Mã khách hàng]],'Khách hàng'!A:D,4,0)</f>
        <v>Food Đức Việt</v>
      </c>
      <c r="I1110" t="str">
        <f>VLOOKUP(Table8[[#This Row],[Mã khách hàng]],'Khách hàng'!A:E,5,0)</f>
        <v>HN0040</v>
      </c>
    </row>
    <row r="1111" spans="1:9">
      <c r="A1111" s="14" t="s">
        <v>8833</v>
      </c>
      <c r="B1111" s="15" t="s">
        <v>5</v>
      </c>
      <c r="C1111" s="10" t="e">
        <v>#N/A</v>
      </c>
      <c r="D1111" s="16" t="s">
        <v>3794</v>
      </c>
      <c r="E1111" s="15" t="s">
        <v>11203</v>
      </c>
      <c r="F1111" s="16" t="str">
        <f>VLOOKUP(Table8[[#This Row],[Mã khách hàng]],code_khach_hang[],2,0)</f>
        <v>CHI NHÁNH THANH HÓA - CÔNG TY CỔ PHẦN DỊCH VỤ THƯƠNG MẠI TỔNG HỢP WINCOMMERCE</v>
      </c>
      <c r="G1111" s="16" t="str">
        <f>VLOOKUP(Table8[[#This Row],[Mã khách hàng]],code_khach_hang[],3,0)</f>
        <v>Miền Trung đặc biệt 1</v>
      </c>
      <c r="H1111" t="str">
        <f>VLOOKUP(Table8[[#This Row],[Mã khách hàng]],'Khách hàng'!A:D,4,0)</f>
        <v>Food Đức Việt</v>
      </c>
      <c r="I1111" t="str">
        <f>VLOOKUP(Table8[[#This Row],[Mã khách hàng]],'Khách hàng'!A:E,5,0)</f>
        <v>HN0040</v>
      </c>
    </row>
    <row r="1112" spans="1:9">
      <c r="A1112" s="14" t="s">
        <v>8936</v>
      </c>
      <c r="B1112" s="15" t="s">
        <v>5</v>
      </c>
      <c r="C1112" s="10" t="s">
        <v>8937</v>
      </c>
      <c r="D1112" s="16" t="s">
        <v>3797</v>
      </c>
      <c r="E1112" s="15" t="s">
        <v>11203</v>
      </c>
      <c r="F1112" s="16" t="str">
        <f>VLOOKUP(Table8[[#This Row],[Mã khách hàng]],code_khach_hang[],2,0)</f>
        <v>CHI NHÁNH THANH HÓA - CÔNG TY CỔ PHẦN DỊCH VỤ THƯƠNG MẠI TỔNG HỢP WINCOMMERCE</v>
      </c>
      <c r="G1112" s="16" t="str">
        <f>VLOOKUP(Table8[[#This Row],[Mã khách hàng]],code_khach_hang[],3,0)</f>
        <v>Miền Trung đặc biệt 1</v>
      </c>
      <c r="H1112" t="str">
        <f>VLOOKUP(Table8[[#This Row],[Mã khách hàng]],'Khách hàng'!A:D,4,0)</f>
        <v>Food Đức Việt</v>
      </c>
      <c r="I1112" t="str">
        <f>VLOOKUP(Table8[[#This Row],[Mã khách hàng]],'Khách hàng'!A:E,5,0)</f>
        <v>HN0040</v>
      </c>
    </row>
    <row r="1113" spans="1:9">
      <c r="A1113" s="14" t="s">
        <v>8939</v>
      </c>
      <c r="B1113" s="15" t="s">
        <v>5</v>
      </c>
      <c r="C1113" s="10" t="e">
        <v>#N/A</v>
      </c>
      <c r="D1113" s="16" t="s">
        <v>3800</v>
      </c>
      <c r="E1113" s="15" t="s">
        <v>11203</v>
      </c>
      <c r="F1113" s="16" t="str">
        <f>VLOOKUP(Table8[[#This Row],[Mã khách hàng]],code_khach_hang[],2,0)</f>
        <v>CHI NHÁNH THANH HÓA - CÔNG TY CỔ PHẦN DỊCH VỤ THƯƠNG MẠI TỔNG HỢP WINCOMMERCE</v>
      </c>
      <c r="G1113" s="16" t="str">
        <f>VLOOKUP(Table8[[#This Row],[Mã khách hàng]],code_khach_hang[],3,0)</f>
        <v>Miền Trung đặc biệt 1</v>
      </c>
      <c r="H1113" t="str">
        <f>VLOOKUP(Table8[[#This Row],[Mã khách hàng]],'Khách hàng'!A:D,4,0)</f>
        <v>Food Đức Việt</v>
      </c>
      <c r="I1113" t="str">
        <f>VLOOKUP(Table8[[#This Row],[Mã khách hàng]],'Khách hàng'!A:E,5,0)</f>
        <v>HN0040</v>
      </c>
    </row>
    <row r="1114" spans="1:9">
      <c r="A1114" s="14" t="s">
        <v>8971</v>
      </c>
      <c r="B1114" s="15" t="s">
        <v>5</v>
      </c>
      <c r="C1114" s="10" t="s">
        <v>8972</v>
      </c>
      <c r="D1114" s="16" t="s">
        <v>3803</v>
      </c>
      <c r="E1114" s="15" t="s">
        <v>11203</v>
      </c>
      <c r="F1114" s="16" t="str">
        <f>VLOOKUP(Table8[[#This Row],[Mã khách hàng]],code_khach_hang[],2,0)</f>
        <v>CHI NHÁNH THANH HÓA - CÔNG TY CỔ PHẦN DỊCH VỤ THƯƠNG MẠI TỔNG HỢP WINCOMMERCE</v>
      </c>
      <c r="G1114" s="16" t="str">
        <f>VLOOKUP(Table8[[#This Row],[Mã khách hàng]],code_khach_hang[],3,0)</f>
        <v>Miền Trung đặc biệt 1</v>
      </c>
      <c r="H1114" t="str">
        <f>VLOOKUP(Table8[[#This Row],[Mã khách hàng]],'Khách hàng'!A:D,4,0)</f>
        <v>Food Đức Việt</v>
      </c>
      <c r="I1114" t="str">
        <f>VLOOKUP(Table8[[#This Row],[Mã khách hàng]],'Khách hàng'!A:E,5,0)</f>
        <v>HN0040</v>
      </c>
    </row>
    <row r="1115" spans="1:9">
      <c r="A1115" s="14" t="s">
        <v>8889</v>
      </c>
      <c r="B1115" s="15" t="s">
        <v>5</v>
      </c>
      <c r="C1115" s="10" t="s">
        <v>8890</v>
      </c>
      <c r="D1115" s="16" t="s">
        <v>3806</v>
      </c>
      <c r="E1115" s="15" t="s">
        <v>11203</v>
      </c>
      <c r="F1115" s="16" t="str">
        <f>VLOOKUP(Table8[[#This Row],[Mã khách hàng]],code_khach_hang[],2,0)</f>
        <v>CHI NHÁNH THANH HÓA - CÔNG TY CỔ PHẦN DỊCH VỤ THƯƠNG MẠI TỔNG HỢP WINCOMMERCE</v>
      </c>
      <c r="G1115" s="16" t="str">
        <f>VLOOKUP(Table8[[#This Row],[Mã khách hàng]],code_khach_hang[],3,0)</f>
        <v>Miền Trung đặc biệt 1</v>
      </c>
      <c r="H1115" t="str">
        <f>VLOOKUP(Table8[[#This Row],[Mã khách hàng]],'Khách hàng'!A:D,4,0)</f>
        <v>Food Đức Việt</v>
      </c>
      <c r="I1115" t="str">
        <f>VLOOKUP(Table8[[#This Row],[Mã khách hàng]],'Khách hàng'!A:E,5,0)</f>
        <v>HN0040</v>
      </c>
    </row>
    <row r="1116" spans="1:9">
      <c r="A1116" s="14" t="s">
        <v>9010</v>
      </c>
      <c r="B1116" s="15" t="s">
        <v>5</v>
      </c>
      <c r="C1116" s="10" t="s">
        <v>9011</v>
      </c>
      <c r="D1116" s="16" t="s">
        <v>3809</v>
      </c>
      <c r="E1116" s="15" t="s">
        <v>11203</v>
      </c>
      <c r="F1116" s="16" t="str">
        <f>VLOOKUP(Table8[[#This Row],[Mã khách hàng]],code_khach_hang[],2,0)</f>
        <v>CHI NHÁNH THANH HÓA - CÔNG TY CỔ PHẦN DỊCH VỤ THƯƠNG MẠI TỔNG HỢP WINCOMMERCE</v>
      </c>
      <c r="G1116" s="16" t="str">
        <f>VLOOKUP(Table8[[#This Row],[Mã khách hàng]],code_khach_hang[],3,0)</f>
        <v>Miền Trung đặc biệt 1</v>
      </c>
      <c r="H1116" t="str">
        <f>VLOOKUP(Table8[[#This Row],[Mã khách hàng]],'Khách hàng'!A:D,4,0)</f>
        <v>Food Đức Việt</v>
      </c>
      <c r="I1116" t="str">
        <f>VLOOKUP(Table8[[#This Row],[Mã khách hàng]],'Khách hàng'!A:E,5,0)</f>
        <v>HN0040</v>
      </c>
    </row>
    <row r="1117" spans="1:9">
      <c r="A1117" s="14" t="s">
        <v>699</v>
      </c>
      <c r="B1117" s="15" t="s">
        <v>183</v>
      </c>
      <c r="C1117" s="10" t="s">
        <v>700</v>
      </c>
      <c r="D1117" s="16" t="s">
        <v>3812</v>
      </c>
      <c r="E1117" s="15" t="s">
        <v>11203</v>
      </c>
      <c r="F1117" s="16" t="str">
        <f>VLOOKUP(Table8[[#This Row],[Mã khách hàng]],code_khach_hang[],2,0)</f>
        <v>CHI NHÁNH THANH HÓA - CÔNG TY CỔ PHẦN DỊCH VỤ THƯƠNG MẠI TỔNG HỢP WINCOMMERCE</v>
      </c>
      <c r="G1117" s="16" t="str">
        <f>VLOOKUP(Table8[[#This Row],[Mã khách hàng]],code_khach_hang[],3,0)</f>
        <v>Miền Trung đặc biệt 1</v>
      </c>
      <c r="H1117" t="str">
        <f>VLOOKUP(Table8[[#This Row],[Mã khách hàng]],'Khách hàng'!A:D,4,0)</f>
        <v>Food Đức Việt</v>
      </c>
      <c r="I1117" t="str">
        <f>VLOOKUP(Table8[[#This Row],[Mã khách hàng]],'Khách hàng'!A:E,5,0)</f>
        <v>HN0040</v>
      </c>
    </row>
    <row r="1118" spans="1:9">
      <c r="A1118" s="14" t="s">
        <v>673</v>
      </c>
      <c r="B1118" s="15" t="s">
        <v>183</v>
      </c>
      <c r="C1118" s="10" t="s">
        <v>674</v>
      </c>
      <c r="D1118" s="16" t="s">
        <v>3815</v>
      </c>
      <c r="E1118" s="15" t="s">
        <v>11203</v>
      </c>
      <c r="F1118" s="16" t="str">
        <f>VLOOKUP(Table8[[#This Row],[Mã khách hàng]],code_khach_hang[],2,0)</f>
        <v>CHI NHÁNH THANH HÓA - CÔNG TY CỔ PHẦN DỊCH VỤ THƯƠNG MẠI TỔNG HỢP WINCOMMERCE</v>
      </c>
      <c r="G1118" s="16" t="str">
        <f>VLOOKUP(Table8[[#This Row],[Mã khách hàng]],code_khach_hang[],3,0)</f>
        <v>Miền Trung đặc biệt 1</v>
      </c>
      <c r="H1118" t="str">
        <f>VLOOKUP(Table8[[#This Row],[Mã khách hàng]],'Khách hàng'!A:D,4,0)</f>
        <v>Food Đức Việt</v>
      </c>
      <c r="I1118" t="str">
        <f>VLOOKUP(Table8[[#This Row],[Mã khách hàng]],'Khách hàng'!A:E,5,0)</f>
        <v>HN0040</v>
      </c>
    </row>
    <row r="1119" spans="1:9">
      <c r="A1119" s="14" t="s">
        <v>4107</v>
      </c>
      <c r="B1119" s="15" t="s">
        <v>5</v>
      </c>
      <c r="C1119" s="10" t="s">
        <v>4108</v>
      </c>
      <c r="D1119" s="16" t="s">
        <v>3818</v>
      </c>
      <c r="E1119" s="15" t="s">
        <v>11215</v>
      </c>
      <c r="F1119" s="16" t="str">
        <f>VLOOKUP(Table8[[#This Row],[Mã khách hàng]],code_khach_hang[],2,0)</f>
        <v>CHI NHÁNH HÀ NỘI - CÔNG TY CỔ PHẦN DỊCH VỤ THƯƠNG MẠI TỔNG HỢP WINCOMMERCE</v>
      </c>
      <c r="G1119" s="16" t="str">
        <f>VLOOKUP(Table8[[#This Row],[Mã khách hàng]],code_khach_hang[],3,0)</f>
        <v>Miền Bắc đặc biệt 1</v>
      </c>
      <c r="H1119" t="str">
        <f>VLOOKUP(Table8[[#This Row],[Mã khách hàng]],'Khách hàng'!A:D,4,0)</f>
        <v>Food Đức Việt</v>
      </c>
      <c r="I1119" t="str">
        <f>VLOOKUP(Table8[[#This Row],[Mã khách hàng]],'Khách hàng'!A:E,5,0)</f>
        <v>HN0040</v>
      </c>
    </row>
    <row r="1120" spans="1:9">
      <c r="A1120" s="14" t="s">
        <v>6482</v>
      </c>
      <c r="B1120" s="15" t="s">
        <v>5</v>
      </c>
      <c r="C1120" s="10" t="s">
        <v>6483</v>
      </c>
      <c r="D1120" s="16" t="s">
        <v>3820</v>
      </c>
      <c r="E1120" s="15" t="s">
        <v>11215</v>
      </c>
      <c r="F1120" s="16" t="str">
        <f>VLOOKUP(Table8[[#This Row],[Mã khách hàng]],code_khach_hang[],2,0)</f>
        <v>CHI NHÁNH HÀ NỘI - CÔNG TY CỔ PHẦN DỊCH VỤ THƯƠNG MẠI TỔNG HỢP WINCOMMERCE</v>
      </c>
      <c r="G1120" s="16" t="str">
        <f>VLOOKUP(Table8[[#This Row],[Mã khách hàng]],code_khach_hang[],3,0)</f>
        <v>Miền Bắc đặc biệt 1</v>
      </c>
      <c r="H1120" t="str">
        <f>VLOOKUP(Table8[[#This Row],[Mã khách hàng]],'Khách hàng'!A:D,4,0)</f>
        <v>Food Đức Việt</v>
      </c>
      <c r="I1120" t="str">
        <f>VLOOKUP(Table8[[#This Row],[Mã khách hàng]],'Khách hàng'!A:E,5,0)</f>
        <v>HN0040</v>
      </c>
    </row>
    <row r="1121" spans="1:9">
      <c r="A1121" s="14" t="s">
        <v>6686</v>
      </c>
      <c r="B1121" s="15" t="s">
        <v>5</v>
      </c>
      <c r="C1121" s="10" t="s">
        <v>6687</v>
      </c>
      <c r="D1121" s="16" t="s">
        <v>3822</v>
      </c>
      <c r="E1121" s="15" t="s">
        <v>11215</v>
      </c>
      <c r="F1121" s="16" t="str">
        <f>VLOOKUP(Table8[[#This Row],[Mã khách hàng]],code_khach_hang[],2,0)</f>
        <v>CHI NHÁNH HÀ NỘI - CÔNG TY CỔ PHẦN DỊCH VỤ THƯƠNG MẠI TỔNG HỢP WINCOMMERCE</v>
      </c>
      <c r="G1121" s="16" t="str">
        <f>VLOOKUP(Table8[[#This Row],[Mã khách hàng]],code_khach_hang[],3,0)</f>
        <v>Miền Bắc đặc biệt 1</v>
      </c>
      <c r="H1121" t="str">
        <f>VLOOKUP(Table8[[#This Row],[Mã khách hàng]],'Khách hàng'!A:D,4,0)</f>
        <v>Food Đức Việt</v>
      </c>
      <c r="I1121" t="str">
        <f>VLOOKUP(Table8[[#This Row],[Mã khách hàng]],'Khách hàng'!A:E,5,0)</f>
        <v>HN0040</v>
      </c>
    </row>
    <row r="1122" spans="1:9">
      <c r="A1122" s="14" t="s">
        <v>789</v>
      </c>
      <c r="B1122" s="15" t="s">
        <v>5</v>
      </c>
      <c r="C1122" s="10" t="s">
        <v>790</v>
      </c>
      <c r="D1122" s="16" t="s">
        <v>3825</v>
      </c>
      <c r="E1122" s="15" t="s">
        <v>11215</v>
      </c>
      <c r="F1122" s="16" t="str">
        <f>VLOOKUP(Table8[[#This Row],[Mã khách hàng]],code_khach_hang[],2,0)</f>
        <v>CHI NHÁNH HÀ NỘI - CÔNG TY CỔ PHẦN DỊCH VỤ THƯƠNG MẠI TỔNG HỢP WINCOMMERCE</v>
      </c>
      <c r="G1122" s="16" t="str">
        <f>VLOOKUP(Table8[[#This Row],[Mã khách hàng]],code_khach_hang[],3,0)</f>
        <v>Miền Bắc đặc biệt 1</v>
      </c>
      <c r="H1122" t="str">
        <f>VLOOKUP(Table8[[#This Row],[Mã khách hàng]],'Khách hàng'!A:D,4,0)</f>
        <v>Food Đức Việt</v>
      </c>
      <c r="I1122" t="str">
        <f>VLOOKUP(Table8[[#This Row],[Mã khách hàng]],'Khách hàng'!A:E,5,0)</f>
        <v>HN0040</v>
      </c>
    </row>
    <row r="1123" spans="1:9">
      <c r="A1123" s="14" t="s">
        <v>807</v>
      </c>
      <c r="B1123" s="15" t="s">
        <v>5</v>
      </c>
      <c r="C1123" s="10" t="s">
        <v>808</v>
      </c>
      <c r="D1123" s="16" t="s">
        <v>3828</v>
      </c>
      <c r="E1123" s="15" t="s">
        <v>11215</v>
      </c>
      <c r="F1123" s="16" t="str">
        <f>VLOOKUP(Table8[[#This Row],[Mã khách hàng]],code_khach_hang[],2,0)</f>
        <v>CHI NHÁNH HÀ NỘI - CÔNG TY CỔ PHẦN DỊCH VỤ THƯƠNG MẠI TỔNG HỢP WINCOMMERCE</v>
      </c>
      <c r="G1123" s="16" t="str">
        <f>VLOOKUP(Table8[[#This Row],[Mã khách hàng]],code_khach_hang[],3,0)</f>
        <v>Miền Bắc đặc biệt 1</v>
      </c>
      <c r="H1123" t="str">
        <f>VLOOKUP(Table8[[#This Row],[Mã khách hàng]],'Khách hàng'!A:D,4,0)</f>
        <v>Food Đức Việt</v>
      </c>
      <c r="I1123" t="str">
        <f>VLOOKUP(Table8[[#This Row],[Mã khách hàng]],'Khách hàng'!A:E,5,0)</f>
        <v>HN0040</v>
      </c>
    </row>
    <row r="1124" spans="1:9">
      <c r="A1124" s="14" t="s">
        <v>861</v>
      </c>
      <c r="B1124" s="15" t="s">
        <v>5</v>
      </c>
      <c r="C1124" s="10" t="s">
        <v>862</v>
      </c>
      <c r="D1124" s="16" t="s">
        <v>3831</v>
      </c>
      <c r="E1124" s="15" t="s">
        <v>11215</v>
      </c>
      <c r="F1124" s="16" t="str">
        <f>VLOOKUP(Table8[[#This Row],[Mã khách hàng]],code_khach_hang[],2,0)</f>
        <v>CHI NHÁNH HÀ NỘI - CÔNG TY CỔ PHẦN DỊCH VỤ THƯƠNG MẠI TỔNG HỢP WINCOMMERCE</v>
      </c>
      <c r="G1124" s="16" t="str">
        <f>VLOOKUP(Table8[[#This Row],[Mã khách hàng]],code_khach_hang[],3,0)</f>
        <v>Miền Bắc đặc biệt 1</v>
      </c>
      <c r="H1124" t="str">
        <f>VLOOKUP(Table8[[#This Row],[Mã khách hàng]],'Khách hàng'!A:D,4,0)</f>
        <v>Food Đức Việt</v>
      </c>
      <c r="I1124" t="str">
        <f>VLOOKUP(Table8[[#This Row],[Mã khách hàng]],'Khách hàng'!A:E,5,0)</f>
        <v>HN0040</v>
      </c>
    </row>
    <row r="1125" spans="1:9">
      <c r="A1125" s="14" t="s">
        <v>957</v>
      </c>
      <c r="B1125" s="15" t="s">
        <v>5</v>
      </c>
      <c r="C1125" s="10" t="s">
        <v>958</v>
      </c>
      <c r="D1125" s="16" t="s">
        <v>3834</v>
      </c>
      <c r="E1125" s="15" t="s">
        <v>11215</v>
      </c>
      <c r="F1125" s="16" t="str">
        <f>VLOOKUP(Table8[[#This Row],[Mã khách hàng]],code_khach_hang[],2,0)</f>
        <v>CHI NHÁNH HÀ NỘI - CÔNG TY CỔ PHẦN DỊCH VỤ THƯƠNG MẠI TỔNG HỢP WINCOMMERCE</v>
      </c>
      <c r="G1125" s="16" t="str">
        <f>VLOOKUP(Table8[[#This Row],[Mã khách hàng]],code_khach_hang[],3,0)</f>
        <v>Miền Bắc đặc biệt 1</v>
      </c>
      <c r="H1125" t="str">
        <f>VLOOKUP(Table8[[#This Row],[Mã khách hàng]],'Khách hàng'!A:D,4,0)</f>
        <v>Food Đức Việt</v>
      </c>
      <c r="I1125" t="str">
        <f>VLOOKUP(Table8[[#This Row],[Mã khách hàng]],'Khách hàng'!A:E,5,0)</f>
        <v>HN0040</v>
      </c>
    </row>
    <row r="1126" spans="1:9">
      <c r="A1126" s="14" t="s">
        <v>11108</v>
      </c>
      <c r="B1126" s="15" t="s">
        <v>5</v>
      </c>
      <c r="C1126" s="10" t="e">
        <v>#N/A</v>
      </c>
      <c r="D1126" s="16" t="s">
        <v>3837</v>
      </c>
      <c r="E1126" s="15" t="s">
        <v>11215</v>
      </c>
      <c r="F1126" s="16" t="str">
        <f>VLOOKUP(Table8[[#This Row],[Mã khách hàng]],code_khach_hang[],2,0)</f>
        <v>CHI NHÁNH HÀ NỘI - CÔNG TY CỔ PHẦN DỊCH VỤ THƯƠNG MẠI TỔNG HỢP WINCOMMERCE</v>
      </c>
      <c r="G1126" s="16" t="str">
        <f>VLOOKUP(Table8[[#This Row],[Mã khách hàng]],code_khach_hang[],3,0)</f>
        <v>Miền Bắc đặc biệt 1</v>
      </c>
      <c r="H1126" t="str">
        <f>VLOOKUP(Table8[[#This Row],[Mã khách hàng]],'Khách hàng'!A:D,4,0)</f>
        <v>Food Đức Việt</v>
      </c>
      <c r="I1126" t="str">
        <f>VLOOKUP(Table8[[#This Row],[Mã khách hàng]],'Khách hàng'!A:E,5,0)</f>
        <v>HN0040</v>
      </c>
    </row>
    <row r="1127" spans="1:9">
      <c r="A1127" s="14" t="s">
        <v>915</v>
      </c>
      <c r="B1127" s="15" t="s">
        <v>5</v>
      </c>
      <c r="C1127" s="10" t="s">
        <v>916</v>
      </c>
      <c r="D1127" s="16" t="s">
        <v>3840</v>
      </c>
      <c r="E1127" s="15" t="s">
        <v>11215</v>
      </c>
      <c r="F1127" s="16" t="str">
        <f>VLOOKUP(Table8[[#This Row],[Mã khách hàng]],code_khach_hang[],2,0)</f>
        <v>CHI NHÁNH HÀ NỘI - CÔNG TY CỔ PHẦN DỊCH VỤ THƯƠNG MẠI TỔNG HỢP WINCOMMERCE</v>
      </c>
      <c r="G1127" s="16" t="str">
        <f>VLOOKUP(Table8[[#This Row],[Mã khách hàng]],code_khach_hang[],3,0)</f>
        <v>Miền Bắc đặc biệt 1</v>
      </c>
      <c r="H1127" t="str">
        <f>VLOOKUP(Table8[[#This Row],[Mã khách hàng]],'Khách hàng'!A:D,4,0)</f>
        <v>Food Đức Việt</v>
      </c>
      <c r="I1127" t="str">
        <f>VLOOKUP(Table8[[#This Row],[Mã khách hàng]],'Khách hàng'!A:E,5,0)</f>
        <v>HN0040</v>
      </c>
    </row>
    <row r="1128" spans="1:9">
      <c r="A1128" s="14" t="s">
        <v>930</v>
      </c>
      <c r="B1128" s="15" t="s">
        <v>5</v>
      </c>
      <c r="C1128" s="10" t="s">
        <v>931</v>
      </c>
      <c r="D1128" s="16" t="s">
        <v>3843</v>
      </c>
      <c r="E1128" s="15" t="s">
        <v>11215</v>
      </c>
      <c r="F1128" s="16" t="str">
        <f>VLOOKUP(Table8[[#This Row],[Mã khách hàng]],code_khach_hang[],2,0)</f>
        <v>CHI NHÁNH HÀ NỘI - CÔNG TY CỔ PHẦN DỊCH VỤ THƯƠNG MẠI TỔNG HỢP WINCOMMERCE</v>
      </c>
      <c r="G1128" s="16" t="str">
        <f>VLOOKUP(Table8[[#This Row],[Mã khách hàng]],code_khach_hang[],3,0)</f>
        <v>Miền Bắc đặc biệt 1</v>
      </c>
      <c r="H1128" t="str">
        <f>VLOOKUP(Table8[[#This Row],[Mã khách hàng]],'Khách hàng'!A:D,4,0)</f>
        <v>Food Đức Việt</v>
      </c>
      <c r="I1128" t="str">
        <f>VLOOKUP(Table8[[#This Row],[Mã khách hàng]],'Khách hàng'!A:E,5,0)</f>
        <v>HN0040</v>
      </c>
    </row>
    <row r="1129" spans="1:9">
      <c r="A1129" s="14" t="s">
        <v>999</v>
      </c>
      <c r="B1129" s="15" t="s">
        <v>5</v>
      </c>
      <c r="C1129" s="10" t="s">
        <v>1000</v>
      </c>
      <c r="D1129" s="16" t="s">
        <v>3846</v>
      </c>
      <c r="E1129" s="15" t="s">
        <v>11215</v>
      </c>
      <c r="F1129" s="16" t="str">
        <f>VLOOKUP(Table8[[#This Row],[Mã khách hàng]],code_khach_hang[],2,0)</f>
        <v>CHI NHÁNH HÀ NỘI - CÔNG TY CỔ PHẦN DỊCH VỤ THƯƠNG MẠI TỔNG HỢP WINCOMMERCE</v>
      </c>
      <c r="G1129" s="16" t="str">
        <f>VLOOKUP(Table8[[#This Row],[Mã khách hàng]],code_khach_hang[],3,0)</f>
        <v>Miền Bắc đặc biệt 1</v>
      </c>
      <c r="H1129" t="str">
        <f>VLOOKUP(Table8[[#This Row],[Mã khách hàng]],'Khách hàng'!A:D,4,0)</f>
        <v>Food Đức Việt</v>
      </c>
      <c r="I1129" t="str">
        <f>VLOOKUP(Table8[[#This Row],[Mã khách hàng]],'Khách hàng'!A:E,5,0)</f>
        <v>HN0040</v>
      </c>
    </row>
    <row r="1130" spans="1:9">
      <c r="A1130" s="14" t="s">
        <v>1041</v>
      </c>
      <c r="B1130" s="15" t="s">
        <v>5</v>
      </c>
      <c r="C1130" s="10" t="s">
        <v>1042</v>
      </c>
      <c r="D1130" s="16" t="s">
        <v>3849</v>
      </c>
      <c r="E1130" s="15" t="s">
        <v>11215</v>
      </c>
      <c r="F1130" s="16" t="str">
        <f>VLOOKUP(Table8[[#This Row],[Mã khách hàng]],code_khach_hang[],2,0)</f>
        <v>CHI NHÁNH HÀ NỘI - CÔNG TY CỔ PHẦN DỊCH VỤ THƯƠNG MẠI TỔNG HỢP WINCOMMERCE</v>
      </c>
      <c r="G1130" s="16" t="str">
        <f>VLOOKUP(Table8[[#This Row],[Mã khách hàng]],code_khach_hang[],3,0)</f>
        <v>Miền Bắc đặc biệt 1</v>
      </c>
      <c r="H1130" t="str">
        <f>VLOOKUP(Table8[[#This Row],[Mã khách hàng]],'Khách hàng'!A:D,4,0)</f>
        <v>Food Đức Việt</v>
      </c>
      <c r="I1130" t="str">
        <f>VLOOKUP(Table8[[#This Row],[Mã khách hàng]],'Khách hàng'!A:E,5,0)</f>
        <v>HN0040</v>
      </c>
    </row>
    <row r="1131" spans="1:9">
      <c r="A1131" s="14" t="s">
        <v>1110</v>
      </c>
      <c r="B1131" s="15" t="s">
        <v>5</v>
      </c>
      <c r="C1131" s="10" t="s">
        <v>1111</v>
      </c>
      <c r="D1131" s="16" t="s">
        <v>3852</v>
      </c>
      <c r="E1131" s="15" t="s">
        <v>11215</v>
      </c>
      <c r="F1131" s="16" t="str">
        <f>VLOOKUP(Table8[[#This Row],[Mã khách hàng]],code_khach_hang[],2,0)</f>
        <v>CHI NHÁNH HÀ NỘI - CÔNG TY CỔ PHẦN DỊCH VỤ THƯƠNG MẠI TỔNG HỢP WINCOMMERCE</v>
      </c>
      <c r="G1131" s="16" t="str">
        <f>VLOOKUP(Table8[[#This Row],[Mã khách hàng]],code_khach_hang[],3,0)</f>
        <v>Miền Bắc đặc biệt 1</v>
      </c>
      <c r="H1131" t="str">
        <f>VLOOKUP(Table8[[#This Row],[Mã khách hàng]],'Khách hàng'!A:D,4,0)</f>
        <v>Food Đức Việt</v>
      </c>
      <c r="I1131" t="str">
        <f>VLOOKUP(Table8[[#This Row],[Mã khách hàng]],'Khách hàng'!A:E,5,0)</f>
        <v>HN0040</v>
      </c>
    </row>
    <row r="1132" spans="1:9">
      <c r="A1132" s="14" t="s">
        <v>1113</v>
      </c>
      <c r="B1132" s="15" t="s">
        <v>5</v>
      </c>
      <c r="C1132" s="10" t="s">
        <v>1114</v>
      </c>
      <c r="D1132" s="16" t="s">
        <v>3855</v>
      </c>
      <c r="E1132" s="15" t="s">
        <v>11215</v>
      </c>
      <c r="F1132" s="16" t="str">
        <f>VLOOKUP(Table8[[#This Row],[Mã khách hàng]],code_khach_hang[],2,0)</f>
        <v>CHI NHÁNH HÀ NỘI - CÔNG TY CỔ PHẦN DỊCH VỤ THƯƠNG MẠI TỔNG HỢP WINCOMMERCE</v>
      </c>
      <c r="G1132" s="16" t="str">
        <f>VLOOKUP(Table8[[#This Row],[Mã khách hàng]],code_khach_hang[],3,0)</f>
        <v>Miền Bắc đặc biệt 1</v>
      </c>
      <c r="H1132" t="str">
        <f>VLOOKUP(Table8[[#This Row],[Mã khách hàng]],'Khách hàng'!A:D,4,0)</f>
        <v>Food Đức Việt</v>
      </c>
      <c r="I1132" t="str">
        <f>VLOOKUP(Table8[[#This Row],[Mã khách hàng]],'Khách hàng'!A:E,5,0)</f>
        <v>HN0040</v>
      </c>
    </row>
    <row r="1133" spans="1:9">
      <c r="A1133" s="14" t="s">
        <v>1209</v>
      </c>
      <c r="B1133" s="15" t="s">
        <v>5</v>
      </c>
      <c r="C1133" s="10" t="s">
        <v>1210</v>
      </c>
      <c r="D1133" s="16" t="s">
        <v>3858</v>
      </c>
      <c r="E1133" s="15" t="s">
        <v>11215</v>
      </c>
      <c r="F1133" s="16" t="str">
        <f>VLOOKUP(Table8[[#This Row],[Mã khách hàng]],code_khach_hang[],2,0)</f>
        <v>CHI NHÁNH HÀ NỘI - CÔNG TY CỔ PHẦN DỊCH VỤ THƯƠNG MẠI TỔNG HỢP WINCOMMERCE</v>
      </c>
      <c r="G1133" s="16" t="str">
        <f>VLOOKUP(Table8[[#This Row],[Mã khách hàng]],code_khach_hang[],3,0)</f>
        <v>Miền Bắc đặc biệt 1</v>
      </c>
      <c r="H1133" t="str">
        <f>VLOOKUP(Table8[[#This Row],[Mã khách hàng]],'Khách hàng'!A:D,4,0)</f>
        <v>Food Đức Việt</v>
      </c>
      <c r="I1133" t="str">
        <f>VLOOKUP(Table8[[#This Row],[Mã khách hàng]],'Khách hàng'!A:E,5,0)</f>
        <v>HN0040</v>
      </c>
    </row>
    <row r="1134" spans="1:9">
      <c r="A1134" s="14" t="s">
        <v>1278</v>
      </c>
      <c r="B1134" s="15" t="s">
        <v>5</v>
      </c>
      <c r="C1134" s="10" t="s">
        <v>1279</v>
      </c>
      <c r="D1134" s="16" t="s">
        <v>3861</v>
      </c>
      <c r="E1134" s="14" t="s">
        <v>11215</v>
      </c>
      <c r="F1134" s="16" t="str">
        <f>VLOOKUP(Table8[[#This Row],[Mã khách hàng]],code_khach_hang[],2,0)</f>
        <v>CHI NHÁNH HÀ NỘI - CÔNG TY CỔ PHẦN DỊCH VỤ THƯƠNG MẠI TỔNG HỢP WINCOMMERCE</v>
      </c>
      <c r="G1134" s="16" t="str">
        <f>VLOOKUP(Table8[[#This Row],[Mã khách hàng]],code_khach_hang[],3,0)</f>
        <v>Miền Bắc đặc biệt 1</v>
      </c>
      <c r="H1134" t="str">
        <f>VLOOKUP(Table8[[#This Row],[Mã khách hàng]],'Khách hàng'!A:D,4,0)</f>
        <v>Food Đức Việt</v>
      </c>
      <c r="I1134" t="str">
        <f>VLOOKUP(Table8[[#This Row],[Mã khách hàng]],'Khách hàng'!A:E,5,0)</f>
        <v>HN0040</v>
      </c>
    </row>
    <row r="1135" spans="1:9">
      <c r="A1135" s="14" t="s">
        <v>1293</v>
      </c>
      <c r="B1135" s="15" t="s">
        <v>5</v>
      </c>
      <c r="C1135" s="10" t="s">
        <v>1294</v>
      </c>
      <c r="D1135" s="16" t="s">
        <v>3864</v>
      </c>
      <c r="E1135" s="15" t="s">
        <v>11215</v>
      </c>
      <c r="F1135" s="16" t="str">
        <f>VLOOKUP(Table8[[#This Row],[Mã khách hàng]],code_khach_hang[],2,0)</f>
        <v>CHI NHÁNH HÀ NỘI - CÔNG TY CỔ PHẦN DỊCH VỤ THƯƠNG MẠI TỔNG HỢP WINCOMMERCE</v>
      </c>
      <c r="G1135" s="16" t="str">
        <f>VLOOKUP(Table8[[#This Row],[Mã khách hàng]],code_khach_hang[],3,0)</f>
        <v>Miền Bắc đặc biệt 1</v>
      </c>
      <c r="H1135" t="str">
        <f>VLOOKUP(Table8[[#This Row],[Mã khách hàng]],'Khách hàng'!A:D,4,0)</f>
        <v>Food Đức Việt</v>
      </c>
      <c r="I1135" t="str">
        <f>VLOOKUP(Table8[[#This Row],[Mã khách hàng]],'Khách hàng'!A:E,5,0)</f>
        <v>HN0040</v>
      </c>
    </row>
    <row r="1136" spans="1:9">
      <c r="A1136" s="14" t="s">
        <v>1305</v>
      </c>
      <c r="B1136" s="15" t="s">
        <v>5</v>
      </c>
      <c r="C1136" s="10" t="s">
        <v>1306</v>
      </c>
      <c r="D1136" s="16" t="s">
        <v>3867</v>
      </c>
      <c r="E1136" s="15" t="s">
        <v>11215</v>
      </c>
      <c r="F1136" s="16" t="str">
        <f>VLOOKUP(Table8[[#This Row],[Mã khách hàng]],code_khach_hang[],2,0)</f>
        <v>CHI NHÁNH HÀ NỘI - CÔNG TY CỔ PHẦN DỊCH VỤ THƯƠNG MẠI TỔNG HỢP WINCOMMERCE</v>
      </c>
      <c r="G1136" s="16" t="str">
        <f>VLOOKUP(Table8[[#This Row],[Mã khách hàng]],code_khach_hang[],3,0)</f>
        <v>Miền Bắc đặc biệt 1</v>
      </c>
      <c r="H1136" t="str">
        <f>VLOOKUP(Table8[[#This Row],[Mã khách hàng]],'Khách hàng'!A:D,4,0)</f>
        <v>Food Đức Việt</v>
      </c>
      <c r="I1136" t="str">
        <f>VLOOKUP(Table8[[#This Row],[Mã khách hàng]],'Khách hàng'!A:E,5,0)</f>
        <v>HN0040</v>
      </c>
    </row>
    <row r="1137" spans="1:9">
      <c r="A1137" s="14" t="s">
        <v>1328</v>
      </c>
      <c r="B1137" s="15" t="s">
        <v>5</v>
      </c>
      <c r="C1137" s="10" t="s">
        <v>1329</v>
      </c>
      <c r="D1137" s="16" t="s">
        <v>3870</v>
      </c>
      <c r="E1137" s="15" t="s">
        <v>11215</v>
      </c>
      <c r="F1137" s="16" t="str">
        <f>VLOOKUP(Table8[[#This Row],[Mã khách hàng]],code_khach_hang[],2,0)</f>
        <v>CHI NHÁNH HÀ NỘI - CÔNG TY CỔ PHẦN DỊCH VỤ THƯƠNG MẠI TỔNG HỢP WINCOMMERCE</v>
      </c>
      <c r="G1137" s="16" t="str">
        <f>VLOOKUP(Table8[[#This Row],[Mã khách hàng]],code_khach_hang[],3,0)</f>
        <v>Miền Bắc đặc biệt 1</v>
      </c>
      <c r="H1137" t="str">
        <f>VLOOKUP(Table8[[#This Row],[Mã khách hàng]],'Khách hàng'!A:D,4,0)</f>
        <v>Food Đức Việt</v>
      </c>
      <c r="I1137" t="str">
        <f>VLOOKUP(Table8[[#This Row],[Mã khách hàng]],'Khách hàng'!A:E,5,0)</f>
        <v>HN0040</v>
      </c>
    </row>
    <row r="1138" spans="1:9">
      <c r="A1138" s="14" t="s">
        <v>4116</v>
      </c>
      <c r="B1138" s="15" t="s">
        <v>5</v>
      </c>
      <c r="C1138" s="10" t="s">
        <v>4117</v>
      </c>
      <c r="D1138" s="16" t="s">
        <v>3873</v>
      </c>
      <c r="E1138" s="15" t="s">
        <v>11215</v>
      </c>
      <c r="F1138" s="16" t="str">
        <f>VLOOKUP(Table8[[#This Row],[Mã khách hàng]],code_khach_hang[],2,0)</f>
        <v>CHI NHÁNH HÀ NỘI - CÔNG TY CỔ PHẦN DỊCH VỤ THƯƠNG MẠI TỔNG HỢP WINCOMMERCE</v>
      </c>
      <c r="G1138" s="16" t="str">
        <f>VLOOKUP(Table8[[#This Row],[Mã khách hàng]],code_khach_hang[],3,0)</f>
        <v>Miền Bắc đặc biệt 1</v>
      </c>
      <c r="H1138" t="str">
        <f>VLOOKUP(Table8[[#This Row],[Mã khách hàng]],'Khách hàng'!A:D,4,0)</f>
        <v>Food Đức Việt</v>
      </c>
      <c r="I1138" t="str">
        <f>VLOOKUP(Table8[[#This Row],[Mã khách hàng]],'Khách hàng'!A:E,5,0)</f>
        <v>HN0040</v>
      </c>
    </row>
    <row r="1139" spans="1:9">
      <c r="A1139" s="14" t="s">
        <v>4233</v>
      </c>
      <c r="B1139" s="15" t="s">
        <v>5</v>
      </c>
      <c r="C1139" s="10" t="s">
        <v>4234</v>
      </c>
      <c r="D1139" s="16" t="s">
        <v>3876</v>
      </c>
      <c r="E1139" s="15" t="s">
        <v>11215</v>
      </c>
      <c r="F1139" s="16" t="str">
        <f>VLOOKUP(Table8[[#This Row],[Mã khách hàng]],code_khach_hang[],2,0)</f>
        <v>CHI NHÁNH HÀ NỘI - CÔNG TY CỔ PHẦN DỊCH VỤ THƯƠNG MẠI TỔNG HỢP WINCOMMERCE</v>
      </c>
      <c r="G1139" s="16" t="str">
        <f>VLOOKUP(Table8[[#This Row],[Mã khách hàng]],code_khach_hang[],3,0)</f>
        <v>Miền Bắc đặc biệt 1</v>
      </c>
      <c r="H1139" t="str">
        <f>VLOOKUP(Table8[[#This Row],[Mã khách hàng]],'Khách hàng'!A:D,4,0)</f>
        <v>Food Đức Việt</v>
      </c>
      <c r="I1139" t="str">
        <f>VLOOKUP(Table8[[#This Row],[Mã khách hàng]],'Khách hàng'!A:E,5,0)</f>
        <v>HN0040</v>
      </c>
    </row>
    <row r="1140" spans="1:9">
      <c r="A1140" s="14" t="s">
        <v>4266</v>
      </c>
      <c r="B1140" s="15" t="s">
        <v>5</v>
      </c>
      <c r="C1140" s="10" t="s">
        <v>4267</v>
      </c>
      <c r="D1140" s="16" t="s">
        <v>3879</v>
      </c>
      <c r="E1140" s="15" t="s">
        <v>11215</v>
      </c>
      <c r="F1140" s="16" t="str">
        <f>VLOOKUP(Table8[[#This Row],[Mã khách hàng]],code_khach_hang[],2,0)</f>
        <v>CHI NHÁNH HÀ NỘI - CÔNG TY CỔ PHẦN DỊCH VỤ THƯƠNG MẠI TỔNG HỢP WINCOMMERCE</v>
      </c>
      <c r="G1140" s="16" t="str">
        <f>VLOOKUP(Table8[[#This Row],[Mã khách hàng]],code_khach_hang[],3,0)</f>
        <v>Miền Bắc đặc biệt 1</v>
      </c>
      <c r="H1140" t="str">
        <f>VLOOKUP(Table8[[#This Row],[Mã khách hàng]],'Khách hàng'!A:D,4,0)</f>
        <v>Food Đức Việt</v>
      </c>
      <c r="I1140" t="str">
        <f>VLOOKUP(Table8[[#This Row],[Mã khách hàng]],'Khách hàng'!A:E,5,0)</f>
        <v>HN0040</v>
      </c>
    </row>
    <row r="1141" spans="1:9">
      <c r="A1141" s="14" t="s">
        <v>4371</v>
      </c>
      <c r="B1141" s="15" t="s">
        <v>5</v>
      </c>
      <c r="C1141" s="10" t="s">
        <v>4372</v>
      </c>
      <c r="D1141" s="16" t="s">
        <v>3882</v>
      </c>
      <c r="E1141" s="15" t="s">
        <v>11215</v>
      </c>
      <c r="F1141" s="16" t="str">
        <f>VLOOKUP(Table8[[#This Row],[Mã khách hàng]],code_khach_hang[],2,0)</f>
        <v>CHI NHÁNH HÀ NỘI - CÔNG TY CỔ PHẦN DỊCH VỤ THƯƠNG MẠI TỔNG HỢP WINCOMMERCE</v>
      </c>
      <c r="G1141" s="16" t="str">
        <f>VLOOKUP(Table8[[#This Row],[Mã khách hàng]],code_khach_hang[],3,0)</f>
        <v>Miền Bắc đặc biệt 1</v>
      </c>
      <c r="H1141" t="str">
        <f>VLOOKUP(Table8[[#This Row],[Mã khách hàng]],'Khách hàng'!A:D,4,0)</f>
        <v>Food Đức Việt</v>
      </c>
      <c r="I1141" t="str">
        <f>VLOOKUP(Table8[[#This Row],[Mã khách hàng]],'Khách hàng'!A:E,5,0)</f>
        <v>HN0040</v>
      </c>
    </row>
    <row r="1142" spans="1:9">
      <c r="A1142" s="14" t="s">
        <v>4431</v>
      </c>
      <c r="B1142" s="15" t="s">
        <v>5</v>
      </c>
      <c r="C1142" s="10" t="s">
        <v>4432</v>
      </c>
      <c r="D1142" s="16" t="s">
        <v>3885</v>
      </c>
      <c r="E1142" s="15" t="s">
        <v>11215</v>
      </c>
      <c r="F1142" s="16" t="str">
        <f>VLOOKUP(Table8[[#This Row],[Mã khách hàng]],code_khach_hang[],2,0)</f>
        <v>CHI NHÁNH HÀ NỘI - CÔNG TY CỔ PHẦN DỊCH VỤ THƯƠNG MẠI TỔNG HỢP WINCOMMERCE</v>
      </c>
      <c r="G1142" s="16" t="str">
        <f>VLOOKUP(Table8[[#This Row],[Mã khách hàng]],code_khach_hang[],3,0)</f>
        <v>Miền Bắc đặc biệt 1</v>
      </c>
      <c r="H1142" t="str">
        <f>VLOOKUP(Table8[[#This Row],[Mã khách hàng]],'Khách hàng'!A:D,4,0)</f>
        <v>Food Đức Việt</v>
      </c>
      <c r="I1142" t="str">
        <f>VLOOKUP(Table8[[#This Row],[Mã khách hàng]],'Khách hàng'!A:E,5,0)</f>
        <v>HN0040</v>
      </c>
    </row>
    <row r="1143" spans="1:9">
      <c r="A1143" s="14" t="s">
        <v>5103</v>
      </c>
      <c r="B1143" s="15" t="s">
        <v>5</v>
      </c>
      <c r="C1143" s="10" t="s">
        <v>5104</v>
      </c>
      <c r="D1143" s="16" t="s">
        <v>3888</v>
      </c>
      <c r="E1143" s="15" t="s">
        <v>11215</v>
      </c>
      <c r="F1143" s="16" t="str">
        <f>VLOOKUP(Table8[[#This Row],[Mã khách hàng]],code_khach_hang[],2,0)</f>
        <v>CHI NHÁNH HÀ NỘI - CÔNG TY CỔ PHẦN DỊCH VỤ THƯƠNG MẠI TỔNG HỢP WINCOMMERCE</v>
      </c>
      <c r="G1143" s="16" t="str">
        <f>VLOOKUP(Table8[[#This Row],[Mã khách hàng]],code_khach_hang[],3,0)</f>
        <v>Miền Bắc đặc biệt 1</v>
      </c>
      <c r="H1143" t="str">
        <f>VLOOKUP(Table8[[#This Row],[Mã khách hàng]],'Khách hàng'!A:D,4,0)</f>
        <v>Food Đức Việt</v>
      </c>
      <c r="I1143" t="str">
        <f>VLOOKUP(Table8[[#This Row],[Mã khách hàng]],'Khách hàng'!A:E,5,0)</f>
        <v>HN0040</v>
      </c>
    </row>
    <row r="1144" spans="1:9">
      <c r="A1144" s="14" t="s">
        <v>5127</v>
      </c>
      <c r="B1144" s="15" t="s">
        <v>5</v>
      </c>
      <c r="C1144" s="10" t="s">
        <v>5128</v>
      </c>
      <c r="D1144" s="16" t="s">
        <v>3891</v>
      </c>
      <c r="E1144" s="15" t="s">
        <v>11215</v>
      </c>
      <c r="F1144" s="16" t="str">
        <f>VLOOKUP(Table8[[#This Row],[Mã khách hàng]],code_khach_hang[],2,0)</f>
        <v>CHI NHÁNH HÀ NỘI - CÔNG TY CỔ PHẦN DỊCH VỤ THƯƠNG MẠI TỔNG HỢP WINCOMMERCE</v>
      </c>
      <c r="G1144" s="16" t="str">
        <f>VLOOKUP(Table8[[#This Row],[Mã khách hàng]],code_khach_hang[],3,0)</f>
        <v>Miền Bắc đặc biệt 1</v>
      </c>
      <c r="H1144" t="str">
        <f>VLOOKUP(Table8[[#This Row],[Mã khách hàng]],'Khách hàng'!A:D,4,0)</f>
        <v>Food Đức Việt</v>
      </c>
      <c r="I1144" t="str">
        <f>VLOOKUP(Table8[[#This Row],[Mã khách hàng]],'Khách hàng'!A:E,5,0)</f>
        <v>HN0040</v>
      </c>
    </row>
    <row r="1145" spans="1:9">
      <c r="A1145" s="14" t="s">
        <v>5169</v>
      </c>
      <c r="B1145" s="15" t="s">
        <v>5</v>
      </c>
      <c r="C1145" s="10" t="s">
        <v>5170</v>
      </c>
      <c r="D1145" s="16" t="s">
        <v>3894</v>
      </c>
      <c r="E1145" s="15" t="s">
        <v>11215</v>
      </c>
      <c r="F1145" s="16" t="str">
        <f>VLOOKUP(Table8[[#This Row],[Mã khách hàng]],code_khach_hang[],2,0)</f>
        <v>CHI NHÁNH HÀ NỘI - CÔNG TY CỔ PHẦN DỊCH VỤ THƯƠNG MẠI TỔNG HỢP WINCOMMERCE</v>
      </c>
      <c r="G1145" s="16" t="str">
        <f>VLOOKUP(Table8[[#This Row],[Mã khách hàng]],code_khach_hang[],3,0)</f>
        <v>Miền Bắc đặc biệt 1</v>
      </c>
      <c r="H1145" t="str">
        <f>VLOOKUP(Table8[[#This Row],[Mã khách hàng]],'Khách hàng'!A:D,4,0)</f>
        <v>Food Đức Việt</v>
      </c>
      <c r="I1145" t="str">
        <f>VLOOKUP(Table8[[#This Row],[Mã khách hàng]],'Khách hàng'!A:E,5,0)</f>
        <v>HN0040</v>
      </c>
    </row>
    <row r="1146" spans="1:9">
      <c r="A1146" s="14" t="s">
        <v>5346</v>
      </c>
      <c r="B1146" s="15" t="s">
        <v>5</v>
      </c>
      <c r="C1146" s="10" t="s">
        <v>5347</v>
      </c>
      <c r="D1146" s="16" t="s">
        <v>3897</v>
      </c>
      <c r="E1146" s="15" t="s">
        <v>11215</v>
      </c>
      <c r="F1146" s="16" t="str">
        <f>VLOOKUP(Table8[[#This Row],[Mã khách hàng]],code_khach_hang[],2,0)</f>
        <v>CHI NHÁNH HÀ NỘI - CÔNG TY CỔ PHẦN DỊCH VỤ THƯƠNG MẠI TỔNG HỢP WINCOMMERCE</v>
      </c>
      <c r="G1146" s="16" t="str">
        <f>VLOOKUP(Table8[[#This Row],[Mã khách hàng]],code_khach_hang[],3,0)</f>
        <v>Miền Bắc đặc biệt 1</v>
      </c>
      <c r="H1146" t="str">
        <f>VLOOKUP(Table8[[#This Row],[Mã khách hàng]],'Khách hàng'!A:D,4,0)</f>
        <v>Food Đức Việt</v>
      </c>
      <c r="I1146" t="str">
        <f>VLOOKUP(Table8[[#This Row],[Mã khách hàng]],'Khách hàng'!A:E,5,0)</f>
        <v>HN0040</v>
      </c>
    </row>
    <row r="1147" spans="1:9">
      <c r="A1147" s="14" t="s">
        <v>6297</v>
      </c>
      <c r="B1147" s="15" t="s">
        <v>5</v>
      </c>
      <c r="C1147" s="10" t="s">
        <v>6298</v>
      </c>
      <c r="D1147" s="16" t="s">
        <v>3900</v>
      </c>
      <c r="E1147" s="15" t="s">
        <v>11215</v>
      </c>
      <c r="F1147" s="16" t="str">
        <f>VLOOKUP(Table8[[#This Row],[Mã khách hàng]],code_khach_hang[],2,0)</f>
        <v>CHI NHÁNH HÀ NỘI - CÔNG TY CỔ PHẦN DỊCH VỤ THƯƠNG MẠI TỔNG HỢP WINCOMMERCE</v>
      </c>
      <c r="G1147" s="16" t="str">
        <f>VLOOKUP(Table8[[#This Row],[Mã khách hàng]],code_khach_hang[],3,0)</f>
        <v>Miền Bắc đặc biệt 1</v>
      </c>
      <c r="H1147" t="str">
        <f>VLOOKUP(Table8[[#This Row],[Mã khách hàng]],'Khách hàng'!A:D,4,0)</f>
        <v>Food Đức Việt</v>
      </c>
      <c r="I1147" t="str">
        <f>VLOOKUP(Table8[[#This Row],[Mã khách hàng]],'Khách hàng'!A:E,5,0)</f>
        <v>HN0040</v>
      </c>
    </row>
    <row r="1148" spans="1:9">
      <c r="A1148" s="14" t="s">
        <v>6413</v>
      </c>
      <c r="B1148" s="15" t="s">
        <v>5</v>
      </c>
      <c r="C1148" s="10" t="s">
        <v>6414</v>
      </c>
      <c r="D1148" s="16" t="s">
        <v>3903</v>
      </c>
      <c r="E1148" s="15" t="s">
        <v>11215</v>
      </c>
      <c r="F1148" s="16" t="str">
        <f>VLOOKUP(Table8[[#This Row],[Mã khách hàng]],code_khach_hang[],2,0)</f>
        <v>CHI NHÁNH HÀ NỘI - CÔNG TY CỔ PHẦN DỊCH VỤ THƯƠNG MẠI TỔNG HỢP WINCOMMERCE</v>
      </c>
      <c r="G1148" s="16" t="str">
        <f>VLOOKUP(Table8[[#This Row],[Mã khách hàng]],code_khach_hang[],3,0)</f>
        <v>Miền Bắc đặc biệt 1</v>
      </c>
      <c r="H1148" t="str">
        <f>VLOOKUP(Table8[[#This Row],[Mã khách hàng]],'Khách hàng'!A:D,4,0)</f>
        <v>Food Đức Việt</v>
      </c>
      <c r="I1148" t="str">
        <f>VLOOKUP(Table8[[#This Row],[Mã khách hàng]],'Khách hàng'!A:E,5,0)</f>
        <v>HN0040</v>
      </c>
    </row>
    <row r="1149" spans="1:9">
      <c r="A1149" s="14" t="s">
        <v>6419</v>
      </c>
      <c r="B1149" s="15" t="s">
        <v>5</v>
      </c>
      <c r="C1149" s="10" t="s">
        <v>6420</v>
      </c>
      <c r="D1149" s="16" t="s">
        <v>3906</v>
      </c>
      <c r="E1149" s="15" t="s">
        <v>11215</v>
      </c>
      <c r="F1149" s="16" t="str">
        <f>VLOOKUP(Table8[[#This Row],[Mã khách hàng]],code_khach_hang[],2,0)</f>
        <v>CHI NHÁNH HÀ NỘI - CÔNG TY CỔ PHẦN DỊCH VỤ THƯƠNG MẠI TỔNG HỢP WINCOMMERCE</v>
      </c>
      <c r="G1149" s="16" t="str">
        <f>VLOOKUP(Table8[[#This Row],[Mã khách hàng]],code_khach_hang[],3,0)</f>
        <v>Miền Bắc đặc biệt 1</v>
      </c>
      <c r="H1149" t="str">
        <f>VLOOKUP(Table8[[#This Row],[Mã khách hàng]],'Khách hàng'!A:D,4,0)</f>
        <v>Food Đức Việt</v>
      </c>
      <c r="I1149" t="str">
        <f>VLOOKUP(Table8[[#This Row],[Mã khách hàng]],'Khách hàng'!A:E,5,0)</f>
        <v>HN0040</v>
      </c>
    </row>
    <row r="1150" spans="1:9">
      <c r="A1150" s="14" t="s">
        <v>6719</v>
      </c>
      <c r="B1150" s="15" t="s">
        <v>5</v>
      </c>
      <c r="C1150" s="10" t="s">
        <v>6720</v>
      </c>
      <c r="D1150" s="16" t="s">
        <v>3909</v>
      </c>
      <c r="E1150" s="15" t="s">
        <v>11215</v>
      </c>
      <c r="F1150" s="16" t="str">
        <f>VLOOKUP(Table8[[#This Row],[Mã khách hàng]],code_khach_hang[],2,0)</f>
        <v>CHI NHÁNH HÀ NỘI - CÔNG TY CỔ PHẦN DỊCH VỤ THƯƠNG MẠI TỔNG HỢP WINCOMMERCE</v>
      </c>
      <c r="G1150" s="16" t="str">
        <f>VLOOKUP(Table8[[#This Row],[Mã khách hàng]],code_khach_hang[],3,0)</f>
        <v>Miền Bắc đặc biệt 1</v>
      </c>
      <c r="H1150" t="str">
        <f>VLOOKUP(Table8[[#This Row],[Mã khách hàng]],'Khách hàng'!A:D,4,0)</f>
        <v>Food Đức Việt</v>
      </c>
      <c r="I1150" t="str">
        <f>VLOOKUP(Table8[[#This Row],[Mã khách hàng]],'Khách hàng'!A:E,5,0)</f>
        <v>HN0040</v>
      </c>
    </row>
    <row r="1151" spans="1:9">
      <c r="A1151" s="14" t="s">
        <v>6854</v>
      </c>
      <c r="B1151" s="15" t="s">
        <v>5</v>
      </c>
      <c r="C1151" s="10" t="s">
        <v>6855</v>
      </c>
      <c r="D1151" s="16" t="s">
        <v>3912</v>
      </c>
      <c r="E1151" s="15" t="s">
        <v>11215</v>
      </c>
      <c r="F1151" s="16" t="str">
        <f>VLOOKUP(Table8[[#This Row],[Mã khách hàng]],code_khach_hang[],2,0)</f>
        <v>CHI NHÁNH HÀ NỘI - CÔNG TY CỔ PHẦN DỊCH VỤ THƯƠNG MẠI TỔNG HỢP WINCOMMERCE</v>
      </c>
      <c r="G1151" s="16" t="str">
        <f>VLOOKUP(Table8[[#This Row],[Mã khách hàng]],code_khach_hang[],3,0)</f>
        <v>Miền Bắc đặc biệt 1</v>
      </c>
      <c r="H1151" t="str">
        <f>VLOOKUP(Table8[[#This Row],[Mã khách hàng]],'Khách hàng'!A:D,4,0)</f>
        <v>Food Đức Việt</v>
      </c>
      <c r="I1151" t="str">
        <f>VLOOKUP(Table8[[#This Row],[Mã khách hàng]],'Khách hàng'!A:E,5,0)</f>
        <v>HN0040</v>
      </c>
    </row>
    <row r="1152" spans="1:9">
      <c r="A1152" s="14" t="s">
        <v>7321</v>
      </c>
      <c r="B1152" s="15" t="s">
        <v>5</v>
      </c>
      <c r="C1152" s="10" t="s">
        <v>7322</v>
      </c>
      <c r="D1152" s="16" t="s">
        <v>3915</v>
      </c>
      <c r="E1152" s="15" t="s">
        <v>11215</v>
      </c>
      <c r="F1152" s="16" t="str">
        <f>VLOOKUP(Table8[[#This Row],[Mã khách hàng]],code_khach_hang[],2,0)</f>
        <v>CHI NHÁNH HÀ NỘI - CÔNG TY CỔ PHẦN DỊCH VỤ THƯƠNG MẠI TỔNG HỢP WINCOMMERCE</v>
      </c>
      <c r="G1152" s="16" t="str">
        <f>VLOOKUP(Table8[[#This Row],[Mã khách hàng]],code_khach_hang[],3,0)</f>
        <v>Miền Bắc đặc biệt 1</v>
      </c>
      <c r="H1152" t="str">
        <f>VLOOKUP(Table8[[#This Row],[Mã khách hàng]],'Khách hàng'!A:D,4,0)</f>
        <v>Food Đức Việt</v>
      </c>
      <c r="I1152" t="str">
        <f>VLOOKUP(Table8[[#This Row],[Mã khách hàng]],'Khách hàng'!A:E,5,0)</f>
        <v>HN0040</v>
      </c>
    </row>
    <row r="1153" spans="1:9">
      <c r="A1153" s="14" t="s">
        <v>7655</v>
      </c>
      <c r="B1153" s="15" t="s">
        <v>5</v>
      </c>
      <c r="C1153" s="10" t="s">
        <v>7656</v>
      </c>
      <c r="D1153" s="16" t="s">
        <v>3918</v>
      </c>
      <c r="E1153" s="15" t="s">
        <v>11215</v>
      </c>
      <c r="F1153" s="16" t="str">
        <f>VLOOKUP(Table8[[#This Row],[Mã khách hàng]],code_khach_hang[],2,0)</f>
        <v>CHI NHÁNH HÀ NỘI - CÔNG TY CỔ PHẦN DỊCH VỤ THƯƠNG MẠI TỔNG HỢP WINCOMMERCE</v>
      </c>
      <c r="G1153" s="16" t="str">
        <f>VLOOKUP(Table8[[#This Row],[Mã khách hàng]],code_khach_hang[],3,0)</f>
        <v>Miền Bắc đặc biệt 1</v>
      </c>
      <c r="H1153" t="str">
        <f>VLOOKUP(Table8[[#This Row],[Mã khách hàng]],'Khách hàng'!A:D,4,0)</f>
        <v>Food Đức Việt</v>
      </c>
      <c r="I1153" t="str">
        <f>VLOOKUP(Table8[[#This Row],[Mã khách hàng]],'Khách hàng'!A:E,5,0)</f>
        <v>HN0040</v>
      </c>
    </row>
    <row r="1154" spans="1:9">
      <c r="A1154" s="14" t="s">
        <v>7360</v>
      </c>
      <c r="B1154" s="15" t="s">
        <v>5</v>
      </c>
      <c r="C1154" s="10" t="s">
        <v>7361</v>
      </c>
      <c r="D1154" s="16" t="s">
        <v>3921</v>
      </c>
      <c r="E1154" s="15" t="s">
        <v>11215</v>
      </c>
      <c r="F1154" s="16" t="str">
        <f>VLOOKUP(Table8[[#This Row],[Mã khách hàng]],code_khach_hang[],2,0)</f>
        <v>CHI NHÁNH HÀ NỘI - CÔNG TY CỔ PHẦN DỊCH VỤ THƯƠNG MẠI TỔNG HỢP WINCOMMERCE</v>
      </c>
      <c r="G1154" s="16" t="str">
        <f>VLOOKUP(Table8[[#This Row],[Mã khách hàng]],code_khach_hang[],3,0)</f>
        <v>Miền Bắc đặc biệt 1</v>
      </c>
      <c r="H1154" t="str">
        <f>VLOOKUP(Table8[[#This Row],[Mã khách hàng]],'Khách hàng'!A:D,4,0)</f>
        <v>Food Đức Việt</v>
      </c>
      <c r="I1154" t="str">
        <f>VLOOKUP(Table8[[#This Row],[Mã khách hàng]],'Khách hàng'!A:E,5,0)</f>
        <v>HN0040</v>
      </c>
    </row>
    <row r="1155" spans="1:9">
      <c r="A1155" s="14" t="s">
        <v>568</v>
      </c>
      <c r="B1155" s="15" t="s">
        <v>183</v>
      </c>
      <c r="C1155" s="10" t="s">
        <v>569</v>
      </c>
      <c r="D1155" s="16" t="s">
        <v>3924</v>
      </c>
      <c r="E1155" s="15" t="s">
        <v>11195</v>
      </c>
      <c r="F1155" s="16" t="str">
        <f>VLOOKUP(Table8[[#This Row],[Mã khách hàng]],code_khach_hang[],2,0)</f>
        <v>CHI NHÁNH HÀ NỘI - CÔNG TY CỔ PHẦN DỊCH VỤ THƯƠNG MẠI TỔNG HỢP WINCOMMERCE</v>
      </c>
      <c r="G1155" s="16" t="str">
        <f>VLOOKUP(Table8[[#This Row],[Mã khách hàng]],code_khach_hang[],3,0)</f>
        <v>Miền Bắc đặc biệt 2</v>
      </c>
      <c r="H1155" t="str">
        <f>VLOOKUP(Table8[[#This Row],[Mã khách hàng]],'Khách hàng'!A:D,4,0)</f>
        <v>Food Đức Việt</v>
      </c>
      <c r="I1155" t="str">
        <f>VLOOKUP(Table8[[#This Row],[Mã khách hàng]],'Khách hàng'!A:E,5,0)</f>
        <v>HN0040</v>
      </c>
    </row>
    <row r="1156" spans="1:9">
      <c r="A1156" s="14" t="s">
        <v>532</v>
      </c>
      <c r="B1156" s="15" t="s">
        <v>183</v>
      </c>
      <c r="C1156" s="10" t="s">
        <v>533</v>
      </c>
      <c r="D1156" s="16" t="s">
        <v>3927</v>
      </c>
      <c r="E1156" s="15" t="s">
        <v>11195</v>
      </c>
      <c r="F1156" s="16" t="str">
        <f>VLOOKUP(Table8[[#This Row],[Mã khách hàng]],code_khach_hang[],2,0)</f>
        <v>CHI NHÁNH HÀ NỘI - CÔNG TY CỔ PHẦN DỊCH VỤ THƯƠNG MẠI TỔNG HỢP WINCOMMERCE</v>
      </c>
      <c r="G1156" s="16" t="str">
        <f>VLOOKUP(Table8[[#This Row],[Mã khách hàng]],code_khach_hang[],3,0)</f>
        <v>Miền Bắc đặc biệt 2</v>
      </c>
      <c r="H1156" t="str">
        <f>VLOOKUP(Table8[[#This Row],[Mã khách hàng]],'Khách hàng'!A:D,4,0)</f>
        <v>Food Đức Việt</v>
      </c>
      <c r="I1156" t="str">
        <f>VLOOKUP(Table8[[#This Row],[Mã khách hàng]],'Khách hàng'!A:E,5,0)</f>
        <v>HN0040</v>
      </c>
    </row>
    <row r="1157" spans="1:9">
      <c r="A1157" s="14" t="s">
        <v>616</v>
      </c>
      <c r="B1157" s="15" t="s">
        <v>183</v>
      </c>
      <c r="C1157" s="10" t="s">
        <v>617</v>
      </c>
      <c r="D1157" s="16" t="s">
        <v>3930</v>
      </c>
      <c r="E1157" s="15" t="s">
        <v>11195</v>
      </c>
      <c r="F1157" s="16" t="str">
        <f>VLOOKUP(Table8[[#This Row],[Mã khách hàng]],code_khach_hang[],2,0)</f>
        <v>CHI NHÁNH HÀ NỘI - CÔNG TY CỔ PHẦN DỊCH VỤ THƯƠNG MẠI TỔNG HỢP WINCOMMERCE</v>
      </c>
      <c r="G1157" s="16" t="str">
        <f>VLOOKUP(Table8[[#This Row],[Mã khách hàng]],code_khach_hang[],3,0)</f>
        <v>Miền Bắc đặc biệt 2</v>
      </c>
      <c r="H1157" t="str">
        <f>VLOOKUP(Table8[[#This Row],[Mã khách hàng]],'Khách hàng'!A:D,4,0)</f>
        <v>Food Đức Việt</v>
      </c>
      <c r="I1157" t="str">
        <f>VLOOKUP(Table8[[#This Row],[Mã khách hàng]],'Khách hàng'!A:E,5,0)</f>
        <v>HN0040</v>
      </c>
    </row>
    <row r="1158" spans="1:9">
      <c r="A1158" s="14" t="s">
        <v>5049</v>
      </c>
      <c r="B1158" s="15" t="s">
        <v>5</v>
      </c>
      <c r="C1158" s="10" t="s">
        <v>5050</v>
      </c>
      <c r="D1158" s="16" t="s">
        <v>3932</v>
      </c>
      <c r="E1158" s="15" t="s">
        <v>11215</v>
      </c>
      <c r="F1158" s="16" t="str">
        <f>VLOOKUP(Table8[[#This Row],[Mã khách hàng]],code_khach_hang[],2,0)</f>
        <v>CHI NHÁNH HÀ NỘI - CÔNG TY CỔ PHẦN DỊCH VỤ THƯƠNG MẠI TỔNG HỢP WINCOMMERCE</v>
      </c>
      <c r="G1158" s="16" t="str">
        <f>VLOOKUP(Table8[[#This Row],[Mã khách hàng]],code_khach_hang[],3,0)</f>
        <v>Miền Bắc đặc biệt 1</v>
      </c>
      <c r="H1158" t="str">
        <f>VLOOKUP(Table8[[#This Row],[Mã khách hàng]],'Khách hàng'!A:D,4,0)</f>
        <v>Food Đức Việt</v>
      </c>
      <c r="I1158" t="str">
        <f>VLOOKUP(Table8[[#This Row],[Mã khách hàng]],'Khách hàng'!A:E,5,0)</f>
        <v>HN0040</v>
      </c>
    </row>
    <row r="1159" spans="1:9">
      <c r="A1159" s="14" t="s">
        <v>5094</v>
      </c>
      <c r="B1159" s="15" t="s">
        <v>5</v>
      </c>
      <c r="C1159" s="10" t="s">
        <v>5095</v>
      </c>
      <c r="D1159" s="16" t="s">
        <v>3935</v>
      </c>
      <c r="E1159" s="15" t="s">
        <v>11215</v>
      </c>
      <c r="F1159" s="16" t="str">
        <f>VLOOKUP(Table8[[#This Row],[Mã khách hàng]],code_khach_hang[],2,0)</f>
        <v>CHI NHÁNH HÀ NỘI - CÔNG TY CỔ PHẦN DỊCH VỤ THƯƠNG MẠI TỔNG HỢP WINCOMMERCE</v>
      </c>
      <c r="G1159" s="16" t="str">
        <f>VLOOKUP(Table8[[#This Row],[Mã khách hàng]],code_khach_hang[],3,0)</f>
        <v>Miền Bắc đặc biệt 1</v>
      </c>
      <c r="H1159" t="str">
        <f>VLOOKUP(Table8[[#This Row],[Mã khách hàng]],'Khách hàng'!A:D,4,0)</f>
        <v>Food Đức Việt</v>
      </c>
      <c r="I1159" t="str">
        <f>VLOOKUP(Table8[[#This Row],[Mã khách hàng]],'Khách hàng'!A:E,5,0)</f>
        <v>HN0040</v>
      </c>
    </row>
    <row r="1160" spans="1:9">
      <c r="A1160" s="14" t="s">
        <v>8178</v>
      </c>
      <c r="B1160" s="15" t="s">
        <v>5</v>
      </c>
      <c r="C1160" s="10" t="s">
        <v>8179</v>
      </c>
      <c r="D1160" s="16" t="s">
        <v>3938</v>
      </c>
      <c r="E1160" s="15" t="s">
        <v>11215</v>
      </c>
      <c r="F1160" s="16" t="str">
        <f>VLOOKUP(Table8[[#This Row],[Mã khách hàng]],code_khach_hang[],2,0)</f>
        <v>CHI NHÁNH HÀ NỘI - CÔNG TY CỔ PHẦN DỊCH VỤ THƯƠNG MẠI TỔNG HỢP WINCOMMERCE</v>
      </c>
      <c r="G1160" s="16" t="str">
        <f>VLOOKUP(Table8[[#This Row],[Mã khách hàng]],code_khach_hang[],3,0)</f>
        <v>Miền Bắc đặc biệt 1</v>
      </c>
      <c r="H1160" t="str">
        <f>VLOOKUP(Table8[[#This Row],[Mã khách hàng]],'Khách hàng'!A:D,4,0)</f>
        <v>Food Đức Việt</v>
      </c>
      <c r="I1160" t="str">
        <f>VLOOKUP(Table8[[#This Row],[Mã khách hàng]],'Khách hàng'!A:E,5,0)</f>
        <v>HN0040</v>
      </c>
    </row>
    <row r="1161" spans="1:9">
      <c r="A1161" s="14" t="s">
        <v>918</v>
      </c>
      <c r="B1161" s="15" t="s">
        <v>5</v>
      </c>
      <c r="C1161" s="10" t="s">
        <v>919</v>
      </c>
      <c r="D1161" s="16" t="s">
        <v>3941</v>
      </c>
      <c r="E1161" s="15" t="s">
        <v>11215</v>
      </c>
      <c r="F1161" s="16" t="str">
        <f>VLOOKUP(Table8[[#This Row],[Mã khách hàng]],code_khach_hang[],2,0)</f>
        <v>CHI NHÁNH HÀ NỘI - CÔNG TY CỔ PHẦN DỊCH VỤ THƯƠNG MẠI TỔNG HỢP WINCOMMERCE</v>
      </c>
      <c r="G1161" s="16" t="str">
        <f>VLOOKUP(Table8[[#This Row],[Mã khách hàng]],code_khach_hang[],3,0)</f>
        <v>Miền Bắc đặc biệt 1</v>
      </c>
      <c r="H1161" t="str">
        <f>VLOOKUP(Table8[[#This Row],[Mã khách hàng]],'Khách hàng'!A:D,4,0)</f>
        <v>Food Đức Việt</v>
      </c>
      <c r="I1161" t="str">
        <f>VLOOKUP(Table8[[#This Row],[Mã khách hàng]],'Khách hàng'!A:E,5,0)</f>
        <v>HN0040</v>
      </c>
    </row>
    <row r="1162" spans="1:9">
      <c r="A1162" s="14" t="s">
        <v>1188</v>
      </c>
      <c r="B1162" s="15" t="s">
        <v>5</v>
      </c>
      <c r="C1162" s="10" t="s">
        <v>1189</v>
      </c>
      <c r="D1162" s="16" t="s">
        <v>3944</v>
      </c>
      <c r="E1162" s="15" t="s">
        <v>11215</v>
      </c>
      <c r="F1162" s="16" t="str">
        <f>VLOOKUP(Table8[[#This Row],[Mã khách hàng]],code_khach_hang[],2,0)</f>
        <v>CHI NHÁNH HÀ NỘI - CÔNG TY CỔ PHẦN DỊCH VỤ THƯƠNG MẠI TỔNG HỢP WINCOMMERCE</v>
      </c>
      <c r="G1162" s="16" t="str">
        <f>VLOOKUP(Table8[[#This Row],[Mã khách hàng]],code_khach_hang[],3,0)</f>
        <v>Miền Bắc đặc biệt 1</v>
      </c>
      <c r="H1162" t="str">
        <f>VLOOKUP(Table8[[#This Row],[Mã khách hàng]],'Khách hàng'!A:D,4,0)</f>
        <v>Food Đức Việt</v>
      </c>
      <c r="I1162" t="str">
        <f>VLOOKUP(Table8[[#This Row],[Mã khách hàng]],'Khách hàng'!A:E,5,0)</f>
        <v>HN0040</v>
      </c>
    </row>
    <row r="1163" spans="1:9">
      <c r="A1163" s="14" t="s">
        <v>1290</v>
      </c>
      <c r="B1163" s="15" t="s">
        <v>5</v>
      </c>
      <c r="C1163" s="10" t="s">
        <v>1291</v>
      </c>
      <c r="D1163" s="16" t="s">
        <v>3947</v>
      </c>
      <c r="E1163" s="15" t="s">
        <v>11215</v>
      </c>
      <c r="F1163" s="16" t="str">
        <f>VLOOKUP(Table8[[#This Row],[Mã khách hàng]],code_khach_hang[],2,0)</f>
        <v>CHI NHÁNH HÀ NỘI - CÔNG TY CỔ PHẦN DỊCH VỤ THƯƠNG MẠI TỔNG HỢP WINCOMMERCE</v>
      </c>
      <c r="G1163" s="16" t="str">
        <f>VLOOKUP(Table8[[#This Row],[Mã khách hàng]],code_khach_hang[],3,0)</f>
        <v>Miền Bắc đặc biệt 1</v>
      </c>
      <c r="H1163" t="str">
        <f>VLOOKUP(Table8[[#This Row],[Mã khách hàng]],'Khách hàng'!A:D,4,0)</f>
        <v>Food Đức Việt</v>
      </c>
      <c r="I1163" t="str">
        <f>VLOOKUP(Table8[[#This Row],[Mã khách hàng]],'Khách hàng'!A:E,5,0)</f>
        <v>HN0040</v>
      </c>
    </row>
    <row r="1164" spans="1:9">
      <c r="A1164" s="14" t="s">
        <v>4119</v>
      </c>
      <c r="B1164" s="15" t="s">
        <v>5</v>
      </c>
      <c r="C1164" s="10" t="s">
        <v>4120</v>
      </c>
      <c r="D1164" s="16" t="s">
        <v>3950</v>
      </c>
      <c r="E1164" s="15" t="s">
        <v>11215</v>
      </c>
      <c r="F1164" s="16" t="str">
        <f>VLOOKUP(Table8[[#This Row],[Mã khách hàng]],code_khach_hang[],2,0)</f>
        <v>CHI NHÁNH HÀ NỘI - CÔNG TY CỔ PHẦN DỊCH VỤ THƯƠNG MẠI TỔNG HỢP WINCOMMERCE</v>
      </c>
      <c r="G1164" s="16" t="str">
        <f>VLOOKUP(Table8[[#This Row],[Mã khách hàng]],code_khach_hang[],3,0)</f>
        <v>Miền Bắc đặc biệt 1</v>
      </c>
      <c r="H1164" t="str">
        <f>VLOOKUP(Table8[[#This Row],[Mã khách hàng]],'Khách hàng'!A:D,4,0)</f>
        <v>Food Đức Việt</v>
      </c>
      <c r="I1164" t="str">
        <f>VLOOKUP(Table8[[#This Row],[Mã khách hàng]],'Khách hàng'!A:E,5,0)</f>
        <v>HN0040</v>
      </c>
    </row>
    <row r="1165" spans="1:9">
      <c r="A1165" s="14" t="s">
        <v>4158</v>
      </c>
      <c r="B1165" s="15" t="s">
        <v>5</v>
      </c>
      <c r="C1165" s="10" t="s">
        <v>4159</v>
      </c>
      <c r="D1165" s="16" t="s">
        <v>3953</v>
      </c>
      <c r="E1165" s="15" t="s">
        <v>11215</v>
      </c>
      <c r="F1165" s="16" t="str">
        <f>VLOOKUP(Table8[[#This Row],[Mã khách hàng]],code_khach_hang[],2,0)</f>
        <v>CHI NHÁNH HÀ NỘI - CÔNG TY CỔ PHẦN DỊCH VỤ THƯƠNG MẠI TỔNG HỢP WINCOMMERCE</v>
      </c>
      <c r="G1165" s="16" t="str">
        <f>VLOOKUP(Table8[[#This Row],[Mã khách hàng]],code_khach_hang[],3,0)</f>
        <v>Miền Bắc đặc biệt 1</v>
      </c>
      <c r="H1165" t="str">
        <f>VLOOKUP(Table8[[#This Row],[Mã khách hàng]],'Khách hàng'!A:D,4,0)</f>
        <v>Food Đức Việt</v>
      </c>
      <c r="I1165" t="str">
        <f>VLOOKUP(Table8[[#This Row],[Mã khách hàng]],'Khách hàng'!A:E,5,0)</f>
        <v>HN0040</v>
      </c>
    </row>
    <row r="1166" spans="1:9">
      <c r="A1166" s="14" t="s">
        <v>4200</v>
      </c>
      <c r="B1166" s="15" t="s">
        <v>5</v>
      </c>
      <c r="C1166" s="10" t="s">
        <v>4201</v>
      </c>
      <c r="D1166" s="16" t="s">
        <v>3956</v>
      </c>
      <c r="E1166" s="15" t="s">
        <v>11215</v>
      </c>
      <c r="F1166" s="16" t="str">
        <f>VLOOKUP(Table8[[#This Row],[Mã khách hàng]],code_khach_hang[],2,0)</f>
        <v>CHI NHÁNH HÀ NỘI - CÔNG TY CỔ PHẦN DỊCH VỤ THƯƠNG MẠI TỔNG HỢP WINCOMMERCE</v>
      </c>
      <c r="G1166" s="16" t="str">
        <f>VLOOKUP(Table8[[#This Row],[Mã khách hàng]],code_khach_hang[],3,0)</f>
        <v>Miền Bắc đặc biệt 1</v>
      </c>
      <c r="H1166" t="str">
        <f>VLOOKUP(Table8[[#This Row],[Mã khách hàng]],'Khách hàng'!A:D,4,0)</f>
        <v>Food Đức Việt</v>
      </c>
      <c r="I1166" t="str">
        <f>VLOOKUP(Table8[[#This Row],[Mã khách hàng]],'Khách hàng'!A:E,5,0)</f>
        <v>HN0040</v>
      </c>
    </row>
    <row r="1167" spans="1:9">
      <c r="A1167" s="14" t="s">
        <v>4299</v>
      </c>
      <c r="B1167" s="15" t="s">
        <v>5</v>
      </c>
      <c r="C1167" s="10" t="s">
        <v>4300</v>
      </c>
      <c r="D1167" s="16" t="s">
        <v>3959</v>
      </c>
      <c r="E1167" s="15" t="s">
        <v>11215</v>
      </c>
      <c r="F1167" s="16" t="str">
        <f>VLOOKUP(Table8[[#This Row],[Mã khách hàng]],code_khach_hang[],2,0)</f>
        <v>CHI NHÁNH HÀ NỘI - CÔNG TY CỔ PHẦN DỊCH VỤ THƯƠNG MẠI TỔNG HỢP WINCOMMERCE</v>
      </c>
      <c r="G1167" s="16" t="str">
        <f>VLOOKUP(Table8[[#This Row],[Mã khách hàng]],code_khach_hang[],3,0)</f>
        <v>Miền Bắc đặc biệt 1</v>
      </c>
      <c r="H1167" t="str">
        <f>VLOOKUP(Table8[[#This Row],[Mã khách hàng]],'Khách hàng'!A:D,4,0)</f>
        <v>Food Đức Việt</v>
      </c>
      <c r="I1167" t="str">
        <f>VLOOKUP(Table8[[#This Row],[Mã khách hàng]],'Khách hàng'!A:E,5,0)</f>
        <v>HN0040</v>
      </c>
    </row>
    <row r="1168" spans="1:9">
      <c r="A1168" s="14" t="s">
        <v>4323</v>
      </c>
      <c r="B1168" s="15" t="s">
        <v>5</v>
      </c>
      <c r="C1168" s="10" t="s">
        <v>4324</v>
      </c>
      <c r="D1168" s="16" t="s">
        <v>3962</v>
      </c>
      <c r="E1168" s="15" t="s">
        <v>11215</v>
      </c>
      <c r="F1168" s="16" t="str">
        <f>VLOOKUP(Table8[[#This Row],[Mã khách hàng]],code_khach_hang[],2,0)</f>
        <v>CHI NHÁNH HÀ NỘI - CÔNG TY CỔ PHẦN DỊCH VỤ THƯƠNG MẠI TỔNG HỢP WINCOMMERCE</v>
      </c>
      <c r="G1168" s="16" t="str">
        <f>VLOOKUP(Table8[[#This Row],[Mã khách hàng]],code_khach_hang[],3,0)</f>
        <v>Miền Bắc đặc biệt 1</v>
      </c>
      <c r="H1168" t="str">
        <f>VLOOKUP(Table8[[#This Row],[Mã khách hàng]],'Khách hàng'!A:D,4,0)</f>
        <v>Food Đức Việt</v>
      </c>
      <c r="I1168" t="str">
        <f>VLOOKUP(Table8[[#This Row],[Mã khách hàng]],'Khách hàng'!A:E,5,0)</f>
        <v>HN0040</v>
      </c>
    </row>
    <row r="1169" spans="1:9">
      <c r="A1169" s="14" t="s">
        <v>4521</v>
      </c>
      <c r="B1169" s="15" t="s">
        <v>5</v>
      </c>
      <c r="C1169" s="10" t="s">
        <v>4522</v>
      </c>
      <c r="D1169" s="16" t="s">
        <v>3965</v>
      </c>
      <c r="E1169" s="15" t="s">
        <v>11215</v>
      </c>
      <c r="F1169" s="16" t="str">
        <f>VLOOKUP(Table8[[#This Row],[Mã khách hàng]],code_khach_hang[],2,0)</f>
        <v>CHI NHÁNH HÀ NỘI - CÔNG TY CỔ PHẦN DỊCH VỤ THƯƠNG MẠI TỔNG HỢP WINCOMMERCE</v>
      </c>
      <c r="G1169" s="16" t="str">
        <f>VLOOKUP(Table8[[#This Row],[Mã khách hàng]],code_khach_hang[],3,0)</f>
        <v>Miền Bắc đặc biệt 1</v>
      </c>
      <c r="H1169" t="str">
        <f>VLOOKUP(Table8[[#This Row],[Mã khách hàng]],'Khách hàng'!A:D,4,0)</f>
        <v>Food Đức Việt</v>
      </c>
      <c r="I1169" t="str">
        <f>VLOOKUP(Table8[[#This Row],[Mã khách hàng]],'Khách hàng'!A:E,5,0)</f>
        <v>HN0040</v>
      </c>
    </row>
    <row r="1170" spans="1:9">
      <c r="A1170" s="14" t="s">
        <v>5079</v>
      </c>
      <c r="B1170" s="15" t="s">
        <v>5</v>
      </c>
      <c r="C1170" s="10" t="s">
        <v>5080</v>
      </c>
      <c r="D1170" s="16" t="s">
        <v>3968</v>
      </c>
      <c r="E1170" s="15" t="s">
        <v>11215</v>
      </c>
      <c r="F1170" s="16" t="str">
        <f>VLOOKUP(Table8[[#This Row],[Mã khách hàng]],code_khach_hang[],2,0)</f>
        <v>CHI NHÁNH HÀ NỘI - CÔNG TY CỔ PHẦN DỊCH VỤ THƯƠNG MẠI TỔNG HỢP WINCOMMERCE</v>
      </c>
      <c r="G1170" s="16" t="str">
        <f>VLOOKUP(Table8[[#This Row],[Mã khách hàng]],code_khach_hang[],3,0)</f>
        <v>Miền Bắc đặc biệt 1</v>
      </c>
      <c r="H1170" t="str">
        <f>VLOOKUP(Table8[[#This Row],[Mã khách hàng]],'Khách hàng'!A:D,4,0)</f>
        <v>Food Đức Việt</v>
      </c>
      <c r="I1170" t="str">
        <f>VLOOKUP(Table8[[#This Row],[Mã khách hàng]],'Khách hàng'!A:E,5,0)</f>
        <v>HN0040</v>
      </c>
    </row>
    <row r="1171" spans="1:9">
      <c r="A1171" s="14" t="s">
        <v>5283</v>
      </c>
      <c r="B1171" s="15" t="s">
        <v>5</v>
      </c>
      <c r="C1171" s="10" t="s">
        <v>5284</v>
      </c>
      <c r="D1171" s="16" t="s">
        <v>3971</v>
      </c>
      <c r="E1171" s="15" t="s">
        <v>11215</v>
      </c>
      <c r="F1171" s="16" t="str">
        <f>VLOOKUP(Table8[[#This Row],[Mã khách hàng]],code_khach_hang[],2,0)</f>
        <v>CHI NHÁNH HÀ NỘI - CÔNG TY CỔ PHẦN DỊCH VỤ THƯƠNG MẠI TỔNG HỢP WINCOMMERCE</v>
      </c>
      <c r="G1171" s="16" t="str">
        <f>VLOOKUP(Table8[[#This Row],[Mã khách hàng]],code_khach_hang[],3,0)</f>
        <v>Miền Bắc đặc biệt 1</v>
      </c>
      <c r="H1171" t="str">
        <f>VLOOKUP(Table8[[#This Row],[Mã khách hàng]],'Khách hàng'!A:D,4,0)</f>
        <v>Food Đức Việt</v>
      </c>
      <c r="I1171" t="str">
        <f>VLOOKUP(Table8[[#This Row],[Mã khách hàng]],'Khách hàng'!A:E,5,0)</f>
        <v>HN0040</v>
      </c>
    </row>
    <row r="1172" spans="1:9">
      <c r="A1172" s="14" t="s">
        <v>5819</v>
      </c>
      <c r="B1172" s="15" t="s">
        <v>5</v>
      </c>
      <c r="C1172" s="10" t="s">
        <v>5820</v>
      </c>
      <c r="D1172" s="16" t="s">
        <v>3974</v>
      </c>
      <c r="E1172" s="15" t="s">
        <v>11215</v>
      </c>
      <c r="F1172" s="16" t="str">
        <f>VLOOKUP(Table8[[#This Row],[Mã khách hàng]],code_khach_hang[],2,0)</f>
        <v>CHI NHÁNH HÀ NỘI - CÔNG TY CỔ PHẦN DỊCH VỤ THƯƠNG MẠI TỔNG HỢP WINCOMMERCE</v>
      </c>
      <c r="G1172" s="16" t="str">
        <f>VLOOKUP(Table8[[#This Row],[Mã khách hàng]],code_khach_hang[],3,0)</f>
        <v>Miền Bắc đặc biệt 1</v>
      </c>
      <c r="H1172" t="str">
        <f>VLOOKUP(Table8[[#This Row],[Mã khách hàng]],'Khách hàng'!A:D,4,0)</f>
        <v>Food Đức Việt</v>
      </c>
      <c r="I1172" t="str">
        <f>VLOOKUP(Table8[[#This Row],[Mã khách hàng]],'Khách hàng'!A:E,5,0)</f>
        <v>HN0040</v>
      </c>
    </row>
    <row r="1173" spans="1:9">
      <c r="A1173" s="14" t="s">
        <v>11109</v>
      </c>
      <c r="B1173" s="15" t="s">
        <v>5</v>
      </c>
      <c r="C1173" s="10" t="s">
        <v>13156</v>
      </c>
      <c r="D1173" s="16" t="s">
        <v>3977</v>
      </c>
      <c r="E1173" s="15" t="s">
        <v>11215</v>
      </c>
      <c r="F1173" s="16" t="str">
        <f>VLOOKUP(Table8[[#This Row],[Mã khách hàng]],code_khach_hang[],2,0)</f>
        <v>CHI NHÁNH HÀ NỘI - CÔNG TY CỔ PHẦN DỊCH VỤ THƯƠNG MẠI TỔNG HỢP WINCOMMERCE</v>
      </c>
      <c r="G1173" s="16" t="str">
        <f>VLOOKUP(Table8[[#This Row],[Mã khách hàng]],code_khach_hang[],3,0)</f>
        <v>Miền Bắc đặc biệt 1</v>
      </c>
      <c r="H1173" t="str">
        <f>VLOOKUP(Table8[[#This Row],[Mã khách hàng]],'Khách hàng'!A:D,4,0)</f>
        <v>Food Đức Việt</v>
      </c>
      <c r="I1173" t="str">
        <f>VLOOKUP(Table8[[#This Row],[Mã khách hàng]],'Khách hàng'!A:E,5,0)</f>
        <v>HN0040</v>
      </c>
    </row>
    <row r="1174" spans="1:9">
      <c r="A1174" s="14" t="s">
        <v>6635</v>
      </c>
      <c r="B1174" s="15" t="s">
        <v>5</v>
      </c>
      <c r="C1174" s="10" t="s">
        <v>6636</v>
      </c>
      <c r="D1174" s="16" t="s">
        <v>3980</v>
      </c>
      <c r="E1174" s="15" t="s">
        <v>11215</v>
      </c>
      <c r="F1174" s="16" t="str">
        <f>VLOOKUP(Table8[[#This Row],[Mã khách hàng]],code_khach_hang[],2,0)</f>
        <v>CHI NHÁNH HÀ NỘI - CÔNG TY CỔ PHẦN DỊCH VỤ THƯƠNG MẠI TỔNG HỢP WINCOMMERCE</v>
      </c>
      <c r="G1174" s="16" t="str">
        <f>VLOOKUP(Table8[[#This Row],[Mã khách hàng]],code_khach_hang[],3,0)</f>
        <v>Miền Bắc đặc biệt 1</v>
      </c>
      <c r="H1174" t="str">
        <f>VLOOKUP(Table8[[#This Row],[Mã khách hàng]],'Khách hàng'!A:D,4,0)</f>
        <v>Food Đức Việt</v>
      </c>
      <c r="I1174" t="str">
        <f>VLOOKUP(Table8[[#This Row],[Mã khách hàng]],'Khách hàng'!A:E,5,0)</f>
        <v>HN0040</v>
      </c>
    </row>
    <row r="1175" spans="1:9">
      <c r="A1175" s="14" t="s">
        <v>6812</v>
      </c>
      <c r="B1175" s="15" t="s">
        <v>5</v>
      </c>
      <c r="C1175" s="10" t="s">
        <v>6813</v>
      </c>
      <c r="D1175" s="16" t="s">
        <v>3983</v>
      </c>
      <c r="E1175" s="15" t="s">
        <v>11215</v>
      </c>
      <c r="F1175" s="16" t="str">
        <f>VLOOKUP(Table8[[#This Row],[Mã khách hàng]],code_khach_hang[],2,0)</f>
        <v>CHI NHÁNH HÀ NỘI - CÔNG TY CỔ PHẦN DỊCH VỤ THƯƠNG MẠI TỔNG HỢP WINCOMMERCE</v>
      </c>
      <c r="G1175" s="16" t="str">
        <f>VLOOKUP(Table8[[#This Row],[Mã khách hàng]],code_khach_hang[],3,0)</f>
        <v>Miền Bắc đặc biệt 1</v>
      </c>
      <c r="H1175" t="str">
        <f>VLOOKUP(Table8[[#This Row],[Mã khách hàng]],'Khách hàng'!A:D,4,0)</f>
        <v>Food Đức Việt</v>
      </c>
      <c r="I1175" t="str">
        <f>VLOOKUP(Table8[[#This Row],[Mã khách hàng]],'Khách hàng'!A:E,5,0)</f>
        <v>HN0040</v>
      </c>
    </row>
    <row r="1176" spans="1:9">
      <c r="A1176" s="14" t="s">
        <v>6848</v>
      </c>
      <c r="B1176" s="15" t="s">
        <v>5</v>
      </c>
      <c r="C1176" s="10" t="s">
        <v>6849</v>
      </c>
      <c r="D1176" s="16" t="s">
        <v>3986</v>
      </c>
      <c r="E1176" s="15" t="s">
        <v>11215</v>
      </c>
      <c r="F1176" s="16" t="str">
        <f>VLOOKUP(Table8[[#This Row],[Mã khách hàng]],code_khach_hang[],2,0)</f>
        <v>CHI NHÁNH HÀ NỘI - CÔNG TY CỔ PHẦN DỊCH VỤ THƯƠNG MẠI TỔNG HỢP WINCOMMERCE</v>
      </c>
      <c r="G1176" s="16" t="str">
        <f>VLOOKUP(Table8[[#This Row],[Mã khách hàng]],code_khach_hang[],3,0)</f>
        <v>Miền Bắc đặc biệt 1</v>
      </c>
      <c r="H1176" t="str">
        <f>VLOOKUP(Table8[[#This Row],[Mã khách hàng]],'Khách hàng'!A:D,4,0)</f>
        <v>Food Đức Việt</v>
      </c>
      <c r="I1176" t="str">
        <f>VLOOKUP(Table8[[#This Row],[Mã khách hàng]],'Khách hàng'!A:E,5,0)</f>
        <v>HN0040</v>
      </c>
    </row>
    <row r="1177" spans="1:9">
      <c r="A1177" s="14" t="s">
        <v>11110</v>
      </c>
      <c r="B1177" s="15" t="s">
        <v>5</v>
      </c>
      <c r="C1177" s="10" t="s">
        <v>13157</v>
      </c>
      <c r="D1177" s="16" t="s">
        <v>3989</v>
      </c>
      <c r="E1177" s="15" t="s">
        <v>11215</v>
      </c>
      <c r="F1177" s="16" t="str">
        <f>VLOOKUP(Table8[[#This Row],[Mã khách hàng]],code_khach_hang[],2,0)</f>
        <v>CHI NHÁNH HÀ NỘI - CÔNG TY CỔ PHẦN DỊCH VỤ THƯƠNG MẠI TỔNG HỢP WINCOMMERCE</v>
      </c>
      <c r="G1177" s="16" t="str">
        <f>VLOOKUP(Table8[[#This Row],[Mã khách hàng]],code_khach_hang[],3,0)</f>
        <v>Miền Bắc đặc biệt 1</v>
      </c>
      <c r="H1177" t="str">
        <f>VLOOKUP(Table8[[#This Row],[Mã khách hàng]],'Khách hàng'!A:D,4,0)</f>
        <v>Food Đức Việt</v>
      </c>
      <c r="I1177" t="str">
        <f>VLOOKUP(Table8[[#This Row],[Mã khách hàng]],'Khách hàng'!A:E,5,0)</f>
        <v>HN0040</v>
      </c>
    </row>
    <row r="1178" spans="1:9">
      <c r="A1178" s="14" t="s">
        <v>978</v>
      </c>
      <c r="B1178" s="15" t="s">
        <v>5</v>
      </c>
      <c r="C1178" s="10" t="s">
        <v>979</v>
      </c>
      <c r="D1178" s="16" t="s">
        <v>3992</v>
      </c>
      <c r="E1178" s="15" t="s">
        <v>11215</v>
      </c>
      <c r="F1178" s="16" t="str">
        <f>VLOOKUP(Table8[[#This Row],[Mã khách hàng]],code_khach_hang[],2,0)</f>
        <v>CHI NHÁNH HÀ NỘI - CÔNG TY CỔ PHẦN DỊCH VỤ THƯƠNG MẠI TỔNG HỢP WINCOMMERCE</v>
      </c>
      <c r="G1178" s="16" t="str">
        <f>VLOOKUP(Table8[[#This Row],[Mã khách hàng]],code_khach_hang[],3,0)</f>
        <v>Miền Bắc đặc biệt 1</v>
      </c>
      <c r="H1178" t="str">
        <f>VLOOKUP(Table8[[#This Row],[Mã khách hàng]],'Khách hàng'!A:D,4,0)</f>
        <v>Food Đức Việt</v>
      </c>
      <c r="I1178" t="str">
        <f>VLOOKUP(Table8[[#This Row],[Mã khách hàng]],'Khách hàng'!A:E,5,0)</f>
        <v>HN0040</v>
      </c>
    </row>
    <row r="1179" spans="1:9">
      <c r="A1179" s="14" t="s">
        <v>1272</v>
      </c>
      <c r="B1179" s="15" t="s">
        <v>5</v>
      </c>
      <c r="C1179" s="10" t="s">
        <v>1273</v>
      </c>
      <c r="D1179" s="16" t="s">
        <v>3995</v>
      </c>
      <c r="E1179" s="15" t="s">
        <v>11215</v>
      </c>
      <c r="F1179" s="16" t="str">
        <f>VLOOKUP(Table8[[#This Row],[Mã khách hàng]],code_khach_hang[],2,0)</f>
        <v>CHI NHÁNH HÀ NỘI - CÔNG TY CỔ PHẦN DỊCH VỤ THƯƠNG MẠI TỔNG HỢP WINCOMMERCE</v>
      </c>
      <c r="G1179" s="16" t="str">
        <f>VLOOKUP(Table8[[#This Row],[Mã khách hàng]],code_khach_hang[],3,0)</f>
        <v>Miền Bắc đặc biệt 1</v>
      </c>
      <c r="H1179" t="str">
        <f>VLOOKUP(Table8[[#This Row],[Mã khách hàng]],'Khách hàng'!A:D,4,0)</f>
        <v>Food Đức Việt</v>
      </c>
      <c r="I1179" t="str">
        <f>VLOOKUP(Table8[[#This Row],[Mã khách hàng]],'Khách hàng'!A:E,5,0)</f>
        <v>HN0040</v>
      </c>
    </row>
    <row r="1180" spans="1:9">
      <c r="A1180" s="14" t="s">
        <v>1331</v>
      </c>
      <c r="B1180" s="15" t="s">
        <v>5</v>
      </c>
      <c r="C1180" s="10" t="s">
        <v>1332</v>
      </c>
      <c r="D1180" s="16" t="s">
        <v>3998</v>
      </c>
      <c r="E1180" s="15" t="s">
        <v>11215</v>
      </c>
      <c r="F1180" s="16" t="str">
        <f>VLOOKUP(Table8[[#This Row],[Mã khách hàng]],code_khach_hang[],2,0)</f>
        <v>CHI NHÁNH HÀ NỘI - CÔNG TY CỔ PHẦN DỊCH VỤ THƯƠNG MẠI TỔNG HỢP WINCOMMERCE</v>
      </c>
      <c r="G1180" s="16" t="str">
        <f>VLOOKUP(Table8[[#This Row],[Mã khách hàng]],code_khach_hang[],3,0)</f>
        <v>Miền Bắc đặc biệt 1</v>
      </c>
      <c r="H1180" t="str">
        <f>VLOOKUP(Table8[[#This Row],[Mã khách hàng]],'Khách hàng'!A:D,4,0)</f>
        <v>Food Đức Việt</v>
      </c>
      <c r="I1180" t="str">
        <f>VLOOKUP(Table8[[#This Row],[Mã khách hàng]],'Khách hàng'!A:E,5,0)</f>
        <v>HN0040</v>
      </c>
    </row>
    <row r="1181" spans="1:9">
      <c r="A1181" s="14" t="s">
        <v>4386</v>
      </c>
      <c r="B1181" s="15" t="s">
        <v>5</v>
      </c>
      <c r="C1181" s="10" t="s">
        <v>4387</v>
      </c>
      <c r="D1181" s="16" t="s">
        <v>4001</v>
      </c>
      <c r="E1181" s="15" t="s">
        <v>11215</v>
      </c>
      <c r="F1181" s="16" t="str">
        <f>VLOOKUP(Table8[[#This Row],[Mã khách hàng]],code_khach_hang[],2,0)</f>
        <v>CHI NHÁNH HÀ NỘI - CÔNG TY CỔ PHẦN DỊCH VỤ THƯƠNG MẠI TỔNG HỢP WINCOMMERCE</v>
      </c>
      <c r="G1181" s="16" t="str">
        <f>VLOOKUP(Table8[[#This Row],[Mã khách hàng]],code_khach_hang[],3,0)</f>
        <v>Miền Bắc đặc biệt 1</v>
      </c>
      <c r="H1181" t="str">
        <f>VLOOKUP(Table8[[#This Row],[Mã khách hàng]],'Khách hàng'!A:D,4,0)</f>
        <v>Food Đức Việt</v>
      </c>
      <c r="I1181" t="str">
        <f>VLOOKUP(Table8[[#This Row],[Mã khách hàng]],'Khách hàng'!A:E,5,0)</f>
        <v>HN0040</v>
      </c>
    </row>
    <row r="1182" spans="1:9">
      <c r="A1182" s="14" t="s">
        <v>4509</v>
      </c>
      <c r="B1182" s="15" t="s">
        <v>5</v>
      </c>
      <c r="C1182" s="10" t="s">
        <v>4510</v>
      </c>
      <c r="D1182" s="16" t="s">
        <v>4004</v>
      </c>
      <c r="E1182" s="15" t="s">
        <v>11215</v>
      </c>
      <c r="F1182" s="16" t="str">
        <f>VLOOKUP(Table8[[#This Row],[Mã khách hàng]],code_khach_hang[],2,0)</f>
        <v>CHI NHÁNH HÀ NỘI - CÔNG TY CỔ PHẦN DỊCH VỤ THƯƠNG MẠI TỔNG HỢP WINCOMMERCE</v>
      </c>
      <c r="G1182" s="16" t="str">
        <f>VLOOKUP(Table8[[#This Row],[Mã khách hàng]],code_khach_hang[],3,0)</f>
        <v>Miền Bắc đặc biệt 1</v>
      </c>
      <c r="H1182" t="str">
        <f>VLOOKUP(Table8[[#This Row],[Mã khách hàng]],'Khách hàng'!A:D,4,0)</f>
        <v>Food Đức Việt</v>
      </c>
      <c r="I1182" t="str">
        <f>VLOOKUP(Table8[[#This Row],[Mã khách hàng]],'Khách hàng'!A:E,5,0)</f>
        <v>HN0040</v>
      </c>
    </row>
    <row r="1183" spans="1:9">
      <c r="A1183" s="14" t="s">
        <v>4749</v>
      </c>
      <c r="B1183" s="15" t="s">
        <v>5</v>
      </c>
      <c r="C1183" s="10" t="s">
        <v>4750</v>
      </c>
      <c r="D1183" s="16" t="s">
        <v>4007</v>
      </c>
      <c r="E1183" s="15" t="s">
        <v>11215</v>
      </c>
      <c r="F1183" s="16" t="str">
        <f>VLOOKUP(Table8[[#This Row],[Mã khách hàng]],code_khach_hang[],2,0)</f>
        <v>CHI NHÁNH HÀ NỘI - CÔNG TY CỔ PHẦN DỊCH VỤ THƯƠNG MẠI TỔNG HỢP WINCOMMERCE</v>
      </c>
      <c r="G1183" s="16" t="str">
        <f>VLOOKUP(Table8[[#This Row],[Mã khách hàng]],code_khach_hang[],3,0)</f>
        <v>Miền Bắc đặc biệt 1</v>
      </c>
      <c r="H1183" t="str">
        <f>VLOOKUP(Table8[[#This Row],[Mã khách hàng]],'Khách hàng'!A:D,4,0)</f>
        <v>Food Đức Việt</v>
      </c>
      <c r="I1183" t="str">
        <f>VLOOKUP(Table8[[#This Row],[Mã khách hàng]],'Khách hàng'!A:E,5,0)</f>
        <v>HN0040</v>
      </c>
    </row>
    <row r="1184" spans="1:9">
      <c r="A1184" s="14" t="s">
        <v>6336</v>
      </c>
      <c r="B1184" s="15" t="s">
        <v>5</v>
      </c>
      <c r="C1184" s="10" t="s">
        <v>6337</v>
      </c>
      <c r="D1184" s="16" t="s">
        <v>4010</v>
      </c>
      <c r="E1184" s="15" t="s">
        <v>11215</v>
      </c>
      <c r="F1184" s="16" t="str">
        <f>VLOOKUP(Table8[[#This Row],[Mã khách hàng]],code_khach_hang[],2,0)</f>
        <v>CHI NHÁNH HÀ NỘI - CÔNG TY CỔ PHẦN DỊCH VỤ THƯƠNG MẠI TỔNG HỢP WINCOMMERCE</v>
      </c>
      <c r="G1184" s="16" t="str">
        <f>VLOOKUP(Table8[[#This Row],[Mã khách hàng]],code_khach_hang[],3,0)</f>
        <v>Miền Bắc đặc biệt 1</v>
      </c>
      <c r="H1184" t="str">
        <f>VLOOKUP(Table8[[#This Row],[Mã khách hàng]],'Khách hàng'!A:D,4,0)</f>
        <v>Food Đức Việt</v>
      </c>
      <c r="I1184" t="str">
        <f>VLOOKUP(Table8[[#This Row],[Mã khách hàng]],'Khách hàng'!A:E,5,0)</f>
        <v>HN0040</v>
      </c>
    </row>
    <row r="1185" spans="1:9">
      <c r="A1185" s="14" t="s">
        <v>6917</v>
      </c>
      <c r="B1185" s="15" t="s">
        <v>5</v>
      </c>
      <c r="C1185" s="10" t="s">
        <v>6918</v>
      </c>
      <c r="D1185" s="16" t="s">
        <v>4013</v>
      </c>
      <c r="E1185" s="15" t="s">
        <v>11215</v>
      </c>
      <c r="F1185" s="16" t="str">
        <f>VLOOKUP(Table8[[#This Row],[Mã khách hàng]],code_khach_hang[],2,0)</f>
        <v>CHI NHÁNH HÀ NỘI - CÔNG TY CỔ PHẦN DỊCH VỤ THƯƠNG MẠI TỔNG HỢP WINCOMMERCE</v>
      </c>
      <c r="G1185" s="16" t="str">
        <f>VLOOKUP(Table8[[#This Row],[Mã khách hàng]],code_khach_hang[],3,0)</f>
        <v>Miền Bắc đặc biệt 1</v>
      </c>
      <c r="H1185" t="str">
        <f>VLOOKUP(Table8[[#This Row],[Mã khách hàng]],'Khách hàng'!A:D,4,0)</f>
        <v>Food Đức Việt</v>
      </c>
      <c r="I1185" t="str">
        <f>VLOOKUP(Table8[[#This Row],[Mã khách hàng]],'Khách hàng'!A:E,5,0)</f>
        <v>HN0040</v>
      </c>
    </row>
    <row r="1186" spans="1:9">
      <c r="A1186" s="14" t="s">
        <v>7113</v>
      </c>
      <c r="B1186" s="15" t="s">
        <v>5</v>
      </c>
      <c r="C1186" s="10" t="s">
        <v>7114</v>
      </c>
      <c r="D1186" s="16" t="s">
        <v>4016</v>
      </c>
      <c r="E1186" s="15" t="s">
        <v>11215</v>
      </c>
      <c r="F1186" s="16" t="str">
        <f>VLOOKUP(Table8[[#This Row],[Mã khách hàng]],code_khach_hang[],2,0)</f>
        <v>CHI NHÁNH HÀ NỘI - CÔNG TY CỔ PHẦN DỊCH VỤ THƯƠNG MẠI TỔNG HỢP WINCOMMERCE</v>
      </c>
      <c r="G1186" s="16" t="str">
        <f>VLOOKUP(Table8[[#This Row],[Mã khách hàng]],code_khach_hang[],3,0)</f>
        <v>Miền Bắc đặc biệt 1</v>
      </c>
      <c r="H1186" t="str">
        <f>VLOOKUP(Table8[[#This Row],[Mã khách hàng]],'Khách hàng'!A:D,4,0)</f>
        <v>Food Đức Việt</v>
      </c>
      <c r="I1186" t="str">
        <f>VLOOKUP(Table8[[#This Row],[Mã khách hàng]],'Khách hàng'!A:E,5,0)</f>
        <v>HN0040</v>
      </c>
    </row>
    <row r="1187" spans="1:9">
      <c r="A1187" s="14" t="s">
        <v>8442</v>
      </c>
      <c r="B1187" s="15" t="s">
        <v>5</v>
      </c>
      <c r="C1187" s="10" t="s">
        <v>8443</v>
      </c>
      <c r="D1187" s="16" t="s">
        <v>4019</v>
      </c>
      <c r="E1187" s="15" t="s">
        <v>11215</v>
      </c>
      <c r="F1187" s="16" t="str">
        <f>VLOOKUP(Table8[[#This Row],[Mã khách hàng]],code_khach_hang[],2,0)</f>
        <v>CHI NHÁNH HÀ NỘI - CÔNG TY CỔ PHẦN DỊCH VỤ THƯƠNG MẠI TỔNG HỢP WINCOMMERCE</v>
      </c>
      <c r="G1187" s="16" t="str">
        <f>VLOOKUP(Table8[[#This Row],[Mã khách hàng]],code_khach_hang[],3,0)</f>
        <v>Miền Bắc đặc biệt 1</v>
      </c>
      <c r="H1187" t="str">
        <f>VLOOKUP(Table8[[#This Row],[Mã khách hàng]],'Khách hàng'!A:D,4,0)</f>
        <v>Food Đức Việt</v>
      </c>
      <c r="I1187" t="str">
        <f>VLOOKUP(Table8[[#This Row],[Mã khách hàng]],'Khách hàng'!A:E,5,0)</f>
        <v>HN0040</v>
      </c>
    </row>
    <row r="1188" spans="1:9">
      <c r="A1188" s="14" t="s">
        <v>8950</v>
      </c>
      <c r="B1188" s="15" t="s">
        <v>5</v>
      </c>
      <c r="C1188" s="10" t="s">
        <v>8951</v>
      </c>
      <c r="D1188" s="16" t="s">
        <v>4022</v>
      </c>
      <c r="E1188" s="15" t="s">
        <v>11215</v>
      </c>
      <c r="F1188" s="16" t="str">
        <f>VLOOKUP(Table8[[#This Row],[Mã khách hàng]],code_khach_hang[],2,0)</f>
        <v>CHI NHÁNH HÀ NỘI - CÔNG TY CỔ PHẦN DỊCH VỤ THƯƠNG MẠI TỔNG HỢP WINCOMMERCE</v>
      </c>
      <c r="G1188" s="16" t="str">
        <f>VLOOKUP(Table8[[#This Row],[Mã khách hàng]],code_khach_hang[],3,0)</f>
        <v>Miền Bắc đặc biệt 1</v>
      </c>
      <c r="H1188" t="str">
        <f>VLOOKUP(Table8[[#This Row],[Mã khách hàng]],'Khách hàng'!A:D,4,0)</f>
        <v>Food Đức Việt</v>
      </c>
      <c r="I1188" t="str">
        <f>VLOOKUP(Table8[[#This Row],[Mã khách hàng]],'Khách hàng'!A:E,5,0)</f>
        <v>HN0040</v>
      </c>
    </row>
    <row r="1189" spans="1:9">
      <c r="A1189" s="14" t="s">
        <v>6575</v>
      </c>
      <c r="B1189" s="15" t="s">
        <v>5</v>
      </c>
      <c r="C1189" s="10" t="s">
        <v>6576</v>
      </c>
      <c r="D1189" s="16" t="s">
        <v>4025</v>
      </c>
      <c r="E1189" s="15" t="s">
        <v>11215</v>
      </c>
      <c r="F1189" s="16" t="str">
        <f>VLOOKUP(Table8[[#This Row],[Mã khách hàng]],code_khach_hang[],2,0)</f>
        <v>CHI NHÁNH HÀ NỘI - CÔNG TY CỔ PHẦN DỊCH VỤ THƯƠNG MẠI TỔNG HỢP WINCOMMERCE</v>
      </c>
      <c r="G1189" s="16" t="str">
        <f>VLOOKUP(Table8[[#This Row],[Mã khách hàng]],code_khach_hang[],3,0)</f>
        <v>Miền Bắc đặc biệt 1</v>
      </c>
      <c r="H1189" t="str">
        <f>VLOOKUP(Table8[[#This Row],[Mã khách hàng]],'Khách hàng'!A:D,4,0)</f>
        <v>Food Đức Việt</v>
      </c>
      <c r="I1189" t="str">
        <f>VLOOKUP(Table8[[#This Row],[Mã khách hàng]],'Khách hàng'!A:E,5,0)</f>
        <v>HN0040</v>
      </c>
    </row>
    <row r="1190" spans="1:9">
      <c r="A1190" s="14" t="s">
        <v>6944</v>
      </c>
      <c r="B1190" s="15" t="s">
        <v>5</v>
      </c>
      <c r="C1190" s="10" t="s">
        <v>6945</v>
      </c>
      <c r="D1190" s="16" t="s">
        <v>4028</v>
      </c>
      <c r="E1190" s="15" t="s">
        <v>11215</v>
      </c>
      <c r="F1190" s="16" t="str">
        <f>VLOOKUP(Table8[[#This Row],[Mã khách hàng]],code_khach_hang[],2,0)</f>
        <v>CHI NHÁNH HÀ NỘI - CÔNG TY CỔ PHẦN DỊCH VỤ THƯƠNG MẠI TỔNG HỢP WINCOMMERCE</v>
      </c>
      <c r="G1190" s="16" t="str">
        <f>VLOOKUP(Table8[[#This Row],[Mã khách hàng]],code_khach_hang[],3,0)</f>
        <v>Miền Bắc đặc biệt 1</v>
      </c>
      <c r="H1190" t="str">
        <f>VLOOKUP(Table8[[#This Row],[Mã khách hàng]],'Khách hàng'!A:D,4,0)</f>
        <v>Food Đức Việt</v>
      </c>
      <c r="I1190" t="str">
        <f>VLOOKUP(Table8[[#This Row],[Mã khách hàng]],'Khách hàng'!A:E,5,0)</f>
        <v>HN0040</v>
      </c>
    </row>
    <row r="1191" spans="1:9">
      <c r="A1191" s="14" t="s">
        <v>7306</v>
      </c>
      <c r="B1191" s="15" t="s">
        <v>5</v>
      </c>
      <c r="C1191" s="10" t="s">
        <v>7307</v>
      </c>
      <c r="D1191" s="16" t="s">
        <v>4031</v>
      </c>
      <c r="E1191" s="15" t="s">
        <v>11215</v>
      </c>
      <c r="F1191" s="16" t="str">
        <f>VLOOKUP(Table8[[#This Row],[Mã khách hàng]],code_khach_hang[],2,0)</f>
        <v>CHI NHÁNH HÀ NỘI - CÔNG TY CỔ PHẦN DỊCH VỤ THƯƠNG MẠI TỔNG HỢP WINCOMMERCE</v>
      </c>
      <c r="G1191" s="16" t="str">
        <f>VLOOKUP(Table8[[#This Row],[Mã khách hàng]],code_khach_hang[],3,0)</f>
        <v>Miền Bắc đặc biệt 1</v>
      </c>
      <c r="H1191" t="str">
        <f>VLOOKUP(Table8[[#This Row],[Mã khách hàng]],'Khách hàng'!A:D,4,0)</f>
        <v>Food Đức Việt</v>
      </c>
      <c r="I1191" t="str">
        <f>VLOOKUP(Table8[[#This Row],[Mã khách hàng]],'Khách hàng'!A:E,5,0)</f>
        <v>HN0040</v>
      </c>
    </row>
    <row r="1192" spans="1:9">
      <c r="A1192" s="14" t="s">
        <v>8287</v>
      </c>
      <c r="B1192" s="15" t="s">
        <v>5</v>
      </c>
      <c r="C1192" s="10" t="e">
        <v>#N/A</v>
      </c>
      <c r="D1192" s="16" t="s">
        <v>4034</v>
      </c>
      <c r="E1192" s="15" t="s">
        <v>11215</v>
      </c>
      <c r="F1192" s="16" t="str">
        <f>VLOOKUP(Table8[[#This Row],[Mã khách hàng]],code_khach_hang[],2,0)</f>
        <v>CHI NHÁNH HÀ NỘI - CÔNG TY CỔ PHẦN DỊCH VỤ THƯƠNG MẠI TỔNG HỢP WINCOMMERCE</v>
      </c>
      <c r="G1192" s="16" t="str">
        <f>VLOOKUP(Table8[[#This Row],[Mã khách hàng]],code_khach_hang[],3,0)</f>
        <v>Miền Bắc đặc biệt 1</v>
      </c>
      <c r="H1192" t="str">
        <f>VLOOKUP(Table8[[#This Row],[Mã khách hàng]],'Khách hàng'!A:D,4,0)</f>
        <v>Food Đức Việt</v>
      </c>
      <c r="I1192" t="str">
        <f>VLOOKUP(Table8[[#This Row],[Mã khách hàng]],'Khách hàng'!A:E,5,0)</f>
        <v>HN0040</v>
      </c>
    </row>
    <row r="1193" spans="1:9">
      <c r="A1193" s="14" t="s">
        <v>8227</v>
      </c>
      <c r="B1193" s="15" t="s">
        <v>5</v>
      </c>
      <c r="C1193" s="10" t="s">
        <v>8228</v>
      </c>
      <c r="D1193" s="16" t="s">
        <v>4037</v>
      </c>
      <c r="E1193" s="15" t="s">
        <v>11215</v>
      </c>
      <c r="F1193" s="16" t="str">
        <f>VLOOKUP(Table8[[#This Row],[Mã khách hàng]],code_khach_hang[],2,0)</f>
        <v>CHI NHÁNH HÀ NỘI - CÔNG TY CỔ PHẦN DỊCH VỤ THƯƠNG MẠI TỔNG HỢP WINCOMMERCE</v>
      </c>
      <c r="G1193" s="16" t="str">
        <f>VLOOKUP(Table8[[#This Row],[Mã khách hàng]],code_khach_hang[],3,0)</f>
        <v>Miền Bắc đặc biệt 1</v>
      </c>
      <c r="H1193" t="str">
        <f>VLOOKUP(Table8[[#This Row],[Mã khách hàng]],'Khách hàng'!A:D,4,0)</f>
        <v>Food Đức Việt</v>
      </c>
      <c r="I1193" t="str">
        <f>VLOOKUP(Table8[[#This Row],[Mã khách hàng]],'Khách hàng'!A:E,5,0)</f>
        <v>HN0040</v>
      </c>
    </row>
    <row r="1194" spans="1:9">
      <c r="A1194" s="14" t="s">
        <v>8538</v>
      </c>
      <c r="B1194" s="15" t="s">
        <v>5</v>
      </c>
      <c r="C1194" s="10" t="s">
        <v>8539</v>
      </c>
      <c r="D1194" s="16" t="s">
        <v>4040</v>
      </c>
      <c r="E1194" s="15" t="s">
        <v>11215</v>
      </c>
      <c r="F1194" s="16" t="str">
        <f>VLOOKUP(Table8[[#This Row],[Mã khách hàng]],code_khach_hang[],2,0)</f>
        <v>CHI NHÁNH HÀ NỘI - CÔNG TY CỔ PHẦN DỊCH VỤ THƯƠNG MẠI TỔNG HỢP WINCOMMERCE</v>
      </c>
      <c r="G1194" s="16" t="str">
        <f>VLOOKUP(Table8[[#This Row],[Mã khách hàng]],code_khach_hang[],3,0)</f>
        <v>Miền Bắc đặc biệt 1</v>
      </c>
      <c r="H1194" t="str">
        <f>VLOOKUP(Table8[[#This Row],[Mã khách hàng]],'Khách hàng'!A:D,4,0)</f>
        <v>Food Đức Việt</v>
      </c>
      <c r="I1194" t="str">
        <f>VLOOKUP(Table8[[#This Row],[Mã khách hàng]],'Khách hàng'!A:E,5,0)</f>
        <v>HN0040</v>
      </c>
    </row>
    <row r="1195" spans="1:9">
      <c r="A1195" s="14" t="s">
        <v>8623</v>
      </c>
      <c r="B1195" s="15" t="s">
        <v>5</v>
      </c>
      <c r="C1195" s="10" t="s">
        <v>8624</v>
      </c>
      <c r="D1195" s="16" t="s">
        <v>4043</v>
      </c>
      <c r="E1195" s="15" t="s">
        <v>11215</v>
      </c>
      <c r="F1195" s="16" t="str">
        <f>VLOOKUP(Table8[[#This Row],[Mã khách hàng]],code_khach_hang[],2,0)</f>
        <v>CHI NHÁNH HÀ NỘI - CÔNG TY CỔ PHẦN DỊCH VỤ THƯƠNG MẠI TỔNG HỢP WINCOMMERCE</v>
      </c>
      <c r="G1195" s="16" t="str">
        <f>VLOOKUP(Table8[[#This Row],[Mã khách hàng]],code_khach_hang[],3,0)</f>
        <v>Miền Bắc đặc biệt 1</v>
      </c>
      <c r="H1195" t="str">
        <f>VLOOKUP(Table8[[#This Row],[Mã khách hàng]],'Khách hàng'!A:D,4,0)</f>
        <v>Food Đức Việt</v>
      </c>
      <c r="I1195" t="str">
        <f>VLOOKUP(Table8[[#This Row],[Mã khách hàng]],'Khách hàng'!A:E,5,0)</f>
        <v>HN0040</v>
      </c>
    </row>
    <row r="1196" spans="1:9">
      <c r="A1196" s="14" t="s">
        <v>774</v>
      </c>
      <c r="B1196" s="15" t="s">
        <v>5</v>
      </c>
      <c r="C1196" s="10" t="s">
        <v>775</v>
      </c>
      <c r="D1196" s="16" t="s">
        <v>4046</v>
      </c>
      <c r="E1196" s="15" t="s">
        <v>11215</v>
      </c>
      <c r="F1196" s="16" t="str">
        <f>VLOOKUP(Table8[[#This Row],[Mã khách hàng]],code_khach_hang[],2,0)</f>
        <v>CHI NHÁNH HÀ NỘI - CÔNG TY CỔ PHẦN DỊCH VỤ THƯƠNG MẠI TỔNG HỢP WINCOMMERCE</v>
      </c>
      <c r="G1196" s="16" t="str">
        <f>VLOOKUP(Table8[[#This Row],[Mã khách hàng]],code_khach_hang[],3,0)</f>
        <v>Miền Bắc đặc biệt 1</v>
      </c>
      <c r="H1196" t="str">
        <f>VLOOKUP(Table8[[#This Row],[Mã khách hàng]],'Khách hàng'!A:D,4,0)</f>
        <v>Food Đức Việt</v>
      </c>
      <c r="I1196" t="str">
        <f>VLOOKUP(Table8[[#This Row],[Mã khách hàng]],'Khách hàng'!A:E,5,0)</f>
        <v>HN0040</v>
      </c>
    </row>
    <row r="1197" spans="1:9">
      <c r="A1197" s="14" t="s">
        <v>846</v>
      </c>
      <c r="B1197" s="15" t="s">
        <v>5</v>
      </c>
      <c r="C1197" s="10" t="s">
        <v>847</v>
      </c>
      <c r="D1197" s="16" t="s">
        <v>4049</v>
      </c>
      <c r="E1197" s="15" t="s">
        <v>11215</v>
      </c>
      <c r="F1197" s="16" t="str">
        <f>VLOOKUP(Table8[[#This Row],[Mã khách hàng]],code_khach_hang[],2,0)</f>
        <v>CHI NHÁNH HÀ NỘI - CÔNG TY CỔ PHẦN DỊCH VỤ THƯƠNG MẠI TỔNG HỢP WINCOMMERCE</v>
      </c>
      <c r="G1197" s="16" t="str">
        <f>VLOOKUP(Table8[[#This Row],[Mã khách hàng]],code_khach_hang[],3,0)</f>
        <v>Miền Bắc đặc biệt 1</v>
      </c>
      <c r="H1197" t="str">
        <f>VLOOKUP(Table8[[#This Row],[Mã khách hàng]],'Khách hàng'!A:D,4,0)</f>
        <v>Food Đức Việt</v>
      </c>
      <c r="I1197" t="str">
        <f>VLOOKUP(Table8[[#This Row],[Mã khách hàng]],'Khách hàng'!A:E,5,0)</f>
        <v>HN0040</v>
      </c>
    </row>
    <row r="1198" spans="1:9">
      <c r="A1198" s="14" t="s">
        <v>852</v>
      </c>
      <c r="B1198" s="15" t="s">
        <v>5</v>
      </c>
      <c r="C1198" s="10" t="s">
        <v>853</v>
      </c>
      <c r="D1198" s="16" t="s">
        <v>4052</v>
      </c>
      <c r="E1198" s="15" t="s">
        <v>11215</v>
      </c>
      <c r="F1198" s="16" t="str">
        <f>VLOOKUP(Table8[[#This Row],[Mã khách hàng]],code_khach_hang[],2,0)</f>
        <v>CHI NHÁNH HÀ NỘI - CÔNG TY CỔ PHẦN DỊCH VỤ THƯƠNG MẠI TỔNG HỢP WINCOMMERCE</v>
      </c>
      <c r="G1198" s="16" t="str">
        <f>VLOOKUP(Table8[[#This Row],[Mã khách hàng]],code_khach_hang[],3,0)</f>
        <v>Miền Bắc đặc biệt 1</v>
      </c>
      <c r="H1198" t="str">
        <f>VLOOKUP(Table8[[#This Row],[Mã khách hàng]],'Khách hàng'!A:D,4,0)</f>
        <v>Food Đức Việt</v>
      </c>
      <c r="I1198" t="str">
        <f>VLOOKUP(Table8[[#This Row],[Mã khách hàng]],'Khách hàng'!A:E,5,0)</f>
        <v>HN0040</v>
      </c>
    </row>
    <row r="1199" spans="1:9">
      <c r="A1199" s="14" t="s">
        <v>966</v>
      </c>
      <c r="B1199" s="15" t="s">
        <v>5</v>
      </c>
      <c r="C1199" s="10" t="s">
        <v>967</v>
      </c>
      <c r="D1199" s="16" t="s">
        <v>4055</v>
      </c>
      <c r="E1199" s="15" t="s">
        <v>11215</v>
      </c>
      <c r="F1199" s="16" t="str">
        <f>VLOOKUP(Table8[[#This Row],[Mã khách hàng]],code_khach_hang[],2,0)</f>
        <v>CHI NHÁNH HÀ NỘI - CÔNG TY CỔ PHẦN DỊCH VỤ THƯƠNG MẠI TỔNG HỢP WINCOMMERCE</v>
      </c>
      <c r="G1199" s="16" t="str">
        <f>VLOOKUP(Table8[[#This Row],[Mã khách hàng]],code_khach_hang[],3,0)</f>
        <v>Miền Bắc đặc biệt 1</v>
      </c>
      <c r="H1199" t="str">
        <f>VLOOKUP(Table8[[#This Row],[Mã khách hàng]],'Khách hàng'!A:D,4,0)</f>
        <v>Food Đức Việt</v>
      </c>
      <c r="I1199" t="str">
        <f>VLOOKUP(Table8[[#This Row],[Mã khách hàng]],'Khách hàng'!A:E,5,0)</f>
        <v>HN0040</v>
      </c>
    </row>
    <row r="1200" spans="1:9">
      <c r="A1200" s="14" t="s">
        <v>1065</v>
      </c>
      <c r="B1200" s="15" t="s">
        <v>5</v>
      </c>
      <c r="C1200" s="10" t="s">
        <v>1066</v>
      </c>
      <c r="D1200" s="16" t="s">
        <v>4058</v>
      </c>
      <c r="E1200" s="15" t="s">
        <v>11215</v>
      </c>
      <c r="F1200" s="16" t="str">
        <f>VLOOKUP(Table8[[#This Row],[Mã khách hàng]],code_khach_hang[],2,0)</f>
        <v>CHI NHÁNH HÀ NỘI - CÔNG TY CỔ PHẦN DỊCH VỤ THƯƠNG MẠI TỔNG HỢP WINCOMMERCE</v>
      </c>
      <c r="G1200" s="16" t="str">
        <f>VLOOKUP(Table8[[#This Row],[Mã khách hàng]],code_khach_hang[],3,0)</f>
        <v>Miền Bắc đặc biệt 1</v>
      </c>
      <c r="H1200" t="str">
        <f>VLOOKUP(Table8[[#This Row],[Mã khách hàng]],'Khách hàng'!A:D,4,0)</f>
        <v>Food Đức Việt</v>
      </c>
      <c r="I1200" t="str">
        <f>VLOOKUP(Table8[[#This Row],[Mã khách hàng]],'Khách hàng'!A:E,5,0)</f>
        <v>HN0040</v>
      </c>
    </row>
    <row r="1201" spans="1:9">
      <c r="A1201" s="14" t="s">
        <v>4338</v>
      </c>
      <c r="B1201" s="15" t="s">
        <v>5</v>
      </c>
      <c r="C1201" s="10" t="s">
        <v>4339</v>
      </c>
      <c r="D1201" s="16" t="s">
        <v>4061</v>
      </c>
      <c r="E1201" s="15" t="s">
        <v>11215</v>
      </c>
      <c r="F1201" s="16" t="str">
        <f>VLOOKUP(Table8[[#This Row],[Mã khách hàng]],code_khach_hang[],2,0)</f>
        <v>CHI NHÁNH HÀ NỘI - CÔNG TY CỔ PHẦN DỊCH VỤ THƯƠNG MẠI TỔNG HỢP WINCOMMERCE</v>
      </c>
      <c r="G1201" s="16" t="str">
        <f>VLOOKUP(Table8[[#This Row],[Mã khách hàng]],code_khach_hang[],3,0)</f>
        <v>Miền Bắc đặc biệt 1</v>
      </c>
      <c r="H1201" t="str">
        <f>VLOOKUP(Table8[[#This Row],[Mã khách hàng]],'Khách hàng'!A:D,4,0)</f>
        <v>Food Đức Việt</v>
      </c>
      <c r="I1201" t="str">
        <f>VLOOKUP(Table8[[#This Row],[Mã khách hàng]],'Khách hàng'!A:E,5,0)</f>
        <v>HN0040</v>
      </c>
    </row>
    <row r="1202" spans="1:9">
      <c r="A1202" s="14" t="s">
        <v>6408</v>
      </c>
      <c r="B1202" s="15" t="s">
        <v>5</v>
      </c>
      <c r="C1202" s="10" t="s">
        <v>6409</v>
      </c>
      <c r="D1202" s="16" t="s">
        <v>4064</v>
      </c>
      <c r="E1202" s="15" t="s">
        <v>11215</v>
      </c>
      <c r="F1202" s="16" t="str">
        <f>VLOOKUP(Table8[[#This Row],[Mã khách hàng]],code_khach_hang[],2,0)</f>
        <v>CHI NHÁNH HÀ NỘI - CÔNG TY CỔ PHẦN DỊCH VỤ THƯƠNG MẠI TỔNG HỢP WINCOMMERCE</v>
      </c>
      <c r="G1202" s="16" t="str">
        <f>VLOOKUP(Table8[[#This Row],[Mã khách hàng]],code_khach_hang[],3,0)</f>
        <v>Miền Bắc đặc biệt 1</v>
      </c>
      <c r="H1202" t="str">
        <f>VLOOKUP(Table8[[#This Row],[Mã khách hàng]],'Khách hàng'!A:D,4,0)</f>
        <v>Food Đức Việt</v>
      </c>
      <c r="I1202" t="str">
        <f>VLOOKUP(Table8[[#This Row],[Mã khách hàng]],'Khách hàng'!A:E,5,0)</f>
        <v>HN0040</v>
      </c>
    </row>
    <row r="1203" spans="1:9">
      <c r="A1203" s="14" t="s">
        <v>8944</v>
      </c>
      <c r="B1203" s="15" t="s">
        <v>5</v>
      </c>
      <c r="C1203" s="10" t="s">
        <v>8945</v>
      </c>
      <c r="D1203" s="16" t="s">
        <v>4067</v>
      </c>
      <c r="E1203" s="15" t="s">
        <v>11215</v>
      </c>
      <c r="F1203" s="16" t="str">
        <f>VLOOKUP(Table8[[#This Row],[Mã khách hàng]],code_khach_hang[],2,0)</f>
        <v>CHI NHÁNH HÀ NỘI - CÔNG TY CỔ PHẦN DỊCH VỤ THƯƠNG MẠI TỔNG HỢP WINCOMMERCE</v>
      </c>
      <c r="G1203" s="16" t="str">
        <f>VLOOKUP(Table8[[#This Row],[Mã khách hàng]],code_khach_hang[],3,0)</f>
        <v>Miền Bắc đặc biệt 1</v>
      </c>
      <c r="H1203" t="str">
        <f>VLOOKUP(Table8[[#This Row],[Mã khách hàng]],'Khách hàng'!A:D,4,0)</f>
        <v>Food Đức Việt</v>
      </c>
      <c r="I1203" t="str">
        <f>VLOOKUP(Table8[[#This Row],[Mã khách hàng]],'Khách hàng'!A:E,5,0)</f>
        <v>HN0040</v>
      </c>
    </row>
    <row r="1204" spans="1:9">
      <c r="A1204" s="14" t="s">
        <v>8968</v>
      </c>
      <c r="B1204" s="15" t="s">
        <v>5</v>
      </c>
      <c r="C1204" s="10" t="s">
        <v>8969</v>
      </c>
      <c r="D1204" s="16" t="s">
        <v>4070</v>
      </c>
      <c r="E1204" s="15" t="s">
        <v>11215</v>
      </c>
      <c r="F1204" s="16" t="str">
        <f>VLOOKUP(Table8[[#This Row],[Mã khách hàng]],code_khach_hang[],2,0)</f>
        <v>CHI NHÁNH HÀ NỘI - CÔNG TY CỔ PHẦN DỊCH VỤ THƯƠNG MẠI TỔNG HỢP WINCOMMERCE</v>
      </c>
      <c r="G1204" s="16" t="str">
        <f>VLOOKUP(Table8[[#This Row],[Mã khách hàng]],code_khach_hang[],3,0)</f>
        <v>Miền Bắc đặc biệt 1</v>
      </c>
      <c r="H1204" t="str">
        <f>VLOOKUP(Table8[[#This Row],[Mã khách hàng]],'Khách hàng'!A:D,4,0)</f>
        <v>Food Đức Việt</v>
      </c>
      <c r="I1204" t="str">
        <f>VLOOKUP(Table8[[#This Row],[Mã khách hàng]],'Khách hàng'!A:E,5,0)</f>
        <v>HN0040</v>
      </c>
    </row>
    <row r="1205" spans="1:9">
      <c r="A1205" s="14" t="s">
        <v>11111</v>
      </c>
      <c r="B1205" s="15" t="s">
        <v>5</v>
      </c>
      <c r="C1205" s="10" t="e">
        <v>#N/A</v>
      </c>
      <c r="D1205" s="16" t="s">
        <v>4073</v>
      </c>
      <c r="E1205" s="15" t="s">
        <v>11215</v>
      </c>
      <c r="F1205" s="16" t="str">
        <f>VLOOKUP(Table8[[#This Row],[Mã khách hàng]],code_khach_hang[],2,0)</f>
        <v>CHI NHÁNH HÀ NỘI - CÔNG TY CỔ PHẦN DỊCH VỤ THƯƠNG MẠI TỔNG HỢP WINCOMMERCE</v>
      </c>
      <c r="G1205" s="16" t="str">
        <f>VLOOKUP(Table8[[#This Row],[Mã khách hàng]],code_khach_hang[],3,0)</f>
        <v>Miền Bắc đặc biệt 1</v>
      </c>
      <c r="H1205" t="str">
        <f>VLOOKUP(Table8[[#This Row],[Mã khách hàng]],'Khách hàng'!A:D,4,0)</f>
        <v>Food Đức Việt</v>
      </c>
      <c r="I1205" t="str">
        <f>VLOOKUP(Table8[[#This Row],[Mã khách hàng]],'Khách hàng'!A:E,5,0)</f>
        <v>HN0040</v>
      </c>
    </row>
    <row r="1206" spans="1:9">
      <c r="A1206" s="14" t="s">
        <v>9028</v>
      </c>
      <c r="B1206" s="15" t="s">
        <v>5</v>
      </c>
      <c r="C1206" s="10" t="s">
        <v>9029</v>
      </c>
      <c r="D1206" s="16" t="s">
        <v>4076</v>
      </c>
      <c r="E1206" s="15" t="s">
        <v>11215</v>
      </c>
      <c r="F1206" s="16" t="str">
        <f>VLOOKUP(Table8[[#This Row],[Mã khách hàng]],code_khach_hang[],2,0)</f>
        <v>CHI NHÁNH HÀ NỘI - CÔNG TY CỔ PHẦN DỊCH VỤ THƯƠNG MẠI TỔNG HỢP WINCOMMERCE</v>
      </c>
      <c r="G1206" s="16" t="str">
        <f>VLOOKUP(Table8[[#This Row],[Mã khách hàng]],code_khach_hang[],3,0)</f>
        <v>Miền Bắc đặc biệt 1</v>
      </c>
      <c r="H1206" t="str">
        <f>VLOOKUP(Table8[[#This Row],[Mã khách hàng]],'Khách hàng'!A:D,4,0)</f>
        <v>Food Đức Việt</v>
      </c>
      <c r="I1206" t="str">
        <f>VLOOKUP(Table8[[#This Row],[Mã khách hàng]],'Khách hàng'!A:E,5,0)</f>
        <v>HN0040</v>
      </c>
    </row>
    <row r="1207" spans="1:9">
      <c r="A1207" s="14" t="s">
        <v>2198</v>
      </c>
      <c r="B1207" s="15" t="s">
        <v>5</v>
      </c>
      <c r="C1207" s="10" t="s">
        <v>2199</v>
      </c>
      <c r="D1207" s="16" t="s">
        <v>4079</v>
      </c>
      <c r="E1207" s="15" t="s">
        <v>11215</v>
      </c>
      <c r="F1207" s="16" t="str">
        <f>VLOOKUP(Table8[[#This Row],[Mã khách hàng]],code_khach_hang[],2,0)</f>
        <v>CHI NHÁNH HÀ NỘI - CÔNG TY CỔ PHẦN DỊCH VỤ THƯƠNG MẠI TỔNG HỢP WINCOMMERCE</v>
      </c>
      <c r="G1207" s="16" t="str">
        <f>VLOOKUP(Table8[[#This Row],[Mã khách hàng]],code_khach_hang[],3,0)</f>
        <v>Miền Bắc đặc biệt 1</v>
      </c>
      <c r="H1207" t="str">
        <f>VLOOKUP(Table8[[#This Row],[Mã khách hàng]],'Khách hàng'!A:D,4,0)</f>
        <v>Food Đức Việt</v>
      </c>
      <c r="I1207" t="str">
        <f>VLOOKUP(Table8[[#This Row],[Mã khách hàng]],'Khách hàng'!A:E,5,0)</f>
        <v>HN0040</v>
      </c>
    </row>
    <row r="1208" spans="1:9">
      <c r="A1208" s="14" t="s">
        <v>1525</v>
      </c>
      <c r="B1208" s="15" t="s">
        <v>5</v>
      </c>
      <c r="C1208" s="10" t="s">
        <v>1526</v>
      </c>
      <c r="D1208" s="16" t="s">
        <v>4082</v>
      </c>
      <c r="E1208" s="15" t="s">
        <v>11215</v>
      </c>
      <c r="F1208" s="16" t="str">
        <f>VLOOKUP(Table8[[#This Row],[Mã khách hàng]],code_khach_hang[],2,0)</f>
        <v>CHI NHÁNH HÀ NỘI - CÔNG TY CỔ PHẦN DỊCH VỤ THƯƠNG MẠI TỔNG HỢP WINCOMMERCE</v>
      </c>
      <c r="G1208" s="16" t="str">
        <f>VLOOKUP(Table8[[#This Row],[Mã khách hàng]],code_khach_hang[],3,0)</f>
        <v>Miền Bắc đặc biệt 1</v>
      </c>
      <c r="H1208" t="str">
        <f>VLOOKUP(Table8[[#This Row],[Mã khách hàng]],'Khách hàng'!A:D,4,0)</f>
        <v>Food Đức Việt</v>
      </c>
      <c r="I1208" t="str">
        <f>VLOOKUP(Table8[[#This Row],[Mã khách hàng]],'Khách hàng'!A:E,5,0)</f>
        <v>HN0040</v>
      </c>
    </row>
    <row r="1209" spans="1:9">
      <c r="A1209" s="14" t="s">
        <v>592</v>
      </c>
      <c r="B1209" s="15" t="s">
        <v>183</v>
      </c>
      <c r="C1209" s="10" t="s">
        <v>593</v>
      </c>
      <c r="D1209" s="16" t="s">
        <v>4085</v>
      </c>
      <c r="E1209" s="15" t="s">
        <v>11195</v>
      </c>
      <c r="F1209" s="16" t="str">
        <f>VLOOKUP(Table8[[#This Row],[Mã khách hàng]],code_khach_hang[],2,0)</f>
        <v>CHI NHÁNH HÀ NỘI - CÔNG TY CỔ PHẦN DỊCH VỤ THƯƠNG MẠI TỔNG HỢP WINCOMMERCE</v>
      </c>
      <c r="G1209" s="16" t="str">
        <f>VLOOKUP(Table8[[#This Row],[Mã khách hàng]],code_khach_hang[],3,0)</f>
        <v>Miền Bắc đặc biệt 2</v>
      </c>
      <c r="H1209" t="str">
        <f>VLOOKUP(Table8[[#This Row],[Mã khách hàng]],'Khách hàng'!A:D,4,0)</f>
        <v>Food Đức Việt</v>
      </c>
      <c r="I1209" t="str">
        <f>VLOOKUP(Table8[[#This Row],[Mã khách hàng]],'Khách hàng'!A:E,5,0)</f>
        <v>HN0040</v>
      </c>
    </row>
    <row r="1210" spans="1:9">
      <c r="A1210" s="14" t="s">
        <v>598</v>
      </c>
      <c r="B1210" s="15" t="s">
        <v>183</v>
      </c>
      <c r="C1210" s="10" t="s">
        <v>599</v>
      </c>
      <c r="D1210" s="16" t="s">
        <v>4088</v>
      </c>
      <c r="E1210" s="15" t="s">
        <v>11195</v>
      </c>
      <c r="F1210" s="16" t="str">
        <f>VLOOKUP(Table8[[#This Row],[Mã khách hàng]],code_khach_hang[],2,0)</f>
        <v>CHI NHÁNH HÀ NỘI - CÔNG TY CỔ PHẦN DỊCH VỤ THƯƠNG MẠI TỔNG HỢP WINCOMMERCE</v>
      </c>
      <c r="G1210" s="16" t="str">
        <f>VLOOKUP(Table8[[#This Row],[Mã khách hàng]],code_khach_hang[],3,0)</f>
        <v>Miền Bắc đặc biệt 2</v>
      </c>
      <c r="H1210" t="str">
        <f>VLOOKUP(Table8[[#This Row],[Mã khách hàng]],'Khách hàng'!A:D,4,0)</f>
        <v>Food Đức Việt</v>
      </c>
      <c r="I1210" t="str">
        <f>VLOOKUP(Table8[[#This Row],[Mã khách hàng]],'Khách hàng'!A:E,5,0)</f>
        <v>HN0040</v>
      </c>
    </row>
    <row r="1211" spans="1:9">
      <c r="A1211" s="14" t="s">
        <v>559</v>
      </c>
      <c r="B1211" s="15" t="s">
        <v>183</v>
      </c>
      <c r="C1211" s="10" t="s">
        <v>560</v>
      </c>
      <c r="D1211" s="16" t="s">
        <v>4091</v>
      </c>
      <c r="E1211" s="15" t="s">
        <v>11195</v>
      </c>
      <c r="F1211" s="16" t="str">
        <f>VLOOKUP(Table8[[#This Row],[Mã khách hàng]],code_khach_hang[],2,0)</f>
        <v>CHI NHÁNH HÀ NỘI - CÔNG TY CỔ PHẦN DỊCH VỤ THƯƠNG MẠI TỔNG HỢP WINCOMMERCE</v>
      </c>
      <c r="G1211" s="16" t="str">
        <f>VLOOKUP(Table8[[#This Row],[Mã khách hàng]],code_khach_hang[],3,0)</f>
        <v>Miền Bắc đặc biệt 2</v>
      </c>
      <c r="H1211" t="str">
        <f>VLOOKUP(Table8[[#This Row],[Mã khách hàng]],'Khách hàng'!A:D,4,0)</f>
        <v>Food Đức Việt</v>
      </c>
      <c r="I1211" t="str">
        <f>VLOOKUP(Table8[[#This Row],[Mã khách hàng]],'Khách hàng'!A:E,5,0)</f>
        <v>HN0040</v>
      </c>
    </row>
    <row r="1212" spans="1:9">
      <c r="A1212" s="14" t="s">
        <v>610</v>
      </c>
      <c r="B1212" s="15" t="s">
        <v>183</v>
      </c>
      <c r="C1212" s="10" t="s">
        <v>611</v>
      </c>
      <c r="D1212" s="16" t="s">
        <v>4094</v>
      </c>
      <c r="E1212" s="15" t="s">
        <v>11195</v>
      </c>
      <c r="F1212" s="16" t="str">
        <f>VLOOKUP(Table8[[#This Row],[Mã khách hàng]],code_khach_hang[],2,0)</f>
        <v>CHI NHÁNH HÀ NỘI - CÔNG TY CỔ PHẦN DỊCH VỤ THƯƠNG MẠI TỔNG HỢP WINCOMMERCE</v>
      </c>
      <c r="G1212" s="16" t="str">
        <f>VLOOKUP(Table8[[#This Row],[Mã khách hàng]],code_khach_hang[],3,0)</f>
        <v>Miền Bắc đặc biệt 2</v>
      </c>
      <c r="H1212" t="str">
        <f>VLOOKUP(Table8[[#This Row],[Mã khách hàng]],'Khách hàng'!A:D,4,0)</f>
        <v>Food Đức Việt</v>
      </c>
      <c r="I1212" t="str">
        <f>VLOOKUP(Table8[[#This Row],[Mã khách hàng]],'Khách hàng'!A:E,5,0)</f>
        <v>HN0040</v>
      </c>
    </row>
    <row r="1213" spans="1:9">
      <c r="A1213" s="14" t="s">
        <v>6599</v>
      </c>
      <c r="B1213" s="15" t="s">
        <v>5</v>
      </c>
      <c r="C1213" s="10" t="s">
        <v>6600</v>
      </c>
      <c r="D1213" s="16" t="s">
        <v>4097</v>
      </c>
      <c r="E1213" s="15" t="s">
        <v>11215</v>
      </c>
      <c r="F1213" s="16" t="str">
        <f>VLOOKUP(Table8[[#This Row],[Mã khách hàng]],code_khach_hang[],2,0)</f>
        <v>CHI NHÁNH HÀ NỘI - CÔNG TY CỔ PHẦN DỊCH VỤ THƯƠNG MẠI TỔNG HỢP WINCOMMERCE</v>
      </c>
      <c r="G1213" s="16" t="str">
        <f>VLOOKUP(Table8[[#This Row],[Mã khách hàng]],code_khach_hang[],3,0)</f>
        <v>Miền Bắc đặc biệt 1</v>
      </c>
      <c r="H1213" t="str">
        <f>VLOOKUP(Table8[[#This Row],[Mã khách hàng]],'Khách hàng'!A:D,4,0)</f>
        <v>Food Đức Việt</v>
      </c>
      <c r="I1213" t="str">
        <f>VLOOKUP(Table8[[#This Row],[Mã khách hàng]],'Khách hàng'!A:E,5,0)</f>
        <v>HN0040</v>
      </c>
    </row>
    <row r="1214" spans="1:9">
      <c r="A1214" s="14" t="s">
        <v>6605</v>
      </c>
      <c r="B1214" s="15" t="s">
        <v>5</v>
      </c>
      <c r="C1214" s="10" t="s">
        <v>6606</v>
      </c>
      <c r="D1214" s="16" t="s">
        <v>4100</v>
      </c>
      <c r="E1214" s="15" t="s">
        <v>11215</v>
      </c>
      <c r="F1214" s="16" t="str">
        <f>VLOOKUP(Table8[[#This Row],[Mã khách hàng]],code_khach_hang[],2,0)</f>
        <v>CHI NHÁNH HÀ NỘI - CÔNG TY CỔ PHẦN DỊCH VỤ THƯƠNG MẠI TỔNG HỢP WINCOMMERCE</v>
      </c>
      <c r="G1214" s="16" t="str">
        <f>VLOOKUP(Table8[[#This Row],[Mã khách hàng]],code_khach_hang[],3,0)</f>
        <v>Miền Bắc đặc biệt 1</v>
      </c>
      <c r="H1214" t="str">
        <f>VLOOKUP(Table8[[#This Row],[Mã khách hàng]],'Khách hàng'!A:D,4,0)</f>
        <v>Food Đức Việt</v>
      </c>
      <c r="I1214" t="str">
        <f>VLOOKUP(Table8[[#This Row],[Mã khách hàng]],'Khách hàng'!A:E,5,0)</f>
        <v>HN0040</v>
      </c>
    </row>
    <row r="1215" spans="1:9">
      <c r="A1215" s="14" t="s">
        <v>8248</v>
      </c>
      <c r="B1215" s="15" t="s">
        <v>5</v>
      </c>
      <c r="C1215" s="10" t="s">
        <v>8249</v>
      </c>
      <c r="D1215" s="16" t="s">
        <v>4103</v>
      </c>
      <c r="E1215" s="15" t="s">
        <v>11215</v>
      </c>
      <c r="F1215" s="16" t="str">
        <f>VLOOKUP(Table8[[#This Row],[Mã khách hàng]],code_khach_hang[],2,0)</f>
        <v>CHI NHÁNH HÀ NỘI - CÔNG TY CỔ PHẦN DỊCH VỤ THƯƠNG MẠI TỔNG HỢP WINCOMMERCE</v>
      </c>
      <c r="G1215" s="16" t="str">
        <f>VLOOKUP(Table8[[#This Row],[Mã khách hàng]],code_khach_hang[],3,0)</f>
        <v>Miền Bắc đặc biệt 1</v>
      </c>
      <c r="H1215" t="str">
        <f>VLOOKUP(Table8[[#This Row],[Mã khách hàng]],'Khách hàng'!A:D,4,0)</f>
        <v>Food Đức Việt</v>
      </c>
      <c r="I1215" t="str">
        <f>VLOOKUP(Table8[[#This Row],[Mã khách hàng]],'Khách hàng'!A:E,5,0)</f>
        <v>HN0040</v>
      </c>
    </row>
    <row r="1216" spans="1:9">
      <c r="A1216" s="14" t="s">
        <v>8266</v>
      </c>
      <c r="B1216" s="15" t="s">
        <v>5</v>
      </c>
      <c r="C1216" s="10" t="s">
        <v>8267</v>
      </c>
      <c r="D1216" s="16" t="s">
        <v>4106</v>
      </c>
      <c r="E1216" s="15" t="s">
        <v>11215</v>
      </c>
      <c r="F1216" s="16" t="str">
        <f>VLOOKUP(Table8[[#This Row],[Mã khách hàng]],code_khach_hang[],2,0)</f>
        <v>CHI NHÁNH HÀ NỘI - CÔNG TY CỔ PHẦN DỊCH VỤ THƯƠNG MẠI TỔNG HỢP WINCOMMERCE</v>
      </c>
      <c r="G1216" s="16" t="str">
        <f>VLOOKUP(Table8[[#This Row],[Mã khách hàng]],code_khach_hang[],3,0)</f>
        <v>Miền Bắc đặc biệt 1</v>
      </c>
      <c r="H1216" t="str">
        <f>VLOOKUP(Table8[[#This Row],[Mã khách hàng]],'Khách hàng'!A:D,4,0)</f>
        <v>Food Đức Việt</v>
      </c>
      <c r="I1216" t="str">
        <f>VLOOKUP(Table8[[#This Row],[Mã khách hàng]],'Khách hàng'!A:E,5,0)</f>
        <v>HN0040</v>
      </c>
    </row>
    <row r="1217" spans="1:9">
      <c r="A1217" s="14" t="s">
        <v>8207</v>
      </c>
      <c r="B1217" s="15" t="s">
        <v>5</v>
      </c>
      <c r="C1217" s="10" t="s">
        <v>8208</v>
      </c>
      <c r="D1217" s="16" t="s">
        <v>4109</v>
      </c>
      <c r="E1217" s="15" t="s">
        <v>11215</v>
      </c>
      <c r="F1217" s="16" t="str">
        <f>VLOOKUP(Table8[[#This Row],[Mã khách hàng]],code_khach_hang[],2,0)</f>
        <v>CHI NHÁNH HÀ NỘI - CÔNG TY CỔ PHẦN DỊCH VỤ THƯƠNG MẠI TỔNG HỢP WINCOMMERCE</v>
      </c>
      <c r="G1217" s="16" t="str">
        <f>VLOOKUP(Table8[[#This Row],[Mã khách hàng]],code_khach_hang[],3,0)</f>
        <v>Miền Bắc đặc biệt 1</v>
      </c>
      <c r="H1217" t="str">
        <f>VLOOKUP(Table8[[#This Row],[Mã khách hàng]],'Khách hàng'!A:D,4,0)</f>
        <v>Food Đức Việt</v>
      </c>
      <c r="I1217" t="str">
        <f>VLOOKUP(Table8[[#This Row],[Mã khách hàng]],'Khách hàng'!A:E,5,0)</f>
        <v>HN0040</v>
      </c>
    </row>
    <row r="1218" spans="1:9">
      <c r="A1218" s="14" t="s">
        <v>6402</v>
      </c>
      <c r="B1218" s="15" t="s">
        <v>5</v>
      </c>
      <c r="C1218" s="10" t="s">
        <v>6403</v>
      </c>
      <c r="D1218" s="16" t="s">
        <v>4112</v>
      </c>
      <c r="E1218" s="15" t="s">
        <v>11215</v>
      </c>
      <c r="F1218" s="16" t="str">
        <f>VLOOKUP(Table8[[#This Row],[Mã khách hàng]],code_khach_hang[],2,0)</f>
        <v>CHI NHÁNH HÀ NỘI - CÔNG TY CỔ PHẦN DỊCH VỤ THƯƠNG MẠI TỔNG HỢP WINCOMMERCE</v>
      </c>
      <c r="G1218" s="16" t="str">
        <f>VLOOKUP(Table8[[#This Row],[Mã khách hàng]],code_khach_hang[],3,0)</f>
        <v>Miền Bắc đặc biệt 1</v>
      </c>
      <c r="H1218" t="str">
        <f>VLOOKUP(Table8[[#This Row],[Mã khách hàng]],'Khách hàng'!A:D,4,0)</f>
        <v>Food Đức Việt</v>
      </c>
      <c r="I1218" t="str">
        <f>VLOOKUP(Table8[[#This Row],[Mã khách hàng]],'Khách hàng'!A:E,5,0)</f>
        <v>HN0040</v>
      </c>
    </row>
    <row r="1219" spans="1:9">
      <c r="A1219" s="14" t="s">
        <v>8349</v>
      </c>
      <c r="B1219" s="15" t="s">
        <v>5</v>
      </c>
      <c r="C1219" s="10" t="s">
        <v>8350</v>
      </c>
      <c r="D1219" s="16" t="s">
        <v>4115</v>
      </c>
      <c r="E1219" s="15" t="s">
        <v>11215</v>
      </c>
      <c r="F1219" s="16" t="str">
        <f>VLOOKUP(Table8[[#This Row],[Mã khách hàng]],code_khach_hang[],2,0)</f>
        <v>CHI NHÁNH HÀ NỘI - CÔNG TY CỔ PHẦN DỊCH VỤ THƯƠNG MẠI TỔNG HỢP WINCOMMERCE</v>
      </c>
      <c r="G1219" s="16" t="str">
        <f>VLOOKUP(Table8[[#This Row],[Mã khách hàng]],code_khach_hang[],3,0)</f>
        <v>Miền Bắc đặc biệt 1</v>
      </c>
      <c r="H1219" t="str">
        <f>VLOOKUP(Table8[[#This Row],[Mã khách hàng]],'Khách hàng'!A:D,4,0)</f>
        <v>Food Đức Việt</v>
      </c>
      <c r="I1219" t="str">
        <f>VLOOKUP(Table8[[#This Row],[Mã khách hàng]],'Khách hàng'!A:E,5,0)</f>
        <v>HN0040</v>
      </c>
    </row>
    <row r="1220" spans="1:9">
      <c r="A1220" s="14" t="s">
        <v>8642</v>
      </c>
      <c r="B1220" s="15" t="s">
        <v>5</v>
      </c>
      <c r="C1220" s="10" t="s">
        <v>8643</v>
      </c>
      <c r="D1220" s="16" t="s">
        <v>4118</v>
      </c>
      <c r="E1220" s="15" t="s">
        <v>11215</v>
      </c>
      <c r="F1220" s="16" t="str">
        <f>VLOOKUP(Table8[[#This Row],[Mã khách hàng]],code_khach_hang[],2,0)</f>
        <v>CHI NHÁNH HÀ NỘI - CÔNG TY CỔ PHẦN DỊCH VỤ THƯƠNG MẠI TỔNG HỢP WINCOMMERCE</v>
      </c>
      <c r="G1220" s="16" t="str">
        <f>VLOOKUP(Table8[[#This Row],[Mã khách hàng]],code_khach_hang[],3,0)</f>
        <v>Miền Bắc đặc biệt 1</v>
      </c>
      <c r="H1220" t="str">
        <f>VLOOKUP(Table8[[#This Row],[Mã khách hàng]],'Khách hàng'!A:D,4,0)</f>
        <v>Food Đức Việt</v>
      </c>
      <c r="I1220" t="str">
        <f>VLOOKUP(Table8[[#This Row],[Mã khách hàng]],'Khách hàng'!A:E,5,0)</f>
        <v>HN0040</v>
      </c>
    </row>
    <row r="1221" spans="1:9">
      <c r="A1221" s="14" t="s">
        <v>8633</v>
      </c>
      <c r="B1221" s="15" t="s">
        <v>5</v>
      </c>
      <c r="C1221" s="10" t="s">
        <v>8634</v>
      </c>
      <c r="D1221" s="16" t="s">
        <v>4121</v>
      </c>
      <c r="E1221" s="15" t="s">
        <v>11215</v>
      </c>
      <c r="F1221" s="16" t="str">
        <f>VLOOKUP(Table8[[#This Row],[Mã khách hàng]],code_khach_hang[],2,0)</f>
        <v>CHI NHÁNH HÀ NỘI - CÔNG TY CỔ PHẦN DỊCH VỤ THƯƠNG MẠI TỔNG HỢP WINCOMMERCE</v>
      </c>
      <c r="G1221" s="16" t="str">
        <f>VLOOKUP(Table8[[#This Row],[Mã khách hàng]],code_khach_hang[],3,0)</f>
        <v>Miền Bắc đặc biệt 1</v>
      </c>
      <c r="H1221" t="str">
        <f>VLOOKUP(Table8[[#This Row],[Mã khách hàng]],'Khách hàng'!A:D,4,0)</f>
        <v>Food Đức Việt</v>
      </c>
      <c r="I1221" t="str">
        <f>VLOOKUP(Table8[[#This Row],[Mã khách hàng]],'Khách hàng'!A:E,5,0)</f>
        <v>HN0040</v>
      </c>
    </row>
    <row r="1222" spans="1:9">
      <c r="A1222" s="14" t="s">
        <v>8325</v>
      </c>
      <c r="B1222" s="15" t="s">
        <v>5</v>
      </c>
      <c r="C1222" s="10" t="s">
        <v>8326</v>
      </c>
      <c r="D1222" s="16" t="s">
        <v>4124</v>
      </c>
      <c r="E1222" s="15" t="s">
        <v>11215</v>
      </c>
      <c r="F1222" s="16" t="str">
        <f>VLOOKUP(Table8[[#This Row],[Mã khách hàng]],code_khach_hang[],2,0)</f>
        <v>CHI NHÁNH HÀ NỘI - CÔNG TY CỔ PHẦN DỊCH VỤ THƯƠNG MẠI TỔNG HỢP WINCOMMERCE</v>
      </c>
      <c r="G1222" s="16" t="str">
        <f>VLOOKUP(Table8[[#This Row],[Mã khách hàng]],code_khach_hang[],3,0)</f>
        <v>Miền Bắc đặc biệt 1</v>
      </c>
      <c r="H1222" t="str">
        <f>VLOOKUP(Table8[[#This Row],[Mã khách hàng]],'Khách hàng'!A:D,4,0)</f>
        <v>Food Đức Việt</v>
      </c>
      <c r="I1222" t="str">
        <f>VLOOKUP(Table8[[#This Row],[Mã khách hàng]],'Khách hàng'!A:E,5,0)</f>
        <v>HN0040</v>
      </c>
    </row>
    <row r="1223" spans="1:9">
      <c r="A1223" s="14" t="s">
        <v>5061</v>
      </c>
      <c r="B1223" s="15" t="s">
        <v>5</v>
      </c>
      <c r="C1223" s="10" t="s">
        <v>5062</v>
      </c>
      <c r="D1223" s="16" t="s">
        <v>4127</v>
      </c>
      <c r="E1223" s="15" t="s">
        <v>11215</v>
      </c>
      <c r="F1223" s="16" t="str">
        <f>VLOOKUP(Table8[[#This Row],[Mã khách hàng]],code_khach_hang[],2,0)</f>
        <v>CHI NHÁNH HÀ NỘI - CÔNG TY CỔ PHẦN DỊCH VỤ THƯƠNG MẠI TỔNG HỢP WINCOMMERCE</v>
      </c>
      <c r="G1223" s="16" t="str">
        <f>VLOOKUP(Table8[[#This Row],[Mã khách hàng]],code_khach_hang[],3,0)</f>
        <v>Miền Bắc đặc biệt 1</v>
      </c>
      <c r="H1223" t="str">
        <f>VLOOKUP(Table8[[#This Row],[Mã khách hàng]],'Khách hàng'!A:D,4,0)</f>
        <v>Food Đức Việt</v>
      </c>
      <c r="I1223" t="str">
        <f>VLOOKUP(Table8[[#This Row],[Mã khách hàng]],'Khách hàng'!A:E,5,0)</f>
        <v>HN0040</v>
      </c>
    </row>
    <row r="1224" spans="1:9">
      <c r="A1224" s="14" t="s">
        <v>5070</v>
      </c>
      <c r="B1224" s="15" t="s">
        <v>5</v>
      </c>
      <c r="C1224" s="10" t="s">
        <v>5071</v>
      </c>
      <c r="D1224" s="16" t="s">
        <v>4130</v>
      </c>
      <c r="E1224" s="15" t="s">
        <v>11215</v>
      </c>
      <c r="F1224" s="16" t="str">
        <f>VLOOKUP(Table8[[#This Row],[Mã khách hàng]],code_khach_hang[],2,0)</f>
        <v>CHI NHÁNH HÀ NỘI - CÔNG TY CỔ PHẦN DỊCH VỤ THƯƠNG MẠI TỔNG HỢP WINCOMMERCE</v>
      </c>
      <c r="G1224" s="16" t="str">
        <f>VLOOKUP(Table8[[#This Row],[Mã khách hàng]],code_khach_hang[],3,0)</f>
        <v>Miền Bắc đặc biệt 1</v>
      </c>
      <c r="H1224" t="str">
        <f>VLOOKUP(Table8[[#This Row],[Mã khách hàng]],'Khách hàng'!A:D,4,0)</f>
        <v>Food Đức Việt</v>
      </c>
      <c r="I1224" t="str">
        <f>VLOOKUP(Table8[[#This Row],[Mã khách hàng]],'Khách hàng'!A:E,5,0)</f>
        <v>HN0040</v>
      </c>
    </row>
    <row r="1225" spans="1:9">
      <c r="A1225" s="14" t="s">
        <v>5073</v>
      </c>
      <c r="B1225" s="15" t="s">
        <v>5</v>
      </c>
      <c r="C1225" s="10" t="s">
        <v>5074</v>
      </c>
      <c r="D1225" s="16" t="s">
        <v>4133</v>
      </c>
      <c r="E1225" s="15" t="s">
        <v>11215</v>
      </c>
      <c r="F1225" s="16" t="str">
        <f>VLOOKUP(Table8[[#This Row],[Mã khách hàng]],code_khach_hang[],2,0)</f>
        <v>CHI NHÁNH HÀ NỘI - CÔNG TY CỔ PHẦN DỊCH VỤ THƯƠNG MẠI TỔNG HỢP WINCOMMERCE</v>
      </c>
      <c r="G1225" s="16" t="str">
        <f>VLOOKUP(Table8[[#This Row],[Mã khách hàng]],code_khach_hang[],3,0)</f>
        <v>Miền Bắc đặc biệt 1</v>
      </c>
      <c r="H1225" t="str">
        <f>VLOOKUP(Table8[[#This Row],[Mã khách hàng]],'Khách hàng'!A:D,4,0)</f>
        <v>Food Đức Việt</v>
      </c>
      <c r="I1225" t="str">
        <f>VLOOKUP(Table8[[#This Row],[Mã khách hàng]],'Khách hàng'!A:E,5,0)</f>
        <v>HN0040</v>
      </c>
    </row>
    <row r="1226" spans="1:9">
      <c r="A1226" s="14" t="s">
        <v>5388</v>
      </c>
      <c r="B1226" s="15" t="s">
        <v>5</v>
      </c>
      <c r="C1226" s="10" t="s">
        <v>5389</v>
      </c>
      <c r="D1226" s="16" t="s">
        <v>4136</v>
      </c>
      <c r="E1226" s="15" t="s">
        <v>11215</v>
      </c>
      <c r="F1226" s="16" t="str">
        <f>VLOOKUP(Table8[[#This Row],[Mã khách hàng]],code_khach_hang[],2,0)</f>
        <v>CHI NHÁNH HÀ NỘI - CÔNG TY CỔ PHẦN DỊCH VỤ THƯƠNG MẠI TỔNG HỢP WINCOMMERCE</v>
      </c>
      <c r="G1226" s="16" t="str">
        <f>VLOOKUP(Table8[[#This Row],[Mã khách hàng]],code_khach_hang[],3,0)</f>
        <v>Miền Bắc đặc biệt 1</v>
      </c>
      <c r="H1226" t="str">
        <f>VLOOKUP(Table8[[#This Row],[Mã khách hàng]],'Khách hàng'!A:D,4,0)</f>
        <v>Food Đức Việt</v>
      </c>
      <c r="I1226" t="str">
        <f>VLOOKUP(Table8[[#This Row],[Mã khách hàng]],'Khách hàng'!A:E,5,0)</f>
        <v>HN0040</v>
      </c>
    </row>
    <row r="1227" spans="1:9">
      <c r="A1227" s="14" t="s">
        <v>5442</v>
      </c>
      <c r="B1227" s="15" t="s">
        <v>5</v>
      </c>
      <c r="C1227" s="10" t="s">
        <v>5443</v>
      </c>
      <c r="D1227" s="16" t="s">
        <v>4139</v>
      </c>
      <c r="E1227" s="15" t="s">
        <v>11215</v>
      </c>
      <c r="F1227" s="16" t="str">
        <f>VLOOKUP(Table8[[#This Row],[Mã khách hàng]],code_khach_hang[],2,0)</f>
        <v>CHI NHÁNH HÀ NỘI - CÔNG TY CỔ PHẦN DỊCH VỤ THƯƠNG MẠI TỔNG HỢP WINCOMMERCE</v>
      </c>
      <c r="G1227" s="16" t="str">
        <f>VLOOKUP(Table8[[#This Row],[Mã khách hàng]],code_khach_hang[],3,0)</f>
        <v>Miền Bắc đặc biệt 1</v>
      </c>
      <c r="H1227" t="str">
        <f>VLOOKUP(Table8[[#This Row],[Mã khách hàng]],'Khách hàng'!A:D,4,0)</f>
        <v>Food Đức Việt</v>
      </c>
      <c r="I1227" t="str">
        <f>VLOOKUP(Table8[[#This Row],[Mã khách hàng]],'Khách hàng'!A:E,5,0)</f>
        <v>HN0040</v>
      </c>
    </row>
    <row r="1228" spans="1:9">
      <c r="A1228" s="14" t="s">
        <v>5481</v>
      </c>
      <c r="B1228" s="15" t="s">
        <v>5</v>
      </c>
      <c r="C1228" s="10" t="s">
        <v>5482</v>
      </c>
      <c r="D1228" s="16" t="s">
        <v>4142</v>
      </c>
      <c r="E1228" s="15" t="s">
        <v>11215</v>
      </c>
      <c r="F1228" s="16" t="str">
        <f>VLOOKUP(Table8[[#This Row],[Mã khách hàng]],code_khach_hang[],2,0)</f>
        <v>CHI NHÁNH HÀ NỘI - CÔNG TY CỔ PHẦN DỊCH VỤ THƯƠNG MẠI TỔNG HỢP WINCOMMERCE</v>
      </c>
      <c r="G1228" s="16" t="str">
        <f>VLOOKUP(Table8[[#This Row],[Mã khách hàng]],code_khach_hang[],3,0)</f>
        <v>Miền Bắc đặc biệt 1</v>
      </c>
      <c r="H1228" t="str">
        <f>VLOOKUP(Table8[[#This Row],[Mã khách hàng]],'Khách hàng'!A:D,4,0)</f>
        <v>Food Đức Việt</v>
      </c>
      <c r="I1228" t="str">
        <f>VLOOKUP(Table8[[#This Row],[Mã khách hàng]],'Khách hàng'!A:E,5,0)</f>
        <v>HN0040</v>
      </c>
    </row>
    <row r="1229" spans="1:9">
      <c r="A1229" s="14" t="s">
        <v>6121</v>
      </c>
      <c r="B1229" s="15" t="s">
        <v>5</v>
      </c>
      <c r="C1229" s="10" t="s">
        <v>6122</v>
      </c>
      <c r="D1229" s="16" t="s">
        <v>4145</v>
      </c>
      <c r="E1229" s="15" t="s">
        <v>11215</v>
      </c>
      <c r="F1229" s="16" t="str">
        <f>VLOOKUP(Table8[[#This Row],[Mã khách hàng]],code_khach_hang[],2,0)</f>
        <v>CHI NHÁNH HÀ NỘI - CÔNG TY CỔ PHẦN DỊCH VỤ THƯƠNG MẠI TỔNG HỢP WINCOMMERCE</v>
      </c>
      <c r="G1229" s="16" t="str">
        <f>VLOOKUP(Table8[[#This Row],[Mã khách hàng]],code_khach_hang[],3,0)</f>
        <v>Miền Bắc đặc biệt 1</v>
      </c>
      <c r="H1229" t="str">
        <f>VLOOKUP(Table8[[#This Row],[Mã khách hàng]],'Khách hàng'!A:D,4,0)</f>
        <v>Food Đức Việt</v>
      </c>
      <c r="I1229" t="str">
        <f>VLOOKUP(Table8[[#This Row],[Mã khách hàng]],'Khách hàng'!A:E,5,0)</f>
        <v>HN0040</v>
      </c>
    </row>
    <row r="1230" spans="1:9">
      <c r="A1230" s="14" t="s">
        <v>6581</v>
      </c>
      <c r="B1230" s="15" t="s">
        <v>5</v>
      </c>
      <c r="C1230" s="10" t="s">
        <v>6582</v>
      </c>
      <c r="D1230" s="16" t="s">
        <v>4148</v>
      </c>
      <c r="E1230" s="15" t="s">
        <v>11215</v>
      </c>
      <c r="F1230" s="16" t="str">
        <f>VLOOKUP(Table8[[#This Row],[Mã khách hàng]],code_khach_hang[],2,0)</f>
        <v>CHI NHÁNH HÀ NỘI - CÔNG TY CỔ PHẦN DỊCH VỤ THƯƠNG MẠI TỔNG HỢP WINCOMMERCE</v>
      </c>
      <c r="G1230" s="16" t="str">
        <f>VLOOKUP(Table8[[#This Row],[Mã khách hàng]],code_khach_hang[],3,0)</f>
        <v>Miền Bắc đặc biệt 1</v>
      </c>
      <c r="H1230" t="str">
        <f>VLOOKUP(Table8[[#This Row],[Mã khách hàng]],'Khách hàng'!A:D,4,0)</f>
        <v>Food Đức Việt</v>
      </c>
      <c r="I1230" t="str">
        <f>VLOOKUP(Table8[[#This Row],[Mã khách hàng]],'Khách hàng'!A:E,5,0)</f>
        <v>HN0040</v>
      </c>
    </row>
    <row r="1231" spans="1:9">
      <c r="A1231" s="14" t="s">
        <v>6710</v>
      </c>
      <c r="B1231" s="15" t="s">
        <v>5</v>
      </c>
      <c r="C1231" s="10" t="s">
        <v>6711</v>
      </c>
      <c r="D1231" s="16" t="s">
        <v>4151</v>
      </c>
      <c r="E1231" s="15" t="s">
        <v>11215</v>
      </c>
      <c r="F1231" s="16" t="str">
        <f>VLOOKUP(Table8[[#This Row],[Mã khách hàng]],code_khach_hang[],2,0)</f>
        <v>CHI NHÁNH HÀ NỘI - CÔNG TY CỔ PHẦN DỊCH VỤ THƯƠNG MẠI TỔNG HỢP WINCOMMERCE</v>
      </c>
      <c r="G1231" s="16" t="str">
        <f>VLOOKUP(Table8[[#This Row],[Mã khách hàng]],code_khach_hang[],3,0)</f>
        <v>Miền Bắc đặc biệt 1</v>
      </c>
      <c r="H1231" t="str">
        <f>VLOOKUP(Table8[[#This Row],[Mã khách hàng]],'Khách hàng'!A:D,4,0)</f>
        <v>Food Đức Việt</v>
      </c>
      <c r="I1231" t="str">
        <f>VLOOKUP(Table8[[#This Row],[Mã khách hàng]],'Khách hàng'!A:E,5,0)</f>
        <v>HN0040</v>
      </c>
    </row>
    <row r="1232" spans="1:9">
      <c r="A1232" s="14" t="s">
        <v>6722</v>
      </c>
      <c r="B1232" s="15" t="s">
        <v>5</v>
      </c>
      <c r="C1232" s="10" t="s">
        <v>6723</v>
      </c>
      <c r="D1232" s="16" t="s">
        <v>4154</v>
      </c>
      <c r="E1232" s="15" t="s">
        <v>11215</v>
      </c>
      <c r="F1232" s="16" t="str">
        <f>VLOOKUP(Table8[[#This Row],[Mã khách hàng]],code_khach_hang[],2,0)</f>
        <v>CHI NHÁNH HÀ NỘI - CÔNG TY CỔ PHẦN DỊCH VỤ THƯƠNG MẠI TỔNG HỢP WINCOMMERCE</v>
      </c>
      <c r="G1232" s="16" t="str">
        <f>VLOOKUP(Table8[[#This Row],[Mã khách hàng]],code_khach_hang[],3,0)</f>
        <v>Miền Bắc đặc biệt 1</v>
      </c>
      <c r="H1232" t="str">
        <f>VLOOKUP(Table8[[#This Row],[Mã khách hàng]],'Khách hàng'!A:D,4,0)</f>
        <v>Food Đức Việt</v>
      </c>
      <c r="I1232" t="str">
        <f>VLOOKUP(Table8[[#This Row],[Mã khách hàng]],'Khách hàng'!A:E,5,0)</f>
        <v>HN0040</v>
      </c>
    </row>
    <row r="1233" spans="1:9">
      <c r="A1233" s="14" t="s">
        <v>7789</v>
      </c>
      <c r="B1233" s="15" t="s">
        <v>5</v>
      </c>
      <c r="C1233" s="10" t="s">
        <v>7790</v>
      </c>
      <c r="D1233" s="16" t="s">
        <v>4157</v>
      </c>
      <c r="E1233" s="15" t="s">
        <v>11215</v>
      </c>
      <c r="F1233" s="16" t="str">
        <f>VLOOKUP(Table8[[#This Row],[Mã khách hàng]],code_khach_hang[],2,0)</f>
        <v>CHI NHÁNH HÀ NỘI - CÔNG TY CỔ PHẦN DỊCH VỤ THƯƠNG MẠI TỔNG HỢP WINCOMMERCE</v>
      </c>
      <c r="G1233" s="16" t="str">
        <f>VLOOKUP(Table8[[#This Row],[Mã khách hàng]],code_khach_hang[],3,0)</f>
        <v>Miền Bắc đặc biệt 1</v>
      </c>
      <c r="H1233" t="str">
        <f>VLOOKUP(Table8[[#This Row],[Mã khách hàng]],'Khách hàng'!A:D,4,0)</f>
        <v>Food Đức Việt</v>
      </c>
      <c r="I1233" t="str">
        <f>VLOOKUP(Table8[[#This Row],[Mã khách hàng]],'Khách hàng'!A:E,5,0)</f>
        <v>HN0040</v>
      </c>
    </row>
    <row r="1234" spans="1:9">
      <c r="A1234" s="14" t="s">
        <v>8930</v>
      </c>
      <c r="B1234" s="15" t="s">
        <v>5</v>
      </c>
      <c r="C1234" s="10" t="s">
        <v>8931</v>
      </c>
      <c r="D1234" s="16" t="s">
        <v>4160</v>
      </c>
      <c r="E1234" s="14" t="s">
        <v>11215</v>
      </c>
      <c r="F1234" s="16" t="str">
        <f>VLOOKUP(Table8[[#This Row],[Mã khách hàng]],code_khach_hang[],2,0)</f>
        <v>CHI NHÁNH HÀ NỘI - CÔNG TY CỔ PHẦN DỊCH VỤ THƯƠNG MẠI TỔNG HỢP WINCOMMERCE</v>
      </c>
      <c r="G1234" s="16" t="str">
        <f>VLOOKUP(Table8[[#This Row],[Mã khách hàng]],code_khach_hang[],3,0)</f>
        <v>Miền Bắc đặc biệt 1</v>
      </c>
      <c r="H1234" t="str">
        <f>VLOOKUP(Table8[[#This Row],[Mã khách hàng]],'Khách hàng'!A:D,4,0)</f>
        <v>Food Đức Việt</v>
      </c>
      <c r="I1234" t="str">
        <f>VLOOKUP(Table8[[#This Row],[Mã khách hàng]],'Khách hàng'!A:E,5,0)</f>
        <v>HN0040</v>
      </c>
    </row>
    <row r="1235" spans="1:9">
      <c r="A1235" s="14" t="s">
        <v>1447</v>
      </c>
      <c r="B1235" s="15" t="s">
        <v>5</v>
      </c>
      <c r="C1235" s="10" t="s">
        <v>1448</v>
      </c>
      <c r="D1235" s="16" t="s">
        <v>4163</v>
      </c>
      <c r="E1235" s="15" t="s">
        <v>11215</v>
      </c>
      <c r="F1235" s="16" t="str">
        <f>VLOOKUP(Table8[[#This Row],[Mã khách hàng]],code_khach_hang[],2,0)</f>
        <v>CHI NHÁNH HÀ NỘI - CÔNG TY CỔ PHẦN DỊCH VỤ THƯƠNG MẠI TỔNG HỢP WINCOMMERCE</v>
      </c>
      <c r="G1235" s="16" t="str">
        <f>VLOOKUP(Table8[[#This Row],[Mã khách hàng]],code_khach_hang[],3,0)</f>
        <v>Miền Bắc đặc biệt 1</v>
      </c>
      <c r="H1235" t="str">
        <f>VLOOKUP(Table8[[#This Row],[Mã khách hàng]],'Khách hàng'!A:D,4,0)</f>
        <v>Food Đức Việt</v>
      </c>
      <c r="I1235" t="str">
        <f>VLOOKUP(Table8[[#This Row],[Mã khách hàng]],'Khách hàng'!A:E,5,0)</f>
        <v>HN0040</v>
      </c>
    </row>
    <row r="1236" spans="1:9">
      <c r="A1236" s="14" t="s">
        <v>2464</v>
      </c>
      <c r="B1236" s="15" t="s">
        <v>5</v>
      </c>
      <c r="C1236" s="10" t="s">
        <v>2465</v>
      </c>
      <c r="D1236" s="16" t="s">
        <v>4166</v>
      </c>
      <c r="E1236" s="15" t="s">
        <v>11215</v>
      </c>
      <c r="F1236" s="16" t="str">
        <f>VLOOKUP(Table8[[#This Row],[Mã khách hàng]],code_khach_hang[],2,0)</f>
        <v>CHI NHÁNH HÀ NỘI - CÔNG TY CỔ PHẦN DỊCH VỤ THƯƠNG MẠI TỔNG HỢP WINCOMMERCE</v>
      </c>
      <c r="G1236" s="16" t="str">
        <f>VLOOKUP(Table8[[#This Row],[Mã khách hàng]],code_khach_hang[],3,0)</f>
        <v>Miền Bắc đặc biệt 1</v>
      </c>
      <c r="H1236" t="str">
        <f>VLOOKUP(Table8[[#This Row],[Mã khách hàng]],'Khách hàng'!A:D,4,0)</f>
        <v>Food Đức Việt</v>
      </c>
      <c r="I1236" t="str">
        <f>VLOOKUP(Table8[[#This Row],[Mã khách hàng]],'Khách hàng'!A:E,5,0)</f>
        <v>HN0040</v>
      </c>
    </row>
    <row r="1237" spans="1:9">
      <c r="A1237" s="14" t="s">
        <v>2694</v>
      </c>
      <c r="B1237" s="15" t="s">
        <v>5</v>
      </c>
      <c r="C1237" s="10" t="s">
        <v>2695</v>
      </c>
      <c r="D1237" s="16" t="s">
        <v>4169</v>
      </c>
      <c r="E1237" s="15" t="s">
        <v>11215</v>
      </c>
      <c r="F1237" s="16" t="str">
        <f>VLOOKUP(Table8[[#This Row],[Mã khách hàng]],code_khach_hang[],2,0)</f>
        <v>CHI NHÁNH HÀ NỘI - CÔNG TY CỔ PHẦN DỊCH VỤ THƯƠNG MẠI TỔNG HỢP WINCOMMERCE</v>
      </c>
      <c r="G1237" s="16" t="str">
        <f>VLOOKUP(Table8[[#This Row],[Mã khách hàng]],code_khach_hang[],3,0)</f>
        <v>Miền Bắc đặc biệt 1</v>
      </c>
      <c r="H1237" t="str">
        <f>VLOOKUP(Table8[[#This Row],[Mã khách hàng]],'Khách hàng'!A:D,4,0)</f>
        <v>Food Đức Việt</v>
      </c>
      <c r="I1237" t="str">
        <f>VLOOKUP(Table8[[#This Row],[Mã khách hàng]],'Khách hàng'!A:E,5,0)</f>
        <v>HN0040</v>
      </c>
    </row>
    <row r="1238" spans="1:9">
      <c r="A1238" s="14" t="s">
        <v>8759</v>
      </c>
      <c r="B1238" s="15" t="s">
        <v>5</v>
      </c>
      <c r="C1238" s="10" t="s">
        <v>8760</v>
      </c>
      <c r="D1238" s="16" t="s">
        <v>4172</v>
      </c>
      <c r="E1238" s="15" t="s">
        <v>11215</v>
      </c>
      <c r="F1238" s="16" t="str">
        <f>VLOOKUP(Table8[[#This Row],[Mã khách hàng]],code_khach_hang[],2,0)</f>
        <v>CHI NHÁNH HÀ NỘI - CÔNG TY CỔ PHẦN DỊCH VỤ THƯƠNG MẠI TỔNG HỢP WINCOMMERCE</v>
      </c>
      <c r="G1238" s="16" t="str">
        <f>VLOOKUP(Table8[[#This Row],[Mã khách hàng]],code_khach_hang[],3,0)</f>
        <v>Miền Bắc đặc biệt 1</v>
      </c>
      <c r="H1238" t="str">
        <f>VLOOKUP(Table8[[#This Row],[Mã khách hàng]],'Khách hàng'!A:D,4,0)</f>
        <v>Food Đức Việt</v>
      </c>
      <c r="I1238" t="str">
        <f>VLOOKUP(Table8[[#This Row],[Mã khách hàng]],'Khách hàng'!A:E,5,0)</f>
        <v>HN0040</v>
      </c>
    </row>
    <row r="1239" spans="1:9">
      <c r="A1239" s="14" t="s">
        <v>11112</v>
      </c>
      <c r="B1239" s="15" t="s">
        <v>5</v>
      </c>
      <c r="C1239" s="10" t="s">
        <v>13158</v>
      </c>
      <c r="D1239" s="16" t="s">
        <v>4175</v>
      </c>
      <c r="E1239" s="15" t="s">
        <v>11215</v>
      </c>
      <c r="F1239" s="16" t="str">
        <f>VLOOKUP(Table8[[#This Row],[Mã khách hàng]],code_khach_hang[],2,0)</f>
        <v>CHI NHÁNH HÀ NỘI - CÔNG TY CỔ PHẦN DỊCH VỤ THƯƠNG MẠI TỔNG HỢP WINCOMMERCE</v>
      </c>
      <c r="G1239" s="16" t="str">
        <f>VLOOKUP(Table8[[#This Row],[Mã khách hàng]],code_khach_hang[],3,0)</f>
        <v>Miền Bắc đặc biệt 1</v>
      </c>
      <c r="H1239" t="str">
        <f>VLOOKUP(Table8[[#This Row],[Mã khách hàng]],'Khách hàng'!A:D,4,0)</f>
        <v>Food Đức Việt</v>
      </c>
      <c r="I1239" t="str">
        <f>VLOOKUP(Table8[[#This Row],[Mã khách hàng]],'Khách hàng'!A:E,5,0)</f>
        <v>HN0040</v>
      </c>
    </row>
    <row r="1240" spans="1:9">
      <c r="A1240" s="14" t="s">
        <v>768</v>
      </c>
      <c r="B1240" s="15" t="s">
        <v>5</v>
      </c>
      <c r="C1240" s="10" t="s">
        <v>769</v>
      </c>
      <c r="D1240" s="16" t="s">
        <v>4178</v>
      </c>
      <c r="E1240" s="15" t="s">
        <v>11215</v>
      </c>
      <c r="F1240" s="16" t="str">
        <f>VLOOKUP(Table8[[#This Row],[Mã khách hàng]],code_khach_hang[],2,0)</f>
        <v>CHI NHÁNH HÀ NỘI - CÔNG TY CỔ PHẦN DỊCH VỤ THƯƠNG MẠI TỔNG HỢP WINCOMMERCE</v>
      </c>
      <c r="G1240" s="16" t="str">
        <f>VLOOKUP(Table8[[#This Row],[Mã khách hàng]],code_khach_hang[],3,0)</f>
        <v>Miền Bắc đặc biệt 1</v>
      </c>
      <c r="H1240" t="str">
        <f>VLOOKUP(Table8[[#This Row],[Mã khách hàng]],'Khách hàng'!A:D,4,0)</f>
        <v>Food Đức Việt</v>
      </c>
      <c r="I1240" t="str">
        <f>VLOOKUP(Table8[[#This Row],[Mã khách hàng]],'Khách hàng'!A:E,5,0)</f>
        <v>HN0040</v>
      </c>
    </row>
    <row r="1241" spans="1:9">
      <c r="A1241" s="14" t="s">
        <v>858</v>
      </c>
      <c r="B1241" s="15" t="s">
        <v>5</v>
      </c>
      <c r="C1241" s="10" t="s">
        <v>859</v>
      </c>
      <c r="D1241" s="16" t="s">
        <v>4181</v>
      </c>
      <c r="E1241" s="15" t="s">
        <v>11215</v>
      </c>
      <c r="F1241" s="16" t="str">
        <f>VLOOKUP(Table8[[#This Row],[Mã khách hàng]],code_khach_hang[],2,0)</f>
        <v>CHI NHÁNH HÀ NỘI - CÔNG TY CỔ PHẦN DỊCH VỤ THƯƠNG MẠI TỔNG HỢP WINCOMMERCE</v>
      </c>
      <c r="G1241" s="16" t="str">
        <f>VLOOKUP(Table8[[#This Row],[Mã khách hàng]],code_khach_hang[],3,0)</f>
        <v>Miền Bắc đặc biệt 1</v>
      </c>
      <c r="H1241" t="str">
        <f>VLOOKUP(Table8[[#This Row],[Mã khách hàng]],'Khách hàng'!A:D,4,0)</f>
        <v>Food Đức Việt</v>
      </c>
      <c r="I1241" t="str">
        <f>VLOOKUP(Table8[[#This Row],[Mã khách hàng]],'Khách hàng'!A:E,5,0)</f>
        <v>HN0040</v>
      </c>
    </row>
    <row r="1242" spans="1:9">
      <c r="A1242" s="14" t="s">
        <v>1083</v>
      </c>
      <c r="B1242" s="15" t="s">
        <v>5</v>
      </c>
      <c r="C1242" s="10" t="s">
        <v>1084</v>
      </c>
      <c r="D1242" s="16" t="s">
        <v>4184</v>
      </c>
      <c r="E1242" s="15" t="s">
        <v>11215</v>
      </c>
      <c r="F1242" s="16" t="str">
        <f>VLOOKUP(Table8[[#This Row],[Mã khách hàng]],code_khach_hang[],2,0)</f>
        <v>CHI NHÁNH HÀ NỘI - CÔNG TY CỔ PHẦN DỊCH VỤ THƯƠNG MẠI TỔNG HỢP WINCOMMERCE</v>
      </c>
      <c r="G1242" s="16" t="str">
        <f>VLOOKUP(Table8[[#This Row],[Mã khách hàng]],code_khach_hang[],3,0)</f>
        <v>Miền Bắc đặc biệt 1</v>
      </c>
      <c r="H1242" t="str">
        <f>VLOOKUP(Table8[[#This Row],[Mã khách hàng]],'Khách hàng'!A:D,4,0)</f>
        <v>Food Đức Việt</v>
      </c>
      <c r="I1242" t="str">
        <f>VLOOKUP(Table8[[#This Row],[Mã khách hàng]],'Khách hàng'!A:E,5,0)</f>
        <v>HN0040</v>
      </c>
    </row>
    <row r="1243" spans="1:9">
      <c r="A1243" s="14" t="s">
        <v>1197</v>
      </c>
      <c r="B1243" s="15" t="s">
        <v>5</v>
      </c>
      <c r="C1243" s="10" t="s">
        <v>1198</v>
      </c>
      <c r="D1243" s="16" t="s">
        <v>4187</v>
      </c>
      <c r="E1243" s="15" t="s">
        <v>11215</v>
      </c>
      <c r="F1243" s="16" t="str">
        <f>VLOOKUP(Table8[[#This Row],[Mã khách hàng]],code_khach_hang[],2,0)</f>
        <v>CHI NHÁNH HÀ NỘI - CÔNG TY CỔ PHẦN DỊCH VỤ THƯƠNG MẠI TỔNG HỢP WINCOMMERCE</v>
      </c>
      <c r="G1243" s="16" t="str">
        <f>VLOOKUP(Table8[[#This Row],[Mã khách hàng]],code_khach_hang[],3,0)</f>
        <v>Miền Bắc đặc biệt 1</v>
      </c>
      <c r="H1243" t="str">
        <f>VLOOKUP(Table8[[#This Row],[Mã khách hàng]],'Khách hàng'!A:D,4,0)</f>
        <v>Food Đức Việt</v>
      </c>
      <c r="I1243" t="str">
        <f>VLOOKUP(Table8[[#This Row],[Mã khách hàng]],'Khách hàng'!A:E,5,0)</f>
        <v>HN0040</v>
      </c>
    </row>
    <row r="1244" spans="1:9">
      <c r="A1244" s="14" t="s">
        <v>1308</v>
      </c>
      <c r="B1244" s="15" t="s">
        <v>5</v>
      </c>
      <c r="C1244" s="10" t="s">
        <v>1309</v>
      </c>
      <c r="D1244" s="16" t="s">
        <v>4190</v>
      </c>
      <c r="E1244" s="15" t="s">
        <v>11215</v>
      </c>
      <c r="F1244" s="16" t="str">
        <f>VLOOKUP(Table8[[#This Row],[Mã khách hàng]],code_khach_hang[],2,0)</f>
        <v>CHI NHÁNH HÀ NỘI - CÔNG TY CỔ PHẦN DỊCH VỤ THƯƠNG MẠI TỔNG HỢP WINCOMMERCE</v>
      </c>
      <c r="G1244" s="16" t="str">
        <f>VLOOKUP(Table8[[#This Row],[Mã khách hàng]],code_khach_hang[],3,0)</f>
        <v>Miền Bắc đặc biệt 1</v>
      </c>
      <c r="H1244" t="str">
        <f>VLOOKUP(Table8[[#This Row],[Mã khách hàng]],'Khách hàng'!A:D,4,0)</f>
        <v>Food Đức Việt</v>
      </c>
      <c r="I1244" t="str">
        <f>VLOOKUP(Table8[[#This Row],[Mã khách hàng]],'Khách hàng'!A:E,5,0)</f>
        <v>HN0040</v>
      </c>
    </row>
    <row r="1245" spans="1:9">
      <c r="A1245" s="14" t="s">
        <v>4140</v>
      </c>
      <c r="B1245" s="15" t="s">
        <v>5</v>
      </c>
      <c r="C1245" s="10" t="s">
        <v>4141</v>
      </c>
      <c r="D1245" s="16" t="s">
        <v>4193</v>
      </c>
      <c r="E1245" s="15" t="s">
        <v>11215</v>
      </c>
      <c r="F1245" s="16" t="str">
        <f>VLOOKUP(Table8[[#This Row],[Mã khách hàng]],code_khach_hang[],2,0)</f>
        <v>CHI NHÁNH HÀ NỘI - CÔNG TY CỔ PHẦN DỊCH VỤ THƯƠNG MẠI TỔNG HỢP WINCOMMERCE</v>
      </c>
      <c r="G1245" s="16" t="str">
        <f>VLOOKUP(Table8[[#This Row],[Mã khách hàng]],code_khach_hang[],3,0)</f>
        <v>Miền Bắc đặc biệt 1</v>
      </c>
      <c r="H1245" t="str">
        <f>VLOOKUP(Table8[[#This Row],[Mã khách hàng]],'Khách hàng'!A:D,4,0)</f>
        <v>Food Đức Việt</v>
      </c>
      <c r="I1245" t="str">
        <f>VLOOKUP(Table8[[#This Row],[Mã khách hàng]],'Khách hàng'!A:E,5,0)</f>
        <v>HN0040</v>
      </c>
    </row>
    <row r="1246" spans="1:9">
      <c r="A1246" s="14" t="s">
        <v>4206</v>
      </c>
      <c r="B1246" s="15" t="s">
        <v>5</v>
      </c>
      <c r="C1246" s="10" t="s">
        <v>4207</v>
      </c>
      <c r="D1246" s="16" t="s">
        <v>4196</v>
      </c>
      <c r="E1246" s="15" t="s">
        <v>11215</v>
      </c>
      <c r="F1246" s="16" t="str">
        <f>VLOOKUP(Table8[[#This Row],[Mã khách hàng]],code_khach_hang[],2,0)</f>
        <v>CHI NHÁNH HÀ NỘI - CÔNG TY CỔ PHẦN DỊCH VỤ THƯƠNG MẠI TỔNG HỢP WINCOMMERCE</v>
      </c>
      <c r="G1246" s="16" t="str">
        <f>VLOOKUP(Table8[[#This Row],[Mã khách hàng]],code_khach_hang[],3,0)</f>
        <v>Miền Bắc đặc biệt 1</v>
      </c>
      <c r="H1246" t="str">
        <f>VLOOKUP(Table8[[#This Row],[Mã khách hàng]],'Khách hàng'!A:D,4,0)</f>
        <v>Food Đức Việt</v>
      </c>
      <c r="I1246" t="str">
        <f>VLOOKUP(Table8[[#This Row],[Mã khách hàng]],'Khách hàng'!A:E,5,0)</f>
        <v>HN0040</v>
      </c>
    </row>
    <row r="1247" spans="1:9">
      <c r="A1247" s="14" t="s">
        <v>4254</v>
      </c>
      <c r="B1247" s="15" t="s">
        <v>5</v>
      </c>
      <c r="C1247" s="10" t="s">
        <v>4255</v>
      </c>
      <c r="D1247" s="16" t="s">
        <v>4199</v>
      </c>
      <c r="E1247" s="15" t="s">
        <v>11215</v>
      </c>
      <c r="F1247" s="16" t="str">
        <f>VLOOKUP(Table8[[#This Row],[Mã khách hàng]],code_khach_hang[],2,0)</f>
        <v>CHI NHÁNH HÀ NỘI - CÔNG TY CỔ PHẦN DỊCH VỤ THƯƠNG MẠI TỔNG HỢP WINCOMMERCE</v>
      </c>
      <c r="G1247" s="16" t="str">
        <f>VLOOKUP(Table8[[#This Row],[Mã khách hàng]],code_khach_hang[],3,0)</f>
        <v>Miền Bắc đặc biệt 1</v>
      </c>
      <c r="H1247" t="str">
        <f>VLOOKUP(Table8[[#This Row],[Mã khách hàng]],'Khách hàng'!A:D,4,0)</f>
        <v>Food Đức Việt</v>
      </c>
      <c r="I1247" t="str">
        <f>VLOOKUP(Table8[[#This Row],[Mã khách hàng]],'Khách hàng'!A:E,5,0)</f>
        <v>HN0040</v>
      </c>
    </row>
    <row r="1248" spans="1:9">
      <c r="A1248" s="14" t="s">
        <v>4260</v>
      </c>
      <c r="B1248" s="15" t="s">
        <v>5</v>
      </c>
      <c r="C1248" s="10" t="s">
        <v>4261</v>
      </c>
      <c r="D1248" s="16" t="s">
        <v>4202</v>
      </c>
      <c r="E1248" s="15" t="s">
        <v>11215</v>
      </c>
      <c r="F1248" s="16" t="str">
        <f>VLOOKUP(Table8[[#This Row],[Mã khách hàng]],code_khach_hang[],2,0)</f>
        <v>CHI NHÁNH HÀ NỘI - CÔNG TY CỔ PHẦN DỊCH VỤ THƯƠNG MẠI TỔNG HỢP WINCOMMERCE</v>
      </c>
      <c r="G1248" s="16" t="str">
        <f>VLOOKUP(Table8[[#This Row],[Mã khách hàng]],code_khach_hang[],3,0)</f>
        <v>Miền Bắc đặc biệt 1</v>
      </c>
      <c r="H1248" t="str">
        <f>VLOOKUP(Table8[[#This Row],[Mã khách hàng]],'Khách hàng'!A:D,4,0)</f>
        <v>Food Đức Việt</v>
      </c>
      <c r="I1248" t="str">
        <f>VLOOKUP(Table8[[#This Row],[Mã khách hàng]],'Khách hàng'!A:E,5,0)</f>
        <v>HN0040</v>
      </c>
    </row>
    <row r="1249" spans="1:9">
      <c r="A1249" s="14" t="s">
        <v>4326</v>
      </c>
      <c r="B1249" s="15" t="s">
        <v>5</v>
      </c>
      <c r="C1249" s="10" t="s">
        <v>4327</v>
      </c>
      <c r="D1249" s="16" t="s">
        <v>4205</v>
      </c>
      <c r="E1249" s="15" t="s">
        <v>11215</v>
      </c>
      <c r="F1249" s="16" t="str">
        <f>VLOOKUP(Table8[[#This Row],[Mã khách hàng]],code_khach_hang[],2,0)</f>
        <v>CHI NHÁNH HÀ NỘI - CÔNG TY CỔ PHẦN DỊCH VỤ THƯƠNG MẠI TỔNG HỢP WINCOMMERCE</v>
      </c>
      <c r="G1249" s="16" t="str">
        <f>VLOOKUP(Table8[[#This Row],[Mã khách hàng]],code_khach_hang[],3,0)</f>
        <v>Miền Bắc đặc biệt 1</v>
      </c>
      <c r="H1249" t="str">
        <f>VLOOKUP(Table8[[#This Row],[Mã khách hàng]],'Khách hàng'!A:D,4,0)</f>
        <v>Food Đức Việt</v>
      </c>
      <c r="I1249" t="str">
        <f>VLOOKUP(Table8[[#This Row],[Mã khách hàng]],'Khách hàng'!A:E,5,0)</f>
        <v>HN0040</v>
      </c>
    </row>
    <row r="1250" spans="1:9">
      <c r="A1250" s="14" t="s">
        <v>4344</v>
      </c>
      <c r="B1250" s="15" t="s">
        <v>5</v>
      </c>
      <c r="C1250" s="10" t="s">
        <v>4345</v>
      </c>
      <c r="D1250" s="16" t="s">
        <v>4208</v>
      </c>
      <c r="E1250" s="15" t="s">
        <v>11215</v>
      </c>
      <c r="F1250" s="16" t="str">
        <f>VLOOKUP(Table8[[#This Row],[Mã khách hàng]],code_khach_hang[],2,0)</f>
        <v>CHI NHÁNH HÀ NỘI - CÔNG TY CỔ PHẦN DỊCH VỤ THƯƠNG MẠI TỔNG HỢP WINCOMMERCE</v>
      </c>
      <c r="G1250" s="16" t="str">
        <f>VLOOKUP(Table8[[#This Row],[Mã khách hàng]],code_khach_hang[],3,0)</f>
        <v>Miền Bắc đặc biệt 1</v>
      </c>
      <c r="H1250" t="str">
        <f>VLOOKUP(Table8[[#This Row],[Mã khách hàng]],'Khách hàng'!A:D,4,0)</f>
        <v>Food Đức Việt</v>
      </c>
      <c r="I1250" t="str">
        <f>VLOOKUP(Table8[[#This Row],[Mã khách hàng]],'Khách hàng'!A:E,5,0)</f>
        <v>HN0040</v>
      </c>
    </row>
    <row r="1251" spans="1:9">
      <c r="A1251" s="14" t="s">
        <v>4347</v>
      </c>
      <c r="B1251" s="15" t="s">
        <v>5</v>
      </c>
      <c r="C1251" s="10" t="s">
        <v>4348</v>
      </c>
      <c r="D1251" s="16" t="s">
        <v>4211</v>
      </c>
      <c r="E1251" s="15" t="s">
        <v>11215</v>
      </c>
      <c r="F1251" s="16" t="str">
        <f>VLOOKUP(Table8[[#This Row],[Mã khách hàng]],code_khach_hang[],2,0)</f>
        <v>CHI NHÁNH HÀ NỘI - CÔNG TY CỔ PHẦN DỊCH VỤ THƯƠNG MẠI TỔNG HỢP WINCOMMERCE</v>
      </c>
      <c r="G1251" s="16" t="str">
        <f>VLOOKUP(Table8[[#This Row],[Mã khách hàng]],code_khach_hang[],3,0)</f>
        <v>Miền Bắc đặc biệt 1</v>
      </c>
      <c r="H1251" t="str">
        <f>VLOOKUP(Table8[[#This Row],[Mã khách hàng]],'Khách hàng'!A:D,4,0)</f>
        <v>Food Đức Việt</v>
      </c>
      <c r="I1251" t="str">
        <f>VLOOKUP(Table8[[#This Row],[Mã khách hàng]],'Khách hàng'!A:E,5,0)</f>
        <v>HN0040</v>
      </c>
    </row>
    <row r="1252" spans="1:9">
      <c r="A1252" s="14" t="s">
        <v>4365</v>
      </c>
      <c r="B1252" s="15" t="s">
        <v>5</v>
      </c>
      <c r="C1252" s="10" t="s">
        <v>4366</v>
      </c>
      <c r="D1252" s="16" t="s">
        <v>4214</v>
      </c>
      <c r="E1252" s="15" t="s">
        <v>11215</v>
      </c>
      <c r="F1252" s="16" t="str">
        <f>VLOOKUP(Table8[[#This Row],[Mã khách hàng]],code_khach_hang[],2,0)</f>
        <v>CHI NHÁNH HÀ NỘI - CÔNG TY CỔ PHẦN DỊCH VỤ THƯƠNG MẠI TỔNG HỢP WINCOMMERCE</v>
      </c>
      <c r="G1252" s="16" t="str">
        <f>VLOOKUP(Table8[[#This Row],[Mã khách hàng]],code_khach_hang[],3,0)</f>
        <v>Miền Bắc đặc biệt 1</v>
      </c>
      <c r="H1252" t="str">
        <f>VLOOKUP(Table8[[#This Row],[Mã khách hàng]],'Khách hàng'!A:D,4,0)</f>
        <v>Food Đức Việt</v>
      </c>
      <c r="I1252" t="str">
        <f>VLOOKUP(Table8[[#This Row],[Mã khách hàng]],'Khách hàng'!A:E,5,0)</f>
        <v>HN0040</v>
      </c>
    </row>
    <row r="1253" spans="1:9">
      <c r="A1253" s="14" t="s">
        <v>4368</v>
      </c>
      <c r="B1253" s="15" t="s">
        <v>5</v>
      </c>
      <c r="C1253" s="10" t="s">
        <v>4369</v>
      </c>
      <c r="D1253" s="16" t="s">
        <v>4217</v>
      </c>
      <c r="E1253" s="14" t="s">
        <v>11215</v>
      </c>
      <c r="F1253" s="16" t="str">
        <f>VLOOKUP(Table8[[#This Row],[Mã khách hàng]],code_khach_hang[],2,0)</f>
        <v>CHI NHÁNH HÀ NỘI - CÔNG TY CỔ PHẦN DỊCH VỤ THƯƠNG MẠI TỔNG HỢP WINCOMMERCE</v>
      </c>
      <c r="G1253" s="16" t="str">
        <f>VLOOKUP(Table8[[#This Row],[Mã khách hàng]],code_khach_hang[],3,0)</f>
        <v>Miền Bắc đặc biệt 1</v>
      </c>
      <c r="H1253" t="str">
        <f>VLOOKUP(Table8[[#This Row],[Mã khách hàng]],'Khách hàng'!A:D,4,0)</f>
        <v>Food Đức Việt</v>
      </c>
      <c r="I1253" t="str">
        <f>VLOOKUP(Table8[[#This Row],[Mã khách hàng]],'Khách hàng'!A:E,5,0)</f>
        <v>HN0040</v>
      </c>
    </row>
    <row r="1254" spans="1:9">
      <c r="A1254" s="14" t="s">
        <v>4443</v>
      </c>
      <c r="B1254" s="15" t="s">
        <v>5</v>
      </c>
      <c r="C1254" s="10" t="s">
        <v>4444</v>
      </c>
      <c r="D1254" s="16" t="s">
        <v>4220</v>
      </c>
      <c r="E1254" s="15" t="s">
        <v>11215</v>
      </c>
      <c r="F1254" s="16" t="str">
        <f>VLOOKUP(Table8[[#This Row],[Mã khách hàng]],code_khach_hang[],2,0)</f>
        <v>CHI NHÁNH HÀ NỘI - CÔNG TY CỔ PHẦN DỊCH VỤ THƯƠNG MẠI TỔNG HỢP WINCOMMERCE</v>
      </c>
      <c r="G1254" s="16" t="str">
        <f>VLOOKUP(Table8[[#This Row],[Mã khách hàng]],code_khach_hang[],3,0)</f>
        <v>Miền Bắc đặc biệt 1</v>
      </c>
      <c r="H1254" t="str">
        <f>VLOOKUP(Table8[[#This Row],[Mã khách hàng]],'Khách hàng'!A:D,4,0)</f>
        <v>Food Đức Việt</v>
      </c>
      <c r="I1254" t="str">
        <f>VLOOKUP(Table8[[#This Row],[Mã khách hàng]],'Khách hàng'!A:E,5,0)</f>
        <v>HN0040</v>
      </c>
    </row>
    <row r="1255" spans="1:9">
      <c r="A1255" s="14" t="s">
        <v>4722</v>
      </c>
      <c r="B1255" s="15" t="s">
        <v>5</v>
      </c>
      <c r="C1255" s="10" t="s">
        <v>4723</v>
      </c>
      <c r="D1255" s="16" t="s">
        <v>4223</v>
      </c>
      <c r="E1255" s="14" t="s">
        <v>11215</v>
      </c>
      <c r="F1255" s="16" t="str">
        <f>VLOOKUP(Table8[[#This Row],[Mã khách hàng]],code_khach_hang[],2,0)</f>
        <v>CHI NHÁNH HÀ NỘI - CÔNG TY CỔ PHẦN DỊCH VỤ THƯƠNG MẠI TỔNG HỢP WINCOMMERCE</v>
      </c>
      <c r="G1255" s="16" t="str">
        <f>VLOOKUP(Table8[[#This Row],[Mã khách hàng]],code_khach_hang[],3,0)</f>
        <v>Miền Bắc đặc biệt 1</v>
      </c>
      <c r="H1255" t="str">
        <f>VLOOKUP(Table8[[#This Row],[Mã khách hàng]],'Khách hàng'!A:D,4,0)</f>
        <v>Food Đức Việt</v>
      </c>
      <c r="I1255" t="str">
        <f>VLOOKUP(Table8[[#This Row],[Mã khách hàng]],'Khách hàng'!A:E,5,0)</f>
        <v>HN0040</v>
      </c>
    </row>
    <row r="1256" spans="1:9">
      <c r="A1256" s="14" t="s">
        <v>4869</v>
      </c>
      <c r="B1256" s="15" t="s">
        <v>5</v>
      </c>
      <c r="C1256" s="10" t="s">
        <v>4870</v>
      </c>
      <c r="D1256" s="16" t="s">
        <v>4226</v>
      </c>
      <c r="E1256" s="15" t="s">
        <v>11215</v>
      </c>
      <c r="F1256" s="16" t="str">
        <f>VLOOKUP(Table8[[#This Row],[Mã khách hàng]],code_khach_hang[],2,0)</f>
        <v>CHI NHÁNH HÀ NỘI - CÔNG TY CỔ PHẦN DỊCH VỤ THƯƠNG MẠI TỔNG HỢP WINCOMMERCE</v>
      </c>
      <c r="G1256" s="16" t="str">
        <f>VLOOKUP(Table8[[#This Row],[Mã khách hàng]],code_khach_hang[],3,0)</f>
        <v>Miền Bắc đặc biệt 1</v>
      </c>
      <c r="H1256" t="str">
        <f>VLOOKUP(Table8[[#This Row],[Mã khách hàng]],'Khách hàng'!A:D,4,0)</f>
        <v>Food Đức Việt</v>
      </c>
      <c r="I1256" t="str">
        <f>VLOOKUP(Table8[[#This Row],[Mã khách hàng]],'Khách hàng'!A:E,5,0)</f>
        <v>HN0040</v>
      </c>
    </row>
    <row r="1257" spans="1:9">
      <c r="A1257" s="14" t="s">
        <v>4962</v>
      </c>
      <c r="B1257" s="15" t="s">
        <v>5</v>
      </c>
      <c r="C1257" s="10" t="s">
        <v>4963</v>
      </c>
      <c r="D1257" s="16" t="s">
        <v>4229</v>
      </c>
      <c r="E1257" s="15" t="s">
        <v>11215</v>
      </c>
      <c r="F1257" s="16" t="str">
        <f>VLOOKUP(Table8[[#This Row],[Mã khách hàng]],code_khach_hang[],2,0)</f>
        <v>CHI NHÁNH HÀ NỘI - CÔNG TY CỔ PHẦN DỊCH VỤ THƯƠNG MẠI TỔNG HỢP WINCOMMERCE</v>
      </c>
      <c r="G1257" s="16" t="str">
        <f>VLOOKUP(Table8[[#This Row],[Mã khách hàng]],code_khach_hang[],3,0)</f>
        <v>Miền Bắc đặc biệt 1</v>
      </c>
      <c r="H1257" t="str">
        <f>VLOOKUP(Table8[[#This Row],[Mã khách hàng]],'Khách hàng'!A:D,4,0)</f>
        <v>Food Đức Việt</v>
      </c>
      <c r="I1257" t="str">
        <f>VLOOKUP(Table8[[#This Row],[Mã khách hàng]],'Khách hàng'!A:E,5,0)</f>
        <v>HN0040</v>
      </c>
    </row>
    <row r="1258" spans="1:9">
      <c r="A1258" s="14" t="s">
        <v>5019</v>
      </c>
      <c r="B1258" s="15" t="s">
        <v>5</v>
      </c>
      <c r="C1258" s="10" t="s">
        <v>5020</v>
      </c>
      <c r="D1258" s="16" t="s">
        <v>4232</v>
      </c>
      <c r="E1258" s="15" t="s">
        <v>11215</v>
      </c>
      <c r="F1258" s="16" t="str">
        <f>VLOOKUP(Table8[[#This Row],[Mã khách hàng]],code_khach_hang[],2,0)</f>
        <v>CHI NHÁNH HÀ NỘI - CÔNG TY CỔ PHẦN DỊCH VỤ THƯƠNG MẠI TỔNG HỢP WINCOMMERCE</v>
      </c>
      <c r="G1258" s="16" t="str">
        <f>VLOOKUP(Table8[[#This Row],[Mã khách hàng]],code_khach_hang[],3,0)</f>
        <v>Miền Bắc đặc biệt 1</v>
      </c>
      <c r="H1258" t="str">
        <f>VLOOKUP(Table8[[#This Row],[Mã khách hàng]],'Khách hàng'!A:D,4,0)</f>
        <v>Food Đức Việt</v>
      </c>
      <c r="I1258" t="str">
        <f>VLOOKUP(Table8[[#This Row],[Mã khách hàng]],'Khách hàng'!A:E,5,0)</f>
        <v>HN0040</v>
      </c>
    </row>
    <row r="1259" spans="1:9">
      <c r="A1259" s="14" t="s">
        <v>8732</v>
      </c>
      <c r="B1259" s="15" t="s">
        <v>5</v>
      </c>
      <c r="C1259" s="10" t="s">
        <v>8733</v>
      </c>
      <c r="D1259" s="16" t="s">
        <v>4235</v>
      </c>
      <c r="E1259" s="15" t="s">
        <v>11215</v>
      </c>
      <c r="F1259" s="16" t="str">
        <f>VLOOKUP(Table8[[#This Row],[Mã khách hàng]],code_khach_hang[],2,0)</f>
        <v>CHI NHÁNH HÀ NỘI - CÔNG TY CỔ PHẦN DỊCH VỤ THƯƠNG MẠI TỔNG HỢP WINCOMMERCE</v>
      </c>
      <c r="G1259" s="16" t="str">
        <f>VLOOKUP(Table8[[#This Row],[Mã khách hàng]],code_khach_hang[],3,0)</f>
        <v>Miền Bắc đặc biệt 1</v>
      </c>
      <c r="H1259" t="str">
        <f>VLOOKUP(Table8[[#This Row],[Mã khách hàng]],'Khách hàng'!A:D,4,0)</f>
        <v>Food Đức Việt</v>
      </c>
      <c r="I1259" t="str">
        <f>VLOOKUP(Table8[[#This Row],[Mã khách hàng]],'Khách hàng'!A:E,5,0)</f>
        <v>HN0040</v>
      </c>
    </row>
    <row r="1260" spans="1:9">
      <c r="A1260" s="14" t="s">
        <v>8783</v>
      </c>
      <c r="B1260" s="15" t="s">
        <v>5</v>
      </c>
      <c r="C1260" s="10" t="e">
        <v>#N/A</v>
      </c>
      <c r="D1260" s="16" t="s">
        <v>4238</v>
      </c>
      <c r="E1260" s="15" t="s">
        <v>11215</v>
      </c>
      <c r="F1260" s="16" t="str">
        <f>VLOOKUP(Table8[[#This Row],[Mã khách hàng]],code_khach_hang[],2,0)</f>
        <v>CHI NHÁNH HÀ NỘI - CÔNG TY CỔ PHẦN DỊCH VỤ THƯƠNG MẠI TỔNG HỢP WINCOMMERCE</v>
      </c>
      <c r="G1260" s="16" t="str">
        <f>VLOOKUP(Table8[[#This Row],[Mã khách hàng]],code_khach_hang[],3,0)</f>
        <v>Miền Bắc đặc biệt 1</v>
      </c>
      <c r="H1260" t="str">
        <f>VLOOKUP(Table8[[#This Row],[Mã khách hàng]],'Khách hàng'!A:D,4,0)</f>
        <v>Food Đức Việt</v>
      </c>
      <c r="I1260" t="str">
        <f>VLOOKUP(Table8[[#This Row],[Mã khách hàng]],'Khách hàng'!A:E,5,0)</f>
        <v>HN0040</v>
      </c>
    </row>
    <row r="1261" spans="1:9">
      <c r="A1261" s="14" t="s">
        <v>1372</v>
      </c>
      <c r="B1261" s="15" t="s">
        <v>5</v>
      </c>
      <c r="C1261" s="10" t="s">
        <v>1373</v>
      </c>
      <c r="D1261" s="16" t="s">
        <v>4241</v>
      </c>
      <c r="E1261" s="15" t="s">
        <v>11215</v>
      </c>
      <c r="F1261" s="16" t="str">
        <f>VLOOKUP(Table8[[#This Row],[Mã khách hàng]],code_khach_hang[],2,0)</f>
        <v>CHI NHÁNH HÀ NỘI - CÔNG TY CỔ PHẦN DỊCH VỤ THƯƠNG MẠI TỔNG HỢP WINCOMMERCE</v>
      </c>
      <c r="G1261" s="16" t="str">
        <f>VLOOKUP(Table8[[#This Row],[Mã khách hàng]],code_khach_hang[],3,0)</f>
        <v>Miền Bắc đặc biệt 1</v>
      </c>
      <c r="H1261" t="str">
        <f>VLOOKUP(Table8[[#This Row],[Mã khách hàng]],'Khách hàng'!A:D,4,0)</f>
        <v>Food Đức Việt</v>
      </c>
      <c r="I1261" t="str">
        <f>VLOOKUP(Table8[[#This Row],[Mã khách hàng]],'Khách hàng'!A:E,5,0)</f>
        <v>HN0040</v>
      </c>
    </row>
    <row r="1262" spans="1:9">
      <c r="A1262" s="14" t="s">
        <v>1433</v>
      </c>
      <c r="B1262" s="15" t="s">
        <v>5</v>
      </c>
      <c r="C1262" s="10" t="e">
        <v>#N/A</v>
      </c>
      <c r="D1262" s="16" t="s">
        <v>4244</v>
      </c>
      <c r="E1262" s="15" t="s">
        <v>11215</v>
      </c>
      <c r="F1262" s="16" t="str">
        <f>VLOOKUP(Table8[[#This Row],[Mã khách hàng]],code_khach_hang[],2,0)</f>
        <v>CHI NHÁNH HÀ NỘI - CÔNG TY CỔ PHẦN DỊCH VỤ THƯƠNG MẠI TỔNG HỢP WINCOMMERCE</v>
      </c>
      <c r="G1262" s="16" t="str">
        <f>VLOOKUP(Table8[[#This Row],[Mã khách hàng]],code_khach_hang[],3,0)</f>
        <v>Miền Bắc đặc biệt 1</v>
      </c>
      <c r="H1262" t="str">
        <f>VLOOKUP(Table8[[#This Row],[Mã khách hàng]],'Khách hàng'!A:D,4,0)</f>
        <v>Food Đức Việt</v>
      </c>
      <c r="I1262" t="str">
        <f>VLOOKUP(Table8[[#This Row],[Mã khách hàng]],'Khách hàng'!A:E,5,0)</f>
        <v>HN0040</v>
      </c>
    </row>
    <row r="1263" spans="1:9">
      <c r="A1263" s="14" t="s">
        <v>2613</v>
      </c>
      <c r="B1263" s="15" t="s">
        <v>5</v>
      </c>
      <c r="C1263" s="10" t="s">
        <v>2614</v>
      </c>
      <c r="D1263" s="16" t="s">
        <v>4247</v>
      </c>
      <c r="E1263" s="15" t="s">
        <v>11215</v>
      </c>
      <c r="F1263" s="16" t="str">
        <f>VLOOKUP(Table8[[#This Row],[Mã khách hàng]],code_khach_hang[],2,0)</f>
        <v>CHI NHÁNH HÀ NỘI - CÔNG TY CỔ PHẦN DỊCH VỤ THƯƠNG MẠI TỔNG HỢP WINCOMMERCE</v>
      </c>
      <c r="G1263" s="16" t="str">
        <f>VLOOKUP(Table8[[#This Row],[Mã khách hàng]],code_khach_hang[],3,0)</f>
        <v>Miền Bắc đặc biệt 1</v>
      </c>
      <c r="H1263" t="str">
        <f>VLOOKUP(Table8[[#This Row],[Mã khách hàng]],'Khách hàng'!A:D,4,0)</f>
        <v>Food Đức Việt</v>
      </c>
      <c r="I1263" t="str">
        <f>VLOOKUP(Table8[[#This Row],[Mã khách hàng]],'Khách hàng'!A:E,5,0)</f>
        <v>HN0040</v>
      </c>
    </row>
    <row r="1264" spans="1:9">
      <c r="A1264" s="14" t="s">
        <v>580</v>
      </c>
      <c r="B1264" s="15" t="s">
        <v>183</v>
      </c>
      <c r="C1264" s="10" t="s">
        <v>581</v>
      </c>
      <c r="D1264" s="16" t="s">
        <v>4250</v>
      </c>
      <c r="E1264" s="15" t="s">
        <v>11195</v>
      </c>
      <c r="F1264" s="16" t="str">
        <f>VLOOKUP(Table8[[#This Row],[Mã khách hàng]],code_khach_hang[],2,0)</f>
        <v>CHI NHÁNH HÀ NỘI - CÔNG TY CỔ PHẦN DỊCH VỤ THƯƠNG MẠI TỔNG HỢP WINCOMMERCE</v>
      </c>
      <c r="G1264" s="16" t="str">
        <f>VLOOKUP(Table8[[#This Row],[Mã khách hàng]],code_khach_hang[],3,0)</f>
        <v>Miền Bắc đặc biệt 2</v>
      </c>
      <c r="H1264" t="str">
        <f>VLOOKUP(Table8[[#This Row],[Mã khách hàng]],'Khách hàng'!A:D,4,0)</f>
        <v>Food Đức Việt</v>
      </c>
      <c r="I1264" t="str">
        <f>VLOOKUP(Table8[[#This Row],[Mã khách hàng]],'Khách hàng'!A:E,5,0)</f>
        <v>HN0040</v>
      </c>
    </row>
    <row r="1265" spans="1:9">
      <c r="A1265" s="14" t="s">
        <v>5968</v>
      </c>
      <c r="B1265" s="15" t="s">
        <v>5</v>
      </c>
      <c r="C1265" s="10" t="s">
        <v>5969</v>
      </c>
      <c r="D1265" s="16" t="s">
        <v>4253</v>
      </c>
      <c r="E1265" s="15" t="s">
        <v>11210</v>
      </c>
      <c r="F1265" s="16" t="str">
        <f>VLOOKUP(Table8[[#This Row],[Mã khách hàng]],code_khach_hang[],2,0)</f>
        <v>CHI NHÁNH HÀ NAM - CÔNG TY CỔ PHẦN DỊCH VỤ THƯƠNG MẠI TỔNG HỢP WINCOMMERCE</v>
      </c>
      <c r="G1265" s="16" t="str">
        <f>VLOOKUP(Table8[[#This Row],[Mã khách hàng]],code_khach_hang[],3,0)</f>
        <v>Miền Bắc đặc biệt 3</v>
      </c>
      <c r="H1265" t="str">
        <f>VLOOKUP(Table8[[#This Row],[Mã khách hàng]],'Khách hàng'!A:D,4,0)</f>
        <v>Food Đức Việt</v>
      </c>
      <c r="I1265" t="str">
        <f>VLOOKUP(Table8[[#This Row],[Mã khách hàng]],'Khách hàng'!A:E,5,0)</f>
        <v>HN0040</v>
      </c>
    </row>
    <row r="1266" spans="1:9">
      <c r="A1266" s="14" t="s">
        <v>7240</v>
      </c>
      <c r="B1266" s="15" t="s">
        <v>5</v>
      </c>
      <c r="C1266" s="10" t="s">
        <v>7241</v>
      </c>
      <c r="D1266" s="16" t="s">
        <v>4256</v>
      </c>
      <c r="E1266" s="15" t="s">
        <v>11210</v>
      </c>
      <c r="F1266" s="16" t="str">
        <f>VLOOKUP(Table8[[#This Row],[Mã khách hàng]],code_khach_hang[],2,0)</f>
        <v>CHI NHÁNH HÀ NAM - CÔNG TY CỔ PHẦN DỊCH VỤ THƯƠNG MẠI TỔNG HỢP WINCOMMERCE</v>
      </c>
      <c r="G1266" s="16" t="str">
        <f>VLOOKUP(Table8[[#This Row],[Mã khách hàng]],code_khach_hang[],3,0)</f>
        <v>Miền Bắc đặc biệt 3</v>
      </c>
      <c r="H1266" t="str">
        <f>VLOOKUP(Table8[[#This Row],[Mã khách hàng]],'Khách hàng'!A:D,4,0)</f>
        <v>Food Đức Việt</v>
      </c>
      <c r="I1266" t="str">
        <f>VLOOKUP(Table8[[#This Row],[Mã khách hàng]],'Khách hàng'!A:E,5,0)</f>
        <v>HN0040</v>
      </c>
    </row>
    <row r="1267" spans="1:9">
      <c r="A1267" s="14" t="s">
        <v>5992</v>
      </c>
      <c r="B1267" s="15" t="s">
        <v>5</v>
      </c>
      <c r="C1267" s="10" t="s">
        <v>5993</v>
      </c>
      <c r="D1267" s="16" t="s">
        <v>4259</v>
      </c>
      <c r="E1267" s="15" t="s">
        <v>11210</v>
      </c>
      <c r="F1267" s="16" t="str">
        <f>VLOOKUP(Table8[[#This Row],[Mã khách hàng]],code_khach_hang[],2,0)</f>
        <v>CHI NHÁNH HÀ NAM - CÔNG TY CỔ PHẦN DỊCH VỤ THƯƠNG MẠI TỔNG HỢP WINCOMMERCE</v>
      </c>
      <c r="G1267" s="16" t="str">
        <f>VLOOKUP(Table8[[#This Row],[Mã khách hàng]],code_khach_hang[],3,0)</f>
        <v>Miền Bắc đặc biệt 3</v>
      </c>
      <c r="H1267" t="str">
        <f>VLOOKUP(Table8[[#This Row],[Mã khách hàng]],'Khách hàng'!A:D,4,0)</f>
        <v>Food Đức Việt</v>
      </c>
      <c r="I1267" t="str">
        <f>VLOOKUP(Table8[[#This Row],[Mã khách hàng]],'Khách hàng'!A:E,5,0)</f>
        <v>HN0040</v>
      </c>
    </row>
    <row r="1268" spans="1:9">
      <c r="A1268" s="14" t="s">
        <v>7399</v>
      </c>
      <c r="B1268" s="15" t="s">
        <v>5</v>
      </c>
      <c r="C1268" s="10" t="s">
        <v>7400</v>
      </c>
      <c r="D1268" s="16" t="s">
        <v>4262</v>
      </c>
      <c r="E1268" s="15" t="s">
        <v>11210</v>
      </c>
      <c r="F1268" s="16" t="str">
        <f>VLOOKUP(Table8[[#This Row],[Mã khách hàng]],code_khach_hang[],2,0)</f>
        <v>CHI NHÁNH HÀ NAM - CÔNG TY CỔ PHẦN DỊCH VỤ THƯƠNG MẠI TỔNG HỢP WINCOMMERCE</v>
      </c>
      <c r="G1268" s="16" t="str">
        <f>VLOOKUP(Table8[[#This Row],[Mã khách hàng]],code_khach_hang[],3,0)</f>
        <v>Miền Bắc đặc biệt 3</v>
      </c>
      <c r="H1268" t="str">
        <f>VLOOKUP(Table8[[#This Row],[Mã khách hàng]],'Khách hàng'!A:D,4,0)</f>
        <v>Food Đức Việt</v>
      </c>
      <c r="I1268" t="str">
        <f>VLOOKUP(Table8[[#This Row],[Mã khách hàng]],'Khách hàng'!A:E,5,0)</f>
        <v>HN0040</v>
      </c>
    </row>
    <row r="1269" spans="1:9">
      <c r="A1269" s="14" t="s">
        <v>6043</v>
      </c>
      <c r="B1269" s="15" t="s">
        <v>5</v>
      </c>
      <c r="C1269" s="10" t="s">
        <v>6044</v>
      </c>
      <c r="D1269" s="16" t="s">
        <v>4265</v>
      </c>
      <c r="E1269" s="15" t="s">
        <v>11210</v>
      </c>
      <c r="F1269" s="16" t="str">
        <f>VLOOKUP(Table8[[#This Row],[Mã khách hàng]],code_khach_hang[],2,0)</f>
        <v>CHI NHÁNH HÀ NAM - CÔNG TY CỔ PHẦN DỊCH VỤ THƯƠNG MẠI TỔNG HỢP WINCOMMERCE</v>
      </c>
      <c r="G1269" s="16" t="str">
        <f>VLOOKUP(Table8[[#This Row],[Mã khách hàng]],code_khach_hang[],3,0)</f>
        <v>Miền Bắc đặc biệt 3</v>
      </c>
      <c r="H1269" t="str">
        <f>VLOOKUP(Table8[[#This Row],[Mã khách hàng]],'Khách hàng'!A:D,4,0)</f>
        <v>Food Đức Việt</v>
      </c>
      <c r="I1269" t="str">
        <f>VLOOKUP(Table8[[#This Row],[Mã khách hàng]],'Khách hàng'!A:E,5,0)</f>
        <v>HN0040</v>
      </c>
    </row>
    <row r="1270" spans="1:9">
      <c r="A1270" s="14" t="s">
        <v>6106</v>
      </c>
      <c r="B1270" s="15" t="s">
        <v>5</v>
      </c>
      <c r="C1270" s="10" t="s">
        <v>6107</v>
      </c>
      <c r="D1270" s="16" t="s">
        <v>4268</v>
      </c>
      <c r="E1270" s="15" t="s">
        <v>11210</v>
      </c>
      <c r="F1270" s="16" t="str">
        <f>VLOOKUP(Table8[[#This Row],[Mã khách hàng]],code_khach_hang[],2,0)</f>
        <v>CHI NHÁNH HÀ NAM - CÔNG TY CỔ PHẦN DỊCH VỤ THƯƠNG MẠI TỔNG HỢP WINCOMMERCE</v>
      </c>
      <c r="G1270" s="16" t="str">
        <f>VLOOKUP(Table8[[#This Row],[Mã khách hàng]],code_khach_hang[],3,0)</f>
        <v>Miền Bắc đặc biệt 3</v>
      </c>
      <c r="H1270" t="str">
        <f>VLOOKUP(Table8[[#This Row],[Mã khách hàng]],'Khách hàng'!A:D,4,0)</f>
        <v>Food Đức Việt</v>
      </c>
      <c r="I1270" t="str">
        <f>VLOOKUP(Table8[[#This Row],[Mã khách hàng]],'Khách hàng'!A:E,5,0)</f>
        <v>HN0040</v>
      </c>
    </row>
    <row r="1271" spans="1:9">
      <c r="A1271" s="14" t="s">
        <v>7449</v>
      </c>
      <c r="B1271" s="15" t="s">
        <v>5</v>
      </c>
      <c r="C1271" s="10" t="s">
        <v>7450</v>
      </c>
      <c r="D1271" s="16" t="s">
        <v>4271</v>
      </c>
      <c r="E1271" s="15" t="s">
        <v>11210</v>
      </c>
      <c r="F1271" s="16" t="str">
        <f>VLOOKUP(Table8[[#This Row],[Mã khách hàng]],code_khach_hang[],2,0)</f>
        <v>CHI NHÁNH HÀ NAM - CÔNG TY CỔ PHẦN DỊCH VỤ THƯƠNG MẠI TỔNG HỢP WINCOMMERCE</v>
      </c>
      <c r="G1271" s="16" t="str">
        <f>VLOOKUP(Table8[[#This Row],[Mã khách hàng]],code_khach_hang[],3,0)</f>
        <v>Miền Bắc đặc biệt 3</v>
      </c>
      <c r="H1271" t="str">
        <f>VLOOKUP(Table8[[#This Row],[Mã khách hàng]],'Khách hàng'!A:D,4,0)</f>
        <v>Food Đức Việt</v>
      </c>
      <c r="I1271" t="str">
        <f>VLOOKUP(Table8[[#This Row],[Mã khách hàng]],'Khách hàng'!A:E,5,0)</f>
        <v>HN0040</v>
      </c>
    </row>
    <row r="1272" spans="1:9">
      <c r="A1272" s="14" t="s">
        <v>6563</v>
      </c>
      <c r="B1272" s="15" t="s">
        <v>5</v>
      </c>
      <c r="C1272" s="10" t="s">
        <v>6564</v>
      </c>
      <c r="D1272" s="16" t="s">
        <v>4274</v>
      </c>
      <c r="E1272" s="15" t="s">
        <v>11210</v>
      </c>
      <c r="F1272" s="16" t="str">
        <f>VLOOKUP(Table8[[#This Row],[Mã khách hàng]],code_khach_hang[],2,0)</f>
        <v>CHI NHÁNH HÀ NAM - CÔNG TY CỔ PHẦN DỊCH VỤ THƯƠNG MẠI TỔNG HỢP WINCOMMERCE</v>
      </c>
      <c r="G1272" s="16" t="str">
        <f>VLOOKUP(Table8[[#This Row],[Mã khách hàng]],code_khach_hang[],3,0)</f>
        <v>Miền Bắc đặc biệt 3</v>
      </c>
      <c r="H1272" t="str">
        <f>VLOOKUP(Table8[[#This Row],[Mã khách hàng]],'Khách hàng'!A:D,4,0)</f>
        <v>Food Đức Việt</v>
      </c>
      <c r="I1272" t="str">
        <f>VLOOKUP(Table8[[#This Row],[Mã khách hàng]],'Khách hàng'!A:E,5,0)</f>
        <v>HN0040</v>
      </c>
    </row>
    <row r="1273" spans="1:9">
      <c r="A1273" s="14" t="s">
        <v>8526</v>
      </c>
      <c r="B1273" s="15" t="s">
        <v>5</v>
      </c>
      <c r="C1273" s="10" t="s">
        <v>8527</v>
      </c>
      <c r="D1273" s="16" t="s">
        <v>4277</v>
      </c>
      <c r="E1273" s="15" t="s">
        <v>11210</v>
      </c>
      <c r="F1273" s="16" t="str">
        <f>VLOOKUP(Table8[[#This Row],[Mã khách hàng]],code_khach_hang[],2,0)</f>
        <v>CHI NHÁNH HÀ NAM - CÔNG TY CỔ PHẦN DỊCH VỤ THƯƠNG MẠI TỔNG HỢP WINCOMMERCE</v>
      </c>
      <c r="G1273" s="16" t="str">
        <f>VLOOKUP(Table8[[#This Row],[Mã khách hàng]],code_khach_hang[],3,0)</f>
        <v>Miền Bắc đặc biệt 3</v>
      </c>
      <c r="H1273" t="str">
        <f>VLOOKUP(Table8[[#This Row],[Mã khách hàng]],'Khách hàng'!A:D,4,0)</f>
        <v>Food Đức Việt</v>
      </c>
      <c r="I1273" t="str">
        <f>VLOOKUP(Table8[[#This Row],[Mã khách hàng]],'Khách hàng'!A:E,5,0)</f>
        <v>HN0040</v>
      </c>
    </row>
    <row r="1274" spans="1:9">
      <c r="A1274" s="14" t="s">
        <v>5217</v>
      </c>
      <c r="B1274" s="15" t="s">
        <v>5</v>
      </c>
      <c r="C1274" s="10" t="s">
        <v>5218</v>
      </c>
      <c r="D1274" s="16" t="s">
        <v>4280</v>
      </c>
      <c r="E1274" s="15" t="s">
        <v>11215</v>
      </c>
      <c r="F1274" s="16" t="str">
        <f>VLOOKUP(Table8[[#This Row],[Mã khách hàng]],code_khach_hang[],2,0)</f>
        <v>CHI NHÁNH HÀ NỘI - CÔNG TY CỔ PHẦN DỊCH VỤ THƯƠNG MẠI TỔNG HỢP WINCOMMERCE</v>
      </c>
      <c r="G1274" s="16" t="str">
        <f>VLOOKUP(Table8[[#This Row],[Mã khách hàng]],code_khach_hang[],3,0)</f>
        <v>Miền Bắc đặc biệt 1</v>
      </c>
      <c r="H1274" t="str">
        <f>VLOOKUP(Table8[[#This Row],[Mã khách hàng]],'Khách hàng'!A:D,4,0)</f>
        <v>Food Đức Việt</v>
      </c>
      <c r="I1274" t="str">
        <f>VLOOKUP(Table8[[#This Row],[Mã khách hàng]],'Khách hàng'!A:E,5,0)</f>
        <v>HN0040</v>
      </c>
    </row>
    <row r="1275" spans="1:9">
      <c r="A1275" s="14" t="s">
        <v>5256</v>
      </c>
      <c r="B1275" s="15" t="s">
        <v>5</v>
      </c>
      <c r="C1275" s="10" t="s">
        <v>5257</v>
      </c>
      <c r="D1275" s="16" t="s">
        <v>4283</v>
      </c>
      <c r="E1275" s="15" t="s">
        <v>11215</v>
      </c>
      <c r="F1275" s="16" t="str">
        <f>VLOOKUP(Table8[[#This Row],[Mã khách hàng]],code_khach_hang[],2,0)</f>
        <v>CHI NHÁNH HÀ NỘI - CÔNG TY CỔ PHẦN DỊCH VỤ THƯƠNG MẠI TỔNG HỢP WINCOMMERCE</v>
      </c>
      <c r="G1275" s="16" t="str">
        <f>VLOOKUP(Table8[[#This Row],[Mã khách hàng]],code_khach_hang[],3,0)</f>
        <v>Miền Bắc đặc biệt 1</v>
      </c>
      <c r="H1275" t="str">
        <f>VLOOKUP(Table8[[#This Row],[Mã khách hàng]],'Khách hàng'!A:D,4,0)</f>
        <v>Food Đức Việt</v>
      </c>
      <c r="I1275" t="str">
        <f>VLOOKUP(Table8[[#This Row],[Mã khách hàng]],'Khách hàng'!A:E,5,0)</f>
        <v>HN0040</v>
      </c>
    </row>
    <row r="1276" spans="1:9">
      <c r="A1276" s="14" t="s">
        <v>6190</v>
      </c>
      <c r="B1276" s="15" t="s">
        <v>5</v>
      </c>
      <c r="C1276" s="10" t="s">
        <v>6191</v>
      </c>
      <c r="D1276" s="16" t="s">
        <v>4286</v>
      </c>
      <c r="E1276" s="15" t="s">
        <v>11215</v>
      </c>
      <c r="F1276" s="16" t="str">
        <f>VLOOKUP(Table8[[#This Row],[Mã khách hàng]],code_khach_hang[],2,0)</f>
        <v>CHI NHÁNH HÀ NỘI - CÔNG TY CỔ PHẦN DỊCH VỤ THƯƠNG MẠI TỔNG HỢP WINCOMMERCE</v>
      </c>
      <c r="G1276" s="16" t="str">
        <f>VLOOKUP(Table8[[#This Row],[Mã khách hàng]],code_khach_hang[],3,0)</f>
        <v>Miền Bắc đặc biệt 1</v>
      </c>
      <c r="H1276" t="str">
        <f>VLOOKUP(Table8[[#This Row],[Mã khách hàng]],'Khách hàng'!A:D,4,0)</f>
        <v>Food Đức Việt</v>
      </c>
      <c r="I1276" t="str">
        <f>VLOOKUP(Table8[[#This Row],[Mã khách hàng]],'Khách hàng'!A:E,5,0)</f>
        <v>HN0040</v>
      </c>
    </row>
    <row r="1277" spans="1:9">
      <c r="A1277" s="14" t="s">
        <v>6246</v>
      </c>
      <c r="B1277" s="15" t="s">
        <v>5</v>
      </c>
      <c r="C1277" s="10" t="s">
        <v>6247</v>
      </c>
      <c r="D1277" s="16" t="s">
        <v>4289</v>
      </c>
      <c r="E1277" s="15" t="s">
        <v>11215</v>
      </c>
      <c r="F1277" s="16" t="str">
        <f>VLOOKUP(Table8[[#This Row],[Mã khách hàng]],code_khach_hang[],2,0)</f>
        <v>CHI NHÁNH HÀ NỘI - CÔNG TY CỔ PHẦN DỊCH VỤ THƯƠNG MẠI TỔNG HỢP WINCOMMERCE</v>
      </c>
      <c r="G1277" s="16" t="str">
        <f>VLOOKUP(Table8[[#This Row],[Mã khách hàng]],code_khach_hang[],3,0)</f>
        <v>Miền Bắc đặc biệt 1</v>
      </c>
      <c r="H1277" t="str">
        <f>VLOOKUP(Table8[[#This Row],[Mã khách hàng]],'Khách hàng'!A:D,4,0)</f>
        <v>Food Đức Việt</v>
      </c>
      <c r="I1277" t="str">
        <f>VLOOKUP(Table8[[#This Row],[Mã khách hàng]],'Khách hàng'!A:E,5,0)</f>
        <v>HN0040</v>
      </c>
    </row>
    <row r="1278" spans="1:9">
      <c r="A1278" s="14" t="s">
        <v>6249</v>
      </c>
      <c r="B1278" s="15" t="s">
        <v>5</v>
      </c>
      <c r="C1278" s="10" t="s">
        <v>6250</v>
      </c>
      <c r="D1278" s="16" t="s">
        <v>4292</v>
      </c>
      <c r="E1278" s="15" t="s">
        <v>11215</v>
      </c>
      <c r="F1278" s="16" t="str">
        <f>VLOOKUP(Table8[[#This Row],[Mã khách hàng]],code_khach_hang[],2,0)</f>
        <v>CHI NHÁNH HÀ NỘI - CÔNG TY CỔ PHẦN DỊCH VỤ THƯƠNG MẠI TỔNG HỢP WINCOMMERCE</v>
      </c>
      <c r="G1278" s="16" t="str">
        <f>VLOOKUP(Table8[[#This Row],[Mã khách hàng]],code_khach_hang[],3,0)</f>
        <v>Miền Bắc đặc biệt 1</v>
      </c>
      <c r="H1278" t="str">
        <f>VLOOKUP(Table8[[#This Row],[Mã khách hàng]],'Khách hàng'!A:D,4,0)</f>
        <v>Food Đức Việt</v>
      </c>
      <c r="I1278" t="str">
        <f>VLOOKUP(Table8[[#This Row],[Mã khách hàng]],'Khách hàng'!A:E,5,0)</f>
        <v>HN0040</v>
      </c>
    </row>
    <row r="1279" spans="1:9">
      <c r="A1279" s="14" t="s">
        <v>6258</v>
      </c>
      <c r="B1279" s="15" t="s">
        <v>5</v>
      </c>
      <c r="C1279" s="10" t="s">
        <v>6259</v>
      </c>
      <c r="D1279" s="16" t="s">
        <v>4295</v>
      </c>
      <c r="E1279" s="15" t="s">
        <v>11215</v>
      </c>
      <c r="F1279" s="16" t="str">
        <f>VLOOKUP(Table8[[#This Row],[Mã khách hàng]],code_khach_hang[],2,0)</f>
        <v>CHI NHÁNH HÀ NỘI - CÔNG TY CỔ PHẦN DỊCH VỤ THƯƠNG MẠI TỔNG HỢP WINCOMMERCE</v>
      </c>
      <c r="G1279" s="16" t="str">
        <f>VLOOKUP(Table8[[#This Row],[Mã khách hàng]],code_khach_hang[],3,0)</f>
        <v>Miền Bắc đặc biệt 1</v>
      </c>
      <c r="H1279" t="str">
        <f>VLOOKUP(Table8[[#This Row],[Mã khách hàng]],'Khách hàng'!A:D,4,0)</f>
        <v>Food Đức Việt</v>
      </c>
      <c r="I1279" t="str">
        <f>VLOOKUP(Table8[[#This Row],[Mã khách hàng]],'Khách hàng'!A:E,5,0)</f>
        <v>HN0040</v>
      </c>
    </row>
    <row r="1280" spans="1:9">
      <c r="A1280" s="14" t="s">
        <v>6351</v>
      </c>
      <c r="B1280" s="15" t="s">
        <v>5</v>
      </c>
      <c r="C1280" s="10" t="s">
        <v>6352</v>
      </c>
      <c r="D1280" s="16" t="s">
        <v>4298</v>
      </c>
      <c r="E1280" s="15" t="s">
        <v>11215</v>
      </c>
      <c r="F1280" s="16" t="str">
        <f>VLOOKUP(Table8[[#This Row],[Mã khách hàng]],code_khach_hang[],2,0)</f>
        <v>CHI NHÁNH HÀ NỘI - CÔNG TY CỔ PHẦN DỊCH VỤ THƯƠNG MẠI TỔNG HỢP WINCOMMERCE</v>
      </c>
      <c r="G1280" s="16" t="str">
        <f>VLOOKUP(Table8[[#This Row],[Mã khách hàng]],code_khach_hang[],3,0)</f>
        <v>Miền Bắc đặc biệt 1</v>
      </c>
      <c r="H1280" t="str">
        <f>VLOOKUP(Table8[[#This Row],[Mã khách hàng]],'Khách hàng'!A:D,4,0)</f>
        <v>Food Đức Việt</v>
      </c>
      <c r="I1280" t="str">
        <f>VLOOKUP(Table8[[#This Row],[Mã khách hàng]],'Khách hàng'!A:E,5,0)</f>
        <v>HN0040</v>
      </c>
    </row>
    <row r="1281" spans="1:9">
      <c r="A1281" s="14" t="s">
        <v>6354</v>
      </c>
      <c r="B1281" s="15" t="s">
        <v>5</v>
      </c>
      <c r="C1281" s="10" t="s">
        <v>6355</v>
      </c>
      <c r="D1281" s="16" t="s">
        <v>4301</v>
      </c>
      <c r="E1281" s="15" t="s">
        <v>11215</v>
      </c>
      <c r="F1281" s="16" t="str">
        <f>VLOOKUP(Table8[[#This Row],[Mã khách hàng]],code_khach_hang[],2,0)</f>
        <v>CHI NHÁNH HÀ NỘI - CÔNG TY CỔ PHẦN DỊCH VỤ THƯƠNG MẠI TỔNG HỢP WINCOMMERCE</v>
      </c>
      <c r="G1281" s="16" t="str">
        <f>VLOOKUP(Table8[[#This Row],[Mã khách hàng]],code_khach_hang[],3,0)</f>
        <v>Miền Bắc đặc biệt 1</v>
      </c>
      <c r="H1281" t="str">
        <f>VLOOKUP(Table8[[#This Row],[Mã khách hàng]],'Khách hàng'!A:D,4,0)</f>
        <v>Food Đức Việt</v>
      </c>
      <c r="I1281" t="str">
        <f>VLOOKUP(Table8[[#This Row],[Mã khách hàng]],'Khách hàng'!A:E,5,0)</f>
        <v>HN0040</v>
      </c>
    </row>
    <row r="1282" spans="1:9">
      <c r="A1282" s="14" t="s">
        <v>6665</v>
      </c>
      <c r="B1282" s="15" t="s">
        <v>5</v>
      </c>
      <c r="C1282" s="10" t="s">
        <v>6666</v>
      </c>
      <c r="D1282" s="16" t="s">
        <v>4304</v>
      </c>
      <c r="E1282" s="15" t="s">
        <v>11215</v>
      </c>
      <c r="F1282" s="16" t="str">
        <f>VLOOKUP(Table8[[#This Row],[Mã khách hàng]],code_khach_hang[],2,0)</f>
        <v>CHI NHÁNH HÀ NỘI - CÔNG TY CỔ PHẦN DỊCH VỤ THƯƠNG MẠI TỔNG HỢP WINCOMMERCE</v>
      </c>
      <c r="G1282" s="16" t="str">
        <f>VLOOKUP(Table8[[#This Row],[Mã khách hàng]],code_khach_hang[],3,0)</f>
        <v>Miền Bắc đặc biệt 1</v>
      </c>
      <c r="H1282" t="str">
        <f>VLOOKUP(Table8[[#This Row],[Mã khách hàng]],'Khách hàng'!A:D,4,0)</f>
        <v>Food Đức Việt</v>
      </c>
      <c r="I1282" t="str">
        <f>VLOOKUP(Table8[[#This Row],[Mã khách hàng]],'Khách hàng'!A:E,5,0)</f>
        <v>HN0040</v>
      </c>
    </row>
    <row r="1283" spans="1:9">
      <c r="A1283" s="14" t="s">
        <v>8340</v>
      </c>
      <c r="B1283" s="15" t="s">
        <v>5</v>
      </c>
      <c r="C1283" s="10" t="s">
        <v>8341</v>
      </c>
      <c r="D1283" s="16" t="s">
        <v>4307</v>
      </c>
      <c r="E1283" s="15" t="s">
        <v>11215</v>
      </c>
      <c r="F1283" s="16" t="str">
        <f>VLOOKUP(Table8[[#This Row],[Mã khách hàng]],code_khach_hang[],2,0)</f>
        <v>CHI NHÁNH HÀ NỘI - CÔNG TY CỔ PHẦN DỊCH VỤ THƯƠNG MẠI TỔNG HỢP WINCOMMERCE</v>
      </c>
      <c r="G1283" s="16" t="str">
        <f>VLOOKUP(Table8[[#This Row],[Mã khách hàng]],code_khach_hang[],3,0)</f>
        <v>Miền Bắc đặc biệt 1</v>
      </c>
      <c r="H1283" t="str">
        <f>VLOOKUP(Table8[[#This Row],[Mã khách hàng]],'Khách hàng'!A:D,4,0)</f>
        <v>Food Đức Việt</v>
      </c>
      <c r="I1283" t="str">
        <f>VLOOKUP(Table8[[#This Row],[Mã khách hàng]],'Khách hàng'!A:E,5,0)</f>
        <v>HN0040</v>
      </c>
    </row>
    <row r="1284" spans="1:9">
      <c r="A1284" s="14" t="s">
        <v>6518</v>
      </c>
      <c r="B1284" s="15" t="s">
        <v>5</v>
      </c>
      <c r="C1284" s="10" t="s">
        <v>6519</v>
      </c>
      <c r="D1284" s="16" t="s">
        <v>4310</v>
      </c>
      <c r="E1284" s="15" t="s">
        <v>11215</v>
      </c>
      <c r="F1284" s="16" t="str">
        <f>VLOOKUP(Table8[[#This Row],[Mã khách hàng]],code_khach_hang[],2,0)</f>
        <v>CHI NHÁNH HÀ NỘI - CÔNG TY CỔ PHẦN DỊCH VỤ THƯƠNG MẠI TỔNG HỢP WINCOMMERCE</v>
      </c>
      <c r="G1284" s="16" t="str">
        <f>VLOOKUP(Table8[[#This Row],[Mã khách hàng]],code_khach_hang[],3,0)</f>
        <v>Miền Bắc đặc biệt 1</v>
      </c>
      <c r="H1284" t="str">
        <f>VLOOKUP(Table8[[#This Row],[Mã khách hàng]],'Khách hàng'!A:D,4,0)</f>
        <v>Food Đức Việt</v>
      </c>
      <c r="I1284" t="str">
        <f>VLOOKUP(Table8[[#This Row],[Mã khách hàng]],'Khách hàng'!A:E,5,0)</f>
        <v>HN0040</v>
      </c>
    </row>
    <row r="1285" spans="1:9">
      <c r="A1285" s="14" t="s">
        <v>7016</v>
      </c>
      <c r="B1285" s="15" t="s">
        <v>5</v>
      </c>
      <c r="C1285" s="10" t="s">
        <v>7017</v>
      </c>
      <c r="D1285" s="16" t="s">
        <v>4313</v>
      </c>
      <c r="E1285" s="15" t="s">
        <v>11215</v>
      </c>
      <c r="F1285" s="16" t="str">
        <f>VLOOKUP(Table8[[#This Row],[Mã khách hàng]],code_khach_hang[],2,0)</f>
        <v>CHI NHÁNH HÀ NỘI - CÔNG TY CỔ PHẦN DỊCH VỤ THƯƠNG MẠI TỔNG HỢP WINCOMMERCE</v>
      </c>
      <c r="G1285" s="16" t="str">
        <f>VLOOKUP(Table8[[#This Row],[Mã khách hàng]],code_khach_hang[],3,0)</f>
        <v>Miền Bắc đặc biệt 1</v>
      </c>
      <c r="H1285" t="str">
        <f>VLOOKUP(Table8[[#This Row],[Mã khách hàng]],'Khách hàng'!A:D,4,0)</f>
        <v>Food Đức Việt</v>
      </c>
      <c r="I1285" t="str">
        <f>VLOOKUP(Table8[[#This Row],[Mã khách hàng]],'Khách hàng'!A:E,5,0)</f>
        <v>HN0040</v>
      </c>
    </row>
    <row r="1286" spans="1:9">
      <c r="A1286" s="14" t="s">
        <v>8307</v>
      </c>
      <c r="B1286" s="15" t="s">
        <v>5</v>
      </c>
      <c r="C1286" s="10" t="s">
        <v>8308</v>
      </c>
      <c r="D1286" s="16" t="s">
        <v>4316</v>
      </c>
      <c r="E1286" s="15" t="s">
        <v>11215</v>
      </c>
      <c r="F1286" s="16" t="str">
        <f>VLOOKUP(Table8[[#This Row],[Mã khách hàng]],code_khach_hang[],2,0)</f>
        <v>CHI NHÁNH HÀ NỘI - CÔNG TY CỔ PHẦN DỊCH VỤ THƯƠNG MẠI TỔNG HỢP WINCOMMERCE</v>
      </c>
      <c r="G1286" s="16" t="str">
        <f>VLOOKUP(Table8[[#This Row],[Mã khách hàng]],code_khach_hang[],3,0)</f>
        <v>Miền Bắc đặc biệt 1</v>
      </c>
      <c r="H1286" t="str">
        <f>VLOOKUP(Table8[[#This Row],[Mã khách hàng]],'Khách hàng'!A:D,4,0)</f>
        <v>Food Đức Việt</v>
      </c>
      <c r="I1286" t="str">
        <f>VLOOKUP(Table8[[#This Row],[Mã khách hàng]],'Khách hàng'!A:E,5,0)</f>
        <v>HN0040</v>
      </c>
    </row>
    <row r="1287" spans="1:9">
      <c r="A1287" s="14" t="s">
        <v>8322</v>
      </c>
      <c r="B1287" s="15" t="s">
        <v>5</v>
      </c>
      <c r="C1287" s="10" t="s">
        <v>8323</v>
      </c>
      <c r="D1287" s="16" t="s">
        <v>4319</v>
      </c>
      <c r="E1287" s="15" t="s">
        <v>11215</v>
      </c>
      <c r="F1287" s="16" t="str">
        <f>VLOOKUP(Table8[[#This Row],[Mã khách hàng]],code_khach_hang[],2,0)</f>
        <v>CHI NHÁNH HÀ NỘI - CÔNG TY CỔ PHẦN DỊCH VỤ THƯƠNG MẠI TỔNG HỢP WINCOMMERCE</v>
      </c>
      <c r="G1287" s="16" t="str">
        <f>VLOOKUP(Table8[[#This Row],[Mã khách hàng]],code_khach_hang[],3,0)</f>
        <v>Miền Bắc đặc biệt 1</v>
      </c>
      <c r="H1287" t="str">
        <f>VLOOKUP(Table8[[#This Row],[Mã khách hàng]],'Khách hàng'!A:D,4,0)</f>
        <v>Food Đức Việt</v>
      </c>
      <c r="I1287" t="str">
        <f>VLOOKUP(Table8[[#This Row],[Mã khách hàng]],'Khách hàng'!A:E,5,0)</f>
        <v>HN0040</v>
      </c>
    </row>
    <row r="1288" spans="1:9">
      <c r="A1288" s="14" t="s">
        <v>8151</v>
      </c>
      <c r="B1288" s="15" t="s">
        <v>5</v>
      </c>
      <c r="C1288" s="10" t="s">
        <v>8152</v>
      </c>
      <c r="D1288" s="16" t="s">
        <v>4322</v>
      </c>
      <c r="E1288" s="15" t="s">
        <v>11215</v>
      </c>
      <c r="F1288" s="16" t="str">
        <f>VLOOKUP(Table8[[#This Row],[Mã khách hàng]],code_khach_hang[],2,0)</f>
        <v>CHI NHÁNH HÀ NỘI - CÔNG TY CỔ PHẦN DỊCH VỤ THƯƠNG MẠI TỔNG HỢP WINCOMMERCE</v>
      </c>
      <c r="G1288" s="16" t="str">
        <f>VLOOKUP(Table8[[#This Row],[Mã khách hàng]],code_khach_hang[],3,0)</f>
        <v>Miền Bắc đặc biệt 1</v>
      </c>
      <c r="H1288" t="str">
        <f>VLOOKUP(Table8[[#This Row],[Mã khách hàng]],'Khách hàng'!A:D,4,0)</f>
        <v>Food Đức Việt</v>
      </c>
      <c r="I1288" t="str">
        <f>VLOOKUP(Table8[[#This Row],[Mã khách hàng]],'Khách hàng'!A:E,5,0)</f>
        <v>HN0040</v>
      </c>
    </row>
    <row r="1289" spans="1:9">
      <c r="A1289" s="14" t="s">
        <v>8486</v>
      </c>
      <c r="B1289" s="15" t="s">
        <v>5</v>
      </c>
      <c r="C1289" s="10" t="s">
        <v>8487</v>
      </c>
      <c r="D1289" s="16" t="s">
        <v>4325</v>
      </c>
      <c r="E1289" s="15" t="s">
        <v>11215</v>
      </c>
      <c r="F1289" s="16" t="str">
        <f>VLOOKUP(Table8[[#This Row],[Mã khách hàng]],code_khach_hang[],2,0)</f>
        <v>CHI NHÁNH HÀ NỘI - CÔNG TY CỔ PHẦN DỊCH VỤ THƯƠNG MẠI TỔNG HỢP WINCOMMERCE</v>
      </c>
      <c r="G1289" s="16" t="str">
        <f>VLOOKUP(Table8[[#This Row],[Mã khách hàng]],code_khach_hang[],3,0)</f>
        <v>Miền Bắc đặc biệt 1</v>
      </c>
      <c r="H1289" t="str">
        <f>VLOOKUP(Table8[[#This Row],[Mã khách hàng]],'Khách hàng'!A:D,4,0)</f>
        <v>Food Đức Việt</v>
      </c>
      <c r="I1289" t="str">
        <f>VLOOKUP(Table8[[#This Row],[Mã khách hàng]],'Khách hàng'!A:E,5,0)</f>
        <v>HN0040</v>
      </c>
    </row>
    <row r="1290" spans="1:9">
      <c r="A1290" s="14" t="s">
        <v>8445</v>
      </c>
      <c r="B1290" s="15" t="s">
        <v>5</v>
      </c>
      <c r="C1290" s="10" t="s">
        <v>8446</v>
      </c>
      <c r="D1290" s="16" t="s">
        <v>4328</v>
      </c>
      <c r="E1290" s="15" t="s">
        <v>11215</v>
      </c>
      <c r="F1290" s="16" t="str">
        <f>VLOOKUP(Table8[[#This Row],[Mã khách hàng]],code_khach_hang[],2,0)</f>
        <v>CHI NHÁNH HÀ NỘI - CÔNG TY CỔ PHẦN DỊCH VỤ THƯƠNG MẠI TỔNG HỢP WINCOMMERCE</v>
      </c>
      <c r="G1290" s="16" t="str">
        <f>VLOOKUP(Table8[[#This Row],[Mã khách hàng]],code_khach_hang[],3,0)</f>
        <v>Miền Bắc đặc biệt 1</v>
      </c>
      <c r="H1290" t="str">
        <f>VLOOKUP(Table8[[#This Row],[Mã khách hàng]],'Khách hàng'!A:D,4,0)</f>
        <v>Food Đức Việt</v>
      </c>
      <c r="I1290" t="str">
        <f>VLOOKUP(Table8[[#This Row],[Mã khách hàng]],'Khách hàng'!A:E,5,0)</f>
        <v>HN0040</v>
      </c>
    </row>
    <row r="1291" spans="1:9">
      <c r="A1291" s="14" t="s">
        <v>8550</v>
      </c>
      <c r="B1291" s="15" t="s">
        <v>5</v>
      </c>
      <c r="C1291" s="10" t="s">
        <v>8551</v>
      </c>
      <c r="D1291" s="16" t="s">
        <v>4331</v>
      </c>
      <c r="E1291" s="15" t="s">
        <v>11215</v>
      </c>
      <c r="F1291" s="16" t="str">
        <f>VLOOKUP(Table8[[#This Row],[Mã khách hàng]],code_khach_hang[],2,0)</f>
        <v>CHI NHÁNH HÀ NỘI - CÔNG TY CỔ PHẦN DỊCH VỤ THƯƠNG MẠI TỔNG HỢP WINCOMMERCE</v>
      </c>
      <c r="G1291" s="16" t="str">
        <f>VLOOKUP(Table8[[#This Row],[Mã khách hàng]],code_khach_hang[],3,0)</f>
        <v>Miền Bắc đặc biệt 1</v>
      </c>
      <c r="H1291" t="str">
        <f>VLOOKUP(Table8[[#This Row],[Mã khách hàng]],'Khách hàng'!A:D,4,0)</f>
        <v>Food Đức Việt</v>
      </c>
      <c r="I1291" t="str">
        <f>VLOOKUP(Table8[[#This Row],[Mã khách hàng]],'Khách hàng'!A:E,5,0)</f>
        <v>HN0040</v>
      </c>
    </row>
    <row r="1292" spans="1:9">
      <c r="A1292" s="14" t="s">
        <v>8639</v>
      </c>
      <c r="B1292" s="15" t="s">
        <v>5</v>
      </c>
      <c r="C1292" s="10" t="s">
        <v>8640</v>
      </c>
      <c r="D1292" s="16" t="s">
        <v>4334</v>
      </c>
      <c r="E1292" s="15" t="s">
        <v>11215</v>
      </c>
      <c r="F1292" s="16" t="str">
        <f>VLOOKUP(Table8[[#This Row],[Mã khách hàng]],code_khach_hang[],2,0)</f>
        <v>CHI NHÁNH HÀ NỘI - CÔNG TY CỔ PHẦN DỊCH VỤ THƯƠNG MẠI TỔNG HỢP WINCOMMERCE</v>
      </c>
      <c r="G1292" s="16" t="str">
        <f>VLOOKUP(Table8[[#This Row],[Mã khách hàng]],code_khach_hang[],3,0)</f>
        <v>Miền Bắc đặc biệt 1</v>
      </c>
      <c r="H1292" t="str">
        <f>VLOOKUP(Table8[[#This Row],[Mã khách hàng]],'Khách hàng'!A:D,4,0)</f>
        <v>Food Đức Việt</v>
      </c>
      <c r="I1292" t="str">
        <f>VLOOKUP(Table8[[#This Row],[Mã khách hàng]],'Khách hàng'!A:E,5,0)</f>
        <v>HN0040</v>
      </c>
    </row>
    <row r="1293" spans="1:9">
      <c r="A1293" s="14" t="s">
        <v>8877</v>
      </c>
      <c r="B1293" s="15" t="s">
        <v>5</v>
      </c>
      <c r="C1293" s="10" t="s">
        <v>8878</v>
      </c>
      <c r="D1293" s="16" t="s">
        <v>4337</v>
      </c>
      <c r="E1293" s="15" t="s">
        <v>11215</v>
      </c>
      <c r="F1293" s="16" t="str">
        <f>VLOOKUP(Table8[[#This Row],[Mã khách hàng]],code_khach_hang[],2,0)</f>
        <v>CHI NHÁNH HÀ NỘI - CÔNG TY CỔ PHẦN DỊCH VỤ THƯƠNG MẠI TỔNG HỢP WINCOMMERCE</v>
      </c>
      <c r="G1293" s="16" t="str">
        <f>VLOOKUP(Table8[[#This Row],[Mã khách hàng]],code_khach_hang[],3,0)</f>
        <v>Miền Bắc đặc biệt 1</v>
      </c>
      <c r="H1293" t="str">
        <f>VLOOKUP(Table8[[#This Row],[Mã khách hàng]],'Khách hàng'!A:D,4,0)</f>
        <v>Food Đức Việt</v>
      </c>
      <c r="I1293" t="str">
        <f>VLOOKUP(Table8[[#This Row],[Mã khách hàng]],'Khách hàng'!A:E,5,0)</f>
        <v>HN0040</v>
      </c>
    </row>
    <row r="1294" spans="1:9">
      <c r="A1294" s="14" t="s">
        <v>1897</v>
      </c>
      <c r="B1294" s="15" t="s">
        <v>5</v>
      </c>
      <c r="C1294" s="10" t="e">
        <v>#N/A</v>
      </c>
      <c r="D1294" s="16" t="s">
        <v>4340</v>
      </c>
      <c r="E1294" s="15" t="s">
        <v>11205</v>
      </c>
      <c r="F1294" s="16" t="str">
        <f>VLOOKUP(Table8[[#This Row],[Mã khách hàng]],code_khach_hang[],2,0)</f>
        <v>CHI NHÁNH HÀ TĨNH - CÔNG TY CỔ PHẦN DỊCH VỤ THƯƠNG MẠI TỔNG HỢP WINCOMMERCE</v>
      </c>
      <c r="G1294" s="16" t="str">
        <f>VLOOKUP(Table8[[#This Row],[Mã khách hàng]],code_khach_hang[],3,0)</f>
        <v>Miền Trung đặc biệt 1</v>
      </c>
      <c r="H1294" t="str">
        <f>VLOOKUP(Table8[[#This Row],[Mã khách hàng]],'Khách hàng'!A:D,4,0)</f>
        <v>Food Đức Việt</v>
      </c>
      <c r="I1294" t="str">
        <f>VLOOKUP(Table8[[#This Row],[Mã khách hàng]],'Khách hàng'!A:E,5,0)</f>
        <v>HN0040</v>
      </c>
    </row>
    <row r="1295" spans="1:9">
      <c r="A1295" s="14" t="s">
        <v>7193</v>
      </c>
      <c r="B1295" s="15" t="s">
        <v>5</v>
      </c>
      <c r="C1295" s="10" t="s">
        <v>7194</v>
      </c>
      <c r="D1295" s="16" t="s">
        <v>4343</v>
      </c>
      <c r="E1295" s="15" t="s">
        <v>11219</v>
      </c>
      <c r="F1295" s="16" t="str">
        <f>VLOOKUP(Table8[[#This Row],[Mã khách hàng]],code_khach_hang[],2,0)</f>
        <v>CHI NHÁNH NAM ĐỊNH - CÔNG TY CỔ PHẦN DỊCH VỤ THƯƠNG MẠI TỔNG HỢP WINCOMMERCE</v>
      </c>
      <c r="G1295" s="16" t="str">
        <f>VLOOKUP(Table8[[#This Row],[Mã khách hàng]],code_khach_hang[],3,0)</f>
        <v>Miền Bắc đặc biệt 3</v>
      </c>
      <c r="H1295" t="str">
        <f>VLOOKUP(Table8[[#This Row],[Mã khách hàng]],'Khách hàng'!A:D,4,0)</f>
        <v>Food Đức Việt</v>
      </c>
      <c r="I1295" t="str">
        <f>VLOOKUP(Table8[[#This Row],[Mã khách hàng]],'Khách hàng'!A:E,5,0)</f>
        <v>HN0040</v>
      </c>
    </row>
    <row r="1296" spans="1:9">
      <c r="A1296" s="14" t="s">
        <v>5771</v>
      </c>
      <c r="B1296" s="15" t="s">
        <v>5</v>
      </c>
      <c r="C1296" s="10" t="s">
        <v>5772</v>
      </c>
      <c r="D1296" s="16" t="s">
        <v>4346</v>
      </c>
      <c r="E1296" s="15" t="s">
        <v>11219</v>
      </c>
      <c r="F1296" s="16" t="str">
        <f>VLOOKUP(Table8[[#This Row],[Mã khách hàng]],code_khach_hang[],2,0)</f>
        <v>CHI NHÁNH NAM ĐỊNH - CÔNG TY CỔ PHẦN DỊCH VỤ THƯƠNG MẠI TỔNG HỢP WINCOMMERCE</v>
      </c>
      <c r="G1296" s="16" t="str">
        <f>VLOOKUP(Table8[[#This Row],[Mã khách hàng]],code_khach_hang[],3,0)</f>
        <v>Miền Bắc đặc biệt 3</v>
      </c>
      <c r="H1296" t="str">
        <f>VLOOKUP(Table8[[#This Row],[Mã khách hàng]],'Khách hàng'!A:D,4,0)</f>
        <v>Food Đức Việt</v>
      </c>
      <c r="I1296" t="str">
        <f>VLOOKUP(Table8[[#This Row],[Mã khách hàng]],'Khách hàng'!A:E,5,0)</f>
        <v>HN0040</v>
      </c>
    </row>
    <row r="1297" spans="1:9">
      <c r="A1297" s="14" t="s">
        <v>7416</v>
      </c>
      <c r="B1297" s="15" t="s">
        <v>5</v>
      </c>
      <c r="C1297" s="10" t="s">
        <v>7417</v>
      </c>
      <c r="D1297" s="16" t="s">
        <v>4349</v>
      </c>
      <c r="E1297" s="15" t="s">
        <v>11219</v>
      </c>
      <c r="F1297" s="16" t="str">
        <f>VLOOKUP(Table8[[#This Row],[Mã khách hàng]],code_khach_hang[],2,0)</f>
        <v>CHI NHÁNH NAM ĐỊNH - CÔNG TY CỔ PHẦN DỊCH VỤ THƯƠNG MẠI TỔNG HỢP WINCOMMERCE</v>
      </c>
      <c r="G1297" s="16" t="str">
        <f>VLOOKUP(Table8[[#This Row],[Mã khách hàng]],code_khach_hang[],3,0)</f>
        <v>Miền Bắc đặc biệt 3</v>
      </c>
      <c r="H1297" t="str">
        <f>VLOOKUP(Table8[[#This Row],[Mã khách hàng]],'Khách hàng'!A:D,4,0)</f>
        <v>Food Đức Việt</v>
      </c>
      <c r="I1297" t="str">
        <f>VLOOKUP(Table8[[#This Row],[Mã khách hàng]],'Khách hàng'!A:E,5,0)</f>
        <v>HN0040</v>
      </c>
    </row>
    <row r="1298" spans="1:9">
      <c r="A1298" s="14" t="s">
        <v>5881</v>
      </c>
      <c r="B1298" s="15" t="s">
        <v>5</v>
      </c>
      <c r="C1298" s="10" t="s">
        <v>5882</v>
      </c>
      <c r="D1298" s="16" t="s">
        <v>4352</v>
      </c>
      <c r="E1298" s="15" t="s">
        <v>11219</v>
      </c>
      <c r="F1298" s="16" t="str">
        <f>VLOOKUP(Table8[[#This Row],[Mã khách hàng]],code_khach_hang[],2,0)</f>
        <v>CHI NHÁNH NAM ĐỊNH - CÔNG TY CỔ PHẦN DỊCH VỤ THƯƠNG MẠI TỔNG HỢP WINCOMMERCE</v>
      </c>
      <c r="G1298" s="16" t="str">
        <f>VLOOKUP(Table8[[#This Row],[Mã khách hàng]],code_khach_hang[],3,0)</f>
        <v>Miền Bắc đặc biệt 3</v>
      </c>
      <c r="H1298" t="str">
        <f>VLOOKUP(Table8[[#This Row],[Mã khách hàng]],'Khách hàng'!A:D,4,0)</f>
        <v>Food Đức Việt</v>
      </c>
      <c r="I1298" t="str">
        <f>VLOOKUP(Table8[[#This Row],[Mã khách hàng]],'Khách hàng'!A:E,5,0)</f>
        <v>HN0040</v>
      </c>
    </row>
    <row r="1299" spans="1:9">
      <c r="A1299" s="14" t="s">
        <v>7004</v>
      </c>
      <c r="B1299" s="15" t="s">
        <v>5</v>
      </c>
      <c r="C1299" s="10" t="s">
        <v>7005</v>
      </c>
      <c r="D1299" s="16" t="s">
        <v>4355</v>
      </c>
      <c r="E1299" s="15" t="s">
        <v>11219</v>
      </c>
      <c r="F1299" s="16" t="str">
        <f>VLOOKUP(Table8[[#This Row],[Mã khách hàng]],code_khach_hang[],2,0)</f>
        <v>CHI NHÁNH NAM ĐỊNH - CÔNG TY CỔ PHẦN DỊCH VỤ THƯƠNG MẠI TỔNG HỢP WINCOMMERCE</v>
      </c>
      <c r="G1299" s="16" t="str">
        <f>VLOOKUP(Table8[[#This Row],[Mã khách hàng]],code_khach_hang[],3,0)</f>
        <v>Miền Bắc đặc biệt 3</v>
      </c>
      <c r="H1299" t="str">
        <f>VLOOKUP(Table8[[#This Row],[Mã khách hàng]],'Khách hàng'!A:D,4,0)</f>
        <v>Food Đức Việt</v>
      </c>
      <c r="I1299" t="str">
        <f>VLOOKUP(Table8[[#This Row],[Mã khách hàng]],'Khách hàng'!A:E,5,0)</f>
        <v>HN0040</v>
      </c>
    </row>
    <row r="1300" spans="1:9">
      <c r="A1300" s="14" t="s">
        <v>5759</v>
      </c>
      <c r="B1300" s="15" t="s">
        <v>5</v>
      </c>
      <c r="C1300" s="10" t="s">
        <v>5760</v>
      </c>
      <c r="D1300" s="16" t="s">
        <v>4358</v>
      </c>
      <c r="E1300" s="15" t="s">
        <v>11219</v>
      </c>
      <c r="F1300" s="16" t="str">
        <f>VLOOKUP(Table8[[#This Row],[Mã khách hàng]],code_khach_hang[],2,0)</f>
        <v>CHI NHÁNH NAM ĐỊNH - CÔNG TY CỔ PHẦN DỊCH VỤ THƯƠNG MẠI TỔNG HỢP WINCOMMERCE</v>
      </c>
      <c r="G1300" s="16" t="str">
        <f>VLOOKUP(Table8[[#This Row],[Mã khách hàng]],code_khach_hang[],3,0)</f>
        <v>Miền Bắc đặc biệt 3</v>
      </c>
      <c r="H1300" t="str">
        <f>VLOOKUP(Table8[[#This Row],[Mã khách hàng]],'Khách hàng'!A:D,4,0)</f>
        <v>Food Đức Việt</v>
      </c>
      <c r="I1300" t="str">
        <f>VLOOKUP(Table8[[#This Row],[Mã khách hàng]],'Khách hàng'!A:E,5,0)</f>
        <v>HN0040</v>
      </c>
    </row>
    <row r="1301" spans="1:9">
      <c r="A1301" s="14" t="s">
        <v>5816</v>
      </c>
      <c r="B1301" s="15" t="s">
        <v>5</v>
      </c>
      <c r="C1301" s="10" t="s">
        <v>5817</v>
      </c>
      <c r="D1301" s="16" t="s">
        <v>4361</v>
      </c>
      <c r="E1301" s="15" t="s">
        <v>11219</v>
      </c>
      <c r="F1301" s="16" t="str">
        <f>VLOOKUP(Table8[[#This Row],[Mã khách hàng]],code_khach_hang[],2,0)</f>
        <v>CHI NHÁNH NAM ĐỊNH - CÔNG TY CỔ PHẦN DỊCH VỤ THƯƠNG MẠI TỔNG HỢP WINCOMMERCE</v>
      </c>
      <c r="G1301" s="16" t="str">
        <f>VLOOKUP(Table8[[#This Row],[Mã khách hàng]],code_khach_hang[],3,0)</f>
        <v>Miền Bắc đặc biệt 3</v>
      </c>
      <c r="H1301" t="str">
        <f>VLOOKUP(Table8[[#This Row],[Mã khách hàng]],'Khách hàng'!A:D,4,0)</f>
        <v>Food Đức Việt</v>
      </c>
      <c r="I1301" t="str">
        <f>VLOOKUP(Table8[[#This Row],[Mã khách hàng]],'Khách hàng'!A:E,5,0)</f>
        <v>HN0040</v>
      </c>
    </row>
    <row r="1302" spans="1:9">
      <c r="A1302" s="14" t="s">
        <v>7092</v>
      </c>
      <c r="B1302" s="15" t="s">
        <v>5</v>
      </c>
      <c r="C1302" s="10" t="s">
        <v>7093</v>
      </c>
      <c r="D1302" s="16" t="s">
        <v>4364</v>
      </c>
      <c r="E1302" s="15" t="s">
        <v>11219</v>
      </c>
      <c r="F1302" s="16" t="str">
        <f>VLOOKUP(Table8[[#This Row],[Mã khách hàng]],code_khach_hang[],2,0)</f>
        <v>CHI NHÁNH NAM ĐỊNH - CÔNG TY CỔ PHẦN DỊCH VỤ THƯƠNG MẠI TỔNG HỢP WINCOMMERCE</v>
      </c>
      <c r="G1302" s="16" t="str">
        <f>VLOOKUP(Table8[[#This Row],[Mã khách hàng]],code_khach_hang[],3,0)</f>
        <v>Miền Bắc đặc biệt 3</v>
      </c>
      <c r="H1302" t="str">
        <f>VLOOKUP(Table8[[#This Row],[Mã khách hàng]],'Khách hàng'!A:D,4,0)</f>
        <v>Food Đức Việt</v>
      </c>
      <c r="I1302" t="str">
        <f>VLOOKUP(Table8[[#This Row],[Mã khách hàng]],'Khách hàng'!A:E,5,0)</f>
        <v>HN0040</v>
      </c>
    </row>
    <row r="1303" spans="1:9">
      <c r="A1303" s="14" t="s">
        <v>6181</v>
      </c>
      <c r="B1303" s="15" t="s">
        <v>5</v>
      </c>
      <c r="C1303" s="10" t="s">
        <v>6182</v>
      </c>
      <c r="D1303" s="16" t="s">
        <v>4367</v>
      </c>
      <c r="E1303" s="15" t="s">
        <v>11219</v>
      </c>
      <c r="F1303" s="16" t="str">
        <f>VLOOKUP(Table8[[#This Row],[Mã khách hàng]],code_khach_hang[],2,0)</f>
        <v>CHI NHÁNH NAM ĐỊNH - CÔNG TY CỔ PHẦN DỊCH VỤ THƯƠNG MẠI TỔNG HỢP WINCOMMERCE</v>
      </c>
      <c r="G1303" s="16" t="str">
        <f>VLOOKUP(Table8[[#This Row],[Mã khách hàng]],code_khach_hang[],3,0)</f>
        <v>Miền Bắc đặc biệt 3</v>
      </c>
      <c r="H1303" t="str">
        <f>VLOOKUP(Table8[[#This Row],[Mã khách hàng]],'Khách hàng'!A:D,4,0)</f>
        <v>Food Đức Việt</v>
      </c>
      <c r="I1303" t="str">
        <f>VLOOKUP(Table8[[#This Row],[Mã khách hàng]],'Khách hàng'!A:E,5,0)</f>
        <v>HN0040</v>
      </c>
    </row>
    <row r="1304" spans="1:9">
      <c r="A1304" s="14" t="s">
        <v>7021</v>
      </c>
      <c r="B1304" s="15" t="s">
        <v>5</v>
      </c>
      <c r="C1304" s="10" t="s">
        <v>7022</v>
      </c>
      <c r="D1304" s="16" t="s">
        <v>4370</v>
      </c>
      <c r="E1304" s="15" t="s">
        <v>11219</v>
      </c>
      <c r="F1304" s="16" t="str">
        <f>VLOOKUP(Table8[[#This Row],[Mã khách hàng]],code_khach_hang[],2,0)</f>
        <v>CHI NHÁNH NAM ĐỊNH - CÔNG TY CỔ PHẦN DỊCH VỤ THƯƠNG MẠI TỔNG HỢP WINCOMMERCE</v>
      </c>
      <c r="G1304" s="16" t="str">
        <f>VLOOKUP(Table8[[#This Row],[Mã khách hàng]],code_khach_hang[],3,0)</f>
        <v>Miền Bắc đặc biệt 3</v>
      </c>
      <c r="H1304" t="str">
        <f>VLOOKUP(Table8[[#This Row],[Mã khách hàng]],'Khách hàng'!A:D,4,0)</f>
        <v>Food Đức Việt</v>
      </c>
      <c r="I1304" t="str">
        <f>VLOOKUP(Table8[[#This Row],[Mã khách hàng]],'Khách hàng'!A:E,5,0)</f>
        <v>HN0040</v>
      </c>
    </row>
    <row r="1305" spans="1:9">
      <c r="A1305" s="14" t="s">
        <v>5786</v>
      </c>
      <c r="B1305" s="15" t="s">
        <v>5</v>
      </c>
      <c r="C1305" s="10" t="s">
        <v>5787</v>
      </c>
      <c r="D1305" s="16" t="s">
        <v>4373</v>
      </c>
      <c r="E1305" s="15" t="s">
        <v>11219</v>
      </c>
      <c r="F1305" s="16" t="str">
        <f>VLOOKUP(Table8[[#This Row],[Mã khách hàng]],code_khach_hang[],2,0)</f>
        <v>CHI NHÁNH NAM ĐỊNH - CÔNG TY CỔ PHẦN DỊCH VỤ THƯƠNG MẠI TỔNG HỢP WINCOMMERCE</v>
      </c>
      <c r="G1305" s="16" t="str">
        <f>VLOOKUP(Table8[[#This Row],[Mã khách hàng]],code_khach_hang[],3,0)</f>
        <v>Miền Bắc đặc biệt 3</v>
      </c>
      <c r="H1305" t="str">
        <f>VLOOKUP(Table8[[#This Row],[Mã khách hàng]],'Khách hàng'!A:D,4,0)</f>
        <v>Food Đức Việt</v>
      </c>
      <c r="I1305" t="str">
        <f>VLOOKUP(Table8[[#This Row],[Mã khách hàng]],'Khách hàng'!A:E,5,0)</f>
        <v>HN0040</v>
      </c>
    </row>
    <row r="1306" spans="1:9">
      <c r="A1306" s="14" t="s">
        <v>7774</v>
      </c>
      <c r="B1306" s="15" t="s">
        <v>5</v>
      </c>
      <c r="C1306" s="10" t="s">
        <v>7775</v>
      </c>
      <c r="D1306" s="16" t="s">
        <v>4376</v>
      </c>
      <c r="E1306" s="15" t="s">
        <v>11219</v>
      </c>
      <c r="F1306" s="16" t="str">
        <f>VLOOKUP(Table8[[#This Row],[Mã khách hàng]],code_khach_hang[],2,0)</f>
        <v>CHI NHÁNH NAM ĐỊNH - CÔNG TY CỔ PHẦN DỊCH VỤ THƯƠNG MẠI TỔNG HỢP WINCOMMERCE</v>
      </c>
      <c r="G1306" s="16" t="str">
        <f>VLOOKUP(Table8[[#This Row],[Mã khách hàng]],code_khach_hang[],3,0)</f>
        <v>Miền Bắc đặc biệt 3</v>
      </c>
      <c r="H1306" t="str">
        <f>VLOOKUP(Table8[[#This Row],[Mã khách hàng]],'Khách hàng'!A:D,4,0)</f>
        <v>Food Đức Việt</v>
      </c>
      <c r="I1306" t="str">
        <f>VLOOKUP(Table8[[#This Row],[Mã khách hàng]],'Khách hàng'!A:E,5,0)</f>
        <v>HN0040</v>
      </c>
    </row>
    <row r="1307" spans="1:9">
      <c r="A1307" s="14" t="s">
        <v>5783</v>
      </c>
      <c r="B1307" s="15" t="s">
        <v>5</v>
      </c>
      <c r="C1307" s="10" t="s">
        <v>5784</v>
      </c>
      <c r="D1307" s="16" t="s">
        <v>4379</v>
      </c>
      <c r="E1307" s="15" t="s">
        <v>11219</v>
      </c>
      <c r="F1307" s="16" t="str">
        <f>VLOOKUP(Table8[[#This Row],[Mã khách hàng]],code_khach_hang[],2,0)</f>
        <v>CHI NHÁNH NAM ĐỊNH - CÔNG TY CỔ PHẦN DỊCH VỤ THƯƠNG MẠI TỔNG HỢP WINCOMMERCE</v>
      </c>
      <c r="G1307" s="16" t="str">
        <f>VLOOKUP(Table8[[#This Row],[Mã khách hàng]],code_khach_hang[],3,0)</f>
        <v>Miền Bắc đặc biệt 3</v>
      </c>
      <c r="H1307" t="str">
        <f>VLOOKUP(Table8[[#This Row],[Mã khách hàng]],'Khách hàng'!A:D,4,0)</f>
        <v>Food Đức Việt</v>
      </c>
      <c r="I1307" t="str">
        <f>VLOOKUP(Table8[[#This Row],[Mã khách hàng]],'Khách hàng'!A:E,5,0)</f>
        <v>HN0040</v>
      </c>
    </row>
    <row r="1308" spans="1:9">
      <c r="A1308" s="14" t="s">
        <v>7846</v>
      </c>
      <c r="B1308" s="15" t="s">
        <v>5</v>
      </c>
      <c r="C1308" s="10" t="s">
        <v>7847</v>
      </c>
      <c r="D1308" s="16" t="s">
        <v>4382</v>
      </c>
      <c r="E1308" s="15" t="s">
        <v>11219</v>
      </c>
      <c r="F1308" s="16" t="str">
        <f>VLOOKUP(Table8[[#This Row],[Mã khách hàng]],code_khach_hang[],2,0)</f>
        <v>CHI NHÁNH NAM ĐỊNH - CÔNG TY CỔ PHẦN DỊCH VỤ THƯƠNG MẠI TỔNG HỢP WINCOMMERCE</v>
      </c>
      <c r="G1308" s="16" t="str">
        <f>VLOOKUP(Table8[[#This Row],[Mã khách hàng]],code_khach_hang[],3,0)</f>
        <v>Miền Bắc đặc biệt 3</v>
      </c>
      <c r="H1308" t="str">
        <f>VLOOKUP(Table8[[#This Row],[Mã khách hàng]],'Khách hàng'!A:D,4,0)</f>
        <v>Food Đức Việt</v>
      </c>
      <c r="I1308" t="str">
        <f>VLOOKUP(Table8[[#This Row],[Mã khách hàng]],'Khách hàng'!A:E,5,0)</f>
        <v>HN0040</v>
      </c>
    </row>
    <row r="1309" spans="1:9">
      <c r="A1309" s="14" t="s">
        <v>5995</v>
      </c>
      <c r="B1309" s="15" t="s">
        <v>5</v>
      </c>
      <c r="C1309" s="10" t="s">
        <v>5996</v>
      </c>
      <c r="D1309" s="16" t="s">
        <v>4385</v>
      </c>
      <c r="E1309" s="14" t="s">
        <v>11219</v>
      </c>
      <c r="F1309" s="16" t="str">
        <f>VLOOKUP(Table8[[#This Row],[Mã khách hàng]],code_khach_hang[],2,0)</f>
        <v>CHI NHÁNH NAM ĐỊNH - CÔNG TY CỔ PHẦN DỊCH VỤ THƯƠNG MẠI TỔNG HỢP WINCOMMERCE</v>
      </c>
      <c r="G1309" s="16" t="str">
        <f>VLOOKUP(Table8[[#This Row],[Mã khách hàng]],code_khach_hang[],3,0)</f>
        <v>Miền Bắc đặc biệt 3</v>
      </c>
      <c r="H1309" t="str">
        <f>VLOOKUP(Table8[[#This Row],[Mã khách hàng]],'Khách hàng'!A:D,4,0)</f>
        <v>Food Đức Việt</v>
      </c>
      <c r="I1309" t="str">
        <f>VLOOKUP(Table8[[#This Row],[Mã khách hàng]],'Khách hàng'!A:E,5,0)</f>
        <v>HN0040</v>
      </c>
    </row>
    <row r="1310" spans="1:9">
      <c r="A1310" s="14" t="s">
        <v>5884</v>
      </c>
      <c r="B1310" s="15" t="s">
        <v>5</v>
      </c>
      <c r="C1310" s="10" t="s">
        <v>5885</v>
      </c>
      <c r="D1310" s="16" t="s">
        <v>4388</v>
      </c>
      <c r="E1310" s="15" t="s">
        <v>11219</v>
      </c>
      <c r="F1310" s="16" t="str">
        <f>VLOOKUP(Table8[[#This Row],[Mã khách hàng]],code_khach_hang[],2,0)</f>
        <v>CHI NHÁNH NAM ĐỊNH - CÔNG TY CỔ PHẦN DỊCH VỤ THƯƠNG MẠI TỔNG HỢP WINCOMMERCE</v>
      </c>
      <c r="G1310" s="16" t="str">
        <f>VLOOKUP(Table8[[#This Row],[Mã khách hàng]],code_khach_hang[],3,0)</f>
        <v>Miền Bắc đặc biệt 3</v>
      </c>
      <c r="H1310" t="str">
        <f>VLOOKUP(Table8[[#This Row],[Mã khách hàng]],'Khách hàng'!A:D,4,0)</f>
        <v>Food Đức Việt</v>
      </c>
      <c r="I1310" t="str">
        <f>VLOOKUP(Table8[[#This Row],[Mã khách hàng]],'Khách hàng'!A:E,5,0)</f>
        <v>HN0040</v>
      </c>
    </row>
    <row r="1311" spans="1:9">
      <c r="A1311" s="14" t="s">
        <v>6037</v>
      </c>
      <c r="B1311" s="15" t="s">
        <v>5</v>
      </c>
      <c r="C1311" s="10" t="s">
        <v>6038</v>
      </c>
      <c r="D1311" s="16" t="s">
        <v>4391</v>
      </c>
      <c r="E1311" s="15" t="s">
        <v>11219</v>
      </c>
      <c r="F1311" s="16" t="str">
        <f>VLOOKUP(Table8[[#This Row],[Mã khách hàng]],code_khach_hang[],2,0)</f>
        <v>CHI NHÁNH NAM ĐỊNH - CÔNG TY CỔ PHẦN DỊCH VỤ THƯƠNG MẠI TỔNG HỢP WINCOMMERCE</v>
      </c>
      <c r="G1311" s="16" t="str">
        <f>VLOOKUP(Table8[[#This Row],[Mã khách hàng]],code_khach_hang[],3,0)</f>
        <v>Miền Bắc đặc biệt 3</v>
      </c>
      <c r="H1311" t="str">
        <f>VLOOKUP(Table8[[#This Row],[Mã khách hàng]],'Khách hàng'!A:D,4,0)</f>
        <v>Food Đức Việt</v>
      </c>
      <c r="I1311" t="str">
        <f>VLOOKUP(Table8[[#This Row],[Mã khách hàng]],'Khách hàng'!A:E,5,0)</f>
        <v>HN0040</v>
      </c>
    </row>
    <row r="1312" spans="1:9">
      <c r="A1312" s="14" t="s">
        <v>11113</v>
      </c>
      <c r="B1312" s="15" t="s">
        <v>5</v>
      </c>
      <c r="C1312" s="10" t="s">
        <v>13159</v>
      </c>
      <c r="D1312" s="16" t="s">
        <v>4394</v>
      </c>
      <c r="E1312" s="15" t="s">
        <v>11219</v>
      </c>
      <c r="F1312" s="16" t="str">
        <f>VLOOKUP(Table8[[#This Row],[Mã khách hàng]],code_khach_hang[],2,0)</f>
        <v>CHI NHÁNH NAM ĐỊNH - CÔNG TY CỔ PHẦN DỊCH VỤ THƯƠNG MẠI TỔNG HỢP WINCOMMERCE</v>
      </c>
      <c r="G1312" s="16" t="str">
        <f>VLOOKUP(Table8[[#This Row],[Mã khách hàng]],code_khach_hang[],3,0)</f>
        <v>Miền Bắc đặc biệt 3</v>
      </c>
      <c r="H1312" t="str">
        <f>VLOOKUP(Table8[[#This Row],[Mã khách hàng]],'Khách hàng'!A:D,4,0)</f>
        <v>Food Đức Việt</v>
      </c>
      <c r="I1312" t="str">
        <f>VLOOKUP(Table8[[#This Row],[Mã khách hàng]],'Khách hàng'!A:E,5,0)</f>
        <v>HN0040</v>
      </c>
    </row>
    <row r="1313" spans="1:9">
      <c r="A1313" s="14" t="s">
        <v>6318</v>
      </c>
      <c r="B1313" s="15" t="s">
        <v>5</v>
      </c>
      <c r="C1313" s="10" t="s">
        <v>6319</v>
      </c>
      <c r="D1313" s="16" t="s">
        <v>4397</v>
      </c>
      <c r="E1313" s="15" t="s">
        <v>11219</v>
      </c>
      <c r="F1313" s="16" t="str">
        <f>VLOOKUP(Table8[[#This Row],[Mã khách hàng]],code_khach_hang[],2,0)</f>
        <v>CHI NHÁNH NAM ĐỊNH - CÔNG TY CỔ PHẦN DỊCH VỤ THƯƠNG MẠI TỔNG HỢP WINCOMMERCE</v>
      </c>
      <c r="G1313" s="16" t="str">
        <f>VLOOKUP(Table8[[#This Row],[Mã khách hàng]],code_khach_hang[],3,0)</f>
        <v>Miền Bắc đặc biệt 3</v>
      </c>
      <c r="H1313" t="str">
        <f>VLOOKUP(Table8[[#This Row],[Mã khách hàng]],'Khách hàng'!A:D,4,0)</f>
        <v>Food Đức Việt</v>
      </c>
      <c r="I1313" t="str">
        <f>VLOOKUP(Table8[[#This Row],[Mã khách hàng]],'Khách hàng'!A:E,5,0)</f>
        <v>HN0040</v>
      </c>
    </row>
    <row r="1314" spans="1:9">
      <c r="A1314" s="14" t="s">
        <v>8046</v>
      </c>
      <c r="B1314" s="15" t="s">
        <v>5</v>
      </c>
      <c r="C1314" s="10" t="s">
        <v>8047</v>
      </c>
      <c r="D1314" s="16" t="s">
        <v>4400</v>
      </c>
      <c r="E1314" s="15" t="s">
        <v>11219</v>
      </c>
      <c r="F1314" s="16" t="str">
        <f>VLOOKUP(Table8[[#This Row],[Mã khách hàng]],code_khach_hang[],2,0)</f>
        <v>CHI NHÁNH NAM ĐỊNH - CÔNG TY CỔ PHẦN DỊCH VỤ THƯƠNG MẠI TỔNG HỢP WINCOMMERCE</v>
      </c>
      <c r="G1314" s="16" t="str">
        <f>VLOOKUP(Table8[[#This Row],[Mã khách hàng]],code_khach_hang[],3,0)</f>
        <v>Miền Bắc đặc biệt 3</v>
      </c>
      <c r="H1314" t="str">
        <f>VLOOKUP(Table8[[#This Row],[Mã khách hàng]],'Khách hàng'!A:D,4,0)</f>
        <v>Food Đức Việt</v>
      </c>
      <c r="I1314" t="str">
        <f>VLOOKUP(Table8[[#This Row],[Mã khách hàng]],'Khách hàng'!A:E,5,0)</f>
        <v>HN0040</v>
      </c>
    </row>
    <row r="1315" spans="1:9">
      <c r="A1315" s="14" t="s">
        <v>7980</v>
      </c>
      <c r="B1315" s="15" t="s">
        <v>5</v>
      </c>
      <c r="C1315" s="10" t="s">
        <v>7981</v>
      </c>
      <c r="D1315" s="16" t="s">
        <v>4403</v>
      </c>
      <c r="E1315" s="15" t="s">
        <v>11219</v>
      </c>
      <c r="F1315" s="16" t="str">
        <f>VLOOKUP(Table8[[#This Row],[Mã khách hàng]],code_khach_hang[],2,0)</f>
        <v>CHI NHÁNH NAM ĐỊNH - CÔNG TY CỔ PHẦN DỊCH VỤ THƯƠNG MẠI TỔNG HỢP WINCOMMERCE</v>
      </c>
      <c r="G1315" s="16" t="str">
        <f>VLOOKUP(Table8[[#This Row],[Mã khách hàng]],code_khach_hang[],3,0)</f>
        <v>Miền Bắc đặc biệt 3</v>
      </c>
      <c r="H1315" t="str">
        <f>VLOOKUP(Table8[[#This Row],[Mã khách hàng]],'Khách hàng'!A:D,4,0)</f>
        <v>Food Đức Việt</v>
      </c>
      <c r="I1315" t="str">
        <f>VLOOKUP(Table8[[#This Row],[Mã khách hàng]],'Khách hàng'!A:E,5,0)</f>
        <v>HN0040</v>
      </c>
    </row>
    <row r="1316" spans="1:9">
      <c r="A1316" s="14" t="s">
        <v>8242</v>
      </c>
      <c r="B1316" s="15" t="s">
        <v>5</v>
      </c>
      <c r="C1316" s="10" t="s">
        <v>8243</v>
      </c>
      <c r="D1316" s="16" t="s">
        <v>4406</v>
      </c>
      <c r="E1316" s="15" t="s">
        <v>11219</v>
      </c>
      <c r="F1316" s="16" t="str">
        <f>VLOOKUP(Table8[[#This Row],[Mã khách hàng]],code_khach_hang[],2,0)</f>
        <v>CHI NHÁNH NAM ĐỊNH - CÔNG TY CỔ PHẦN DỊCH VỤ THƯƠNG MẠI TỔNG HỢP WINCOMMERCE</v>
      </c>
      <c r="G1316" s="16" t="str">
        <f>VLOOKUP(Table8[[#This Row],[Mã khách hàng]],code_khach_hang[],3,0)</f>
        <v>Miền Bắc đặc biệt 3</v>
      </c>
      <c r="H1316" t="str">
        <f>VLOOKUP(Table8[[#This Row],[Mã khách hàng]],'Khách hàng'!A:D,4,0)</f>
        <v>Food Đức Việt</v>
      </c>
      <c r="I1316" t="str">
        <f>VLOOKUP(Table8[[#This Row],[Mã khách hàng]],'Khách hàng'!A:E,5,0)</f>
        <v>HN0040</v>
      </c>
    </row>
    <row r="1317" spans="1:9">
      <c r="A1317" s="14" t="s">
        <v>8272</v>
      </c>
      <c r="B1317" s="15" t="s">
        <v>5</v>
      </c>
      <c r="C1317" s="10" t="s">
        <v>8273</v>
      </c>
      <c r="D1317" s="16" t="s">
        <v>4409</v>
      </c>
      <c r="E1317" s="15" t="s">
        <v>11219</v>
      </c>
      <c r="F1317" s="16" t="str">
        <f>VLOOKUP(Table8[[#This Row],[Mã khách hàng]],code_khach_hang[],2,0)</f>
        <v>CHI NHÁNH NAM ĐỊNH - CÔNG TY CỔ PHẦN DỊCH VỤ THƯƠNG MẠI TỔNG HỢP WINCOMMERCE</v>
      </c>
      <c r="G1317" s="16" t="str">
        <f>VLOOKUP(Table8[[#This Row],[Mã khách hàng]],code_khach_hang[],3,0)</f>
        <v>Miền Bắc đặc biệt 3</v>
      </c>
      <c r="H1317" t="str">
        <f>VLOOKUP(Table8[[#This Row],[Mã khách hàng]],'Khách hàng'!A:D,4,0)</f>
        <v>Food Đức Việt</v>
      </c>
      <c r="I1317" t="str">
        <f>VLOOKUP(Table8[[#This Row],[Mã khách hàng]],'Khách hàng'!A:E,5,0)</f>
        <v>HN0040</v>
      </c>
    </row>
    <row r="1318" spans="1:9">
      <c r="A1318" s="14" t="s">
        <v>8847</v>
      </c>
      <c r="B1318" s="15" t="s">
        <v>5</v>
      </c>
      <c r="C1318" s="10" t="s">
        <v>8848</v>
      </c>
      <c r="D1318" s="16" t="s">
        <v>4412</v>
      </c>
      <c r="E1318" s="15" t="s">
        <v>11219</v>
      </c>
      <c r="F1318" s="16" t="str">
        <f>VLOOKUP(Table8[[#This Row],[Mã khách hàng]],code_khach_hang[],2,0)</f>
        <v>CHI NHÁNH NAM ĐỊNH - CÔNG TY CỔ PHẦN DỊCH VỤ THƯƠNG MẠI TỔNG HỢP WINCOMMERCE</v>
      </c>
      <c r="G1318" s="16" t="str">
        <f>VLOOKUP(Table8[[#This Row],[Mã khách hàng]],code_khach_hang[],3,0)</f>
        <v>Miền Bắc đặc biệt 3</v>
      </c>
      <c r="H1318" t="str">
        <f>VLOOKUP(Table8[[#This Row],[Mã khách hàng]],'Khách hàng'!A:D,4,0)</f>
        <v>Food Đức Việt</v>
      </c>
      <c r="I1318" t="str">
        <f>VLOOKUP(Table8[[#This Row],[Mã khách hàng]],'Khách hàng'!A:E,5,0)</f>
        <v>HN0040</v>
      </c>
    </row>
    <row r="1319" spans="1:9">
      <c r="A1319" s="14" t="s">
        <v>8785</v>
      </c>
      <c r="B1319" s="15" t="s">
        <v>5</v>
      </c>
      <c r="C1319" s="10" t="s">
        <v>8786</v>
      </c>
      <c r="D1319" s="16" t="s">
        <v>4415</v>
      </c>
      <c r="E1319" s="15" t="s">
        <v>11219</v>
      </c>
      <c r="F1319" s="16" t="str">
        <f>VLOOKUP(Table8[[#This Row],[Mã khách hàng]],code_khach_hang[],2,0)</f>
        <v>CHI NHÁNH NAM ĐỊNH - CÔNG TY CỔ PHẦN DỊCH VỤ THƯƠNG MẠI TỔNG HỢP WINCOMMERCE</v>
      </c>
      <c r="G1319" s="16" t="str">
        <f>VLOOKUP(Table8[[#This Row],[Mã khách hàng]],code_khach_hang[],3,0)</f>
        <v>Miền Bắc đặc biệt 3</v>
      </c>
      <c r="H1319" t="str">
        <f>VLOOKUP(Table8[[#This Row],[Mã khách hàng]],'Khách hàng'!A:D,4,0)</f>
        <v>Food Đức Việt</v>
      </c>
      <c r="I1319" t="str">
        <f>VLOOKUP(Table8[[#This Row],[Mã khách hàng]],'Khách hàng'!A:E,5,0)</f>
        <v>HN0040</v>
      </c>
    </row>
    <row r="1320" spans="1:9">
      <c r="A1320" s="14" t="s">
        <v>5680</v>
      </c>
      <c r="B1320" s="15" t="s">
        <v>5</v>
      </c>
      <c r="C1320" s="10" t="s">
        <v>5681</v>
      </c>
      <c r="D1320" s="16" t="s">
        <v>4418</v>
      </c>
      <c r="E1320" s="15" t="s">
        <v>11196</v>
      </c>
      <c r="F1320" s="16" t="str">
        <f>VLOOKUP(Table8[[#This Row],[Mã khách hàng]],code_khach_hang[],2,0)</f>
        <v>CHI NHÁNH NINH BÌNH - CÔNG TY CỔ PHẦN DỊCH VỤ THƯƠNG MẠI TỔNG HỢP WINCOMMERCE</v>
      </c>
      <c r="G1320" s="16" t="str">
        <f>VLOOKUP(Table8[[#This Row],[Mã khách hàng]],code_khach_hang[],3,0)</f>
        <v>Miền Bắc đặc biệt 3</v>
      </c>
      <c r="H1320" t="str">
        <f>VLOOKUP(Table8[[#This Row],[Mã khách hàng]],'Khách hàng'!A:D,4,0)</f>
        <v>Food Đức Việt</v>
      </c>
      <c r="I1320" t="str">
        <f>VLOOKUP(Table8[[#This Row],[Mã khách hàng]],'Khách hàng'!A:E,5,0)</f>
        <v>HN0040</v>
      </c>
    </row>
    <row r="1321" spans="1:9">
      <c r="A1321" s="14" t="s">
        <v>5662</v>
      </c>
      <c r="B1321" s="15" t="s">
        <v>5</v>
      </c>
      <c r="C1321" s="10" t="s">
        <v>5663</v>
      </c>
      <c r="D1321" s="16" t="s">
        <v>4421</v>
      </c>
      <c r="E1321" s="15" t="s">
        <v>11196</v>
      </c>
      <c r="F1321" s="16" t="str">
        <f>VLOOKUP(Table8[[#This Row],[Mã khách hàng]],code_khach_hang[],2,0)</f>
        <v>CHI NHÁNH NINH BÌNH - CÔNG TY CỔ PHẦN DỊCH VỤ THƯƠNG MẠI TỔNG HỢP WINCOMMERCE</v>
      </c>
      <c r="G1321" s="16" t="str">
        <f>VLOOKUP(Table8[[#This Row],[Mã khách hàng]],code_khach_hang[],3,0)</f>
        <v>Miền Bắc đặc biệt 3</v>
      </c>
      <c r="H1321" t="str">
        <f>VLOOKUP(Table8[[#This Row],[Mã khách hàng]],'Khách hàng'!A:D,4,0)</f>
        <v>Food Đức Việt</v>
      </c>
      <c r="I1321" t="str">
        <f>VLOOKUP(Table8[[#This Row],[Mã khách hàng]],'Khách hàng'!A:E,5,0)</f>
        <v>HN0040</v>
      </c>
    </row>
    <row r="1322" spans="1:9">
      <c r="A1322" s="14" t="s">
        <v>5768</v>
      </c>
      <c r="B1322" s="15" t="s">
        <v>5</v>
      </c>
      <c r="C1322" s="10" t="s">
        <v>5769</v>
      </c>
      <c r="D1322" s="16" t="s">
        <v>4424</v>
      </c>
      <c r="E1322" s="15" t="s">
        <v>11196</v>
      </c>
      <c r="F1322" s="16" t="str">
        <f>VLOOKUP(Table8[[#This Row],[Mã khách hàng]],code_khach_hang[],2,0)</f>
        <v>CHI NHÁNH NINH BÌNH - CÔNG TY CỔ PHẦN DỊCH VỤ THƯƠNG MẠI TỔNG HỢP WINCOMMERCE</v>
      </c>
      <c r="G1322" s="16" t="str">
        <f>VLOOKUP(Table8[[#This Row],[Mã khách hàng]],code_khach_hang[],3,0)</f>
        <v>Miền Bắc đặc biệt 3</v>
      </c>
      <c r="H1322" t="str">
        <f>VLOOKUP(Table8[[#This Row],[Mã khách hàng]],'Khách hàng'!A:D,4,0)</f>
        <v>Food Đức Việt</v>
      </c>
      <c r="I1322" t="str">
        <f>VLOOKUP(Table8[[#This Row],[Mã khách hàng]],'Khách hàng'!A:E,5,0)</f>
        <v>HN0040</v>
      </c>
    </row>
    <row r="1323" spans="1:9">
      <c r="A1323" s="14" t="s">
        <v>5727</v>
      </c>
      <c r="B1323" s="15" t="s">
        <v>5</v>
      </c>
      <c r="C1323" s="10" t="s">
        <v>5728</v>
      </c>
      <c r="D1323" s="16" t="s">
        <v>4427</v>
      </c>
      <c r="E1323" s="15" t="s">
        <v>11196</v>
      </c>
      <c r="F1323" s="16" t="str">
        <f>VLOOKUP(Table8[[#This Row],[Mã khách hàng]],code_khach_hang[],2,0)</f>
        <v>CHI NHÁNH NINH BÌNH - CÔNG TY CỔ PHẦN DỊCH VỤ THƯƠNG MẠI TỔNG HỢP WINCOMMERCE</v>
      </c>
      <c r="G1323" s="16" t="str">
        <f>VLOOKUP(Table8[[#This Row],[Mã khách hàng]],code_khach_hang[],3,0)</f>
        <v>Miền Bắc đặc biệt 3</v>
      </c>
      <c r="H1323" t="str">
        <f>VLOOKUP(Table8[[#This Row],[Mã khách hàng]],'Khách hàng'!A:D,4,0)</f>
        <v>Food Đức Việt</v>
      </c>
      <c r="I1323" t="str">
        <f>VLOOKUP(Table8[[#This Row],[Mã khách hàng]],'Khách hàng'!A:E,5,0)</f>
        <v>HN0040</v>
      </c>
    </row>
    <row r="1324" spans="1:9">
      <c r="A1324" s="14" t="s">
        <v>5804</v>
      </c>
      <c r="B1324" s="15" t="s">
        <v>5</v>
      </c>
      <c r="C1324" s="10" t="s">
        <v>5805</v>
      </c>
      <c r="D1324" s="16" t="s">
        <v>4430</v>
      </c>
      <c r="E1324" s="15" t="s">
        <v>11196</v>
      </c>
      <c r="F1324" s="16" t="str">
        <f>VLOOKUP(Table8[[#This Row],[Mã khách hàng]],code_khach_hang[],2,0)</f>
        <v>CHI NHÁNH NINH BÌNH - CÔNG TY CỔ PHẦN DỊCH VỤ THƯƠNG MẠI TỔNG HỢP WINCOMMERCE</v>
      </c>
      <c r="G1324" s="16" t="str">
        <f>VLOOKUP(Table8[[#This Row],[Mã khách hàng]],code_khach_hang[],3,0)</f>
        <v>Miền Bắc đặc biệt 3</v>
      </c>
      <c r="H1324" t="str">
        <f>VLOOKUP(Table8[[#This Row],[Mã khách hàng]],'Khách hàng'!A:D,4,0)</f>
        <v>Food Đức Việt</v>
      </c>
      <c r="I1324" t="str">
        <f>VLOOKUP(Table8[[#This Row],[Mã khách hàng]],'Khách hàng'!A:E,5,0)</f>
        <v>HN0040</v>
      </c>
    </row>
    <row r="1325" spans="1:9">
      <c r="A1325" s="14" t="s">
        <v>6031</v>
      </c>
      <c r="B1325" s="15" t="s">
        <v>5</v>
      </c>
      <c r="C1325" s="10" t="s">
        <v>6032</v>
      </c>
      <c r="D1325" s="16" t="s">
        <v>4433</v>
      </c>
      <c r="E1325" s="15" t="s">
        <v>11196</v>
      </c>
      <c r="F1325" s="16" t="str">
        <f>VLOOKUP(Table8[[#This Row],[Mã khách hàng]],code_khach_hang[],2,0)</f>
        <v>CHI NHÁNH NINH BÌNH - CÔNG TY CỔ PHẦN DỊCH VỤ THƯƠNG MẠI TỔNG HỢP WINCOMMERCE</v>
      </c>
      <c r="G1325" s="16" t="str">
        <f>VLOOKUP(Table8[[#This Row],[Mã khách hàng]],code_khach_hang[],3,0)</f>
        <v>Miền Bắc đặc biệt 3</v>
      </c>
      <c r="H1325" t="str">
        <f>VLOOKUP(Table8[[#This Row],[Mã khách hàng]],'Khách hàng'!A:D,4,0)</f>
        <v>Food Đức Việt</v>
      </c>
      <c r="I1325" t="str">
        <f>VLOOKUP(Table8[[#This Row],[Mã khách hàng]],'Khách hàng'!A:E,5,0)</f>
        <v>HN0040</v>
      </c>
    </row>
    <row r="1326" spans="1:9">
      <c r="A1326" s="14" t="s">
        <v>6989</v>
      </c>
      <c r="B1326" s="15" t="s">
        <v>5</v>
      </c>
      <c r="C1326" s="10" t="s">
        <v>6990</v>
      </c>
      <c r="D1326" s="16" t="s">
        <v>4436</v>
      </c>
      <c r="E1326" s="15" t="s">
        <v>11196</v>
      </c>
      <c r="F1326" s="16" t="str">
        <f>VLOOKUP(Table8[[#This Row],[Mã khách hàng]],code_khach_hang[],2,0)</f>
        <v>CHI NHÁNH NINH BÌNH - CÔNG TY CỔ PHẦN DỊCH VỤ THƯƠNG MẠI TỔNG HỢP WINCOMMERCE</v>
      </c>
      <c r="G1326" s="16" t="str">
        <f>VLOOKUP(Table8[[#This Row],[Mã khách hàng]],code_khach_hang[],3,0)</f>
        <v>Miền Bắc đặc biệt 3</v>
      </c>
      <c r="H1326" t="str">
        <f>VLOOKUP(Table8[[#This Row],[Mã khách hàng]],'Khách hàng'!A:D,4,0)</f>
        <v>Food Đức Việt</v>
      </c>
      <c r="I1326" t="str">
        <f>VLOOKUP(Table8[[#This Row],[Mã khách hàng]],'Khách hàng'!A:E,5,0)</f>
        <v>HN0040</v>
      </c>
    </row>
    <row r="1327" spans="1:9">
      <c r="A1327" s="14" t="s">
        <v>5872</v>
      </c>
      <c r="B1327" s="15" t="s">
        <v>5</v>
      </c>
      <c r="C1327" s="10" t="s">
        <v>5873</v>
      </c>
      <c r="D1327" s="16" t="s">
        <v>4439</v>
      </c>
      <c r="E1327" s="15" t="s">
        <v>11196</v>
      </c>
      <c r="F1327" s="16" t="str">
        <f>VLOOKUP(Table8[[#This Row],[Mã khách hàng]],code_khach_hang[],2,0)</f>
        <v>CHI NHÁNH NINH BÌNH - CÔNG TY CỔ PHẦN DỊCH VỤ THƯƠNG MẠI TỔNG HỢP WINCOMMERCE</v>
      </c>
      <c r="G1327" s="16" t="str">
        <f>VLOOKUP(Table8[[#This Row],[Mã khách hàng]],code_khach_hang[],3,0)</f>
        <v>Miền Bắc đặc biệt 3</v>
      </c>
      <c r="H1327" t="str">
        <f>VLOOKUP(Table8[[#This Row],[Mã khách hàng]],'Khách hàng'!A:D,4,0)</f>
        <v>Food Đức Việt</v>
      </c>
      <c r="I1327" t="str">
        <f>VLOOKUP(Table8[[#This Row],[Mã khách hàng]],'Khách hàng'!A:E,5,0)</f>
        <v>HN0040</v>
      </c>
    </row>
    <row r="1328" spans="1:9">
      <c r="A1328" s="14" t="s">
        <v>8157</v>
      </c>
      <c r="B1328" s="15" t="s">
        <v>5</v>
      </c>
      <c r="C1328" s="10" t="s">
        <v>8158</v>
      </c>
      <c r="D1328" s="16" t="s">
        <v>4442</v>
      </c>
      <c r="E1328" s="15" t="s">
        <v>11196</v>
      </c>
      <c r="F1328" s="16" t="str">
        <f>VLOOKUP(Table8[[#This Row],[Mã khách hàng]],code_khach_hang[],2,0)</f>
        <v>CHI NHÁNH NINH BÌNH - CÔNG TY CỔ PHẦN DỊCH VỤ THƯƠNG MẠI TỔNG HỢP WINCOMMERCE</v>
      </c>
      <c r="G1328" s="16" t="str">
        <f>VLOOKUP(Table8[[#This Row],[Mã khách hàng]],code_khach_hang[],3,0)</f>
        <v>Miền Bắc đặc biệt 3</v>
      </c>
      <c r="H1328" t="str">
        <f>VLOOKUP(Table8[[#This Row],[Mã khách hàng]],'Khách hàng'!A:D,4,0)</f>
        <v>Food Đức Việt</v>
      </c>
      <c r="I1328" t="str">
        <f>VLOOKUP(Table8[[#This Row],[Mã khách hàng]],'Khách hàng'!A:E,5,0)</f>
        <v>HN0040</v>
      </c>
    </row>
    <row r="1329" spans="1:9">
      <c r="A1329" s="14" t="s">
        <v>8503</v>
      </c>
      <c r="B1329" s="15" t="s">
        <v>5</v>
      </c>
      <c r="C1329" s="10" t="s">
        <v>8504</v>
      </c>
      <c r="D1329" s="16" t="s">
        <v>4445</v>
      </c>
      <c r="E1329" s="15" t="s">
        <v>11196</v>
      </c>
      <c r="F1329" s="16" t="str">
        <f>VLOOKUP(Table8[[#This Row],[Mã khách hàng]],code_khach_hang[],2,0)</f>
        <v>CHI NHÁNH NINH BÌNH - CÔNG TY CỔ PHẦN DỊCH VỤ THƯƠNG MẠI TỔNG HỢP WINCOMMERCE</v>
      </c>
      <c r="G1329" s="16" t="str">
        <f>VLOOKUP(Table8[[#This Row],[Mã khách hàng]],code_khach_hang[],3,0)</f>
        <v>Miền Bắc đặc biệt 3</v>
      </c>
      <c r="H1329" t="str">
        <f>VLOOKUP(Table8[[#This Row],[Mã khách hàng]],'Khách hàng'!A:D,4,0)</f>
        <v>Food Đức Việt</v>
      </c>
      <c r="I1329" t="str">
        <f>VLOOKUP(Table8[[#This Row],[Mã khách hàng]],'Khách hàng'!A:E,5,0)</f>
        <v>HN0040</v>
      </c>
    </row>
    <row r="1330" spans="1:9">
      <c r="A1330" s="14" t="s">
        <v>8529</v>
      </c>
      <c r="B1330" s="15" t="s">
        <v>5</v>
      </c>
      <c r="C1330" s="10" t="s">
        <v>8530</v>
      </c>
      <c r="D1330" s="16" t="s">
        <v>4448</v>
      </c>
      <c r="E1330" s="15" t="s">
        <v>11196</v>
      </c>
      <c r="F1330" s="16" t="str">
        <f>VLOOKUP(Table8[[#This Row],[Mã khách hàng]],code_khach_hang[],2,0)</f>
        <v>CHI NHÁNH NINH BÌNH - CÔNG TY CỔ PHẦN DỊCH VỤ THƯƠNG MẠI TỔNG HỢP WINCOMMERCE</v>
      </c>
      <c r="G1330" s="16" t="str">
        <f>VLOOKUP(Table8[[#This Row],[Mã khách hàng]],code_khach_hang[],3,0)</f>
        <v>Miền Bắc đặc biệt 3</v>
      </c>
      <c r="H1330" t="str">
        <f>VLOOKUP(Table8[[#This Row],[Mã khách hàng]],'Khách hàng'!A:D,4,0)</f>
        <v>Food Đức Việt</v>
      </c>
      <c r="I1330" t="str">
        <f>VLOOKUP(Table8[[#This Row],[Mã khách hàng]],'Khách hàng'!A:E,5,0)</f>
        <v>HN0040</v>
      </c>
    </row>
    <row r="1331" spans="1:9">
      <c r="A1331" s="14" t="s">
        <v>8562</v>
      </c>
      <c r="B1331" s="15" t="s">
        <v>5</v>
      </c>
      <c r="C1331" s="10" t="s">
        <v>8563</v>
      </c>
      <c r="D1331" s="16" t="s">
        <v>4451</v>
      </c>
      <c r="E1331" s="15" t="s">
        <v>11196</v>
      </c>
      <c r="F1331" s="16" t="str">
        <f>VLOOKUP(Table8[[#This Row],[Mã khách hàng]],code_khach_hang[],2,0)</f>
        <v>CHI NHÁNH NINH BÌNH - CÔNG TY CỔ PHẦN DỊCH VỤ THƯƠNG MẠI TỔNG HỢP WINCOMMERCE</v>
      </c>
      <c r="G1331" s="16" t="str">
        <f>VLOOKUP(Table8[[#This Row],[Mã khách hàng]],code_khach_hang[],3,0)</f>
        <v>Miền Bắc đặc biệt 3</v>
      </c>
      <c r="H1331" t="str">
        <f>VLOOKUP(Table8[[#This Row],[Mã khách hàng]],'Khách hàng'!A:D,4,0)</f>
        <v>Food Đức Việt</v>
      </c>
      <c r="I1331" t="str">
        <f>VLOOKUP(Table8[[#This Row],[Mã khách hàng]],'Khách hàng'!A:E,5,0)</f>
        <v>HN0040</v>
      </c>
    </row>
    <row r="1332" spans="1:9">
      <c r="A1332" s="14" t="s">
        <v>8515</v>
      </c>
      <c r="B1332" s="15" t="s">
        <v>5</v>
      </c>
      <c r="C1332" s="10" t="s">
        <v>8516</v>
      </c>
      <c r="D1332" s="16" t="s">
        <v>4454</v>
      </c>
      <c r="E1332" s="15" t="s">
        <v>11196</v>
      </c>
      <c r="F1332" s="16" t="str">
        <f>VLOOKUP(Table8[[#This Row],[Mã khách hàng]],code_khach_hang[],2,0)</f>
        <v>CHI NHÁNH NINH BÌNH - CÔNG TY CỔ PHẦN DỊCH VỤ THƯƠNG MẠI TỔNG HỢP WINCOMMERCE</v>
      </c>
      <c r="G1332" s="16" t="str">
        <f>VLOOKUP(Table8[[#This Row],[Mã khách hàng]],code_khach_hang[],3,0)</f>
        <v>Miền Bắc đặc biệt 3</v>
      </c>
      <c r="H1332" t="str">
        <f>VLOOKUP(Table8[[#This Row],[Mã khách hàng]],'Khách hàng'!A:D,4,0)</f>
        <v>Food Đức Việt</v>
      </c>
      <c r="I1332" t="str">
        <f>VLOOKUP(Table8[[#This Row],[Mã khách hàng]],'Khách hàng'!A:E,5,0)</f>
        <v>HN0040</v>
      </c>
    </row>
    <row r="1333" spans="1:9">
      <c r="A1333" s="14" t="s">
        <v>6178</v>
      </c>
      <c r="B1333" s="15" t="s">
        <v>5</v>
      </c>
      <c r="C1333" s="10" t="s">
        <v>6179</v>
      </c>
      <c r="D1333" s="16" t="s">
        <v>4457</v>
      </c>
      <c r="E1333" s="15" t="s">
        <v>11209</v>
      </c>
      <c r="F1333" s="16" t="str">
        <f>VLOOKUP(Table8[[#This Row],[Mã khách hàng]],code_khach_hang[],2,0)</f>
        <v>CHI NHÁNH QUẢNG BÌNH - CÔNG TY CỔ PHẦN DỊCH VỤ THƯƠNG MẠI TỔNG HỢP WINCOMMERCE</v>
      </c>
      <c r="G1333" s="16" t="str">
        <f>VLOOKUP(Table8[[#This Row],[Mã khách hàng]],code_khach_hang[],3,0)</f>
        <v>Miền Trung đặc biệt 1</v>
      </c>
      <c r="H1333" t="str">
        <f>VLOOKUP(Table8[[#This Row],[Mã khách hàng]],'Khách hàng'!A:D,4,0)</f>
        <v>Food Đức Việt</v>
      </c>
      <c r="I1333" t="str">
        <f>VLOOKUP(Table8[[#This Row],[Mã khách hàng]],'Khách hàng'!A:E,5,0)</f>
        <v>HN0040</v>
      </c>
    </row>
    <row r="1334" spans="1:9">
      <c r="A1334" s="14" t="s">
        <v>6052</v>
      </c>
      <c r="B1334" s="15" t="s">
        <v>5</v>
      </c>
      <c r="C1334" s="10" t="s">
        <v>6053</v>
      </c>
      <c r="D1334" s="16" t="s">
        <v>4460</v>
      </c>
      <c r="E1334" s="15" t="s">
        <v>11209</v>
      </c>
      <c r="F1334" s="16" t="str">
        <f>VLOOKUP(Table8[[#This Row],[Mã khách hàng]],code_khach_hang[],2,0)</f>
        <v>CHI NHÁNH QUẢNG BÌNH - CÔNG TY CỔ PHẦN DỊCH VỤ THƯƠNG MẠI TỔNG HỢP WINCOMMERCE</v>
      </c>
      <c r="G1334" s="16" t="str">
        <f>VLOOKUP(Table8[[#This Row],[Mã khách hàng]],code_khach_hang[],3,0)</f>
        <v>Miền Trung đặc biệt 1</v>
      </c>
      <c r="H1334" t="str">
        <f>VLOOKUP(Table8[[#This Row],[Mã khách hàng]],'Khách hàng'!A:D,4,0)</f>
        <v>Food Đức Việt</v>
      </c>
      <c r="I1334" t="str">
        <f>VLOOKUP(Table8[[#This Row],[Mã khách hàng]],'Khách hàng'!A:E,5,0)</f>
        <v>HN0040</v>
      </c>
    </row>
    <row r="1335" spans="1:9">
      <c r="A1335" s="14" t="s">
        <v>5929</v>
      </c>
      <c r="B1335" s="15" t="s">
        <v>5</v>
      </c>
      <c r="C1335" s="10" t="s">
        <v>5930</v>
      </c>
      <c r="D1335" s="16" t="s">
        <v>4463</v>
      </c>
      <c r="E1335" s="15" t="s">
        <v>11209</v>
      </c>
      <c r="F1335" s="16" t="str">
        <f>VLOOKUP(Table8[[#This Row],[Mã khách hàng]],code_khach_hang[],2,0)</f>
        <v>CHI NHÁNH QUẢNG BÌNH - CÔNG TY CỔ PHẦN DỊCH VỤ THƯƠNG MẠI TỔNG HỢP WINCOMMERCE</v>
      </c>
      <c r="G1335" s="16" t="str">
        <f>VLOOKUP(Table8[[#This Row],[Mã khách hàng]],code_khach_hang[],3,0)</f>
        <v>Miền Trung đặc biệt 1</v>
      </c>
      <c r="H1335" t="str">
        <f>VLOOKUP(Table8[[#This Row],[Mã khách hàng]],'Khách hàng'!A:D,4,0)</f>
        <v>Food Đức Việt</v>
      </c>
      <c r="I1335" t="str">
        <f>VLOOKUP(Table8[[#This Row],[Mã khách hàng]],'Khách hàng'!A:E,5,0)</f>
        <v>HN0040</v>
      </c>
    </row>
    <row r="1336" spans="1:9">
      <c r="A1336" s="14" t="s">
        <v>6833</v>
      </c>
      <c r="B1336" s="15" t="s">
        <v>5</v>
      </c>
      <c r="C1336" s="10" t="s">
        <v>6834</v>
      </c>
      <c r="D1336" s="16" t="s">
        <v>4466</v>
      </c>
      <c r="E1336" s="15" t="s">
        <v>11209</v>
      </c>
      <c r="F1336" s="16" t="str">
        <f>VLOOKUP(Table8[[#This Row],[Mã khách hàng]],code_khach_hang[],2,0)</f>
        <v>CHI NHÁNH QUẢNG BÌNH - CÔNG TY CỔ PHẦN DỊCH VỤ THƯƠNG MẠI TỔNG HỢP WINCOMMERCE</v>
      </c>
      <c r="G1336" s="16" t="str">
        <f>VLOOKUP(Table8[[#This Row],[Mã khách hàng]],code_khach_hang[],3,0)</f>
        <v>Miền Trung đặc biệt 1</v>
      </c>
      <c r="H1336" t="str">
        <f>VLOOKUP(Table8[[#This Row],[Mã khách hàng]],'Khách hàng'!A:D,4,0)</f>
        <v>Food Đức Việt</v>
      </c>
      <c r="I1336" t="str">
        <f>VLOOKUP(Table8[[#This Row],[Mã khách hàng]],'Khách hàng'!A:E,5,0)</f>
        <v>HN0040</v>
      </c>
    </row>
    <row r="1337" spans="1:9">
      <c r="A1337" s="14" t="s">
        <v>6151</v>
      </c>
      <c r="B1337" s="15" t="s">
        <v>5</v>
      </c>
      <c r="C1337" s="10" t="s">
        <v>6152</v>
      </c>
      <c r="D1337" s="16" t="s">
        <v>4469</v>
      </c>
      <c r="E1337" s="15" t="s">
        <v>11209</v>
      </c>
      <c r="F1337" s="16" t="str">
        <f>VLOOKUP(Table8[[#This Row],[Mã khách hàng]],code_khach_hang[],2,0)</f>
        <v>CHI NHÁNH QUẢNG BÌNH - CÔNG TY CỔ PHẦN DỊCH VỤ THƯƠNG MẠI TỔNG HỢP WINCOMMERCE</v>
      </c>
      <c r="G1337" s="16" t="str">
        <f>VLOOKUP(Table8[[#This Row],[Mã khách hàng]],code_khach_hang[],3,0)</f>
        <v>Miền Trung đặc biệt 1</v>
      </c>
      <c r="H1337" t="str">
        <f>VLOOKUP(Table8[[#This Row],[Mã khách hàng]],'Khách hàng'!A:D,4,0)</f>
        <v>Food Đức Việt</v>
      </c>
      <c r="I1337" t="str">
        <f>VLOOKUP(Table8[[#This Row],[Mã khách hàng]],'Khách hàng'!A:E,5,0)</f>
        <v>HN0040</v>
      </c>
    </row>
    <row r="1338" spans="1:9">
      <c r="A1338" s="14" t="s">
        <v>6049</v>
      </c>
      <c r="B1338" s="15" t="s">
        <v>5</v>
      </c>
      <c r="C1338" s="10" t="s">
        <v>6050</v>
      </c>
      <c r="D1338" s="16" t="s">
        <v>4472</v>
      </c>
      <c r="E1338" s="15" t="s">
        <v>11209</v>
      </c>
      <c r="F1338" s="16" t="str">
        <f>VLOOKUP(Table8[[#This Row],[Mã khách hàng]],code_khach_hang[],2,0)</f>
        <v>CHI NHÁNH QUẢNG BÌNH - CÔNG TY CỔ PHẦN DỊCH VỤ THƯƠNG MẠI TỔNG HỢP WINCOMMERCE</v>
      </c>
      <c r="G1338" s="16" t="str">
        <f>VLOOKUP(Table8[[#This Row],[Mã khách hàng]],code_khach_hang[],3,0)</f>
        <v>Miền Trung đặc biệt 1</v>
      </c>
      <c r="H1338" t="str">
        <f>VLOOKUP(Table8[[#This Row],[Mã khách hàng]],'Khách hàng'!A:D,4,0)</f>
        <v>Food Đức Việt</v>
      </c>
      <c r="I1338" t="str">
        <f>VLOOKUP(Table8[[#This Row],[Mã khách hàng]],'Khách hàng'!A:E,5,0)</f>
        <v>HN0040</v>
      </c>
    </row>
    <row r="1339" spans="1:9">
      <c r="A1339" s="14" t="s">
        <v>8210</v>
      </c>
      <c r="B1339" s="15" t="s">
        <v>5</v>
      </c>
      <c r="C1339" s="10" t="s">
        <v>8211</v>
      </c>
      <c r="D1339" s="16" t="s">
        <v>4475</v>
      </c>
      <c r="E1339" s="15" t="s">
        <v>11209</v>
      </c>
      <c r="F1339" s="16" t="str">
        <f>VLOOKUP(Table8[[#This Row],[Mã khách hàng]],code_khach_hang[],2,0)</f>
        <v>CHI NHÁNH QUẢNG BÌNH - CÔNG TY CỔ PHẦN DỊCH VỤ THƯƠNG MẠI TỔNG HỢP WINCOMMERCE</v>
      </c>
      <c r="G1339" s="16" t="str">
        <f>VLOOKUP(Table8[[#This Row],[Mã khách hàng]],code_khach_hang[],3,0)</f>
        <v>Miền Trung đặc biệt 1</v>
      </c>
      <c r="H1339" t="str">
        <f>VLOOKUP(Table8[[#This Row],[Mã khách hàng]],'Khách hàng'!A:D,4,0)</f>
        <v>Food Đức Việt</v>
      </c>
      <c r="I1339" t="str">
        <f>VLOOKUP(Table8[[#This Row],[Mã khách hàng]],'Khách hàng'!A:E,5,0)</f>
        <v>HN0040</v>
      </c>
    </row>
    <row r="1340" spans="1:9">
      <c r="A1340" s="14" t="s">
        <v>8236</v>
      </c>
      <c r="B1340" s="15" t="s">
        <v>5</v>
      </c>
      <c r="C1340" s="10" t="s">
        <v>8237</v>
      </c>
      <c r="D1340" s="16" t="s">
        <v>4478</v>
      </c>
      <c r="E1340" s="15" t="s">
        <v>11209</v>
      </c>
      <c r="F1340" s="16" t="str">
        <f>VLOOKUP(Table8[[#This Row],[Mã khách hàng]],code_khach_hang[],2,0)</f>
        <v>CHI NHÁNH QUẢNG BÌNH - CÔNG TY CỔ PHẦN DỊCH VỤ THƯƠNG MẠI TỔNG HỢP WINCOMMERCE</v>
      </c>
      <c r="G1340" s="16" t="str">
        <f>VLOOKUP(Table8[[#This Row],[Mã khách hàng]],code_khach_hang[],3,0)</f>
        <v>Miền Trung đặc biệt 1</v>
      </c>
      <c r="H1340" t="str">
        <f>VLOOKUP(Table8[[#This Row],[Mã khách hàng]],'Khách hàng'!A:D,4,0)</f>
        <v>Food Đức Việt</v>
      </c>
      <c r="I1340" t="str">
        <f>VLOOKUP(Table8[[#This Row],[Mã khách hàng]],'Khách hàng'!A:E,5,0)</f>
        <v>HN0040</v>
      </c>
    </row>
    <row r="1341" spans="1:9">
      <c r="A1341" s="14" t="s">
        <v>8367</v>
      </c>
      <c r="B1341" s="15" t="s">
        <v>5</v>
      </c>
      <c r="C1341" s="10" t="s">
        <v>8368</v>
      </c>
      <c r="D1341" s="16" t="s">
        <v>4481</v>
      </c>
      <c r="E1341" s="15" t="s">
        <v>11209</v>
      </c>
      <c r="F1341" s="16" t="str">
        <f>VLOOKUP(Table8[[#This Row],[Mã khách hàng]],code_khach_hang[],2,0)</f>
        <v>CHI NHÁNH QUẢNG BÌNH - CÔNG TY CỔ PHẦN DỊCH VỤ THƯƠNG MẠI TỔNG HỢP WINCOMMERCE</v>
      </c>
      <c r="G1341" s="16" t="str">
        <f>VLOOKUP(Table8[[#This Row],[Mã khách hàng]],code_khach_hang[],3,0)</f>
        <v>Miền Trung đặc biệt 1</v>
      </c>
      <c r="H1341" t="str">
        <f>VLOOKUP(Table8[[#This Row],[Mã khách hàng]],'Khách hàng'!A:D,4,0)</f>
        <v>Food Đức Việt</v>
      </c>
      <c r="I1341" t="str">
        <f>VLOOKUP(Table8[[#This Row],[Mã khách hàng]],'Khách hàng'!A:E,5,0)</f>
        <v>HN0040</v>
      </c>
    </row>
    <row r="1342" spans="1:9">
      <c r="A1342" s="14" t="s">
        <v>8489</v>
      </c>
      <c r="B1342" s="15" t="s">
        <v>5</v>
      </c>
      <c r="C1342" s="10" t="s">
        <v>8490</v>
      </c>
      <c r="D1342" s="16" t="s">
        <v>4484</v>
      </c>
      <c r="E1342" s="15" t="s">
        <v>11209</v>
      </c>
      <c r="F1342" s="16" t="str">
        <f>VLOOKUP(Table8[[#This Row],[Mã khách hàng]],code_khach_hang[],2,0)</f>
        <v>CHI NHÁNH QUẢNG BÌNH - CÔNG TY CỔ PHẦN DỊCH VỤ THƯƠNG MẠI TỔNG HỢP WINCOMMERCE</v>
      </c>
      <c r="G1342" s="16" t="str">
        <f>VLOOKUP(Table8[[#This Row],[Mã khách hàng]],code_khach_hang[],3,0)</f>
        <v>Miền Trung đặc biệt 1</v>
      </c>
      <c r="H1342" t="str">
        <f>VLOOKUP(Table8[[#This Row],[Mã khách hàng]],'Khách hàng'!A:D,4,0)</f>
        <v>Food Đức Việt</v>
      </c>
      <c r="I1342" t="str">
        <f>VLOOKUP(Table8[[#This Row],[Mã khách hàng]],'Khách hàng'!A:E,5,0)</f>
        <v>HN0040</v>
      </c>
    </row>
    <row r="1343" spans="1:9">
      <c r="A1343" s="14" t="s">
        <v>8579</v>
      </c>
      <c r="B1343" s="15" t="s">
        <v>5</v>
      </c>
      <c r="C1343" s="10" t="s">
        <v>8580</v>
      </c>
      <c r="D1343" s="16" t="s">
        <v>4487</v>
      </c>
      <c r="E1343" s="15" t="s">
        <v>11209</v>
      </c>
      <c r="F1343" s="16" t="str">
        <f>VLOOKUP(Table8[[#This Row],[Mã khách hàng]],code_khach_hang[],2,0)</f>
        <v>CHI NHÁNH QUẢNG BÌNH - CÔNG TY CỔ PHẦN DỊCH VỤ THƯƠNG MẠI TỔNG HỢP WINCOMMERCE</v>
      </c>
      <c r="G1343" s="16" t="str">
        <f>VLOOKUP(Table8[[#This Row],[Mã khách hàng]],code_khach_hang[],3,0)</f>
        <v>Miền Trung đặc biệt 1</v>
      </c>
      <c r="H1343" t="str">
        <f>VLOOKUP(Table8[[#This Row],[Mã khách hàng]],'Khách hàng'!A:D,4,0)</f>
        <v>Food Đức Việt</v>
      </c>
      <c r="I1343" t="str">
        <f>VLOOKUP(Table8[[#This Row],[Mã khách hàng]],'Khách hàng'!A:E,5,0)</f>
        <v>HN0040</v>
      </c>
    </row>
    <row r="1344" spans="1:9">
      <c r="A1344" s="14" t="s">
        <v>8457</v>
      </c>
      <c r="B1344" s="15" t="s">
        <v>5</v>
      </c>
      <c r="C1344" s="10" t="s">
        <v>8458</v>
      </c>
      <c r="D1344" s="16" t="s">
        <v>4490</v>
      </c>
      <c r="E1344" s="15" t="s">
        <v>11209</v>
      </c>
      <c r="F1344" s="16" t="str">
        <f>VLOOKUP(Table8[[#This Row],[Mã khách hàng]],code_khach_hang[],2,0)</f>
        <v>CHI NHÁNH QUẢNG BÌNH - CÔNG TY CỔ PHẦN DỊCH VỤ THƯƠNG MẠI TỔNG HỢP WINCOMMERCE</v>
      </c>
      <c r="G1344" s="16" t="str">
        <f>VLOOKUP(Table8[[#This Row],[Mã khách hàng]],code_khach_hang[],3,0)</f>
        <v>Miền Trung đặc biệt 1</v>
      </c>
      <c r="H1344" t="str">
        <f>VLOOKUP(Table8[[#This Row],[Mã khách hàng]],'Khách hàng'!A:D,4,0)</f>
        <v>Food Đức Việt</v>
      </c>
      <c r="I1344" t="str">
        <f>VLOOKUP(Table8[[#This Row],[Mã khách hàng]],'Khách hàng'!A:E,5,0)</f>
        <v>HN0040</v>
      </c>
    </row>
    <row r="1345" spans="1:9">
      <c r="A1345" s="14" t="s">
        <v>8600</v>
      </c>
      <c r="B1345" s="15" t="s">
        <v>5</v>
      </c>
      <c r="C1345" s="10" t="s">
        <v>8601</v>
      </c>
      <c r="D1345" s="16" t="s">
        <v>4493</v>
      </c>
      <c r="E1345" s="15" t="s">
        <v>11209</v>
      </c>
      <c r="F1345" s="16" t="str">
        <f>VLOOKUP(Table8[[#This Row],[Mã khách hàng]],code_khach_hang[],2,0)</f>
        <v>CHI NHÁNH QUẢNG BÌNH - CÔNG TY CỔ PHẦN DỊCH VỤ THƯƠNG MẠI TỔNG HỢP WINCOMMERCE</v>
      </c>
      <c r="G1345" s="16" t="str">
        <f>VLOOKUP(Table8[[#This Row],[Mã khách hàng]],code_khach_hang[],3,0)</f>
        <v>Miền Trung đặc biệt 1</v>
      </c>
      <c r="H1345" t="str">
        <f>VLOOKUP(Table8[[#This Row],[Mã khách hàng]],'Khách hàng'!A:D,4,0)</f>
        <v>Food Đức Việt</v>
      </c>
      <c r="I1345" t="str">
        <f>VLOOKUP(Table8[[#This Row],[Mã khách hàng]],'Khách hàng'!A:E,5,0)</f>
        <v>HN0040</v>
      </c>
    </row>
    <row r="1346" spans="1:9">
      <c r="A1346" s="14" t="s">
        <v>8700</v>
      </c>
      <c r="B1346" s="15" t="s">
        <v>5</v>
      </c>
      <c r="C1346" s="10" t="s">
        <v>8701</v>
      </c>
      <c r="D1346" s="16" t="s">
        <v>4496</v>
      </c>
      <c r="E1346" s="15" t="s">
        <v>11209</v>
      </c>
      <c r="F1346" s="16" t="str">
        <f>VLOOKUP(Table8[[#This Row],[Mã khách hàng]],code_khach_hang[],2,0)</f>
        <v>CHI NHÁNH QUẢNG BÌNH - CÔNG TY CỔ PHẦN DỊCH VỤ THƯƠNG MẠI TỔNG HỢP WINCOMMERCE</v>
      </c>
      <c r="G1346" s="16" t="str">
        <f>VLOOKUP(Table8[[#This Row],[Mã khách hàng]],code_khach_hang[],3,0)</f>
        <v>Miền Trung đặc biệt 1</v>
      </c>
      <c r="H1346" t="str">
        <f>VLOOKUP(Table8[[#This Row],[Mã khách hàng]],'Khách hàng'!A:D,4,0)</f>
        <v>Food Đức Việt</v>
      </c>
      <c r="I1346" t="str">
        <f>VLOOKUP(Table8[[#This Row],[Mã khách hàng]],'Khách hàng'!A:E,5,0)</f>
        <v>HN0040</v>
      </c>
    </row>
    <row r="1347" spans="1:9">
      <c r="A1347" s="14" t="s">
        <v>8744</v>
      </c>
      <c r="B1347" s="15" t="s">
        <v>5</v>
      </c>
      <c r="C1347" s="10" t="s">
        <v>8745</v>
      </c>
      <c r="D1347" s="16" t="s">
        <v>4499</v>
      </c>
      <c r="E1347" s="15" t="s">
        <v>11209</v>
      </c>
      <c r="F1347" s="16" t="str">
        <f>VLOOKUP(Table8[[#This Row],[Mã khách hàng]],code_khach_hang[],2,0)</f>
        <v>CHI NHÁNH QUẢNG BÌNH - CÔNG TY CỔ PHẦN DỊCH VỤ THƯƠNG MẠI TỔNG HỢP WINCOMMERCE</v>
      </c>
      <c r="G1347" s="16" t="str">
        <f>VLOOKUP(Table8[[#This Row],[Mã khách hàng]],code_khach_hang[],3,0)</f>
        <v>Miền Trung đặc biệt 1</v>
      </c>
      <c r="H1347" t="str">
        <f>VLOOKUP(Table8[[#This Row],[Mã khách hàng]],'Khách hàng'!A:D,4,0)</f>
        <v>Food Đức Việt</v>
      </c>
      <c r="I1347" t="str">
        <f>VLOOKUP(Table8[[#This Row],[Mã khách hàng]],'Khách hàng'!A:E,5,0)</f>
        <v>HN0040</v>
      </c>
    </row>
    <row r="1348" spans="1:9">
      <c r="A1348" s="14" t="s">
        <v>8708</v>
      </c>
      <c r="B1348" s="15" t="s">
        <v>5</v>
      </c>
      <c r="C1348" s="10" t="s">
        <v>8709</v>
      </c>
      <c r="D1348" s="16" t="s">
        <v>4502</v>
      </c>
      <c r="E1348" s="15" t="s">
        <v>11209</v>
      </c>
      <c r="F1348" s="16" t="str">
        <f>VLOOKUP(Table8[[#This Row],[Mã khách hàng]],code_khach_hang[],2,0)</f>
        <v>CHI NHÁNH QUẢNG BÌNH - CÔNG TY CỔ PHẦN DỊCH VỤ THƯƠNG MẠI TỔNG HỢP WINCOMMERCE</v>
      </c>
      <c r="G1348" s="16" t="str">
        <f>VLOOKUP(Table8[[#This Row],[Mã khách hàng]],code_khach_hang[],3,0)</f>
        <v>Miền Trung đặc biệt 1</v>
      </c>
      <c r="H1348" t="str">
        <f>VLOOKUP(Table8[[#This Row],[Mã khách hàng]],'Khách hàng'!A:D,4,0)</f>
        <v>Food Đức Việt</v>
      </c>
      <c r="I1348" t="str">
        <f>VLOOKUP(Table8[[#This Row],[Mã khách hàng]],'Khách hàng'!A:E,5,0)</f>
        <v>HN0040</v>
      </c>
    </row>
    <row r="1349" spans="1:9">
      <c r="A1349" s="14" t="s">
        <v>4419</v>
      </c>
      <c r="B1349" s="15" t="s">
        <v>5</v>
      </c>
      <c r="C1349" s="10" t="s">
        <v>4420</v>
      </c>
      <c r="D1349" s="16" t="s">
        <v>4505</v>
      </c>
      <c r="E1349" s="15" t="s">
        <v>11200</v>
      </c>
      <c r="F1349" s="16" t="str">
        <f>VLOOKUP(Table8[[#This Row],[Mã khách hàng]],code_khach_hang[],2,0)</f>
        <v>CHI NHÁNH THÁI BÌNH - CÔNG TY CỔ PHẦN DỊCH VỤ THƯƠNG MẠI TỔNG HỢP WINCOMMERCE</v>
      </c>
      <c r="G1349" s="16" t="str">
        <f>VLOOKUP(Table8[[#This Row],[Mã khách hàng]],code_khach_hang[],3,0)</f>
        <v>Miền Bắc đặc biệt 3</v>
      </c>
      <c r="H1349" t="str">
        <f>VLOOKUP(Table8[[#This Row],[Mã khách hàng]],'Khách hàng'!A:D,4,0)</f>
        <v>Food Đức Việt</v>
      </c>
      <c r="I1349" t="str">
        <f>VLOOKUP(Table8[[#This Row],[Mã khách hàng]],'Khách hàng'!A:E,5,0)</f>
        <v>HN0040</v>
      </c>
    </row>
    <row r="1350" spans="1:9">
      <c r="A1350" s="14" t="s">
        <v>4452</v>
      </c>
      <c r="B1350" s="15" t="s">
        <v>5</v>
      </c>
      <c r="C1350" s="10" t="s">
        <v>4453</v>
      </c>
      <c r="D1350" s="16" t="s">
        <v>4508</v>
      </c>
      <c r="E1350" s="15" t="s">
        <v>11200</v>
      </c>
      <c r="F1350" s="16" t="str">
        <f>VLOOKUP(Table8[[#This Row],[Mã khách hàng]],code_khach_hang[],2,0)</f>
        <v>CHI NHÁNH THÁI BÌNH - CÔNG TY CỔ PHẦN DỊCH VỤ THƯƠNG MẠI TỔNG HỢP WINCOMMERCE</v>
      </c>
      <c r="G1350" s="16" t="str">
        <f>VLOOKUP(Table8[[#This Row],[Mã khách hàng]],code_khach_hang[],3,0)</f>
        <v>Miền Bắc đặc biệt 3</v>
      </c>
      <c r="H1350" t="str">
        <f>VLOOKUP(Table8[[#This Row],[Mã khách hàng]],'Khách hàng'!A:D,4,0)</f>
        <v>Food Đức Việt</v>
      </c>
      <c r="I1350" t="str">
        <f>VLOOKUP(Table8[[#This Row],[Mã khách hàng]],'Khách hàng'!A:E,5,0)</f>
        <v>HN0040</v>
      </c>
    </row>
    <row r="1351" spans="1:9">
      <c r="A1351" s="14" t="s">
        <v>4533</v>
      </c>
      <c r="B1351" s="15" t="s">
        <v>5</v>
      </c>
      <c r="C1351" s="10" t="s">
        <v>4534</v>
      </c>
      <c r="D1351" s="16" t="s">
        <v>4511</v>
      </c>
      <c r="E1351" s="15" t="s">
        <v>11200</v>
      </c>
      <c r="F1351" s="16" t="str">
        <f>VLOOKUP(Table8[[#This Row],[Mã khách hàng]],code_khach_hang[],2,0)</f>
        <v>CHI NHÁNH THÁI BÌNH - CÔNG TY CỔ PHẦN DỊCH VỤ THƯƠNG MẠI TỔNG HỢP WINCOMMERCE</v>
      </c>
      <c r="G1351" s="16" t="str">
        <f>VLOOKUP(Table8[[#This Row],[Mã khách hàng]],code_khach_hang[],3,0)</f>
        <v>Miền Bắc đặc biệt 3</v>
      </c>
      <c r="H1351" t="str">
        <f>VLOOKUP(Table8[[#This Row],[Mã khách hàng]],'Khách hàng'!A:D,4,0)</f>
        <v>Food Đức Việt</v>
      </c>
      <c r="I1351" t="str">
        <f>VLOOKUP(Table8[[#This Row],[Mã khách hàng]],'Khách hàng'!A:E,5,0)</f>
        <v>HN0040</v>
      </c>
    </row>
    <row r="1352" spans="1:9">
      <c r="A1352" s="14" t="s">
        <v>4569</v>
      </c>
      <c r="B1352" s="15" t="s">
        <v>5</v>
      </c>
      <c r="C1352" s="10" t="s">
        <v>4570</v>
      </c>
      <c r="D1352" s="16" t="s">
        <v>4514</v>
      </c>
      <c r="E1352" s="15" t="s">
        <v>11200</v>
      </c>
      <c r="F1352" s="16" t="str">
        <f>VLOOKUP(Table8[[#This Row],[Mã khách hàng]],code_khach_hang[],2,0)</f>
        <v>CHI NHÁNH THÁI BÌNH - CÔNG TY CỔ PHẦN DỊCH VỤ THƯƠNG MẠI TỔNG HỢP WINCOMMERCE</v>
      </c>
      <c r="G1352" s="16" t="str">
        <f>VLOOKUP(Table8[[#This Row],[Mã khách hàng]],code_khach_hang[],3,0)</f>
        <v>Miền Bắc đặc biệt 3</v>
      </c>
      <c r="H1352" t="str">
        <f>VLOOKUP(Table8[[#This Row],[Mã khách hàng]],'Khách hàng'!A:D,4,0)</f>
        <v>Food Đức Việt</v>
      </c>
      <c r="I1352" t="str">
        <f>VLOOKUP(Table8[[#This Row],[Mã khách hàng]],'Khách hàng'!A:E,5,0)</f>
        <v>HN0040</v>
      </c>
    </row>
    <row r="1353" spans="1:9">
      <c r="A1353" s="14" t="s">
        <v>4611</v>
      </c>
      <c r="B1353" s="15" t="s">
        <v>5</v>
      </c>
      <c r="C1353" s="10" t="s">
        <v>4612</v>
      </c>
      <c r="D1353" s="16" t="s">
        <v>4517</v>
      </c>
      <c r="E1353" s="15" t="s">
        <v>11200</v>
      </c>
      <c r="F1353" s="16" t="str">
        <f>VLOOKUP(Table8[[#This Row],[Mã khách hàng]],code_khach_hang[],2,0)</f>
        <v>CHI NHÁNH THÁI BÌNH - CÔNG TY CỔ PHẦN DỊCH VỤ THƯƠNG MẠI TỔNG HỢP WINCOMMERCE</v>
      </c>
      <c r="G1353" s="16" t="str">
        <f>VLOOKUP(Table8[[#This Row],[Mã khách hàng]],code_khach_hang[],3,0)</f>
        <v>Miền Bắc đặc biệt 3</v>
      </c>
      <c r="H1353" t="str">
        <f>VLOOKUP(Table8[[#This Row],[Mã khách hàng]],'Khách hàng'!A:D,4,0)</f>
        <v>Food Đức Việt</v>
      </c>
      <c r="I1353" t="str">
        <f>VLOOKUP(Table8[[#This Row],[Mã khách hàng]],'Khách hàng'!A:E,5,0)</f>
        <v>HN0040</v>
      </c>
    </row>
    <row r="1354" spans="1:9">
      <c r="A1354" s="14" t="s">
        <v>4668</v>
      </c>
      <c r="B1354" s="15" t="s">
        <v>5</v>
      </c>
      <c r="C1354" s="10" t="s">
        <v>4669</v>
      </c>
      <c r="D1354" s="16" t="s">
        <v>4520</v>
      </c>
      <c r="E1354" s="15" t="s">
        <v>11200</v>
      </c>
      <c r="F1354" s="16" t="str">
        <f>VLOOKUP(Table8[[#This Row],[Mã khách hàng]],code_khach_hang[],2,0)</f>
        <v>CHI NHÁNH THÁI BÌNH - CÔNG TY CỔ PHẦN DỊCH VỤ THƯƠNG MẠI TỔNG HỢP WINCOMMERCE</v>
      </c>
      <c r="G1354" s="16" t="str">
        <f>VLOOKUP(Table8[[#This Row],[Mã khách hàng]],code_khach_hang[],3,0)</f>
        <v>Miền Bắc đặc biệt 3</v>
      </c>
      <c r="H1354" t="str">
        <f>VLOOKUP(Table8[[#This Row],[Mã khách hàng]],'Khách hàng'!A:D,4,0)</f>
        <v>Food Đức Việt</v>
      </c>
      <c r="I1354" t="str">
        <f>VLOOKUP(Table8[[#This Row],[Mã khách hàng]],'Khách hàng'!A:E,5,0)</f>
        <v>HN0040</v>
      </c>
    </row>
    <row r="1355" spans="1:9">
      <c r="A1355" s="14" t="s">
        <v>4899</v>
      </c>
      <c r="B1355" s="15" t="s">
        <v>5</v>
      </c>
      <c r="C1355" s="10" t="s">
        <v>4900</v>
      </c>
      <c r="D1355" s="16" t="s">
        <v>4523</v>
      </c>
      <c r="E1355" s="15" t="s">
        <v>11200</v>
      </c>
      <c r="F1355" s="16" t="str">
        <f>VLOOKUP(Table8[[#This Row],[Mã khách hàng]],code_khach_hang[],2,0)</f>
        <v>CHI NHÁNH THÁI BÌNH - CÔNG TY CỔ PHẦN DỊCH VỤ THƯƠNG MẠI TỔNG HỢP WINCOMMERCE</v>
      </c>
      <c r="G1355" s="16" t="str">
        <f>VLOOKUP(Table8[[#This Row],[Mã khách hàng]],code_khach_hang[],3,0)</f>
        <v>Miền Bắc đặc biệt 3</v>
      </c>
      <c r="H1355" t="str">
        <f>VLOOKUP(Table8[[#This Row],[Mã khách hàng]],'Khách hàng'!A:D,4,0)</f>
        <v>Food Đức Việt</v>
      </c>
      <c r="I1355" t="str">
        <f>VLOOKUP(Table8[[#This Row],[Mã khách hàng]],'Khách hàng'!A:E,5,0)</f>
        <v>HN0040</v>
      </c>
    </row>
    <row r="1356" spans="1:9">
      <c r="A1356" s="14" t="s">
        <v>6905</v>
      </c>
      <c r="B1356" s="15" t="s">
        <v>5</v>
      </c>
      <c r="C1356" s="10" t="s">
        <v>6906</v>
      </c>
      <c r="D1356" s="16" t="s">
        <v>4526</v>
      </c>
      <c r="E1356" s="15" t="s">
        <v>11200</v>
      </c>
      <c r="F1356" s="16" t="str">
        <f>VLOOKUP(Table8[[#This Row],[Mã khách hàng]],code_khach_hang[],2,0)</f>
        <v>CHI NHÁNH THÁI BÌNH - CÔNG TY CỔ PHẦN DỊCH VỤ THƯƠNG MẠI TỔNG HỢP WINCOMMERCE</v>
      </c>
      <c r="G1356" s="16" t="str">
        <f>VLOOKUP(Table8[[#This Row],[Mã khách hàng]],code_khach_hang[],3,0)</f>
        <v>Miền Bắc đặc biệt 3</v>
      </c>
      <c r="H1356" t="str">
        <f>VLOOKUP(Table8[[#This Row],[Mã khách hàng]],'Khách hàng'!A:D,4,0)</f>
        <v>Food Đức Việt</v>
      </c>
      <c r="I1356" t="str">
        <f>VLOOKUP(Table8[[#This Row],[Mã khách hàng]],'Khách hàng'!A:E,5,0)</f>
        <v>HN0040</v>
      </c>
    </row>
    <row r="1357" spans="1:9">
      <c r="A1357" s="14" t="s">
        <v>6974</v>
      </c>
      <c r="B1357" s="15" t="s">
        <v>5</v>
      </c>
      <c r="C1357" s="10" t="s">
        <v>6975</v>
      </c>
      <c r="D1357" s="16" t="s">
        <v>4529</v>
      </c>
      <c r="E1357" s="15" t="s">
        <v>11200</v>
      </c>
      <c r="F1357" s="16" t="str">
        <f>VLOOKUP(Table8[[#This Row],[Mã khách hàng]],code_khach_hang[],2,0)</f>
        <v>CHI NHÁNH THÁI BÌNH - CÔNG TY CỔ PHẦN DỊCH VỤ THƯƠNG MẠI TỔNG HỢP WINCOMMERCE</v>
      </c>
      <c r="G1357" s="16" t="str">
        <f>VLOOKUP(Table8[[#This Row],[Mã khách hàng]],code_khach_hang[],3,0)</f>
        <v>Miền Bắc đặc biệt 3</v>
      </c>
      <c r="H1357" t="str">
        <f>VLOOKUP(Table8[[#This Row],[Mã khách hàng]],'Khách hàng'!A:D,4,0)</f>
        <v>Food Đức Việt</v>
      </c>
      <c r="I1357" t="str">
        <f>VLOOKUP(Table8[[#This Row],[Mã khách hàng]],'Khách hàng'!A:E,5,0)</f>
        <v>HN0040</v>
      </c>
    </row>
    <row r="1358" spans="1:9">
      <c r="A1358" s="14" t="s">
        <v>6689</v>
      </c>
      <c r="B1358" s="15" t="s">
        <v>5</v>
      </c>
      <c r="C1358" s="10" t="s">
        <v>6690</v>
      </c>
      <c r="D1358" s="16" t="s">
        <v>4532</v>
      </c>
      <c r="E1358" s="15" t="s">
        <v>11200</v>
      </c>
      <c r="F1358" s="16" t="str">
        <f>VLOOKUP(Table8[[#This Row],[Mã khách hàng]],code_khach_hang[],2,0)</f>
        <v>CHI NHÁNH THÁI BÌNH - CÔNG TY CỔ PHẦN DỊCH VỤ THƯƠNG MẠI TỔNG HỢP WINCOMMERCE</v>
      </c>
      <c r="G1358" s="16" t="str">
        <f>VLOOKUP(Table8[[#This Row],[Mã khách hàng]],code_khach_hang[],3,0)</f>
        <v>Miền Bắc đặc biệt 3</v>
      </c>
      <c r="H1358" t="str">
        <f>VLOOKUP(Table8[[#This Row],[Mã khách hàng]],'Khách hàng'!A:D,4,0)</f>
        <v>Food Đức Việt</v>
      </c>
      <c r="I1358" t="str">
        <f>VLOOKUP(Table8[[#This Row],[Mã khách hàng]],'Khách hàng'!A:E,5,0)</f>
        <v>HN0040</v>
      </c>
    </row>
    <row r="1359" spans="1:9">
      <c r="A1359" s="14" t="s">
        <v>7541</v>
      </c>
      <c r="B1359" s="15" t="s">
        <v>5</v>
      </c>
      <c r="C1359" s="10" t="s">
        <v>7542</v>
      </c>
      <c r="D1359" s="16" t="s">
        <v>4535</v>
      </c>
      <c r="E1359" s="15" t="s">
        <v>11200</v>
      </c>
      <c r="F1359" s="16" t="str">
        <f>VLOOKUP(Table8[[#This Row],[Mã khách hàng]],code_khach_hang[],2,0)</f>
        <v>CHI NHÁNH THÁI BÌNH - CÔNG TY CỔ PHẦN DỊCH VỤ THƯƠNG MẠI TỔNG HỢP WINCOMMERCE</v>
      </c>
      <c r="G1359" s="16" t="str">
        <f>VLOOKUP(Table8[[#This Row],[Mã khách hàng]],code_khach_hang[],3,0)</f>
        <v>Miền Bắc đặc biệt 3</v>
      </c>
      <c r="H1359" t="str">
        <f>VLOOKUP(Table8[[#This Row],[Mã khách hàng]],'Khách hàng'!A:D,4,0)</f>
        <v>Food Đức Việt</v>
      </c>
      <c r="I1359" t="str">
        <f>VLOOKUP(Table8[[#This Row],[Mã khách hàng]],'Khách hàng'!A:E,5,0)</f>
        <v>HN0040</v>
      </c>
    </row>
    <row r="1360" spans="1:9">
      <c r="A1360" s="14" t="s">
        <v>5010</v>
      </c>
      <c r="B1360" s="15" t="s">
        <v>5</v>
      </c>
      <c r="C1360" s="10" t="s">
        <v>5011</v>
      </c>
      <c r="D1360" s="16" t="s">
        <v>4538</v>
      </c>
      <c r="E1360" s="15" t="s">
        <v>11200</v>
      </c>
      <c r="F1360" s="16" t="str">
        <f>VLOOKUP(Table8[[#This Row],[Mã khách hàng]],code_khach_hang[],2,0)</f>
        <v>CHI NHÁNH THÁI BÌNH - CÔNG TY CỔ PHẦN DỊCH VỤ THƯƠNG MẠI TỔNG HỢP WINCOMMERCE</v>
      </c>
      <c r="G1360" s="16" t="str">
        <f>VLOOKUP(Table8[[#This Row],[Mã khách hàng]],code_khach_hang[],3,0)</f>
        <v>Miền Bắc đặc biệt 3</v>
      </c>
      <c r="H1360" t="str">
        <f>VLOOKUP(Table8[[#This Row],[Mã khách hàng]],'Khách hàng'!A:D,4,0)</f>
        <v>Food Đức Việt</v>
      </c>
      <c r="I1360" t="str">
        <f>VLOOKUP(Table8[[#This Row],[Mã khách hàng]],'Khách hàng'!A:E,5,0)</f>
        <v>HN0040</v>
      </c>
    </row>
    <row r="1361" spans="1:9">
      <c r="A1361" s="14" t="s">
        <v>7147</v>
      </c>
      <c r="B1361" s="15" t="s">
        <v>5</v>
      </c>
      <c r="C1361" s="10" t="s">
        <v>7148</v>
      </c>
      <c r="D1361" s="16" t="s">
        <v>4541</v>
      </c>
      <c r="E1361" s="15" t="s">
        <v>11200</v>
      </c>
      <c r="F1361" s="16" t="str">
        <f>VLOOKUP(Table8[[#This Row],[Mã khách hàng]],code_khach_hang[],2,0)</f>
        <v>CHI NHÁNH THÁI BÌNH - CÔNG TY CỔ PHẦN DỊCH VỤ THƯƠNG MẠI TỔNG HỢP WINCOMMERCE</v>
      </c>
      <c r="G1361" s="16" t="str">
        <f>VLOOKUP(Table8[[#This Row],[Mã khách hàng]],code_khach_hang[],3,0)</f>
        <v>Miền Bắc đặc biệt 3</v>
      </c>
      <c r="H1361" t="str">
        <f>VLOOKUP(Table8[[#This Row],[Mã khách hàng]],'Khách hàng'!A:D,4,0)</f>
        <v>Food Đức Việt</v>
      </c>
      <c r="I1361" t="str">
        <f>VLOOKUP(Table8[[#This Row],[Mã khách hàng]],'Khách hàng'!A:E,5,0)</f>
        <v>HN0040</v>
      </c>
    </row>
    <row r="1362" spans="1:9">
      <c r="A1362" s="14" t="s">
        <v>7410</v>
      </c>
      <c r="B1362" s="15" t="s">
        <v>5</v>
      </c>
      <c r="C1362" s="10" t="s">
        <v>7411</v>
      </c>
      <c r="D1362" s="16" t="s">
        <v>4544</v>
      </c>
      <c r="E1362" s="15" t="s">
        <v>11200</v>
      </c>
      <c r="F1362" s="16" t="str">
        <f>VLOOKUP(Table8[[#This Row],[Mã khách hàng]],code_khach_hang[],2,0)</f>
        <v>CHI NHÁNH THÁI BÌNH - CÔNG TY CỔ PHẦN DỊCH VỤ THƯƠNG MẠI TỔNG HỢP WINCOMMERCE</v>
      </c>
      <c r="G1362" s="16" t="str">
        <f>VLOOKUP(Table8[[#This Row],[Mã khách hàng]],code_khach_hang[],3,0)</f>
        <v>Miền Bắc đặc biệt 3</v>
      </c>
      <c r="H1362" t="str">
        <f>VLOOKUP(Table8[[#This Row],[Mã khách hàng]],'Khách hàng'!A:D,4,0)</f>
        <v>Food Đức Việt</v>
      </c>
      <c r="I1362" t="str">
        <f>VLOOKUP(Table8[[#This Row],[Mã khách hàng]],'Khách hàng'!A:E,5,0)</f>
        <v>HN0040</v>
      </c>
    </row>
    <row r="1363" spans="1:9">
      <c r="A1363" s="14" t="s">
        <v>7413</v>
      </c>
      <c r="B1363" s="15" t="s">
        <v>5</v>
      </c>
      <c r="C1363" s="10" t="s">
        <v>7414</v>
      </c>
      <c r="D1363" s="16" t="s">
        <v>4547</v>
      </c>
      <c r="E1363" s="15" t="s">
        <v>11200</v>
      </c>
      <c r="F1363" s="16" t="str">
        <f>VLOOKUP(Table8[[#This Row],[Mã khách hàng]],code_khach_hang[],2,0)</f>
        <v>CHI NHÁNH THÁI BÌNH - CÔNG TY CỔ PHẦN DỊCH VỤ THƯƠNG MẠI TỔNG HỢP WINCOMMERCE</v>
      </c>
      <c r="G1363" s="16" t="str">
        <f>VLOOKUP(Table8[[#This Row],[Mã khách hàng]],code_khach_hang[],3,0)</f>
        <v>Miền Bắc đặc biệt 3</v>
      </c>
      <c r="H1363" t="str">
        <f>VLOOKUP(Table8[[#This Row],[Mã khách hàng]],'Khách hàng'!A:D,4,0)</f>
        <v>Food Đức Việt</v>
      </c>
      <c r="I1363" t="str">
        <f>VLOOKUP(Table8[[#This Row],[Mã khách hàng]],'Khách hàng'!A:E,5,0)</f>
        <v>HN0040</v>
      </c>
    </row>
    <row r="1364" spans="1:9">
      <c r="A1364" s="14" t="s">
        <v>7499</v>
      </c>
      <c r="B1364" s="15" t="s">
        <v>5</v>
      </c>
      <c r="C1364" s="10" t="s">
        <v>7500</v>
      </c>
      <c r="D1364" s="16" t="s">
        <v>4550</v>
      </c>
      <c r="E1364" s="15" t="s">
        <v>11200</v>
      </c>
      <c r="F1364" s="16" t="str">
        <f>VLOOKUP(Table8[[#This Row],[Mã khách hàng]],code_khach_hang[],2,0)</f>
        <v>CHI NHÁNH THÁI BÌNH - CÔNG TY CỔ PHẦN DỊCH VỤ THƯƠNG MẠI TỔNG HỢP WINCOMMERCE</v>
      </c>
      <c r="G1364" s="16" t="str">
        <f>VLOOKUP(Table8[[#This Row],[Mã khách hàng]],code_khach_hang[],3,0)</f>
        <v>Miền Bắc đặc biệt 3</v>
      </c>
      <c r="H1364" t="str">
        <f>VLOOKUP(Table8[[#This Row],[Mã khách hàng]],'Khách hàng'!A:D,4,0)</f>
        <v>Food Đức Việt</v>
      </c>
      <c r="I1364" t="str">
        <f>VLOOKUP(Table8[[#This Row],[Mã khách hàng]],'Khách hàng'!A:E,5,0)</f>
        <v>HN0040</v>
      </c>
    </row>
    <row r="1365" spans="1:9">
      <c r="A1365" s="14" t="s">
        <v>7661</v>
      </c>
      <c r="B1365" s="15" t="s">
        <v>5</v>
      </c>
      <c r="C1365" s="10" t="s">
        <v>7662</v>
      </c>
      <c r="D1365" s="16" t="s">
        <v>4553</v>
      </c>
      <c r="E1365" s="15" t="s">
        <v>11200</v>
      </c>
      <c r="F1365" s="16" t="str">
        <f>VLOOKUP(Table8[[#This Row],[Mã khách hàng]],code_khach_hang[],2,0)</f>
        <v>CHI NHÁNH THÁI BÌNH - CÔNG TY CỔ PHẦN DỊCH VỤ THƯƠNG MẠI TỔNG HỢP WINCOMMERCE</v>
      </c>
      <c r="G1365" s="16" t="str">
        <f>VLOOKUP(Table8[[#This Row],[Mã khách hàng]],code_khach_hang[],3,0)</f>
        <v>Miền Bắc đặc biệt 3</v>
      </c>
      <c r="H1365" t="str">
        <f>VLOOKUP(Table8[[#This Row],[Mã khách hàng]],'Khách hàng'!A:D,4,0)</f>
        <v>Food Đức Việt</v>
      </c>
      <c r="I1365" t="str">
        <f>VLOOKUP(Table8[[#This Row],[Mã khách hàng]],'Khách hàng'!A:E,5,0)</f>
        <v>HN0040</v>
      </c>
    </row>
    <row r="1366" spans="1:9">
      <c r="A1366" s="14" t="s">
        <v>11114</v>
      </c>
      <c r="B1366" s="15" t="s">
        <v>5</v>
      </c>
      <c r="C1366" s="10" t="s">
        <v>13160</v>
      </c>
      <c r="D1366" s="16" t="s">
        <v>4556</v>
      </c>
      <c r="E1366" s="15" t="s">
        <v>11200</v>
      </c>
      <c r="F1366" s="16" t="str">
        <f>VLOOKUP(Table8[[#This Row],[Mã khách hàng]],code_khach_hang[],2,0)</f>
        <v>CHI NHÁNH THÁI BÌNH - CÔNG TY CỔ PHẦN DỊCH VỤ THƯƠNG MẠI TỔNG HỢP WINCOMMERCE</v>
      </c>
      <c r="G1366" s="16" t="str">
        <f>VLOOKUP(Table8[[#This Row],[Mã khách hàng]],code_khach_hang[],3,0)</f>
        <v>Miền Bắc đặc biệt 3</v>
      </c>
      <c r="H1366" t="str">
        <f>VLOOKUP(Table8[[#This Row],[Mã khách hàng]],'Khách hàng'!A:D,4,0)</f>
        <v>Food Đức Việt</v>
      </c>
      <c r="I1366" t="str">
        <f>VLOOKUP(Table8[[#This Row],[Mã khách hàng]],'Khách hàng'!A:E,5,0)</f>
        <v>HN0040</v>
      </c>
    </row>
    <row r="1367" spans="1:9">
      <c r="A1367" s="14" t="s">
        <v>4707</v>
      </c>
      <c r="B1367" s="15" t="s">
        <v>5</v>
      </c>
      <c r="C1367" s="10" t="s">
        <v>4708</v>
      </c>
      <c r="D1367" s="16" t="s">
        <v>4559</v>
      </c>
      <c r="E1367" s="15" t="s">
        <v>11200</v>
      </c>
      <c r="F1367" s="16" t="str">
        <f>VLOOKUP(Table8[[#This Row],[Mã khách hàng]],code_khach_hang[],2,0)</f>
        <v>CHI NHÁNH THÁI BÌNH - CÔNG TY CỔ PHẦN DỊCH VỤ THƯƠNG MẠI TỔNG HỢP WINCOMMERCE</v>
      </c>
      <c r="G1367" s="16" t="str">
        <f>VLOOKUP(Table8[[#This Row],[Mã khách hàng]],code_khach_hang[],3,0)</f>
        <v>Miền Bắc đặc biệt 3</v>
      </c>
      <c r="H1367" t="str">
        <f>VLOOKUP(Table8[[#This Row],[Mã khách hàng]],'Khách hàng'!A:D,4,0)</f>
        <v>Food Đức Việt</v>
      </c>
      <c r="I1367" t="str">
        <f>VLOOKUP(Table8[[#This Row],[Mã khách hàng]],'Khách hàng'!A:E,5,0)</f>
        <v>HN0040</v>
      </c>
    </row>
    <row r="1368" spans="1:9">
      <c r="A1368" s="14" t="s">
        <v>6303</v>
      </c>
      <c r="B1368" s="15" t="s">
        <v>5</v>
      </c>
      <c r="C1368" s="10" t="s">
        <v>6304</v>
      </c>
      <c r="D1368" s="16" t="s">
        <v>4562</v>
      </c>
      <c r="E1368" s="15" t="s">
        <v>11200</v>
      </c>
      <c r="F1368" s="16" t="str">
        <f>VLOOKUP(Table8[[#This Row],[Mã khách hàng]],code_khach_hang[],2,0)</f>
        <v>CHI NHÁNH THÁI BÌNH - CÔNG TY CỔ PHẦN DỊCH VỤ THƯƠNG MẠI TỔNG HỢP WINCOMMERCE</v>
      </c>
      <c r="G1368" s="16" t="str">
        <f>VLOOKUP(Table8[[#This Row],[Mã khách hàng]],code_khach_hang[],3,0)</f>
        <v>Miền Bắc đặc biệt 3</v>
      </c>
      <c r="H1368" t="str">
        <f>VLOOKUP(Table8[[#This Row],[Mã khách hàng]],'Khách hàng'!A:D,4,0)</f>
        <v>Food Đức Việt</v>
      </c>
      <c r="I1368" t="str">
        <f>VLOOKUP(Table8[[#This Row],[Mã khách hàng]],'Khách hàng'!A:E,5,0)</f>
        <v>HN0040</v>
      </c>
    </row>
    <row r="1369" spans="1:9">
      <c r="A1369" s="14" t="s">
        <v>7243</v>
      </c>
      <c r="B1369" s="15" t="s">
        <v>5</v>
      </c>
      <c r="C1369" s="10" t="s">
        <v>7244</v>
      </c>
      <c r="D1369" s="16" t="s">
        <v>4565</v>
      </c>
      <c r="E1369" s="15" t="s">
        <v>11200</v>
      </c>
      <c r="F1369" s="16" t="str">
        <f>VLOOKUP(Table8[[#This Row],[Mã khách hàng]],code_khach_hang[],2,0)</f>
        <v>CHI NHÁNH THÁI BÌNH - CÔNG TY CỔ PHẦN DỊCH VỤ THƯƠNG MẠI TỔNG HỢP WINCOMMERCE</v>
      </c>
      <c r="G1369" s="16" t="str">
        <f>VLOOKUP(Table8[[#This Row],[Mã khách hàng]],code_khach_hang[],3,0)</f>
        <v>Miền Bắc đặc biệt 3</v>
      </c>
      <c r="H1369" t="str">
        <f>VLOOKUP(Table8[[#This Row],[Mã khách hàng]],'Khách hàng'!A:D,4,0)</f>
        <v>Food Đức Việt</v>
      </c>
      <c r="I1369" t="str">
        <f>VLOOKUP(Table8[[#This Row],[Mã khách hàng]],'Khách hàng'!A:E,5,0)</f>
        <v>HN0040</v>
      </c>
    </row>
    <row r="1370" spans="1:9">
      <c r="A1370" s="14" t="s">
        <v>7246</v>
      </c>
      <c r="B1370" s="15" t="s">
        <v>5</v>
      </c>
      <c r="C1370" s="10" t="s">
        <v>7247</v>
      </c>
      <c r="D1370" s="16" t="s">
        <v>4568</v>
      </c>
      <c r="E1370" s="15" t="s">
        <v>11200</v>
      </c>
      <c r="F1370" s="16" t="str">
        <f>VLOOKUP(Table8[[#This Row],[Mã khách hàng]],code_khach_hang[],2,0)</f>
        <v>CHI NHÁNH THÁI BÌNH - CÔNG TY CỔ PHẦN DỊCH VỤ THƯƠNG MẠI TỔNG HỢP WINCOMMERCE</v>
      </c>
      <c r="G1370" s="16" t="str">
        <f>VLOOKUP(Table8[[#This Row],[Mã khách hàng]],code_khach_hang[],3,0)</f>
        <v>Miền Bắc đặc biệt 3</v>
      </c>
      <c r="H1370" t="str">
        <f>VLOOKUP(Table8[[#This Row],[Mã khách hàng]],'Khách hàng'!A:D,4,0)</f>
        <v>Food Đức Việt</v>
      </c>
      <c r="I1370" t="str">
        <f>VLOOKUP(Table8[[#This Row],[Mã khách hàng]],'Khách hàng'!A:E,5,0)</f>
        <v>HN0040</v>
      </c>
    </row>
    <row r="1371" spans="1:9">
      <c r="A1371" s="14" t="s">
        <v>5055</v>
      </c>
      <c r="B1371" s="15" t="s">
        <v>5</v>
      </c>
      <c r="C1371" s="10" t="s">
        <v>5056</v>
      </c>
      <c r="D1371" s="16" t="s">
        <v>4571</v>
      </c>
      <c r="E1371" s="15" t="s">
        <v>11200</v>
      </c>
      <c r="F1371" s="16" t="str">
        <f>VLOOKUP(Table8[[#This Row],[Mã khách hàng]],code_khach_hang[],2,0)</f>
        <v>CHI NHÁNH THÁI BÌNH - CÔNG TY CỔ PHẦN DỊCH VỤ THƯƠNG MẠI TỔNG HỢP WINCOMMERCE</v>
      </c>
      <c r="G1371" s="16" t="str">
        <f>VLOOKUP(Table8[[#This Row],[Mã khách hàng]],code_khach_hang[],3,0)</f>
        <v>Miền Bắc đặc biệt 3</v>
      </c>
      <c r="H1371" t="str">
        <f>VLOOKUP(Table8[[#This Row],[Mã khách hàng]],'Khách hàng'!A:D,4,0)</f>
        <v>Food Đức Việt</v>
      </c>
      <c r="I1371" t="str">
        <f>VLOOKUP(Table8[[#This Row],[Mã khách hàng]],'Khách hàng'!A:E,5,0)</f>
        <v>HN0040</v>
      </c>
    </row>
    <row r="1372" spans="1:9">
      <c r="A1372" s="14" t="s">
        <v>7107</v>
      </c>
      <c r="B1372" s="15" t="s">
        <v>5</v>
      </c>
      <c r="C1372" s="10" t="s">
        <v>7108</v>
      </c>
      <c r="D1372" s="16" t="s">
        <v>4574</v>
      </c>
      <c r="E1372" s="15" t="s">
        <v>11200</v>
      </c>
      <c r="F1372" s="16" t="str">
        <f>VLOOKUP(Table8[[#This Row],[Mã khách hàng]],code_khach_hang[],2,0)</f>
        <v>CHI NHÁNH THÁI BÌNH - CÔNG TY CỔ PHẦN DỊCH VỤ THƯƠNG MẠI TỔNG HỢP WINCOMMERCE</v>
      </c>
      <c r="G1372" s="16" t="str">
        <f>VLOOKUP(Table8[[#This Row],[Mã khách hàng]],code_khach_hang[],3,0)</f>
        <v>Miền Bắc đặc biệt 3</v>
      </c>
      <c r="H1372" t="str">
        <f>VLOOKUP(Table8[[#This Row],[Mã khách hàng]],'Khách hàng'!A:D,4,0)</f>
        <v>Food Đức Việt</v>
      </c>
      <c r="I1372" t="str">
        <f>VLOOKUP(Table8[[#This Row],[Mã khách hàng]],'Khách hàng'!A:E,5,0)</f>
        <v>HN0040</v>
      </c>
    </row>
    <row r="1373" spans="1:9">
      <c r="A1373" s="14" t="s">
        <v>8049</v>
      </c>
      <c r="B1373" s="15" t="s">
        <v>5</v>
      </c>
      <c r="C1373" s="10" t="s">
        <v>8050</v>
      </c>
      <c r="D1373" s="16" t="s">
        <v>4577</v>
      </c>
      <c r="E1373" s="15" t="s">
        <v>11200</v>
      </c>
      <c r="F1373" s="16" t="str">
        <f>VLOOKUP(Table8[[#This Row],[Mã khách hàng]],code_khach_hang[],2,0)</f>
        <v>CHI NHÁNH THÁI BÌNH - CÔNG TY CỔ PHẦN DỊCH VỤ THƯƠNG MẠI TỔNG HỢP WINCOMMERCE</v>
      </c>
      <c r="G1373" s="16" t="str">
        <f>VLOOKUP(Table8[[#This Row],[Mã khách hàng]],code_khach_hang[],3,0)</f>
        <v>Miền Bắc đặc biệt 3</v>
      </c>
      <c r="H1373" t="str">
        <f>VLOOKUP(Table8[[#This Row],[Mã khách hàng]],'Khách hàng'!A:D,4,0)</f>
        <v>Food Đức Việt</v>
      </c>
      <c r="I1373" t="str">
        <f>VLOOKUP(Table8[[#This Row],[Mã khách hàng]],'Khách hàng'!A:E,5,0)</f>
        <v>HN0040</v>
      </c>
    </row>
    <row r="1374" spans="1:9">
      <c r="A1374" s="14" t="s">
        <v>7679</v>
      </c>
      <c r="B1374" s="15" t="s">
        <v>5</v>
      </c>
      <c r="C1374" s="10" t="s">
        <v>7680</v>
      </c>
      <c r="D1374" s="16" t="s">
        <v>4580</v>
      </c>
      <c r="E1374" s="15" t="s">
        <v>11200</v>
      </c>
      <c r="F1374" s="16" t="str">
        <f>VLOOKUP(Table8[[#This Row],[Mã khách hàng]],code_khach_hang[],2,0)</f>
        <v>CHI NHÁNH THÁI BÌNH - CÔNG TY CỔ PHẦN DỊCH VỤ THƯƠNG MẠI TỔNG HỢP WINCOMMERCE</v>
      </c>
      <c r="G1374" s="16" t="str">
        <f>VLOOKUP(Table8[[#This Row],[Mã khách hàng]],code_khach_hang[],3,0)</f>
        <v>Miền Bắc đặc biệt 3</v>
      </c>
      <c r="H1374" t="str">
        <f>VLOOKUP(Table8[[#This Row],[Mã khách hàng]],'Khách hàng'!A:D,4,0)</f>
        <v>Food Đức Việt</v>
      </c>
      <c r="I1374" t="str">
        <f>VLOOKUP(Table8[[#This Row],[Mã khách hàng]],'Khách hàng'!A:E,5,0)</f>
        <v>HN0040</v>
      </c>
    </row>
    <row r="1375" spans="1:9">
      <c r="A1375" s="14" t="s">
        <v>7892</v>
      </c>
      <c r="B1375" s="15" t="s">
        <v>5</v>
      </c>
      <c r="C1375" s="10" t="s">
        <v>7893</v>
      </c>
      <c r="D1375" s="16" t="s">
        <v>4583</v>
      </c>
      <c r="E1375" s="15" t="s">
        <v>11200</v>
      </c>
      <c r="F1375" s="16" t="str">
        <f>VLOOKUP(Table8[[#This Row],[Mã khách hàng]],code_khach_hang[],2,0)</f>
        <v>CHI NHÁNH THÁI BÌNH - CÔNG TY CỔ PHẦN DỊCH VỤ THƯƠNG MẠI TỔNG HỢP WINCOMMERCE</v>
      </c>
      <c r="G1375" s="16" t="str">
        <f>VLOOKUP(Table8[[#This Row],[Mã khách hàng]],code_khach_hang[],3,0)</f>
        <v>Miền Bắc đặc biệt 3</v>
      </c>
      <c r="H1375" t="str">
        <f>VLOOKUP(Table8[[#This Row],[Mã khách hàng]],'Khách hàng'!A:D,4,0)</f>
        <v>Food Đức Việt</v>
      </c>
      <c r="I1375" t="str">
        <f>VLOOKUP(Table8[[#This Row],[Mã khách hàng]],'Khách hàng'!A:E,5,0)</f>
        <v>HN0040</v>
      </c>
    </row>
    <row r="1376" spans="1:9">
      <c r="A1376" s="14" t="s">
        <v>8588</v>
      </c>
      <c r="B1376" s="15" t="s">
        <v>5</v>
      </c>
      <c r="C1376" s="10" t="s">
        <v>8589</v>
      </c>
      <c r="D1376" s="16" t="s">
        <v>4586</v>
      </c>
      <c r="E1376" s="15" t="s">
        <v>11200</v>
      </c>
      <c r="F1376" s="16" t="str">
        <f>VLOOKUP(Table8[[#This Row],[Mã khách hàng]],code_khach_hang[],2,0)</f>
        <v>CHI NHÁNH THÁI BÌNH - CÔNG TY CỔ PHẦN DỊCH VỤ THƯƠNG MẠI TỔNG HỢP WINCOMMERCE</v>
      </c>
      <c r="G1376" s="16" t="str">
        <f>VLOOKUP(Table8[[#This Row],[Mã khách hàng]],code_khach_hang[],3,0)</f>
        <v>Miền Bắc đặc biệt 3</v>
      </c>
      <c r="H1376" t="str">
        <f>VLOOKUP(Table8[[#This Row],[Mã khách hàng]],'Khách hàng'!A:D,4,0)</f>
        <v>Food Đức Việt</v>
      </c>
      <c r="I1376" t="str">
        <f>VLOOKUP(Table8[[#This Row],[Mã khách hàng]],'Khách hàng'!A:E,5,0)</f>
        <v>HN0040</v>
      </c>
    </row>
    <row r="1377" spans="1:9">
      <c r="A1377" s="14" t="s">
        <v>8591</v>
      </c>
      <c r="B1377" s="15" t="s">
        <v>5</v>
      </c>
      <c r="C1377" s="10" t="s">
        <v>8592</v>
      </c>
      <c r="D1377" s="16" t="s">
        <v>4589</v>
      </c>
      <c r="E1377" s="15" t="s">
        <v>11200</v>
      </c>
      <c r="F1377" s="16" t="str">
        <f>VLOOKUP(Table8[[#This Row],[Mã khách hàng]],code_khach_hang[],2,0)</f>
        <v>CHI NHÁNH THÁI BÌNH - CÔNG TY CỔ PHẦN DỊCH VỤ THƯƠNG MẠI TỔNG HỢP WINCOMMERCE</v>
      </c>
      <c r="G1377" s="16" t="str">
        <f>VLOOKUP(Table8[[#This Row],[Mã khách hàng]],code_khach_hang[],3,0)</f>
        <v>Miền Bắc đặc biệt 3</v>
      </c>
      <c r="H1377" t="str">
        <f>VLOOKUP(Table8[[#This Row],[Mã khách hàng]],'Khách hàng'!A:D,4,0)</f>
        <v>Food Đức Việt</v>
      </c>
      <c r="I1377" t="str">
        <f>VLOOKUP(Table8[[#This Row],[Mã khách hàng]],'Khách hàng'!A:E,5,0)</f>
        <v>HN0040</v>
      </c>
    </row>
    <row r="1378" spans="1:9">
      <c r="A1378" s="14" t="s">
        <v>8694</v>
      </c>
      <c r="B1378" s="15" t="s">
        <v>5</v>
      </c>
      <c r="C1378" s="10" t="s">
        <v>8695</v>
      </c>
      <c r="D1378" s="16" t="s">
        <v>4592</v>
      </c>
      <c r="E1378" s="15" t="s">
        <v>11200</v>
      </c>
      <c r="F1378" s="16" t="str">
        <f>VLOOKUP(Table8[[#This Row],[Mã khách hàng]],code_khach_hang[],2,0)</f>
        <v>CHI NHÁNH THÁI BÌNH - CÔNG TY CỔ PHẦN DỊCH VỤ THƯƠNG MẠI TỔNG HỢP WINCOMMERCE</v>
      </c>
      <c r="G1378" s="16" t="str">
        <f>VLOOKUP(Table8[[#This Row],[Mã khách hàng]],code_khach_hang[],3,0)</f>
        <v>Miền Bắc đặc biệt 3</v>
      </c>
      <c r="H1378" t="str">
        <f>VLOOKUP(Table8[[#This Row],[Mã khách hàng]],'Khách hàng'!A:D,4,0)</f>
        <v>Food Đức Việt</v>
      </c>
      <c r="I1378" t="str">
        <f>VLOOKUP(Table8[[#This Row],[Mã khách hàng]],'Khách hàng'!A:E,5,0)</f>
        <v>HN0040</v>
      </c>
    </row>
    <row r="1379" spans="1:9">
      <c r="A1379" s="14" t="s">
        <v>7202</v>
      </c>
      <c r="B1379" s="15" t="s">
        <v>5</v>
      </c>
      <c r="C1379" s="10" t="s">
        <v>7203</v>
      </c>
      <c r="D1379" s="16" t="s">
        <v>4595</v>
      </c>
      <c r="E1379" s="15" t="s">
        <v>11215</v>
      </c>
      <c r="F1379" s="16" t="str">
        <f>VLOOKUP(Table8[[#This Row],[Mã khách hàng]],code_khach_hang[],2,0)</f>
        <v>CHI NHÁNH HÀ NỘI - CÔNG TY CỔ PHẦN DỊCH VỤ THƯƠNG MẠI TỔNG HỢP WINCOMMERCE</v>
      </c>
      <c r="G1379" s="16" t="str">
        <f>VLOOKUP(Table8[[#This Row],[Mã khách hàng]],code_khach_hang[],3,0)</f>
        <v>Miền Bắc đặc biệt 1</v>
      </c>
      <c r="H1379" t="str">
        <f>VLOOKUP(Table8[[#This Row],[Mã khách hàng]],'Khách hàng'!A:D,4,0)</f>
        <v>Food Đức Việt</v>
      </c>
      <c r="I1379" t="str">
        <f>VLOOKUP(Table8[[#This Row],[Mã khách hàng]],'Khách hàng'!A:E,5,0)</f>
        <v>HN0040</v>
      </c>
    </row>
    <row r="1380" spans="1:9">
      <c r="A1380" s="14" t="s">
        <v>8451</v>
      </c>
      <c r="B1380" s="15" t="s">
        <v>5</v>
      </c>
      <c r="C1380" s="10" t="s">
        <v>8452</v>
      </c>
      <c r="D1380" s="16" t="s">
        <v>4598</v>
      </c>
      <c r="E1380" s="15" t="s">
        <v>11215</v>
      </c>
      <c r="F1380" s="16" t="str">
        <f>VLOOKUP(Table8[[#This Row],[Mã khách hàng]],code_khach_hang[],2,0)</f>
        <v>CHI NHÁNH HÀ NỘI - CÔNG TY CỔ PHẦN DỊCH VỤ THƯƠNG MẠI TỔNG HỢP WINCOMMERCE</v>
      </c>
      <c r="G1380" s="16" t="str">
        <f>VLOOKUP(Table8[[#This Row],[Mã khách hàng]],code_khach_hang[],3,0)</f>
        <v>Miền Bắc đặc biệt 1</v>
      </c>
      <c r="H1380" t="str">
        <f>VLOOKUP(Table8[[#This Row],[Mã khách hàng]],'Khách hàng'!A:D,4,0)</f>
        <v>Food Đức Việt</v>
      </c>
      <c r="I1380" t="str">
        <f>VLOOKUP(Table8[[#This Row],[Mã khách hàng]],'Khách hàng'!A:E,5,0)</f>
        <v>HN0040</v>
      </c>
    </row>
    <row r="1381" spans="1:9">
      <c r="A1381" s="14" t="s">
        <v>8756</v>
      </c>
      <c r="B1381" s="15" t="s">
        <v>5</v>
      </c>
      <c r="C1381" s="10" t="s">
        <v>8757</v>
      </c>
      <c r="D1381" s="16" t="s">
        <v>4601</v>
      </c>
      <c r="E1381" s="15" t="s">
        <v>11210</v>
      </c>
      <c r="F1381" s="16" t="str">
        <f>VLOOKUP(Table8[[#This Row],[Mã khách hàng]],code_khach_hang[],2,0)</f>
        <v>CHI NHÁNH HÀ NAM - CÔNG TY CỔ PHẦN DỊCH VỤ THƯƠNG MẠI TỔNG HỢP WINCOMMERCE</v>
      </c>
      <c r="G1381" s="16" t="str">
        <f>VLOOKUP(Table8[[#This Row],[Mã khách hàng]],code_khach_hang[],3,0)</f>
        <v>Miền Bắc đặc biệt 3</v>
      </c>
      <c r="H1381" t="str">
        <f>VLOOKUP(Table8[[#This Row],[Mã khách hàng]],'Khách hàng'!A:D,4,0)</f>
        <v>Food Đức Việt</v>
      </c>
      <c r="I1381" t="str">
        <f>VLOOKUP(Table8[[#This Row],[Mã khách hàng]],'Khách hàng'!A:E,5,0)</f>
        <v>HN0040</v>
      </c>
    </row>
    <row r="1382" spans="1:9">
      <c r="A1382" s="14" t="s">
        <v>8913</v>
      </c>
      <c r="B1382" s="15" t="s">
        <v>5</v>
      </c>
      <c r="C1382" s="10" t="s">
        <v>8914</v>
      </c>
      <c r="D1382" s="16" t="s">
        <v>4604</v>
      </c>
      <c r="E1382" s="15" t="s">
        <v>11219</v>
      </c>
      <c r="F1382" s="16" t="str">
        <f>VLOOKUP(Table8[[#This Row],[Mã khách hàng]],code_khach_hang[],2,0)</f>
        <v>CHI NHÁNH NAM ĐỊNH - CÔNG TY CỔ PHẦN DỊCH VỤ THƯƠNG MẠI TỔNG HỢP WINCOMMERCE</v>
      </c>
      <c r="G1382" s="16" t="str">
        <f>VLOOKUP(Table8[[#This Row],[Mã khách hàng]],code_khach_hang[],3,0)</f>
        <v>Miền Bắc đặc biệt 3</v>
      </c>
      <c r="H1382" t="str">
        <f>VLOOKUP(Table8[[#This Row],[Mã khách hàng]],'Khách hàng'!A:D,4,0)</f>
        <v>Food Đức Việt</v>
      </c>
      <c r="I1382" t="str">
        <f>VLOOKUP(Table8[[#This Row],[Mã khách hàng]],'Khách hàng'!A:E,5,0)</f>
        <v>HN0040</v>
      </c>
    </row>
    <row r="1383" spans="1:9">
      <c r="A1383" s="14" t="s">
        <v>8774</v>
      </c>
      <c r="B1383" s="15" t="s">
        <v>5</v>
      </c>
      <c r="C1383" s="10" t="s">
        <v>8775</v>
      </c>
      <c r="D1383" s="16" t="s">
        <v>4607</v>
      </c>
      <c r="E1383" s="15" t="s">
        <v>11210</v>
      </c>
      <c r="F1383" s="16" t="str">
        <f>VLOOKUP(Table8[[#This Row],[Mã khách hàng]],code_khach_hang[],2,0)</f>
        <v>CHI NHÁNH HÀ NAM - CÔNG TY CỔ PHẦN DỊCH VỤ THƯƠNG MẠI TỔNG HỢP WINCOMMERCE</v>
      </c>
      <c r="G1383" s="16" t="str">
        <f>VLOOKUP(Table8[[#This Row],[Mã khách hàng]],code_khach_hang[],3,0)</f>
        <v>Miền Bắc đặc biệt 3</v>
      </c>
      <c r="H1383" t="str">
        <f>VLOOKUP(Table8[[#This Row],[Mã khách hàng]],'Khách hàng'!A:D,4,0)</f>
        <v>Food Đức Việt</v>
      </c>
      <c r="I1383" t="str">
        <f>VLOOKUP(Table8[[#This Row],[Mã khách hàng]],'Khách hàng'!A:E,5,0)</f>
        <v>HN0040</v>
      </c>
    </row>
    <row r="1384" spans="1:9">
      <c r="A1384" s="14" t="s">
        <v>8916</v>
      </c>
      <c r="B1384" s="15" t="s">
        <v>5</v>
      </c>
      <c r="C1384" s="10" t="s">
        <v>8917</v>
      </c>
      <c r="D1384" s="16" t="s">
        <v>4610</v>
      </c>
      <c r="E1384" s="15" t="s">
        <v>11215</v>
      </c>
      <c r="F1384" s="16" t="str">
        <f>VLOOKUP(Table8[[#This Row],[Mã khách hàng]],code_khach_hang[],2,0)</f>
        <v>CHI NHÁNH HÀ NỘI - CÔNG TY CỔ PHẦN DỊCH VỤ THƯƠNG MẠI TỔNG HỢP WINCOMMERCE</v>
      </c>
      <c r="G1384" s="16" t="str">
        <f>VLOOKUP(Table8[[#This Row],[Mã khách hàng]],code_khach_hang[],3,0)</f>
        <v>Miền Bắc đặc biệt 1</v>
      </c>
      <c r="H1384" t="str">
        <f>VLOOKUP(Table8[[#This Row],[Mã khách hàng]],'Khách hàng'!A:D,4,0)</f>
        <v>Food Đức Việt</v>
      </c>
      <c r="I1384" t="str">
        <f>VLOOKUP(Table8[[#This Row],[Mã khách hàng]],'Khách hàng'!A:E,5,0)</f>
        <v>HN0040</v>
      </c>
    </row>
    <row r="1385" spans="1:9">
      <c r="A1385" s="14" t="s">
        <v>8953</v>
      </c>
      <c r="B1385" s="15" t="s">
        <v>5</v>
      </c>
      <c r="C1385" s="10" t="s">
        <v>8954</v>
      </c>
      <c r="D1385" s="16" t="s">
        <v>4613</v>
      </c>
      <c r="E1385" s="15" t="s">
        <v>11215</v>
      </c>
      <c r="F1385" s="16" t="str">
        <f>VLOOKUP(Table8[[#This Row],[Mã khách hàng]],code_khach_hang[],2,0)</f>
        <v>CHI NHÁNH HÀ NỘI - CÔNG TY CỔ PHẦN DỊCH VỤ THƯƠNG MẠI TỔNG HỢP WINCOMMERCE</v>
      </c>
      <c r="G1385" s="16" t="str">
        <f>VLOOKUP(Table8[[#This Row],[Mã khách hàng]],code_khach_hang[],3,0)</f>
        <v>Miền Bắc đặc biệt 1</v>
      </c>
      <c r="H1385" t="str">
        <f>VLOOKUP(Table8[[#This Row],[Mã khách hàng]],'Khách hàng'!A:D,4,0)</f>
        <v>Food Đức Việt</v>
      </c>
      <c r="I1385" t="str">
        <f>VLOOKUP(Table8[[#This Row],[Mã khách hàng]],'Khách hàng'!A:E,5,0)</f>
        <v>HN0040</v>
      </c>
    </row>
    <row r="1386" spans="1:9">
      <c r="A1386" s="14" t="s">
        <v>8898</v>
      </c>
      <c r="B1386" s="15" t="s">
        <v>5</v>
      </c>
      <c r="C1386" s="10" t="s">
        <v>8899</v>
      </c>
      <c r="D1386" s="16" t="s">
        <v>4616</v>
      </c>
      <c r="E1386" s="15" t="s">
        <v>11215</v>
      </c>
      <c r="F1386" s="16" t="str">
        <f>VLOOKUP(Table8[[#This Row],[Mã khách hàng]],code_khach_hang[],2,0)</f>
        <v>CHI NHÁNH HÀ NỘI - CÔNG TY CỔ PHẦN DỊCH VỤ THƯƠNG MẠI TỔNG HỢP WINCOMMERCE</v>
      </c>
      <c r="G1386" s="16" t="str">
        <f>VLOOKUP(Table8[[#This Row],[Mã khách hàng]],code_khach_hang[],3,0)</f>
        <v>Miền Bắc đặc biệt 1</v>
      </c>
      <c r="H1386" t="str">
        <f>VLOOKUP(Table8[[#This Row],[Mã khách hàng]],'Khách hàng'!A:D,4,0)</f>
        <v>Food Đức Việt</v>
      </c>
      <c r="I1386" t="str">
        <f>VLOOKUP(Table8[[#This Row],[Mã khách hàng]],'Khách hàng'!A:E,5,0)</f>
        <v>HN0040</v>
      </c>
    </row>
    <row r="1387" spans="1:9">
      <c r="A1387" s="14" t="s">
        <v>9004</v>
      </c>
      <c r="B1387" s="15" t="s">
        <v>5</v>
      </c>
      <c r="C1387" s="10" t="s">
        <v>9005</v>
      </c>
      <c r="D1387" s="16" t="s">
        <v>4619</v>
      </c>
      <c r="E1387" s="15" t="s">
        <v>11200</v>
      </c>
      <c r="F1387" s="16" t="str">
        <f>VLOOKUP(Table8[[#This Row],[Mã khách hàng]],code_khach_hang[],2,0)</f>
        <v>CHI NHÁNH THÁI BÌNH - CÔNG TY CỔ PHẦN DỊCH VỤ THƯƠNG MẠI TỔNG HỢP WINCOMMERCE</v>
      </c>
      <c r="G1387" s="16" t="str">
        <f>VLOOKUP(Table8[[#This Row],[Mã khách hàng]],code_khach_hang[],3,0)</f>
        <v>Miền Bắc đặc biệt 3</v>
      </c>
      <c r="H1387" t="str">
        <f>VLOOKUP(Table8[[#This Row],[Mã khách hàng]],'Khách hàng'!A:D,4,0)</f>
        <v>Food Đức Việt</v>
      </c>
      <c r="I1387" t="str">
        <f>VLOOKUP(Table8[[#This Row],[Mã khách hàng]],'Khách hàng'!A:E,5,0)</f>
        <v>HN0040</v>
      </c>
    </row>
    <row r="1388" spans="1:9">
      <c r="A1388" s="14" t="s">
        <v>8919</v>
      </c>
      <c r="B1388" s="15" t="s">
        <v>5</v>
      </c>
      <c r="C1388" s="10" t="s">
        <v>8920</v>
      </c>
      <c r="D1388" s="16" t="s">
        <v>4622</v>
      </c>
      <c r="E1388" s="15" t="s">
        <v>11209</v>
      </c>
      <c r="F1388" s="16" t="str">
        <f>VLOOKUP(Table8[[#This Row],[Mã khách hàng]],code_khach_hang[],2,0)</f>
        <v>CHI NHÁNH QUẢNG BÌNH - CÔNG TY CỔ PHẦN DỊCH VỤ THƯƠNG MẠI TỔNG HỢP WINCOMMERCE</v>
      </c>
      <c r="G1388" s="16" t="str">
        <f>VLOOKUP(Table8[[#This Row],[Mã khách hàng]],code_khach_hang[],3,0)</f>
        <v>Miền Trung đặc biệt 1</v>
      </c>
      <c r="H1388" t="str">
        <f>VLOOKUP(Table8[[#This Row],[Mã khách hàng]],'Khách hàng'!A:D,4,0)</f>
        <v>Food Đức Việt</v>
      </c>
      <c r="I1388" t="str">
        <f>VLOOKUP(Table8[[#This Row],[Mã khách hàng]],'Khách hàng'!A:E,5,0)</f>
        <v>HN0040</v>
      </c>
    </row>
    <row r="1389" spans="1:9">
      <c r="A1389" s="14" t="s">
        <v>8962</v>
      </c>
      <c r="B1389" s="15" t="s">
        <v>5</v>
      </c>
      <c r="C1389" s="10" t="s">
        <v>8963</v>
      </c>
      <c r="D1389" s="16" t="s">
        <v>4625</v>
      </c>
      <c r="E1389" s="15" t="s">
        <v>11219</v>
      </c>
      <c r="F1389" s="16" t="str">
        <f>VLOOKUP(Table8[[#This Row],[Mã khách hàng]],code_khach_hang[],2,0)</f>
        <v>CHI NHÁNH NAM ĐỊNH - CÔNG TY CỔ PHẦN DỊCH VỤ THƯƠNG MẠI TỔNG HỢP WINCOMMERCE</v>
      </c>
      <c r="G1389" s="16" t="str">
        <f>VLOOKUP(Table8[[#This Row],[Mã khách hàng]],code_khach_hang[],3,0)</f>
        <v>Miền Bắc đặc biệt 3</v>
      </c>
      <c r="H1389" t="str">
        <f>VLOOKUP(Table8[[#This Row],[Mã khách hàng]],'Khách hàng'!A:D,4,0)</f>
        <v>Food Đức Việt</v>
      </c>
      <c r="I1389" t="str">
        <f>VLOOKUP(Table8[[#This Row],[Mã khách hàng]],'Khách hàng'!A:E,5,0)</f>
        <v>HN0040</v>
      </c>
    </row>
    <row r="1390" spans="1:9">
      <c r="A1390" s="14" t="s">
        <v>8989</v>
      </c>
      <c r="B1390" s="15" t="s">
        <v>5</v>
      </c>
      <c r="C1390" s="10" t="s">
        <v>8990</v>
      </c>
      <c r="D1390" s="16" t="s">
        <v>4628</v>
      </c>
      <c r="E1390" s="15" t="s">
        <v>11200</v>
      </c>
      <c r="F1390" s="16" t="str">
        <f>VLOOKUP(Table8[[#This Row],[Mã khách hàng]],code_khach_hang[],2,0)</f>
        <v>CHI NHÁNH THÁI BÌNH - CÔNG TY CỔ PHẦN DỊCH VỤ THƯƠNG MẠI TỔNG HỢP WINCOMMERCE</v>
      </c>
      <c r="G1390" s="16" t="str">
        <f>VLOOKUP(Table8[[#This Row],[Mã khách hàng]],code_khach_hang[],3,0)</f>
        <v>Miền Bắc đặc biệt 3</v>
      </c>
      <c r="H1390" t="str">
        <f>VLOOKUP(Table8[[#This Row],[Mã khách hàng]],'Khách hàng'!A:D,4,0)</f>
        <v>Food Đức Việt</v>
      </c>
      <c r="I1390" t="str">
        <f>VLOOKUP(Table8[[#This Row],[Mã khách hàng]],'Khách hàng'!A:E,5,0)</f>
        <v>HN0040</v>
      </c>
    </row>
    <row r="1391" spans="1:9">
      <c r="A1391" s="14" t="s">
        <v>8959</v>
      </c>
      <c r="B1391" s="15" t="s">
        <v>5</v>
      </c>
      <c r="C1391" s="10" t="s">
        <v>8960</v>
      </c>
      <c r="D1391" s="16" t="s">
        <v>4631</v>
      </c>
      <c r="E1391" s="15" t="s">
        <v>11215</v>
      </c>
      <c r="F1391" s="16" t="str">
        <f>VLOOKUP(Table8[[#This Row],[Mã khách hàng]],code_khach_hang[],2,0)</f>
        <v>CHI NHÁNH HÀ NỘI - CÔNG TY CỔ PHẦN DỊCH VỤ THƯƠNG MẠI TỔNG HỢP WINCOMMERCE</v>
      </c>
      <c r="G1391" s="16" t="str">
        <f>VLOOKUP(Table8[[#This Row],[Mã khách hàng]],code_khach_hang[],3,0)</f>
        <v>Miền Bắc đặc biệt 1</v>
      </c>
      <c r="H1391" t="str">
        <f>VLOOKUP(Table8[[#This Row],[Mã khách hàng]],'Khách hàng'!A:D,4,0)</f>
        <v>Food Đức Việt</v>
      </c>
      <c r="I1391" t="str">
        <f>VLOOKUP(Table8[[#This Row],[Mã khách hàng]],'Khách hàng'!A:E,5,0)</f>
        <v>HN0040</v>
      </c>
    </row>
    <row r="1392" spans="1:9">
      <c r="A1392" s="14" t="s">
        <v>9019</v>
      </c>
      <c r="B1392" s="15" t="s">
        <v>5</v>
      </c>
      <c r="C1392" s="10" t="s">
        <v>9020</v>
      </c>
      <c r="D1392" s="16" t="s">
        <v>4634</v>
      </c>
      <c r="E1392" s="15" t="s">
        <v>11200</v>
      </c>
      <c r="F1392" s="16" t="str">
        <f>VLOOKUP(Table8[[#This Row],[Mã khách hàng]],code_khach_hang[],2,0)</f>
        <v>CHI NHÁNH THÁI BÌNH - CÔNG TY CỔ PHẦN DỊCH VỤ THƯƠNG MẠI TỔNG HỢP WINCOMMERCE</v>
      </c>
      <c r="G1392" s="16" t="str">
        <f>VLOOKUP(Table8[[#This Row],[Mã khách hàng]],code_khach_hang[],3,0)</f>
        <v>Miền Bắc đặc biệt 3</v>
      </c>
      <c r="H1392" t="str">
        <f>VLOOKUP(Table8[[#This Row],[Mã khách hàng]],'Khách hàng'!A:D,4,0)</f>
        <v>Food Đức Việt</v>
      </c>
      <c r="I1392" t="str">
        <f>VLOOKUP(Table8[[#This Row],[Mã khách hàng]],'Khách hàng'!A:E,5,0)</f>
        <v>HN0040</v>
      </c>
    </row>
    <row r="1393" spans="1:9">
      <c r="A1393" s="14" t="s">
        <v>8974</v>
      </c>
      <c r="B1393" s="15" t="s">
        <v>5</v>
      </c>
      <c r="C1393" s="10" t="s">
        <v>8975</v>
      </c>
      <c r="D1393" s="16" t="s">
        <v>4637</v>
      </c>
      <c r="E1393" s="15" t="s">
        <v>11205</v>
      </c>
      <c r="F1393" s="16" t="str">
        <f>VLOOKUP(Table8[[#This Row],[Mã khách hàng]],code_khach_hang[],2,0)</f>
        <v>CHI NHÁNH HÀ TĨNH - CÔNG TY CỔ PHẦN DỊCH VỤ THƯƠNG MẠI TỔNG HỢP WINCOMMERCE</v>
      </c>
      <c r="G1393" s="16" t="str">
        <f>VLOOKUP(Table8[[#This Row],[Mã khách hàng]],code_khach_hang[],3,0)</f>
        <v>Miền Trung đặc biệt 1</v>
      </c>
      <c r="H1393" t="str">
        <f>VLOOKUP(Table8[[#This Row],[Mã khách hàng]],'Khách hàng'!A:D,4,0)</f>
        <v>Food Đức Việt</v>
      </c>
      <c r="I1393" t="str">
        <f>VLOOKUP(Table8[[#This Row],[Mã khách hàng]],'Khách hàng'!A:E,5,0)</f>
        <v>HN0040</v>
      </c>
    </row>
    <row r="1394" spans="1:9">
      <c r="A1394" s="14" t="s">
        <v>9049</v>
      </c>
      <c r="B1394" s="15" t="s">
        <v>5</v>
      </c>
      <c r="C1394" s="10" t="s">
        <v>9050</v>
      </c>
      <c r="D1394" s="16" t="s">
        <v>4640</v>
      </c>
      <c r="E1394" s="15" t="s">
        <v>11219</v>
      </c>
      <c r="F1394" s="16" t="str">
        <f>VLOOKUP(Table8[[#This Row],[Mã khách hàng]],code_khach_hang[],2,0)</f>
        <v>CHI NHÁNH NAM ĐỊNH - CÔNG TY CỔ PHẦN DỊCH VỤ THƯƠNG MẠI TỔNG HỢP WINCOMMERCE</v>
      </c>
      <c r="G1394" s="16" t="str">
        <f>VLOOKUP(Table8[[#This Row],[Mã khách hàng]],code_khach_hang[],3,0)</f>
        <v>Miền Bắc đặc biệt 3</v>
      </c>
      <c r="H1394" t="str">
        <f>VLOOKUP(Table8[[#This Row],[Mã khách hàng]],'Khách hàng'!A:D,4,0)</f>
        <v>Food Đức Việt</v>
      </c>
      <c r="I1394" t="str">
        <f>VLOOKUP(Table8[[#This Row],[Mã khách hàng]],'Khách hàng'!A:E,5,0)</f>
        <v>HN0040</v>
      </c>
    </row>
    <row r="1395" spans="1:9">
      <c r="A1395" s="14" t="s">
        <v>9070</v>
      </c>
      <c r="B1395" s="15" t="s">
        <v>5</v>
      </c>
      <c r="C1395" s="10" t="s">
        <v>9071</v>
      </c>
      <c r="D1395" s="16" t="s">
        <v>4643</v>
      </c>
      <c r="E1395" s="15" t="s">
        <v>11219</v>
      </c>
      <c r="F1395" s="16" t="str">
        <f>VLOOKUP(Table8[[#This Row],[Mã khách hàng]],code_khach_hang[],2,0)</f>
        <v>CHI NHÁNH NAM ĐỊNH - CÔNG TY CỔ PHẦN DỊCH VỤ THƯƠNG MẠI TỔNG HỢP WINCOMMERCE</v>
      </c>
      <c r="G1395" s="16" t="str">
        <f>VLOOKUP(Table8[[#This Row],[Mã khách hàng]],code_khach_hang[],3,0)</f>
        <v>Miền Bắc đặc biệt 3</v>
      </c>
      <c r="H1395" t="str">
        <f>VLOOKUP(Table8[[#This Row],[Mã khách hàng]],'Khách hàng'!A:D,4,0)</f>
        <v>Food Đức Việt</v>
      </c>
      <c r="I1395" t="str">
        <f>VLOOKUP(Table8[[#This Row],[Mã khách hàng]],'Khách hàng'!A:E,5,0)</f>
        <v>HN0040</v>
      </c>
    </row>
    <row r="1396" spans="1:9">
      <c r="A1396" s="14" t="s">
        <v>9091</v>
      </c>
      <c r="B1396" s="15" t="s">
        <v>5</v>
      </c>
      <c r="C1396" s="10" t="s">
        <v>9092</v>
      </c>
      <c r="D1396" s="16" t="s">
        <v>4646</v>
      </c>
      <c r="E1396" s="15" t="s">
        <v>11219</v>
      </c>
      <c r="F1396" s="16" t="str">
        <f>VLOOKUP(Table8[[#This Row],[Mã khách hàng]],code_khach_hang[],2,0)</f>
        <v>CHI NHÁNH NAM ĐỊNH - CÔNG TY CỔ PHẦN DỊCH VỤ THƯƠNG MẠI TỔNG HỢP WINCOMMERCE</v>
      </c>
      <c r="G1396" s="16" t="str">
        <f>VLOOKUP(Table8[[#This Row],[Mã khách hàng]],code_khach_hang[],3,0)</f>
        <v>Miền Bắc đặc biệt 3</v>
      </c>
      <c r="H1396" t="str">
        <f>VLOOKUP(Table8[[#This Row],[Mã khách hàng]],'Khách hàng'!A:D,4,0)</f>
        <v>Food Đức Việt</v>
      </c>
      <c r="I1396" t="str">
        <f>VLOOKUP(Table8[[#This Row],[Mã khách hàng]],'Khách hàng'!A:E,5,0)</f>
        <v>HN0040</v>
      </c>
    </row>
    <row r="1397" spans="1:9">
      <c r="A1397" s="14" t="s">
        <v>8895</v>
      </c>
      <c r="B1397" s="15" t="s">
        <v>5</v>
      </c>
      <c r="C1397" s="10" t="s">
        <v>8896</v>
      </c>
      <c r="D1397" s="16" t="s">
        <v>4649</v>
      </c>
      <c r="E1397" s="15" t="s">
        <v>11215</v>
      </c>
      <c r="F1397" s="16" t="str">
        <f>VLOOKUP(Table8[[#This Row],[Mã khách hàng]],code_khach_hang[],2,0)</f>
        <v>CHI NHÁNH HÀ NỘI - CÔNG TY CỔ PHẦN DỊCH VỤ THƯƠNG MẠI TỔNG HỢP WINCOMMERCE</v>
      </c>
      <c r="G1397" s="16" t="str">
        <f>VLOOKUP(Table8[[#This Row],[Mã khách hàng]],code_khach_hang[],3,0)</f>
        <v>Miền Bắc đặc biệt 1</v>
      </c>
      <c r="H1397" t="str">
        <f>VLOOKUP(Table8[[#This Row],[Mã khách hàng]],'Khách hàng'!A:D,4,0)</f>
        <v>Food Đức Việt</v>
      </c>
      <c r="I1397" t="str">
        <f>VLOOKUP(Table8[[#This Row],[Mã khách hàng]],'Khách hàng'!A:E,5,0)</f>
        <v>HN0040</v>
      </c>
    </row>
    <row r="1398" spans="1:9">
      <c r="A1398" s="14" t="s">
        <v>9085</v>
      </c>
      <c r="B1398" s="15" t="s">
        <v>5</v>
      </c>
      <c r="C1398" s="10" t="s">
        <v>9086</v>
      </c>
      <c r="D1398" s="16" t="s">
        <v>4652</v>
      </c>
      <c r="E1398" s="15" t="s">
        <v>11200</v>
      </c>
      <c r="F1398" s="16" t="str">
        <f>VLOOKUP(Table8[[#This Row],[Mã khách hàng]],code_khach_hang[],2,0)</f>
        <v>CHI NHÁNH THÁI BÌNH - CÔNG TY CỔ PHẦN DỊCH VỤ THƯƠNG MẠI TỔNG HỢP WINCOMMERCE</v>
      </c>
      <c r="G1398" s="16" t="str">
        <f>VLOOKUP(Table8[[#This Row],[Mã khách hàng]],code_khach_hang[],3,0)</f>
        <v>Miền Bắc đặc biệt 3</v>
      </c>
      <c r="H1398" t="str">
        <f>VLOOKUP(Table8[[#This Row],[Mã khách hàng]],'Khách hàng'!A:D,4,0)</f>
        <v>Food Đức Việt</v>
      </c>
      <c r="I1398" t="str">
        <f>VLOOKUP(Table8[[#This Row],[Mã khách hàng]],'Khách hàng'!A:E,5,0)</f>
        <v>HN0040</v>
      </c>
    </row>
    <row r="1399" spans="1:9">
      <c r="A1399" s="14" t="s">
        <v>9094</v>
      </c>
      <c r="B1399" s="15" t="s">
        <v>5</v>
      </c>
      <c r="C1399" s="10" t="e">
        <v>#N/A</v>
      </c>
      <c r="D1399" s="16" t="s">
        <v>4655</v>
      </c>
      <c r="E1399" s="15" t="s">
        <v>11211</v>
      </c>
      <c r="F1399" s="16" t="str">
        <f>VLOOKUP(Table8[[#This Row],[Mã khách hàng]],code_khach_hang[],2,0)</f>
        <v>CHI NHÁNH NGHỆ AN - CÔNG TY CỔ PHẦN DỊCH VỤ THƯƠNG MẠI TỔNG HỢP WINCOMMERCE</v>
      </c>
      <c r="G1399" s="16" t="str">
        <f>VLOOKUP(Table8[[#This Row],[Mã khách hàng]],code_khach_hang[],3,0)</f>
        <v>Miền Trung đặc biệt 1</v>
      </c>
      <c r="H1399" t="str">
        <f>VLOOKUP(Table8[[#This Row],[Mã khách hàng]],'Khách hàng'!A:D,4,0)</f>
        <v>Food Đức Việt</v>
      </c>
      <c r="I1399" t="str">
        <f>VLOOKUP(Table8[[#This Row],[Mã khách hàng]],'Khách hàng'!A:E,5,0)</f>
        <v>HN0040</v>
      </c>
    </row>
    <row r="1400" spans="1:9">
      <c r="A1400" s="14" t="s">
        <v>9096</v>
      </c>
      <c r="B1400" s="15" t="s">
        <v>5</v>
      </c>
      <c r="C1400" s="10" t="s">
        <v>9097</v>
      </c>
      <c r="D1400" s="16" t="s">
        <v>4658</v>
      </c>
      <c r="E1400" s="15" t="s">
        <v>11205</v>
      </c>
      <c r="F1400" s="16" t="str">
        <f>VLOOKUP(Table8[[#This Row],[Mã khách hàng]],code_khach_hang[],2,0)</f>
        <v>CHI NHÁNH HÀ TĨNH - CÔNG TY CỔ PHẦN DỊCH VỤ THƯƠNG MẠI TỔNG HỢP WINCOMMERCE</v>
      </c>
      <c r="G1400" s="16" t="str">
        <f>VLOOKUP(Table8[[#This Row],[Mã khách hàng]],code_khach_hang[],3,0)</f>
        <v>Miền Trung đặc biệt 1</v>
      </c>
      <c r="H1400" t="str">
        <f>VLOOKUP(Table8[[#This Row],[Mã khách hàng]],'Khách hàng'!A:D,4,0)</f>
        <v>Food Đức Việt</v>
      </c>
      <c r="I1400" t="str">
        <f>VLOOKUP(Table8[[#This Row],[Mã khách hàng]],'Khách hàng'!A:E,5,0)</f>
        <v>HN0040</v>
      </c>
    </row>
    <row r="1401" spans="1:9">
      <c r="A1401" s="14" t="s">
        <v>1378</v>
      </c>
      <c r="B1401" s="15" t="s">
        <v>5</v>
      </c>
      <c r="C1401" s="10" t="e">
        <v>#N/A</v>
      </c>
      <c r="D1401" s="16" t="s">
        <v>4661</v>
      </c>
      <c r="E1401" s="15" t="s">
        <v>11205</v>
      </c>
      <c r="F1401" s="16" t="str">
        <f>VLOOKUP(Table8[[#This Row],[Mã khách hàng]],code_khach_hang[],2,0)</f>
        <v>CHI NHÁNH HÀ TĨNH - CÔNG TY CỔ PHẦN DỊCH VỤ THƯƠNG MẠI TỔNG HỢP WINCOMMERCE</v>
      </c>
      <c r="G1401" s="16" t="str">
        <f>VLOOKUP(Table8[[#This Row],[Mã khách hàng]],code_khach_hang[],3,0)</f>
        <v>Miền Trung đặc biệt 1</v>
      </c>
      <c r="H1401" t="str">
        <f>VLOOKUP(Table8[[#This Row],[Mã khách hàng]],'Khách hàng'!A:D,4,0)</f>
        <v>Food Đức Việt</v>
      </c>
      <c r="I1401" t="str">
        <f>VLOOKUP(Table8[[#This Row],[Mã khách hàng]],'Khách hàng'!A:E,5,0)</f>
        <v>HN0040</v>
      </c>
    </row>
    <row r="1402" spans="1:9">
      <c r="A1402" s="14" t="s">
        <v>8865</v>
      </c>
      <c r="B1402" s="15" t="s">
        <v>5</v>
      </c>
      <c r="C1402" s="10" t="s">
        <v>8866</v>
      </c>
      <c r="D1402" s="16" t="s">
        <v>4664</v>
      </c>
      <c r="E1402" s="15" t="s">
        <v>11211</v>
      </c>
      <c r="F1402" s="16" t="str">
        <f>VLOOKUP(Table8[[#This Row],[Mã khách hàng]],code_khach_hang[],2,0)</f>
        <v>CHI NHÁNH NGHỆ AN - CÔNG TY CỔ PHẦN DỊCH VỤ THƯƠNG MẠI TỔNG HỢP WINCOMMERCE</v>
      </c>
      <c r="G1402" s="16" t="str">
        <f>VLOOKUP(Table8[[#This Row],[Mã khách hàng]],code_khach_hang[],3,0)</f>
        <v>Miền Trung đặc biệt 1</v>
      </c>
      <c r="H1402" t="str">
        <f>VLOOKUP(Table8[[#This Row],[Mã khách hàng]],'Khách hàng'!A:D,4,0)</f>
        <v>Food Đức Việt</v>
      </c>
      <c r="I1402" t="str">
        <f>VLOOKUP(Table8[[#This Row],[Mã khách hàng]],'Khách hàng'!A:E,5,0)</f>
        <v>HN0040</v>
      </c>
    </row>
    <row r="1403" spans="1:9">
      <c r="A1403" s="14" t="s">
        <v>1384</v>
      </c>
      <c r="B1403" s="15" t="s">
        <v>5</v>
      </c>
      <c r="C1403" s="10" t="s">
        <v>1385</v>
      </c>
      <c r="D1403" s="16" t="s">
        <v>4667</v>
      </c>
      <c r="E1403" s="15" t="s">
        <v>11200</v>
      </c>
      <c r="F1403" s="16" t="str">
        <f>VLOOKUP(Table8[[#This Row],[Mã khách hàng]],code_khach_hang[],2,0)</f>
        <v>CHI NHÁNH THÁI BÌNH - CÔNG TY CỔ PHẦN DỊCH VỤ THƯƠNG MẠI TỔNG HỢP WINCOMMERCE</v>
      </c>
      <c r="G1403" s="16" t="str">
        <f>VLOOKUP(Table8[[#This Row],[Mã khách hàng]],code_khach_hang[],3,0)</f>
        <v>Miền Bắc đặc biệt 3</v>
      </c>
      <c r="H1403" t="str">
        <f>VLOOKUP(Table8[[#This Row],[Mã khách hàng]],'Khách hàng'!A:D,4,0)</f>
        <v>Food Đức Việt</v>
      </c>
      <c r="I1403" t="str">
        <f>VLOOKUP(Table8[[#This Row],[Mã khách hàng]],'Khách hàng'!A:E,5,0)</f>
        <v>HN0040</v>
      </c>
    </row>
    <row r="1404" spans="1:9">
      <c r="A1404" s="14" t="s">
        <v>1365</v>
      </c>
      <c r="B1404" s="15" t="s">
        <v>5</v>
      </c>
      <c r="C1404" s="10" t="s">
        <v>1366</v>
      </c>
      <c r="D1404" s="16" t="s">
        <v>4670</v>
      </c>
      <c r="E1404" s="15" t="s">
        <v>11205</v>
      </c>
      <c r="F1404" s="16" t="str">
        <f>VLOOKUP(Table8[[#This Row],[Mã khách hàng]],code_khach_hang[],2,0)</f>
        <v>CHI NHÁNH HÀ TĨNH - CÔNG TY CỔ PHẦN DỊCH VỤ THƯƠNG MẠI TỔNG HỢP WINCOMMERCE</v>
      </c>
      <c r="G1404" s="16" t="str">
        <f>VLOOKUP(Table8[[#This Row],[Mã khách hàng]],code_khach_hang[],3,0)</f>
        <v>Miền Trung đặc biệt 1</v>
      </c>
      <c r="H1404" t="str">
        <f>VLOOKUP(Table8[[#This Row],[Mã khách hàng]],'Khách hàng'!A:D,4,0)</f>
        <v>Food Đức Việt</v>
      </c>
      <c r="I1404" t="str">
        <f>VLOOKUP(Table8[[#This Row],[Mã khách hàng]],'Khách hàng'!A:E,5,0)</f>
        <v>HN0040</v>
      </c>
    </row>
    <row r="1405" spans="1:9">
      <c r="A1405" s="14" t="s">
        <v>1420</v>
      </c>
      <c r="B1405" s="15" t="s">
        <v>5</v>
      </c>
      <c r="C1405" s="10" t="e">
        <v>#N/A</v>
      </c>
      <c r="D1405" s="16" t="s">
        <v>4673</v>
      </c>
      <c r="E1405" s="15" t="s">
        <v>11205</v>
      </c>
      <c r="F1405" s="16" t="str">
        <f>VLOOKUP(Table8[[#This Row],[Mã khách hàng]],code_khach_hang[],2,0)</f>
        <v>CHI NHÁNH HÀ TĨNH - CÔNG TY CỔ PHẦN DỊCH VỤ THƯƠNG MẠI TỔNG HỢP WINCOMMERCE</v>
      </c>
      <c r="G1405" s="16" t="str">
        <f>VLOOKUP(Table8[[#This Row],[Mã khách hàng]],code_khach_hang[],3,0)</f>
        <v>Miền Trung đặc biệt 1</v>
      </c>
      <c r="H1405" t="str">
        <f>VLOOKUP(Table8[[#This Row],[Mã khách hàng]],'Khách hàng'!A:D,4,0)</f>
        <v>Food Đức Việt</v>
      </c>
      <c r="I1405" t="str">
        <f>VLOOKUP(Table8[[#This Row],[Mã khách hàng]],'Khách hàng'!A:E,5,0)</f>
        <v>HN0040</v>
      </c>
    </row>
    <row r="1406" spans="1:9">
      <c r="A1406" s="14" t="s">
        <v>1380</v>
      </c>
      <c r="B1406" s="15" t="s">
        <v>5</v>
      </c>
      <c r="C1406" s="10" t="s">
        <v>1381</v>
      </c>
      <c r="D1406" s="16" t="s">
        <v>4676</v>
      </c>
      <c r="E1406" s="15" t="s">
        <v>11211</v>
      </c>
      <c r="F1406" s="16" t="str">
        <f>VLOOKUP(Table8[[#This Row],[Mã khách hàng]],code_khach_hang[],2,0)</f>
        <v>CHI NHÁNH NGHỆ AN - CÔNG TY CỔ PHẦN DỊCH VỤ THƯƠNG MẠI TỔNG HỢP WINCOMMERCE</v>
      </c>
      <c r="G1406" s="16" t="str">
        <f>VLOOKUP(Table8[[#This Row],[Mã khách hàng]],code_khach_hang[],3,0)</f>
        <v>Miền Trung đặc biệt 1</v>
      </c>
      <c r="H1406" t="str">
        <f>VLOOKUP(Table8[[#This Row],[Mã khách hàng]],'Khách hàng'!A:D,4,0)</f>
        <v>Food Đức Việt</v>
      </c>
      <c r="I1406" t="str">
        <f>VLOOKUP(Table8[[#This Row],[Mã khách hàng]],'Khách hàng'!A:E,5,0)</f>
        <v>HN0040</v>
      </c>
    </row>
    <row r="1407" spans="1:9">
      <c r="A1407" s="14" t="s">
        <v>1392</v>
      </c>
      <c r="B1407" s="15" t="s">
        <v>5</v>
      </c>
      <c r="C1407" s="10" t="s">
        <v>1393</v>
      </c>
      <c r="D1407" s="16" t="s">
        <v>4679</v>
      </c>
      <c r="E1407" s="15" t="s">
        <v>11211</v>
      </c>
      <c r="F1407" s="16" t="str">
        <f>VLOOKUP(Table8[[#This Row],[Mã khách hàng]],code_khach_hang[],2,0)</f>
        <v>CHI NHÁNH NGHỆ AN - CÔNG TY CỔ PHẦN DỊCH VỤ THƯƠNG MẠI TỔNG HỢP WINCOMMERCE</v>
      </c>
      <c r="G1407" s="16" t="str">
        <f>VLOOKUP(Table8[[#This Row],[Mã khách hàng]],code_khach_hang[],3,0)</f>
        <v>Miền Trung đặc biệt 1</v>
      </c>
      <c r="H1407" t="str">
        <f>VLOOKUP(Table8[[#This Row],[Mã khách hàng]],'Khách hàng'!A:D,4,0)</f>
        <v>Food Đức Việt</v>
      </c>
      <c r="I1407" t="str">
        <f>VLOOKUP(Table8[[#This Row],[Mã khách hàng]],'Khách hàng'!A:E,5,0)</f>
        <v>HN0040</v>
      </c>
    </row>
    <row r="1408" spans="1:9">
      <c r="A1408" s="14" t="s">
        <v>1408</v>
      </c>
      <c r="B1408" s="15" t="s">
        <v>5</v>
      </c>
      <c r="C1408" s="10" t="e">
        <v>#N/A</v>
      </c>
      <c r="D1408" s="16" t="s">
        <v>4682</v>
      </c>
      <c r="E1408" s="15" t="s">
        <v>11211</v>
      </c>
      <c r="F1408" s="16" t="str">
        <f>VLOOKUP(Table8[[#This Row],[Mã khách hàng]],code_khach_hang[],2,0)</f>
        <v>CHI NHÁNH NGHỆ AN - CÔNG TY CỔ PHẦN DỊCH VỤ THƯƠNG MẠI TỔNG HỢP WINCOMMERCE</v>
      </c>
      <c r="G1408" s="16" t="str">
        <f>VLOOKUP(Table8[[#This Row],[Mã khách hàng]],code_khach_hang[],3,0)</f>
        <v>Miền Trung đặc biệt 1</v>
      </c>
      <c r="H1408" t="str">
        <f>VLOOKUP(Table8[[#This Row],[Mã khách hàng]],'Khách hàng'!A:D,4,0)</f>
        <v>Food Đức Việt</v>
      </c>
      <c r="I1408" t="str">
        <f>VLOOKUP(Table8[[#This Row],[Mã khách hàng]],'Khách hàng'!A:E,5,0)</f>
        <v>HN0040</v>
      </c>
    </row>
    <row r="1409" spans="1:9">
      <c r="A1409" s="14" t="s">
        <v>1401</v>
      </c>
      <c r="B1409" s="15" t="s">
        <v>5</v>
      </c>
      <c r="C1409" s="10" t="s">
        <v>1402</v>
      </c>
      <c r="D1409" s="16" t="s">
        <v>4685</v>
      </c>
      <c r="E1409" s="15" t="s">
        <v>11209</v>
      </c>
      <c r="F1409" s="16" t="str">
        <f>VLOOKUP(Table8[[#This Row],[Mã khách hàng]],code_khach_hang[],2,0)</f>
        <v>CHI NHÁNH QUẢNG BÌNH - CÔNG TY CỔ PHẦN DỊCH VỤ THƯƠNG MẠI TỔNG HỢP WINCOMMERCE</v>
      </c>
      <c r="G1409" s="16" t="str">
        <f>VLOOKUP(Table8[[#This Row],[Mã khách hàng]],code_khach_hang[],3,0)</f>
        <v>Miền Trung đặc biệt 1</v>
      </c>
      <c r="H1409" t="str">
        <f>VLOOKUP(Table8[[#This Row],[Mã khách hàng]],'Khách hàng'!A:D,4,0)</f>
        <v>Food Đức Việt</v>
      </c>
      <c r="I1409" t="str">
        <f>VLOOKUP(Table8[[#This Row],[Mã khách hàng]],'Khách hàng'!A:E,5,0)</f>
        <v>HN0040</v>
      </c>
    </row>
    <row r="1410" spans="1:9">
      <c r="A1410" s="14" t="s">
        <v>8947</v>
      </c>
      <c r="B1410" s="15" t="s">
        <v>5</v>
      </c>
      <c r="C1410" s="10" t="s">
        <v>8948</v>
      </c>
      <c r="D1410" s="16" t="s">
        <v>4688</v>
      </c>
      <c r="E1410" s="15" t="s">
        <v>11203</v>
      </c>
      <c r="F1410" s="16" t="str">
        <f>VLOOKUP(Table8[[#This Row],[Mã khách hàng]],code_khach_hang[],2,0)</f>
        <v>CHI NHÁNH THANH HÓA - CÔNG TY CỔ PHẦN DỊCH VỤ THƯƠNG MẠI TỔNG HỢP WINCOMMERCE</v>
      </c>
      <c r="G1410" s="16" t="str">
        <f>VLOOKUP(Table8[[#This Row],[Mã khách hàng]],code_khach_hang[],3,0)</f>
        <v>Miền Trung đặc biệt 1</v>
      </c>
      <c r="H1410" t="str">
        <f>VLOOKUP(Table8[[#This Row],[Mã khách hàng]],'Khách hàng'!A:D,4,0)</f>
        <v>Food Đức Việt</v>
      </c>
      <c r="I1410" t="str">
        <f>VLOOKUP(Table8[[#This Row],[Mã khách hàng]],'Khách hàng'!A:E,5,0)</f>
        <v>HN0040</v>
      </c>
    </row>
    <row r="1411" spans="1:9">
      <c r="A1411" s="14" t="s">
        <v>1398</v>
      </c>
      <c r="B1411" s="15" t="s">
        <v>5</v>
      </c>
      <c r="C1411" s="10" t="s">
        <v>1399</v>
      </c>
      <c r="D1411" s="16" t="s">
        <v>4691</v>
      </c>
      <c r="E1411" s="15" t="s">
        <v>11203</v>
      </c>
      <c r="F1411" s="16" t="str">
        <f>VLOOKUP(Table8[[#This Row],[Mã khách hàng]],code_khach_hang[],2,0)</f>
        <v>CHI NHÁNH THANH HÓA - CÔNG TY CỔ PHẦN DỊCH VỤ THƯƠNG MẠI TỔNG HỢP WINCOMMERCE</v>
      </c>
      <c r="G1411" s="16" t="str">
        <f>VLOOKUP(Table8[[#This Row],[Mã khách hàng]],code_khach_hang[],3,0)</f>
        <v>Miền Trung đặc biệt 1</v>
      </c>
      <c r="H1411" t="str">
        <f>VLOOKUP(Table8[[#This Row],[Mã khách hàng]],'Khách hàng'!A:D,4,0)</f>
        <v>Food Đức Việt</v>
      </c>
      <c r="I1411" t="str">
        <f>VLOOKUP(Table8[[#This Row],[Mã khách hàng]],'Khách hàng'!A:E,5,0)</f>
        <v>HN0040</v>
      </c>
    </row>
    <row r="1412" spans="1:9">
      <c r="A1412" s="14" t="s">
        <v>1414</v>
      </c>
      <c r="B1412" s="15" t="s">
        <v>5</v>
      </c>
      <c r="C1412" s="10" t="s">
        <v>1415</v>
      </c>
      <c r="D1412" s="16" t="s">
        <v>4694</v>
      </c>
      <c r="E1412" s="15" t="s">
        <v>11211</v>
      </c>
      <c r="F1412" s="16" t="str">
        <f>VLOOKUP(Table8[[#This Row],[Mã khách hàng]],code_khach_hang[],2,0)</f>
        <v>CHI NHÁNH NGHỆ AN - CÔNG TY CỔ PHẦN DỊCH VỤ THƯƠNG MẠI TỔNG HỢP WINCOMMERCE</v>
      </c>
      <c r="G1412" s="16" t="str">
        <f>VLOOKUP(Table8[[#This Row],[Mã khách hàng]],code_khach_hang[],3,0)</f>
        <v>Miền Trung đặc biệt 1</v>
      </c>
      <c r="H1412" t="str">
        <f>VLOOKUP(Table8[[#This Row],[Mã khách hàng]],'Khách hàng'!A:D,4,0)</f>
        <v>Food Đức Việt</v>
      </c>
      <c r="I1412" t="str">
        <f>VLOOKUP(Table8[[#This Row],[Mã khách hàng]],'Khách hàng'!A:E,5,0)</f>
        <v>HN0040</v>
      </c>
    </row>
    <row r="1413" spans="1:9">
      <c r="A1413" s="14" t="s">
        <v>9125</v>
      </c>
      <c r="B1413" s="15" t="s">
        <v>5</v>
      </c>
      <c r="C1413" s="10" t="s">
        <v>9126</v>
      </c>
      <c r="D1413" s="16" t="s">
        <v>4697</v>
      </c>
      <c r="E1413" s="15" t="s">
        <v>11205</v>
      </c>
      <c r="F1413" s="16" t="str">
        <f>VLOOKUP(Table8[[#This Row],[Mã khách hàng]],code_khach_hang[],2,0)</f>
        <v>CHI NHÁNH HÀ TĨNH - CÔNG TY CỔ PHẦN DỊCH VỤ THƯƠNG MẠI TỔNG HỢP WINCOMMERCE</v>
      </c>
      <c r="G1413" s="16" t="str">
        <f>VLOOKUP(Table8[[#This Row],[Mã khách hàng]],code_khach_hang[],3,0)</f>
        <v>Miền Trung đặc biệt 1</v>
      </c>
      <c r="H1413" t="str">
        <f>VLOOKUP(Table8[[#This Row],[Mã khách hàng]],'Khách hàng'!A:D,4,0)</f>
        <v>Food Đức Việt</v>
      </c>
      <c r="I1413" t="str">
        <f>VLOOKUP(Table8[[#This Row],[Mã khách hàng]],'Khách hàng'!A:E,5,0)</f>
        <v>HN0040</v>
      </c>
    </row>
    <row r="1414" spans="1:9">
      <c r="A1414" s="14" t="s">
        <v>1453</v>
      </c>
      <c r="B1414" s="15" t="s">
        <v>5</v>
      </c>
      <c r="C1414" s="10" t="s">
        <v>1454</v>
      </c>
      <c r="D1414" s="16" t="s">
        <v>4700</v>
      </c>
      <c r="E1414" s="15" t="s">
        <v>11203</v>
      </c>
      <c r="F1414" s="16" t="str">
        <f>VLOOKUP(Table8[[#This Row],[Mã khách hàng]],code_khach_hang[],2,0)</f>
        <v>CHI NHÁNH THANH HÓA - CÔNG TY CỔ PHẦN DỊCH VỤ THƯƠNG MẠI TỔNG HỢP WINCOMMERCE</v>
      </c>
      <c r="G1414" s="16" t="str">
        <f>VLOOKUP(Table8[[#This Row],[Mã khách hàng]],code_khach_hang[],3,0)</f>
        <v>Miền Trung đặc biệt 1</v>
      </c>
      <c r="H1414" t="str">
        <f>VLOOKUP(Table8[[#This Row],[Mã khách hàng]],'Khách hàng'!A:D,4,0)</f>
        <v>Food Đức Việt</v>
      </c>
      <c r="I1414" t="str">
        <f>VLOOKUP(Table8[[#This Row],[Mã khách hàng]],'Khách hàng'!A:E,5,0)</f>
        <v>HN0040</v>
      </c>
    </row>
    <row r="1415" spans="1:9">
      <c r="A1415" s="14" t="s">
        <v>1463</v>
      </c>
      <c r="B1415" s="15" t="s">
        <v>5</v>
      </c>
      <c r="C1415" s="10" t="s">
        <v>1464</v>
      </c>
      <c r="D1415" s="16" t="s">
        <v>4703</v>
      </c>
      <c r="E1415" s="15" t="s">
        <v>11196</v>
      </c>
      <c r="F1415" s="16" t="str">
        <f>VLOOKUP(Table8[[#This Row],[Mã khách hàng]],code_khach_hang[],2,0)</f>
        <v>CHI NHÁNH NINH BÌNH - CÔNG TY CỔ PHẦN DỊCH VỤ THƯƠNG MẠI TỔNG HỢP WINCOMMERCE</v>
      </c>
      <c r="G1415" s="16" t="str">
        <f>VLOOKUP(Table8[[#This Row],[Mã khách hàng]],code_khach_hang[],3,0)</f>
        <v>Miền Bắc đặc biệt 3</v>
      </c>
      <c r="H1415" t="str">
        <f>VLOOKUP(Table8[[#This Row],[Mã khách hàng]],'Khách hàng'!A:D,4,0)</f>
        <v>Food Đức Việt</v>
      </c>
      <c r="I1415" t="str">
        <f>VLOOKUP(Table8[[#This Row],[Mã khách hàng]],'Khách hàng'!A:E,5,0)</f>
        <v>HN0040</v>
      </c>
    </row>
    <row r="1416" spans="1:9">
      <c r="A1416" s="14" t="s">
        <v>1515</v>
      </c>
      <c r="B1416" s="15" t="s">
        <v>5</v>
      </c>
      <c r="C1416" s="10" t="s">
        <v>1516</v>
      </c>
      <c r="D1416" s="16" t="s">
        <v>4706</v>
      </c>
      <c r="E1416" s="15" t="s">
        <v>11210</v>
      </c>
      <c r="F1416" s="16" t="str">
        <f>VLOOKUP(Table8[[#This Row],[Mã khách hàng]],code_khach_hang[],2,0)</f>
        <v>CHI NHÁNH HÀ NAM - CÔNG TY CỔ PHẦN DỊCH VỤ THƯƠNG MẠI TỔNG HỢP WINCOMMERCE</v>
      </c>
      <c r="G1416" s="16" t="str">
        <f>VLOOKUP(Table8[[#This Row],[Mã khách hàng]],code_khach_hang[],3,0)</f>
        <v>Miền Bắc đặc biệt 3</v>
      </c>
      <c r="H1416" t="str">
        <f>VLOOKUP(Table8[[#This Row],[Mã khách hàng]],'Khách hàng'!A:D,4,0)</f>
        <v>Food Đức Việt</v>
      </c>
      <c r="I1416" t="str">
        <f>VLOOKUP(Table8[[#This Row],[Mã khách hàng]],'Khách hàng'!A:E,5,0)</f>
        <v>HN0040</v>
      </c>
    </row>
    <row r="1417" spans="1:9">
      <c r="A1417" s="14" t="s">
        <v>1564</v>
      </c>
      <c r="B1417" s="15" t="s">
        <v>5</v>
      </c>
      <c r="C1417" s="10" t="s">
        <v>1565</v>
      </c>
      <c r="D1417" s="16" t="s">
        <v>4709</v>
      </c>
      <c r="E1417" s="15" t="s">
        <v>11209</v>
      </c>
      <c r="F1417" s="16" t="str">
        <f>VLOOKUP(Table8[[#This Row],[Mã khách hàng]],code_khach_hang[],2,0)</f>
        <v>CHI NHÁNH QUẢNG BÌNH - CÔNG TY CỔ PHẦN DỊCH VỤ THƯƠNG MẠI TỔNG HỢP WINCOMMERCE</v>
      </c>
      <c r="G1417" s="16" t="str">
        <f>VLOOKUP(Table8[[#This Row],[Mã khách hàng]],code_khach_hang[],3,0)</f>
        <v>Miền Trung đặc biệt 1</v>
      </c>
      <c r="H1417" t="str">
        <f>VLOOKUP(Table8[[#This Row],[Mã khách hàng]],'Khách hàng'!A:D,4,0)</f>
        <v>Food Đức Việt</v>
      </c>
      <c r="I1417" t="str">
        <f>VLOOKUP(Table8[[#This Row],[Mã khách hàng]],'Khách hàng'!A:E,5,0)</f>
        <v>HN0040</v>
      </c>
    </row>
    <row r="1418" spans="1:9">
      <c r="A1418" s="14" t="s">
        <v>1630</v>
      </c>
      <c r="B1418" s="15" t="s">
        <v>5</v>
      </c>
      <c r="C1418" s="10" t="s">
        <v>1631</v>
      </c>
      <c r="D1418" s="16" t="s">
        <v>4712</v>
      </c>
      <c r="E1418" s="15" t="s">
        <v>11219</v>
      </c>
      <c r="F1418" s="16" t="str">
        <f>VLOOKUP(Table8[[#This Row],[Mã khách hàng]],code_khach_hang[],2,0)</f>
        <v>CHI NHÁNH NAM ĐỊNH - CÔNG TY CỔ PHẦN DỊCH VỤ THƯƠNG MẠI TỔNG HỢP WINCOMMERCE</v>
      </c>
      <c r="G1418" s="16" t="str">
        <f>VLOOKUP(Table8[[#This Row],[Mã khách hàng]],code_khach_hang[],3,0)</f>
        <v>Miền Bắc đặc biệt 3</v>
      </c>
      <c r="H1418" t="str">
        <f>VLOOKUP(Table8[[#This Row],[Mã khách hàng]],'Khách hàng'!A:D,4,0)</f>
        <v>Food Đức Việt</v>
      </c>
      <c r="I1418" t="str">
        <f>VLOOKUP(Table8[[#This Row],[Mã khách hàng]],'Khách hàng'!A:E,5,0)</f>
        <v>HN0040</v>
      </c>
    </row>
    <row r="1419" spans="1:9">
      <c r="A1419" s="14" t="s">
        <v>1567</v>
      </c>
      <c r="B1419" s="15" t="s">
        <v>5</v>
      </c>
      <c r="C1419" s="10" t="s">
        <v>1568</v>
      </c>
      <c r="D1419" s="16" t="s">
        <v>4715</v>
      </c>
      <c r="E1419" s="15" t="s">
        <v>11211</v>
      </c>
      <c r="F1419" s="16" t="str">
        <f>VLOOKUP(Table8[[#This Row],[Mã khách hàng]],code_khach_hang[],2,0)</f>
        <v>CHI NHÁNH NGHỆ AN - CÔNG TY CỔ PHẦN DỊCH VỤ THƯƠNG MẠI TỔNG HỢP WINCOMMERCE</v>
      </c>
      <c r="G1419" s="16" t="str">
        <f>VLOOKUP(Table8[[#This Row],[Mã khách hàng]],code_khach_hang[],3,0)</f>
        <v>Miền Trung đặc biệt 1</v>
      </c>
      <c r="H1419" t="str">
        <f>VLOOKUP(Table8[[#This Row],[Mã khách hàng]],'Khách hàng'!A:D,4,0)</f>
        <v>Food Đức Việt</v>
      </c>
      <c r="I1419" t="str">
        <f>VLOOKUP(Table8[[#This Row],[Mã khách hàng]],'Khách hàng'!A:E,5,0)</f>
        <v>HN0040</v>
      </c>
    </row>
    <row r="1420" spans="1:9">
      <c r="A1420" s="14" t="s">
        <v>1800</v>
      </c>
      <c r="B1420" s="15" t="s">
        <v>5</v>
      </c>
      <c r="C1420" s="10" t="s">
        <v>1801</v>
      </c>
      <c r="D1420" s="16" t="s">
        <v>4718</v>
      </c>
      <c r="E1420" s="15" t="s">
        <v>11211</v>
      </c>
      <c r="F1420" s="16" t="str">
        <f>VLOOKUP(Table8[[#This Row],[Mã khách hàng]],code_khach_hang[],2,0)</f>
        <v>CHI NHÁNH NGHỆ AN - CÔNG TY CỔ PHẦN DỊCH VỤ THƯƠNG MẠI TỔNG HỢP WINCOMMERCE</v>
      </c>
      <c r="G1420" s="16" t="str">
        <f>VLOOKUP(Table8[[#This Row],[Mã khách hàng]],code_khach_hang[],3,0)</f>
        <v>Miền Trung đặc biệt 1</v>
      </c>
      <c r="H1420" t="str">
        <f>VLOOKUP(Table8[[#This Row],[Mã khách hàng]],'Khách hàng'!A:D,4,0)</f>
        <v>Food Đức Việt</v>
      </c>
      <c r="I1420" t="str">
        <f>VLOOKUP(Table8[[#This Row],[Mã khách hàng]],'Khách hàng'!A:E,5,0)</f>
        <v>HN0040</v>
      </c>
    </row>
    <row r="1421" spans="1:9">
      <c r="A1421" s="14" t="s">
        <v>1808</v>
      </c>
      <c r="B1421" s="15" t="s">
        <v>5</v>
      </c>
      <c r="C1421" s="10" t="s">
        <v>1809</v>
      </c>
      <c r="D1421" s="16" t="s">
        <v>4721</v>
      </c>
      <c r="E1421" s="15" t="s">
        <v>11205</v>
      </c>
      <c r="F1421" s="16" t="str">
        <f>VLOOKUP(Table8[[#This Row],[Mã khách hàng]],code_khach_hang[],2,0)</f>
        <v>CHI NHÁNH HÀ TĨNH - CÔNG TY CỔ PHẦN DỊCH VỤ THƯƠNG MẠI TỔNG HỢP WINCOMMERCE</v>
      </c>
      <c r="G1421" s="16" t="str">
        <f>VLOOKUP(Table8[[#This Row],[Mã khách hàng]],code_khach_hang[],3,0)</f>
        <v>Miền Trung đặc biệt 1</v>
      </c>
      <c r="H1421" t="str">
        <f>VLOOKUP(Table8[[#This Row],[Mã khách hàng]],'Khách hàng'!A:D,4,0)</f>
        <v>Food Đức Việt</v>
      </c>
      <c r="I1421" t="str">
        <f>VLOOKUP(Table8[[#This Row],[Mã khách hàng]],'Khách hàng'!A:E,5,0)</f>
        <v>HN0040</v>
      </c>
    </row>
    <row r="1422" spans="1:9">
      <c r="A1422" s="14" t="s">
        <v>1627</v>
      </c>
      <c r="B1422" s="15" t="s">
        <v>5</v>
      </c>
      <c r="C1422" s="10" t="s">
        <v>1628</v>
      </c>
      <c r="D1422" s="16" t="s">
        <v>4724</v>
      </c>
      <c r="E1422" s="15" t="s">
        <v>11196</v>
      </c>
      <c r="F1422" s="16" t="str">
        <f>VLOOKUP(Table8[[#This Row],[Mã khách hàng]],code_khach_hang[],2,0)</f>
        <v>CHI NHÁNH NINH BÌNH - CÔNG TY CỔ PHẦN DỊCH VỤ THƯƠNG MẠI TỔNG HỢP WINCOMMERCE</v>
      </c>
      <c r="G1422" s="16" t="str">
        <f>VLOOKUP(Table8[[#This Row],[Mã khách hàng]],code_khach_hang[],3,0)</f>
        <v>Miền Bắc đặc biệt 3</v>
      </c>
      <c r="H1422" t="str">
        <f>VLOOKUP(Table8[[#This Row],[Mã khách hàng]],'Khách hàng'!A:D,4,0)</f>
        <v>Food Đức Việt</v>
      </c>
      <c r="I1422" t="str">
        <f>VLOOKUP(Table8[[#This Row],[Mã khách hàng]],'Khách hàng'!A:E,5,0)</f>
        <v>HN0040</v>
      </c>
    </row>
    <row r="1423" spans="1:9">
      <c r="A1423" s="14" t="s">
        <v>1745</v>
      </c>
      <c r="B1423" s="15" t="s">
        <v>5</v>
      </c>
      <c r="C1423" s="10" t="s">
        <v>1746</v>
      </c>
      <c r="D1423" s="16" t="s">
        <v>4727</v>
      </c>
      <c r="E1423" s="15" t="s">
        <v>11209</v>
      </c>
      <c r="F1423" s="16" t="str">
        <f>VLOOKUP(Table8[[#This Row],[Mã khách hàng]],code_khach_hang[],2,0)</f>
        <v>CHI NHÁNH QUẢNG BÌNH - CÔNG TY CỔ PHẦN DỊCH VỤ THƯƠNG MẠI TỔNG HỢP WINCOMMERCE</v>
      </c>
      <c r="G1423" s="16" t="str">
        <f>VLOOKUP(Table8[[#This Row],[Mã khách hàng]],code_khach_hang[],3,0)</f>
        <v>Miền Trung đặc biệt 1</v>
      </c>
      <c r="H1423" t="str">
        <f>VLOOKUP(Table8[[#This Row],[Mã khách hàng]],'Khách hàng'!A:D,4,0)</f>
        <v>Food Đức Việt</v>
      </c>
      <c r="I1423" t="str">
        <f>VLOOKUP(Table8[[#This Row],[Mã khách hàng]],'Khách hàng'!A:E,5,0)</f>
        <v>HN0040</v>
      </c>
    </row>
    <row r="1424" spans="1:9">
      <c r="A1424" s="14" t="s">
        <v>1853</v>
      </c>
      <c r="B1424" s="15" t="s">
        <v>5</v>
      </c>
      <c r="C1424" s="10" t="e">
        <v>#N/A</v>
      </c>
      <c r="D1424" s="16" t="s">
        <v>4730</v>
      </c>
      <c r="E1424" s="15" t="s">
        <v>11211</v>
      </c>
      <c r="F1424" s="16" t="str">
        <f>VLOOKUP(Table8[[#This Row],[Mã khách hàng]],code_khach_hang[],2,0)</f>
        <v>CHI NHÁNH NGHỆ AN - CÔNG TY CỔ PHẦN DỊCH VỤ THƯƠNG MẠI TỔNG HỢP WINCOMMERCE</v>
      </c>
      <c r="G1424" s="16" t="str">
        <f>VLOOKUP(Table8[[#This Row],[Mã khách hàng]],code_khach_hang[],3,0)</f>
        <v>Miền Trung đặc biệt 1</v>
      </c>
      <c r="H1424" t="str">
        <f>VLOOKUP(Table8[[#This Row],[Mã khách hàng]],'Khách hàng'!A:D,4,0)</f>
        <v>Food Đức Việt</v>
      </c>
      <c r="I1424" t="str">
        <f>VLOOKUP(Table8[[#This Row],[Mã khách hàng]],'Khách hàng'!A:E,5,0)</f>
        <v>HN0040</v>
      </c>
    </row>
    <row r="1425" spans="1:9">
      <c r="A1425" s="14" t="s">
        <v>1902</v>
      </c>
      <c r="B1425" s="15" t="s">
        <v>5</v>
      </c>
      <c r="C1425" s="10" t="s">
        <v>1903</v>
      </c>
      <c r="D1425" s="16" t="s">
        <v>4733</v>
      </c>
      <c r="E1425" s="15" t="s">
        <v>11203</v>
      </c>
      <c r="F1425" s="16" t="str">
        <f>VLOOKUP(Table8[[#This Row],[Mã khách hàng]],code_khach_hang[],2,0)</f>
        <v>CHI NHÁNH THANH HÓA - CÔNG TY CỔ PHẦN DỊCH VỤ THƯƠNG MẠI TỔNG HỢP WINCOMMERCE</v>
      </c>
      <c r="G1425" s="16" t="str">
        <f>VLOOKUP(Table8[[#This Row],[Mã khách hàng]],code_khach_hang[],3,0)</f>
        <v>Miền Trung đặc biệt 1</v>
      </c>
      <c r="H1425" t="str">
        <f>VLOOKUP(Table8[[#This Row],[Mã khách hàng]],'Khách hàng'!A:D,4,0)</f>
        <v>Food Đức Việt</v>
      </c>
      <c r="I1425" t="str">
        <f>VLOOKUP(Table8[[#This Row],[Mã khách hàng]],'Khách hàng'!A:E,5,0)</f>
        <v>HN0040</v>
      </c>
    </row>
    <row r="1426" spans="1:9">
      <c r="A1426" s="14" t="s">
        <v>9114</v>
      </c>
      <c r="B1426" s="15" t="s">
        <v>5</v>
      </c>
      <c r="C1426" s="10" t="s">
        <v>9115</v>
      </c>
      <c r="D1426" s="16" t="s">
        <v>4736</v>
      </c>
      <c r="E1426" s="15" t="s">
        <v>11205</v>
      </c>
      <c r="F1426" s="16" t="str">
        <f>VLOOKUP(Table8[[#This Row],[Mã khách hàng]],code_khach_hang[],2,0)</f>
        <v>CHI NHÁNH HÀ TĨNH - CÔNG TY CỔ PHẦN DỊCH VỤ THƯƠNG MẠI TỔNG HỢP WINCOMMERCE</v>
      </c>
      <c r="G1426" s="16" t="str">
        <f>VLOOKUP(Table8[[#This Row],[Mã khách hàng]],code_khach_hang[],3,0)</f>
        <v>Miền Trung đặc biệt 1</v>
      </c>
      <c r="H1426" t="str">
        <f>VLOOKUP(Table8[[#This Row],[Mã khách hàng]],'Khách hàng'!A:D,4,0)</f>
        <v>Food Đức Việt</v>
      </c>
      <c r="I1426" t="str">
        <f>VLOOKUP(Table8[[#This Row],[Mã khách hàng]],'Khách hàng'!A:E,5,0)</f>
        <v>HN0040</v>
      </c>
    </row>
    <row r="1427" spans="1:9">
      <c r="A1427" s="14" t="s">
        <v>1806</v>
      </c>
      <c r="B1427" s="15" t="s">
        <v>5</v>
      </c>
      <c r="C1427" s="10" t="e">
        <v>#N/A</v>
      </c>
      <c r="D1427" s="16" t="s">
        <v>4739</v>
      </c>
      <c r="E1427" s="15" t="s">
        <v>11205</v>
      </c>
      <c r="F1427" s="16" t="str">
        <f>VLOOKUP(Table8[[#This Row],[Mã khách hàng]],code_khach_hang[],2,0)</f>
        <v>CHI NHÁNH HÀ TĨNH - CÔNG TY CỔ PHẦN DỊCH VỤ THƯƠNG MẠI TỔNG HỢP WINCOMMERCE</v>
      </c>
      <c r="G1427" s="16" t="str">
        <f>VLOOKUP(Table8[[#This Row],[Mã khách hàng]],code_khach_hang[],3,0)</f>
        <v>Miền Trung đặc biệt 1</v>
      </c>
      <c r="H1427" t="str">
        <f>VLOOKUP(Table8[[#This Row],[Mã khách hàng]],'Khách hàng'!A:D,4,0)</f>
        <v>Food Đức Việt</v>
      </c>
      <c r="I1427" t="str">
        <f>VLOOKUP(Table8[[#This Row],[Mã khách hàng]],'Khách hàng'!A:E,5,0)</f>
        <v>HN0040</v>
      </c>
    </row>
    <row r="1428" spans="1:9">
      <c r="A1428" s="14" t="s">
        <v>1847</v>
      </c>
      <c r="B1428" s="15" t="s">
        <v>5</v>
      </c>
      <c r="C1428" s="10" t="s">
        <v>1848</v>
      </c>
      <c r="D1428" s="16" t="s">
        <v>4742</v>
      </c>
      <c r="E1428" s="15" t="s">
        <v>11211</v>
      </c>
      <c r="F1428" s="16" t="str">
        <f>VLOOKUP(Table8[[#This Row],[Mã khách hàng]],code_khach_hang[],2,0)</f>
        <v>CHI NHÁNH NGHỆ AN - CÔNG TY CỔ PHẦN DỊCH VỤ THƯƠNG MẠI TỔNG HỢP WINCOMMERCE</v>
      </c>
      <c r="G1428" s="16" t="str">
        <f>VLOOKUP(Table8[[#This Row],[Mã khách hàng]],code_khach_hang[],3,0)</f>
        <v>Miền Trung đặc biệt 1</v>
      </c>
      <c r="H1428" t="str">
        <f>VLOOKUP(Table8[[#This Row],[Mã khách hàng]],'Khách hàng'!A:D,4,0)</f>
        <v>Food Đức Việt</v>
      </c>
      <c r="I1428" t="str">
        <f>VLOOKUP(Table8[[#This Row],[Mã khách hàng]],'Khách hàng'!A:E,5,0)</f>
        <v>HN0040</v>
      </c>
    </row>
    <row r="1429" spans="1:9">
      <c r="A1429" s="14" t="s">
        <v>1358</v>
      </c>
      <c r="B1429" s="15" t="s">
        <v>5</v>
      </c>
      <c r="C1429" s="10" t="s">
        <v>1359</v>
      </c>
      <c r="D1429" s="16" t="s">
        <v>4745</v>
      </c>
      <c r="E1429" s="14" t="s">
        <v>11209</v>
      </c>
      <c r="F1429" s="16" t="str">
        <f>VLOOKUP(Table8[[#This Row],[Mã khách hàng]],code_khach_hang[],2,0)</f>
        <v>CHI NHÁNH QUẢNG BÌNH - CÔNG TY CỔ PHẦN DỊCH VỤ THƯƠNG MẠI TỔNG HỢP WINCOMMERCE</v>
      </c>
      <c r="G1429" s="16" t="str">
        <f>VLOOKUP(Table8[[#This Row],[Mã khách hàng]],code_khach_hang[],3,0)</f>
        <v>Miền Trung đặc biệt 1</v>
      </c>
      <c r="H1429" t="str">
        <f>VLOOKUP(Table8[[#This Row],[Mã khách hàng]],'Khách hàng'!A:D,4,0)</f>
        <v>Food Đức Việt</v>
      </c>
      <c r="I1429" t="str">
        <f>VLOOKUP(Table8[[#This Row],[Mã khách hàng]],'Khách hàng'!A:E,5,0)</f>
        <v>HN0040</v>
      </c>
    </row>
    <row r="1430" spans="1:9">
      <c r="A1430" s="14" t="s">
        <v>1395</v>
      </c>
      <c r="B1430" s="15" t="s">
        <v>5</v>
      </c>
      <c r="C1430" s="10" t="e">
        <v>#N/A</v>
      </c>
      <c r="D1430" s="16" t="s">
        <v>4748</v>
      </c>
      <c r="E1430" s="15" t="s">
        <v>11203</v>
      </c>
      <c r="F1430" s="16" t="str">
        <f>VLOOKUP(Table8[[#This Row],[Mã khách hàng]],code_khach_hang[],2,0)</f>
        <v>CHI NHÁNH THANH HÓA - CÔNG TY CỔ PHẦN DỊCH VỤ THƯƠNG MẠI TỔNG HỢP WINCOMMERCE</v>
      </c>
      <c r="G1430" s="16" t="str">
        <f>VLOOKUP(Table8[[#This Row],[Mã khách hàng]],code_khach_hang[],3,0)</f>
        <v>Miền Trung đặc biệt 1</v>
      </c>
      <c r="H1430" t="str">
        <f>VLOOKUP(Table8[[#This Row],[Mã khách hàng]],'Khách hàng'!A:D,4,0)</f>
        <v>Food Đức Việt</v>
      </c>
      <c r="I1430" t="str">
        <f>VLOOKUP(Table8[[#This Row],[Mã khách hàng]],'Khách hàng'!A:E,5,0)</f>
        <v>HN0040</v>
      </c>
    </row>
    <row r="1431" spans="1:9">
      <c r="A1431" s="14" t="s">
        <v>1899</v>
      </c>
      <c r="B1431" s="15" t="s">
        <v>5</v>
      </c>
      <c r="C1431" s="10" t="s">
        <v>1900</v>
      </c>
      <c r="D1431" s="16" t="s">
        <v>4751</v>
      </c>
      <c r="E1431" s="15" t="s">
        <v>11211</v>
      </c>
      <c r="F1431" s="16" t="str">
        <f>VLOOKUP(Table8[[#This Row],[Mã khách hàng]],code_khach_hang[],2,0)</f>
        <v>CHI NHÁNH NGHỆ AN - CÔNG TY CỔ PHẦN DỊCH VỤ THƯƠNG MẠI TỔNG HỢP WINCOMMERCE</v>
      </c>
      <c r="G1431" s="16" t="str">
        <f>VLOOKUP(Table8[[#This Row],[Mã khách hàng]],code_khach_hang[],3,0)</f>
        <v>Miền Trung đặc biệt 1</v>
      </c>
      <c r="H1431" t="str">
        <f>VLOOKUP(Table8[[#This Row],[Mã khách hàng]],'Khách hàng'!A:D,4,0)</f>
        <v>Food Đức Việt</v>
      </c>
      <c r="I1431" t="str">
        <f>VLOOKUP(Table8[[#This Row],[Mã khách hàng]],'Khách hàng'!A:E,5,0)</f>
        <v>HN0040</v>
      </c>
    </row>
    <row r="1432" spans="1:9">
      <c r="A1432" s="14" t="s">
        <v>1905</v>
      </c>
      <c r="B1432" s="15" t="s">
        <v>5</v>
      </c>
      <c r="C1432" s="10" t="s">
        <v>1906</v>
      </c>
      <c r="D1432" s="16" t="s">
        <v>4754</v>
      </c>
      <c r="E1432" s="15" t="s">
        <v>11211</v>
      </c>
      <c r="F1432" s="16" t="str">
        <f>VLOOKUP(Table8[[#This Row],[Mã khách hàng]],code_khach_hang[],2,0)</f>
        <v>CHI NHÁNH NGHỆ AN - CÔNG TY CỔ PHẦN DỊCH VỤ THƯƠNG MẠI TỔNG HỢP WINCOMMERCE</v>
      </c>
      <c r="G1432" s="16" t="str">
        <f>VLOOKUP(Table8[[#This Row],[Mã khách hàng]],code_khach_hang[],3,0)</f>
        <v>Miền Trung đặc biệt 1</v>
      </c>
      <c r="H1432" t="str">
        <f>VLOOKUP(Table8[[#This Row],[Mã khách hàng]],'Khách hàng'!A:D,4,0)</f>
        <v>Food Đức Việt</v>
      </c>
      <c r="I1432" t="str">
        <f>VLOOKUP(Table8[[#This Row],[Mã khách hàng]],'Khách hàng'!A:E,5,0)</f>
        <v>HN0040</v>
      </c>
    </row>
    <row r="1433" spans="1:9">
      <c r="A1433" s="14" t="s">
        <v>2001</v>
      </c>
      <c r="B1433" s="15" t="s">
        <v>5</v>
      </c>
      <c r="C1433" s="10" t="s">
        <v>2002</v>
      </c>
      <c r="D1433" s="16" t="s">
        <v>4757</v>
      </c>
      <c r="E1433" s="15" t="s">
        <v>11211</v>
      </c>
      <c r="F1433" s="16" t="str">
        <f>VLOOKUP(Table8[[#This Row],[Mã khách hàng]],code_khach_hang[],2,0)</f>
        <v>CHI NHÁNH NGHỆ AN - CÔNG TY CỔ PHẦN DỊCH VỤ THƯƠNG MẠI TỔNG HỢP WINCOMMERCE</v>
      </c>
      <c r="G1433" s="16" t="str">
        <f>VLOOKUP(Table8[[#This Row],[Mã khách hàng]],code_khach_hang[],3,0)</f>
        <v>Miền Trung đặc biệt 1</v>
      </c>
      <c r="H1433" t="str">
        <f>VLOOKUP(Table8[[#This Row],[Mã khách hàng]],'Khách hàng'!A:D,4,0)</f>
        <v>Food Đức Việt</v>
      </c>
      <c r="I1433" t="str">
        <f>VLOOKUP(Table8[[#This Row],[Mã khách hàng]],'Khách hàng'!A:E,5,0)</f>
        <v>HN0040</v>
      </c>
    </row>
    <row r="1434" spans="1:9">
      <c r="A1434" s="14" t="s">
        <v>2102</v>
      </c>
      <c r="B1434" s="15" t="s">
        <v>5</v>
      </c>
      <c r="C1434" s="10" t="s">
        <v>2103</v>
      </c>
      <c r="D1434" s="16" t="s">
        <v>4760</v>
      </c>
      <c r="E1434" s="15" t="s">
        <v>11215</v>
      </c>
      <c r="F1434" s="16" t="str">
        <f>VLOOKUP(Table8[[#This Row],[Mã khách hàng]],code_khach_hang[],2,0)</f>
        <v>CHI NHÁNH HÀ NỘI - CÔNG TY CỔ PHẦN DỊCH VỤ THƯƠNG MẠI TỔNG HỢP WINCOMMERCE</v>
      </c>
      <c r="G1434" s="16" t="str">
        <f>VLOOKUP(Table8[[#This Row],[Mã khách hàng]],code_khach_hang[],3,0)</f>
        <v>Miền Bắc đặc biệt 1</v>
      </c>
      <c r="H1434" t="str">
        <f>VLOOKUP(Table8[[#This Row],[Mã khách hàng]],'Khách hàng'!A:D,4,0)</f>
        <v>Food Đức Việt</v>
      </c>
      <c r="I1434" t="str">
        <f>VLOOKUP(Table8[[#This Row],[Mã khách hàng]],'Khách hàng'!A:E,5,0)</f>
        <v>HN0040</v>
      </c>
    </row>
    <row r="1435" spans="1:9">
      <c r="A1435" s="14" t="s">
        <v>2066</v>
      </c>
      <c r="B1435" s="15" t="s">
        <v>5</v>
      </c>
      <c r="C1435" s="10" t="e">
        <v>#N/A</v>
      </c>
      <c r="D1435" s="16" t="s">
        <v>4763</v>
      </c>
      <c r="E1435" s="15" t="s">
        <v>11211</v>
      </c>
      <c r="F1435" s="16" t="str">
        <f>VLOOKUP(Table8[[#This Row],[Mã khách hàng]],code_khach_hang[],2,0)</f>
        <v>CHI NHÁNH NGHỆ AN - CÔNG TY CỔ PHẦN DỊCH VỤ THƯƠNG MẠI TỔNG HỢP WINCOMMERCE</v>
      </c>
      <c r="G1435" s="16" t="str">
        <f>VLOOKUP(Table8[[#This Row],[Mã khách hàng]],code_khach_hang[],3,0)</f>
        <v>Miền Trung đặc biệt 1</v>
      </c>
      <c r="H1435" t="str">
        <f>VLOOKUP(Table8[[#This Row],[Mã khách hàng]],'Khách hàng'!A:D,4,0)</f>
        <v>Food Đức Việt</v>
      </c>
      <c r="I1435" t="str">
        <f>VLOOKUP(Table8[[#This Row],[Mã khách hàng]],'Khách hàng'!A:E,5,0)</f>
        <v>HN0040</v>
      </c>
    </row>
    <row r="1436" spans="1:9">
      <c r="A1436" s="14" t="s">
        <v>1908</v>
      </c>
      <c r="B1436" s="15" t="s">
        <v>5</v>
      </c>
      <c r="C1436" s="10" t="s">
        <v>1909</v>
      </c>
      <c r="D1436" s="16" t="s">
        <v>4766</v>
      </c>
      <c r="E1436" s="15" t="s">
        <v>11205</v>
      </c>
      <c r="F1436" s="16" t="str">
        <f>VLOOKUP(Table8[[#This Row],[Mã khách hàng]],code_khach_hang[],2,0)</f>
        <v>CHI NHÁNH HÀ TĨNH - CÔNG TY CỔ PHẦN DỊCH VỤ THƯƠNG MẠI TỔNG HỢP WINCOMMERCE</v>
      </c>
      <c r="G1436" s="16" t="str">
        <f>VLOOKUP(Table8[[#This Row],[Mã khách hàng]],code_khach_hang[],3,0)</f>
        <v>Miền Trung đặc biệt 1</v>
      </c>
      <c r="H1436" t="str">
        <f>VLOOKUP(Table8[[#This Row],[Mã khách hàng]],'Khách hàng'!A:D,4,0)</f>
        <v>Food Đức Việt</v>
      </c>
      <c r="I1436" t="str">
        <f>VLOOKUP(Table8[[#This Row],[Mã khách hàng]],'Khách hàng'!A:E,5,0)</f>
        <v>HN0040</v>
      </c>
    </row>
    <row r="1437" spans="1:9">
      <c r="A1437" s="14" t="s">
        <v>2148</v>
      </c>
      <c r="B1437" s="15" t="s">
        <v>5</v>
      </c>
      <c r="C1437" s="10" t="e">
        <v>#N/A</v>
      </c>
      <c r="D1437" s="16" t="s">
        <v>4769</v>
      </c>
      <c r="E1437" s="15" t="s">
        <v>11203</v>
      </c>
      <c r="F1437" s="16" t="str">
        <f>VLOOKUP(Table8[[#This Row],[Mã khách hàng]],code_khach_hang[],2,0)</f>
        <v>CHI NHÁNH THANH HÓA - CÔNG TY CỔ PHẦN DỊCH VỤ THƯƠNG MẠI TỔNG HỢP WINCOMMERCE</v>
      </c>
      <c r="G1437" s="16" t="str">
        <f>VLOOKUP(Table8[[#This Row],[Mã khách hàng]],code_khach_hang[],3,0)</f>
        <v>Miền Trung đặc biệt 1</v>
      </c>
      <c r="H1437" t="str">
        <f>VLOOKUP(Table8[[#This Row],[Mã khách hàng]],'Khách hàng'!A:D,4,0)</f>
        <v>Food Đức Việt</v>
      </c>
      <c r="I1437" t="str">
        <f>VLOOKUP(Table8[[#This Row],[Mã khách hàng]],'Khách hàng'!A:E,5,0)</f>
        <v>HN0040</v>
      </c>
    </row>
    <row r="1438" spans="1:9">
      <c r="A1438" s="14" t="s">
        <v>2004</v>
      </c>
      <c r="B1438" s="15" t="s">
        <v>5</v>
      </c>
      <c r="C1438" s="10" t="s">
        <v>2005</v>
      </c>
      <c r="D1438" s="16" t="s">
        <v>4772</v>
      </c>
      <c r="E1438" s="15" t="s">
        <v>11215</v>
      </c>
      <c r="F1438" s="16" t="str">
        <f>VLOOKUP(Table8[[#This Row],[Mã khách hàng]],code_khach_hang[],2,0)</f>
        <v>CHI NHÁNH HÀ NỘI - CÔNG TY CỔ PHẦN DỊCH VỤ THƯƠNG MẠI TỔNG HỢP WINCOMMERCE</v>
      </c>
      <c r="G1438" s="16" t="str">
        <f>VLOOKUP(Table8[[#This Row],[Mã khách hàng]],code_khach_hang[],3,0)</f>
        <v>Miền Bắc đặc biệt 1</v>
      </c>
      <c r="H1438" t="str">
        <f>VLOOKUP(Table8[[#This Row],[Mã khách hàng]],'Khách hàng'!A:D,4,0)</f>
        <v>Food Đức Việt</v>
      </c>
      <c r="I1438" t="str">
        <f>VLOOKUP(Table8[[#This Row],[Mã khách hàng]],'Khách hàng'!A:E,5,0)</f>
        <v>HN0040</v>
      </c>
    </row>
    <row r="1439" spans="1:9">
      <c r="A1439" s="14" t="s">
        <v>2195</v>
      </c>
      <c r="B1439" s="15" t="s">
        <v>5</v>
      </c>
      <c r="C1439" s="10" t="s">
        <v>2196</v>
      </c>
      <c r="D1439" s="16" t="s">
        <v>4775</v>
      </c>
      <c r="E1439" s="15" t="s">
        <v>11219</v>
      </c>
      <c r="F1439" s="16" t="str">
        <f>VLOOKUP(Table8[[#This Row],[Mã khách hàng]],code_khach_hang[],2,0)</f>
        <v>CHI NHÁNH NAM ĐỊNH - CÔNG TY CỔ PHẦN DỊCH VỤ THƯƠNG MẠI TỔNG HỢP WINCOMMERCE</v>
      </c>
      <c r="G1439" s="16" t="str">
        <f>VLOOKUP(Table8[[#This Row],[Mã khách hàng]],code_khach_hang[],3,0)</f>
        <v>Miền Bắc đặc biệt 3</v>
      </c>
      <c r="H1439" t="str">
        <f>VLOOKUP(Table8[[#This Row],[Mã khách hàng]],'Khách hàng'!A:D,4,0)</f>
        <v>Food Đức Việt</v>
      </c>
      <c r="I1439" t="str">
        <f>VLOOKUP(Table8[[#This Row],[Mã khách hàng]],'Khách hàng'!A:E,5,0)</f>
        <v>HN0040</v>
      </c>
    </row>
    <row r="1440" spans="1:9">
      <c r="A1440" s="14" t="s">
        <v>2208</v>
      </c>
      <c r="B1440" s="15" t="s">
        <v>5</v>
      </c>
      <c r="C1440" s="10" t="s">
        <v>2209</v>
      </c>
      <c r="D1440" s="16" t="s">
        <v>4778</v>
      </c>
      <c r="E1440" s="15" t="s">
        <v>11203</v>
      </c>
      <c r="F1440" s="16" t="str">
        <f>VLOOKUP(Table8[[#This Row],[Mã khách hàng]],code_khach_hang[],2,0)</f>
        <v>CHI NHÁNH THANH HÓA - CÔNG TY CỔ PHẦN DỊCH VỤ THƯƠNG MẠI TỔNG HỢP WINCOMMERCE</v>
      </c>
      <c r="G1440" s="16" t="str">
        <f>VLOOKUP(Table8[[#This Row],[Mã khách hàng]],code_khach_hang[],3,0)</f>
        <v>Miền Trung đặc biệt 1</v>
      </c>
      <c r="H1440" t="str">
        <f>VLOOKUP(Table8[[#This Row],[Mã khách hàng]],'Khách hàng'!A:D,4,0)</f>
        <v>Food Đức Việt</v>
      </c>
      <c r="I1440" t="str">
        <f>VLOOKUP(Table8[[#This Row],[Mã khách hàng]],'Khách hàng'!A:E,5,0)</f>
        <v>HN0040</v>
      </c>
    </row>
    <row r="1441" spans="1:9">
      <c r="A1441" s="14" t="s">
        <v>2203</v>
      </c>
      <c r="B1441" s="15" t="s">
        <v>5</v>
      </c>
      <c r="C1441" s="10" t="s">
        <v>2204</v>
      </c>
      <c r="D1441" s="16" t="s">
        <v>4781</v>
      </c>
      <c r="E1441" s="15" t="s">
        <v>11211</v>
      </c>
      <c r="F1441" s="16" t="str">
        <f>VLOOKUP(Table8[[#This Row],[Mã khách hàng]],code_khach_hang[],2,0)</f>
        <v>CHI NHÁNH NGHỆ AN - CÔNG TY CỔ PHẦN DỊCH VỤ THƯƠNG MẠI TỔNG HỢP WINCOMMERCE</v>
      </c>
      <c r="G1441" s="16" t="str">
        <f>VLOOKUP(Table8[[#This Row],[Mã khách hàng]],code_khach_hang[],3,0)</f>
        <v>Miền Trung đặc biệt 1</v>
      </c>
      <c r="H1441" t="str">
        <f>VLOOKUP(Table8[[#This Row],[Mã khách hàng]],'Khách hàng'!A:D,4,0)</f>
        <v>Food Đức Việt</v>
      </c>
      <c r="I1441" t="str">
        <f>VLOOKUP(Table8[[#This Row],[Mã khách hàng]],'Khách hàng'!A:E,5,0)</f>
        <v>HN0040</v>
      </c>
    </row>
    <row r="1442" spans="1:9">
      <c r="A1442" s="14" t="s">
        <v>2206</v>
      </c>
      <c r="B1442" s="15" t="s">
        <v>5</v>
      </c>
      <c r="C1442" s="10" t="e">
        <v>#N/A</v>
      </c>
      <c r="D1442" s="16" t="s">
        <v>4784</v>
      </c>
      <c r="E1442" s="15" t="s">
        <v>11203</v>
      </c>
      <c r="F1442" s="16" t="str">
        <f>VLOOKUP(Table8[[#This Row],[Mã khách hàng]],code_khach_hang[],2,0)</f>
        <v>CHI NHÁNH THANH HÓA - CÔNG TY CỔ PHẦN DỊCH VỤ THƯƠNG MẠI TỔNG HỢP WINCOMMERCE</v>
      </c>
      <c r="G1442" s="16" t="str">
        <f>VLOOKUP(Table8[[#This Row],[Mã khách hàng]],code_khach_hang[],3,0)</f>
        <v>Miền Trung đặc biệt 1</v>
      </c>
      <c r="H1442" t="str">
        <f>VLOOKUP(Table8[[#This Row],[Mã khách hàng]],'Khách hàng'!A:D,4,0)</f>
        <v>Food Đức Việt</v>
      </c>
      <c r="I1442" t="str">
        <f>VLOOKUP(Table8[[#This Row],[Mã khách hàng]],'Khách hàng'!A:E,5,0)</f>
        <v>HN0040</v>
      </c>
    </row>
    <row r="1443" spans="1:9">
      <c r="A1443" s="14" t="s">
        <v>2244</v>
      </c>
      <c r="B1443" s="15" t="s">
        <v>5</v>
      </c>
      <c r="C1443" s="10" t="e">
        <v>#N/A</v>
      </c>
      <c r="D1443" s="16" t="s">
        <v>4787</v>
      </c>
      <c r="E1443" s="15" t="s">
        <v>11203</v>
      </c>
      <c r="F1443" s="16" t="str">
        <f>VLOOKUP(Table8[[#This Row],[Mã khách hàng]],code_khach_hang[],2,0)</f>
        <v>CHI NHÁNH THANH HÓA - CÔNG TY CỔ PHẦN DỊCH VỤ THƯƠNG MẠI TỔNG HỢP WINCOMMERCE</v>
      </c>
      <c r="G1443" s="16" t="str">
        <f>VLOOKUP(Table8[[#This Row],[Mã khách hàng]],code_khach_hang[],3,0)</f>
        <v>Miền Trung đặc biệt 1</v>
      </c>
      <c r="H1443" t="str">
        <f>VLOOKUP(Table8[[#This Row],[Mã khách hàng]],'Khách hàng'!A:D,4,0)</f>
        <v>Food Đức Việt</v>
      </c>
      <c r="I1443" t="str">
        <f>VLOOKUP(Table8[[#This Row],[Mã khách hàng]],'Khách hàng'!A:E,5,0)</f>
        <v>HN0040</v>
      </c>
    </row>
    <row r="1444" spans="1:9">
      <c r="A1444" s="14" t="s">
        <v>2153</v>
      </c>
      <c r="B1444" s="15" t="s">
        <v>5</v>
      </c>
      <c r="C1444" s="10" t="s">
        <v>2154</v>
      </c>
      <c r="D1444" s="16" t="s">
        <v>4790</v>
      </c>
      <c r="E1444" s="15" t="s">
        <v>11215</v>
      </c>
      <c r="F1444" s="16" t="str">
        <f>VLOOKUP(Table8[[#This Row],[Mã khách hàng]],code_khach_hang[],2,0)</f>
        <v>CHI NHÁNH HÀ NỘI - CÔNG TY CỔ PHẦN DỊCH VỤ THƯƠNG MẠI TỔNG HỢP WINCOMMERCE</v>
      </c>
      <c r="G1444" s="16" t="str">
        <f>VLOOKUP(Table8[[#This Row],[Mã khách hàng]],code_khach_hang[],3,0)</f>
        <v>Miền Bắc đặc biệt 1</v>
      </c>
      <c r="H1444" t="str">
        <f>VLOOKUP(Table8[[#This Row],[Mã khách hàng]],'Khách hàng'!A:D,4,0)</f>
        <v>Food Đức Việt</v>
      </c>
      <c r="I1444" t="str">
        <f>VLOOKUP(Table8[[#This Row],[Mã khách hàng]],'Khách hàng'!A:E,5,0)</f>
        <v>HN0040</v>
      </c>
    </row>
    <row r="1445" spans="1:9">
      <c r="A1445" s="14" t="s">
        <v>2278</v>
      </c>
      <c r="B1445" s="15" t="s">
        <v>5</v>
      </c>
      <c r="C1445" s="10" t="s">
        <v>2279</v>
      </c>
      <c r="D1445" s="16" t="s">
        <v>4793</v>
      </c>
      <c r="E1445" s="15" t="s">
        <v>11203</v>
      </c>
      <c r="F1445" s="16" t="str">
        <f>VLOOKUP(Table8[[#This Row],[Mã khách hàng]],code_khach_hang[],2,0)</f>
        <v>CHI NHÁNH THANH HÓA - CÔNG TY CỔ PHẦN DỊCH VỤ THƯƠNG MẠI TỔNG HỢP WINCOMMERCE</v>
      </c>
      <c r="G1445" s="16" t="str">
        <f>VLOOKUP(Table8[[#This Row],[Mã khách hàng]],code_khach_hang[],3,0)</f>
        <v>Miền Trung đặc biệt 1</v>
      </c>
      <c r="H1445" t="str">
        <f>VLOOKUP(Table8[[#This Row],[Mã khách hàng]],'Khách hàng'!A:D,4,0)</f>
        <v>Food Đức Việt</v>
      </c>
      <c r="I1445" t="str">
        <f>VLOOKUP(Table8[[#This Row],[Mã khách hàng]],'Khách hàng'!A:E,5,0)</f>
        <v>HN0040</v>
      </c>
    </row>
    <row r="1446" spans="1:9">
      <c r="A1446" s="14" t="s">
        <v>2201</v>
      </c>
      <c r="B1446" s="15" t="s">
        <v>5</v>
      </c>
      <c r="C1446" s="10" t="e">
        <v>#N/A</v>
      </c>
      <c r="D1446" s="16" t="s">
        <v>4796</v>
      </c>
      <c r="E1446" s="15" t="s">
        <v>11203</v>
      </c>
      <c r="F1446" s="16" t="str">
        <f>VLOOKUP(Table8[[#This Row],[Mã khách hàng]],code_khach_hang[],2,0)</f>
        <v>CHI NHÁNH THANH HÓA - CÔNG TY CỔ PHẦN DỊCH VỤ THƯƠNG MẠI TỔNG HỢP WINCOMMERCE</v>
      </c>
      <c r="G1446" s="16" t="str">
        <f>VLOOKUP(Table8[[#This Row],[Mã khách hàng]],code_khach_hang[],3,0)</f>
        <v>Miền Trung đặc biệt 1</v>
      </c>
      <c r="H1446" t="str">
        <f>VLOOKUP(Table8[[#This Row],[Mã khách hàng]],'Khách hàng'!A:D,4,0)</f>
        <v>Food Đức Việt</v>
      </c>
      <c r="I1446" t="str">
        <f>VLOOKUP(Table8[[#This Row],[Mã khách hàng]],'Khách hàng'!A:E,5,0)</f>
        <v>HN0040</v>
      </c>
    </row>
    <row r="1447" spans="1:9">
      <c r="A1447" s="14" t="s">
        <v>2150</v>
      </c>
      <c r="B1447" s="15" t="s">
        <v>5</v>
      </c>
      <c r="C1447" s="10" t="s">
        <v>2151</v>
      </c>
      <c r="D1447" s="16" t="s">
        <v>4799</v>
      </c>
      <c r="E1447" s="15" t="s">
        <v>11203</v>
      </c>
      <c r="F1447" s="16" t="str">
        <f>VLOOKUP(Table8[[#This Row],[Mã khách hàng]],code_khach_hang[],2,0)</f>
        <v>CHI NHÁNH THANH HÓA - CÔNG TY CỔ PHẦN DỊCH VỤ THƯƠNG MẠI TỔNG HỢP WINCOMMERCE</v>
      </c>
      <c r="G1447" s="16" t="str">
        <f>VLOOKUP(Table8[[#This Row],[Mã khách hàng]],code_khach_hang[],3,0)</f>
        <v>Miền Trung đặc biệt 1</v>
      </c>
      <c r="H1447" t="str">
        <f>VLOOKUP(Table8[[#This Row],[Mã khách hàng]],'Khách hàng'!A:D,4,0)</f>
        <v>Food Đức Việt</v>
      </c>
      <c r="I1447" t="str">
        <f>VLOOKUP(Table8[[#This Row],[Mã khách hàng]],'Khách hàng'!A:E,5,0)</f>
        <v>HN0040</v>
      </c>
    </row>
    <row r="1448" spans="1:9">
      <c r="A1448" s="14" t="s">
        <v>1698</v>
      </c>
      <c r="B1448" s="15" t="s">
        <v>5</v>
      </c>
      <c r="C1448" s="10" t="s">
        <v>1699</v>
      </c>
      <c r="D1448" s="16" t="s">
        <v>4802</v>
      </c>
      <c r="E1448" s="15" t="s">
        <v>11210</v>
      </c>
      <c r="F1448" s="16" t="str">
        <f>VLOOKUP(Table8[[#This Row],[Mã khách hàng]],code_khach_hang[],2,0)</f>
        <v>CHI NHÁNH HÀ NAM - CÔNG TY CỔ PHẦN DỊCH VỤ THƯƠNG MẠI TỔNG HỢP WINCOMMERCE</v>
      </c>
      <c r="G1448" s="16" t="str">
        <f>VLOOKUP(Table8[[#This Row],[Mã khách hàng]],code_khach_hang[],3,0)</f>
        <v>Miền Bắc đặc biệt 3</v>
      </c>
      <c r="H1448" t="str">
        <f>VLOOKUP(Table8[[#This Row],[Mã khách hàng]],'Khách hàng'!A:D,4,0)</f>
        <v>Food Đức Việt</v>
      </c>
      <c r="I1448" t="str">
        <f>VLOOKUP(Table8[[#This Row],[Mã khách hàng]],'Khách hàng'!A:E,5,0)</f>
        <v>HN0040</v>
      </c>
    </row>
    <row r="1449" spans="1:9">
      <c r="A1449" s="14" t="s">
        <v>2329</v>
      </c>
      <c r="B1449" s="15" t="s">
        <v>5</v>
      </c>
      <c r="C1449" s="10" t="e">
        <v>#N/A</v>
      </c>
      <c r="D1449" s="16" t="s">
        <v>4805</v>
      </c>
      <c r="E1449" s="15" t="s">
        <v>11211</v>
      </c>
      <c r="F1449" s="16" t="str">
        <f>VLOOKUP(Table8[[#This Row],[Mã khách hàng]],code_khach_hang[],2,0)</f>
        <v>CHI NHÁNH NGHỆ AN - CÔNG TY CỔ PHẦN DỊCH VỤ THƯƠNG MẠI TỔNG HỢP WINCOMMERCE</v>
      </c>
      <c r="G1449" s="16" t="str">
        <f>VLOOKUP(Table8[[#This Row],[Mã khách hàng]],code_khach_hang[],3,0)</f>
        <v>Miền Trung đặc biệt 1</v>
      </c>
      <c r="H1449" t="str">
        <f>VLOOKUP(Table8[[#This Row],[Mã khách hàng]],'Khách hàng'!A:D,4,0)</f>
        <v>Food Đức Việt</v>
      </c>
      <c r="I1449" t="str">
        <f>VLOOKUP(Table8[[#This Row],[Mã khách hàng]],'Khách hàng'!A:E,5,0)</f>
        <v>HN0040</v>
      </c>
    </row>
    <row r="1450" spans="1:9">
      <c r="A1450" s="14" t="s">
        <v>2406</v>
      </c>
      <c r="B1450" s="15" t="s">
        <v>5</v>
      </c>
      <c r="C1450" s="10" t="s">
        <v>2407</v>
      </c>
      <c r="D1450" s="16" t="s">
        <v>4808</v>
      </c>
      <c r="E1450" s="15" t="s">
        <v>11219</v>
      </c>
      <c r="F1450" s="16" t="str">
        <f>VLOOKUP(Table8[[#This Row],[Mã khách hàng]],code_khach_hang[],2,0)</f>
        <v>CHI NHÁNH NAM ĐỊNH - CÔNG TY CỔ PHẦN DỊCH VỤ THƯƠNG MẠI TỔNG HỢP WINCOMMERCE</v>
      </c>
      <c r="G1450" s="16" t="str">
        <f>VLOOKUP(Table8[[#This Row],[Mã khách hàng]],code_khach_hang[],3,0)</f>
        <v>Miền Bắc đặc biệt 3</v>
      </c>
      <c r="H1450" t="str">
        <f>VLOOKUP(Table8[[#This Row],[Mã khách hàng]],'Khách hàng'!A:D,4,0)</f>
        <v>Food Đức Việt</v>
      </c>
      <c r="I1450" t="str">
        <f>VLOOKUP(Table8[[#This Row],[Mã khách hàng]],'Khách hàng'!A:E,5,0)</f>
        <v>HN0040</v>
      </c>
    </row>
    <row r="1451" spans="1:9">
      <c r="A1451" s="14" t="s">
        <v>2469</v>
      </c>
      <c r="B1451" s="15" t="s">
        <v>5</v>
      </c>
      <c r="C1451" s="10" t="s">
        <v>2470</v>
      </c>
      <c r="D1451" s="16" t="s">
        <v>4811</v>
      </c>
      <c r="E1451" s="15" t="s">
        <v>11209</v>
      </c>
      <c r="F1451" s="16" t="str">
        <f>VLOOKUP(Table8[[#This Row],[Mã khách hàng]],code_khach_hang[],2,0)</f>
        <v>CHI NHÁNH QUẢNG BÌNH - CÔNG TY CỔ PHẦN DỊCH VỤ THƯƠNG MẠI TỔNG HỢP WINCOMMERCE</v>
      </c>
      <c r="G1451" s="16" t="str">
        <f>VLOOKUP(Table8[[#This Row],[Mã khách hàng]],code_khach_hang[],3,0)</f>
        <v>Miền Trung đặc biệt 1</v>
      </c>
      <c r="H1451" t="str">
        <f>VLOOKUP(Table8[[#This Row],[Mã khách hàng]],'Khách hàng'!A:D,4,0)</f>
        <v>Food Đức Việt</v>
      </c>
      <c r="I1451" t="str">
        <f>VLOOKUP(Table8[[#This Row],[Mã khách hàng]],'Khách hàng'!A:E,5,0)</f>
        <v>HN0040</v>
      </c>
    </row>
    <row r="1452" spans="1:9">
      <c r="A1452" s="14" t="s">
        <v>2232</v>
      </c>
      <c r="B1452" s="15" t="s">
        <v>5</v>
      </c>
      <c r="C1452" s="10" t="s">
        <v>2233</v>
      </c>
      <c r="D1452" s="16" t="s">
        <v>4814</v>
      </c>
      <c r="E1452" s="15" t="s">
        <v>11211</v>
      </c>
      <c r="F1452" s="16" t="str">
        <f>VLOOKUP(Table8[[#This Row],[Mã khách hàng]],code_khach_hang[],2,0)</f>
        <v>CHI NHÁNH NGHỆ AN - CÔNG TY CỔ PHẦN DỊCH VỤ THƯƠNG MẠI TỔNG HỢP WINCOMMERCE</v>
      </c>
      <c r="G1452" s="16" t="str">
        <f>VLOOKUP(Table8[[#This Row],[Mã khách hàng]],code_khach_hang[],3,0)</f>
        <v>Miền Trung đặc biệt 1</v>
      </c>
      <c r="H1452" t="str">
        <f>VLOOKUP(Table8[[#This Row],[Mã khách hàng]],'Khách hàng'!A:D,4,0)</f>
        <v>Food Đức Việt</v>
      </c>
      <c r="I1452" t="str">
        <f>VLOOKUP(Table8[[#This Row],[Mã khách hàng]],'Khách hàng'!A:E,5,0)</f>
        <v>HN0040</v>
      </c>
    </row>
    <row r="1453" spans="1:9">
      <c r="A1453" s="14" t="s">
        <v>2467</v>
      </c>
      <c r="B1453" s="15" t="s">
        <v>5</v>
      </c>
      <c r="C1453" s="10" t="e">
        <v>#N/A</v>
      </c>
      <c r="D1453" s="16" t="s">
        <v>4817</v>
      </c>
      <c r="E1453" s="15" t="s">
        <v>11203</v>
      </c>
      <c r="F1453" s="16" t="str">
        <f>VLOOKUP(Table8[[#This Row],[Mã khách hàng]],code_khach_hang[],2,0)</f>
        <v>CHI NHÁNH THANH HÓA - CÔNG TY CỔ PHẦN DỊCH VỤ THƯƠNG MẠI TỔNG HỢP WINCOMMERCE</v>
      </c>
      <c r="G1453" s="16" t="str">
        <f>VLOOKUP(Table8[[#This Row],[Mã khách hàng]],code_khach_hang[],3,0)</f>
        <v>Miền Trung đặc biệt 1</v>
      </c>
      <c r="H1453" t="str">
        <f>VLOOKUP(Table8[[#This Row],[Mã khách hàng]],'Khách hàng'!A:D,4,0)</f>
        <v>Food Đức Việt</v>
      </c>
      <c r="I1453" t="str">
        <f>VLOOKUP(Table8[[#This Row],[Mã khách hàng]],'Khách hàng'!A:E,5,0)</f>
        <v>HN0040</v>
      </c>
    </row>
    <row r="1454" spans="1:9">
      <c r="A1454" s="14" t="s">
        <v>2551</v>
      </c>
      <c r="B1454" s="15" t="s">
        <v>5</v>
      </c>
      <c r="C1454" s="10" t="s">
        <v>2552</v>
      </c>
      <c r="D1454" s="16" t="s">
        <v>4820</v>
      </c>
      <c r="E1454" s="15" t="s">
        <v>11211</v>
      </c>
      <c r="F1454" s="16" t="str">
        <f>VLOOKUP(Table8[[#This Row],[Mã khách hàng]],code_khach_hang[],2,0)</f>
        <v>CHI NHÁNH NGHỆ AN - CÔNG TY CỔ PHẦN DỊCH VỤ THƯƠNG MẠI TỔNG HỢP WINCOMMERCE</v>
      </c>
      <c r="G1454" s="16" t="str">
        <f>VLOOKUP(Table8[[#This Row],[Mã khách hàng]],code_khach_hang[],3,0)</f>
        <v>Miền Trung đặc biệt 1</v>
      </c>
      <c r="H1454" t="str">
        <f>VLOOKUP(Table8[[#This Row],[Mã khách hàng]],'Khách hàng'!A:D,4,0)</f>
        <v>Food Đức Việt</v>
      </c>
      <c r="I1454" t="str">
        <f>VLOOKUP(Table8[[#This Row],[Mã khách hàng]],'Khách hàng'!A:E,5,0)</f>
        <v>HN0040</v>
      </c>
    </row>
    <row r="1455" spans="1:9">
      <c r="A1455" s="14" t="s">
        <v>2611</v>
      </c>
      <c r="B1455" s="15" t="s">
        <v>5</v>
      </c>
      <c r="C1455" s="10" t="e">
        <v>#N/A</v>
      </c>
      <c r="D1455" s="16" t="s">
        <v>4823</v>
      </c>
      <c r="E1455" s="15" t="s">
        <v>11203</v>
      </c>
      <c r="F1455" s="16" t="str">
        <f>VLOOKUP(Table8[[#This Row],[Mã khách hàng]],code_khach_hang[],2,0)</f>
        <v>CHI NHÁNH THANH HÓA - CÔNG TY CỔ PHẦN DỊCH VỤ THƯƠNG MẠI TỔNG HỢP WINCOMMERCE</v>
      </c>
      <c r="G1455" s="16" t="str">
        <f>VLOOKUP(Table8[[#This Row],[Mã khách hàng]],code_khach_hang[],3,0)</f>
        <v>Miền Trung đặc biệt 1</v>
      </c>
      <c r="H1455" t="str">
        <f>VLOOKUP(Table8[[#This Row],[Mã khách hàng]],'Khách hàng'!A:D,4,0)</f>
        <v>Food Đức Việt</v>
      </c>
      <c r="I1455" t="str">
        <f>VLOOKUP(Table8[[#This Row],[Mã khách hàng]],'Khách hàng'!A:E,5,0)</f>
        <v>HN0040</v>
      </c>
    </row>
    <row r="1456" spans="1:9">
      <c r="A1456" s="14" t="s">
        <v>2619</v>
      </c>
      <c r="B1456" s="15" t="s">
        <v>5</v>
      </c>
      <c r="C1456" s="10" t="s">
        <v>2620</v>
      </c>
      <c r="D1456" s="16" t="s">
        <v>4826</v>
      </c>
      <c r="E1456" s="15" t="s">
        <v>11196</v>
      </c>
      <c r="F1456" s="16" t="str">
        <f>VLOOKUP(Table8[[#This Row],[Mã khách hàng]],code_khach_hang[],2,0)</f>
        <v>CHI NHÁNH NINH BÌNH - CÔNG TY CỔ PHẦN DỊCH VỤ THƯƠNG MẠI TỔNG HỢP WINCOMMERCE</v>
      </c>
      <c r="G1456" s="16" t="str">
        <f>VLOOKUP(Table8[[#This Row],[Mã khách hàng]],code_khach_hang[],3,0)</f>
        <v>Miền Bắc đặc biệt 3</v>
      </c>
      <c r="H1456" t="str">
        <f>VLOOKUP(Table8[[#This Row],[Mã khách hàng]],'Khách hàng'!A:D,4,0)</f>
        <v>Food Đức Việt</v>
      </c>
      <c r="I1456" t="str">
        <f>VLOOKUP(Table8[[#This Row],[Mã khách hàng]],'Khách hàng'!A:E,5,0)</f>
        <v>HN0040</v>
      </c>
    </row>
    <row r="1457" spans="1:9">
      <c r="A1457" s="14" t="s">
        <v>2622</v>
      </c>
      <c r="B1457" s="15" t="s">
        <v>5</v>
      </c>
      <c r="C1457" s="10" t="s">
        <v>2623</v>
      </c>
      <c r="D1457" s="16" t="s">
        <v>4829</v>
      </c>
      <c r="E1457" s="15" t="s">
        <v>11211</v>
      </c>
      <c r="F1457" s="16" t="str">
        <f>VLOOKUP(Table8[[#This Row],[Mã khách hàng]],code_khach_hang[],2,0)</f>
        <v>CHI NHÁNH NGHỆ AN - CÔNG TY CỔ PHẦN DỊCH VỤ THƯƠNG MẠI TỔNG HỢP WINCOMMERCE</v>
      </c>
      <c r="G1457" s="16" t="str">
        <f>VLOOKUP(Table8[[#This Row],[Mã khách hàng]],code_khach_hang[],3,0)</f>
        <v>Miền Trung đặc biệt 1</v>
      </c>
      <c r="H1457" t="str">
        <f>VLOOKUP(Table8[[#This Row],[Mã khách hàng]],'Khách hàng'!A:D,4,0)</f>
        <v>Food Đức Việt</v>
      </c>
      <c r="I1457" t="str">
        <f>VLOOKUP(Table8[[#This Row],[Mã khách hàng]],'Khách hàng'!A:E,5,0)</f>
        <v>HN0040</v>
      </c>
    </row>
    <row r="1458" spans="1:9">
      <c r="A1458" s="14" t="s">
        <v>2475</v>
      </c>
      <c r="B1458" s="15" t="s">
        <v>5</v>
      </c>
      <c r="C1458" s="10" t="s">
        <v>2476</v>
      </c>
      <c r="D1458" s="16" t="s">
        <v>4832</v>
      </c>
      <c r="E1458" s="15" t="s">
        <v>11203</v>
      </c>
      <c r="F1458" s="16" t="str">
        <f>VLOOKUP(Table8[[#This Row],[Mã khách hàng]],code_khach_hang[],2,0)</f>
        <v>CHI NHÁNH THANH HÓA - CÔNG TY CỔ PHẦN DỊCH VỤ THƯƠNG MẠI TỔNG HỢP WINCOMMERCE</v>
      </c>
      <c r="G1458" s="16" t="str">
        <f>VLOOKUP(Table8[[#This Row],[Mã khách hàng]],code_khach_hang[],3,0)</f>
        <v>Miền Trung đặc biệt 1</v>
      </c>
      <c r="H1458" t="str">
        <f>VLOOKUP(Table8[[#This Row],[Mã khách hàng]],'Khách hàng'!A:D,4,0)</f>
        <v>Food Đức Việt</v>
      </c>
      <c r="I1458" t="str">
        <f>VLOOKUP(Table8[[#This Row],[Mã khách hàng]],'Khách hàng'!A:E,5,0)</f>
        <v>HN0040</v>
      </c>
    </row>
    <row r="1459" spans="1:9">
      <c r="A1459" s="14" t="s">
        <v>2331</v>
      </c>
      <c r="B1459" s="15" t="s">
        <v>5</v>
      </c>
      <c r="C1459" s="10" t="e">
        <v>#N/A</v>
      </c>
      <c r="D1459" s="16" t="s">
        <v>4835</v>
      </c>
      <c r="E1459" s="15" t="s">
        <v>11211</v>
      </c>
      <c r="F1459" s="16" t="str">
        <f>VLOOKUP(Table8[[#This Row],[Mã khách hàng]],code_khach_hang[],2,0)</f>
        <v>CHI NHÁNH NGHỆ AN - CÔNG TY CỔ PHẦN DỊCH VỤ THƯƠNG MẠI TỔNG HỢP WINCOMMERCE</v>
      </c>
      <c r="G1459" s="16" t="str">
        <f>VLOOKUP(Table8[[#This Row],[Mã khách hàng]],code_khach_hang[],3,0)</f>
        <v>Miền Trung đặc biệt 1</v>
      </c>
      <c r="H1459" t="str">
        <f>VLOOKUP(Table8[[#This Row],[Mã khách hàng]],'Khách hàng'!A:D,4,0)</f>
        <v>Food Đức Việt</v>
      </c>
      <c r="I1459" t="str">
        <f>VLOOKUP(Table8[[#This Row],[Mã khách hàng]],'Khách hàng'!A:E,5,0)</f>
        <v>HN0040</v>
      </c>
    </row>
    <row r="1460" spans="1:9">
      <c r="A1460" s="14" t="s">
        <v>2643</v>
      </c>
      <c r="B1460" s="15" t="s">
        <v>5</v>
      </c>
      <c r="C1460" s="10" t="s">
        <v>2644</v>
      </c>
      <c r="D1460" s="16" t="s">
        <v>4838</v>
      </c>
      <c r="E1460" s="15" t="s">
        <v>11215</v>
      </c>
      <c r="F1460" s="16" t="str">
        <f>VLOOKUP(Table8[[#This Row],[Mã khách hàng]],code_khach_hang[],2,0)</f>
        <v>CHI NHÁNH HÀ NỘI - CÔNG TY CỔ PHẦN DỊCH VỤ THƯƠNG MẠI TỔNG HỢP WINCOMMERCE</v>
      </c>
      <c r="G1460" s="16" t="str">
        <f>VLOOKUP(Table8[[#This Row],[Mã khách hàng]],code_khach_hang[],3,0)</f>
        <v>Miền Bắc đặc biệt 1</v>
      </c>
      <c r="H1460" t="str">
        <f>VLOOKUP(Table8[[#This Row],[Mã khách hàng]],'Khách hàng'!A:D,4,0)</f>
        <v>Food Đức Việt</v>
      </c>
      <c r="I1460" t="str">
        <f>VLOOKUP(Table8[[#This Row],[Mã khách hàng]],'Khách hàng'!A:E,5,0)</f>
        <v>HN0040</v>
      </c>
    </row>
    <row r="1461" spans="1:9">
      <c r="A1461" s="14" t="s">
        <v>2688</v>
      </c>
      <c r="B1461" s="15" t="s">
        <v>5</v>
      </c>
      <c r="C1461" s="10" t="s">
        <v>2689</v>
      </c>
      <c r="D1461" s="16" t="s">
        <v>4841</v>
      </c>
      <c r="E1461" s="15" t="s">
        <v>11200</v>
      </c>
      <c r="F1461" s="16" t="str">
        <f>VLOOKUP(Table8[[#This Row],[Mã khách hàng]],code_khach_hang[],2,0)</f>
        <v>CHI NHÁNH THÁI BÌNH - CÔNG TY CỔ PHẦN DỊCH VỤ THƯƠNG MẠI TỔNG HỢP WINCOMMERCE</v>
      </c>
      <c r="G1461" s="16" t="str">
        <f>VLOOKUP(Table8[[#This Row],[Mã khách hàng]],code_khach_hang[],3,0)</f>
        <v>Miền Bắc đặc biệt 3</v>
      </c>
      <c r="H1461" t="str">
        <f>VLOOKUP(Table8[[#This Row],[Mã khách hàng]],'Khách hàng'!A:D,4,0)</f>
        <v>Food Đức Việt</v>
      </c>
      <c r="I1461" t="str">
        <f>VLOOKUP(Table8[[#This Row],[Mã khách hàng]],'Khách hàng'!A:E,5,0)</f>
        <v>HN0040</v>
      </c>
    </row>
    <row r="1462" spans="1:9">
      <c r="A1462" s="14" t="s">
        <v>2461</v>
      </c>
      <c r="B1462" s="15" t="s">
        <v>5</v>
      </c>
      <c r="C1462" s="10" t="s">
        <v>2462</v>
      </c>
      <c r="D1462" s="16" t="s">
        <v>4844</v>
      </c>
      <c r="E1462" s="15" t="s">
        <v>11196</v>
      </c>
      <c r="F1462" s="16" t="str">
        <f>VLOOKUP(Table8[[#This Row],[Mã khách hàng]],code_khach_hang[],2,0)</f>
        <v>CHI NHÁNH NINH BÌNH - CÔNG TY CỔ PHẦN DỊCH VỤ THƯƠNG MẠI TỔNG HỢP WINCOMMERCE</v>
      </c>
      <c r="G1462" s="16" t="str">
        <f>VLOOKUP(Table8[[#This Row],[Mã khách hàng]],code_khach_hang[],3,0)</f>
        <v>Miền Bắc đặc biệt 3</v>
      </c>
      <c r="H1462" t="str">
        <f>VLOOKUP(Table8[[#This Row],[Mã khách hàng]],'Khách hàng'!A:D,4,0)</f>
        <v>Food Đức Việt</v>
      </c>
      <c r="I1462" t="str">
        <f>VLOOKUP(Table8[[#This Row],[Mã khách hàng]],'Khách hàng'!A:E,5,0)</f>
        <v>HN0040</v>
      </c>
    </row>
    <row r="1463" spans="1:9">
      <c r="A1463" s="14" t="s">
        <v>2745</v>
      </c>
      <c r="B1463" s="15" t="s">
        <v>5</v>
      </c>
      <c r="C1463" s="10" t="s">
        <v>2746</v>
      </c>
      <c r="D1463" s="16" t="s">
        <v>4847</v>
      </c>
      <c r="E1463" s="15" t="s">
        <v>11219</v>
      </c>
      <c r="F1463" s="16" t="str">
        <f>VLOOKUP(Table8[[#This Row],[Mã khách hàng]],code_khach_hang[],2,0)</f>
        <v>CHI NHÁNH NAM ĐỊNH - CÔNG TY CỔ PHẦN DỊCH VỤ THƯƠNG MẠI TỔNG HỢP WINCOMMERCE</v>
      </c>
      <c r="G1463" s="16" t="str">
        <f>VLOOKUP(Table8[[#This Row],[Mã khách hàng]],code_khach_hang[],3,0)</f>
        <v>Miền Bắc đặc biệt 3</v>
      </c>
      <c r="H1463" t="str">
        <f>VLOOKUP(Table8[[#This Row],[Mã khách hàng]],'Khách hàng'!A:D,4,0)</f>
        <v>Food Đức Việt</v>
      </c>
      <c r="I1463" t="str">
        <f>VLOOKUP(Table8[[#This Row],[Mã khách hàng]],'Khách hàng'!A:E,5,0)</f>
        <v>HN0040</v>
      </c>
    </row>
    <row r="1464" spans="1:9">
      <c r="A1464" s="14" t="s">
        <v>2754</v>
      </c>
      <c r="B1464" s="15" t="s">
        <v>5</v>
      </c>
      <c r="C1464" s="10" t="e">
        <v>#N/A</v>
      </c>
      <c r="D1464" s="16" t="s">
        <v>4850</v>
      </c>
      <c r="E1464" s="15" t="s">
        <v>11205</v>
      </c>
      <c r="F1464" s="16" t="str">
        <f>VLOOKUP(Table8[[#This Row],[Mã khách hàng]],code_khach_hang[],2,0)</f>
        <v>CHI NHÁNH HÀ TĨNH - CÔNG TY CỔ PHẦN DỊCH VỤ THƯƠNG MẠI TỔNG HỢP WINCOMMERCE</v>
      </c>
      <c r="G1464" s="16" t="str">
        <f>VLOOKUP(Table8[[#This Row],[Mã khách hàng]],code_khach_hang[],3,0)</f>
        <v>Miền Trung đặc biệt 1</v>
      </c>
      <c r="H1464" t="str">
        <f>VLOOKUP(Table8[[#This Row],[Mã khách hàng]],'Khách hàng'!A:D,4,0)</f>
        <v>Food Đức Việt</v>
      </c>
      <c r="I1464" t="str">
        <f>VLOOKUP(Table8[[#This Row],[Mã khách hàng]],'Khách hàng'!A:E,5,0)</f>
        <v>HN0040</v>
      </c>
    </row>
    <row r="1465" spans="1:9">
      <c r="A1465" s="14" t="s">
        <v>2819</v>
      </c>
      <c r="B1465" s="15" t="s">
        <v>5</v>
      </c>
      <c r="C1465" s="10" t="s">
        <v>2820</v>
      </c>
      <c r="D1465" s="16" t="s">
        <v>4853</v>
      </c>
      <c r="E1465" s="15" t="s">
        <v>11200</v>
      </c>
      <c r="F1465" s="16" t="str">
        <f>VLOOKUP(Table8[[#This Row],[Mã khách hàng]],code_khach_hang[],2,0)</f>
        <v>CHI NHÁNH THÁI BÌNH - CÔNG TY CỔ PHẦN DỊCH VỤ THƯƠNG MẠI TỔNG HỢP WINCOMMERCE</v>
      </c>
      <c r="G1465" s="16" t="str">
        <f>VLOOKUP(Table8[[#This Row],[Mã khách hàng]],code_khach_hang[],3,0)</f>
        <v>Miền Bắc đặc biệt 3</v>
      </c>
      <c r="H1465" t="str">
        <f>VLOOKUP(Table8[[#This Row],[Mã khách hàng]],'Khách hàng'!A:D,4,0)</f>
        <v>Food Đức Việt</v>
      </c>
      <c r="I1465" t="str">
        <f>VLOOKUP(Table8[[#This Row],[Mã khách hàng]],'Khách hàng'!A:E,5,0)</f>
        <v>HN0040</v>
      </c>
    </row>
    <row r="1466" spans="1:9">
      <c r="A1466" s="14" t="s">
        <v>1486</v>
      </c>
      <c r="B1466" s="15" t="s">
        <v>5</v>
      </c>
      <c r="C1466" s="10" t="s">
        <v>1487</v>
      </c>
      <c r="D1466" s="16" t="s">
        <v>4856</v>
      </c>
      <c r="E1466" s="15" t="s">
        <v>11203</v>
      </c>
      <c r="F1466" s="16" t="str">
        <f>VLOOKUP(Table8[[#This Row],[Mã khách hàng]],code_khach_hang[],2,0)</f>
        <v>CHI NHÁNH THANH HÓA - CÔNG TY CỔ PHẦN DỊCH VỤ THƯƠNG MẠI TỔNG HỢP WINCOMMERCE</v>
      </c>
      <c r="G1466" s="16" t="str">
        <f>VLOOKUP(Table8[[#This Row],[Mã khách hàng]],code_khach_hang[],3,0)</f>
        <v>Miền Trung đặc biệt 1</v>
      </c>
      <c r="H1466" t="str">
        <f>VLOOKUP(Table8[[#This Row],[Mã khách hàng]],'Khách hàng'!A:D,4,0)</f>
        <v>Food Đức Việt</v>
      </c>
      <c r="I1466" t="str">
        <f>VLOOKUP(Table8[[#This Row],[Mã khách hàng]],'Khách hàng'!A:E,5,0)</f>
        <v>HN0040</v>
      </c>
    </row>
    <row r="1467" spans="1:9">
      <c r="A1467" s="14" t="s">
        <v>1489</v>
      </c>
      <c r="B1467" s="15" t="s">
        <v>5</v>
      </c>
      <c r="C1467" s="10" t="e">
        <v>#N/A</v>
      </c>
      <c r="D1467" s="16" t="s">
        <v>4859</v>
      </c>
      <c r="E1467" s="15" t="s">
        <v>11203</v>
      </c>
      <c r="F1467" s="16" t="str">
        <f>VLOOKUP(Table8[[#This Row],[Mã khách hàng]],code_khach_hang[],2,0)</f>
        <v>CHI NHÁNH THANH HÓA - CÔNG TY CỔ PHẦN DỊCH VỤ THƯƠNG MẠI TỔNG HỢP WINCOMMERCE</v>
      </c>
      <c r="G1467" s="16" t="str">
        <f>VLOOKUP(Table8[[#This Row],[Mã khách hàng]],code_khach_hang[],3,0)</f>
        <v>Miền Trung đặc biệt 1</v>
      </c>
      <c r="H1467" t="str">
        <f>VLOOKUP(Table8[[#This Row],[Mã khách hàng]],'Khách hàng'!A:D,4,0)</f>
        <v>Food Đức Việt</v>
      </c>
      <c r="I1467" t="str">
        <f>VLOOKUP(Table8[[#This Row],[Mã khách hàng]],'Khách hàng'!A:E,5,0)</f>
        <v>HN0040</v>
      </c>
    </row>
    <row r="1468" spans="1:9">
      <c r="A1468" s="14" t="s">
        <v>2759</v>
      </c>
      <c r="B1468" s="15" t="s">
        <v>5</v>
      </c>
      <c r="C1468" s="10" t="s">
        <v>2760</v>
      </c>
      <c r="D1468" s="16" t="s">
        <v>4862</v>
      </c>
      <c r="E1468" s="15" t="s">
        <v>11203</v>
      </c>
      <c r="F1468" s="16" t="str">
        <f>VLOOKUP(Table8[[#This Row],[Mã khách hàng]],code_khach_hang[],2,0)</f>
        <v>CHI NHÁNH THANH HÓA - CÔNG TY CỔ PHẦN DỊCH VỤ THƯƠNG MẠI TỔNG HỢP WINCOMMERCE</v>
      </c>
      <c r="G1468" s="16" t="str">
        <f>VLOOKUP(Table8[[#This Row],[Mã khách hàng]],code_khach_hang[],3,0)</f>
        <v>Miền Trung đặc biệt 1</v>
      </c>
      <c r="H1468" t="str">
        <f>VLOOKUP(Table8[[#This Row],[Mã khách hàng]],'Khách hàng'!A:D,4,0)</f>
        <v>Food Đức Việt</v>
      </c>
      <c r="I1468" t="str">
        <f>VLOOKUP(Table8[[#This Row],[Mã khách hàng]],'Khách hàng'!A:E,5,0)</f>
        <v>HN0040</v>
      </c>
    </row>
    <row r="1469" spans="1:9">
      <c r="A1469" s="14" t="s">
        <v>2807</v>
      </c>
      <c r="B1469" s="15" t="s">
        <v>5</v>
      </c>
      <c r="C1469" s="10" t="s">
        <v>2808</v>
      </c>
      <c r="D1469" s="16" t="s">
        <v>4865</v>
      </c>
      <c r="E1469" s="15" t="s">
        <v>11196</v>
      </c>
      <c r="F1469" s="16" t="str">
        <f>VLOOKUP(Table8[[#This Row],[Mã khách hàng]],code_khach_hang[],2,0)</f>
        <v>CHI NHÁNH NINH BÌNH - CÔNG TY CỔ PHẦN DỊCH VỤ THƯƠNG MẠI TỔNG HỢP WINCOMMERCE</v>
      </c>
      <c r="G1469" s="16" t="str">
        <f>VLOOKUP(Table8[[#This Row],[Mã khách hàng]],code_khach_hang[],3,0)</f>
        <v>Miền Bắc đặc biệt 3</v>
      </c>
      <c r="H1469" t="str">
        <f>VLOOKUP(Table8[[#This Row],[Mã khách hàng]],'Khách hàng'!A:D,4,0)</f>
        <v>Food Đức Việt</v>
      </c>
      <c r="I1469" t="str">
        <f>VLOOKUP(Table8[[#This Row],[Mã khách hàng]],'Khách hàng'!A:E,5,0)</f>
        <v>HN0040</v>
      </c>
    </row>
    <row r="1470" spans="1:9">
      <c r="A1470" s="14" t="s">
        <v>1480</v>
      </c>
      <c r="B1470" s="15" t="s">
        <v>5</v>
      </c>
      <c r="C1470" s="10" t="s">
        <v>1481</v>
      </c>
      <c r="D1470" s="16" t="s">
        <v>4868</v>
      </c>
      <c r="E1470" s="15" t="s">
        <v>11200</v>
      </c>
      <c r="F1470" s="16" t="str">
        <f>VLOOKUP(Table8[[#This Row],[Mã khách hàng]],code_khach_hang[],2,0)</f>
        <v>CHI NHÁNH THÁI BÌNH - CÔNG TY CỔ PHẦN DỊCH VỤ THƯƠNG MẠI TỔNG HỢP WINCOMMERCE</v>
      </c>
      <c r="G1470" s="16" t="str">
        <f>VLOOKUP(Table8[[#This Row],[Mã khách hàng]],code_khach_hang[],3,0)</f>
        <v>Miền Bắc đặc biệt 3</v>
      </c>
      <c r="H1470" t="str">
        <f>VLOOKUP(Table8[[#This Row],[Mã khách hàng]],'Khách hàng'!A:D,4,0)</f>
        <v>Food Đức Việt</v>
      </c>
      <c r="I1470" t="str">
        <f>VLOOKUP(Table8[[#This Row],[Mã khách hàng]],'Khách hàng'!A:E,5,0)</f>
        <v>HN0040</v>
      </c>
    </row>
    <row r="1471" spans="1:9">
      <c r="A1471" s="14" t="s">
        <v>1483</v>
      </c>
      <c r="B1471" s="15" t="s">
        <v>5</v>
      </c>
      <c r="C1471" s="10" t="s">
        <v>1484</v>
      </c>
      <c r="D1471" s="16" t="s">
        <v>4871</v>
      </c>
      <c r="E1471" s="15" t="s">
        <v>11200</v>
      </c>
      <c r="F1471" s="16" t="str">
        <f>VLOOKUP(Table8[[#This Row],[Mã khách hàng]],code_khach_hang[],2,0)</f>
        <v>CHI NHÁNH THÁI BÌNH - CÔNG TY CỔ PHẦN DỊCH VỤ THƯƠNG MẠI TỔNG HỢP WINCOMMERCE</v>
      </c>
      <c r="G1471" s="16" t="str">
        <f>VLOOKUP(Table8[[#This Row],[Mã khách hàng]],code_khach_hang[],3,0)</f>
        <v>Miền Bắc đặc biệt 3</v>
      </c>
      <c r="H1471" t="str">
        <f>VLOOKUP(Table8[[#This Row],[Mã khách hàng]],'Khách hàng'!A:D,4,0)</f>
        <v>Food Đức Việt</v>
      </c>
      <c r="I1471" t="str">
        <f>VLOOKUP(Table8[[#This Row],[Mã khách hàng]],'Khách hàng'!A:E,5,0)</f>
        <v>HN0040</v>
      </c>
    </row>
    <row r="1472" spans="1:9">
      <c r="A1472" s="14" t="s">
        <v>2478</v>
      </c>
      <c r="B1472" s="15" t="s">
        <v>5</v>
      </c>
      <c r="C1472" s="10" t="e">
        <v>#N/A</v>
      </c>
      <c r="D1472" s="16" t="s">
        <v>4874</v>
      </c>
      <c r="E1472" s="15" t="s">
        <v>11211</v>
      </c>
      <c r="F1472" s="16" t="str">
        <f>VLOOKUP(Table8[[#This Row],[Mã khách hàng]],code_khach_hang[],2,0)</f>
        <v>CHI NHÁNH NGHỆ AN - CÔNG TY CỔ PHẦN DỊCH VỤ THƯƠNG MẠI TỔNG HỢP WINCOMMERCE</v>
      </c>
      <c r="G1472" s="16" t="str">
        <f>VLOOKUP(Table8[[#This Row],[Mã khách hàng]],code_khach_hang[],3,0)</f>
        <v>Miền Trung đặc biệt 1</v>
      </c>
      <c r="H1472" t="str">
        <f>VLOOKUP(Table8[[#This Row],[Mã khách hàng]],'Khách hàng'!A:D,4,0)</f>
        <v>Food Đức Việt</v>
      </c>
      <c r="I1472" t="str">
        <f>VLOOKUP(Table8[[#This Row],[Mã khách hàng]],'Khách hàng'!A:E,5,0)</f>
        <v>HN0040</v>
      </c>
    </row>
    <row r="1473" spans="1:9">
      <c r="A1473" s="14" t="s">
        <v>1494</v>
      </c>
      <c r="B1473" s="15" t="s">
        <v>5</v>
      </c>
      <c r="C1473" s="10" t="e">
        <v>#N/A</v>
      </c>
      <c r="D1473" s="16" t="s">
        <v>4877</v>
      </c>
      <c r="E1473" s="15" t="s">
        <v>11211</v>
      </c>
      <c r="F1473" s="16" t="str">
        <f>VLOOKUP(Table8[[#This Row],[Mã khách hàng]],code_khach_hang[],2,0)</f>
        <v>CHI NHÁNH NGHỆ AN - CÔNG TY CỔ PHẦN DỊCH VỤ THƯƠNG MẠI TỔNG HỢP WINCOMMERCE</v>
      </c>
      <c r="G1473" s="16" t="str">
        <f>VLOOKUP(Table8[[#This Row],[Mã khách hàng]],code_khach_hang[],3,0)</f>
        <v>Miền Trung đặc biệt 1</v>
      </c>
      <c r="H1473" t="str">
        <f>VLOOKUP(Table8[[#This Row],[Mã khách hàng]],'Khách hàng'!A:D,4,0)</f>
        <v>Food Đức Việt</v>
      </c>
      <c r="I1473" t="str">
        <f>VLOOKUP(Table8[[#This Row],[Mã khách hàng]],'Khách hàng'!A:E,5,0)</f>
        <v>HN0040</v>
      </c>
    </row>
    <row r="1474" spans="1:9">
      <c r="A1474" s="14" t="s">
        <v>9128</v>
      </c>
      <c r="B1474" s="15" t="s">
        <v>5</v>
      </c>
      <c r="C1474" s="10" t="e">
        <v>#N/A</v>
      </c>
      <c r="D1474" s="16" t="s">
        <v>4880</v>
      </c>
      <c r="E1474" s="15" t="s">
        <v>11205</v>
      </c>
      <c r="F1474" s="16" t="str">
        <f>VLOOKUP(Table8[[#This Row],[Mã khách hàng]],code_khach_hang[],2,0)</f>
        <v>CHI NHÁNH HÀ TĨNH - CÔNG TY CỔ PHẦN DỊCH VỤ THƯƠNG MẠI TỔNG HỢP WINCOMMERCE</v>
      </c>
      <c r="G1474" s="16" t="str">
        <f>VLOOKUP(Table8[[#This Row],[Mã khách hàng]],code_khach_hang[],3,0)</f>
        <v>Miền Trung đặc biệt 1</v>
      </c>
      <c r="H1474" t="str">
        <f>VLOOKUP(Table8[[#This Row],[Mã khách hàng]],'Khách hàng'!A:D,4,0)</f>
        <v>Food Đức Việt</v>
      </c>
      <c r="I1474" t="str">
        <f>VLOOKUP(Table8[[#This Row],[Mã khách hàng]],'Khách hàng'!A:E,5,0)</f>
        <v>HN0040</v>
      </c>
    </row>
    <row r="1475" spans="1:9">
      <c r="A1475" s="14" t="s">
        <v>1506</v>
      </c>
      <c r="B1475" s="15" t="s">
        <v>5</v>
      </c>
      <c r="C1475" s="10" t="s">
        <v>1507</v>
      </c>
      <c r="D1475" s="16" t="s">
        <v>4883</v>
      </c>
      <c r="E1475" s="15" t="s">
        <v>11215</v>
      </c>
      <c r="F1475" s="16" t="str">
        <f>VLOOKUP(Table8[[#This Row],[Mã khách hàng]],code_khach_hang[],2,0)</f>
        <v>CHI NHÁNH HÀ NỘI - CÔNG TY CỔ PHẦN DỊCH VỤ THƯƠNG MẠI TỔNG HỢP WINCOMMERCE</v>
      </c>
      <c r="G1475" s="16" t="str">
        <f>VLOOKUP(Table8[[#This Row],[Mã khách hàng]],code_khach_hang[],3,0)</f>
        <v>Miền Bắc đặc biệt 1</v>
      </c>
      <c r="H1475" t="str">
        <f>VLOOKUP(Table8[[#This Row],[Mã khách hàng]],'Khách hàng'!A:D,4,0)</f>
        <v>Food Đức Việt</v>
      </c>
      <c r="I1475" t="str">
        <f>VLOOKUP(Table8[[#This Row],[Mã khách hàng]],'Khách hàng'!A:E,5,0)</f>
        <v>HN0040</v>
      </c>
    </row>
    <row r="1476" spans="1:9">
      <c r="A1476" s="14" t="s">
        <v>1499</v>
      </c>
      <c r="B1476" s="15" t="s">
        <v>5</v>
      </c>
      <c r="C1476" s="10" t="s">
        <v>1500</v>
      </c>
      <c r="D1476" s="16" t="s">
        <v>4886</v>
      </c>
      <c r="E1476" s="15" t="s">
        <v>11219</v>
      </c>
      <c r="F1476" s="16" t="str">
        <f>VLOOKUP(Table8[[#This Row],[Mã khách hàng]],code_khach_hang[],2,0)</f>
        <v>CHI NHÁNH NAM ĐỊNH - CÔNG TY CỔ PHẦN DỊCH VỤ THƯƠNG MẠI TỔNG HỢP WINCOMMERCE</v>
      </c>
      <c r="G1476" s="16" t="str">
        <f>VLOOKUP(Table8[[#This Row],[Mã khách hàng]],code_khach_hang[],3,0)</f>
        <v>Miền Bắc đặc biệt 3</v>
      </c>
      <c r="H1476" t="str">
        <f>VLOOKUP(Table8[[#This Row],[Mã khách hàng]],'Khách hàng'!A:D,4,0)</f>
        <v>Food Đức Việt</v>
      </c>
      <c r="I1476" t="str">
        <f>VLOOKUP(Table8[[#This Row],[Mã khách hàng]],'Khách hàng'!A:E,5,0)</f>
        <v>HN0040</v>
      </c>
    </row>
    <row r="1477" spans="1:9">
      <c r="A1477" s="14" t="s">
        <v>2409</v>
      </c>
      <c r="B1477" s="15" t="s">
        <v>5</v>
      </c>
      <c r="C1477" s="10" t="s">
        <v>2410</v>
      </c>
      <c r="D1477" s="16" t="s">
        <v>4889</v>
      </c>
      <c r="E1477" s="15" t="s">
        <v>11196</v>
      </c>
      <c r="F1477" s="16" t="str">
        <f>VLOOKUP(Table8[[#This Row],[Mã khách hàng]],code_khach_hang[],2,0)</f>
        <v>CHI NHÁNH NINH BÌNH - CÔNG TY CỔ PHẦN DỊCH VỤ THƯƠNG MẠI TỔNG HỢP WINCOMMERCE</v>
      </c>
      <c r="G1477" s="16" t="str">
        <f>VLOOKUP(Table8[[#This Row],[Mã khách hàng]],code_khach_hang[],3,0)</f>
        <v>Miền Bắc đặc biệt 3</v>
      </c>
      <c r="H1477" t="str">
        <f>VLOOKUP(Table8[[#This Row],[Mã khách hàng]],'Khách hàng'!A:D,4,0)</f>
        <v>Food Đức Việt</v>
      </c>
      <c r="I1477" t="str">
        <f>VLOOKUP(Table8[[#This Row],[Mã khách hàng]],'Khách hàng'!A:E,5,0)</f>
        <v>HN0040</v>
      </c>
    </row>
    <row r="1478" spans="1:9">
      <c r="A1478" s="14" t="s">
        <v>1537</v>
      </c>
      <c r="B1478" s="15" t="s">
        <v>5</v>
      </c>
      <c r="C1478" s="10" t="s">
        <v>1538</v>
      </c>
      <c r="D1478" s="16" t="s">
        <v>4892</v>
      </c>
      <c r="E1478" s="15" t="s">
        <v>11196</v>
      </c>
      <c r="F1478" s="16" t="str">
        <f>VLOOKUP(Table8[[#This Row],[Mã khách hàng]],code_khach_hang[],2,0)</f>
        <v>CHI NHÁNH NINH BÌNH - CÔNG TY CỔ PHẦN DỊCH VỤ THƯƠNG MẠI TỔNG HỢP WINCOMMERCE</v>
      </c>
      <c r="G1478" s="16" t="str">
        <f>VLOOKUP(Table8[[#This Row],[Mã khách hàng]],code_khach_hang[],3,0)</f>
        <v>Miền Bắc đặc biệt 3</v>
      </c>
      <c r="H1478" t="str">
        <f>VLOOKUP(Table8[[#This Row],[Mã khách hàng]],'Khách hàng'!A:D,4,0)</f>
        <v>Food Đức Việt</v>
      </c>
      <c r="I1478" t="str">
        <f>VLOOKUP(Table8[[#This Row],[Mã khách hàng]],'Khách hàng'!A:E,5,0)</f>
        <v>HN0040</v>
      </c>
    </row>
    <row r="1479" spans="1:9">
      <c r="A1479" s="14" t="s">
        <v>1552</v>
      </c>
      <c r="B1479" s="15" t="s">
        <v>5</v>
      </c>
      <c r="C1479" s="10" t="s">
        <v>1553</v>
      </c>
      <c r="D1479" s="16" t="s">
        <v>4895</v>
      </c>
      <c r="E1479" s="15" t="s">
        <v>11209</v>
      </c>
      <c r="F1479" s="16" t="str">
        <f>VLOOKUP(Table8[[#This Row],[Mã khách hàng]],code_khach_hang[],2,0)</f>
        <v>CHI NHÁNH QUẢNG BÌNH - CÔNG TY CỔ PHẦN DỊCH VỤ THƯƠNG MẠI TỔNG HỢP WINCOMMERCE</v>
      </c>
      <c r="G1479" s="16" t="str">
        <f>VLOOKUP(Table8[[#This Row],[Mã khách hàng]],code_khach_hang[],3,0)</f>
        <v>Miền Trung đặc biệt 1</v>
      </c>
      <c r="H1479" t="str">
        <f>VLOOKUP(Table8[[#This Row],[Mã khách hàng]],'Khách hàng'!A:D,4,0)</f>
        <v>Food Đức Việt</v>
      </c>
      <c r="I1479" t="str">
        <f>VLOOKUP(Table8[[#This Row],[Mã khách hàng]],'Khách hàng'!A:E,5,0)</f>
        <v>HN0040</v>
      </c>
    </row>
    <row r="1480" spans="1:9">
      <c r="A1480" s="14" t="s">
        <v>1491</v>
      </c>
      <c r="B1480" s="15" t="s">
        <v>5</v>
      </c>
      <c r="C1480" s="10" t="s">
        <v>1492</v>
      </c>
      <c r="D1480" s="16" t="s">
        <v>4898</v>
      </c>
      <c r="E1480" s="15" t="s">
        <v>11215</v>
      </c>
      <c r="F1480" s="16" t="str">
        <f>VLOOKUP(Table8[[#This Row],[Mã khách hàng]],code_khach_hang[],2,0)</f>
        <v>CHI NHÁNH HÀ NỘI - CÔNG TY CỔ PHẦN DỊCH VỤ THƯƠNG MẠI TỔNG HỢP WINCOMMERCE</v>
      </c>
      <c r="G1480" s="16" t="str">
        <f>VLOOKUP(Table8[[#This Row],[Mã khách hàng]],code_khach_hang[],3,0)</f>
        <v>Miền Bắc đặc biệt 1</v>
      </c>
      <c r="H1480" t="str">
        <f>VLOOKUP(Table8[[#This Row],[Mã khách hàng]],'Khách hàng'!A:D,4,0)</f>
        <v>Food Đức Việt</v>
      </c>
      <c r="I1480" t="str">
        <f>VLOOKUP(Table8[[#This Row],[Mã khách hàng]],'Khách hàng'!A:E,5,0)</f>
        <v>HN0040</v>
      </c>
    </row>
    <row r="1481" spans="1:9">
      <c r="A1481" s="14" t="s">
        <v>1531</v>
      </c>
      <c r="B1481" s="15" t="s">
        <v>5</v>
      </c>
      <c r="C1481" s="10" t="s">
        <v>1532</v>
      </c>
      <c r="D1481" s="16" t="s">
        <v>4901</v>
      </c>
      <c r="E1481" s="15" t="s">
        <v>11203</v>
      </c>
      <c r="F1481" s="16" t="str">
        <f>VLOOKUP(Table8[[#This Row],[Mã khách hàng]],code_khach_hang[],2,0)</f>
        <v>CHI NHÁNH THANH HÓA - CÔNG TY CỔ PHẦN DỊCH VỤ THƯƠNG MẠI TỔNG HỢP WINCOMMERCE</v>
      </c>
      <c r="G1481" s="16" t="str">
        <f>VLOOKUP(Table8[[#This Row],[Mã khách hàng]],code_khach_hang[],3,0)</f>
        <v>Miền Trung đặc biệt 1</v>
      </c>
      <c r="H1481" t="str">
        <f>VLOOKUP(Table8[[#This Row],[Mã khách hàng]],'Khách hàng'!A:D,4,0)</f>
        <v>Food Đức Việt</v>
      </c>
      <c r="I1481" t="str">
        <f>VLOOKUP(Table8[[#This Row],[Mã khách hàng]],'Khách hàng'!A:E,5,0)</f>
        <v>HN0040</v>
      </c>
    </row>
    <row r="1482" spans="1:9">
      <c r="A1482" s="14" t="s">
        <v>1555</v>
      </c>
      <c r="B1482" s="15" t="s">
        <v>5</v>
      </c>
      <c r="C1482" s="10" t="e">
        <v>#N/A</v>
      </c>
      <c r="D1482" s="16" t="s">
        <v>4904</v>
      </c>
      <c r="E1482" s="15" t="s">
        <v>11203</v>
      </c>
      <c r="F1482" s="16" t="str">
        <f>VLOOKUP(Table8[[#This Row],[Mã khách hàng]],code_khach_hang[],2,0)</f>
        <v>CHI NHÁNH THANH HÓA - CÔNG TY CỔ PHẦN DỊCH VỤ THƯƠNG MẠI TỔNG HỢP WINCOMMERCE</v>
      </c>
      <c r="G1482" s="16" t="str">
        <f>VLOOKUP(Table8[[#This Row],[Mã khách hàng]],code_khach_hang[],3,0)</f>
        <v>Miền Trung đặc biệt 1</v>
      </c>
      <c r="H1482" t="str">
        <f>VLOOKUP(Table8[[#This Row],[Mã khách hàng]],'Khách hàng'!A:D,4,0)</f>
        <v>Food Đức Việt</v>
      </c>
      <c r="I1482" t="str">
        <f>VLOOKUP(Table8[[#This Row],[Mã khách hàng]],'Khách hàng'!A:E,5,0)</f>
        <v>HN0040</v>
      </c>
    </row>
    <row r="1483" spans="1:9">
      <c r="A1483" s="14" t="s">
        <v>1512</v>
      </c>
      <c r="B1483" s="15" t="s">
        <v>5</v>
      </c>
      <c r="C1483" s="10" t="s">
        <v>1513</v>
      </c>
      <c r="D1483" s="16" t="s">
        <v>4907</v>
      </c>
      <c r="E1483" s="15" t="s">
        <v>11200</v>
      </c>
      <c r="F1483" s="16" t="str">
        <f>VLOOKUP(Table8[[#This Row],[Mã khách hàng]],code_khach_hang[],2,0)</f>
        <v>CHI NHÁNH THÁI BÌNH - CÔNG TY CỔ PHẦN DỊCH VỤ THƯƠNG MẠI TỔNG HỢP WINCOMMERCE</v>
      </c>
      <c r="G1483" s="16" t="str">
        <f>VLOOKUP(Table8[[#This Row],[Mã khách hàng]],code_khach_hang[],3,0)</f>
        <v>Miền Bắc đặc biệt 3</v>
      </c>
      <c r="H1483" t="str">
        <f>VLOOKUP(Table8[[#This Row],[Mã khách hàng]],'Khách hàng'!A:D,4,0)</f>
        <v>Food Đức Việt</v>
      </c>
      <c r="I1483" t="str">
        <f>VLOOKUP(Table8[[#This Row],[Mã khách hàng]],'Khách hàng'!A:E,5,0)</f>
        <v>HN0040</v>
      </c>
    </row>
    <row r="1484" spans="1:9">
      <c r="A1484" s="14" t="s">
        <v>716</v>
      </c>
      <c r="B1484" s="15" t="s">
        <v>183</v>
      </c>
      <c r="C1484" s="10" t="s">
        <v>717</v>
      </c>
      <c r="D1484" s="16" t="s">
        <v>4910</v>
      </c>
      <c r="E1484" s="15" t="s">
        <v>11212</v>
      </c>
      <c r="F1484" s="16" t="str">
        <f>VLOOKUP(Table8[[#This Row],[Mã khách hàng]],code_khach_hang[],2,0)</f>
        <v>CHI NHÁNH HÒA BÌNH - CÔNG TY CỔ PHẦN DỊCH VỤ THƯƠNG MẠI TỔNG HỢP WINCOMMERCE</v>
      </c>
      <c r="G1484" s="16" t="str">
        <f>VLOOKUP(Table8[[#This Row],[Mã khách hàng]],code_khach_hang[],3,0)</f>
        <v>Miền Bắc đặc biệt 1</v>
      </c>
      <c r="H1484" t="str">
        <f>VLOOKUP(Table8[[#This Row],[Mã khách hàng]],'Khách hàng'!A:D,4,0)</f>
        <v>Food Đức Việt</v>
      </c>
      <c r="I1484" t="str">
        <f>VLOOKUP(Table8[[#This Row],[Mã khách hàng]],'Khách hàng'!A:E,5,0)</f>
        <v>HN0040</v>
      </c>
    </row>
    <row r="1485" spans="1:9">
      <c r="A1485" s="14" t="s">
        <v>2810</v>
      </c>
      <c r="B1485" s="15" t="s">
        <v>5</v>
      </c>
      <c r="C1485" s="10" t="s">
        <v>2811</v>
      </c>
      <c r="D1485" s="16" t="s">
        <v>4913</v>
      </c>
      <c r="E1485" s="15" t="s">
        <v>11211</v>
      </c>
      <c r="F1485" s="16" t="str">
        <f>VLOOKUP(Table8[[#This Row],[Mã khách hàng]],code_khach_hang[],2,0)</f>
        <v>CHI NHÁNH NGHỆ AN - CÔNG TY CỔ PHẦN DỊCH VỤ THƯƠNG MẠI TỔNG HỢP WINCOMMERCE</v>
      </c>
      <c r="G1485" s="16" t="str">
        <f>VLOOKUP(Table8[[#This Row],[Mã khách hàng]],code_khach_hang[],3,0)</f>
        <v>Miền Trung đặc biệt 1</v>
      </c>
      <c r="H1485" t="str">
        <f>VLOOKUP(Table8[[#This Row],[Mã khách hàng]],'Khách hàng'!A:D,4,0)</f>
        <v>Food Đức Việt</v>
      </c>
      <c r="I1485" t="str">
        <f>VLOOKUP(Table8[[#This Row],[Mã khách hàng]],'Khách hàng'!A:E,5,0)</f>
        <v>HN0040</v>
      </c>
    </row>
    <row r="1486" spans="1:9">
      <c r="A1486" s="14" t="s">
        <v>1534</v>
      </c>
      <c r="B1486" s="15" t="s">
        <v>5</v>
      </c>
      <c r="C1486" s="10" t="s">
        <v>1535</v>
      </c>
      <c r="D1486" s="16" t="s">
        <v>4916</v>
      </c>
      <c r="E1486" s="15" t="s">
        <v>11203</v>
      </c>
      <c r="F1486" s="16" t="str">
        <f>VLOOKUP(Table8[[#This Row],[Mã khách hàng]],code_khach_hang[],2,0)</f>
        <v>CHI NHÁNH THANH HÓA - CÔNG TY CỔ PHẦN DỊCH VỤ THƯƠNG MẠI TỔNG HỢP WINCOMMERCE</v>
      </c>
      <c r="G1486" s="16" t="str">
        <f>VLOOKUP(Table8[[#This Row],[Mã khách hàng]],code_khach_hang[],3,0)</f>
        <v>Miền Trung đặc biệt 1</v>
      </c>
      <c r="H1486" t="str">
        <f>VLOOKUP(Table8[[#This Row],[Mã khách hàng]],'Khách hàng'!A:D,4,0)</f>
        <v>Food Đức Việt</v>
      </c>
      <c r="I1486" t="str">
        <f>VLOOKUP(Table8[[#This Row],[Mã khách hàng]],'Khách hàng'!A:E,5,0)</f>
        <v>HN0040</v>
      </c>
    </row>
    <row r="1487" spans="1:9">
      <c r="A1487" s="14" t="s">
        <v>1576</v>
      </c>
      <c r="B1487" s="15" t="s">
        <v>5</v>
      </c>
      <c r="C1487" s="10" t="s">
        <v>1577</v>
      </c>
      <c r="D1487" s="16" t="s">
        <v>4919</v>
      </c>
      <c r="E1487" s="15" t="s">
        <v>11196</v>
      </c>
      <c r="F1487" s="16" t="str">
        <f>VLOOKUP(Table8[[#This Row],[Mã khách hàng]],code_khach_hang[],2,0)</f>
        <v>CHI NHÁNH NINH BÌNH - CÔNG TY CỔ PHẦN DỊCH VỤ THƯƠNG MẠI TỔNG HỢP WINCOMMERCE</v>
      </c>
      <c r="G1487" s="16" t="str">
        <f>VLOOKUP(Table8[[#This Row],[Mã khách hàng]],code_khach_hang[],3,0)</f>
        <v>Miền Bắc đặc biệt 3</v>
      </c>
      <c r="H1487" t="str">
        <f>VLOOKUP(Table8[[#This Row],[Mã khách hàng]],'Khách hàng'!A:D,4,0)</f>
        <v>Food Đức Việt</v>
      </c>
      <c r="I1487" t="str">
        <f>VLOOKUP(Table8[[#This Row],[Mã khách hàng]],'Khách hàng'!A:E,5,0)</f>
        <v>HN0040</v>
      </c>
    </row>
    <row r="1488" spans="1:9">
      <c r="A1488" s="14" t="s">
        <v>1588</v>
      </c>
      <c r="B1488" s="15" t="s">
        <v>5</v>
      </c>
      <c r="C1488" s="10" t="s">
        <v>1589</v>
      </c>
      <c r="D1488" s="16" t="s">
        <v>4922</v>
      </c>
      <c r="E1488" s="15" t="s">
        <v>11203</v>
      </c>
      <c r="F1488" s="16" t="str">
        <f>VLOOKUP(Table8[[#This Row],[Mã khách hàng]],code_khach_hang[],2,0)</f>
        <v>CHI NHÁNH THANH HÓA - CÔNG TY CỔ PHẦN DỊCH VỤ THƯƠNG MẠI TỔNG HỢP WINCOMMERCE</v>
      </c>
      <c r="G1488" s="16" t="str">
        <f>VLOOKUP(Table8[[#This Row],[Mã khách hàng]],code_khach_hang[],3,0)</f>
        <v>Miền Trung đặc biệt 1</v>
      </c>
      <c r="H1488" t="str">
        <f>VLOOKUP(Table8[[#This Row],[Mã khách hàng]],'Khách hàng'!A:D,4,0)</f>
        <v>Food Đức Việt</v>
      </c>
      <c r="I1488" t="str">
        <f>VLOOKUP(Table8[[#This Row],[Mã khách hàng]],'Khách hàng'!A:E,5,0)</f>
        <v>HN0040</v>
      </c>
    </row>
    <row r="1489" spans="1:9">
      <c r="A1489" s="14" t="s">
        <v>1607</v>
      </c>
      <c r="B1489" s="15" t="s">
        <v>5</v>
      </c>
      <c r="C1489" s="10" t="s">
        <v>1608</v>
      </c>
      <c r="D1489" s="16" t="s">
        <v>4925</v>
      </c>
      <c r="E1489" s="15" t="s">
        <v>11219</v>
      </c>
      <c r="F1489" s="16" t="str">
        <f>VLOOKUP(Table8[[#This Row],[Mã khách hàng]],code_khach_hang[],2,0)</f>
        <v>CHI NHÁNH NAM ĐỊNH - CÔNG TY CỔ PHẦN DỊCH VỤ THƯƠNG MẠI TỔNG HỢP WINCOMMERCE</v>
      </c>
      <c r="G1489" s="16" t="str">
        <f>VLOOKUP(Table8[[#This Row],[Mã khách hàng]],code_khach_hang[],3,0)</f>
        <v>Miền Bắc đặc biệt 3</v>
      </c>
      <c r="H1489" t="str">
        <f>VLOOKUP(Table8[[#This Row],[Mã khách hàng]],'Khách hàng'!A:D,4,0)</f>
        <v>Food Đức Việt</v>
      </c>
      <c r="I1489" t="str">
        <f>VLOOKUP(Table8[[#This Row],[Mã khách hàng]],'Khách hàng'!A:E,5,0)</f>
        <v>HN0040</v>
      </c>
    </row>
    <row r="1490" spans="1:9">
      <c r="A1490" s="14" t="s">
        <v>1604</v>
      </c>
      <c r="B1490" s="15" t="s">
        <v>5</v>
      </c>
      <c r="C1490" s="10" t="s">
        <v>1605</v>
      </c>
      <c r="D1490" s="16" t="s">
        <v>4928</v>
      </c>
      <c r="E1490" s="15" t="s">
        <v>11200</v>
      </c>
      <c r="F1490" s="16" t="str">
        <f>VLOOKUP(Table8[[#This Row],[Mã khách hàng]],code_khach_hang[],2,0)</f>
        <v>CHI NHÁNH THÁI BÌNH - CÔNG TY CỔ PHẦN DỊCH VỤ THƯƠNG MẠI TỔNG HỢP WINCOMMERCE</v>
      </c>
      <c r="G1490" s="16" t="str">
        <f>VLOOKUP(Table8[[#This Row],[Mã khách hàng]],code_khach_hang[],3,0)</f>
        <v>Miền Bắc đặc biệt 3</v>
      </c>
      <c r="H1490" t="str">
        <f>VLOOKUP(Table8[[#This Row],[Mã khách hàng]],'Khách hàng'!A:D,4,0)</f>
        <v>Food Đức Việt</v>
      </c>
      <c r="I1490" t="str">
        <f>VLOOKUP(Table8[[#This Row],[Mã khách hàng]],'Khách hàng'!A:E,5,0)</f>
        <v>HN0040</v>
      </c>
    </row>
    <row r="1491" spans="1:9">
      <c r="A1491" s="14" t="s">
        <v>1613</v>
      </c>
      <c r="B1491" s="15" t="s">
        <v>5</v>
      </c>
      <c r="C1491" s="10" t="e">
        <v>#N/A</v>
      </c>
      <c r="D1491" s="16" t="s">
        <v>4931</v>
      </c>
      <c r="E1491" s="15" t="s">
        <v>11215</v>
      </c>
      <c r="F1491" s="16" t="str">
        <f>VLOOKUP(Table8[[#This Row],[Mã khách hàng]],code_khach_hang[],2,0)</f>
        <v>CHI NHÁNH HÀ NỘI - CÔNG TY CỔ PHẦN DỊCH VỤ THƯƠNG MẠI TỔNG HỢP WINCOMMERCE</v>
      </c>
      <c r="G1491" s="16" t="str">
        <f>VLOOKUP(Table8[[#This Row],[Mã khách hàng]],code_khach_hang[],3,0)</f>
        <v>Miền Bắc đặc biệt 1</v>
      </c>
      <c r="H1491" t="str">
        <f>VLOOKUP(Table8[[#This Row],[Mã khách hàng]],'Khách hàng'!A:D,4,0)</f>
        <v>Food Đức Việt</v>
      </c>
      <c r="I1491" t="str">
        <f>VLOOKUP(Table8[[#This Row],[Mã khách hàng]],'Khách hàng'!A:E,5,0)</f>
        <v>HN0040</v>
      </c>
    </row>
    <row r="1492" spans="1:9">
      <c r="A1492" s="14" t="s">
        <v>1579</v>
      </c>
      <c r="B1492" s="15" t="s">
        <v>5</v>
      </c>
      <c r="C1492" s="10" t="s">
        <v>1580</v>
      </c>
      <c r="D1492" s="16" t="s">
        <v>4934</v>
      </c>
      <c r="E1492" s="15" t="s">
        <v>11209</v>
      </c>
      <c r="F1492" s="16" t="str">
        <f>VLOOKUP(Table8[[#This Row],[Mã khách hàng]],code_khach_hang[],2,0)</f>
        <v>CHI NHÁNH QUẢNG BÌNH - CÔNG TY CỔ PHẦN DỊCH VỤ THƯƠNG MẠI TỔNG HỢP WINCOMMERCE</v>
      </c>
      <c r="G1492" s="16" t="str">
        <f>VLOOKUP(Table8[[#This Row],[Mã khách hàng]],code_khach_hang[],3,0)</f>
        <v>Miền Trung đặc biệt 1</v>
      </c>
      <c r="H1492" t="str">
        <f>VLOOKUP(Table8[[#This Row],[Mã khách hàng]],'Khách hàng'!A:D,4,0)</f>
        <v>Food Đức Việt</v>
      </c>
      <c r="I1492" t="str">
        <f>VLOOKUP(Table8[[#This Row],[Mã khách hàng]],'Khách hàng'!A:E,5,0)</f>
        <v>HN0040</v>
      </c>
    </row>
    <row r="1493" spans="1:9">
      <c r="A1493" s="14" t="s">
        <v>1649</v>
      </c>
      <c r="B1493" s="15" t="s">
        <v>5</v>
      </c>
      <c r="C1493" s="10" t="s">
        <v>1650</v>
      </c>
      <c r="D1493" s="16" t="s">
        <v>4937</v>
      </c>
      <c r="E1493" s="15" t="s">
        <v>11200</v>
      </c>
      <c r="F1493" s="16" t="str">
        <f>VLOOKUP(Table8[[#This Row],[Mã khách hàng]],code_khach_hang[],2,0)</f>
        <v>CHI NHÁNH THÁI BÌNH - CÔNG TY CỔ PHẦN DỊCH VỤ THƯƠNG MẠI TỔNG HỢP WINCOMMERCE</v>
      </c>
      <c r="G1493" s="16" t="str">
        <f>VLOOKUP(Table8[[#This Row],[Mã khách hàng]],code_khach_hang[],3,0)</f>
        <v>Miền Bắc đặc biệt 3</v>
      </c>
      <c r="H1493" t="str">
        <f>VLOOKUP(Table8[[#This Row],[Mã khách hàng]],'Khách hàng'!A:D,4,0)</f>
        <v>Food Đức Việt</v>
      </c>
      <c r="I1493" t="str">
        <f>VLOOKUP(Table8[[#This Row],[Mã khách hàng]],'Khách hàng'!A:E,5,0)</f>
        <v>HN0040</v>
      </c>
    </row>
    <row r="1494" spans="1:9">
      <c r="A1494" s="14" t="s">
        <v>1594</v>
      </c>
      <c r="B1494" s="15" t="s">
        <v>5</v>
      </c>
      <c r="C1494" s="10" t="s">
        <v>1595</v>
      </c>
      <c r="D1494" s="16" t="s">
        <v>4940</v>
      </c>
      <c r="E1494" s="15" t="s">
        <v>11203</v>
      </c>
      <c r="F1494" s="16" t="str">
        <f>VLOOKUP(Table8[[#This Row],[Mã khách hàng]],code_khach_hang[],2,0)</f>
        <v>CHI NHÁNH THANH HÓA - CÔNG TY CỔ PHẦN DỊCH VỤ THƯƠNG MẠI TỔNG HỢP WINCOMMERCE</v>
      </c>
      <c r="G1494" s="16" t="str">
        <f>VLOOKUP(Table8[[#This Row],[Mã khách hàng]],code_khach_hang[],3,0)</f>
        <v>Miền Trung đặc biệt 1</v>
      </c>
      <c r="H1494" t="str">
        <f>VLOOKUP(Table8[[#This Row],[Mã khách hàng]],'Khách hàng'!A:D,4,0)</f>
        <v>Food Đức Việt</v>
      </c>
      <c r="I1494" t="str">
        <f>VLOOKUP(Table8[[#This Row],[Mã khách hàng]],'Khách hàng'!A:E,5,0)</f>
        <v>HN0040</v>
      </c>
    </row>
    <row r="1495" spans="1:9">
      <c r="A1495" s="14" t="s">
        <v>1710</v>
      </c>
      <c r="B1495" s="15" t="s">
        <v>5</v>
      </c>
      <c r="C1495" s="10" t="s">
        <v>1711</v>
      </c>
      <c r="D1495" s="16" t="s">
        <v>4943</v>
      </c>
      <c r="E1495" s="15" t="s">
        <v>11203</v>
      </c>
      <c r="F1495" s="16" t="str">
        <f>VLOOKUP(Table8[[#This Row],[Mã khách hàng]],code_khach_hang[],2,0)</f>
        <v>CHI NHÁNH THANH HÓA - CÔNG TY CỔ PHẦN DỊCH VỤ THƯƠNG MẠI TỔNG HỢP WINCOMMERCE</v>
      </c>
      <c r="G1495" s="16" t="str">
        <f>VLOOKUP(Table8[[#This Row],[Mã khách hàng]],code_khach_hang[],3,0)</f>
        <v>Miền Trung đặc biệt 1</v>
      </c>
      <c r="H1495" t="str">
        <f>VLOOKUP(Table8[[#This Row],[Mã khách hàng]],'Khách hàng'!A:D,4,0)</f>
        <v>Food Đức Việt</v>
      </c>
      <c r="I1495" t="str">
        <f>VLOOKUP(Table8[[#This Row],[Mã khách hàng]],'Khách hàng'!A:E,5,0)</f>
        <v>HN0040</v>
      </c>
    </row>
    <row r="1496" spans="1:9">
      <c r="A1496" s="14" t="s">
        <v>1739</v>
      </c>
      <c r="B1496" s="15" t="s">
        <v>5</v>
      </c>
      <c r="C1496" s="10" t="s">
        <v>1740</v>
      </c>
      <c r="D1496" s="16" t="s">
        <v>4946</v>
      </c>
      <c r="E1496" s="15" t="s">
        <v>11203</v>
      </c>
      <c r="F1496" s="16" t="str">
        <f>VLOOKUP(Table8[[#This Row],[Mã khách hàng]],code_khach_hang[],2,0)</f>
        <v>CHI NHÁNH THANH HÓA - CÔNG TY CỔ PHẦN DỊCH VỤ THƯƠNG MẠI TỔNG HỢP WINCOMMERCE</v>
      </c>
      <c r="G1496" s="16" t="str">
        <f>VLOOKUP(Table8[[#This Row],[Mã khách hàng]],code_khach_hang[],3,0)</f>
        <v>Miền Trung đặc biệt 1</v>
      </c>
      <c r="H1496" t="str">
        <f>VLOOKUP(Table8[[#This Row],[Mã khách hàng]],'Khách hàng'!A:D,4,0)</f>
        <v>Food Đức Việt</v>
      </c>
      <c r="I1496" t="str">
        <f>VLOOKUP(Table8[[#This Row],[Mã khách hàng]],'Khách hàng'!A:E,5,0)</f>
        <v>HN0040</v>
      </c>
    </row>
    <row r="1497" spans="1:9">
      <c r="A1497" s="14" t="s">
        <v>1718</v>
      </c>
      <c r="B1497" s="15" t="s">
        <v>5</v>
      </c>
      <c r="C1497" s="10" t="s">
        <v>1719</v>
      </c>
      <c r="D1497" s="16" t="s">
        <v>4949</v>
      </c>
      <c r="E1497" s="15" t="s">
        <v>11205</v>
      </c>
      <c r="F1497" s="16" t="str">
        <f>VLOOKUP(Table8[[#This Row],[Mã khách hàng]],code_khach_hang[],2,0)</f>
        <v>CHI NHÁNH HÀ TĨNH - CÔNG TY CỔ PHẦN DỊCH VỤ THƯƠNG MẠI TỔNG HỢP WINCOMMERCE</v>
      </c>
      <c r="G1497" s="16" t="str">
        <f>VLOOKUP(Table8[[#This Row],[Mã khách hàng]],code_khach_hang[],3,0)</f>
        <v>Miền Trung đặc biệt 1</v>
      </c>
      <c r="H1497" t="str">
        <f>VLOOKUP(Table8[[#This Row],[Mã khách hàng]],'Khách hàng'!A:D,4,0)</f>
        <v>Food Đức Việt</v>
      </c>
      <c r="I1497" t="str">
        <f>VLOOKUP(Table8[[#This Row],[Mã khách hàng]],'Khách hàng'!A:E,5,0)</f>
        <v>HN0040</v>
      </c>
    </row>
    <row r="1498" spans="1:9">
      <c r="A1498" s="14" t="s">
        <v>1766</v>
      </c>
      <c r="B1498" s="15" t="s">
        <v>5</v>
      </c>
      <c r="C1498" s="10" t="s">
        <v>1767</v>
      </c>
      <c r="D1498" s="16" t="s">
        <v>4952</v>
      </c>
      <c r="E1498" s="15" t="s">
        <v>11211</v>
      </c>
      <c r="F1498" s="16" t="str">
        <f>VLOOKUP(Table8[[#This Row],[Mã khách hàng]],code_khach_hang[],2,0)</f>
        <v>CHI NHÁNH NGHỆ AN - CÔNG TY CỔ PHẦN DỊCH VỤ THƯƠNG MẠI TỔNG HỢP WINCOMMERCE</v>
      </c>
      <c r="G1498" s="16" t="str">
        <f>VLOOKUP(Table8[[#This Row],[Mã khách hàng]],code_khach_hang[],3,0)</f>
        <v>Miền Trung đặc biệt 1</v>
      </c>
      <c r="H1498" t="str">
        <f>VLOOKUP(Table8[[#This Row],[Mã khách hàng]],'Khách hàng'!A:D,4,0)</f>
        <v>Food Đức Việt</v>
      </c>
      <c r="I1498" t="str">
        <f>VLOOKUP(Table8[[#This Row],[Mã khách hàng]],'Khách hàng'!A:E,5,0)</f>
        <v>HN0040</v>
      </c>
    </row>
    <row r="1499" spans="1:9">
      <c r="A1499" s="14" t="s">
        <v>1692</v>
      </c>
      <c r="B1499" s="15" t="s">
        <v>5</v>
      </c>
      <c r="C1499" s="10" t="s">
        <v>1693</v>
      </c>
      <c r="D1499" s="16" t="s">
        <v>4955</v>
      </c>
      <c r="E1499" s="15" t="s">
        <v>11196</v>
      </c>
      <c r="F1499" s="16" t="str">
        <f>VLOOKUP(Table8[[#This Row],[Mã khách hàng]],code_khach_hang[],2,0)</f>
        <v>CHI NHÁNH NINH BÌNH - CÔNG TY CỔ PHẦN DỊCH VỤ THƯƠNG MẠI TỔNG HỢP WINCOMMERCE</v>
      </c>
      <c r="G1499" s="16" t="str">
        <f>VLOOKUP(Table8[[#This Row],[Mã khách hàng]],code_khach_hang[],3,0)</f>
        <v>Miền Bắc đặc biệt 3</v>
      </c>
      <c r="H1499" t="str">
        <f>VLOOKUP(Table8[[#This Row],[Mã khách hàng]],'Khách hàng'!A:D,4,0)</f>
        <v>Food Đức Việt</v>
      </c>
      <c r="I1499" t="str">
        <f>VLOOKUP(Table8[[#This Row],[Mã khách hàng]],'Khách hàng'!A:E,5,0)</f>
        <v>HN0040</v>
      </c>
    </row>
    <row r="1500" spans="1:9">
      <c r="A1500" s="14" t="s">
        <v>1769</v>
      </c>
      <c r="B1500" s="15" t="s">
        <v>5</v>
      </c>
      <c r="C1500" s="10" t="e">
        <v>#N/A</v>
      </c>
      <c r="D1500" s="16" t="s">
        <v>4958</v>
      </c>
      <c r="E1500" s="15" t="s">
        <v>11211</v>
      </c>
      <c r="F1500" s="16" t="str">
        <f>VLOOKUP(Table8[[#This Row],[Mã khách hàng]],code_khach_hang[],2,0)</f>
        <v>CHI NHÁNH NGHỆ AN - CÔNG TY CỔ PHẦN DỊCH VỤ THƯƠNG MẠI TỔNG HỢP WINCOMMERCE</v>
      </c>
      <c r="G1500" s="16" t="str">
        <f>VLOOKUP(Table8[[#This Row],[Mã khách hàng]],code_khach_hang[],3,0)</f>
        <v>Miền Trung đặc biệt 1</v>
      </c>
      <c r="H1500" t="str">
        <f>VLOOKUP(Table8[[#This Row],[Mã khách hàng]],'Khách hàng'!A:D,4,0)</f>
        <v>Food Đức Việt</v>
      </c>
      <c r="I1500" t="str">
        <f>VLOOKUP(Table8[[#This Row],[Mã khách hàng]],'Khách hàng'!A:E,5,0)</f>
        <v>HN0040</v>
      </c>
    </row>
    <row r="1501" spans="1:9">
      <c r="A1501" s="14" t="s">
        <v>1783</v>
      </c>
      <c r="B1501" s="15" t="s">
        <v>5</v>
      </c>
      <c r="C1501" s="10" t="e">
        <v>#N/A</v>
      </c>
      <c r="D1501" s="16" t="s">
        <v>4961</v>
      </c>
      <c r="E1501" s="15" t="s">
        <v>11211</v>
      </c>
      <c r="F1501" s="16" t="str">
        <f>VLOOKUP(Table8[[#This Row],[Mã khách hàng]],code_khach_hang[],2,0)</f>
        <v>CHI NHÁNH NGHỆ AN - CÔNG TY CỔ PHẦN DỊCH VỤ THƯƠNG MẠI TỔNG HỢP WINCOMMERCE</v>
      </c>
      <c r="G1501" s="16" t="str">
        <f>VLOOKUP(Table8[[#This Row],[Mã khách hàng]],code_khach_hang[],3,0)</f>
        <v>Miền Trung đặc biệt 1</v>
      </c>
      <c r="H1501" t="str">
        <f>VLOOKUP(Table8[[#This Row],[Mã khách hàng]],'Khách hàng'!A:D,4,0)</f>
        <v>Food Đức Việt</v>
      </c>
      <c r="I1501" t="str">
        <f>VLOOKUP(Table8[[#This Row],[Mã khách hàng]],'Khách hàng'!A:E,5,0)</f>
        <v>HN0040</v>
      </c>
    </row>
    <row r="1502" spans="1:9">
      <c r="A1502" s="14" t="s">
        <v>1777</v>
      </c>
      <c r="B1502" s="15" t="s">
        <v>5</v>
      </c>
      <c r="C1502" s="10" t="s">
        <v>1778</v>
      </c>
      <c r="D1502" s="16" t="s">
        <v>4964</v>
      </c>
      <c r="E1502" s="15" t="s">
        <v>11200</v>
      </c>
      <c r="F1502" s="16" t="str">
        <f>VLOOKUP(Table8[[#This Row],[Mã khách hàng]],code_khach_hang[],2,0)</f>
        <v>CHI NHÁNH THÁI BÌNH - CÔNG TY CỔ PHẦN DỊCH VỤ THƯƠNG MẠI TỔNG HỢP WINCOMMERCE</v>
      </c>
      <c r="G1502" s="16" t="str">
        <f>VLOOKUP(Table8[[#This Row],[Mã khách hàng]],code_khach_hang[],3,0)</f>
        <v>Miền Bắc đặc biệt 3</v>
      </c>
      <c r="H1502" t="str">
        <f>VLOOKUP(Table8[[#This Row],[Mã khách hàng]],'Khách hàng'!A:D,4,0)</f>
        <v>Food Đức Việt</v>
      </c>
      <c r="I1502" t="str">
        <f>VLOOKUP(Table8[[#This Row],[Mã khách hàng]],'Khách hàng'!A:E,5,0)</f>
        <v>HN0040</v>
      </c>
    </row>
    <row r="1503" spans="1:9">
      <c r="A1503" s="14" t="s">
        <v>1713</v>
      </c>
      <c r="B1503" s="15" t="s">
        <v>5</v>
      </c>
      <c r="C1503" s="10" t="s">
        <v>1714</v>
      </c>
      <c r="D1503" s="16" t="s">
        <v>4967</v>
      </c>
      <c r="E1503" s="15" t="s">
        <v>11215</v>
      </c>
      <c r="F1503" s="16" t="str">
        <f>VLOOKUP(Table8[[#This Row],[Mã khách hàng]],code_khach_hang[],2,0)</f>
        <v>CHI NHÁNH HÀ NỘI - CÔNG TY CỔ PHẦN DỊCH VỤ THƯƠNG MẠI TỔNG HỢP WINCOMMERCE</v>
      </c>
      <c r="G1503" s="16" t="str">
        <f>VLOOKUP(Table8[[#This Row],[Mã khách hàng]],code_khach_hang[],3,0)</f>
        <v>Miền Bắc đặc biệt 1</v>
      </c>
      <c r="H1503" t="str">
        <f>VLOOKUP(Table8[[#This Row],[Mã khách hàng]],'Khách hàng'!A:D,4,0)</f>
        <v>Food Đức Việt</v>
      </c>
      <c r="I1503" t="str">
        <f>VLOOKUP(Table8[[#This Row],[Mã khách hàng]],'Khách hàng'!A:E,5,0)</f>
        <v>HN0040</v>
      </c>
    </row>
    <row r="1504" spans="1:9">
      <c r="A1504" s="14" t="s">
        <v>1774</v>
      </c>
      <c r="B1504" s="15" t="s">
        <v>5</v>
      </c>
      <c r="C1504" s="10" t="s">
        <v>1775</v>
      </c>
      <c r="D1504" s="16" t="s">
        <v>4970</v>
      </c>
      <c r="E1504" s="15" t="s">
        <v>11215</v>
      </c>
      <c r="F1504" s="16" t="str">
        <f>VLOOKUP(Table8[[#This Row],[Mã khách hàng]],code_khach_hang[],2,0)</f>
        <v>CHI NHÁNH HÀ NỘI - CÔNG TY CỔ PHẦN DỊCH VỤ THƯƠNG MẠI TỔNG HỢP WINCOMMERCE</v>
      </c>
      <c r="G1504" s="16" t="str">
        <f>VLOOKUP(Table8[[#This Row],[Mã khách hàng]],code_khach_hang[],3,0)</f>
        <v>Miền Bắc đặc biệt 1</v>
      </c>
      <c r="H1504" t="str">
        <f>VLOOKUP(Table8[[#This Row],[Mã khách hàng]],'Khách hàng'!A:D,4,0)</f>
        <v>Food Đức Việt</v>
      </c>
      <c r="I1504" t="str">
        <f>VLOOKUP(Table8[[#This Row],[Mã khách hàng]],'Khách hàng'!A:E,5,0)</f>
        <v>HN0040</v>
      </c>
    </row>
    <row r="1505" spans="1:9">
      <c r="A1505" s="14" t="s">
        <v>696</v>
      </c>
      <c r="B1505" s="15" t="s">
        <v>183</v>
      </c>
      <c r="C1505" s="10" t="s">
        <v>697</v>
      </c>
      <c r="D1505" s="16" t="s">
        <v>4973</v>
      </c>
      <c r="E1505" s="15" t="s">
        <v>11210</v>
      </c>
      <c r="F1505" s="16" t="str">
        <f>VLOOKUP(Table8[[#This Row],[Mã khách hàng]],code_khach_hang[],2,0)</f>
        <v>CHI NHÁNH HÀ NAM - CÔNG TY CỔ PHẦN DỊCH VỤ THƯƠNG MẠI TỔNG HỢP WINCOMMERCE</v>
      </c>
      <c r="G1505" s="16" t="str">
        <f>VLOOKUP(Table8[[#This Row],[Mã khách hàng]],code_khach_hang[],3,0)</f>
        <v>Miền Bắc đặc biệt 3</v>
      </c>
      <c r="H1505" t="str">
        <f>VLOOKUP(Table8[[#This Row],[Mã khách hàng]],'Khách hàng'!A:D,4,0)</f>
        <v>Food Đức Việt</v>
      </c>
      <c r="I1505" t="str">
        <f>VLOOKUP(Table8[[#This Row],[Mã khách hàng]],'Khách hàng'!A:E,5,0)</f>
        <v>HN0040</v>
      </c>
    </row>
    <row r="1506" spans="1:9">
      <c r="A1506" s="14" t="s">
        <v>652</v>
      </c>
      <c r="B1506" s="15" t="s">
        <v>183</v>
      </c>
      <c r="C1506" s="10" t="s">
        <v>653</v>
      </c>
      <c r="D1506" s="16" t="s">
        <v>4976</v>
      </c>
      <c r="E1506" s="15" t="s">
        <v>11196</v>
      </c>
      <c r="F1506" s="16" t="str">
        <f>VLOOKUP(Table8[[#This Row],[Mã khách hàng]],code_khach_hang[],2,0)</f>
        <v>CHI NHÁNH NINH BÌNH - CÔNG TY CỔ PHẦN DỊCH VỤ THƯƠNG MẠI TỔNG HỢP WINCOMMERCE</v>
      </c>
      <c r="G1506" s="16" t="str">
        <f>VLOOKUP(Table8[[#This Row],[Mã khách hàng]],code_khach_hang[],3,0)</f>
        <v>Miền Bắc đặc biệt 3</v>
      </c>
      <c r="H1506" t="str">
        <f>VLOOKUP(Table8[[#This Row],[Mã khách hàng]],'Khách hàng'!A:D,4,0)</f>
        <v>Food Đức Việt</v>
      </c>
      <c r="I1506" t="str">
        <f>VLOOKUP(Table8[[#This Row],[Mã khách hàng]],'Khách hàng'!A:E,5,0)</f>
        <v>HN0040</v>
      </c>
    </row>
    <row r="1507" spans="1:9">
      <c r="A1507" s="14" t="s">
        <v>664</v>
      </c>
      <c r="B1507" s="15" t="s">
        <v>183</v>
      </c>
      <c r="C1507" s="10" t="s">
        <v>665</v>
      </c>
      <c r="D1507" s="16" t="s">
        <v>4979</v>
      </c>
      <c r="E1507" s="15" t="s">
        <v>11200</v>
      </c>
      <c r="F1507" s="16" t="str">
        <f>VLOOKUP(Table8[[#This Row],[Mã khách hàng]],code_khach_hang[],2,0)</f>
        <v>CHI NHÁNH THÁI BÌNH - CÔNG TY CỔ PHẦN DỊCH VỤ THƯƠNG MẠI TỔNG HỢP WINCOMMERCE</v>
      </c>
      <c r="G1507" s="16" t="str">
        <f>VLOOKUP(Table8[[#This Row],[Mã khách hàng]],code_khach_hang[],3,0)</f>
        <v>Miền Bắc đặc biệt 3</v>
      </c>
      <c r="H1507" t="str">
        <f>VLOOKUP(Table8[[#This Row],[Mã khách hàng]],'Khách hàng'!A:D,4,0)</f>
        <v>Food Đức Việt</v>
      </c>
      <c r="I1507" t="str">
        <f>VLOOKUP(Table8[[#This Row],[Mã khách hàng]],'Khách hàng'!A:E,5,0)</f>
        <v>HN0040</v>
      </c>
    </row>
    <row r="1508" spans="1:9">
      <c r="A1508" s="14" t="s">
        <v>6926</v>
      </c>
      <c r="B1508" s="15" t="s">
        <v>5</v>
      </c>
      <c r="C1508" s="10" t="s">
        <v>6927</v>
      </c>
      <c r="D1508" s="16" t="s">
        <v>4982</v>
      </c>
      <c r="E1508" s="15" t="s">
        <v>11215</v>
      </c>
      <c r="F1508" s="16" t="str">
        <f>VLOOKUP(Table8[[#This Row],[Mã khách hàng]],code_khach_hang[],2,0)</f>
        <v>CHI NHÁNH HÀ NỘI - CÔNG TY CỔ PHẦN DỊCH VỤ THƯƠNG MẠI TỔNG HỢP WINCOMMERCE</v>
      </c>
      <c r="G1508" s="16" t="str">
        <f>VLOOKUP(Table8[[#This Row],[Mã khách hàng]],code_khach_hang[],3,0)</f>
        <v>Miền Bắc đặc biệt 1</v>
      </c>
      <c r="H1508" t="str">
        <f>VLOOKUP(Table8[[#This Row],[Mã khách hàng]],'Khách hàng'!A:D,4,0)</f>
        <v>Food Đức Việt</v>
      </c>
      <c r="I1508" t="str">
        <f>VLOOKUP(Table8[[#This Row],[Mã khách hàng]],'Khách hàng'!A:E,5,0)</f>
        <v>HN0040</v>
      </c>
    </row>
    <row r="1509" spans="1:9">
      <c r="A1509" s="14" t="s">
        <v>6929</v>
      </c>
      <c r="B1509" s="15" t="s">
        <v>5</v>
      </c>
      <c r="C1509" s="10" t="s">
        <v>6930</v>
      </c>
      <c r="D1509" s="16" t="s">
        <v>4985</v>
      </c>
      <c r="E1509" s="15" t="s">
        <v>11215</v>
      </c>
      <c r="F1509" s="16" t="str">
        <f>VLOOKUP(Table8[[#This Row],[Mã khách hàng]],code_khach_hang[],2,0)</f>
        <v>CHI NHÁNH HÀ NỘI - CÔNG TY CỔ PHẦN DỊCH VỤ THƯƠNG MẠI TỔNG HỢP WINCOMMERCE</v>
      </c>
      <c r="G1509" s="16" t="str">
        <f>VLOOKUP(Table8[[#This Row],[Mã khách hàng]],code_khach_hang[],3,0)</f>
        <v>Miền Bắc đặc biệt 1</v>
      </c>
      <c r="H1509" t="str">
        <f>VLOOKUP(Table8[[#This Row],[Mã khách hàng]],'Khách hàng'!A:D,4,0)</f>
        <v>Food Đức Việt</v>
      </c>
      <c r="I1509" t="str">
        <f>VLOOKUP(Table8[[#This Row],[Mã khách hàng]],'Khách hàng'!A:E,5,0)</f>
        <v>HN0040</v>
      </c>
    </row>
    <row r="1510" spans="1:9">
      <c r="A1510" s="14" t="s">
        <v>11115</v>
      </c>
      <c r="B1510" s="15" t="s">
        <v>5</v>
      </c>
      <c r="C1510" s="10" t="e">
        <v>#N/A</v>
      </c>
      <c r="D1510" s="16" t="s">
        <v>4988</v>
      </c>
      <c r="E1510" s="15" t="s">
        <v>11215</v>
      </c>
      <c r="F1510" s="16" t="str">
        <f>VLOOKUP(Table8[[#This Row],[Mã khách hàng]],code_khach_hang[],2,0)</f>
        <v>CHI NHÁNH HÀ NỘI - CÔNG TY CỔ PHẦN DỊCH VỤ THƯƠNG MẠI TỔNG HỢP WINCOMMERCE</v>
      </c>
      <c r="G1510" s="16" t="str">
        <f>VLOOKUP(Table8[[#This Row],[Mã khách hàng]],code_khach_hang[],3,0)</f>
        <v>Miền Bắc đặc biệt 1</v>
      </c>
      <c r="H1510" t="str">
        <f>VLOOKUP(Table8[[#This Row],[Mã khách hàng]],'Khách hàng'!A:D,4,0)</f>
        <v>Food Đức Việt</v>
      </c>
      <c r="I1510" t="str">
        <f>VLOOKUP(Table8[[#This Row],[Mã khách hàng]],'Khách hàng'!A:E,5,0)</f>
        <v>HN0040</v>
      </c>
    </row>
    <row r="1511" spans="1:9">
      <c r="A1511" s="14" t="s">
        <v>7918</v>
      </c>
      <c r="B1511" s="15" t="s">
        <v>5</v>
      </c>
      <c r="C1511" s="10" t="s">
        <v>7919</v>
      </c>
      <c r="D1511" s="16" t="s">
        <v>4991</v>
      </c>
      <c r="E1511" s="15" t="s">
        <v>11215</v>
      </c>
      <c r="F1511" s="16" t="str">
        <f>VLOOKUP(Table8[[#This Row],[Mã khách hàng]],code_khach_hang[],2,0)</f>
        <v>CHI NHÁNH HÀ NỘI - CÔNG TY CỔ PHẦN DỊCH VỤ THƯƠNG MẠI TỔNG HỢP WINCOMMERCE</v>
      </c>
      <c r="G1511" s="16" t="str">
        <f>VLOOKUP(Table8[[#This Row],[Mã khách hàng]],code_khach_hang[],3,0)</f>
        <v>Miền Bắc đặc biệt 1</v>
      </c>
      <c r="H1511" t="str">
        <f>VLOOKUP(Table8[[#This Row],[Mã khách hàng]],'Khách hàng'!A:D,4,0)</f>
        <v>Food Đức Việt</v>
      </c>
      <c r="I1511" t="str">
        <f>VLOOKUP(Table8[[#This Row],[Mã khách hàng]],'Khách hàng'!A:E,5,0)</f>
        <v>HN0040</v>
      </c>
    </row>
    <row r="1512" spans="1:9">
      <c r="A1512" s="14" t="s">
        <v>744</v>
      </c>
      <c r="B1512" s="15" t="s">
        <v>5</v>
      </c>
      <c r="C1512" s="10" t="s">
        <v>745</v>
      </c>
      <c r="D1512" s="16" t="s">
        <v>4994</v>
      </c>
      <c r="E1512" s="15" t="s">
        <v>11215</v>
      </c>
      <c r="F1512" s="16" t="str">
        <f>VLOOKUP(Table8[[#This Row],[Mã khách hàng]],code_khach_hang[],2,0)</f>
        <v>CHI NHÁNH HÀ NỘI - CÔNG TY CỔ PHẦN DỊCH VỤ THƯƠNG MẠI TỔNG HỢP WINCOMMERCE</v>
      </c>
      <c r="G1512" s="16" t="str">
        <f>VLOOKUP(Table8[[#This Row],[Mã khách hàng]],code_khach_hang[],3,0)</f>
        <v>Miền Bắc đặc biệt 1</v>
      </c>
      <c r="H1512" t="str">
        <f>VLOOKUP(Table8[[#This Row],[Mã khách hàng]],'Khách hàng'!A:D,4,0)</f>
        <v>Food Đức Việt</v>
      </c>
      <c r="I1512" t="str">
        <f>VLOOKUP(Table8[[#This Row],[Mã khách hàng]],'Khách hàng'!A:E,5,0)</f>
        <v>HN0040</v>
      </c>
    </row>
    <row r="1513" spans="1:9">
      <c r="A1513" s="14" t="s">
        <v>753</v>
      </c>
      <c r="B1513" s="15" t="s">
        <v>5</v>
      </c>
      <c r="C1513" s="10" t="s">
        <v>754</v>
      </c>
      <c r="D1513" s="16" t="s">
        <v>4997</v>
      </c>
      <c r="E1513" s="15" t="s">
        <v>11215</v>
      </c>
      <c r="F1513" s="16" t="str">
        <f>VLOOKUP(Table8[[#This Row],[Mã khách hàng]],code_khach_hang[],2,0)</f>
        <v>CHI NHÁNH HÀ NỘI - CÔNG TY CỔ PHẦN DỊCH VỤ THƯƠNG MẠI TỔNG HỢP WINCOMMERCE</v>
      </c>
      <c r="G1513" s="16" t="str">
        <f>VLOOKUP(Table8[[#This Row],[Mã khách hàng]],code_khach_hang[],3,0)</f>
        <v>Miền Bắc đặc biệt 1</v>
      </c>
      <c r="H1513" t="str">
        <f>VLOOKUP(Table8[[#This Row],[Mã khách hàng]],'Khách hàng'!A:D,4,0)</f>
        <v>Food Đức Việt</v>
      </c>
      <c r="I1513" t="str">
        <f>VLOOKUP(Table8[[#This Row],[Mã khách hàng]],'Khách hàng'!A:E,5,0)</f>
        <v>HN0040</v>
      </c>
    </row>
    <row r="1514" spans="1:9">
      <c r="A1514" s="14" t="s">
        <v>756</v>
      </c>
      <c r="B1514" s="15" t="s">
        <v>5</v>
      </c>
      <c r="C1514" s="10" t="s">
        <v>757</v>
      </c>
      <c r="D1514" s="16" t="s">
        <v>5000</v>
      </c>
      <c r="E1514" s="15" t="s">
        <v>11215</v>
      </c>
      <c r="F1514" s="16" t="str">
        <f>VLOOKUP(Table8[[#This Row],[Mã khách hàng]],code_khach_hang[],2,0)</f>
        <v>CHI NHÁNH HÀ NỘI - CÔNG TY CỔ PHẦN DỊCH VỤ THƯƠNG MẠI TỔNG HỢP WINCOMMERCE</v>
      </c>
      <c r="G1514" s="16" t="str">
        <f>VLOOKUP(Table8[[#This Row],[Mã khách hàng]],code_khach_hang[],3,0)</f>
        <v>Miền Bắc đặc biệt 1</v>
      </c>
      <c r="H1514" t="str">
        <f>VLOOKUP(Table8[[#This Row],[Mã khách hàng]],'Khách hàng'!A:D,4,0)</f>
        <v>Food Đức Việt</v>
      </c>
      <c r="I1514" t="str">
        <f>VLOOKUP(Table8[[#This Row],[Mã khách hàng]],'Khách hàng'!A:E,5,0)</f>
        <v>HN0040</v>
      </c>
    </row>
    <row r="1515" spans="1:9">
      <c r="A1515" s="14" t="s">
        <v>801</v>
      </c>
      <c r="B1515" s="15" t="s">
        <v>5</v>
      </c>
      <c r="C1515" s="10" t="s">
        <v>802</v>
      </c>
      <c r="D1515" s="16" t="s">
        <v>5003</v>
      </c>
      <c r="E1515" s="15" t="s">
        <v>11215</v>
      </c>
      <c r="F1515" s="16" t="str">
        <f>VLOOKUP(Table8[[#This Row],[Mã khách hàng]],code_khach_hang[],2,0)</f>
        <v>CHI NHÁNH HÀ NỘI - CÔNG TY CỔ PHẦN DỊCH VỤ THƯƠNG MẠI TỔNG HỢP WINCOMMERCE</v>
      </c>
      <c r="G1515" s="16" t="str">
        <f>VLOOKUP(Table8[[#This Row],[Mã khách hàng]],code_khach_hang[],3,0)</f>
        <v>Miền Bắc đặc biệt 1</v>
      </c>
      <c r="H1515" t="str">
        <f>VLOOKUP(Table8[[#This Row],[Mã khách hàng]],'Khách hàng'!A:D,4,0)</f>
        <v>Food Đức Việt</v>
      </c>
      <c r="I1515" t="str">
        <f>VLOOKUP(Table8[[#This Row],[Mã khách hàng]],'Khách hàng'!A:E,5,0)</f>
        <v>HN0040</v>
      </c>
    </row>
    <row r="1516" spans="1:9">
      <c r="A1516" s="14" t="s">
        <v>882</v>
      </c>
      <c r="B1516" s="15" t="s">
        <v>5</v>
      </c>
      <c r="C1516" s="10" t="s">
        <v>883</v>
      </c>
      <c r="D1516" s="16" t="s">
        <v>5006</v>
      </c>
      <c r="E1516" s="15" t="s">
        <v>11215</v>
      </c>
      <c r="F1516" s="16" t="str">
        <f>VLOOKUP(Table8[[#This Row],[Mã khách hàng]],code_khach_hang[],2,0)</f>
        <v>CHI NHÁNH HÀ NỘI - CÔNG TY CỔ PHẦN DỊCH VỤ THƯƠNG MẠI TỔNG HỢP WINCOMMERCE</v>
      </c>
      <c r="G1516" s="16" t="str">
        <f>VLOOKUP(Table8[[#This Row],[Mã khách hàng]],code_khach_hang[],3,0)</f>
        <v>Miền Bắc đặc biệt 1</v>
      </c>
      <c r="H1516" t="str">
        <f>VLOOKUP(Table8[[#This Row],[Mã khách hàng]],'Khách hàng'!A:D,4,0)</f>
        <v>Food Đức Việt</v>
      </c>
      <c r="I1516" t="str">
        <f>VLOOKUP(Table8[[#This Row],[Mã khách hàng]],'Khách hàng'!A:E,5,0)</f>
        <v>HN0040</v>
      </c>
    </row>
    <row r="1517" spans="1:9">
      <c r="A1517" s="14" t="s">
        <v>891</v>
      </c>
      <c r="B1517" s="15" t="s">
        <v>5</v>
      </c>
      <c r="C1517" s="10" t="s">
        <v>892</v>
      </c>
      <c r="D1517" s="16" t="s">
        <v>5009</v>
      </c>
      <c r="E1517" s="15" t="s">
        <v>11215</v>
      </c>
      <c r="F1517" s="16" t="str">
        <f>VLOOKUP(Table8[[#This Row],[Mã khách hàng]],code_khach_hang[],2,0)</f>
        <v>CHI NHÁNH HÀ NỘI - CÔNG TY CỔ PHẦN DỊCH VỤ THƯƠNG MẠI TỔNG HỢP WINCOMMERCE</v>
      </c>
      <c r="G1517" s="16" t="str">
        <f>VLOOKUP(Table8[[#This Row],[Mã khách hàng]],code_khach_hang[],3,0)</f>
        <v>Miền Bắc đặc biệt 1</v>
      </c>
      <c r="H1517" t="str">
        <f>VLOOKUP(Table8[[#This Row],[Mã khách hàng]],'Khách hàng'!A:D,4,0)</f>
        <v>Food Đức Việt</v>
      </c>
      <c r="I1517" t="str">
        <f>VLOOKUP(Table8[[#This Row],[Mã khách hàng]],'Khách hàng'!A:E,5,0)</f>
        <v>HN0040</v>
      </c>
    </row>
    <row r="1518" spans="1:9">
      <c r="A1518" s="14" t="s">
        <v>894</v>
      </c>
      <c r="B1518" s="15" t="s">
        <v>5</v>
      </c>
      <c r="C1518" s="10" t="s">
        <v>895</v>
      </c>
      <c r="D1518" s="16" t="s">
        <v>5012</v>
      </c>
      <c r="E1518" s="15" t="s">
        <v>11215</v>
      </c>
      <c r="F1518" s="16" t="str">
        <f>VLOOKUP(Table8[[#This Row],[Mã khách hàng]],code_khach_hang[],2,0)</f>
        <v>CHI NHÁNH HÀ NỘI - CÔNG TY CỔ PHẦN DỊCH VỤ THƯƠNG MẠI TỔNG HỢP WINCOMMERCE</v>
      </c>
      <c r="G1518" s="16" t="str">
        <f>VLOOKUP(Table8[[#This Row],[Mã khách hàng]],code_khach_hang[],3,0)</f>
        <v>Miền Bắc đặc biệt 1</v>
      </c>
      <c r="H1518" t="str">
        <f>VLOOKUP(Table8[[#This Row],[Mã khách hàng]],'Khách hàng'!A:D,4,0)</f>
        <v>Food Đức Việt</v>
      </c>
      <c r="I1518" t="str">
        <f>VLOOKUP(Table8[[#This Row],[Mã khách hàng]],'Khách hàng'!A:E,5,0)</f>
        <v>HN0040</v>
      </c>
    </row>
    <row r="1519" spans="1:9">
      <c r="A1519" s="14" t="s">
        <v>1014</v>
      </c>
      <c r="B1519" s="15" t="s">
        <v>5</v>
      </c>
      <c r="C1519" s="10" t="s">
        <v>1015</v>
      </c>
      <c r="D1519" s="16" t="s">
        <v>5015</v>
      </c>
      <c r="E1519" s="15" t="s">
        <v>11215</v>
      </c>
      <c r="F1519" s="16" t="str">
        <f>VLOOKUP(Table8[[#This Row],[Mã khách hàng]],code_khach_hang[],2,0)</f>
        <v>CHI NHÁNH HÀ NỘI - CÔNG TY CỔ PHẦN DỊCH VỤ THƯƠNG MẠI TỔNG HỢP WINCOMMERCE</v>
      </c>
      <c r="G1519" s="16" t="str">
        <f>VLOOKUP(Table8[[#This Row],[Mã khách hàng]],code_khach_hang[],3,0)</f>
        <v>Miền Bắc đặc biệt 1</v>
      </c>
      <c r="H1519" t="str">
        <f>VLOOKUP(Table8[[#This Row],[Mã khách hàng]],'Khách hàng'!A:D,4,0)</f>
        <v>Food Đức Việt</v>
      </c>
      <c r="I1519" t="str">
        <f>VLOOKUP(Table8[[#This Row],[Mã khách hàng]],'Khách hàng'!A:E,5,0)</f>
        <v>HN0040</v>
      </c>
    </row>
    <row r="1520" spans="1:9">
      <c r="A1520" s="14" t="s">
        <v>1026</v>
      </c>
      <c r="B1520" s="15" t="s">
        <v>5</v>
      </c>
      <c r="C1520" s="10" t="s">
        <v>1027</v>
      </c>
      <c r="D1520" s="16" t="s">
        <v>5018</v>
      </c>
      <c r="E1520" s="15" t="s">
        <v>11215</v>
      </c>
      <c r="F1520" s="16" t="str">
        <f>VLOOKUP(Table8[[#This Row],[Mã khách hàng]],code_khach_hang[],2,0)</f>
        <v>CHI NHÁNH HÀ NỘI - CÔNG TY CỔ PHẦN DỊCH VỤ THƯƠNG MẠI TỔNG HỢP WINCOMMERCE</v>
      </c>
      <c r="G1520" s="16" t="str">
        <f>VLOOKUP(Table8[[#This Row],[Mã khách hàng]],code_khach_hang[],3,0)</f>
        <v>Miền Bắc đặc biệt 1</v>
      </c>
      <c r="H1520" t="str">
        <f>VLOOKUP(Table8[[#This Row],[Mã khách hàng]],'Khách hàng'!A:D,4,0)</f>
        <v>Food Đức Việt</v>
      </c>
      <c r="I1520" t="str">
        <f>VLOOKUP(Table8[[#This Row],[Mã khách hàng]],'Khách hàng'!A:E,5,0)</f>
        <v>HN0040</v>
      </c>
    </row>
    <row r="1521" spans="1:9">
      <c r="A1521" s="14" t="s">
        <v>1053</v>
      </c>
      <c r="B1521" s="15" t="s">
        <v>5</v>
      </c>
      <c r="C1521" s="10" t="s">
        <v>1054</v>
      </c>
      <c r="D1521" s="16" t="s">
        <v>5021</v>
      </c>
      <c r="E1521" s="15" t="s">
        <v>11215</v>
      </c>
      <c r="F1521" s="16" t="str">
        <f>VLOOKUP(Table8[[#This Row],[Mã khách hàng]],code_khach_hang[],2,0)</f>
        <v>CHI NHÁNH HÀ NỘI - CÔNG TY CỔ PHẦN DỊCH VỤ THƯƠNG MẠI TỔNG HỢP WINCOMMERCE</v>
      </c>
      <c r="G1521" s="16" t="str">
        <f>VLOOKUP(Table8[[#This Row],[Mã khách hàng]],code_khach_hang[],3,0)</f>
        <v>Miền Bắc đặc biệt 1</v>
      </c>
      <c r="H1521" t="str">
        <f>VLOOKUP(Table8[[#This Row],[Mã khách hàng]],'Khách hàng'!A:D,4,0)</f>
        <v>Food Đức Việt</v>
      </c>
      <c r="I1521" t="str">
        <f>VLOOKUP(Table8[[#This Row],[Mã khách hàng]],'Khách hàng'!A:E,5,0)</f>
        <v>HN0040</v>
      </c>
    </row>
    <row r="1522" spans="1:9">
      <c r="A1522" s="14" t="s">
        <v>1221</v>
      </c>
      <c r="B1522" s="15" t="s">
        <v>5</v>
      </c>
      <c r="C1522" s="10" t="s">
        <v>1222</v>
      </c>
      <c r="D1522" s="16" t="s">
        <v>5024</v>
      </c>
      <c r="E1522" s="15" t="s">
        <v>11215</v>
      </c>
      <c r="F1522" s="16" t="str">
        <f>VLOOKUP(Table8[[#This Row],[Mã khách hàng]],code_khach_hang[],2,0)</f>
        <v>CHI NHÁNH HÀ NỘI - CÔNG TY CỔ PHẦN DỊCH VỤ THƯƠNG MẠI TỔNG HỢP WINCOMMERCE</v>
      </c>
      <c r="G1522" s="16" t="str">
        <f>VLOOKUP(Table8[[#This Row],[Mã khách hàng]],code_khach_hang[],3,0)</f>
        <v>Miền Bắc đặc biệt 1</v>
      </c>
      <c r="H1522" t="str">
        <f>VLOOKUP(Table8[[#This Row],[Mã khách hàng]],'Khách hàng'!A:D,4,0)</f>
        <v>Food Đức Việt</v>
      </c>
      <c r="I1522" t="str">
        <f>VLOOKUP(Table8[[#This Row],[Mã khách hàng]],'Khách hàng'!A:E,5,0)</f>
        <v>HN0040</v>
      </c>
    </row>
    <row r="1523" spans="1:9">
      <c r="A1523" s="14" t="s">
        <v>1314</v>
      </c>
      <c r="B1523" s="15" t="s">
        <v>5</v>
      </c>
      <c r="C1523" s="10" t="s">
        <v>1315</v>
      </c>
      <c r="D1523" s="16" t="s">
        <v>5027</v>
      </c>
      <c r="E1523" s="15" t="s">
        <v>11215</v>
      </c>
      <c r="F1523" s="16" t="str">
        <f>VLOOKUP(Table8[[#This Row],[Mã khách hàng]],code_khach_hang[],2,0)</f>
        <v>CHI NHÁNH HÀ NỘI - CÔNG TY CỔ PHẦN DỊCH VỤ THƯƠNG MẠI TỔNG HỢP WINCOMMERCE</v>
      </c>
      <c r="G1523" s="16" t="str">
        <f>VLOOKUP(Table8[[#This Row],[Mã khách hàng]],code_khach_hang[],3,0)</f>
        <v>Miền Bắc đặc biệt 1</v>
      </c>
      <c r="H1523" t="str">
        <f>VLOOKUP(Table8[[#This Row],[Mã khách hàng]],'Khách hàng'!A:D,4,0)</f>
        <v>Food Đức Việt</v>
      </c>
      <c r="I1523" t="str">
        <f>VLOOKUP(Table8[[#This Row],[Mã khách hàng]],'Khách hàng'!A:E,5,0)</f>
        <v>HN0040</v>
      </c>
    </row>
    <row r="1524" spans="1:9">
      <c r="A1524" s="14" t="s">
        <v>4221</v>
      </c>
      <c r="B1524" s="15" t="s">
        <v>5</v>
      </c>
      <c r="C1524" s="10" t="s">
        <v>4222</v>
      </c>
      <c r="D1524" s="16" t="s">
        <v>5030</v>
      </c>
      <c r="E1524" s="15" t="s">
        <v>11215</v>
      </c>
      <c r="F1524" s="16" t="str">
        <f>VLOOKUP(Table8[[#This Row],[Mã khách hàng]],code_khach_hang[],2,0)</f>
        <v>CHI NHÁNH HÀ NỘI - CÔNG TY CỔ PHẦN DỊCH VỤ THƯƠNG MẠI TỔNG HỢP WINCOMMERCE</v>
      </c>
      <c r="G1524" s="16" t="str">
        <f>VLOOKUP(Table8[[#This Row],[Mã khách hàng]],code_khach_hang[],3,0)</f>
        <v>Miền Bắc đặc biệt 1</v>
      </c>
      <c r="H1524" t="str">
        <f>VLOOKUP(Table8[[#This Row],[Mã khách hàng]],'Khách hàng'!A:D,4,0)</f>
        <v>Food Đức Việt</v>
      </c>
      <c r="I1524" t="str">
        <f>VLOOKUP(Table8[[#This Row],[Mã khách hàng]],'Khách hàng'!A:E,5,0)</f>
        <v>HN0040</v>
      </c>
    </row>
    <row r="1525" spans="1:9">
      <c r="A1525" s="14" t="s">
        <v>4746</v>
      </c>
      <c r="B1525" s="15" t="s">
        <v>5</v>
      </c>
      <c r="C1525" s="10" t="s">
        <v>4747</v>
      </c>
      <c r="D1525" s="16" t="s">
        <v>5033</v>
      </c>
      <c r="E1525" s="15" t="s">
        <v>11215</v>
      </c>
      <c r="F1525" s="16" t="str">
        <f>VLOOKUP(Table8[[#This Row],[Mã khách hàng]],code_khach_hang[],2,0)</f>
        <v>CHI NHÁNH HÀ NỘI - CÔNG TY CỔ PHẦN DỊCH VỤ THƯƠNG MẠI TỔNG HỢP WINCOMMERCE</v>
      </c>
      <c r="G1525" s="16" t="str">
        <f>VLOOKUP(Table8[[#This Row],[Mã khách hàng]],code_khach_hang[],3,0)</f>
        <v>Miền Bắc đặc biệt 1</v>
      </c>
      <c r="H1525" t="str">
        <f>VLOOKUP(Table8[[#This Row],[Mã khách hàng]],'Khách hàng'!A:D,4,0)</f>
        <v>Food Đức Việt</v>
      </c>
      <c r="I1525" t="str">
        <f>VLOOKUP(Table8[[#This Row],[Mã khách hàng]],'Khách hàng'!A:E,5,0)</f>
        <v>HN0040</v>
      </c>
    </row>
    <row r="1526" spans="1:9">
      <c r="A1526" s="14" t="s">
        <v>4923</v>
      </c>
      <c r="B1526" s="15" t="s">
        <v>5</v>
      </c>
      <c r="C1526" s="10" t="s">
        <v>4924</v>
      </c>
      <c r="D1526" s="16" t="s">
        <v>5036</v>
      </c>
      <c r="E1526" s="15" t="s">
        <v>11215</v>
      </c>
      <c r="F1526" s="16" t="str">
        <f>VLOOKUP(Table8[[#This Row],[Mã khách hàng]],code_khach_hang[],2,0)</f>
        <v>CHI NHÁNH HÀ NỘI - CÔNG TY CỔ PHẦN DỊCH VỤ THƯƠNG MẠI TỔNG HỢP WINCOMMERCE</v>
      </c>
      <c r="G1526" s="16" t="str">
        <f>VLOOKUP(Table8[[#This Row],[Mã khách hàng]],code_khach_hang[],3,0)</f>
        <v>Miền Bắc đặc biệt 1</v>
      </c>
      <c r="H1526" t="str">
        <f>VLOOKUP(Table8[[#This Row],[Mã khách hàng]],'Khách hàng'!A:D,4,0)</f>
        <v>Food Đức Việt</v>
      </c>
      <c r="I1526" t="str">
        <f>VLOOKUP(Table8[[#This Row],[Mã khách hàng]],'Khách hàng'!A:E,5,0)</f>
        <v>HN0040</v>
      </c>
    </row>
    <row r="1527" spans="1:9">
      <c r="A1527" s="14" t="s">
        <v>5187</v>
      </c>
      <c r="B1527" s="15" t="s">
        <v>5</v>
      </c>
      <c r="C1527" s="10" t="s">
        <v>5188</v>
      </c>
      <c r="D1527" s="16" t="s">
        <v>5039</v>
      </c>
      <c r="E1527" s="15" t="s">
        <v>11215</v>
      </c>
      <c r="F1527" s="16" t="str">
        <f>VLOOKUP(Table8[[#This Row],[Mã khách hàng]],code_khach_hang[],2,0)</f>
        <v>CHI NHÁNH HÀ NỘI - CÔNG TY CỔ PHẦN DỊCH VỤ THƯƠNG MẠI TỔNG HỢP WINCOMMERCE</v>
      </c>
      <c r="G1527" s="16" t="str">
        <f>VLOOKUP(Table8[[#This Row],[Mã khách hàng]],code_khach_hang[],3,0)</f>
        <v>Miền Bắc đặc biệt 1</v>
      </c>
      <c r="H1527" t="str">
        <f>VLOOKUP(Table8[[#This Row],[Mã khách hàng]],'Khách hàng'!A:D,4,0)</f>
        <v>Food Đức Việt</v>
      </c>
      <c r="I1527" t="str">
        <f>VLOOKUP(Table8[[#This Row],[Mã khách hàng]],'Khách hàng'!A:E,5,0)</f>
        <v>HN0040</v>
      </c>
    </row>
    <row r="1528" spans="1:9">
      <c r="A1528" s="14" t="s">
        <v>5253</v>
      </c>
      <c r="B1528" s="15" t="s">
        <v>5</v>
      </c>
      <c r="C1528" s="10" t="s">
        <v>5254</v>
      </c>
      <c r="D1528" s="16" t="s">
        <v>5042</v>
      </c>
      <c r="E1528" s="15" t="s">
        <v>11215</v>
      </c>
      <c r="F1528" s="16" t="str">
        <f>VLOOKUP(Table8[[#This Row],[Mã khách hàng]],code_khach_hang[],2,0)</f>
        <v>CHI NHÁNH HÀ NỘI - CÔNG TY CỔ PHẦN DỊCH VỤ THƯƠNG MẠI TỔNG HỢP WINCOMMERCE</v>
      </c>
      <c r="G1528" s="16" t="str">
        <f>VLOOKUP(Table8[[#This Row],[Mã khách hàng]],code_khach_hang[],3,0)</f>
        <v>Miền Bắc đặc biệt 1</v>
      </c>
      <c r="H1528" t="str">
        <f>VLOOKUP(Table8[[#This Row],[Mã khách hàng]],'Khách hàng'!A:D,4,0)</f>
        <v>Food Đức Việt</v>
      </c>
      <c r="I1528" t="str">
        <f>VLOOKUP(Table8[[#This Row],[Mã khách hàng]],'Khách hàng'!A:E,5,0)</f>
        <v>HN0040</v>
      </c>
    </row>
    <row r="1529" spans="1:9">
      <c r="A1529" s="14" t="s">
        <v>5286</v>
      </c>
      <c r="B1529" s="15" t="s">
        <v>5</v>
      </c>
      <c r="C1529" s="10" t="s">
        <v>5287</v>
      </c>
      <c r="D1529" s="16" t="s">
        <v>5045</v>
      </c>
      <c r="E1529" s="15" t="s">
        <v>11215</v>
      </c>
      <c r="F1529" s="16" t="str">
        <f>VLOOKUP(Table8[[#This Row],[Mã khách hàng]],code_khach_hang[],2,0)</f>
        <v>CHI NHÁNH HÀ NỘI - CÔNG TY CỔ PHẦN DỊCH VỤ THƯƠNG MẠI TỔNG HỢP WINCOMMERCE</v>
      </c>
      <c r="G1529" s="16" t="str">
        <f>VLOOKUP(Table8[[#This Row],[Mã khách hàng]],code_khach_hang[],3,0)</f>
        <v>Miền Bắc đặc biệt 1</v>
      </c>
      <c r="H1529" t="str">
        <f>VLOOKUP(Table8[[#This Row],[Mã khách hàng]],'Khách hàng'!A:D,4,0)</f>
        <v>Food Đức Việt</v>
      </c>
      <c r="I1529" t="str">
        <f>VLOOKUP(Table8[[#This Row],[Mã khách hàng]],'Khách hàng'!A:E,5,0)</f>
        <v>HN0040</v>
      </c>
    </row>
    <row r="1530" spans="1:9">
      <c r="A1530" s="14" t="s">
        <v>5487</v>
      </c>
      <c r="B1530" s="15" t="s">
        <v>5</v>
      </c>
      <c r="C1530" s="10" t="s">
        <v>5488</v>
      </c>
      <c r="D1530" s="16" t="s">
        <v>5048</v>
      </c>
      <c r="E1530" s="15" t="s">
        <v>11215</v>
      </c>
      <c r="F1530" s="16" t="str">
        <f>VLOOKUP(Table8[[#This Row],[Mã khách hàng]],code_khach_hang[],2,0)</f>
        <v>CHI NHÁNH HÀ NỘI - CÔNG TY CỔ PHẦN DỊCH VỤ THƯƠNG MẠI TỔNG HỢP WINCOMMERCE</v>
      </c>
      <c r="G1530" s="16" t="str">
        <f>VLOOKUP(Table8[[#This Row],[Mã khách hàng]],code_khach_hang[],3,0)</f>
        <v>Miền Bắc đặc biệt 1</v>
      </c>
      <c r="H1530" t="str">
        <f>VLOOKUP(Table8[[#This Row],[Mã khách hàng]],'Khách hàng'!A:D,4,0)</f>
        <v>Food Đức Việt</v>
      </c>
      <c r="I1530" t="str">
        <f>VLOOKUP(Table8[[#This Row],[Mã khách hàng]],'Khách hàng'!A:E,5,0)</f>
        <v>HN0040</v>
      </c>
    </row>
    <row r="1531" spans="1:9">
      <c r="A1531" s="14" t="s">
        <v>11116</v>
      </c>
      <c r="B1531" s="15" t="s">
        <v>5</v>
      </c>
      <c r="C1531" s="10" t="s">
        <v>13161</v>
      </c>
      <c r="D1531" s="16" t="s">
        <v>5051</v>
      </c>
      <c r="E1531" s="15" t="s">
        <v>11215</v>
      </c>
      <c r="F1531" s="16" t="str">
        <f>VLOOKUP(Table8[[#This Row],[Mã khách hàng]],code_khach_hang[],2,0)</f>
        <v>CHI NHÁNH HÀ NỘI - CÔNG TY CỔ PHẦN DỊCH VỤ THƯƠNG MẠI TỔNG HỢP WINCOMMERCE</v>
      </c>
      <c r="G1531" s="16" t="str">
        <f>VLOOKUP(Table8[[#This Row],[Mã khách hàng]],code_khach_hang[],3,0)</f>
        <v>Miền Bắc đặc biệt 1</v>
      </c>
      <c r="H1531" t="str">
        <f>VLOOKUP(Table8[[#This Row],[Mã khách hàng]],'Khách hàng'!A:D,4,0)</f>
        <v>Food Đức Việt</v>
      </c>
      <c r="I1531" t="str">
        <f>VLOOKUP(Table8[[#This Row],[Mã khách hàng]],'Khách hàng'!A:E,5,0)</f>
        <v>HN0040</v>
      </c>
    </row>
    <row r="1532" spans="1:9">
      <c r="A1532" s="14" t="s">
        <v>6875</v>
      </c>
      <c r="B1532" s="15" t="s">
        <v>5</v>
      </c>
      <c r="C1532" s="10" t="s">
        <v>6876</v>
      </c>
      <c r="D1532" s="16" t="s">
        <v>5054</v>
      </c>
      <c r="E1532" s="15" t="s">
        <v>11215</v>
      </c>
      <c r="F1532" s="16" t="str">
        <f>VLOOKUP(Table8[[#This Row],[Mã khách hàng]],code_khach_hang[],2,0)</f>
        <v>CHI NHÁNH HÀ NỘI - CÔNG TY CỔ PHẦN DỊCH VỤ THƯƠNG MẠI TỔNG HỢP WINCOMMERCE</v>
      </c>
      <c r="G1532" s="16" t="str">
        <f>VLOOKUP(Table8[[#This Row],[Mã khách hàng]],code_khach_hang[],3,0)</f>
        <v>Miền Bắc đặc biệt 1</v>
      </c>
      <c r="H1532" t="str">
        <f>VLOOKUP(Table8[[#This Row],[Mã khách hàng]],'Khách hàng'!A:D,4,0)</f>
        <v>Food Đức Việt</v>
      </c>
      <c r="I1532" t="str">
        <f>VLOOKUP(Table8[[#This Row],[Mã khách hàng]],'Khách hàng'!A:E,5,0)</f>
        <v>HN0040</v>
      </c>
    </row>
    <row r="1533" spans="1:9">
      <c r="A1533" s="14" t="s">
        <v>7315</v>
      </c>
      <c r="B1533" s="15" t="s">
        <v>5</v>
      </c>
      <c r="C1533" s="10" t="s">
        <v>7316</v>
      </c>
      <c r="D1533" s="16" t="s">
        <v>5057</v>
      </c>
      <c r="E1533" s="15" t="s">
        <v>11215</v>
      </c>
      <c r="F1533" s="16" t="str">
        <f>VLOOKUP(Table8[[#This Row],[Mã khách hàng]],code_khach_hang[],2,0)</f>
        <v>CHI NHÁNH HÀ NỘI - CÔNG TY CỔ PHẦN DỊCH VỤ THƯƠNG MẠI TỔNG HỢP WINCOMMERCE</v>
      </c>
      <c r="G1533" s="16" t="str">
        <f>VLOOKUP(Table8[[#This Row],[Mã khách hàng]],code_khach_hang[],3,0)</f>
        <v>Miền Bắc đặc biệt 1</v>
      </c>
      <c r="H1533" t="str">
        <f>VLOOKUP(Table8[[#This Row],[Mã khách hàng]],'Khách hàng'!A:D,4,0)</f>
        <v>Food Đức Việt</v>
      </c>
      <c r="I1533" t="str">
        <f>VLOOKUP(Table8[[#This Row],[Mã khách hàng]],'Khách hàng'!A:E,5,0)</f>
        <v>HN0040</v>
      </c>
    </row>
    <row r="1534" spans="1:9">
      <c r="A1534" s="14" t="s">
        <v>8608</v>
      </c>
      <c r="B1534" s="15" t="s">
        <v>5</v>
      </c>
      <c r="C1534" s="10" t="s">
        <v>8609</v>
      </c>
      <c r="D1534" s="16" t="s">
        <v>5060</v>
      </c>
      <c r="E1534" s="15" t="s">
        <v>11215</v>
      </c>
      <c r="F1534" s="16" t="str">
        <f>VLOOKUP(Table8[[#This Row],[Mã khách hàng]],code_khach_hang[],2,0)</f>
        <v>CHI NHÁNH HÀ NỘI - CÔNG TY CỔ PHẦN DỊCH VỤ THƯƠNG MẠI TỔNG HỢP WINCOMMERCE</v>
      </c>
      <c r="G1534" s="16" t="str">
        <f>VLOOKUP(Table8[[#This Row],[Mã khách hàng]],code_khach_hang[],3,0)</f>
        <v>Miền Bắc đặc biệt 1</v>
      </c>
      <c r="H1534" t="str">
        <f>VLOOKUP(Table8[[#This Row],[Mã khách hàng]],'Khách hàng'!A:D,4,0)</f>
        <v>Food Đức Việt</v>
      </c>
      <c r="I1534" t="str">
        <f>VLOOKUP(Table8[[#This Row],[Mã khách hàng]],'Khách hàng'!A:E,5,0)</f>
        <v>HN0040</v>
      </c>
    </row>
    <row r="1535" spans="1:9">
      <c r="A1535" s="14" t="s">
        <v>4716</v>
      </c>
      <c r="B1535" s="15" t="s">
        <v>5</v>
      </c>
      <c r="C1535" s="10" t="s">
        <v>4717</v>
      </c>
      <c r="D1535" s="16" t="s">
        <v>5063</v>
      </c>
      <c r="E1535" s="15" t="s">
        <v>11215</v>
      </c>
      <c r="F1535" s="16" t="str">
        <f>VLOOKUP(Table8[[#This Row],[Mã khách hàng]],code_khach_hang[],2,0)</f>
        <v>CHI NHÁNH HÀ NỘI - CÔNG TY CỔ PHẦN DỊCH VỤ THƯƠNG MẠI TỔNG HỢP WINCOMMERCE</v>
      </c>
      <c r="G1535" s="16" t="str">
        <f>VLOOKUP(Table8[[#This Row],[Mã khách hàng]],code_khach_hang[],3,0)</f>
        <v>Miền Bắc đặc biệt 1</v>
      </c>
      <c r="H1535" t="str">
        <f>VLOOKUP(Table8[[#This Row],[Mã khách hàng]],'Khách hàng'!A:D,4,0)</f>
        <v>Food Đức Việt</v>
      </c>
      <c r="I1535" t="str">
        <f>VLOOKUP(Table8[[#This Row],[Mã khách hàng]],'Khách hàng'!A:E,5,0)</f>
        <v>HN0040</v>
      </c>
    </row>
    <row r="1536" spans="1:9">
      <c r="A1536" s="14" t="s">
        <v>5298</v>
      </c>
      <c r="B1536" s="15" t="s">
        <v>5</v>
      </c>
      <c r="C1536" s="10" t="s">
        <v>5299</v>
      </c>
      <c r="D1536" s="16" t="s">
        <v>5066</v>
      </c>
      <c r="E1536" s="15" t="s">
        <v>11215</v>
      </c>
      <c r="F1536" s="16" t="str">
        <f>VLOOKUP(Table8[[#This Row],[Mã khách hàng]],code_khach_hang[],2,0)</f>
        <v>CHI NHÁNH HÀ NỘI - CÔNG TY CỔ PHẦN DỊCH VỤ THƯƠNG MẠI TỔNG HỢP WINCOMMERCE</v>
      </c>
      <c r="G1536" s="16" t="str">
        <f>VLOOKUP(Table8[[#This Row],[Mã khách hàng]],code_khach_hang[],3,0)</f>
        <v>Miền Bắc đặc biệt 1</v>
      </c>
      <c r="H1536" t="str">
        <f>VLOOKUP(Table8[[#This Row],[Mã khách hàng]],'Khách hàng'!A:D,4,0)</f>
        <v>Food Đức Việt</v>
      </c>
      <c r="I1536" t="str">
        <f>VLOOKUP(Table8[[#This Row],[Mã khách hàng]],'Khách hàng'!A:E,5,0)</f>
        <v>HN0040</v>
      </c>
    </row>
    <row r="1537" spans="1:9">
      <c r="A1537" s="14" t="s">
        <v>5334</v>
      </c>
      <c r="B1537" s="15" t="s">
        <v>5</v>
      </c>
      <c r="C1537" s="10" t="s">
        <v>5335</v>
      </c>
      <c r="D1537" s="16" t="s">
        <v>5069</v>
      </c>
      <c r="E1537" s="15" t="s">
        <v>11215</v>
      </c>
      <c r="F1537" s="16" t="str">
        <f>VLOOKUP(Table8[[#This Row],[Mã khách hàng]],code_khach_hang[],2,0)</f>
        <v>CHI NHÁNH HÀ NỘI - CÔNG TY CỔ PHẦN DỊCH VỤ THƯƠNG MẠI TỔNG HỢP WINCOMMERCE</v>
      </c>
      <c r="G1537" s="16" t="str">
        <f>VLOOKUP(Table8[[#This Row],[Mã khách hàng]],code_khach_hang[],3,0)</f>
        <v>Miền Bắc đặc biệt 1</v>
      </c>
      <c r="H1537" t="str">
        <f>VLOOKUP(Table8[[#This Row],[Mã khách hàng]],'Khách hàng'!A:D,4,0)</f>
        <v>Food Đức Việt</v>
      </c>
      <c r="I1537" t="str">
        <f>VLOOKUP(Table8[[#This Row],[Mã khách hàng]],'Khách hàng'!A:E,5,0)</f>
        <v>HN0040</v>
      </c>
    </row>
    <row r="1538" spans="1:9">
      <c r="A1538" s="14" t="s">
        <v>5547</v>
      </c>
      <c r="B1538" s="15" t="s">
        <v>5</v>
      </c>
      <c r="C1538" s="10" t="s">
        <v>5548</v>
      </c>
      <c r="D1538" s="16" t="s">
        <v>5072</v>
      </c>
      <c r="E1538" s="15" t="s">
        <v>11215</v>
      </c>
      <c r="F1538" s="16" t="str">
        <f>VLOOKUP(Table8[[#This Row],[Mã khách hàng]],code_khach_hang[],2,0)</f>
        <v>CHI NHÁNH HÀ NỘI - CÔNG TY CỔ PHẦN DỊCH VỤ THƯƠNG MẠI TỔNG HỢP WINCOMMERCE</v>
      </c>
      <c r="G1538" s="16" t="str">
        <f>VLOOKUP(Table8[[#This Row],[Mã khách hàng]],code_khach_hang[],3,0)</f>
        <v>Miền Bắc đặc biệt 1</v>
      </c>
      <c r="H1538" t="str">
        <f>VLOOKUP(Table8[[#This Row],[Mã khách hàng]],'Khách hàng'!A:D,4,0)</f>
        <v>Food Đức Việt</v>
      </c>
      <c r="I1538" t="str">
        <f>VLOOKUP(Table8[[#This Row],[Mã khách hàng]],'Khách hàng'!A:E,5,0)</f>
        <v>HN0040</v>
      </c>
    </row>
    <row r="1539" spans="1:9">
      <c r="A1539" s="14" t="s">
        <v>1998</v>
      </c>
      <c r="B1539" s="15" t="s">
        <v>5</v>
      </c>
      <c r="C1539" s="10" t="s">
        <v>1999</v>
      </c>
      <c r="D1539" s="16" t="s">
        <v>5075</v>
      </c>
      <c r="E1539" s="15" t="s">
        <v>11215</v>
      </c>
      <c r="F1539" s="16" t="str">
        <f>VLOOKUP(Table8[[#This Row],[Mã khách hàng]],code_khach_hang[],2,0)</f>
        <v>CHI NHÁNH HÀ NỘI - CÔNG TY CỔ PHẦN DỊCH VỤ THƯƠNG MẠI TỔNG HỢP WINCOMMERCE</v>
      </c>
      <c r="G1539" s="16" t="str">
        <f>VLOOKUP(Table8[[#This Row],[Mã khách hàng]],code_khach_hang[],3,0)</f>
        <v>Miền Bắc đặc biệt 1</v>
      </c>
      <c r="H1539" t="str">
        <f>VLOOKUP(Table8[[#This Row],[Mã khách hàng]],'Khách hàng'!A:D,4,0)</f>
        <v>Food Đức Việt</v>
      </c>
      <c r="I1539" t="str">
        <f>VLOOKUP(Table8[[#This Row],[Mã khách hàng]],'Khách hàng'!A:E,5,0)</f>
        <v>HN0040</v>
      </c>
    </row>
    <row r="1540" spans="1:9">
      <c r="A1540" s="14" t="s">
        <v>535</v>
      </c>
      <c r="B1540" s="15" t="s">
        <v>183</v>
      </c>
      <c r="C1540" s="10" t="s">
        <v>536</v>
      </c>
      <c r="D1540" s="16" t="s">
        <v>5078</v>
      </c>
      <c r="E1540" s="15" t="s">
        <v>11195</v>
      </c>
      <c r="F1540" s="16" t="str">
        <f>VLOOKUP(Table8[[#This Row],[Mã khách hàng]],code_khach_hang[],2,0)</f>
        <v>CHI NHÁNH HÀ NỘI - CÔNG TY CỔ PHẦN DỊCH VỤ THƯƠNG MẠI TỔNG HỢP WINCOMMERCE</v>
      </c>
      <c r="G1540" s="16" t="str">
        <f>VLOOKUP(Table8[[#This Row],[Mã khách hàng]],code_khach_hang[],3,0)</f>
        <v>Miền Bắc đặc biệt 2</v>
      </c>
      <c r="H1540" t="str">
        <f>VLOOKUP(Table8[[#This Row],[Mã khách hàng]],'Khách hàng'!A:D,4,0)</f>
        <v>Food Đức Việt</v>
      </c>
      <c r="I1540" t="str">
        <f>VLOOKUP(Table8[[#This Row],[Mã khách hàng]],'Khách hàng'!A:E,5,0)</f>
        <v>HN0040</v>
      </c>
    </row>
    <row r="1541" spans="1:9">
      <c r="A1541" s="14" t="s">
        <v>619</v>
      </c>
      <c r="B1541" s="15" t="s">
        <v>183</v>
      </c>
      <c r="C1541" s="10" t="s">
        <v>620</v>
      </c>
      <c r="D1541" s="16" t="s">
        <v>5081</v>
      </c>
      <c r="E1541" s="14" t="s">
        <v>11195</v>
      </c>
      <c r="F1541" s="16" t="str">
        <f>VLOOKUP(Table8[[#This Row],[Mã khách hàng]],code_khach_hang[],2,0)</f>
        <v>CHI NHÁNH HÀ NỘI - CÔNG TY CỔ PHẦN DỊCH VỤ THƯƠNG MẠI TỔNG HỢP WINCOMMERCE</v>
      </c>
      <c r="G1541" s="16" t="str">
        <f>VLOOKUP(Table8[[#This Row],[Mã khách hàng]],code_khach_hang[],3,0)</f>
        <v>Miền Bắc đặc biệt 2</v>
      </c>
      <c r="H1541" t="str">
        <f>VLOOKUP(Table8[[#This Row],[Mã khách hàng]],'Khách hàng'!A:D,4,0)</f>
        <v>Food Đức Việt</v>
      </c>
      <c r="I1541" t="str">
        <f>VLOOKUP(Table8[[#This Row],[Mã khách hàng]],'Khách hàng'!A:E,5,0)</f>
        <v>HN0040</v>
      </c>
    </row>
    <row r="1542" spans="1:9">
      <c r="A1542" s="14" t="s">
        <v>4278</v>
      </c>
      <c r="B1542" s="15" t="s">
        <v>5</v>
      </c>
      <c r="C1542" s="10" t="s">
        <v>4279</v>
      </c>
      <c r="D1542" s="16" t="s">
        <v>5084</v>
      </c>
      <c r="E1542" s="15" t="s">
        <v>11215</v>
      </c>
      <c r="F1542" s="16" t="str">
        <f>VLOOKUP(Table8[[#This Row],[Mã khách hàng]],code_khach_hang[],2,0)</f>
        <v>CHI NHÁNH HÀ NỘI - CÔNG TY CỔ PHẦN DỊCH VỤ THƯƠNG MẠI TỔNG HỢP WINCOMMERCE</v>
      </c>
      <c r="G1542" s="16" t="str">
        <f>VLOOKUP(Table8[[#This Row],[Mã khách hàng]],code_khach_hang[],3,0)</f>
        <v>Miền Bắc đặc biệt 1</v>
      </c>
      <c r="H1542" t="str">
        <f>VLOOKUP(Table8[[#This Row],[Mã khách hàng]],'Khách hàng'!A:D,4,0)</f>
        <v>Food Đức Việt</v>
      </c>
      <c r="I1542" t="str">
        <f>VLOOKUP(Table8[[#This Row],[Mã khách hàng]],'Khách hàng'!A:E,5,0)</f>
        <v>HN0040</v>
      </c>
    </row>
    <row r="1543" spans="1:9">
      <c r="A1543" s="14" t="s">
        <v>4770</v>
      </c>
      <c r="B1543" s="15" t="s">
        <v>5</v>
      </c>
      <c r="C1543" s="10" t="s">
        <v>4771</v>
      </c>
      <c r="D1543" s="16" t="s">
        <v>5087</v>
      </c>
      <c r="E1543" s="15" t="s">
        <v>11215</v>
      </c>
      <c r="F1543" s="16" t="str">
        <f>VLOOKUP(Table8[[#This Row],[Mã khách hàng]],code_khach_hang[],2,0)</f>
        <v>CHI NHÁNH HÀ NỘI - CÔNG TY CỔ PHẦN DỊCH VỤ THƯƠNG MẠI TỔNG HỢP WINCOMMERCE</v>
      </c>
      <c r="G1543" s="16" t="str">
        <f>VLOOKUP(Table8[[#This Row],[Mã khách hàng]],code_khach_hang[],3,0)</f>
        <v>Miền Bắc đặc biệt 1</v>
      </c>
      <c r="H1543" t="str">
        <f>VLOOKUP(Table8[[#This Row],[Mã khách hàng]],'Khách hàng'!A:D,4,0)</f>
        <v>Food Đức Việt</v>
      </c>
      <c r="I1543" t="str">
        <f>VLOOKUP(Table8[[#This Row],[Mã khách hàng]],'Khách hàng'!A:E,5,0)</f>
        <v>HN0040</v>
      </c>
    </row>
    <row r="1544" spans="1:9">
      <c r="A1544" s="14" t="s">
        <v>4902</v>
      </c>
      <c r="B1544" s="15" t="s">
        <v>5</v>
      </c>
      <c r="C1544" s="10" t="s">
        <v>4903</v>
      </c>
      <c r="D1544" s="16" t="s">
        <v>5090</v>
      </c>
      <c r="E1544" s="15" t="s">
        <v>11215</v>
      </c>
      <c r="F1544" s="16" t="str">
        <f>VLOOKUP(Table8[[#This Row],[Mã khách hàng]],code_khach_hang[],2,0)</f>
        <v>CHI NHÁNH HÀ NỘI - CÔNG TY CỔ PHẦN DỊCH VỤ THƯƠNG MẠI TỔNG HỢP WINCOMMERCE</v>
      </c>
      <c r="G1544" s="16" t="str">
        <f>VLOOKUP(Table8[[#This Row],[Mã khách hàng]],code_khach_hang[],3,0)</f>
        <v>Miền Bắc đặc biệt 1</v>
      </c>
      <c r="H1544" t="str">
        <f>VLOOKUP(Table8[[#This Row],[Mã khách hàng]],'Khách hàng'!A:D,4,0)</f>
        <v>Food Đức Việt</v>
      </c>
      <c r="I1544" t="str">
        <f>VLOOKUP(Table8[[#This Row],[Mã khách hàng]],'Khách hàng'!A:E,5,0)</f>
        <v>HN0040</v>
      </c>
    </row>
    <row r="1545" spans="1:9">
      <c r="A1545" s="14" t="s">
        <v>5274</v>
      </c>
      <c r="B1545" s="15" t="s">
        <v>5</v>
      </c>
      <c r="C1545" s="10" t="s">
        <v>5275</v>
      </c>
      <c r="D1545" s="16" t="s">
        <v>5093</v>
      </c>
      <c r="E1545" s="15" t="s">
        <v>11215</v>
      </c>
      <c r="F1545" s="16" t="str">
        <f>VLOOKUP(Table8[[#This Row],[Mã khách hàng]],code_khach_hang[],2,0)</f>
        <v>CHI NHÁNH HÀ NỘI - CÔNG TY CỔ PHẦN DỊCH VỤ THƯƠNG MẠI TỔNG HỢP WINCOMMERCE</v>
      </c>
      <c r="G1545" s="16" t="str">
        <f>VLOOKUP(Table8[[#This Row],[Mã khách hàng]],code_khach_hang[],3,0)</f>
        <v>Miền Bắc đặc biệt 1</v>
      </c>
      <c r="H1545" t="str">
        <f>VLOOKUP(Table8[[#This Row],[Mã khách hàng]],'Khách hàng'!A:D,4,0)</f>
        <v>Food Đức Việt</v>
      </c>
      <c r="I1545" t="str">
        <f>VLOOKUP(Table8[[#This Row],[Mã khách hàng]],'Khách hàng'!A:E,5,0)</f>
        <v>HN0040</v>
      </c>
    </row>
    <row r="1546" spans="1:9">
      <c r="A1546" s="14" t="s">
        <v>5289</v>
      </c>
      <c r="B1546" s="15" t="s">
        <v>5</v>
      </c>
      <c r="C1546" s="10" t="s">
        <v>5290</v>
      </c>
      <c r="D1546" s="16" t="s">
        <v>5096</v>
      </c>
      <c r="E1546" s="15" t="s">
        <v>11215</v>
      </c>
      <c r="F1546" s="16" t="str">
        <f>VLOOKUP(Table8[[#This Row],[Mã khách hàng]],code_khach_hang[],2,0)</f>
        <v>CHI NHÁNH HÀ NỘI - CÔNG TY CỔ PHẦN DỊCH VỤ THƯƠNG MẠI TỔNG HỢP WINCOMMERCE</v>
      </c>
      <c r="G1546" s="16" t="str">
        <f>VLOOKUP(Table8[[#This Row],[Mã khách hàng]],code_khach_hang[],3,0)</f>
        <v>Miền Bắc đặc biệt 1</v>
      </c>
      <c r="H1546" t="str">
        <f>VLOOKUP(Table8[[#This Row],[Mã khách hàng]],'Khách hàng'!A:D,4,0)</f>
        <v>Food Đức Việt</v>
      </c>
      <c r="I1546" t="str">
        <f>VLOOKUP(Table8[[#This Row],[Mã khách hàng]],'Khách hàng'!A:E,5,0)</f>
        <v>HN0040</v>
      </c>
    </row>
    <row r="1547" spans="1:9">
      <c r="A1547" s="14" t="s">
        <v>6437</v>
      </c>
      <c r="B1547" s="15" t="s">
        <v>5</v>
      </c>
      <c r="C1547" s="10" t="s">
        <v>6438</v>
      </c>
      <c r="D1547" s="16" t="s">
        <v>5099</v>
      </c>
      <c r="E1547" s="15" t="s">
        <v>11215</v>
      </c>
      <c r="F1547" s="16" t="str">
        <f>VLOOKUP(Table8[[#This Row],[Mã khách hàng]],code_khach_hang[],2,0)</f>
        <v>CHI NHÁNH HÀ NỘI - CÔNG TY CỔ PHẦN DỊCH VỤ THƯƠNG MẠI TỔNG HỢP WINCOMMERCE</v>
      </c>
      <c r="G1547" s="16" t="str">
        <f>VLOOKUP(Table8[[#This Row],[Mã khách hàng]],code_khach_hang[],3,0)</f>
        <v>Miền Bắc đặc biệt 1</v>
      </c>
      <c r="H1547" t="str">
        <f>VLOOKUP(Table8[[#This Row],[Mã khách hàng]],'Khách hàng'!A:D,4,0)</f>
        <v>Food Đức Việt</v>
      </c>
      <c r="I1547" t="str">
        <f>VLOOKUP(Table8[[#This Row],[Mã khách hàng]],'Khách hàng'!A:E,5,0)</f>
        <v>HN0040</v>
      </c>
    </row>
    <row r="1548" spans="1:9">
      <c r="A1548" s="14" t="s">
        <v>7222</v>
      </c>
      <c r="B1548" s="15" t="s">
        <v>5</v>
      </c>
      <c r="C1548" s="10" t="s">
        <v>7223</v>
      </c>
      <c r="D1548" s="16" t="s">
        <v>5102</v>
      </c>
      <c r="E1548" s="15" t="s">
        <v>11215</v>
      </c>
      <c r="F1548" s="16" t="str">
        <f>VLOOKUP(Table8[[#This Row],[Mã khách hàng]],code_khach_hang[],2,0)</f>
        <v>CHI NHÁNH HÀ NỘI - CÔNG TY CỔ PHẦN DỊCH VỤ THƯƠNG MẠI TỔNG HỢP WINCOMMERCE</v>
      </c>
      <c r="G1548" s="16" t="str">
        <f>VLOOKUP(Table8[[#This Row],[Mã khách hàng]],code_khach_hang[],3,0)</f>
        <v>Miền Bắc đặc biệt 1</v>
      </c>
      <c r="H1548" t="str">
        <f>VLOOKUP(Table8[[#This Row],[Mã khách hàng]],'Khách hàng'!A:D,4,0)</f>
        <v>Food Đức Việt</v>
      </c>
      <c r="I1548" t="str">
        <f>VLOOKUP(Table8[[#This Row],[Mã khách hàng]],'Khách hàng'!A:E,5,0)</f>
        <v>HN0040</v>
      </c>
    </row>
    <row r="1549" spans="1:9">
      <c r="A1549" s="14" t="s">
        <v>7768</v>
      </c>
      <c r="B1549" s="15" t="s">
        <v>5</v>
      </c>
      <c r="C1549" s="10" t="s">
        <v>7769</v>
      </c>
      <c r="D1549" s="16" t="s">
        <v>5105</v>
      </c>
      <c r="E1549" s="15" t="s">
        <v>11215</v>
      </c>
      <c r="F1549" s="16" t="str">
        <f>VLOOKUP(Table8[[#This Row],[Mã khách hàng]],code_khach_hang[],2,0)</f>
        <v>CHI NHÁNH HÀ NỘI - CÔNG TY CỔ PHẦN DỊCH VỤ THƯƠNG MẠI TỔNG HỢP WINCOMMERCE</v>
      </c>
      <c r="G1549" s="16" t="str">
        <f>VLOOKUP(Table8[[#This Row],[Mã khách hàng]],code_khach_hang[],3,0)</f>
        <v>Miền Bắc đặc biệt 1</v>
      </c>
      <c r="H1549" t="str">
        <f>VLOOKUP(Table8[[#This Row],[Mã khách hàng]],'Khách hàng'!A:D,4,0)</f>
        <v>Food Đức Việt</v>
      </c>
      <c r="I1549" t="str">
        <f>VLOOKUP(Table8[[#This Row],[Mã khách hàng]],'Khách hàng'!A:E,5,0)</f>
        <v>HN0040</v>
      </c>
    </row>
    <row r="1550" spans="1:9">
      <c r="A1550" s="14" t="s">
        <v>5394</v>
      </c>
      <c r="B1550" s="15" t="s">
        <v>5</v>
      </c>
      <c r="C1550" s="10" t="s">
        <v>5395</v>
      </c>
      <c r="D1550" s="16" t="s">
        <v>5108</v>
      </c>
      <c r="E1550" s="15" t="s">
        <v>11215</v>
      </c>
      <c r="F1550" s="16" t="str">
        <f>VLOOKUP(Table8[[#This Row],[Mã khách hàng]],code_khach_hang[],2,0)</f>
        <v>CHI NHÁNH HÀ NỘI - CÔNG TY CỔ PHẦN DỊCH VỤ THƯƠNG MẠI TỔNG HỢP WINCOMMERCE</v>
      </c>
      <c r="G1550" s="16" t="str">
        <f>VLOOKUP(Table8[[#This Row],[Mã khách hàng]],code_khach_hang[],3,0)</f>
        <v>Miền Bắc đặc biệt 1</v>
      </c>
      <c r="H1550" t="str">
        <f>VLOOKUP(Table8[[#This Row],[Mã khách hàng]],'Khách hàng'!A:D,4,0)</f>
        <v>Food Đức Việt</v>
      </c>
      <c r="I1550" t="str">
        <f>VLOOKUP(Table8[[#This Row],[Mã khách hàng]],'Khách hàng'!A:E,5,0)</f>
        <v>HN0040</v>
      </c>
    </row>
    <row r="1551" spans="1:9">
      <c r="A1551" s="14" t="s">
        <v>4827</v>
      </c>
      <c r="B1551" s="15" t="s">
        <v>5</v>
      </c>
      <c r="C1551" s="10" t="s">
        <v>4828</v>
      </c>
      <c r="D1551" s="16" t="s">
        <v>5111</v>
      </c>
      <c r="E1551" s="15" t="s">
        <v>11215</v>
      </c>
      <c r="F1551" s="16" t="str">
        <f>VLOOKUP(Table8[[#This Row],[Mã khách hàng]],code_khach_hang[],2,0)</f>
        <v>CHI NHÁNH HÀ NỘI - CÔNG TY CỔ PHẦN DỊCH VỤ THƯƠNG MẠI TỔNG HỢP WINCOMMERCE</v>
      </c>
      <c r="G1551" s="16" t="str">
        <f>VLOOKUP(Table8[[#This Row],[Mã khách hàng]],code_khach_hang[],3,0)</f>
        <v>Miền Bắc đặc biệt 1</v>
      </c>
      <c r="H1551" t="str">
        <f>VLOOKUP(Table8[[#This Row],[Mã khách hàng]],'Khách hàng'!A:D,4,0)</f>
        <v>Food Đức Việt</v>
      </c>
      <c r="I1551" t="str">
        <f>VLOOKUP(Table8[[#This Row],[Mã khách hàng]],'Khách hàng'!A:E,5,0)</f>
        <v>HN0040</v>
      </c>
    </row>
    <row r="1552" spans="1:9">
      <c r="A1552" s="14" t="s">
        <v>5938</v>
      </c>
      <c r="B1552" s="15" t="s">
        <v>5</v>
      </c>
      <c r="C1552" s="10" t="s">
        <v>5939</v>
      </c>
      <c r="D1552" s="16" t="s">
        <v>5114</v>
      </c>
      <c r="E1552" s="15" t="s">
        <v>11215</v>
      </c>
      <c r="F1552" s="16" t="str">
        <f>VLOOKUP(Table8[[#This Row],[Mã khách hàng]],code_khach_hang[],2,0)</f>
        <v>CHI NHÁNH HÀ NỘI - CÔNG TY CỔ PHẦN DỊCH VỤ THƯƠNG MẠI TỔNG HỢP WINCOMMERCE</v>
      </c>
      <c r="G1552" s="16" t="str">
        <f>VLOOKUP(Table8[[#This Row],[Mã khách hàng]],code_khach_hang[],3,0)</f>
        <v>Miền Bắc đặc biệt 1</v>
      </c>
      <c r="H1552" t="str">
        <f>VLOOKUP(Table8[[#This Row],[Mã khách hàng]],'Khách hàng'!A:D,4,0)</f>
        <v>Food Đức Việt</v>
      </c>
      <c r="I1552" t="str">
        <f>VLOOKUP(Table8[[#This Row],[Mã khách hàng]],'Khách hàng'!A:E,5,0)</f>
        <v>HN0040</v>
      </c>
    </row>
    <row r="1553" spans="1:9">
      <c r="A1553" s="14" t="s">
        <v>8585</v>
      </c>
      <c r="B1553" s="15" t="s">
        <v>5</v>
      </c>
      <c r="C1553" s="10" t="s">
        <v>8586</v>
      </c>
      <c r="D1553" s="16" t="s">
        <v>5117</v>
      </c>
      <c r="E1553" s="15" t="s">
        <v>11215</v>
      </c>
      <c r="F1553" s="16" t="str">
        <f>VLOOKUP(Table8[[#This Row],[Mã khách hàng]],code_khach_hang[],2,0)</f>
        <v>CHI NHÁNH HÀ NỘI - CÔNG TY CỔ PHẦN DỊCH VỤ THƯƠNG MẠI TỔNG HỢP WINCOMMERCE</v>
      </c>
      <c r="G1553" s="16" t="str">
        <f>VLOOKUP(Table8[[#This Row],[Mã khách hàng]],code_khach_hang[],3,0)</f>
        <v>Miền Bắc đặc biệt 1</v>
      </c>
      <c r="H1553" t="str">
        <f>VLOOKUP(Table8[[#This Row],[Mã khách hàng]],'Khách hàng'!A:D,4,0)</f>
        <v>Food Đức Việt</v>
      </c>
      <c r="I1553" t="str">
        <f>VLOOKUP(Table8[[#This Row],[Mã khách hàng]],'Khách hàng'!A:E,5,0)</f>
        <v>HN0040</v>
      </c>
    </row>
    <row r="1554" spans="1:9">
      <c r="A1554" s="14" t="s">
        <v>8620</v>
      </c>
      <c r="B1554" s="15" t="s">
        <v>5</v>
      </c>
      <c r="C1554" s="10" t="s">
        <v>8621</v>
      </c>
      <c r="D1554" s="16" t="s">
        <v>5120</v>
      </c>
      <c r="E1554" s="15" t="s">
        <v>11215</v>
      </c>
      <c r="F1554" s="16" t="str">
        <f>VLOOKUP(Table8[[#This Row],[Mã khách hàng]],code_khach_hang[],2,0)</f>
        <v>CHI NHÁNH HÀ NỘI - CÔNG TY CỔ PHẦN DỊCH VỤ THƯƠNG MẠI TỔNG HỢP WINCOMMERCE</v>
      </c>
      <c r="G1554" s="16" t="str">
        <f>VLOOKUP(Table8[[#This Row],[Mã khách hàng]],code_khach_hang[],3,0)</f>
        <v>Miền Bắc đặc biệt 1</v>
      </c>
      <c r="H1554" t="str">
        <f>VLOOKUP(Table8[[#This Row],[Mã khách hàng]],'Khách hàng'!A:D,4,0)</f>
        <v>Food Đức Việt</v>
      </c>
      <c r="I1554" t="str">
        <f>VLOOKUP(Table8[[#This Row],[Mã khách hàng]],'Khách hàng'!A:E,5,0)</f>
        <v>HN0040</v>
      </c>
    </row>
    <row r="1555" spans="1:9">
      <c r="A1555" s="14" t="s">
        <v>8815</v>
      </c>
      <c r="B1555" s="15" t="s">
        <v>5</v>
      </c>
      <c r="C1555" s="10" t="s">
        <v>8816</v>
      </c>
      <c r="D1555" s="16" t="s">
        <v>5123</v>
      </c>
      <c r="E1555" s="15" t="s">
        <v>11215</v>
      </c>
      <c r="F1555" s="16" t="str">
        <f>VLOOKUP(Table8[[#This Row],[Mã khách hàng]],code_khach_hang[],2,0)</f>
        <v>CHI NHÁNH HÀ NỘI - CÔNG TY CỔ PHẦN DỊCH VỤ THƯƠNG MẠI TỔNG HỢP WINCOMMERCE</v>
      </c>
      <c r="G1555" s="16" t="str">
        <f>VLOOKUP(Table8[[#This Row],[Mã khách hàng]],code_khach_hang[],3,0)</f>
        <v>Miền Bắc đặc biệt 1</v>
      </c>
      <c r="H1555" t="str">
        <f>VLOOKUP(Table8[[#This Row],[Mã khách hàng]],'Khách hàng'!A:D,4,0)</f>
        <v>Food Đức Việt</v>
      </c>
      <c r="I1555" t="str">
        <f>VLOOKUP(Table8[[#This Row],[Mã khách hàng]],'Khách hàng'!A:E,5,0)</f>
        <v>HN0040</v>
      </c>
    </row>
    <row r="1556" spans="1:9">
      <c r="A1556" s="14" t="s">
        <v>9013</v>
      </c>
      <c r="B1556" s="15" t="s">
        <v>5</v>
      </c>
      <c r="C1556" s="10" t="s">
        <v>9014</v>
      </c>
      <c r="D1556" s="16" t="s">
        <v>5126</v>
      </c>
      <c r="E1556" s="15" t="s">
        <v>11215</v>
      </c>
      <c r="F1556" s="16" t="str">
        <f>VLOOKUP(Table8[[#This Row],[Mã khách hàng]],code_khach_hang[],2,0)</f>
        <v>CHI NHÁNH HÀ NỘI - CÔNG TY CỔ PHẦN DỊCH VỤ THƯƠNG MẠI TỔNG HỢP WINCOMMERCE</v>
      </c>
      <c r="G1556" s="16" t="str">
        <f>VLOOKUP(Table8[[#This Row],[Mã khách hàng]],code_khach_hang[],3,0)</f>
        <v>Miền Bắc đặc biệt 1</v>
      </c>
      <c r="H1556" t="str">
        <f>VLOOKUP(Table8[[#This Row],[Mã khách hàng]],'Khách hàng'!A:D,4,0)</f>
        <v>Food Đức Việt</v>
      </c>
      <c r="I1556" t="str">
        <f>VLOOKUP(Table8[[#This Row],[Mã khách hàng]],'Khách hàng'!A:E,5,0)</f>
        <v>HN0040</v>
      </c>
    </row>
    <row r="1557" spans="1:9">
      <c r="A1557" s="14" t="s">
        <v>762</v>
      </c>
      <c r="B1557" s="15" t="s">
        <v>5</v>
      </c>
      <c r="C1557" s="10" t="s">
        <v>763</v>
      </c>
      <c r="D1557" s="16" t="s">
        <v>5129</v>
      </c>
      <c r="E1557" s="15" t="s">
        <v>11215</v>
      </c>
      <c r="F1557" s="16" t="str">
        <f>VLOOKUP(Table8[[#This Row],[Mã khách hàng]],code_khach_hang[],2,0)</f>
        <v>CHI NHÁNH HÀ NỘI - CÔNG TY CỔ PHẦN DỊCH VỤ THƯƠNG MẠI TỔNG HỢP WINCOMMERCE</v>
      </c>
      <c r="G1557" s="16" t="str">
        <f>VLOOKUP(Table8[[#This Row],[Mã khách hàng]],code_khach_hang[],3,0)</f>
        <v>Miền Bắc đặc biệt 1</v>
      </c>
      <c r="H1557" t="str">
        <f>VLOOKUP(Table8[[#This Row],[Mã khách hàng]],'Khách hàng'!A:D,4,0)</f>
        <v>Food Đức Việt</v>
      </c>
      <c r="I1557" t="str">
        <f>VLOOKUP(Table8[[#This Row],[Mã khách hàng]],'Khách hàng'!A:E,5,0)</f>
        <v>HN0040</v>
      </c>
    </row>
    <row r="1558" spans="1:9">
      <c r="A1558" s="14" t="s">
        <v>1002</v>
      </c>
      <c r="B1558" s="15" t="s">
        <v>5</v>
      </c>
      <c r="C1558" s="10" t="s">
        <v>1003</v>
      </c>
      <c r="D1558" s="16" t="s">
        <v>5132</v>
      </c>
      <c r="E1558" s="15" t="s">
        <v>11215</v>
      </c>
      <c r="F1558" s="16" t="str">
        <f>VLOOKUP(Table8[[#This Row],[Mã khách hàng]],code_khach_hang[],2,0)</f>
        <v>CHI NHÁNH HÀ NỘI - CÔNG TY CỔ PHẦN DỊCH VỤ THƯƠNG MẠI TỔNG HỢP WINCOMMERCE</v>
      </c>
      <c r="G1558" s="16" t="str">
        <f>VLOOKUP(Table8[[#This Row],[Mã khách hàng]],code_khach_hang[],3,0)</f>
        <v>Miền Bắc đặc biệt 1</v>
      </c>
      <c r="H1558" t="str">
        <f>VLOOKUP(Table8[[#This Row],[Mã khách hàng]],'Khách hàng'!A:D,4,0)</f>
        <v>Food Đức Việt</v>
      </c>
      <c r="I1558" t="str">
        <f>VLOOKUP(Table8[[#This Row],[Mã khách hàng]],'Khách hàng'!A:E,5,0)</f>
        <v>HN0040</v>
      </c>
    </row>
    <row r="1559" spans="1:9">
      <c r="A1559" s="14" t="s">
        <v>1056</v>
      </c>
      <c r="B1559" s="15" t="s">
        <v>5</v>
      </c>
      <c r="C1559" s="10" t="s">
        <v>1057</v>
      </c>
      <c r="D1559" s="16" t="s">
        <v>5135</v>
      </c>
      <c r="E1559" s="15" t="s">
        <v>11215</v>
      </c>
      <c r="F1559" s="16" t="str">
        <f>VLOOKUP(Table8[[#This Row],[Mã khách hàng]],code_khach_hang[],2,0)</f>
        <v>CHI NHÁNH HÀ NỘI - CÔNG TY CỔ PHẦN DỊCH VỤ THƯƠNG MẠI TỔNG HỢP WINCOMMERCE</v>
      </c>
      <c r="G1559" s="16" t="str">
        <f>VLOOKUP(Table8[[#This Row],[Mã khách hàng]],code_khach_hang[],3,0)</f>
        <v>Miền Bắc đặc biệt 1</v>
      </c>
      <c r="H1559" t="str">
        <f>VLOOKUP(Table8[[#This Row],[Mã khách hàng]],'Khách hàng'!A:D,4,0)</f>
        <v>Food Đức Việt</v>
      </c>
      <c r="I1559" t="str">
        <f>VLOOKUP(Table8[[#This Row],[Mã khách hàng]],'Khách hàng'!A:E,5,0)</f>
        <v>HN0040</v>
      </c>
    </row>
    <row r="1560" spans="1:9">
      <c r="A1560" s="14" t="s">
        <v>1167</v>
      </c>
      <c r="B1560" s="15" t="s">
        <v>5</v>
      </c>
      <c r="C1560" s="10" t="s">
        <v>1168</v>
      </c>
      <c r="D1560" s="16" t="s">
        <v>5138</v>
      </c>
      <c r="E1560" s="15" t="s">
        <v>11215</v>
      </c>
      <c r="F1560" s="16" t="str">
        <f>VLOOKUP(Table8[[#This Row],[Mã khách hàng]],code_khach_hang[],2,0)</f>
        <v>CHI NHÁNH HÀ NỘI - CÔNG TY CỔ PHẦN DỊCH VỤ THƯƠNG MẠI TỔNG HỢP WINCOMMERCE</v>
      </c>
      <c r="G1560" s="16" t="str">
        <f>VLOOKUP(Table8[[#This Row],[Mã khách hàng]],code_khach_hang[],3,0)</f>
        <v>Miền Bắc đặc biệt 1</v>
      </c>
      <c r="H1560" t="str">
        <f>VLOOKUP(Table8[[#This Row],[Mã khách hàng]],'Khách hàng'!A:D,4,0)</f>
        <v>Food Đức Việt</v>
      </c>
      <c r="I1560" t="str">
        <f>VLOOKUP(Table8[[#This Row],[Mã khách hàng]],'Khách hàng'!A:E,5,0)</f>
        <v>HN0040</v>
      </c>
    </row>
    <row r="1561" spans="1:9">
      <c r="A1561" s="14" t="s">
        <v>1275</v>
      </c>
      <c r="B1561" s="15" t="s">
        <v>5</v>
      </c>
      <c r="C1561" s="10" t="s">
        <v>1276</v>
      </c>
      <c r="D1561" s="16" t="s">
        <v>5141</v>
      </c>
      <c r="E1561" s="15" t="s">
        <v>11215</v>
      </c>
      <c r="F1561" s="16" t="str">
        <f>VLOOKUP(Table8[[#This Row],[Mã khách hàng]],code_khach_hang[],2,0)</f>
        <v>CHI NHÁNH HÀ NỘI - CÔNG TY CỔ PHẦN DỊCH VỤ THƯƠNG MẠI TỔNG HỢP WINCOMMERCE</v>
      </c>
      <c r="G1561" s="16" t="str">
        <f>VLOOKUP(Table8[[#This Row],[Mã khách hàng]],code_khach_hang[],3,0)</f>
        <v>Miền Bắc đặc biệt 1</v>
      </c>
      <c r="H1561" t="str">
        <f>VLOOKUP(Table8[[#This Row],[Mã khách hàng]],'Khách hàng'!A:D,4,0)</f>
        <v>Food Đức Việt</v>
      </c>
      <c r="I1561" t="str">
        <f>VLOOKUP(Table8[[#This Row],[Mã khách hàng]],'Khách hàng'!A:E,5,0)</f>
        <v>HN0040</v>
      </c>
    </row>
    <row r="1562" spans="1:9">
      <c r="A1562" s="14" t="s">
        <v>4122</v>
      </c>
      <c r="B1562" s="15" t="s">
        <v>5</v>
      </c>
      <c r="C1562" s="10" t="s">
        <v>4123</v>
      </c>
      <c r="D1562" s="16" t="s">
        <v>5144</v>
      </c>
      <c r="E1562" s="15" t="s">
        <v>11215</v>
      </c>
      <c r="F1562" s="16" t="str">
        <f>VLOOKUP(Table8[[#This Row],[Mã khách hàng]],code_khach_hang[],2,0)</f>
        <v>CHI NHÁNH HÀ NỘI - CÔNG TY CỔ PHẦN DỊCH VỤ THƯƠNG MẠI TỔNG HỢP WINCOMMERCE</v>
      </c>
      <c r="G1562" s="16" t="str">
        <f>VLOOKUP(Table8[[#This Row],[Mã khách hàng]],code_khach_hang[],3,0)</f>
        <v>Miền Bắc đặc biệt 1</v>
      </c>
      <c r="H1562" t="str">
        <f>VLOOKUP(Table8[[#This Row],[Mã khách hàng]],'Khách hàng'!A:D,4,0)</f>
        <v>Food Đức Việt</v>
      </c>
      <c r="I1562" t="str">
        <f>VLOOKUP(Table8[[#This Row],[Mã khách hàng]],'Khách hàng'!A:E,5,0)</f>
        <v>HN0040</v>
      </c>
    </row>
    <row r="1563" spans="1:9">
      <c r="A1563" s="14" t="s">
        <v>4248</v>
      </c>
      <c r="B1563" s="15" t="s">
        <v>5</v>
      </c>
      <c r="C1563" s="10" t="s">
        <v>4249</v>
      </c>
      <c r="D1563" s="16" t="s">
        <v>5147</v>
      </c>
      <c r="E1563" s="15" t="s">
        <v>11215</v>
      </c>
      <c r="F1563" s="16" t="str">
        <f>VLOOKUP(Table8[[#This Row],[Mã khách hàng]],code_khach_hang[],2,0)</f>
        <v>CHI NHÁNH HÀ NỘI - CÔNG TY CỔ PHẦN DỊCH VỤ THƯƠNG MẠI TỔNG HỢP WINCOMMERCE</v>
      </c>
      <c r="G1563" s="16" t="str">
        <f>VLOOKUP(Table8[[#This Row],[Mã khách hàng]],code_khach_hang[],3,0)</f>
        <v>Miền Bắc đặc biệt 1</v>
      </c>
      <c r="H1563" t="str">
        <f>VLOOKUP(Table8[[#This Row],[Mã khách hàng]],'Khách hàng'!A:D,4,0)</f>
        <v>Food Đức Việt</v>
      </c>
      <c r="I1563" t="str">
        <f>VLOOKUP(Table8[[#This Row],[Mã khách hàng]],'Khách hàng'!A:E,5,0)</f>
        <v>HN0040</v>
      </c>
    </row>
    <row r="1564" spans="1:9">
      <c r="A1564" s="14" t="s">
        <v>4578</v>
      </c>
      <c r="B1564" s="15" t="s">
        <v>5</v>
      </c>
      <c r="C1564" s="10" t="s">
        <v>4579</v>
      </c>
      <c r="D1564" s="16" t="s">
        <v>5150</v>
      </c>
      <c r="E1564" s="15" t="s">
        <v>11215</v>
      </c>
      <c r="F1564" s="16" t="str">
        <f>VLOOKUP(Table8[[#This Row],[Mã khách hàng]],code_khach_hang[],2,0)</f>
        <v>CHI NHÁNH HÀ NỘI - CÔNG TY CỔ PHẦN DỊCH VỤ THƯƠNG MẠI TỔNG HỢP WINCOMMERCE</v>
      </c>
      <c r="G1564" s="16" t="str">
        <f>VLOOKUP(Table8[[#This Row],[Mã khách hàng]],code_khach_hang[],3,0)</f>
        <v>Miền Bắc đặc biệt 1</v>
      </c>
      <c r="H1564" t="str">
        <f>VLOOKUP(Table8[[#This Row],[Mã khách hàng]],'Khách hàng'!A:D,4,0)</f>
        <v>Food Đức Việt</v>
      </c>
      <c r="I1564" t="str">
        <f>VLOOKUP(Table8[[#This Row],[Mã khách hàng]],'Khách hàng'!A:E,5,0)</f>
        <v>HN0040</v>
      </c>
    </row>
    <row r="1565" spans="1:9">
      <c r="A1565" s="14" t="s">
        <v>5193</v>
      </c>
      <c r="B1565" s="15" t="s">
        <v>5</v>
      </c>
      <c r="C1565" s="10" t="s">
        <v>5194</v>
      </c>
      <c r="D1565" s="16" t="s">
        <v>5153</v>
      </c>
      <c r="E1565" s="15" t="s">
        <v>11215</v>
      </c>
      <c r="F1565" s="16" t="str">
        <f>VLOOKUP(Table8[[#This Row],[Mã khách hàng]],code_khach_hang[],2,0)</f>
        <v>CHI NHÁNH HÀ NỘI - CÔNG TY CỔ PHẦN DỊCH VỤ THƯƠNG MẠI TỔNG HỢP WINCOMMERCE</v>
      </c>
      <c r="G1565" s="16" t="str">
        <f>VLOOKUP(Table8[[#This Row],[Mã khách hàng]],code_khach_hang[],3,0)</f>
        <v>Miền Bắc đặc biệt 1</v>
      </c>
      <c r="H1565" t="str">
        <f>VLOOKUP(Table8[[#This Row],[Mã khách hàng]],'Khách hàng'!A:D,4,0)</f>
        <v>Food Đức Việt</v>
      </c>
      <c r="I1565" t="str">
        <f>VLOOKUP(Table8[[#This Row],[Mã khách hàng]],'Khách hàng'!A:E,5,0)</f>
        <v>HN0040</v>
      </c>
    </row>
    <row r="1566" spans="1:9">
      <c r="A1566" s="14" t="s">
        <v>6782</v>
      </c>
      <c r="B1566" s="15" t="s">
        <v>5</v>
      </c>
      <c r="C1566" s="10" t="s">
        <v>6783</v>
      </c>
      <c r="D1566" s="16" t="s">
        <v>5156</v>
      </c>
      <c r="E1566" s="15" t="s">
        <v>11215</v>
      </c>
      <c r="F1566" s="16" t="str">
        <f>VLOOKUP(Table8[[#This Row],[Mã khách hàng]],code_khach_hang[],2,0)</f>
        <v>CHI NHÁNH HÀ NỘI - CÔNG TY CỔ PHẦN DỊCH VỤ THƯƠNG MẠI TỔNG HỢP WINCOMMERCE</v>
      </c>
      <c r="G1566" s="16" t="str">
        <f>VLOOKUP(Table8[[#This Row],[Mã khách hàng]],code_khach_hang[],3,0)</f>
        <v>Miền Bắc đặc biệt 1</v>
      </c>
      <c r="H1566" t="str">
        <f>VLOOKUP(Table8[[#This Row],[Mã khách hàng]],'Khách hàng'!A:D,4,0)</f>
        <v>Food Đức Việt</v>
      </c>
      <c r="I1566" t="str">
        <f>VLOOKUP(Table8[[#This Row],[Mã khách hàng]],'Khách hàng'!A:E,5,0)</f>
        <v>HN0040</v>
      </c>
    </row>
    <row r="1567" spans="1:9">
      <c r="A1567" s="14" t="s">
        <v>798</v>
      </c>
      <c r="B1567" s="15" t="s">
        <v>5</v>
      </c>
      <c r="C1567" s="10" t="s">
        <v>799</v>
      </c>
      <c r="D1567" s="16" t="s">
        <v>5159</v>
      </c>
      <c r="E1567" s="15" t="s">
        <v>11215</v>
      </c>
      <c r="F1567" s="16" t="str">
        <f>VLOOKUP(Table8[[#This Row],[Mã khách hàng]],code_khach_hang[],2,0)</f>
        <v>CHI NHÁNH HÀ NỘI - CÔNG TY CỔ PHẦN DỊCH VỤ THƯƠNG MẠI TỔNG HỢP WINCOMMERCE</v>
      </c>
      <c r="G1567" s="16" t="str">
        <f>VLOOKUP(Table8[[#This Row],[Mã khách hàng]],code_khach_hang[],3,0)</f>
        <v>Miền Bắc đặc biệt 1</v>
      </c>
      <c r="H1567" t="str">
        <f>VLOOKUP(Table8[[#This Row],[Mã khách hàng]],'Khách hàng'!A:D,4,0)</f>
        <v>Food Đức Việt</v>
      </c>
      <c r="I1567" t="str">
        <f>VLOOKUP(Table8[[#This Row],[Mã khách hàng]],'Khách hàng'!A:E,5,0)</f>
        <v>HN0040</v>
      </c>
    </row>
    <row r="1568" spans="1:9">
      <c r="A1568" s="14" t="s">
        <v>825</v>
      </c>
      <c r="B1568" s="15" t="s">
        <v>5</v>
      </c>
      <c r="C1568" s="10" t="s">
        <v>826</v>
      </c>
      <c r="D1568" s="16" t="s">
        <v>5162</v>
      </c>
      <c r="E1568" s="15" t="s">
        <v>11215</v>
      </c>
      <c r="F1568" s="16" t="str">
        <f>VLOOKUP(Table8[[#This Row],[Mã khách hàng]],code_khach_hang[],2,0)</f>
        <v>CHI NHÁNH HÀ NỘI - CÔNG TY CỔ PHẦN DỊCH VỤ THƯƠNG MẠI TỔNG HỢP WINCOMMERCE</v>
      </c>
      <c r="G1568" s="16" t="str">
        <f>VLOOKUP(Table8[[#This Row],[Mã khách hàng]],code_khach_hang[],3,0)</f>
        <v>Miền Bắc đặc biệt 1</v>
      </c>
      <c r="H1568" t="str">
        <f>VLOOKUP(Table8[[#This Row],[Mã khách hàng]],'Khách hàng'!A:D,4,0)</f>
        <v>Food Đức Việt</v>
      </c>
      <c r="I1568" t="str">
        <f>VLOOKUP(Table8[[#This Row],[Mã khách hàng]],'Khách hàng'!A:E,5,0)</f>
        <v>HN0040</v>
      </c>
    </row>
    <row r="1569" spans="1:9">
      <c r="A1569" s="14" t="s">
        <v>11117</v>
      </c>
      <c r="B1569" s="15" t="s">
        <v>5</v>
      </c>
      <c r="C1569" s="10" t="s">
        <v>13162</v>
      </c>
      <c r="D1569" s="16" t="s">
        <v>5165</v>
      </c>
      <c r="E1569" s="15" t="s">
        <v>11215</v>
      </c>
      <c r="F1569" s="16" t="str">
        <f>VLOOKUP(Table8[[#This Row],[Mã khách hàng]],code_khach_hang[],2,0)</f>
        <v>CHI NHÁNH HÀ NỘI - CÔNG TY CỔ PHẦN DỊCH VỤ THƯƠNG MẠI TỔNG HỢP WINCOMMERCE</v>
      </c>
      <c r="G1569" s="16" t="str">
        <f>VLOOKUP(Table8[[#This Row],[Mã khách hàng]],code_khach_hang[],3,0)</f>
        <v>Miền Bắc đặc biệt 1</v>
      </c>
      <c r="H1569" t="str">
        <f>VLOOKUP(Table8[[#This Row],[Mã khách hàng]],'Khách hàng'!A:D,4,0)</f>
        <v>Food Đức Việt</v>
      </c>
      <c r="I1569" t="str">
        <f>VLOOKUP(Table8[[#This Row],[Mã khách hàng]],'Khách hàng'!A:E,5,0)</f>
        <v>HN0040</v>
      </c>
    </row>
    <row r="1570" spans="1:9">
      <c r="A1570" s="14" t="s">
        <v>954</v>
      </c>
      <c r="B1570" s="15" t="s">
        <v>5</v>
      </c>
      <c r="C1570" s="10" t="s">
        <v>955</v>
      </c>
      <c r="D1570" s="16" t="s">
        <v>5168</v>
      </c>
      <c r="E1570" s="15" t="s">
        <v>11215</v>
      </c>
      <c r="F1570" s="16" t="str">
        <f>VLOOKUP(Table8[[#This Row],[Mã khách hàng]],code_khach_hang[],2,0)</f>
        <v>CHI NHÁNH HÀ NỘI - CÔNG TY CỔ PHẦN DỊCH VỤ THƯƠNG MẠI TỔNG HỢP WINCOMMERCE</v>
      </c>
      <c r="G1570" s="16" t="str">
        <f>VLOOKUP(Table8[[#This Row],[Mã khách hàng]],code_khach_hang[],3,0)</f>
        <v>Miền Bắc đặc biệt 1</v>
      </c>
      <c r="H1570" t="str">
        <f>VLOOKUP(Table8[[#This Row],[Mã khách hàng]],'Khách hàng'!A:D,4,0)</f>
        <v>Food Đức Việt</v>
      </c>
      <c r="I1570" t="str">
        <f>VLOOKUP(Table8[[#This Row],[Mã khách hàng]],'Khách hàng'!A:E,5,0)</f>
        <v>HN0040</v>
      </c>
    </row>
    <row r="1571" spans="1:9">
      <c r="A1571" s="14" t="s">
        <v>987</v>
      </c>
      <c r="B1571" s="15" t="s">
        <v>5</v>
      </c>
      <c r="C1571" s="10" t="s">
        <v>988</v>
      </c>
      <c r="D1571" s="16" t="s">
        <v>5171</v>
      </c>
      <c r="E1571" s="15" t="s">
        <v>11215</v>
      </c>
      <c r="F1571" s="16" t="str">
        <f>VLOOKUP(Table8[[#This Row],[Mã khách hàng]],code_khach_hang[],2,0)</f>
        <v>CHI NHÁNH HÀ NỘI - CÔNG TY CỔ PHẦN DỊCH VỤ THƯƠNG MẠI TỔNG HỢP WINCOMMERCE</v>
      </c>
      <c r="G1571" s="16" t="str">
        <f>VLOOKUP(Table8[[#This Row],[Mã khách hàng]],code_khach_hang[],3,0)</f>
        <v>Miền Bắc đặc biệt 1</v>
      </c>
      <c r="H1571" t="str">
        <f>VLOOKUP(Table8[[#This Row],[Mã khách hàng]],'Khách hàng'!A:D,4,0)</f>
        <v>Food Đức Việt</v>
      </c>
      <c r="I1571" t="str">
        <f>VLOOKUP(Table8[[#This Row],[Mã khách hàng]],'Khách hàng'!A:E,5,0)</f>
        <v>HN0040</v>
      </c>
    </row>
    <row r="1572" spans="1:9">
      <c r="A1572" s="14" t="s">
        <v>996</v>
      </c>
      <c r="B1572" s="15" t="s">
        <v>5</v>
      </c>
      <c r="C1572" s="10" t="s">
        <v>997</v>
      </c>
      <c r="D1572" s="16" t="s">
        <v>5174</v>
      </c>
      <c r="E1572" s="15" t="s">
        <v>11215</v>
      </c>
      <c r="F1572" s="16" t="str">
        <f>VLOOKUP(Table8[[#This Row],[Mã khách hàng]],code_khach_hang[],2,0)</f>
        <v>CHI NHÁNH HÀ NỘI - CÔNG TY CỔ PHẦN DỊCH VỤ THƯƠNG MẠI TỔNG HỢP WINCOMMERCE</v>
      </c>
      <c r="G1572" s="16" t="str">
        <f>VLOOKUP(Table8[[#This Row],[Mã khách hàng]],code_khach_hang[],3,0)</f>
        <v>Miền Bắc đặc biệt 1</v>
      </c>
      <c r="H1572" t="str">
        <f>VLOOKUP(Table8[[#This Row],[Mã khách hàng]],'Khách hàng'!A:D,4,0)</f>
        <v>Food Đức Việt</v>
      </c>
      <c r="I1572" t="str">
        <f>VLOOKUP(Table8[[#This Row],[Mã khách hàng]],'Khách hàng'!A:E,5,0)</f>
        <v>HN0040</v>
      </c>
    </row>
    <row r="1573" spans="1:9">
      <c r="A1573" s="14" t="s">
        <v>1068</v>
      </c>
      <c r="B1573" s="15" t="s">
        <v>5</v>
      </c>
      <c r="C1573" s="10" t="s">
        <v>1069</v>
      </c>
      <c r="D1573" s="16" t="s">
        <v>5177</v>
      </c>
      <c r="E1573" s="15" t="s">
        <v>11215</v>
      </c>
      <c r="F1573" s="16" t="str">
        <f>VLOOKUP(Table8[[#This Row],[Mã khách hàng]],code_khach_hang[],2,0)</f>
        <v>CHI NHÁNH HÀ NỘI - CÔNG TY CỔ PHẦN DỊCH VỤ THƯƠNG MẠI TỔNG HỢP WINCOMMERCE</v>
      </c>
      <c r="G1573" s="16" t="str">
        <f>VLOOKUP(Table8[[#This Row],[Mã khách hàng]],code_khach_hang[],3,0)</f>
        <v>Miền Bắc đặc biệt 1</v>
      </c>
      <c r="H1573" t="str">
        <f>VLOOKUP(Table8[[#This Row],[Mã khách hàng]],'Khách hàng'!A:D,4,0)</f>
        <v>Food Đức Việt</v>
      </c>
      <c r="I1573" t="str">
        <f>VLOOKUP(Table8[[#This Row],[Mã khách hàng]],'Khách hàng'!A:E,5,0)</f>
        <v>HN0040</v>
      </c>
    </row>
    <row r="1574" spans="1:9">
      <c r="A1574" s="14" t="s">
        <v>1095</v>
      </c>
      <c r="B1574" s="15" t="s">
        <v>5</v>
      </c>
      <c r="C1574" s="10" t="s">
        <v>1096</v>
      </c>
      <c r="D1574" s="16" t="s">
        <v>5180</v>
      </c>
      <c r="E1574" s="15" t="s">
        <v>11215</v>
      </c>
      <c r="F1574" s="16" t="str">
        <f>VLOOKUP(Table8[[#This Row],[Mã khách hàng]],code_khach_hang[],2,0)</f>
        <v>CHI NHÁNH HÀ NỘI - CÔNG TY CỔ PHẦN DỊCH VỤ THƯƠNG MẠI TỔNG HỢP WINCOMMERCE</v>
      </c>
      <c r="G1574" s="16" t="str">
        <f>VLOOKUP(Table8[[#This Row],[Mã khách hàng]],code_khach_hang[],3,0)</f>
        <v>Miền Bắc đặc biệt 1</v>
      </c>
      <c r="H1574" t="str">
        <f>VLOOKUP(Table8[[#This Row],[Mã khách hàng]],'Khách hàng'!A:D,4,0)</f>
        <v>Food Đức Việt</v>
      </c>
      <c r="I1574" t="str">
        <f>VLOOKUP(Table8[[#This Row],[Mã khách hàng]],'Khách hàng'!A:E,5,0)</f>
        <v>HN0040</v>
      </c>
    </row>
    <row r="1575" spans="1:9">
      <c r="A1575" s="14" t="s">
        <v>1098</v>
      </c>
      <c r="B1575" s="15" t="s">
        <v>5</v>
      </c>
      <c r="C1575" s="10" t="s">
        <v>1099</v>
      </c>
      <c r="D1575" s="16" t="s">
        <v>5183</v>
      </c>
      <c r="E1575" s="15" t="s">
        <v>11215</v>
      </c>
      <c r="F1575" s="16" t="str">
        <f>VLOOKUP(Table8[[#This Row],[Mã khách hàng]],code_khach_hang[],2,0)</f>
        <v>CHI NHÁNH HÀ NỘI - CÔNG TY CỔ PHẦN DỊCH VỤ THƯƠNG MẠI TỔNG HỢP WINCOMMERCE</v>
      </c>
      <c r="G1575" s="16" t="str">
        <f>VLOOKUP(Table8[[#This Row],[Mã khách hàng]],code_khach_hang[],3,0)</f>
        <v>Miền Bắc đặc biệt 1</v>
      </c>
      <c r="H1575" t="str">
        <f>VLOOKUP(Table8[[#This Row],[Mã khách hàng]],'Khách hàng'!A:D,4,0)</f>
        <v>Food Đức Việt</v>
      </c>
      <c r="I1575" t="str">
        <f>VLOOKUP(Table8[[#This Row],[Mã khách hàng]],'Khách hàng'!A:E,5,0)</f>
        <v>HN0040</v>
      </c>
    </row>
    <row r="1576" spans="1:9">
      <c r="A1576" s="14" t="s">
        <v>1104</v>
      </c>
      <c r="B1576" s="15" t="s">
        <v>5</v>
      </c>
      <c r="C1576" s="10" t="s">
        <v>1105</v>
      </c>
      <c r="D1576" s="16" t="s">
        <v>5186</v>
      </c>
      <c r="E1576" s="15" t="s">
        <v>11215</v>
      </c>
      <c r="F1576" s="16" t="str">
        <f>VLOOKUP(Table8[[#This Row],[Mã khách hàng]],code_khach_hang[],2,0)</f>
        <v>CHI NHÁNH HÀ NỘI - CÔNG TY CỔ PHẦN DỊCH VỤ THƯƠNG MẠI TỔNG HỢP WINCOMMERCE</v>
      </c>
      <c r="G1576" s="16" t="str">
        <f>VLOOKUP(Table8[[#This Row],[Mã khách hàng]],code_khach_hang[],3,0)</f>
        <v>Miền Bắc đặc biệt 1</v>
      </c>
      <c r="H1576" t="str">
        <f>VLOOKUP(Table8[[#This Row],[Mã khách hàng]],'Khách hàng'!A:D,4,0)</f>
        <v>Food Đức Việt</v>
      </c>
      <c r="I1576" t="str">
        <f>VLOOKUP(Table8[[#This Row],[Mã khách hàng]],'Khách hàng'!A:E,5,0)</f>
        <v>HN0040</v>
      </c>
    </row>
    <row r="1577" spans="1:9">
      <c r="A1577" s="14" t="s">
        <v>11118</v>
      </c>
      <c r="B1577" s="15" t="s">
        <v>5</v>
      </c>
      <c r="C1577" s="10" t="s">
        <v>13163</v>
      </c>
      <c r="D1577" s="16" t="s">
        <v>5189</v>
      </c>
      <c r="E1577" s="15" t="s">
        <v>11215</v>
      </c>
      <c r="F1577" s="16" t="str">
        <f>VLOOKUP(Table8[[#This Row],[Mã khách hàng]],code_khach_hang[],2,0)</f>
        <v>CHI NHÁNH HÀ NỘI - CÔNG TY CỔ PHẦN DỊCH VỤ THƯƠNG MẠI TỔNG HỢP WINCOMMERCE</v>
      </c>
      <c r="G1577" s="16" t="str">
        <f>VLOOKUP(Table8[[#This Row],[Mã khách hàng]],code_khach_hang[],3,0)</f>
        <v>Miền Bắc đặc biệt 1</v>
      </c>
      <c r="H1577" t="str">
        <f>VLOOKUP(Table8[[#This Row],[Mã khách hàng]],'Khách hàng'!A:D,4,0)</f>
        <v>Food Đức Việt</v>
      </c>
      <c r="I1577" t="str">
        <f>VLOOKUP(Table8[[#This Row],[Mã khách hàng]],'Khách hàng'!A:E,5,0)</f>
        <v>HN0040</v>
      </c>
    </row>
    <row r="1578" spans="1:9">
      <c r="A1578" s="14" t="s">
        <v>1176</v>
      </c>
      <c r="B1578" s="15" t="s">
        <v>5</v>
      </c>
      <c r="C1578" s="10" t="s">
        <v>1177</v>
      </c>
      <c r="D1578" s="16" t="s">
        <v>5192</v>
      </c>
      <c r="E1578" s="15" t="s">
        <v>11215</v>
      </c>
      <c r="F1578" s="16" t="str">
        <f>VLOOKUP(Table8[[#This Row],[Mã khách hàng]],code_khach_hang[],2,0)</f>
        <v>CHI NHÁNH HÀ NỘI - CÔNG TY CỔ PHẦN DỊCH VỤ THƯƠNG MẠI TỔNG HỢP WINCOMMERCE</v>
      </c>
      <c r="G1578" s="16" t="str">
        <f>VLOOKUP(Table8[[#This Row],[Mã khách hàng]],code_khach_hang[],3,0)</f>
        <v>Miền Bắc đặc biệt 1</v>
      </c>
      <c r="H1578" t="str">
        <f>VLOOKUP(Table8[[#This Row],[Mã khách hàng]],'Khách hàng'!A:D,4,0)</f>
        <v>Food Đức Việt</v>
      </c>
      <c r="I1578" t="str">
        <f>VLOOKUP(Table8[[#This Row],[Mã khách hàng]],'Khách hàng'!A:E,5,0)</f>
        <v>HN0040</v>
      </c>
    </row>
    <row r="1579" spans="1:9">
      <c r="A1579" s="14" t="s">
        <v>1206</v>
      </c>
      <c r="B1579" s="15" t="s">
        <v>5</v>
      </c>
      <c r="C1579" s="10" t="s">
        <v>1207</v>
      </c>
      <c r="D1579" s="16" t="s">
        <v>5195</v>
      </c>
      <c r="E1579" s="15" t="s">
        <v>11215</v>
      </c>
      <c r="F1579" s="16" t="str">
        <f>VLOOKUP(Table8[[#This Row],[Mã khách hàng]],code_khach_hang[],2,0)</f>
        <v>CHI NHÁNH HÀ NỘI - CÔNG TY CỔ PHẦN DỊCH VỤ THƯƠNG MẠI TỔNG HỢP WINCOMMERCE</v>
      </c>
      <c r="G1579" s="16" t="str">
        <f>VLOOKUP(Table8[[#This Row],[Mã khách hàng]],code_khach_hang[],3,0)</f>
        <v>Miền Bắc đặc biệt 1</v>
      </c>
      <c r="H1579" t="str">
        <f>VLOOKUP(Table8[[#This Row],[Mã khách hàng]],'Khách hàng'!A:D,4,0)</f>
        <v>Food Đức Việt</v>
      </c>
      <c r="I1579" t="str">
        <f>VLOOKUP(Table8[[#This Row],[Mã khách hàng]],'Khách hàng'!A:E,5,0)</f>
        <v>HN0040</v>
      </c>
    </row>
    <row r="1580" spans="1:9">
      <c r="A1580" s="14" t="s">
        <v>1251</v>
      </c>
      <c r="B1580" s="15" t="s">
        <v>5</v>
      </c>
      <c r="C1580" s="10" t="s">
        <v>1252</v>
      </c>
      <c r="D1580" s="16" t="s">
        <v>5198</v>
      </c>
      <c r="E1580" s="15" t="s">
        <v>11215</v>
      </c>
      <c r="F1580" s="16" t="str">
        <f>VLOOKUP(Table8[[#This Row],[Mã khách hàng]],code_khach_hang[],2,0)</f>
        <v>CHI NHÁNH HÀ NỘI - CÔNG TY CỔ PHẦN DỊCH VỤ THƯƠNG MẠI TỔNG HỢP WINCOMMERCE</v>
      </c>
      <c r="G1580" s="16" t="str">
        <f>VLOOKUP(Table8[[#This Row],[Mã khách hàng]],code_khach_hang[],3,0)</f>
        <v>Miền Bắc đặc biệt 1</v>
      </c>
      <c r="H1580" t="str">
        <f>VLOOKUP(Table8[[#This Row],[Mã khách hàng]],'Khách hàng'!A:D,4,0)</f>
        <v>Food Đức Việt</v>
      </c>
      <c r="I1580" t="str">
        <f>VLOOKUP(Table8[[#This Row],[Mã khách hàng]],'Khách hàng'!A:E,5,0)</f>
        <v>HN0040</v>
      </c>
    </row>
    <row r="1581" spans="1:9">
      <c r="A1581" s="14" t="s">
        <v>1254</v>
      </c>
      <c r="B1581" s="15" t="s">
        <v>5</v>
      </c>
      <c r="C1581" s="10" t="s">
        <v>1255</v>
      </c>
      <c r="D1581" s="16" t="s">
        <v>5201</v>
      </c>
      <c r="E1581" s="15" t="s">
        <v>11215</v>
      </c>
      <c r="F1581" s="16" t="str">
        <f>VLOOKUP(Table8[[#This Row],[Mã khách hàng]],code_khach_hang[],2,0)</f>
        <v>CHI NHÁNH HÀ NỘI - CÔNG TY CỔ PHẦN DỊCH VỤ THƯƠNG MẠI TỔNG HỢP WINCOMMERCE</v>
      </c>
      <c r="G1581" s="16" t="str">
        <f>VLOOKUP(Table8[[#This Row],[Mã khách hàng]],code_khach_hang[],3,0)</f>
        <v>Miền Bắc đặc biệt 1</v>
      </c>
      <c r="H1581" t="str">
        <f>VLOOKUP(Table8[[#This Row],[Mã khách hàng]],'Khách hàng'!A:D,4,0)</f>
        <v>Food Đức Việt</v>
      </c>
      <c r="I1581" t="str">
        <f>VLOOKUP(Table8[[#This Row],[Mã khách hàng]],'Khách hàng'!A:E,5,0)</f>
        <v>HN0040</v>
      </c>
    </row>
    <row r="1582" spans="1:9">
      <c r="A1582" s="14" t="s">
        <v>1284</v>
      </c>
      <c r="B1582" s="15" t="s">
        <v>5</v>
      </c>
      <c r="C1582" s="10" t="s">
        <v>1285</v>
      </c>
      <c r="D1582" s="16" t="s">
        <v>5204</v>
      </c>
      <c r="E1582" s="15" t="s">
        <v>11215</v>
      </c>
      <c r="F1582" s="16" t="str">
        <f>VLOOKUP(Table8[[#This Row],[Mã khách hàng]],code_khach_hang[],2,0)</f>
        <v>CHI NHÁNH HÀ NỘI - CÔNG TY CỔ PHẦN DỊCH VỤ THƯƠNG MẠI TỔNG HỢP WINCOMMERCE</v>
      </c>
      <c r="G1582" s="16" t="str">
        <f>VLOOKUP(Table8[[#This Row],[Mã khách hàng]],code_khach_hang[],3,0)</f>
        <v>Miền Bắc đặc biệt 1</v>
      </c>
      <c r="H1582" t="str">
        <f>VLOOKUP(Table8[[#This Row],[Mã khách hàng]],'Khách hàng'!A:D,4,0)</f>
        <v>Food Đức Việt</v>
      </c>
      <c r="I1582" t="str">
        <f>VLOOKUP(Table8[[#This Row],[Mã khách hàng]],'Khách hàng'!A:E,5,0)</f>
        <v>HN0040</v>
      </c>
    </row>
    <row r="1583" spans="1:9">
      <c r="A1583" s="14" t="s">
        <v>1311</v>
      </c>
      <c r="B1583" s="15" t="s">
        <v>5</v>
      </c>
      <c r="C1583" s="10" t="s">
        <v>1312</v>
      </c>
      <c r="D1583" s="16" t="s">
        <v>5207</v>
      </c>
      <c r="E1583" s="15" t="s">
        <v>11215</v>
      </c>
      <c r="F1583" s="16" t="str">
        <f>VLOOKUP(Table8[[#This Row],[Mã khách hàng]],code_khach_hang[],2,0)</f>
        <v>CHI NHÁNH HÀ NỘI - CÔNG TY CỔ PHẦN DỊCH VỤ THƯƠNG MẠI TỔNG HỢP WINCOMMERCE</v>
      </c>
      <c r="G1583" s="16" t="str">
        <f>VLOOKUP(Table8[[#This Row],[Mã khách hàng]],code_khach_hang[],3,0)</f>
        <v>Miền Bắc đặc biệt 1</v>
      </c>
      <c r="H1583" t="str">
        <f>VLOOKUP(Table8[[#This Row],[Mã khách hàng]],'Khách hàng'!A:D,4,0)</f>
        <v>Food Đức Việt</v>
      </c>
      <c r="I1583" t="str">
        <f>VLOOKUP(Table8[[#This Row],[Mã khách hàng]],'Khách hàng'!A:E,5,0)</f>
        <v>HN0040</v>
      </c>
    </row>
    <row r="1584" spans="1:9">
      <c r="A1584" s="14" t="s">
        <v>1340</v>
      </c>
      <c r="B1584" s="15" t="s">
        <v>5</v>
      </c>
      <c r="C1584" s="10" t="s">
        <v>1341</v>
      </c>
      <c r="D1584" s="16" t="s">
        <v>5210</v>
      </c>
      <c r="E1584" s="15" t="s">
        <v>11215</v>
      </c>
      <c r="F1584" s="16" t="str">
        <f>VLOOKUP(Table8[[#This Row],[Mã khách hàng]],code_khach_hang[],2,0)</f>
        <v>CHI NHÁNH HÀ NỘI - CÔNG TY CỔ PHẦN DỊCH VỤ THƯƠNG MẠI TỔNG HỢP WINCOMMERCE</v>
      </c>
      <c r="G1584" s="16" t="str">
        <f>VLOOKUP(Table8[[#This Row],[Mã khách hàng]],code_khach_hang[],3,0)</f>
        <v>Miền Bắc đặc biệt 1</v>
      </c>
      <c r="H1584" t="str">
        <f>VLOOKUP(Table8[[#This Row],[Mã khách hàng]],'Khách hàng'!A:D,4,0)</f>
        <v>Food Đức Việt</v>
      </c>
      <c r="I1584" t="str">
        <f>VLOOKUP(Table8[[#This Row],[Mã khách hàng]],'Khách hàng'!A:E,5,0)</f>
        <v>HN0040</v>
      </c>
    </row>
    <row r="1585" spans="1:9">
      <c r="A1585" s="14" t="s">
        <v>4104</v>
      </c>
      <c r="B1585" s="15" t="s">
        <v>5</v>
      </c>
      <c r="C1585" s="10" t="s">
        <v>4105</v>
      </c>
      <c r="D1585" s="16" t="s">
        <v>5213</v>
      </c>
      <c r="E1585" s="15" t="s">
        <v>11215</v>
      </c>
      <c r="F1585" s="16" t="str">
        <f>VLOOKUP(Table8[[#This Row],[Mã khách hàng]],code_khach_hang[],2,0)</f>
        <v>CHI NHÁNH HÀ NỘI - CÔNG TY CỔ PHẦN DỊCH VỤ THƯƠNG MẠI TỔNG HỢP WINCOMMERCE</v>
      </c>
      <c r="G1585" s="16" t="str">
        <f>VLOOKUP(Table8[[#This Row],[Mã khách hàng]],code_khach_hang[],3,0)</f>
        <v>Miền Bắc đặc biệt 1</v>
      </c>
      <c r="H1585" t="str">
        <f>VLOOKUP(Table8[[#This Row],[Mã khách hàng]],'Khách hàng'!A:D,4,0)</f>
        <v>Food Đức Việt</v>
      </c>
      <c r="I1585" t="str">
        <f>VLOOKUP(Table8[[#This Row],[Mã khách hàng]],'Khách hàng'!A:E,5,0)</f>
        <v>HN0040</v>
      </c>
    </row>
    <row r="1586" spans="1:9">
      <c r="A1586" s="14" t="s">
        <v>4251</v>
      </c>
      <c r="B1586" s="15" t="s">
        <v>5</v>
      </c>
      <c r="C1586" s="10" t="s">
        <v>4252</v>
      </c>
      <c r="D1586" s="16" t="s">
        <v>5216</v>
      </c>
      <c r="E1586" s="15" t="s">
        <v>11215</v>
      </c>
      <c r="F1586" s="16" t="str">
        <f>VLOOKUP(Table8[[#This Row],[Mã khách hàng]],code_khach_hang[],2,0)</f>
        <v>CHI NHÁNH HÀ NỘI - CÔNG TY CỔ PHẦN DỊCH VỤ THƯƠNG MẠI TỔNG HỢP WINCOMMERCE</v>
      </c>
      <c r="G1586" s="16" t="str">
        <f>VLOOKUP(Table8[[#This Row],[Mã khách hàng]],code_khach_hang[],3,0)</f>
        <v>Miền Bắc đặc biệt 1</v>
      </c>
      <c r="H1586" t="str">
        <f>VLOOKUP(Table8[[#This Row],[Mã khách hàng]],'Khách hàng'!A:D,4,0)</f>
        <v>Food Đức Việt</v>
      </c>
      <c r="I1586" t="str">
        <f>VLOOKUP(Table8[[#This Row],[Mã khách hàng]],'Khách hàng'!A:E,5,0)</f>
        <v>HN0040</v>
      </c>
    </row>
    <row r="1587" spans="1:9">
      <c r="A1587" s="14" t="s">
        <v>4743</v>
      </c>
      <c r="B1587" s="15" t="s">
        <v>5</v>
      </c>
      <c r="C1587" s="10" t="s">
        <v>4744</v>
      </c>
      <c r="D1587" s="16" t="s">
        <v>5219</v>
      </c>
      <c r="E1587" s="15" t="s">
        <v>11215</v>
      </c>
      <c r="F1587" s="16" t="str">
        <f>VLOOKUP(Table8[[#This Row],[Mã khách hàng]],code_khach_hang[],2,0)</f>
        <v>CHI NHÁNH HÀ NỘI - CÔNG TY CỔ PHẦN DỊCH VỤ THƯƠNG MẠI TỔNG HỢP WINCOMMERCE</v>
      </c>
      <c r="G1587" s="16" t="str">
        <f>VLOOKUP(Table8[[#This Row],[Mã khách hàng]],code_khach_hang[],3,0)</f>
        <v>Miền Bắc đặc biệt 1</v>
      </c>
      <c r="H1587" t="str">
        <f>VLOOKUP(Table8[[#This Row],[Mã khách hàng]],'Khách hàng'!A:D,4,0)</f>
        <v>Food Đức Việt</v>
      </c>
      <c r="I1587" t="str">
        <f>VLOOKUP(Table8[[#This Row],[Mã khách hàng]],'Khách hàng'!A:E,5,0)</f>
        <v>HN0040</v>
      </c>
    </row>
    <row r="1588" spans="1:9">
      <c r="A1588" s="14" t="s">
        <v>5037</v>
      </c>
      <c r="B1588" s="15" t="s">
        <v>5</v>
      </c>
      <c r="C1588" s="10" t="s">
        <v>5038</v>
      </c>
      <c r="D1588" s="16" t="s">
        <v>5222</v>
      </c>
      <c r="E1588" s="15" t="s">
        <v>11215</v>
      </c>
      <c r="F1588" s="16" t="str">
        <f>VLOOKUP(Table8[[#This Row],[Mã khách hàng]],code_khach_hang[],2,0)</f>
        <v>CHI NHÁNH HÀ NỘI - CÔNG TY CỔ PHẦN DỊCH VỤ THƯƠNG MẠI TỔNG HỢP WINCOMMERCE</v>
      </c>
      <c r="G1588" s="16" t="str">
        <f>VLOOKUP(Table8[[#This Row],[Mã khách hàng]],code_khach_hang[],3,0)</f>
        <v>Miền Bắc đặc biệt 1</v>
      </c>
      <c r="H1588" t="str">
        <f>VLOOKUP(Table8[[#This Row],[Mã khách hàng]],'Khách hàng'!A:D,4,0)</f>
        <v>Food Đức Việt</v>
      </c>
      <c r="I1588" t="str">
        <f>VLOOKUP(Table8[[#This Row],[Mã khách hàng]],'Khách hàng'!A:E,5,0)</f>
        <v>HN0040</v>
      </c>
    </row>
    <row r="1589" spans="1:9">
      <c r="A1589" s="14" t="s">
        <v>11119</v>
      </c>
      <c r="B1589" s="15" t="s">
        <v>5</v>
      </c>
      <c r="C1589" s="10" t="e">
        <v>#N/A</v>
      </c>
      <c r="D1589" s="16" t="s">
        <v>5225</v>
      </c>
      <c r="E1589" s="15" t="s">
        <v>11215</v>
      </c>
      <c r="F1589" s="16" t="str">
        <f>VLOOKUP(Table8[[#This Row],[Mã khách hàng]],code_khach_hang[],2,0)</f>
        <v>CHI NHÁNH HÀ NỘI - CÔNG TY CỔ PHẦN DỊCH VỤ THƯƠNG MẠI TỔNG HỢP WINCOMMERCE</v>
      </c>
      <c r="G1589" s="16" t="str">
        <f>VLOOKUP(Table8[[#This Row],[Mã khách hàng]],code_khach_hang[],3,0)</f>
        <v>Miền Bắc đặc biệt 1</v>
      </c>
      <c r="H1589" t="str">
        <f>VLOOKUP(Table8[[#This Row],[Mã khách hàng]],'Khách hàng'!A:D,4,0)</f>
        <v>Food Đức Việt</v>
      </c>
      <c r="I1589" t="str">
        <f>VLOOKUP(Table8[[#This Row],[Mã khách hàng]],'Khách hàng'!A:E,5,0)</f>
        <v>HN0040</v>
      </c>
    </row>
    <row r="1590" spans="1:9">
      <c r="A1590" s="14" t="s">
        <v>5376</v>
      </c>
      <c r="B1590" s="15" t="s">
        <v>5</v>
      </c>
      <c r="C1590" s="10" t="s">
        <v>5377</v>
      </c>
      <c r="D1590" s="16" t="s">
        <v>5228</v>
      </c>
      <c r="E1590" s="15" t="s">
        <v>11215</v>
      </c>
      <c r="F1590" s="16" t="str">
        <f>VLOOKUP(Table8[[#This Row],[Mã khách hàng]],code_khach_hang[],2,0)</f>
        <v>CHI NHÁNH HÀ NỘI - CÔNG TY CỔ PHẦN DỊCH VỤ THƯƠNG MẠI TỔNG HỢP WINCOMMERCE</v>
      </c>
      <c r="G1590" s="16" t="str">
        <f>VLOOKUP(Table8[[#This Row],[Mã khách hàng]],code_khach_hang[],3,0)</f>
        <v>Miền Bắc đặc biệt 1</v>
      </c>
      <c r="H1590" t="str">
        <f>VLOOKUP(Table8[[#This Row],[Mã khách hàng]],'Khách hàng'!A:D,4,0)</f>
        <v>Food Đức Việt</v>
      </c>
      <c r="I1590" t="str">
        <f>VLOOKUP(Table8[[#This Row],[Mã khách hàng]],'Khách hàng'!A:E,5,0)</f>
        <v>HN0040</v>
      </c>
    </row>
    <row r="1591" spans="1:9">
      <c r="A1591" s="14" t="s">
        <v>11120</v>
      </c>
      <c r="B1591" s="15" t="s">
        <v>5</v>
      </c>
      <c r="C1591" s="10" t="s">
        <v>13164</v>
      </c>
      <c r="D1591" s="16" t="s">
        <v>5231</v>
      </c>
      <c r="E1591" s="15" t="s">
        <v>11215</v>
      </c>
      <c r="F1591" s="16" t="str">
        <f>VLOOKUP(Table8[[#This Row],[Mã khách hàng]],code_khach_hang[],2,0)</f>
        <v>CHI NHÁNH HÀ NỘI - CÔNG TY CỔ PHẦN DỊCH VỤ THƯƠNG MẠI TỔNG HỢP WINCOMMERCE</v>
      </c>
      <c r="G1591" s="16" t="str">
        <f>VLOOKUP(Table8[[#This Row],[Mã khách hàng]],code_khach_hang[],3,0)</f>
        <v>Miền Bắc đặc biệt 1</v>
      </c>
      <c r="H1591" t="str">
        <f>VLOOKUP(Table8[[#This Row],[Mã khách hàng]],'Khách hàng'!A:D,4,0)</f>
        <v>Food Đức Việt</v>
      </c>
      <c r="I1591" t="str">
        <f>VLOOKUP(Table8[[#This Row],[Mã khách hàng]],'Khách hàng'!A:E,5,0)</f>
        <v>HN0040</v>
      </c>
    </row>
    <row r="1592" spans="1:9">
      <c r="A1592" s="14" t="s">
        <v>5514</v>
      </c>
      <c r="B1592" s="15" t="s">
        <v>5</v>
      </c>
      <c r="C1592" s="10" t="s">
        <v>5515</v>
      </c>
      <c r="D1592" s="16" t="s">
        <v>5234</v>
      </c>
      <c r="E1592" s="15" t="s">
        <v>11215</v>
      </c>
      <c r="F1592" s="16" t="str">
        <f>VLOOKUP(Table8[[#This Row],[Mã khách hàng]],code_khach_hang[],2,0)</f>
        <v>CHI NHÁNH HÀ NỘI - CÔNG TY CỔ PHẦN DỊCH VỤ THƯƠNG MẠI TỔNG HỢP WINCOMMERCE</v>
      </c>
      <c r="G1592" s="16" t="str">
        <f>VLOOKUP(Table8[[#This Row],[Mã khách hàng]],code_khach_hang[],3,0)</f>
        <v>Miền Bắc đặc biệt 1</v>
      </c>
      <c r="H1592" t="str">
        <f>VLOOKUP(Table8[[#This Row],[Mã khách hàng]],'Khách hàng'!A:D,4,0)</f>
        <v>Food Đức Việt</v>
      </c>
      <c r="I1592" t="str">
        <f>VLOOKUP(Table8[[#This Row],[Mã khách hàng]],'Khách hàng'!A:E,5,0)</f>
        <v>HN0040</v>
      </c>
    </row>
    <row r="1593" spans="1:9">
      <c r="A1593" s="14" t="s">
        <v>5962</v>
      </c>
      <c r="B1593" s="15" t="s">
        <v>5</v>
      </c>
      <c r="C1593" s="10" t="s">
        <v>5963</v>
      </c>
      <c r="D1593" s="16" t="s">
        <v>5237</v>
      </c>
      <c r="E1593" s="15" t="s">
        <v>11215</v>
      </c>
      <c r="F1593" s="16" t="str">
        <f>VLOOKUP(Table8[[#This Row],[Mã khách hàng]],code_khach_hang[],2,0)</f>
        <v>CHI NHÁNH HÀ NỘI - CÔNG TY CỔ PHẦN DỊCH VỤ THƯƠNG MẠI TỔNG HỢP WINCOMMERCE</v>
      </c>
      <c r="G1593" s="16" t="str">
        <f>VLOOKUP(Table8[[#This Row],[Mã khách hàng]],code_khach_hang[],3,0)</f>
        <v>Miền Bắc đặc biệt 1</v>
      </c>
      <c r="H1593" t="str">
        <f>VLOOKUP(Table8[[#This Row],[Mã khách hàng]],'Khách hàng'!A:D,4,0)</f>
        <v>Food Đức Việt</v>
      </c>
      <c r="I1593" t="str">
        <f>VLOOKUP(Table8[[#This Row],[Mã khách hàng]],'Khách hàng'!A:E,5,0)</f>
        <v>HN0040</v>
      </c>
    </row>
    <row r="1594" spans="1:9">
      <c r="A1594" s="14" t="s">
        <v>6309</v>
      </c>
      <c r="B1594" s="15" t="s">
        <v>5</v>
      </c>
      <c r="C1594" s="10" t="s">
        <v>6310</v>
      </c>
      <c r="D1594" s="16" t="s">
        <v>5240</v>
      </c>
      <c r="E1594" s="15" t="s">
        <v>11215</v>
      </c>
      <c r="F1594" s="16" t="str">
        <f>VLOOKUP(Table8[[#This Row],[Mã khách hàng]],code_khach_hang[],2,0)</f>
        <v>CHI NHÁNH HÀ NỘI - CÔNG TY CỔ PHẦN DỊCH VỤ THƯƠNG MẠI TỔNG HỢP WINCOMMERCE</v>
      </c>
      <c r="G1594" s="16" t="str">
        <f>VLOOKUP(Table8[[#This Row],[Mã khách hàng]],code_khach_hang[],3,0)</f>
        <v>Miền Bắc đặc biệt 1</v>
      </c>
      <c r="H1594" t="str">
        <f>VLOOKUP(Table8[[#This Row],[Mã khách hàng]],'Khách hàng'!A:D,4,0)</f>
        <v>Food Đức Việt</v>
      </c>
      <c r="I1594" t="str">
        <f>VLOOKUP(Table8[[#This Row],[Mã khách hàng]],'Khách hàng'!A:E,5,0)</f>
        <v>HN0040</v>
      </c>
    </row>
    <row r="1595" spans="1:9">
      <c r="A1595" s="14" t="s">
        <v>6378</v>
      </c>
      <c r="B1595" s="15" t="s">
        <v>5</v>
      </c>
      <c r="C1595" s="10" t="s">
        <v>6379</v>
      </c>
      <c r="D1595" s="16" t="s">
        <v>5243</v>
      </c>
      <c r="E1595" s="15" t="s">
        <v>11215</v>
      </c>
      <c r="F1595" s="16" t="str">
        <f>VLOOKUP(Table8[[#This Row],[Mã khách hàng]],code_khach_hang[],2,0)</f>
        <v>CHI NHÁNH HÀ NỘI - CÔNG TY CỔ PHẦN DỊCH VỤ THƯƠNG MẠI TỔNG HỢP WINCOMMERCE</v>
      </c>
      <c r="G1595" s="16" t="str">
        <f>VLOOKUP(Table8[[#This Row],[Mã khách hàng]],code_khach_hang[],3,0)</f>
        <v>Miền Bắc đặc biệt 1</v>
      </c>
      <c r="H1595" t="str">
        <f>VLOOKUP(Table8[[#This Row],[Mã khách hàng]],'Khách hàng'!A:D,4,0)</f>
        <v>Food Đức Việt</v>
      </c>
      <c r="I1595" t="str">
        <f>VLOOKUP(Table8[[#This Row],[Mã khách hàng]],'Khách hàng'!A:E,5,0)</f>
        <v>HN0040</v>
      </c>
    </row>
    <row r="1596" spans="1:9">
      <c r="A1596" s="14" t="s">
        <v>7921</v>
      </c>
      <c r="B1596" s="15" t="s">
        <v>5</v>
      </c>
      <c r="C1596" s="10" t="s">
        <v>7922</v>
      </c>
      <c r="D1596" s="16" t="s">
        <v>5246</v>
      </c>
      <c r="E1596" s="15" t="s">
        <v>11215</v>
      </c>
      <c r="F1596" s="16" t="str">
        <f>VLOOKUP(Table8[[#This Row],[Mã khách hàng]],code_khach_hang[],2,0)</f>
        <v>CHI NHÁNH HÀ NỘI - CÔNG TY CỔ PHẦN DỊCH VỤ THƯƠNG MẠI TỔNG HỢP WINCOMMERCE</v>
      </c>
      <c r="G1596" s="16" t="str">
        <f>VLOOKUP(Table8[[#This Row],[Mã khách hàng]],code_khach_hang[],3,0)</f>
        <v>Miền Bắc đặc biệt 1</v>
      </c>
      <c r="H1596" t="str">
        <f>VLOOKUP(Table8[[#This Row],[Mã khách hàng]],'Khách hàng'!A:D,4,0)</f>
        <v>Food Đức Việt</v>
      </c>
      <c r="I1596" t="str">
        <f>VLOOKUP(Table8[[#This Row],[Mã khách hàng]],'Khách hàng'!A:E,5,0)</f>
        <v>HN0040</v>
      </c>
    </row>
    <row r="1597" spans="1:9">
      <c r="A1597" s="14" t="s">
        <v>1128</v>
      </c>
      <c r="B1597" s="15" t="s">
        <v>5</v>
      </c>
      <c r="C1597" s="10" t="s">
        <v>1129</v>
      </c>
      <c r="D1597" s="16" t="s">
        <v>5249</v>
      </c>
      <c r="E1597" s="15" t="s">
        <v>11215</v>
      </c>
      <c r="F1597" s="16" t="str">
        <f>VLOOKUP(Table8[[#This Row],[Mã khách hàng]],code_khach_hang[],2,0)</f>
        <v>CHI NHÁNH HÀ NỘI - CÔNG TY CỔ PHẦN DỊCH VỤ THƯƠNG MẠI TỔNG HỢP WINCOMMERCE</v>
      </c>
      <c r="G1597" s="16" t="str">
        <f>VLOOKUP(Table8[[#This Row],[Mã khách hàng]],code_khach_hang[],3,0)</f>
        <v>Miền Bắc đặc biệt 1</v>
      </c>
      <c r="H1597" t="str">
        <f>VLOOKUP(Table8[[#This Row],[Mã khách hàng]],'Khách hàng'!A:D,4,0)</f>
        <v>Food Đức Việt</v>
      </c>
      <c r="I1597" t="str">
        <f>VLOOKUP(Table8[[#This Row],[Mã khách hàng]],'Khách hàng'!A:E,5,0)</f>
        <v>HN0040</v>
      </c>
    </row>
    <row r="1598" spans="1:9">
      <c r="A1598" s="14" t="s">
        <v>4359</v>
      </c>
      <c r="B1598" s="15" t="s">
        <v>5</v>
      </c>
      <c r="C1598" s="10" t="s">
        <v>4360</v>
      </c>
      <c r="D1598" s="16" t="s">
        <v>5252</v>
      </c>
      <c r="E1598" s="15" t="s">
        <v>11215</v>
      </c>
      <c r="F1598" s="16" t="str">
        <f>VLOOKUP(Table8[[#This Row],[Mã khách hàng]],code_khach_hang[],2,0)</f>
        <v>CHI NHÁNH HÀ NỘI - CÔNG TY CỔ PHẦN DỊCH VỤ THƯƠNG MẠI TỔNG HỢP WINCOMMERCE</v>
      </c>
      <c r="G1598" s="16" t="str">
        <f>VLOOKUP(Table8[[#This Row],[Mã khách hàng]],code_khach_hang[],3,0)</f>
        <v>Miền Bắc đặc biệt 1</v>
      </c>
      <c r="H1598" t="str">
        <f>VLOOKUP(Table8[[#This Row],[Mã khách hàng]],'Khách hàng'!A:D,4,0)</f>
        <v>Food Đức Việt</v>
      </c>
      <c r="I1598" t="str">
        <f>VLOOKUP(Table8[[#This Row],[Mã khách hàng]],'Khách hàng'!A:E,5,0)</f>
        <v>HN0040</v>
      </c>
    </row>
    <row r="1599" spans="1:9">
      <c r="A1599" s="14" t="s">
        <v>4812</v>
      </c>
      <c r="B1599" s="15" t="s">
        <v>5</v>
      </c>
      <c r="C1599" s="10" t="s">
        <v>4813</v>
      </c>
      <c r="D1599" s="16" t="s">
        <v>5255</v>
      </c>
      <c r="E1599" s="14" t="s">
        <v>11215</v>
      </c>
      <c r="F1599" s="16" t="str">
        <f>VLOOKUP(Table8[[#This Row],[Mã khách hàng]],code_khach_hang[],2,0)</f>
        <v>CHI NHÁNH HÀ NỘI - CÔNG TY CỔ PHẦN DỊCH VỤ THƯƠNG MẠI TỔNG HỢP WINCOMMERCE</v>
      </c>
      <c r="G1599" s="16" t="str">
        <f>VLOOKUP(Table8[[#This Row],[Mã khách hàng]],code_khach_hang[],3,0)</f>
        <v>Miền Bắc đặc biệt 1</v>
      </c>
      <c r="H1599" t="str">
        <f>VLOOKUP(Table8[[#This Row],[Mã khách hàng]],'Khách hàng'!A:D,4,0)</f>
        <v>Food Đức Việt</v>
      </c>
      <c r="I1599" t="str">
        <f>VLOOKUP(Table8[[#This Row],[Mã khách hàng]],'Khách hàng'!A:E,5,0)</f>
        <v>HN0040</v>
      </c>
    </row>
    <row r="1600" spans="1:9">
      <c r="A1600" s="14" t="s">
        <v>1287</v>
      </c>
      <c r="B1600" s="15" t="s">
        <v>5</v>
      </c>
      <c r="C1600" s="10" t="s">
        <v>1288</v>
      </c>
      <c r="D1600" s="16" t="s">
        <v>5258</v>
      </c>
      <c r="E1600" s="15" t="s">
        <v>11215</v>
      </c>
      <c r="F1600" s="16" t="str">
        <f>VLOOKUP(Table8[[#This Row],[Mã khách hàng]],code_khach_hang[],2,0)</f>
        <v>CHI NHÁNH HÀ NỘI - CÔNG TY CỔ PHẦN DỊCH VỤ THƯƠNG MẠI TỔNG HỢP WINCOMMERCE</v>
      </c>
      <c r="G1600" s="16" t="str">
        <f>VLOOKUP(Table8[[#This Row],[Mã khách hàng]],code_khach_hang[],3,0)</f>
        <v>Miền Bắc đặc biệt 1</v>
      </c>
      <c r="H1600" t="str">
        <f>VLOOKUP(Table8[[#This Row],[Mã khách hàng]],'Khách hàng'!A:D,4,0)</f>
        <v>Food Đức Việt</v>
      </c>
      <c r="I1600" t="str">
        <f>VLOOKUP(Table8[[#This Row],[Mã khách hàng]],'Khách hàng'!A:E,5,0)</f>
        <v>HN0040</v>
      </c>
    </row>
    <row r="1601" spans="1:9">
      <c r="A1601" s="14" t="s">
        <v>8800</v>
      </c>
      <c r="B1601" s="15" t="s">
        <v>5</v>
      </c>
      <c r="C1601" s="10" t="s">
        <v>8801</v>
      </c>
      <c r="D1601" s="16" t="s">
        <v>5261</v>
      </c>
      <c r="E1601" s="15" t="s">
        <v>11215</v>
      </c>
      <c r="F1601" s="16" t="str">
        <f>VLOOKUP(Table8[[#This Row],[Mã khách hàng]],code_khach_hang[],2,0)</f>
        <v>CHI NHÁNH HÀ NỘI - CÔNG TY CỔ PHẦN DỊCH VỤ THƯƠNG MẠI TỔNG HỢP WINCOMMERCE</v>
      </c>
      <c r="G1601" s="16" t="str">
        <f>VLOOKUP(Table8[[#This Row],[Mã khách hàng]],code_khach_hang[],3,0)</f>
        <v>Miền Bắc đặc biệt 1</v>
      </c>
      <c r="H1601" t="str">
        <f>VLOOKUP(Table8[[#This Row],[Mã khách hàng]],'Khách hàng'!A:D,4,0)</f>
        <v>Food Đức Việt</v>
      </c>
      <c r="I1601" t="str">
        <f>VLOOKUP(Table8[[#This Row],[Mã khách hàng]],'Khách hàng'!A:E,5,0)</f>
        <v>HN0040</v>
      </c>
    </row>
    <row r="1602" spans="1:9">
      <c r="A1602" s="14" t="s">
        <v>8977</v>
      </c>
      <c r="B1602" s="15" t="s">
        <v>5</v>
      </c>
      <c r="C1602" s="10" t="s">
        <v>8978</v>
      </c>
      <c r="D1602" s="16" t="s">
        <v>5264</v>
      </c>
      <c r="E1602" s="15" t="s">
        <v>11215</v>
      </c>
      <c r="F1602" s="16" t="str">
        <f>VLOOKUP(Table8[[#This Row],[Mã khách hàng]],code_khach_hang[],2,0)</f>
        <v>CHI NHÁNH HÀ NỘI - CÔNG TY CỔ PHẦN DỊCH VỤ THƯƠNG MẠI TỔNG HỢP WINCOMMERCE</v>
      </c>
      <c r="G1602" s="16" t="str">
        <f>VLOOKUP(Table8[[#This Row],[Mã khách hàng]],code_khach_hang[],3,0)</f>
        <v>Miền Bắc đặc biệt 1</v>
      </c>
      <c r="H1602" t="str">
        <f>VLOOKUP(Table8[[#This Row],[Mã khách hàng]],'Khách hàng'!A:D,4,0)</f>
        <v>Food Đức Việt</v>
      </c>
      <c r="I1602" t="str">
        <f>VLOOKUP(Table8[[#This Row],[Mã khách hàng]],'Khách hàng'!A:E,5,0)</f>
        <v>HN0040</v>
      </c>
    </row>
    <row r="1603" spans="1:9">
      <c r="A1603" s="14" t="s">
        <v>1704</v>
      </c>
      <c r="B1603" s="15" t="s">
        <v>5</v>
      </c>
      <c r="C1603" s="10" t="s">
        <v>1705</v>
      </c>
      <c r="D1603" s="16" t="s">
        <v>5267</v>
      </c>
      <c r="E1603" s="15" t="s">
        <v>11215</v>
      </c>
      <c r="F1603" s="16" t="str">
        <f>VLOOKUP(Table8[[#This Row],[Mã khách hàng]],code_khach_hang[],2,0)</f>
        <v>CHI NHÁNH HÀ NỘI - CÔNG TY CỔ PHẦN DỊCH VỤ THƯƠNG MẠI TỔNG HỢP WINCOMMERCE</v>
      </c>
      <c r="G1603" s="16" t="str">
        <f>VLOOKUP(Table8[[#This Row],[Mã khách hàng]],code_khach_hang[],3,0)</f>
        <v>Miền Bắc đặc biệt 1</v>
      </c>
      <c r="H1603" t="str">
        <f>VLOOKUP(Table8[[#This Row],[Mã khách hàng]],'Khách hàng'!A:D,4,0)</f>
        <v>Food Đức Việt</v>
      </c>
      <c r="I1603" t="str">
        <f>VLOOKUP(Table8[[#This Row],[Mã khách hàng]],'Khách hàng'!A:E,5,0)</f>
        <v>HN0040</v>
      </c>
    </row>
    <row r="1604" spans="1:9">
      <c r="A1604" s="14" t="s">
        <v>1811</v>
      </c>
      <c r="B1604" s="15" t="s">
        <v>5</v>
      </c>
      <c r="C1604" s="10" t="s">
        <v>1812</v>
      </c>
      <c r="D1604" s="16" t="s">
        <v>5270</v>
      </c>
      <c r="E1604" s="15" t="s">
        <v>11215</v>
      </c>
      <c r="F1604" s="16" t="str">
        <f>VLOOKUP(Table8[[#This Row],[Mã khách hàng]],code_khach_hang[],2,0)</f>
        <v>CHI NHÁNH HÀ NỘI - CÔNG TY CỔ PHẦN DỊCH VỤ THƯƠNG MẠI TỔNG HỢP WINCOMMERCE</v>
      </c>
      <c r="G1604" s="16" t="str">
        <f>VLOOKUP(Table8[[#This Row],[Mã khách hàng]],code_khach_hang[],3,0)</f>
        <v>Miền Bắc đặc biệt 1</v>
      </c>
      <c r="H1604" t="str">
        <f>VLOOKUP(Table8[[#This Row],[Mã khách hàng]],'Khách hàng'!A:D,4,0)</f>
        <v>Food Đức Việt</v>
      </c>
      <c r="I1604" t="str">
        <f>VLOOKUP(Table8[[#This Row],[Mã khách hàng]],'Khách hàng'!A:E,5,0)</f>
        <v>HN0040</v>
      </c>
    </row>
    <row r="1605" spans="1:9">
      <c r="A1605" s="14" t="s">
        <v>2105</v>
      </c>
      <c r="B1605" s="15" t="s">
        <v>5</v>
      </c>
      <c r="C1605" s="10" t="s">
        <v>2106</v>
      </c>
      <c r="D1605" s="16" t="s">
        <v>5273</v>
      </c>
      <c r="E1605" s="15" t="s">
        <v>11215</v>
      </c>
      <c r="F1605" s="16" t="str">
        <f>VLOOKUP(Table8[[#This Row],[Mã khách hàng]],code_khach_hang[],2,0)</f>
        <v>CHI NHÁNH HÀ NỘI - CÔNG TY CỔ PHẦN DỊCH VỤ THƯƠNG MẠI TỔNG HỢP WINCOMMERCE</v>
      </c>
      <c r="G1605" s="16" t="str">
        <f>VLOOKUP(Table8[[#This Row],[Mã khách hàng]],code_khach_hang[],3,0)</f>
        <v>Miền Bắc đặc biệt 1</v>
      </c>
      <c r="H1605" t="str">
        <f>VLOOKUP(Table8[[#This Row],[Mã khách hàng]],'Khách hàng'!A:D,4,0)</f>
        <v>Food Đức Việt</v>
      </c>
      <c r="I1605" t="str">
        <f>VLOOKUP(Table8[[#This Row],[Mã khách hàng]],'Khách hàng'!A:E,5,0)</f>
        <v>HN0040</v>
      </c>
    </row>
    <row r="1606" spans="1:9">
      <c r="A1606" s="14" t="s">
        <v>2145</v>
      </c>
      <c r="B1606" s="15" t="s">
        <v>5</v>
      </c>
      <c r="C1606" s="10" t="s">
        <v>2146</v>
      </c>
      <c r="D1606" s="16" t="s">
        <v>5276</v>
      </c>
      <c r="E1606" s="15" t="s">
        <v>11215</v>
      </c>
      <c r="F1606" s="16" t="str">
        <f>VLOOKUP(Table8[[#This Row],[Mã khách hàng]],code_khach_hang[],2,0)</f>
        <v>CHI NHÁNH HÀ NỘI - CÔNG TY CỔ PHẦN DỊCH VỤ THƯƠNG MẠI TỔNG HỢP WINCOMMERCE</v>
      </c>
      <c r="G1606" s="16" t="str">
        <f>VLOOKUP(Table8[[#This Row],[Mã khách hàng]],code_khach_hang[],3,0)</f>
        <v>Miền Bắc đặc biệt 1</v>
      </c>
      <c r="H1606" t="str">
        <f>VLOOKUP(Table8[[#This Row],[Mã khách hàng]],'Khách hàng'!A:D,4,0)</f>
        <v>Food Đức Việt</v>
      </c>
      <c r="I1606" t="str">
        <f>VLOOKUP(Table8[[#This Row],[Mã khách hàng]],'Khách hàng'!A:E,5,0)</f>
        <v>HN0040</v>
      </c>
    </row>
    <row r="1607" spans="1:9">
      <c r="A1607" s="14" t="s">
        <v>2272</v>
      </c>
      <c r="B1607" s="15" t="s">
        <v>5</v>
      </c>
      <c r="C1607" s="10" t="s">
        <v>2273</v>
      </c>
      <c r="D1607" s="16" t="s">
        <v>5279</v>
      </c>
      <c r="E1607" s="15" t="s">
        <v>11215</v>
      </c>
      <c r="F1607" s="16" t="str">
        <f>VLOOKUP(Table8[[#This Row],[Mã khách hàng]],code_khach_hang[],2,0)</f>
        <v>CHI NHÁNH HÀ NỘI - CÔNG TY CỔ PHẦN DỊCH VỤ THƯƠNG MẠI TỔNG HỢP WINCOMMERCE</v>
      </c>
      <c r="G1607" s="16" t="str">
        <f>VLOOKUP(Table8[[#This Row],[Mã khách hàng]],code_khach_hang[],3,0)</f>
        <v>Miền Bắc đặc biệt 1</v>
      </c>
      <c r="H1607" t="str">
        <f>VLOOKUP(Table8[[#This Row],[Mã khách hàng]],'Khách hàng'!A:D,4,0)</f>
        <v>Food Đức Việt</v>
      </c>
      <c r="I1607" t="str">
        <f>VLOOKUP(Table8[[#This Row],[Mã khách hàng]],'Khách hàng'!A:E,5,0)</f>
        <v>HN0040</v>
      </c>
    </row>
    <row r="1608" spans="1:9">
      <c r="A1608" s="14" t="s">
        <v>2275</v>
      </c>
      <c r="B1608" s="15" t="s">
        <v>5</v>
      </c>
      <c r="C1608" s="10" t="s">
        <v>2276</v>
      </c>
      <c r="D1608" s="16" t="s">
        <v>5282</v>
      </c>
      <c r="E1608" s="15" t="s">
        <v>11215</v>
      </c>
      <c r="F1608" s="16" t="str">
        <f>VLOOKUP(Table8[[#This Row],[Mã khách hàng]],code_khach_hang[],2,0)</f>
        <v>CHI NHÁNH HÀ NỘI - CÔNG TY CỔ PHẦN DỊCH VỤ THƯƠNG MẠI TỔNG HỢP WINCOMMERCE</v>
      </c>
      <c r="G1608" s="16" t="str">
        <f>VLOOKUP(Table8[[#This Row],[Mã khách hàng]],code_khach_hang[],3,0)</f>
        <v>Miền Bắc đặc biệt 1</v>
      </c>
      <c r="H1608" t="str">
        <f>VLOOKUP(Table8[[#This Row],[Mã khách hàng]],'Khách hàng'!A:D,4,0)</f>
        <v>Food Đức Việt</v>
      </c>
      <c r="I1608" t="str">
        <f>VLOOKUP(Table8[[#This Row],[Mã khách hàng]],'Khách hàng'!A:E,5,0)</f>
        <v>HN0040</v>
      </c>
    </row>
    <row r="1609" spans="1:9">
      <c r="A1609" s="14" t="s">
        <v>595</v>
      </c>
      <c r="B1609" s="15" t="s">
        <v>183</v>
      </c>
      <c r="C1609" s="10" t="s">
        <v>596</v>
      </c>
      <c r="D1609" s="16" t="s">
        <v>5285</v>
      </c>
      <c r="E1609" s="15" t="s">
        <v>11195</v>
      </c>
      <c r="F1609" s="16" t="str">
        <f>VLOOKUP(Table8[[#This Row],[Mã khách hàng]],code_khach_hang[],2,0)</f>
        <v>CHI NHÁNH HÀ NỘI - CÔNG TY CỔ PHẦN DỊCH VỤ THƯƠNG MẠI TỔNG HỢP WINCOMMERCE</v>
      </c>
      <c r="G1609" s="16" t="str">
        <f>VLOOKUP(Table8[[#This Row],[Mã khách hàng]],code_khach_hang[],3,0)</f>
        <v>Miền Bắc đặc biệt 2</v>
      </c>
      <c r="H1609" t="str">
        <f>VLOOKUP(Table8[[#This Row],[Mã khách hàng]],'Khách hàng'!A:D,4,0)</f>
        <v>Food Đức Việt</v>
      </c>
      <c r="I1609" t="str">
        <f>VLOOKUP(Table8[[#This Row],[Mã khách hàng]],'Khách hàng'!A:E,5,0)</f>
        <v>HN0040</v>
      </c>
    </row>
    <row r="1610" spans="1:9">
      <c r="A1610" s="14" t="s">
        <v>622</v>
      </c>
      <c r="B1610" s="15" t="s">
        <v>183</v>
      </c>
      <c r="C1610" s="10" t="s">
        <v>623</v>
      </c>
      <c r="D1610" s="16" t="s">
        <v>5288</v>
      </c>
      <c r="E1610" s="15" t="s">
        <v>11195</v>
      </c>
      <c r="F1610" s="16" t="str">
        <f>VLOOKUP(Table8[[#This Row],[Mã khách hàng]],code_khach_hang[],2,0)</f>
        <v>CHI NHÁNH HÀ NỘI - CÔNG TY CỔ PHẦN DỊCH VỤ THƯƠNG MẠI TỔNG HỢP WINCOMMERCE</v>
      </c>
      <c r="G1610" s="16" t="str">
        <f>VLOOKUP(Table8[[#This Row],[Mã khách hàng]],code_khach_hang[],3,0)</f>
        <v>Miền Bắc đặc biệt 2</v>
      </c>
      <c r="H1610" t="str">
        <f>VLOOKUP(Table8[[#This Row],[Mã khách hàng]],'Khách hàng'!A:D,4,0)</f>
        <v>Food Đức Việt</v>
      </c>
      <c r="I1610" t="str">
        <f>VLOOKUP(Table8[[#This Row],[Mã khách hàng]],'Khách hàng'!A:E,5,0)</f>
        <v>HN0040</v>
      </c>
    </row>
    <row r="1611" spans="1:9">
      <c r="A1611" s="14" t="s">
        <v>528</v>
      </c>
      <c r="B1611" s="15" t="s">
        <v>183</v>
      </c>
      <c r="C1611" s="10" t="s">
        <v>529</v>
      </c>
      <c r="D1611" s="16" t="s">
        <v>5291</v>
      </c>
      <c r="E1611" s="15" t="s">
        <v>11195</v>
      </c>
      <c r="F1611" s="16" t="str">
        <f>VLOOKUP(Table8[[#This Row],[Mã khách hàng]],code_khach_hang[],2,0)</f>
        <v>CHI NHÁNH HÀ NỘI - CÔNG TY CỔ PHẦN DỊCH VỤ THƯƠNG MẠI TỔNG HỢP WINCOMMERCE</v>
      </c>
      <c r="G1611" s="16" t="str">
        <f>VLOOKUP(Table8[[#This Row],[Mã khách hàng]],code_khach_hang[],3,0)</f>
        <v>Miền Bắc đặc biệt 2</v>
      </c>
      <c r="H1611" t="str">
        <f>VLOOKUP(Table8[[#This Row],[Mã khách hàng]],'Khách hàng'!A:D,4,0)</f>
        <v>Food Đức Việt</v>
      </c>
      <c r="I1611" t="str">
        <f>VLOOKUP(Table8[[#This Row],[Mã khách hàng]],'Khách hàng'!A:E,5,0)</f>
        <v>HN0040</v>
      </c>
    </row>
    <row r="1612" spans="1:9">
      <c r="A1612" s="14" t="s">
        <v>550</v>
      </c>
      <c r="B1612" s="15" t="s">
        <v>183</v>
      </c>
      <c r="C1612" s="10" t="s">
        <v>551</v>
      </c>
      <c r="D1612" s="16" t="s">
        <v>5294</v>
      </c>
      <c r="E1612" s="15" t="s">
        <v>11195</v>
      </c>
      <c r="F1612" s="16" t="str">
        <f>VLOOKUP(Table8[[#This Row],[Mã khách hàng]],code_khach_hang[],2,0)</f>
        <v>CHI NHÁNH HÀ NỘI - CÔNG TY CỔ PHẦN DỊCH VỤ THƯƠNG MẠI TỔNG HỢP WINCOMMERCE</v>
      </c>
      <c r="G1612" s="16" t="str">
        <f>VLOOKUP(Table8[[#This Row],[Mã khách hàng]],code_khach_hang[],3,0)</f>
        <v>Miền Bắc đặc biệt 2</v>
      </c>
      <c r="H1612" t="str">
        <f>VLOOKUP(Table8[[#This Row],[Mã khách hàng]],'Khách hàng'!A:D,4,0)</f>
        <v>Food Đức Việt</v>
      </c>
      <c r="I1612" t="str">
        <f>VLOOKUP(Table8[[#This Row],[Mã khách hàng]],'Khách hàng'!A:E,5,0)</f>
        <v>HN0040</v>
      </c>
    </row>
    <row r="1613" spans="1:9">
      <c r="A1613" s="14" t="s">
        <v>601</v>
      </c>
      <c r="B1613" s="15" t="s">
        <v>183</v>
      </c>
      <c r="C1613" s="10" t="s">
        <v>602</v>
      </c>
      <c r="D1613" s="16" t="s">
        <v>5297</v>
      </c>
      <c r="E1613" s="15" t="s">
        <v>11195</v>
      </c>
      <c r="F1613" s="16" t="str">
        <f>VLOOKUP(Table8[[#This Row],[Mã khách hàng]],code_khach_hang[],2,0)</f>
        <v>CHI NHÁNH HÀ NỘI - CÔNG TY CỔ PHẦN DỊCH VỤ THƯƠNG MẠI TỔNG HỢP WINCOMMERCE</v>
      </c>
      <c r="G1613" s="16" t="str">
        <f>VLOOKUP(Table8[[#This Row],[Mã khách hàng]],code_khach_hang[],3,0)</f>
        <v>Miền Bắc đặc biệt 2</v>
      </c>
      <c r="H1613" t="str">
        <f>VLOOKUP(Table8[[#This Row],[Mã khách hàng]],'Khách hàng'!A:D,4,0)</f>
        <v>Food Đức Việt</v>
      </c>
      <c r="I1613" t="str">
        <f>VLOOKUP(Table8[[#This Row],[Mã khách hàng]],'Khách hàng'!A:E,5,0)</f>
        <v>HN0040</v>
      </c>
    </row>
    <row r="1614" spans="1:9">
      <c r="A1614" s="14" t="s">
        <v>960</v>
      </c>
      <c r="B1614" s="15" t="s">
        <v>5</v>
      </c>
      <c r="C1614" s="10" t="s">
        <v>961</v>
      </c>
      <c r="D1614" s="16" t="s">
        <v>5300</v>
      </c>
      <c r="E1614" s="15" t="s">
        <v>11215</v>
      </c>
      <c r="F1614" s="16" t="str">
        <f>VLOOKUP(Table8[[#This Row],[Mã khách hàng]],code_khach_hang[],2,0)</f>
        <v>CHI NHÁNH HÀ NỘI - CÔNG TY CỔ PHẦN DỊCH VỤ THƯƠNG MẠI TỔNG HỢP WINCOMMERCE</v>
      </c>
      <c r="G1614" s="16" t="str">
        <f>VLOOKUP(Table8[[#This Row],[Mã khách hàng]],code_khach_hang[],3,0)</f>
        <v>Miền Bắc đặc biệt 1</v>
      </c>
      <c r="H1614" t="str">
        <f>VLOOKUP(Table8[[#This Row],[Mã khách hàng]],'Khách hàng'!A:D,4,0)</f>
        <v>Food Đức Việt</v>
      </c>
      <c r="I1614" t="str">
        <f>VLOOKUP(Table8[[#This Row],[Mã khách hàng]],'Khách hàng'!A:E,5,0)</f>
        <v>HN0040</v>
      </c>
    </row>
    <row r="1615" spans="1:9">
      <c r="A1615" s="14" t="s">
        <v>1149</v>
      </c>
      <c r="B1615" s="15" t="s">
        <v>5</v>
      </c>
      <c r="C1615" s="10" t="s">
        <v>1150</v>
      </c>
      <c r="D1615" s="16" t="s">
        <v>5303</v>
      </c>
      <c r="E1615" s="15" t="s">
        <v>11215</v>
      </c>
      <c r="F1615" s="16" t="str">
        <f>VLOOKUP(Table8[[#This Row],[Mã khách hàng]],code_khach_hang[],2,0)</f>
        <v>CHI NHÁNH HÀ NỘI - CÔNG TY CỔ PHẦN DỊCH VỤ THƯƠNG MẠI TỔNG HỢP WINCOMMERCE</v>
      </c>
      <c r="G1615" s="16" t="str">
        <f>VLOOKUP(Table8[[#This Row],[Mã khách hàng]],code_khach_hang[],3,0)</f>
        <v>Miền Bắc đặc biệt 1</v>
      </c>
      <c r="H1615" t="str">
        <f>VLOOKUP(Table8[[#This Row],[Mã khách hàng]],'Khách hàng'!A:D,4,0)</f>
        <v>Food Đức Việt</v>
      </c>
      <c r="I1615" t="str">
        <f>VLOOKUP(Table8[[#This Row],[Mã khách hàng]],'Khách hàng'!A:E,5,0)</f>
        <v>HN0040</v>
      </c>
    </row>
    <row r="1616" spans="1:9">
      <c r="A1616" s="14" t="s">
        <v>1170</v>
      </c>
      <c r="B1616" s="15" t="s">
        <v>5</v>
      </c>
      <c r="C1616" s="10" t="s">
        <v>1171</v>
      </c>
      <c r="D1616" s="16" t="s">
        <v>5306</v>
      </c>
      <c r="E1616" s="15" t="s">
        <v>11215</v>
      </c>
      <c r="F1616" s="16" t="str">
        <f>VLOOKUP(Table8[[#This Row],[Mã khách hàng]],code_khach_hang[],2,0)</f>
        <v>CHI NHÁNH HÀ NỘI - CÔNG TY CỔ PHẦN DỊCH VỤ THƯƠNG MẠI TỔNG HỢP WINCOMMERCE</v>
      </c>
      <c r="G1616" s="16" t="str">
        <f>VLOOKUP(Table8[[#This Row],[Mã khách hàng]],code_khach_hang[],3,0)</f>
        <v>Miền Bắc đặc biệt 1</v>
      </c>
      <c r="H1616" t="str">
        <f>VLOOKUP(Table8[[#This Row],[Mã khách hàng]],'Khách hàng'!A:D,4,0)</f>
        <v>Food Đức Việt</v>
      </c>
      <c r="I1616" t="str">
        <f>VLOOKUP(Table8[[#This Row],[Mã khách hàng]],'Khách hàng'!A:E,5,0)</f>
        <v>HN0040</v>
      </c>
    </row>
    <row r="1617" spans="1:9">
      <c r="A1617" s="14" t="s">
        <v>1302</v>
      </c>
      <c r="B1617" s="15" t="s">
        <v>5</v>
      </c>
      <c r="C1617" s="10" t="s">
        <v>1303</v>
      </c>
      <c r="D1617" s="16" t="s">
        <v>5309</v>
      </c>
      <c r="E1617" s="15" t="s">
        <v>11215</v>
      </c>
      <c r="F1617" s="16" t="str">
        <f>VLOOKUP(Table8[[#This Row],[Mã khách hàng]],code_khach_hang[],2,0)</f>
        <v>CHI NHÁNH HÀ NỘI - CÔNG TY CỔ PHẦN DỊCH VỤ THƯƠNG MẠI TỔNG HỢP WINCOMMERCE</v>
      </c>
      <c r="G1617" s="16" t="str">
        <f>VLOOKUP(Table8[[#This Row],[Mã khách hàng]],code_khach_hang[],3,0)</f>
        <v>Miền Bắc đặc biệt 1</v>
      </c>
      <c r="H1617" t="str">
        <f>VLOOKUP(Table8[[#This Row],[Mã khách hàng]],'Khách hàng'!A:D,4,0)</f>
        <v>Food Đức Việt</v>
      </c>
      <c r="I1617" t="str">
        <f>VLOOKUP(Table8[[#This Row],[Mã khách hàng]],'Khách hàng'!A:E,5,0)</f>
        <v>HN0040</v>
      </c>
    </row>
    <row r="1618" spans="1:9">
      <c r="A1618" s="14" t="s">
        <v>4566</v>
      </c>
      <c r="B1618" s="15" t="s">
        <v>5</v>
      </c>
      <c r="C1618" s="10" t="s">
        <v>4567</v>
      </c>
      <c r="D1618" s="16" t="s">
        <v>5312</v>
      </c>
      <c r="E1618" s="15" t="s">
        <v>11215</v>
      </c>
      <c r="F1618" s="16" t="str">
        <f>VLOOKUP(Table8[[#This Row],[Mã khách hàng]],code_khach_hang[],2,0)</f>
        <v>CHI NHÁNH HÀ NỘI - CÔNG TY CỔ PHẦN DỊCH VỤ THƯƠNG MẠI TỔNG HỢP WINCOMMERCE</v>
      </c>
      <c r="G1618" s="16" t="str">
        <f>VLOOKUP(Table8[[#This Row],[Mã khách hàng]],code_khach_hang[],3,0)</f>
        <v>Miền Bắc đặc biệt 1</v>
      </c>
      <c r="H1618" t="str">
        <f>VLOOKUP(Table8[[#This Row],[Mã khách hàng]],'Khách hàng'!A:D,4,0)</f>
        <v>Food Đức Việt</v>
      </c>
      <c r="I1618" t="str">
        <f>VLOOKUP(Table8[[#This Row],[Mã khách hàng]],'Khách hàng'!A:E,5,0)</f>
        <v>HN0040</v>
      </c>
    </row>
    <row r="1619" spans="1:9">
      <c r="A1619" s="14" t="s">
        <v>4866</v>
      </c>
      <c r="B1619" s="15" t="s">
        <v>5</v>
      </c>
      <c r="C1619" s="10" t="s">
        <v>4867</v>
      </c>
      <c r="D1619" s="16" t="s">
        <v>5315</v>
      </c>
      <c r="E1619" s="15" t="s">
        <v>11215</v>
      </c>
      <c r="F1619" s="16" t="str">
        <f>VLOOKUP(Table8[[#This Row],[Mã khách hàng]],code_khach_hang[],2,0)</f>
        <v>CHI NHÁNH HÀ NỘI - CÔNG TY CỔ PHẦN DỊCH VỤ THƯƠNG MẠI TỔNG HỢP WINCOMMERCE</v>
      </c>
      <c r="G1619" s="16" t="str">
        <f>VLOOKUP(Table8[[#This Row],[Mã khách hàng]],code_khach_hang[],3,0)</f>
        <v>Miền Bắc đặc biệt 1</v>
      </c>
      <c r="H1619" t="str">
        <f>VLOOKUP(Table8[[#This Row],[Mã khách hàng]],'Khách hàng'!A:D,4,0)</f>
        <v>Food Đức Việt</v>
      </c>
      <c r="I1619" t="str">
        <f>VLOOKUP(Table8[[#This Row],[Mã khách hàng]],'Khách hàng'!A:E,5,0)</f>
        <v>HN0040</v>
      </c>
    </row>
    <row r="1620" spans="1:9">
      <c r="A1620" s="14" t="s">
        <v>4917</v>
      </c>
      <c r="B1620" s="15" t="s">
        <v>5</v>
      </c>
      <c r="C1620" s="10" t="s">
        <v>4918</v>
      </c>
      <c r="D1620" s="16" t="s">
        <v>5318</v>
      </c>
      <c r="E1620" s="15" t="s">
        <v>11215</v>
      </c>
      <c r="F1620" s="16" t="str">
        <f>VLOOKUP(Table8[[#This Row],[Mã khách hàng]],code_khach_hang[],2,0)</f>
        <v>CHI NHÁNH HÀ NỘI - CÔNG TY CỔ PHẦN DỊCH VỤ THƯƠNG MẠI TỔNG HỢP WINCOMMERCE</v>
      </c>
      <c r="G1620" s="16" t="str">
        <f>VLOOKUP(Table8[[#This Row],[Mã khách hàng]],code_khach_hang[],3,0)</f>
        <v>Miền Bắc đặc biệt 1</v>
      </c>
      <c r="H1620" t="str">
        <f>VLOOKUP(Table8[[#This Row],[Mã khách hàng]],'Khách hàng'!A:D,4,0)</f>
        <v>Food Đức Việt</v>
      </c>
      <c r="I1620" t="str">
        <f>VLOOKUP(Table8[[#This Row],[Mã khách hàng]],'Khách hàng'!A:E,5,0)</f>
        <v>HN0040</v>
      </c>
    </row>
    <row r="1621" spans="1:9">
      <c r="A1621" s="14" t="s">
        <v>5034</v>
      </c>
      <c r="B1621" s="15" t="s">
        <v>5</v>
      </c>
      <c r="C1621" s="10" t="s">
        <v>5035</v>
      </c>
      <c r="D1621" s="16" t="s">
        <v>5321</v>
      </c>
      <c r="E1621" s="15" t="s">
        <v>11215</v>
      </c>
      <c r="F1621" s="16" t="str">
        <f>VLOOKUP(Table8[[#This Row],[Mã khách hàng]],code_khach_hang[],2,0)</f>
        <v>CHI NHÁNH HÀ NỘI - CÔNG TY CỔ PHẦN DỊCH VỤ THƯƠNG MẠI TỔNG HỢP WINCOMMERCE</v>
      </c>
      <c r="G1621" s="16" t="str">
        <f>VLOOKUP(Table8[[#This Row],[Mã khách hàng]],code_khach_hang[],3,0)</f>
        <v>Miền Bắc đặc biệt 1</v>
      </c>
      <c r="H1621" t="str">
        <f>VLOOKUP(Table8[[#This Row],[Mã khách hàng]],'Khách hàng'!A:D,4,0)</f>
        <v>Food Đức Việt</v>
      </c>
      <c r="I1621" t="str">
        <f>VLOOKUP(Table8[[#This Row],[Mã khách hàng]],'Khách hàng'!A:E,5,0)</f>
        <v>HN0040</v>
      </c>
    </row>
    <row r="1622" spans="1:9">
      <c r="A1622" s="14" t="s">
        <v>5196</v>
      </c>
      <c r="B1622" s="15" t="s">
        <v>5</v>
      </c>
      <c r="C1622" s="10" t="s">
        <v>5197</v>
      </c>
      <c r="D1622" s="16" t="s">
        <v>5324</v>
      </c>
      <c r="E1622" s="14" t="s">
        <v>11215</v>
      </c>
      <c r="F1622" s="16" t="str">
        <f>VLOOKUP(Table8[[#This Row],[Mã khách hàng]],code_khach_hang[],2,0)</f>
        <v>CHI NHÁNH HÀ NỘI - CÔNG TY CỔ PHẦN DỊCH VỤ THƯƠNG MẠI TỔNG HỢP WINCOMMERCE</v>
      </c>
      <c r="G1622" s="16" t="str">
        <f>VLOOKUP(Table8[[#This Row],[Mã khách hàng]],code_khach_hang[],3,0)</f>
        <v>Miền Bắc đặc biệt 1</v>
      </c>
      <c r="H1622" t="str">
        <f>VLOOKUP(Table8[[#This Row],[Mã khách hàng]],'Khách hàng'!A:D,4,0)</f>
        <v>Food Đức Việt</v>
      </c>
      <c r="I1622" t="str">
        <f>VLOOKUP(Table8[[#This Row],[Mã khách hàng]],'Khách hàng'!A:E,5,0)</f>
        <v>HN0040</v>
      </c>
    </row>
    <row r="1623" spans="1:9">
      <c r="A1623" s="14" t="s">
        <v>5579</v>
      </c>
      <c r="B1623" s="15" t="s">
        <v>5</v>
      </c>
      <c r="C1623" s="10" t="s">
        <v>5580</v>
      </c>
      <c r="D1623" s="16" t="s">
        <v>5327</v>
      </c>
      <c r="E1623" s="15" t="s">
        <v>11215</v>
      </c>
      <c r="F1623" s="16" t="str">
        <f>VLOOKUP(Table8[[#This Row],[Mã khách hàng]],code_khach_hang[],2,0)</f>
        <v>CHI NHÁNH HÀ NỘI - CÔNG TY CỔ PHẦN DỊCH VỤ THƯƠNG MẠI TỔNG HỢP WINCOMMERCE</v>
      </c>
      <c r="G1623" s="16" t="str">
        <f>VLOOKUP(Table8[[#This Row],[Mã khách hàng]],code_khach_hang[],3,0)</f>
        <v>Miền Bắc đặc biệt 1</v>
      </c>
      <c r="H1623" t="str">
        <f>VLOOKUP(Table8[[#This Row],[Mã khách hàng]],'Khách hàng'!A:D,4,0)</f>
        <v>Food Đức Việt</v>
      </c>
      <c r="I1623" t="str">
        <f>VLOOKUP(Table8[[#This Row],[Mã khách hàng]],'Khách hàng'!A:E,5,0)</f>
        <v>HN0040</v>
      </c>
    </row>
    <row r="1624" spans="1:9">
      <c r="A1624" s="14" t="s">
        <v>6016</v>
      </c>
      <c r="B1624" s="15" t="s">
        <v>5</v>
      </c>
      <c r="C1624" s="10" t="s">
        <v>6017</v>
      </c>
      <c r="D1624" s="16" t="s">
        <v>5330</v>
      </c>
      <c r="E1624" s="15" t="s">
        <v>11215</v>
      </c>
      <c r="F1624" s="16" t="str">
        <f>VLOOKUP(Table8[[#This Row],[Mã khách hàng]],code_khach_hang[],2,0)</f>
        <v>CHI NHÁNH HÀ NỘI - CÔNG TY CỔ PHẦN DỊCH VỤ THƯƠNG MẠI TỔNG HỢP WINCOMMERCE</v>
      </c>
      <c r="G1624" s="16" t="str">
        <f>VLOOKUP(Table8[[#This Row],[Mã khách hàng]],code_khach_hang[],3,0)</f>
        <v>Miền Bắc đặc biệt 1</v>
      </c>
      <c r="H1624" t="str">
        <f>VLOOKUP(Table8[[#This Row],[Mã khách hàng]],'Khách hàng'!A:D,4,0)</f>
        <v>Food Đức Việt</v>
      </c>
      <c r="I1624" t="str">
        <f>VLOOKUP(Table8[[#This Row],[Mã khách hàng]],'Khách hàng'!A:E,5,0)</f>
        <v>HN0040</v>
      </c>
    </row>
    <row r="1625" spans="1:9">
      <c r="A1625" s="14" t="s">
        <v>6566</v>
      </c>
      <c r="B1625" s="15" t="s">
        <v>5</v>
      </c>
      <c r="C1625" s="10" t="s">
        <v>6567</v>
      </c>
      <c r="D1625" s="16" t="s">
        <v>5333</v>
      </c>
      <c r="E1625" s="15" t="s">
        <v>11215</v>
      </c>
      <c r="F1625" s="16" t="str">
        <f>VLOOKUP(Table8[[#This Row],[Mã khách hàng]],code_khach_hang[],2,0)</f>
        <v>CHI NHÁNH HÀ NỘI - CÔNG TY CỔ PHẦN DỊCH VỤ THƯƠNG MẠI TỔNG HỢP WINCOMMERCE</v>
      </c>
      <c r="G1625" s="16" t="str">
        <f>VLOOKUP(Table8[[#This Row],[Mã khách hàng]],code_khach_hang[],3,0)</f>
        <v>Miền Bắc đặc biệt 1</v>
      </c>
      <c r="H1625" t="str">
        <f>VLOOKUP(Table8[[#This Row],[Mã khách hàng]],'Khách hàng'!A:D,4,0)</f>
        <v>Food Đức Việt</v>
      </c>
      <c r="I1625" t="str">
        <f>VLOOKUP(Table8[[#This Row],[Mã khách hàng]],'Khách hàng'!A:E,5,0)</f>
        <v>HN0040</v>
      </c>
    </row>
    <row r="1626" spans="1:9">
      <c r="A1626" s="14" t="s">
        <v>6680</v>
      </c>
      <c r="B1626" s="15" t="s">
        <v>5</v>
      </c>
      <c r="C1626" s="10" t="s">
        <v>6681</v>
      </c>
      <c r="D1626" s="16" t="s">
        <v>5336</v>
      </c>
      <c r="E1626" s="15" t="s">
        <v>11215</v>
      </c>
      <c r="F1626" s="16" t="str">
        <f>VLOOKUP(Table8[[#This Row],[Mã khách hàng]],code_khach_hang[],2,0)</f>
        <v>CHI NHÁNH HÀ NỘI - CÔNG TY CỔ PHẦN DỊCH VỤ THƯƠNG MẠI TỔNG HỢP WINCOMMERCE</v>
      </c>
      <c r="G1626" s="16" t="str">
        <f>VLOOKUP(Table8[[#This Row],[Mã khách hàng]],code_khach_hang[],3,0)</f>
        <v>Miền Bắc đặc biệt 1</v>
      </c>
      <c r="H1626" t="str">
        <f>VLOOKUP(Table8[[#This Row],[Mã khách hàng]],'Khách hàng'!A:D,4,0)</f>
        <v>Food Đức Việt</v>
      </c>
      <c r="I1626" t="str">
        <f>VLOOKUP(Table8[[#This Row],[Mã khách hàng]],'Khách hàng'!A:E,5,0)</f>
        <v>HN0040</v>
      </c>
    </row>
    <row r="1627" spans="1:9">
      <c r="A1627" s="14" t="s">
        <v>6743</v>
      </c>
      <c r="B1627" s="15" t="s">
        <v>5</v>
      </c>
      <c r="C1627" s="10" t="s">
        <v>6744</v>
      </c>
      <c r="D1627" s="16" t="s">
        <v>5339</v>
      </c>
      <c r="E1627" s="15" t="s">
        <v>11215</v>
      </c>
      <c r="F1627" s="16" t="str">
        <f>VLOOKUP(Table8[[#This Row],[Mã khách hàng]],code_khach_hang[],2,0)</f>
        <v>CHI NHÁNH HÀ NỘI - CÔNG TY CỔ PHẦN DỊCH VỤ THƯƠNG MẠI TỔNG HỢP WINCOMMERCE</v>
      </c>
      <c r="G1627" s="16" t="str">
        <f>VLOOKUP(Table8[[#This Row],[Mã khách hàng]],code_khach_hang[],3,0)</f>
        <v>Miền Bắc đặc biệt 1</v>
      </c>
      <c r="H1627" t="str">
        <f>VLOOKUP(Table8[[#This Row],[Mã khách hàng]],'Khách hàng'!A:D,4,0)</f>
        <v>Food Đức Việt</v>
      </c>
      <c r="I1627" t="str">
        <f>VLOOKUP(Table8[[#This Row],[Mã khách hàng]],'Khách hàng'!A:E,5,0)</f>
        <v>HN0040</v>
      </c>
    </row>
    <row r="1628" spans="1:9">
      <c r="A1628" s="14" t="s">
        <v>7074</v>
      </c>
      <c r="B1628" s="15" t="s">
        <v>5</v>
      </c>
      <c r="C1628" s="10" t="s">
        <v>7075</v>
      </c>
      <c r="D1628" s="16" t="s">
        <v>5342</v>
      </c>
      <c r="E1628" s="15" t="s">
        <v>11215</v>
      </c>
      <c r="F1628" s="16" t="str">
        <f>VLOOKUP(Table8[[#This Row],[Mã khách hàng]],code_khach_hang[],2,0)</f>
        <v>CHI NHÁNH HÀ NỘI - CÔNG TY CỔ PHẦN DỊCH VỤ THƯƠNG MẠI TỔNG HỢP WINCOMMERCE</v>
      </c>
      <c r="G1628" s="16" t="str">
        <f>VLOOKUP(Table8[[#This Row],[Mã khách hàng]],code_khach_hang[],3,0)</f>
        <v>Miền Bắc đặc biệt 1</v>
      </c>
      <c r="H1628" t="str">
        <f>VLOOKUP(Table8[[#This Row],[Mã khách hàng]],'Khách hàng'!A:D,4,0)</f>
        <v>Food Đức Việt</v>
      </c>
      <c r="I1628" t="str">
        <f>VLOOKUP(Table8[[#This Row],[Mã khách hàng]],'Khách hàng'!A:E,5,0)</f>
        <v>HN0040</v>
      </c>
    </row>
    <row r="1629" spans="1:9">
      <c r="A1629" s="14" t="s">
        <v>6803</v>
      </c>
      <c r="B1629" s="15" t="s">
        <v>5</v>
      </c>
      <c r="C1629" s="10" t="s">
        <v>6804</v>
      </c>
      <c r="D1629" s="16" t="s">
        <v>5345</v>
      </c>
      <c r="E1629" s="15" t="s">
        <v>11215</v>
      </c>
      <c r="F1629" s="16" t="str">
        <f>VLOOKUP(Table8[[#This Row],[Mã khách hàng]],code_khach_hang[],2,0)</f>
        <v>CHI NHÁNH HÀ NỘI - CÔNG TY CỔ PHẦN DỊCH VỤ THƯƠNG MẠI TỔNG HỢP WINCOMMERCE</v>
      </c>
      <c r="G1629" s="16" t="str">
        <f>VLOOKUP(Table8[[#This Row],[Mã khách hàng]],code_khach_hang[],3,0)</f>
        <v>Miền Bắc đặc biệt 1</v>
      </c>
      <c r="H1629" t="str">
        <f>VLOOKUP(Table8[[#This Row],[Mã khách hàng]],'Khách hàng'!A:D,4,0)</f>
        <v>Food Đức Việt</v>
      </c>
      <c r="I1629" t="str">
        <f>VLOOKUP(Table8[[#This Row],[Mã khách hàng]],'Khách hàng'!A:E,5,0)</f>
        <v>HN0040</v>
      </c>
    </row>
    <row r="1630" spans="1:9">
      <c r="A1630" s="14" t="s">
        <v>5151</v>
      </c>
      <c r="B1630" s="15" t="s">
        <v>5</v>
      </c>
      <c r="C1630" s="10" t="s">
        <v>5152</v>
      </c>
      <c r="D1630" s="16" t="s">
        <v>5348</v>
      </c>
      <c r="E1630" s="15" t="s">
        <v>11215</v>
      </c>
      <c r="F1630" s="16" t="str">
        <f>VLOOKUP(Table8[[#This Row],[Mã khách hàng]],code_khach_hang[],2,0)</f>
        <v>CHI NHÁNH HÀ NỘI - CÔNG TY CỔ PHẦN DỊCH VỤ THƯƠNG MẠI TỔNG HỢP WINCOMMERCE</v>
      </c>
      <c r="G1630" s="16" t="str">
        <f>VLOOKUP(Table8[[#This Row],[Mã khách hàng]],code_khach_hang[],3,0)</f>
        <v>Miền Bắc đặc biệt 1</v>
      </c>
      <c r="H1630" t="str">
        <f>VLOOKUP(Table8[[#This Row],[Mã khách hàng]],'Khách hàng'!A:D,4,0)</f>
        <v>Food Đức Việt</v>
      </c>
      <c r="I1630" t="str">
        <f>VLOOKUP(Table8[[#This Row],[Mã khách hàng]],'Khách hàng'!A:E,5,0)</f>
        <v>HN0040</v>
      </c>
    </row>
    <row r="1631" spans="1:9">
      <c r="A1631" s="14" t="s">
        <v>4410</v>
      </c>
      <c r="B1631" s="15" t="s">
        <v>5</v>
      </c>
      <c r="C1631" s="10" t="s">
        <v>4411</v>
      </c>
      <c r="D1631" s="16" t="s">
        <v>5351</v>
      </c>
      <c r="E1631" s="15" t="s">
        <v>11215</v>
      </c>
      <c r="F1631" s="16" t="str">
        <f>VLOOKUP(Table8[[#This Row],[Mã khách hàng]],code_khach_hang[],2,0)</f>
        <v>CHI NHÁNH HÀ NỘI - CÔNG TY CỔ PHẦN DỊCH VỤ THƯƠNG MẠI TỔNG HỢP WINCOMMERCE</v>
      </c>
      <c r="G1631" s="16" t="str">
        <f>VLOOKUP(Table8[[#This Row],[Mã khách hàng]],code_khach_hang[],3,0)</f>
        <v>Miền Bắc đặc biệt 1</v>
      </c>
      <c r="H1631" t="str">
        <f>VLOOKUP(Table8[[#This Row],[Mã khách hàng]],'Khách hàng'!A:D,4,0)</f>
        <v>Food Đức Việt</v>
      </c>
      <c r="I1631" t="str">
        <f>VLOOKUP(Table8[[#This Row],[Mã khách hàng]],'Khách hàng'!A:E,5,0)</f>
        <v>HN0040</v>
      </c>
    </row>
    <row r="1632" spans="1:9">
      <c r="A1632" s="14" t="s">
        <v>6587</v>
      </c>
      <c r="B1632" s="15" t="s">
        <v>5</v>
      </c>
      <c r="C1632" s="10" t="s">
        <v>6588</v>
      </c>
      <c r="D1632" s="16" t="s">
        <v>5354</v>
      </c>
      <c r="E1632" s="15" t="s">
        <v>11215</v>
      </c>
      <c r="F1632" s="16" t="str">
        <f>VLOOKUP(Table8[[#This Row],[Mã khách hàng]],code_khach_hang[],2,0)</f>
        <v>CHI NHÁNH HÀ NỘI - CÔNG TY CỔ PHẦN DỊCH VỤ THƯƠNG MẠI TỔNG HỢP WINCOMMERCE</v>
      </c>
      <c r="G1632" s="16" t="str">
        <f>VLOOKUP(Table8[[#This Row],[Mã khách hàng]],code_khach_hang[],3,0)</f>
        <v>Miền Bắc đặc biệt 1</v>
      </c>
      <c r="H1632" t="str">
        <f>VLOOKUP(Table8[[#This Row],[Mã khách hàng]],'Khách hàng'!A:D,4,0)</f>
        <v>Food Đức Việt</v>
      </c>
      <c r="I1632" t="str">
        <f>VLOOKUP(Table8[[#This Row],[Mã khách hàng]],'Khách hàng'!A:E,5,0)</f>
        <v>HN0040</v>
      </c>
    </row>
    <row r="1633" spans="1:9">
      <c r="A1633" s="14" t="s">
        <v>4164</v>
      </c>
      <c r="B1633" s="15" t="s">
        <v>5</v>
      </c>
      <c r="C1633" s="10" t="s">
        <v>4165</v>
      </c>
      <c r="D1633" s="16" t="s">
        <v>5357</v>
      </c>
      <c r="E1633" s="15" t="s">
        <v>11215</v>
      </c>
      <c r="F1633" s="16" t="str">
        <f>VLOOKUP(Table8[[#This Row],[Mã khách hàng]],code_khach_hang[],2,0)</f>
        <v>CHI NHÁNH HÀ NỘI - CÔNG TY CỔ PHẦN DỊCH VỤ THƯƠNG MẠI TỔNG HỢP WINCOMMERCE</v>
      </c>
      <c r="G1633" s="16" t="str">
        <f>VLOOKUP(Table8[[#This Row],[Mã khách hàng]],code_khach_hang[],3,0)</f>
        <v>Miền Bắc đặc biệt 1</v>
      </c>
      <c r="H1633" t="str">
        <f>VLOOKUP(Table8[[#This Row],[Mã khách hàng]],'Khách hàng'!A:D,4,0)</f>
        <v>Food Đức Việt</v>
      </c>
      <c r="I1633" t="str">
        <f>VLOOKUP(Table8[[#This Row],[Mã khách hàng]],'Khách hàng'!A:E,5,0)</f>
        <v>HN0040</v>
      </c>
    </row>
    <row r="1634" spans="1:9">
      <c r="A1634" s="14" t="s">
        <v>4560</v>
      </c>
      <c r="B1634" s="15" t="s">
        <v>5</v>
      </c>
      <c r="C1634" s="10" t="s">
        <v>4561</v>
      </c>
      <c r="D1634" s="16" t="s">
        <v>5360</v>
      </c>
      <c r="E1634" s="15" t="s">
        <v>11215</v>
      </c>
      <c r="F1634" s="16" t="str">
        <f>VLOOKUP(Table8[[#This Row],[Mã khách hàng]],code_khach_hang[],2,0)</f>
        <v>CHI NHÁNH HÀ NỘI - CÔNG TY CỔ PHẦN DỊCH VỤ THƯƠNG MẠI TỔNG HỢP WINCOMMERCE</v>
      </c>
      <c r="G1634" s="16" t="str">
        <f>VLOOKUP(Table8[[#This Row],[Mã khách hàng]],code_khach_hang[],3,0)</f>
        <v>Miền Bắc đặc biệt 1</v>
      </c>
      <c r="H1634" t="str">
        <f>VLOOKUP(Table8[[#This Row],[Mã khách hàng]],'Khách hàng'!A:D,4,0)</f>
        <v>Food Đức Việt</v>
      </c>
      <c r="I1634" t="str">
        <f>VLOOKUP(Table8[[#This Row],[Mã khách hàng]],'Khách hàng'!A:E,5,0)</f>
        <v>HN0040</v>
      </c>
    </row>
    <row r="1635" spans="1:9">
      <c r="A1635" s="14" t="s">
        <v>4593</v>
      </c>
      <c r="B1635" s="15" t="s">
        <v>5</v>
      </c>
      <c r="C1635" s="10" t="s">
        <v>4594</v>
      </c>
      <c r="D1635" s="16" t="s">
        <v>5363</v>
      </c>
      <c r="E1635" s="15" t="s">
        <v>11215</v>
      </c>
      <c r="F1635" s="16" t="str">
        <f>VLOOKUP(Table8[[#This Row],[Mã khách hàng]],code_khach_hang[],2,0)</f>
        <v>CHI NHÁNH HÀ NỘI - CÔNG TY CỔ PHẦN DỊCH VỤ THƯƠNG MẠI TỔNG HỢP WINCOMMERCE</v>
      </c>
      <c r="G1635" s="16" t="str">
        <f>VLOOKUP(Table8[[#This Row],[Mã khách hàng]],code_khach_hang[],3,0)</f>
        <v>Miền Bắc đặc biệt 1</v>
      </c>
      <c r="H1635" t="str">
        <f>VLOOKUP(Table8[[#This Row],[Mã khách hàng]],'Khách hàng'!A:D,4,0)</f>
        <v>Food Đức Việt</v>
      </c>
      <c r="I1635" t="str">
        <f>VLOOKUP(Table8[[#This Row],[Mã khách hàng]],'Khách hàng'!A:E,5,0)</f>
        <v>HN0040</v>
      </c>
    </row>
    <row r="1636" spans="1:9">
      <c r="A1636" s="14" t="s">
        <v>5810</v>
      </c>
      <c r="B1636" s="15" t="s">
        <v>5</v>
      </c>
      <c r="C1636" s="10" t="s">
        <v>5811</v>
      </c>
      <c r="D1636" s="16" t="s">
        <v>5366</v>
      </c>
      <c r="E1636" s="15" t="s">
        <v>11215</v>
      </c>
      <c r="F1636" s="16" t="str">
        <f>VLOOKUP(Table8[[#This Row],[Mã khách hàng]],code_khach_hang[],2,0)</f>
        <v>CHI NHÁNH HÀ NỘI - CÔNG TY CỔ PHẦN DỊCH VỤ THƯƠNG MẠI TỔNG HỢP WINCOMMERCE</v>
      </c>
      <c r="G1636" s="16" t="str">
        <f>VLOOKUP(Table8[[#This Row],[Mã khách hàng]],code_khach_hang[],3,0)</f>
        <v>Miền Bắc đặc biệt 1</v>
      </c>
      <c r="H1636" t="str">
        <f>VLOOKUP(Table8[[#This Row],[Mã khách hàng]],'Khách hàng'!A:D,4,0)</f>
        <v>Food Đức Việt</v>
      </c>
      <c r="I1636" t="str">
        <f>VLOOKUP(Table8[[#This Row],[Mã khách hàng]],'Khách hàng'!A:E,5,0)</f>
        <v>HN0040</v>
      </c>
    </row>
    <row r="1637" spans="1:9">
      <c r="A1637" s="14" t="s">
        <v>8019</v>
      </c>
      <c r="B1637" s="15" t="s">
        <v>5</v>
      </c>
      <c r="C1637" s="10" t="s">
        <v>8020</v>
      </c>
      <c r="D1637" s="16" t="s">
        <v>5369</v>
      </c>
      <c r="E1637" s="15" t="s">
        <v>11215</v>
      </c>
      <c r="F1637" s="16" t="str">
        <f>VLOOKUP(Table8[[#This Row],[Mã khách hàng]],code_khach_hang[],2,0)</f>
        <v>CHI NHÁNH HÀ NỘI - CÔNG TY CỔ PHẦN DỊCH VỤ THƯƠNG MẠI TỔNG HỢP WINCOMMERCE</v>
      </c>
      <c r="G1637" s="16" t="str">
        <f>VLOOKUP(Table8[[#This Row],[Mã khách hàng]],code_khach_hang[],3,0)</f>
        <v>Miền Bắc đặc biệt 1</v>
      </c>
      <c r="H1637" t="str">
        <f>VLOOKUP(Table8[[#This Row],[Mã khách hàng]],'Khách hàng'!A:D,4,0)</f>
        <v>Food Đức Việt</v>
      </c>
      <c r="I1637" t="str">
        <f>VLOOKUP(Table8[[#This Row],[Mã khách hàng]],'Khách hàng'!A:E,5,0)</f>
        <v>HN0040</v>
      </c>
    </row>
    <row r="1638" spans="1:9">
      <c r="A1638" s="14" t="s">
        <v>765</v>
      </c>
      <c r="B1638" s="15" t="s">
        <v>5</v>
      </c>
      <c r="C1638" s="10" t="s">
        <v>766</v>
      </c>
      <c r="D1638" s="16" t="s">
        <v>5372</v>
      </c>
      <c r="E1638" s="15" t="s">
        <v>11215</v>
      </c>
      <c r="F1638" s="16" t="str">
        <f>VLOOKUP(Table8[[#This Row],[Mã khách hàng]],code_khach_hang[],2,0)</f>
        <v>CHI NHÁNH HÀ NỘI - CÔNG TY CỔ PHẦN DỊCH VỤ THƯƠNG MẠI TỔNG HỢP WINCOMMERCE</v>
      </c>
      <c r="G1638" s="16" t="str">
        <f>VLOOKUP(Table8[[#This Row],[Mã khách hàng]],code_khach_hang[],3,0)</f>
        <v>Miền Bắc đặc biệt 1</v>
      </c>
      <c r="H1638" t="str">
        <f>VLOOKUP(Table8[[#This Row],[Mã khách hàng]],'Khách hàng'!A:D,4,0)</f>
        <v>Food Đức Việt</v>
      </c>
      <c r="I1638" t="str">
        <f>VLOOKUP(Table8[[#This Row],[Mã khách hàng]],'Khách hàng'!A:E,5,0)</f>
        <v>HN0040</v>
      </c>
    </row>
    <row r="1639" spans="1:9">
      <c r="A1639" s="14" t="s">
        <v>840</v>
      </c>
      <c r="B1639" s="15" t="s">
        <v>5</v>
      </c>
      <c r="C1639" s="10" t="s">
        <v>841</v>
      </c>
      <c r="D1639" s="16" t="s">
        <v>5375</v>
      </c>
      <c r="E1639" s="15" t="s">
        <v>11215</v>
      </c>
      <c r="F1639" s="16" t="str">
        <f>VLOOKUP(Table8[[#This Row],[Mã khách hàng]],code_khach_hang[],2,0)</f>
        <v>CHI NHÁNH HÀ NỘI - CÔNG TY CỔ PHẦN DỊCH VỤ THƯƠNG MẠI TỔNG HỢP WINCOMMERCE</v>
      </c>
      <c r="G1639" s="16" t="str">
        <f>VLOOKUP(Table8[[#This Row],[Mã khách hàng]],code_khach_hang[],3,0)</f>
        <v>Miền Bắc đặc biệt 1</v>
      </c>
      <c r="H1639" t="str">
        <f>VLOOKUP(Table8[[#This Row],[Mã khách hàng]],'Khách hàng'!A:D,4,0)</f>
        <v>Food Đức Việt</v>
      </c>
      <c r="I1639" t="str">
        <f>VLOOKUP(Table8[[#This Row],[Mã khách hàng]],'Khách hàng'!A:E,5,0)</f>
        <v>HN0040</v>
      </c>
    </row>
    <row r="1640" spans="1:9">
      <c r="A1640" s="14" t="s">
        <v>924</v>
      </c>
      <c r="B1640" s="15" t="s">
        <v>5</v>
      </c>
      <c r="C1640" s="10" t="s">
        <v>925</v>
      </c>
      <c r="D1640" s="16" t="s">
        <v>5378</v>
      </c>
      <c r="E1640" s="15" t="s">
        <v>11215</v>
      </c>
      <c r="F1640" s="16" t="str">
        <f>VLOOKUP(Table8[[#This Row],[Mã khách hàng]],code_khach_hang[],2,0)</f>
        <v>CHI NHÁNH HÀ NỘI - CÔNG TY CỔ PHẦN DỊCH VỤ THƯƠNG MẠI TỔNG HỢP WINCOMMERCE</v>
      </c>
      <c r="G1640" s="16" t="str">
        <f>VLOOKUP(Table8[[#This Row],[Mã khách hàng]],code_khach_hang[],3,0)</f>
        <v>Miền Bắc đặc biệt 1</v>
      </c>
      <c r="H1640" t="str">
        <f>VLOOKUP(Table8[[#This Row],[Mã khách hàng]],'Khách hàng'!A:D,4,0)</f>
        <v>Food Đức Việt</v>
      </c>
      <c r="I1640" t="str">
        <f>VLOOKUP(Table8[[#This Row],[Mã khách hàng]],'Khách hàng'!A:E,5,0)</f>
        <v>HN0040</v>
      </c>
    </row>
    <row r="1641" spans="1:9">
      <c r="A1641" s="14" t="s">
        <v>1035</v>
      </c>
      <c r="B1641" s="15" t="s">
        <v>5</v>
      </c>
      <c r="C1641" s="10" t="s">
        <v>1036</v>
      </c>
      <c r="D1641" s="16" t="s">
        <v>5381</v>
      </c>
      <c r="E1641" s="15" t="s">
        <v>11215</v>
      </c>
      <c r="F1641" s="16" t="str">
        <f>VLOOKUP(Table8[[#This Row],[Mã khách hàng]],code_khach_hang[],2,0)</f>
        <v>CHI NHÁNH HÀ NỘI - CÔNG TY CỔ PHẦN DỊCH VỤ THƯƠNG MẠI TỔNG HỢP WINCOMMERCE</v>
      </c>
      <c r="G1641" s="16" t="str">
        <f>VLOOKUP(Table8[[#This Row],[Mã khách hàng]],code_khach_hang[],3,0)</f>
        <v>Miền Bắc đặc biệt 1</v>
      </c>
      <c r="H1641" t="str">
        <f>VLOOKUP(Table8[[#This Row],[Mã khách hàng]],'Khách hàng'!A:D,4,0)</f>
        <v>Food Đức Việt</v>
      </c>
      <c r="I1641" t="str">
        <f>VLOOKUP(Table8[[#This Row],[Mã khách hàng]],'Khách hàng'!A:E,5,0)</f>
        <v>HN0040</v>
      </c>
    </row>
    <row r="1642" spans="1:9">
      <c r="A1642" s="14" t="s">
        <v>1131</v>
      </c>
      <c r="B1642" s="15" t="s">
        <v>5</v>
      </c>
      <c r="C1642" s="10" t="s">
        <v>1132</v>
      </c>
      <c r="D1642" s="16" t="s">
        <v>5384</v>
      </c>
      <c r="E1642" s="15" t="s">
        <v>11215</v>
      </c>
      <c r="F1642" s="16" t="str">
        <f>VLOOKUP(Table8[[#This Row],[Mã khách hàng]],code_khach_hang[],2,0)</f>
        <v>CHI NHÁNH HÀ NỘI - CÔNG TY CỔ PHẦN DỊCH VỤ THƯƠNG MẠI TỔNG HỢP WINCOMMERCE</v>
      </c>
      <c r="G1642" s="16" t="str">
        <f>VLOOKUP(Table8[[#This Row],[Mã khách hàng]],code_khach_hang[],3,0)</f>
        <v>Miền Bắc đặc biệt 1</v>
      </c>
      <c r="H1642" t="str">
        <f>VLOOKUP(Table8[[#This Row],[Mã khách hàng]],'Khách hàng'!A:D,4,0)</f>
        <v>Food Đức Việt</v>
      </c>
      <c r="I1642" t="str">
        <f>VLOOKUP(Table8[[#This Row],[Mã khách hàng]],'Khách hàng'!A:E,5,0)</f>
        <v>HN0040</v>
      </c>
    </row>
    <row r="1643" spans="1:9">
      <c r="A1643" s="14" t="s">
        <v>4227</v>
      </c>
      <c r="B1643" s="15" t="s">
        <v>5</v>
      </c>
      <c r="C1643" s="10" t="s">
        <v>4228</v>
      </c>
      <c r="D1643" s="16" t="s">
        <v>5387</v>
      </c>
      <c r="E1643" s="15" t="s">
        <v>11215</v>
      </c>
      <c r="F1643" s="16" t="str">
        <f>VLOOKUP(Table8[[#This Row],[Mã khách hàng]],code_khach_hang[],2,0)</f>
        <v>CHI NHÁNH HÀ NỘI - CÔNG TY CỔ PHẦN DỊCH VỤ THƯƠNG MẠI TỔNG HỢP WINCOMMERCE</v>
      </c>
      <c r="G1643" s="16" t="str">
        <f>VLOOKUP(Table8[[#This Row],[Mã khách hàng]],code_khach_hang[],3,0)</f>
        <v>Miền Bắc đặc biệt 1</v>
      </c>
      <c r="H1643" t="str">
        <f>VLOOKUP(Table8[[#This Row],[Mã khách hàng]],'Khách hàng'!A:D,4,0)</f>
        <v>Food Đức Việt</v>
      </c>
      <c r="I1643" t="str">
        <f>VLOOKUP(Table8[[#This Row],[Mã khách hàng]],'Khách hàng'!A:E,5,0)</f>
        <v>HN0040</v>
      </c>
    </row>
    <row r="1644" spans="1:9">
      <c r="A1644" s="14" t="s">
        <v>4239</v>
      </c>
      <c r="B1644" s="15" t="s">
        <v>5</v>
      </c>
      <c r="C1644" s="10" t="s">
        <v>4240</v>
      </c>
      <c r="D1644" s="16" t="s">
        <v>5390</v>
      </c>
      <c r="E1644" s="15" t="s">
        <v>11215</v>
      </c>
      <c r="F1644" s="16" t="str">
        <f>VLOOKUP(Table8[[#This Row],[Mã khách hàng]],code_khach_hang[],2,0)</f>
        <v>CHI NHÁNH HÀ NỘI - CÔNG TY CỔ PHẦN DỊCH VỤ THƯƠNG MẠI TỔNG HỢP WINCOMMERCE</v>
      </c>
      <c r="G1644" s="16" t="str">
        <f>VLOOKUP(Table8[[#This Row],[Mã khách hàng]],code_khach_hang[],3,0)</f>
        <v>Miền Bắc đặc biệt 1</v>
      </c>
      <c r="H1644" t="str">
        <f>VLOOKUP(Table8[[#This Row],[Mã khách hàng]],'Khách hàng'!A:D,4,0)</f>
        <v>Food Đức Việt</v>
      </c>
      <c r="I1644" t="str">
        <f>VLOOKUP(Table8[[#This Row],[Mã khách hàng]],'Khách hàng'!A:E,5,0)</f>
        <v>HN0040</v>
      </c>
    </row>
    <row r="1645" spans="1:9">
      <c r="A1645" s="14" t="s">
        <v>4320</v>
      </c>
      <c r="B1645" s="15" t="s">
        <v>5</v>
      </c>
      <c r="C1645" s="10" t="s">
        <v>4321</v>
      </c>
      <c r="D1645" s="16" t="s">
        <v>5393</v>
      </c>
      <c r="E1645" s="15" t="s">
        <v>11215</v>
      </c>
      <c r="F1645" s="16" t="str">
        <f>VLOOKUP(Table8[[#This Row],[Mã khách hàng]],code_khach_hang[],2,0)</f>
        <v>CHI NHÁNH HÀ NỘI - CÔNG TY CỔ PHẦN DỊCH VỤ THƯƠNG MẠI TỔNG HỢP WINCOMMERCE</v>
      </c>
      <c r="G1645" s="16" t="str">
        <f>VLOOKUP(Table8[[#This Row],[Mã khách hàng]],code_khach_hang[],3,0)</f>
        <v>Miền Bắc đặc biệt 1</v>
      </c>
      <c r="H1645" t="str">
        <f>VLOOKUP(Table8[[#This Row],[Mã khách hàng]],'Khách hàng'!A:D,4,0)</f>
        <v>Food Đức Việt</v>
      </c>
      <c r="I1645" t="str">
        <f>VLOOKUP(Table8[[#This Row],[Mã khách hàng]],'Khách hàng'!A:E,5,0)</f>
        <v>HN0040</v>
      </c>
    </row>
    <row r="1646" spans="1:9">
      <c r="A1646" s="14" t="s">
        <v>4428</v>
      </c>
      <c r="B1646" s="15" t="s">
        <v>5</v>
      </c>
      <c r="C1646" s="10" t="s">
        <v>4429</v>
      </c>
      <c r="D1646" s="16" t="s">
        <v>5396</v>
      </c>
      <c r="E1646" s="15" t="s">
        <v>11215</v>
      </c>
      <c r="F1646" s="16" t="str">
        <f>VLOOKUP(Table8[[#This Row],[Mã khách hàng]],code_khach_hang[],2,0)</f>
        <v>CHI NHÁNH HÀ NỘI - CÔNG TY CỔ PHẦN DỊCH VỤ THƯƠNG MẠI TỔNG HỢP WINCOMMERCE</v>
      </c>
      <c r="G1646" s="16" t="str">
        <f>VLOOKUP(Table8[[#This Row],[Mã khách hàng]],code_khach_hang[],3,0)</f>
        <v>Miền Bắc đặc biệt 1</v>
      </c>
      <c r="H1646" t="str">
        <f>VLOOKUP(Table8[[#This Row],[Mã khách hàng]],'Khách hàng'!A:D,4,0)</f>
        <v>Food Đức Việt</v>
      </c>
      <c r="I1646" t="str">
        <f>VLOOKUP(Table8[[#This Row],[Mã khách hàng]],'Khách hàng'!A:E,5,0)</f>
        <v>HN0040</v>
      </c>
    </row>
    <row r="1647" spans="1:9">
      <c r="A1647" s="14" t="s">
        <v>4653</v>
      </c>
      <c r="B1647" s="15" t="s">
        <v>5</v>
      </c>
      <c r="C1647" s="10" t="s">
        <v>4654</v>
      </c>
      <c r="D1647" s="16" t="s">
        <v>5399</v>
      </c>
      <c r="E1647" s="15" t="s">
        <v>11215</v>
      </c>
      <c r="F1647" s="16" t="str">
        <f>VLOOKUP(Table8[[#This Row],[Mã khách hàng]],code_khach_hang[],2,0)</f>
        <v>CHI NHÁNH HÀ NỘI - CÔNG TY CỔ PHẦN DỊCH VỤ THƯƠNG MẠI TỔNG HỢP WINCOMMERCE</v>
      </c>
      <c r="G1647" s="16" t="str">
        <f>VLOOKUP(Table8[[#This Row],[Mã khách hàng]],code_khach_hang[],3,0)</f>
        <v>Miền Bắc đặc biệt 1</v>
      </c>
      <c r="H1647" t="str">
        <f>VLOOKUP(Table8[[#This Row],[Mã khách hàng]],'Khách hàng'!A:D,4,0)</f>
        <v>Food Đức Việt</v>
      </c>
      <c r="I1647" t="str">
        <f>VLOOKUP(Table8[[#This Row],[Mã khách hàng]],'Khách hàng'!A:E,5,0)</f>
        <v>HN0040</v>
      </c>
    </row>
    <row r="1648" spans="1:9">
      <c r="A1648" s="14" t="s">
        <v>5295</v>
      </c>
      <c r="B1648" s="15" t="s">
        <v>5</v>
      </c>
      <c r="C1648" s="10" t="s">
        <v>5296</v>
      </c>
      <c r="D1648" s="16" t="s">
        <v>5402</v>
      </c>
      <c r="E1648" s="15" t="s">
        <v>11215</v>
      </c>
      <c r="F1648" s="16" t="str">
        <f>VLOOKUP(Table8[[#This Row],[Mã khách hàng]],code_khach_hang[],2,0)</f>
        <v>CHI NHÁNH HÀ NỘI - CÔNG TY CỔ PHẦN DỊCH VỤ THƯƠNG MẠI TỔNG HỢP WINCOMMERCE</v>
      </c>
      <c r="G1648" s="16" t="str">
        <f>VLOOKUP(Table8[[#This Row],[Mã khách hàng]],code_khach_hang[],3,0)</f>
        <v>Miền Bắc đặc biệt 1</v>
      </c>
      <c r="H1648" t="str">
        <f>VLOOKUP(Table8[[#This Row],[Mã khách hàng]],'Khách hàng'!A:D,4,0)</f>
        <v>Food Đức Việt</v>
      </c>
      <c r="I1648" t="str">
        <f>VLOOKUP(Table8[[#This Row],[Mã khách hàng]],'Khách hàng'!A:E,5,0)</f>
        <v>HN0040</v>
      </c>
    </row>
    <row r="1649" spans="1:9">
      <c r="A1649" s="14" t="s">
        <v>5331</v>
      </c>
      <c r="B1649" s="15" t="s">
        <v>5</v>
      </c>
      <c r="C1649" s="10" t="s">
        <v>5332</v>
      </c>
      <c r="D1649" s="16" t="s">
        <v>5405</v>
      </c>
      <c r="E1649" s="15" t="s">
        <v>11215</v>
      </c>
      <c r="F1649" s="16" t="str">
        <f>VLOOKUP(Table8[[#This Row],[Mã khách hàng]],code_khach_hang[],2,0)</f>
        <v>CHI NHÁNH HÀ NỘI - CÔNG TY CỔ PHẦN DỊCH VỤ THƯƠNG MẠI TỔNG HỢP WINCOMMERCE</v>
      </c>
      <c r="G1649" s="16" t="str">
        <f>VLOOKUP(Table8[[#This Row],[Mã khách hàng]],code_khach_hang[],3,0)</f>
        <v>Miền Bắc đặc biệt 1</v>
      </c>
      <c r="H1649" t="str">
        <f>VLOOKUP(Table8[[#This Row],[Mã khách hàng]],'Khách hàng'!A:D,4,0)</f>
        <v>Food Đức Việt</v>
      </c>
      <c r="I1649" t="str">
        <f>VLOOKUP(Table8[[#This Row],[Mã khách hàng]],'Khách hàng'!A:E,5,0)</f>
        <v>HN0040</v>
      </c>
    </row>
    <row r="1650" spans="1:9">
      <c r="A1650" s="14" t="s">
        <v>5337</v>
      </c>
      <c r="B1650" s="15" t="s">
        <v>5</v>
      </c>
      <c r="C1650" s="10" t="s">
        <v>5338</v>
      </c>
      <c r="D1650" s="16" t="s">
        <v>5408</v>
      </c>
      <c r="E1650" s="15" t="s">
        <v>11215</v>
      </c>
      <c r="F1650" s="16" t="str">
        <f>VLOOKUP(Table8[[#This Row],[Mã khách hàng]],code_khach_hang[],2,0)</f>
        <v>CHI NHÁNH HÀ NỘI - CÔNG TY CỔ PHẦN DỊCH VỤ THƯƠNG MẠI TỔNG HỢP WINCOMMERCE</v>
      </c>
      <c r="G1650" s="16" t="str">
        <f>VLOOKUP(Table8[[#This Row],[Mã khách hàng]],code_khach_hang[],3,0)</f>
        <v>Miền Bắc đặc biệt 1</v>
      </c>
      <c r="H1650" t="str">
        <f>VLOOKUP(Table8[[#This Row],[Mã khách hàng]],'Khách hàng'!A:D,4,0)</f>
        <v>Food Đức Việt</v>
      </c>
      <c r="I1650" t="str">
        <f>VLOOKUP(Table8[[#This Row],[Mã khách hàng]],'Khách hàng'!A:E,5,0)</f>
        <v>HN0040</v>
      </c>
    </row>
    <row r="1651" spans="1:9">
      <c r="A1651" s="14" t="s">
        <v>5343</v>
      </c>
      <c r="B1651" s="15" t="s">
        <v>5</v>
      </c>
      <c r="C1651" s="10" t="s">
        <v>5344</v>
      </c>
      <c r="D1651" s="16" t="s">
        <v>5411</v>
      </c>
      <c r="E1651" s="15" t="s">
        <v>11215</v>
      </c>
      <c r="F1651" s="16" t="str">
        <f>VLOOKUP(Table8[[#This Row],[Mã khách hàng]],code_khach_hang[],2,0)</f>
        <v>CHI NHÁNH HÀ NỘI - CÔNG TY CỔ PHẦN DỊCH VỤ THƯƠNG MẠI TỔNG HỢP WINCOMMERCE</v>
      </c>
      <c r="G1651" s="16" t="str">
        <f>VLOOKUP(Table8[[#This Row],[Mã khách hàng]],code_khach_hang[],3,0)</f>
        <v>Miền Bắc đặc biệt 1</v>
      </c>
      <c r="H1651" t="str">
        <f>VLOOKUP(Table8[[#This Row],[Mã khách hàng]],'Khách hàng'!A:D,4,0)</f>
        <v>Food Đức Việt</v>
      </c>
      <c r="I1651" t="str">
        <f>VLOOKUP(Table8[[#This Row],[Mã khách hàng]],'Khách hàng'!A:E,5,0)</f>
        <v>HN0040</v>
      </c>
    </row>
    <row r="1652" spans="1:9">
      <c r="A1652" s="14" t="s">
        <v>5406</v>
      </c>
      <c r="B1652" s="15" t="s">
        <v>5</v>
      </c>
      <c r="C1652" s="10" t="s">
        <v>5407</v>
      </c>
      <c r="D1652" s="16" t="s">
        <v>5414</v>
      </c>
      <c r="E1652" s="15" t="s">
        <v>11215</v>
      </c>
      <c r="F1652" s="16" t="str">
        <f>VLOOKUP(Table8[[#This Row],[Mã khách hàng]],code_khach_hang[],2,0)</f>
        <v>CHI NHÁNH HÀ NỘI - CÔNG TY CỔ PHẦN DỊCH VỤ THƯƠNG MẠI TỔNG HỢP WINCOMMERCE</v>
      </c>
      <c r="G1652" s="16" t="str">
        <f>VLOOKUP(Table8[[#This Row],[Mã khách hàng]],code_khach_hang[],3,0)</f>
        <v>Miền Bắc đặc biệt 1</v>
      </c>
      <c r="H1652" t="str">
        <f>VLOOKUP(Table8[[#This Row],[Mã khách hàng]],'Khách hàng'!A:D,4,0)</f>
        <v>Food Đức Việt</v>
      </c>
      <c r="I1652" t="str">
        <f>VLOOKUP(Table8[[#This Row],[Mã khách hàng]],'Khách hàng'!A:E,5,0)</f>
        <v>HN0040</v>
      </c>
    </row>
    <row r="1653" spans="1:9">
      <c r="A1653" s="14" t="s">
        <v>6440</v>
      </c>
      <c r="B1653" s="15" t="s">
        <v>5</v>
      </c>
      <c r="C1653" s="10" t="s">
        <v>6441</v>
      </c>
      <c r="D1653" s="16" t="s">
        <v>5417</v>
      </c>
      <c r="E1653" s="15" t="s">
        <v>11215</v>
      </c>
      <c r="F1653" s="16" t="str">
        <f>VLOOKUP(Table8[[#This Row],[Mã khách hàng]],code_khach_hang[],2,0)</f>
        <v>CHI NHÁNH HÀ NỘI - CÔNG TY CỔ PHẦN DỊCH VỤ THƯƠNG MẠI TỔNG HỢP WINCOMMERCE</v>
      </c>
      <c r="G1653" s="16" t="str">
        <f>VLOOKUP(Table8[[#This Row],[Mã khách hàng]],code_khach_hang[],3,0)</f>
        <v>Miền Bắc đặc biệt 1</v>
      </c>
      <c r="H1653" t="str">
        <f>VLOOKUP(Table8[[#This Row],[Mã khách hàng]],'Khách hàng'!A:D,4,0)</f>
        <v>Food Đức Việt</v>
      </c>
      <c r="I1653" t="str">
        <f>VLOOKUP(Table8[[#This Row],[Mã khách hàng]],'Khách hàng'!A:E,5,0)</f>
        <v>HN0040</v>
      </c>
    </row>
    <row r="1654" spans="1:9">
      <c r="A1654" s="14" t="s">
        <v>6512</v>
      </c>
      <c r="B1654" s="15" t="s">
        <v>5</v>
      </c>
      <c r="C1654" s="10" t="s">
        <v>6513</v>
      </c>
      <c r="D1654" s="16" t="s">
        <v>5420</v>
      </c>
      <c r="E1654" s="15" t="s">
        <v>11215</v>
      </c>
      <c r="F1654" s="16" t="str">
        <f>VLOOKUP(Table8[[#This Row],[Mã khách hàng]],code_khach_hang[],2,0)</f>
        <v>CHI NHÁNH HÀ NỘI - CÔNG TY CỔ PHẦN DỊCH VỤ THƯƠNG MẠI TỔNG HỢP WINCOMMERCE</v>
      </c>
      <c r="G1654" s="16" t="str">
        <f>VLOOKUP(Table8[[#This Row],[Mã khách hàng]],code_khach_hang[],3,0)</f>
        <v>Miền Bắc đặc biệt 1</v>
      </c>
      <c r="H1654" t="str">
        <f>VLOOKUP(Table8[[#This Row],[Mã khách hàng]],'Khách hàng'!A:D,4,0)</f>
        <v>Food Đức Việt</v>
      </c>
      <c r="I1654" t="str">
        <f>VLOOKUP(Table8[[#This Row],[Mã khách hàng]],'Khách hàng'!A:E,5,0)</f>
        <v>HN0040</v>
      </c>
    </row>
    <row r="1655" spans="1:9">
      <c r="A1655" s="14" t="s">
        <v>11121</v>
      </c>
      <c r="B1655" s="15" t="s">
        <v>5</v>
      </c>
      <c r="C1655" s="10" t="e">
        <v>#N/A</v>
      </c>
      <c r="D1655" s="16" t="s">
        <v>5423</v>
      </c>
      <c r="E1655" s="15" t="s">
        <v>11215</v>
      </c>
      <c r="F1655" s="16" t="str">
        <f>VLOOKUP(Table8[[#This Row],[Mã khách hàng]],code_khach_hang[],2,0)</f>
        <v>CHI NHÁNH HÀ NỘI - CÔNG TY CỔ PHẦN DỊCH VỤ THƯƠNG MẠI TỔNG HỢP WINCOMMERCE</v>
      </c>
      <c r="G1655" s="16" t="str">
        <f>VLOOKUP(Table8[[#This Row],[Mã khách hàng]],code_khach_hang[],3,0)</f>
        <v>Miền Bắc đặc biệt 1</v>
      </c>
      <c r="H1655" t="str">
        <f>VLOOKUP(Table8[[#This Row],[Mã khách hàng]],'Khách hàng'!A:D,4,0)</f>
        <v>Food Đức Việt</v>
      </c>
      <c r="I1655" t="str">
        <f>VLOOKUP(Table8[[#This Row],[Mã khách hàng]],'Khách hàng'!A:E,5,0)</f>
        <v>HN0040</v>
      </c>
    </row>
    <row r="1656" spans="1:9">
      <c r="A1656" s="14" t="s">
        <v>1158</v>
      </c>
      <c r="B1656" s="15" t="s">
        <v>5</v>
      </c>
      <c r="C1656" s="10" t="s">
        <v>1159</v>
      </c>
      <c r="D1656" s="16" t="s">
        <v>5426</v>
      </c>
      <c r="E1656" s="15" t="s">
        <v>11215</v>
      </c>
      <c r="F1656" s="16" t="str">
        <f>VLOOKUP(Table8[[#This Row],[Mã khách hàng]],code_khach_hang[],2,0)</f>
        <v>CHI NHÁNH HÀ NỘI - CÔNG TY CỔ PHẦN DỊCH VỤ THƯƠNG MẠI TỔNG HỢP WINCOMMERCE</v>
      </c>
      <c r="G1656" s="16" t="str">
        <f>VLOOKUP(Table8[[#This Row],[Mã khách hàng]],code_khach_hang[],3,0)</f>
        <v>Miền Bắc đặc biệt 1</v>
      </c>
      <c r="H1656" t="str">
        <f>VLOOKUP(Table8[[#This Row],[Mã khách hàng]],'Khách hàng'!A:D,4,0)</f>
        <v>Food Đức Việt</v>
      </c>
      <c r="I1656" t="str">
        <f>VLOOKUP(Table8[[#This Row],[Mã khách hàng]],'Khách hàng'!A:E,5,0)</f>
        <v>HN0040</v>
      </c>
    </row>
    <row r="1657" spans="1:9">
      <c r="A1657" s="14" t="s">
        <v>7813</v>
      </c>
      <c r="B1657" s="15" t="s">
        <v>5</v>
      </c>
      <c r="C1657" s="10" t="s">
        <v>7814</v>
      </c>
      <c r="D1657" s="16" t="s">
        <v>5429</v>
      </c>
      <c r="E1657" s="15" t="s">
        <v>11215</v>
      </c>
      <c r="F1657" s="16" t="str">
        <f>VLOOKUP(Table8[[#This Row],[Mã khách hàng]],code_khach_hang[],2,0)</f>
        <v>CHI NHÁNH HÀ NỘI - CÔNG TY CỔ PHẦN DỊCH VỤ THƯƠNG MẠI TỔNG HỢP WINCOMMERCE</v>
      </c>
      <c r="G1657" s="16" t="str">
        <f>VLOOKUP(Table8[[#This Row],[Mã khách hàng]],code_khach_hang[],3,0)</f>
        <v>Miền Bắc đặc biệt 1</v>
      </c>
      <c r="H1657" t="str">
        <f>VLOOKUP(Table8[[#This Row],[Mã khách hàng]],'Khách hàng'!A:D,4,0)</f>
        <v>Food Đức Việt</v>
      </c>
      <c r="I1657" t="str">
        <f>VLOOKUP(Table8[[#This Row],[Mã khách hàng]],'Khách hàng'!A:E,5,0)</f>
        <v>HN0040</v>
      </c>
    </row>
    <row r="1658" spans="1:9">
      <c r="A1658" s="14" t="s">
        <v>625</v>
      </c>
      <c r="B1658" s="15" t="s">
        <v>183</v>
      </c>
      <c r="C1658" s="10" t="s">
        <v>626</v>
      </c>
      <c r="D1658" s="16" t="s">
        <v>5432</v>
      </c>
      <c r="E1658" s="15" t="s">
        <v>11195</v>
      </c>
      <c r="F1658" s="16" t="str">
        <f>VLOOKUP(Table8[[#This Row],[Mã khách hàng]],code_khach_hang[],2,0)</f>
        <v>CHI NHÁNH HÀ NỘI - CÔNG TY CỔ PHẦN DỊCH VỤ THƯƠNG MẠI TỔNG HỢP WINCOMMERCE</v>
      </c>
      <c r="G1658" s="16" t="str">
        <f>VLOOKUP(Table8[[#This Row],[Mã khách hàng]],code_khach_hang[],3,0)</f>
        <v>Miền Bắc đặc biệt 2</v>
      </c>
      <c r="H1658" t="str">
        <f>VLOOKUP(Table8[[#This Row],[Mã khách hàng]],'Khách hàng'!A:D,4,0)</f>
        <v>Food Đức Việt</v>
      </c>
      <c r="I1658" t="str">
        <f>VLOOKUP(Table8[[#This Row],[Mã khách hàng]],'Khách hàng'!A:E,5,0)</f>
        <v>HN0040</v>
      </c>
    </row>
    <row r="1659" spans="1:9">
      <c r="A1659" s="14" t="s">
        <v>11122</v>
      </c>
      <c r="B1659" s="15" t="s">
        <v>183</v>
      </c>
      <c r="C1659" s="10" t="s">
        <v>13165</v>
      </c>
      <c r="D1659" s="16" t="s">
        <v>5435</v>
      </c>
      <c r="E1659" s="15" t="s">
        <v>11195</v>
      </c>
      <c r="F1659" s="16" t="str">
        <f>VLOOKUP(Table8[[#This Row],[Mã khách hàng]],code_khach_hang[],2,0)</f>
        <v>CHI NHÁNH HÀ NỘI - CÔNG TY CỔ PHẦN DỊCH VỤ THƯƠNG MẠI TỔNG HỢP WINCOMMERCE</v>
      </c>
      <c r="G1659" s="16" t="str">
        <f>VLOOKUP(Table8[[#This Row],[Mã khách hàng]],code_khach_hang[],3,0)</f>
        <v>Miền Bắc đặc biệt 2</v>
      </c>
      <c r="H1659" t="str">
        <f>VLOOKUP(Table8[[#This Row],[Mã khách hàng]],'Khách hàng'!A:D,4,0)</f>
        <v>Food Đức Việt</v>
      </c>
      <c r="I1659" t="str">
        <f>VLOOKUP(Table8[[#This Row],[Mã khách hàng]],'Khách hàng'!A:E,5,0)</f>
        <v>HN0040</v>
      </c>
    </row>
    <row r="1660" spans="1:9">
      <c r="A1660" s="14" t="s">
        <v>586</v>
      </c>
      <c r="B1660" s="15" t="s">
        <v>183</v>
      </c>
      <c r="C1660" s="10" t="s">
        <v>587</v>
      </c>
      <c r="D1660" s="16" t="s">
        <v>5438</v>
      </c>
      <c r="E1660" s="15" t="s">
        <v>11195</v>
      </c>
      <c r="F1660" s="16" t="str">
        <f>VLOOKUP(Table8[[#This Row],[Mã khách hàng]],code_khach_hang[],2,0)</f>
        <v>CHI NHÁNH HÀ NỘI - CÔNG TY CỔ PHẦN DỊCH VỤ THƯƠNG MẠI TỔNG HỢP WINCOMMERCE</v>
      </c>
      <c r="G1660" s="16" t="str">
        <f>VLOOKUP(Table8[[#This Row],[Mã khách hàng]],code_khach_hang[],3,0)</f>
        <v>Miền Bắc đặc biệt 2</v>
      </c>
      <c r="H1660" t="str">
        <f>VLOOKUP(Table8[[#This Row],[Mã khách hàng]],'Khách hàng'!A:D,4,0)</f>
        <v>Food Đức Việt</v>
      </c>
      <c r="I1660" t="str">
        <f>VLOOKUP(Table8[[#This Row],[Mã khách hàng]],'Khách hàng'!A:E,5,0)</f>
        <v>HN0040</v>
      </c>
    </row>
    <row r="1661" spans="1:9">
      <c r="A1661" s="14" t="s">
        <v>538</v>
      </c>
      <c r="B1661" s="15" t="s">
        <v>183</v>
      </c>
      <c r="C1661" s="10" t="s">
        <v>539</v>
      </c>
      <c r="D1661" s="16" t="s">
        <v>5441</v>
      </c>
      <c r="E1661" s="15" t="s">
        <v>11195</v>
      </c>
      <c r="F1661" s="16" t="str">
        <f>VLOOKUP(Table8[[#This Row],[Mã khách hàng]],code_khach_hang[],2,0)</f>
        <v>CHI NHÁNH HÀ NỘI - CÔNG TY CỔ PHẦN DỊCH VỤ THƯƠNG MẠI TỔNG HỢP WINCOMMERCE</v>
      </c>
      <c r="G1661" s="16" t="str">
        <f>VLOOKUP(Table8[[#This Row],[Mã khách hàng]],code_khach_hang[],3,0)</f>
        <v>Miền Bắc đặc biệt 2</v>
      </c>
      <c r="H1661" t="str">
        <f>VLOOKUP(Table8[[#This Row],[Mã khách hàng]],'Khách hàng'!A:D,4,0)</f>
        <v>Food Đức Việt</v>
      </c>
      <c r="I1661" t="str">
        <f>VLOOKUP(Table8[[#This Row],[Mã khách hàng]],'Khách hàng'!A:E,5,0)</f>
        <v>HN0040</v>
      </c>
    </row>
    <row r="1662" spans="1:9">
      <c r="A1662" s="14" t="s">
        <v>589</v>
      </c>
      <c r="B1662" s="15" t="s">
        <v>183</v>
      </c>
      <c r="C1662" s="10" t="s">
        <v>590</v>
      </c>
      <c r="D1662" s="16" t="s">
        <v>5444</v>
      </c>
      <c r="E1662" s="15" t="s">
        <v>11195</v>
      </c>
      <c r="F1662" s="16" t="str">
        <f>VLOOKUP(Table8[[#This Row],[Mã khách hàng]],code_khach_hang[],2,0)</f>
        <v>CHI NHÁNH HÀ NỘI - CÔNG TY CỔ PHẦN DỊCH VỤ THƯƠNG MẠI TỔNG HỢP WINCOMMERCE</v>
      </c>
      <c r="G1662" s="16" t="str">
        <f>VLOOKUP(Table8[[#This Row],[Mã khách hàng]],code_khach_hang[],3,0)</f>
        <v>Miền Bắc đặc biệt 2</v>
      </c>
      <c r="H1662" t="str">
        <f>VLOOKUP(Table8[[#This Row],[Mã khách hàng]],'Khách hàng'!A:D,4,0)</f>
        <v>Food Đức Việt</v>
      </c>
      <c r="I1662" t="str">
        <f>VLOOKUP(Table8[[#This Row],[Mã khách hàng]],'Khách hàng'!A:E,5,0)</f>
        <v>HN0040</v>
      </c>
    </row>
    <row r="1663" spans="1:9">
      <c r="A1663" s="14" t="s">
        <v>646</v>
      </c>
      <c r="B1663" s="15" t="s">
        <v>183</v>
      </c>
      <c r="C1663" s="10" t="s">
        <v>647</v>
      </c>
      <c r="D1663" s="16" t="s">
        <v>5447</v>
      </c>
      <c r="E1663" s="15" t="s">
        <v>11195</v>
      </c>
      <c r="F1663" s="16" t="str">
        <f>VLOOKUP(Table8[[#This Row],[Mã khách hàng]],code_khach_hang[],2,0)</f>
        <v>CHI NHÁNH HÀ NỘI - CÔNG TY CỔ PHẦN DỊCH VỤ THƯƠNG MẠI TỔNG HỢP WINCOMMERCE</v>
      </c>
      <c r="G1663" s="16" t="str">
        <f>VLOOKUP(Table8[[#This Row],[Mã khách hàng]],code_khach_hang[],3,0)</f>
        <v>Miền Bắc đặc biệt 2</v>
      </c>
      <c r="H1663" t="str">
        <f>VLOOKUP(Table8[[#This Row],[Mã khách hàng]],'Khách hàng'!A:D,4,0)</f>
        <v>Food Đức Việt</v>
      </c>
      <c r="I1663" t="str">
        <f>VLOOKUP(Table8[[#This Row],[Mã khách hàng]],'Khách hàng'!A:E,5,0)</f>
        <v>HN0040</v>
      </c>
    </row>
    <row r="1664" spans="1:9">
      <c r="A1664" s="14" t="s">
        <v>759</v>
      </c>
      <c r="B1664" s="15" t="s">
        <v>5</v>
      </c>
      <c r="C1664" s="10" t="s">
        <v>760</v>
      </c>
      <c r="D1664" s="16" t="s">
        <v>5450</v>
      </c>
      <c r="E1664" s="15" t="s">
        <v>11215</v>
      </c>
      <c r="F1664" s="16" t="str">
        <f>VLOOKUP(Table8[[#This Row],[Mã khách hàng]],code_khach_hang[],2,0)</f>
        <v>CHI NHÁNH HÀ NỘI - CÔNG TY CỔ PHẦN DỊCH VỤ THƯƠNG MẠI TỔNG HỢP WINCOMMERCE</v>
      </c>
      <c r="G1664" s="16" t="str">
        <f>VLOOKUP(Table8[[#This Row],[Mã khách hàng]],code_khach_hang[],3,0)</f>
        <v>Miền Bắc đặc biệt 1</v>
      </c>
      <c r="H1664" t="str">
        <f>VLOOKUP(Table8[[#This Row],[Mã khách hàng]],'Khách hàng'!A:D,4,0)</f>
        <v>Food Đức Việt</v>
      </c>
      <c r="I1664" t="str">
        <f>VLOOKUP(Table8[[#This Row],[Mã khách hàng]],'Khách hàng'!A:E,5,0)</f>
        <v>HN0040</v>
      </c>
    </row>
    <row r="1665" spans="1:9">
      <c r="A1665" s="14" t="s">
        <v>777</v>
      </c>
      <c r="B1665" s="15" t="s">
        <v>5</v>
      </c>
      <c r="C1665" s="10" t="s">
        <v>778</v>
      </c>
      <c r="D1665" s="16" t="s">
        <v>5453</v>
      </c>
      <c r="E1665" s="15" t="s">
        <v>11215</v>
      </c>
      <c r="F1665" s="16" t="str">
        <f>VLOOKUP(Table8[[#This Row],[Mã khách hàng]],code_khach_hang[],2,0)</f>
        <v>CHI NHÁNH HÀ NỘI - CÔNG TY CỔ PHẦN DỊCH VỤ THƯƠNG MẠI TỔNG HỢP WINCOMMERCE</v>
      </c>
      <c r="G1665" s="16" t="str">
        <f>VLOOKUP(Table8[[#This Row],[Mã khách hàng]],code_khach_hang[],3,0)</f>
        <v>Miền Bắc đặc biệt 1</v>
      </c>
      <c r="H1665" t="str">
        <f>VLOOKUP(Table8[[#This Row],[Mã khách hàng]],'Khách hàng'!A:D,4,0)</f>
        <v>Food Đức Việt</v>
      </c>
      <c r="I1665" t="str">
        <f>VLOOKUP(Table8[[#This Row],[Mã khách hàng]],'Khách hàng'!A:E,5,0)</f>
        <v>HN0040</v>
      </c>
    </row>
    <row r="1666" spans="1:9">
      <c r="A1666" s="14" t="s">
        <v>792</v>
      </c>
      <c r="B1666" s="15" t="s">
        <v>5</v>
      </c>
      <c r="C1666" s="10" t="s">
        <v>793</v>
      </c>
      <c r="D1666" s="16" t="s">
        <v>5456</v>
      </c>
      <c r="E1666" s="15" t="s">
        <v>11215</v>
      </c>
      <c r="F1666" s="16" t="str">
        <f>VLOOKUP(Table8[[#This Row],[Mã khách hàng]],code_khach_hang[],2,0)</f>
        <v>CHI NHÁNH HÀ NỘI - CÔNG TY CỔ PHẦN DỊCH VỤ THƯƠNG MẠI TỔNG HỢP WINCOMMERCE</v>
      </c>
      <c r="G1666" s="16" t="str">
        <f>VLOOKUP(Table8[[#This Row],[Mã khách hàng]],code_khach_hang[],3,0)</f>
        <v>Miền Bắc đặc biệt 1</v>
      </c>
      <c r="H1666" t="str">
        <f>VLOOKUP(Table8[[#This Row],[Mã khách hàng]],'Khách hàng'!A:D,4,0)</f>
        <v>Food Đức Việt</v>
      </c>
      <c r="I1666" t="str">
        <f>VLOOKUP(Table8[[#This Row],[Mã khách hàng]],'Khách hàng'!A:E,5,0)</f>
        <v>HN0040</v>
      </c>
    </row>
    <row r="1667" spans="1:9">
      <c r="A1667" s="14" t="s">
        <v>4161</v>
      </c>
      <c r="B1667" s="15" t="s">
        <v>5</v>
      </c>
      <c r="C1667" s="10" t="s">
        <v>4162</v>
      </c>
      <c r="D1667" s="16" t="s">
        <v>5459</v>
      </c>
      <c r="E1667" s="15" t="s">
        <v>11215</v>
      </c>
      <c r="F1667" s="16" t="str">
        <f>VLOOKUP(Table8[[#This Row],[Mã khách hàng]],code_khach_hang[],2,0)</f>
        <v>CHI NHÁNH HÀ NỘI - CÔNG TY CỔ PHẦN DỊCH VỤ THƯƠNG MẠI TỔNG HỢP WINCOMMERCE</v>
      </c>
      <c r="G1667" s="16" t="str">
        <f>VLOOKUP(Table8[[#This Row],[Mã khách hàng]],code_khach_hang[],3,0)</f>
        <v>Miền Bắc đặc biệt 1</v>
      </c>
      <c r="H1667" t="str">
        <f>VLOOKUP(Table8[[#This Row],[Mã khách hàng]],'Khách hàng'!A:D,4,0)</f>
        <v>Food Đức Việt</v>
      </c>
      <c r="I1667" t="str">
        <f>VLOOKUP(Table8[[#This Row],[Mã khách hàng]],'Khách hàng'!A:E,5,0)</f>
        <v>HN0040</v>
      </c>
    </row>
    <row r="1668" spans="1:9">
      <c r="A1668" s="14" t="s">
        <v>4110</v>
      </c>
      <c r="B1668" s="15" t="s">
        <v>5</v>
      </c>
      <c r="C1668" s="10" t="s">
        <v>4111</v>
      </c>
      <c r="D1668" s="16" t="s">
        <v>5462</v>
      </c>
      <c r="E1668" s="15" t="s">
        <v>11215</v>
      </c>
      <c r="F1668" s="16" t="str">
        <f>VLOOKUP(Table8[[#This Row],[Mã khách hàng]],code_khach_hang[],2,0)</f>
        <v>CHI NHÁNH HÀ NỘI - CÔNG TY CỔ PHẦN DỊCH VỤ THƯƠNG MẠI TỔNG HỢP WINCOMMERCE</v>
      </c>
      <c r="G1668" s="16" t="str">
        <f>VLOOKUP(Table8[[#This Row],[Mã khách hàng]],code_khach_hang[],3,0)</f>
        <v>Miền Bắc đặc biệt 1</v>
      </c>
      <c r="H1668" t="str">
        <f>VLOOKUP(Table8[[#This Row],[Mã khách hàng]],'Khách hàng'!A:D,4,0)</f>
        <v>Food Đức Việt</v>
      </c>
      <c r="I1668" t="str">
        <f>VLOOKUP(Table8[[#This Row],[Mã khách hàng]],'Khách hàng'!A:E,5,0)</f>
        <v>HN0040</v>
      </c>
    </row>
    <row r="1669" spans="1:9">
      <c r="A1669" s="14" t="s">
        <v>4128</v>
      </c>
      <c r="B1669" s="15" t="s">
        <v>5</v>
      </c>
      <c r="C1669" s="10" t="s">
        <v>4129</v>
      </c>
      <c r="D1669" s="16" t="s">
        <v>5465</v>
      </c>
      <c r="E1669" s="15" t="s">
        <v>11215</v>
      </c>
      <c r="F1669" s="16" t="str">
        <f>VLOOKUP(Table8[[#This Row],[Mã khách hàng]],code_khach_hang[],2,0)</f>
        <v>CHI NHÁNH HÀ NỘI - CÔNG TY CỔ PHẦN DỊCH VỤ THƯƠNG MẠI TỔNG HỢP WINCOMMERCE</v>
      </c>
      <c r="G1669" s="16" t="str">
        <f>VLOOKUP(Table8[[#This Row],[Mã khách hàng]],code_khach_hang[],3,0)</f>
        <v>Miền Bắc đặc biệt 1</v>
      </c>
      <c r="H1669" t="str">
        <f>VLOOKUP(Table8[[#This Row],[Mã khách hàng]],'Khách hàng'!A:D,4,0)</f>
        <v>Food Đức Việt</v>
      </c>
      <c r="I1669" t="str">
        <f>VLOOKUP(Table8[[#This Row],[Mã khách hàng]],'Khách hàng'!A:E,5,0)</f>
        <v>HN0040</v>
      </c>
    </row>
    <row r="1670" spans="1:9">
      <c r="A1670" s="14" t="s">
        <v>4176</v>
      </c>
      <c r="B1670" s="15" t="s">
        <v>5</v>
      </c>
      <c r="C1670" s="10" t="s">
        <v>4177</v>
      </c>
      <c r="D1670" s="16" t="s">
        <v>5468</v>
      </c>
      <c r="E1670" s="15" t="s">
        <v>11215</v>
      </c>
      <c r="F1670" s="16" t="str">
        <f>VLOOKUP(Table8[[#This Row],[Mã khách hàng]],code_khach_hang[],2,0)</f>
        <v>CHI NHÁNH HÀ NỘI - CÔNG TY CỔ PHẦN DỊCH VỤ THƯƠNG MẠI TỔNG HỢP WINCOMMERCE</v>
      </c>
      <c r="G1670" s="16" t="str">
        <f>VLOOKUP(Table8[[#This Row],[Mã khách hàng]],code_khach_hang[],3,0)</f>
        <v>Miền Bắc đặc biệt 1</v>
      </c>
      <c r="H1670" t="str">
        <f>VLOOKUP(Table8[[#This Row],[Mã khách hàng]],'Khách hàng'!A:D,4,0)</f>
        <v>Food Đức Việt</v>
      </c>
      <c r="I1670" t="str">
        <f>VLOOKUP(Table8[[#This Row],[Mã khách hàng]],'Khách hàng'!A:E,5,0)</f>
        <v>HN0040</v>
      </c>
    </row>
    <row r="1671" spans="1:9">
      <c r="A1671" s="14" t="s">
        <v>11123</v>
      </c>
      <c r="B1671" s="15" t="s">
        <v>5</v>
      </c>
      <c r="C1671" s="10" t="s">
        <v>13166</v>
      </c>
      <c r="D1671" s="16" t="s">
        <v>5471</v>
      </c>
      <c r="E1671" s="15" t="s">
        <v>11215</v>
      </c>
      <c r="F1671" s="16" t="str">
        <f>VLOOKUP(Table8[[#This Row],[Mã khách hàng]],code_khach_hang[],2,0)</f>
        <v>CHI NHÁNH HÀ NỘI - CÔNG TY CỔ PHẦN DỊCH VỤ THƯƠNG MẠI TỔNG HỢP WINCOMMERCE</v>
      </c>
      <c r="G1671" s="16" t="str">
        <f>VLOOKUP(Table8[[#This Row],[Mã khách hàng]],code_khach_hang[],3,0)</f>
        <v>Miền Bắc đặc biệt 1</v>
      </c>
      <c r="H1671" t="str">
        <f>VLOOKUP(Table8[[#This Row],[Mã khách hàng]],'Khách hàng'!A:D,4,0)</f>
        <v>Food Đức Việt</v>
      </c>
      <c r="I1671" t="str">
        <f>VLOOKUP(Table8[[#This Row],[Mã khách hàng]],'Khách hàng'!A:E,5,0)</f>
        <v>HN0040</v>
      </c>
    </row>
    <row r="1672" spans="1:9">
      <c r="A1672" s="14" t="s">
        <v>1119</v>
      </c>
      <c r="B1672" s="15" t="s">
        <v>5</v>
      </c>
      <c r="C1672" s="10" t="s">
        <v>1120</v>
      </c>
      <c r="D1672" s="16" t="s">
        <v>5474</v>
      </c>
      <c r="E1672" s="15" t="s">
        <v>11215</v>
      </c>
      <c r="F1672" s="16" t="str">
        <f>VLOOKUP(Table8[[#This Row],[Mã khách hàng]],code_khach_hang[],2,0)</f>
        <v>CHI NHÁNH HÀ NỘI - CÔNG TY CỔ PHẦN DỊCH VỤ THƯƠNG MẠI TỔNG HỢP WINCOMMERCE</v>
      </c>
      <c r="G1672" s="16" t="str">
        <f>VLOOKUP(Table8[[#This Row],[Mã khách hàng]],code_khach_hang[],3,0)</f>
        <v>Miền Bắc đặc biệt 1</v>
      </c>
      <c r="H1672" t="str">
        <f>VLOOKUP(Table8[[#This Row],[Mã khách hàng]],'Khách hàng'!A:D,4,0)</f>
        <v>Food Đức Việt</v>
      </c>
      <c r="I1672" t="str">
        <f>VLOOKUP(Table8[[#This Row],[Mã khách hàng]],'Khách hàng'!A:E,5,0)</f>
        <v>HN0040</v>
      </c>
    </row>
    <row r="1673" spans="1:9">
      <c r="A1673" s="14" t="s">
        <v>1143</v>
      </c>
      <c r="B1673" s="15" t="s">
        <v>5</v>
      </c>
      <c r="C1673" s="10" t="s">
        <v>1144</v>
      </c>
      <c r="D1673" s="16" t="s">
        <v>5477</v>
      </c>
      <c r="E1673" s="15" t="s">
        <v>11215</v>
      </c>
      <c r="F1673" s="16" t="str">
        <f>VLOOKUP(Table8[[#This Row],[Mã khách hàng]],code_khach_hang[],2,0)</f>
        <v>CHI NHÁNH HÀ NỘI - CÔNG TY CỔ PHẦN DỊCH VỤ THƯƠNG MẠI TỔNG HỢP WINCOMMERCE</v>
      </c>
      <c r="G1673" s="16" t="str">
        <f>VLOOKUP(Table8[[#This Row],[Mã khách hàng]],code_khach_hang[],3,0)</f>
        <v>Miền Bắc đặc biệt 1</v>
      </c>
      <c r="H1673" t="str">
        <f>VLOOKUP(Table8[[#This Row],[Mã khách hàng]],'Khách hàng'!A:D,4,0)</f>
        <v>Food Đức Việt</v>
      </c>
      <c r="I1673" t="str">
        <f>VLOOKUP(Table8[[#This Row],[Mã khách hàng]],'Khách hàng'!A:E,5,0)</f>
        <v>HN0040</v>
      </c>
    </row>
    <row r="1674" spans="1:9">
      <c r="A1674" s="14" t="s">
        <v>4383</v>
      </c>
      <c r="B1674" s="15" t="s">
        <v>5</v>
      </c>
      <c r="C1674" s="10" t="s">
        <v>4384</v>
      </c>
      <c r="D1674" s="16" t="s">
        <v>5480</v>
      </c>
      <c r="E1674" s="15" t="s">
        <v>11215</v>
      </c>
      <c r="F1674" s="16" t="str">
        <f>VLOOKUP(Table8[[#This Row],[Mã khách hàng]],code_khach_hang[],2,0)</f>
        <v>CHI NHÁNH HÀ NỘI - CÔNG TY CỔ PHẦN DỊCH VỤ THƯƠNG MẠI TỔNG HỢP WINCOMMERCE</v>
      </c>
      <c r="G1674" s="16" t="str">
        <f>VLOOKUP(Table8[[#This Row],[Mã khách hàng]],code_khach_hang[],3,0)</f>
        <v>Miền Bắc đặc biệt 1</v>
      </c>
      <c r="H1674" t="str">
        <f>VLOOKUP(Table8[[#This Row],[Mã khách hàng]],'Khách hàng'!A:D,4,0)</f>
        <v>Food Đức Việt</v>
      </c>
      <c r="I1674" t="str">
        <f>VLOOKUP(Table8[[#This Row],[Mã khách hàng]],'Khách hàng'!A:E,5,0)</f>
        <v>HN0040</v>
      </c>
    </row>
    <row r="1675" spans="1:9">
      <c r="A1675" s="14" t="s">
        <v>4398</v>
      </c>
      <c r="B1675" s="15" t="s">
        <v>5</v>
      </c>
      <c r="C1675" s="10" t="s">
        <v>4399</v>
      </c>
      <c r="D1675" s="16" t="s">
        <v>5483</v>
      </c>
      <c r="E1675" s="15" t="s">
        <v>11215</v>
      </c>
      <c r="F1675" s="16" t="str">
        <f>VLOOKUP(Table8[[#This Row],[Mã khách hàng]],code_khach_hang[],2,0)</f>
        <v>CHI NHÁNH HÀ NỘI - CÔNG TY CỔ PHẦN DỊCH VỤ THƯƠNG MẠI TỔNG HỢP WINCOMMERCE</v>
      </c>
      <c r="G1675" s="16" t="str">
        <f>VLOOKUP(Table8[[#This Row],[Mã khách hàng]],code_khach_hang[],3,0)</f>
        <v>Miền Bắc đặc biệt 1</v>
      </c>
      <c r="H1675" t="str">
        <f>VLOOKUP(Table8[[#This Row],[Mã khách hàng]],'Khách hàng'!A:D,4,0)</f>
        <v>Food Đức Việt</v>
      </c>
      <c r="I1675" t="str">
        <f>VLOOKUP(Table8[[#This Row],[Mã khách hàng]],'Khách hàng'!A:E,5,0)</f>
        <v>HN0040</v>
      </c>
    </row>
    <row r="1676" spans="1:9">
      <c r="A1676" s="14" t="s">
        <v>4563</v>
      </c>
      <c r="B1676" s="15" t="s">
        <v>5</v>
      </c>
      <c r="C1676" s="10" t="s">
        <v>4564</v>
      </c>
      <c r="D1676" s="16" t="s">
        <v>5486</v>
      </c>
      <c r="E1676" s="15" t="s">
        <v>11215</v>
      </c>
      <c r="F1676" s="16" t="str">
        <f>VLOOKUP(Table8[[#This Row],[Mã khách hàng]],code_khach_hang[],2,0)</f>
        <v>CHI NHÁNH HÀ NỘI - CÔNG TY CỔ PHẦN DỊCH VỤ THƯƠNG MẠI TỔNG HỢP WINCOMMERCE</v>
      </c>
      <c r="G1676" s="16" t="str">
        <f>VLOOKUP(Table8[[#This Row],[Mã khách hàng]],code_khach_hang[],3,0)</f>
        <v>Miền Bắc đặc biệt 1</v>
      </c>
      <c r="H1676" t="str">
        <f>VLOOKUP(Table8[[#This Row],[Mã khách hàng]],'Khách hàng'!A:D,4,0)</f>
        <v>Food Đức Việt</v>
      </c>
      <c r="I1676" t="str">
        <f>VLOOKUP(Table8[[#This Row],[Mã khách hàng]],'Khách hàng'!A:E,5,0)</f>
        <v>HN0040</v>
      </c>
    </row>
    <row r="1677" spans="1:9">
      <c r="A1677" s="14" t="s">
        <v>5277</v>
      </c>
      <c r="B1677" s="15" t="s">
        <v>5</v>
      </c>
      <c r="C1677" s="10" t="s">
        <v>5278</v>
      </c>
      <c r="D1677" s="16" t="s">
        <v>5489</v>
      </c>
      <c r="E1677" s="15" t="s">
        <v>11215</v>
      </c>
      <c r="F1677" s="16" t="str">
        <f>VLOOKUP(Table8[[#This Row],[Mã khách hàng]],code_khach_hang[],2,0)</f>
        <v>CHI NHÁNH HÀ NỘI - CÔNG TY CỔ PHẦN DỊCH VỤ THƯƠNG MẠI TỔNG HỢP WINCOMMERCE</v>
      </c>
      <c r="G1677" s="16" t="str">
        <f>VLOOKUP(Table8[[#This Row],[Mã khách hàng]],code_khach_hang[],3,0)</f>
        <v>Miền Bắc đặc biệt 1</v>
      </c>
      <c r="H1677" t="str">
        <f>VLOOKUP(Table8[[#This Row],[Mã khách hàng]],'Khách hàng'!A:D,4,0)</f>
        <v>Food Đức Việt</v>
      </c>
      <c r="I1677" t="str">
        <f>VLOOKUP(Table8[[#This Row],[Mã khách hàng]],'Khách hàng'!A:E,5,0)</f>
        <v>HN0040</v>
      </c>
    </row>
    <row r="1678" spans="1:9">
      <c r="A1678" s="14" t="s">
        <v>6046</v>
      </c>
      <c r="B1678" s="15" t="s">
        <v>5</v>
      </c>
      <c r="C1678" s="10" t="s">
        <v>6047</v>
      </c>
      <c r="D1678" s="16" t="s">
        <v>5492</v>
      </c>
      <c r="E1678" s="15" t="s">
        <v>11215</v>
      </c>
      <c r="F1678" s="16" t="str">
        <f>VLOOKUP(Table8[[#This Row],[Mã khách hàng]],code_khach_hang[],2,0)</f>
        <v>CHI NHÁNH HÀ NỘI - CÔNG TY CỔ PHẦN DỊCH VỤ THƯƠNG MẠI TỔNG HỢP WINCOMMERCE</v>
      </c>
      <c r="G1678" s="16" t="str">
        <f>VLOOKUP(Table8[[#This Row],[Mã khách hàng]],code_khach_hang[],3,0)</f>
        <v>Miền Bắc đặc biệt 1</v>
      </c>
      <c r="H1678" t="str">
        <f>VLOOKUP(Table8[[#This Row],[Mã khách hàng]],'Khách hàng'!A:D,4,0)</f>
        <v>Food Đức Việt</v>
      </c>
      <c r="I1678" t="str">
        <f>VLOOKUP(Table8[[#This Row],[Mã khách hàng]],'Khách hàng'!A:E,5,0)</f>
        <v>HN0040</v>
      </c>
    </row>
    <row r="1679" spans="1:9">
      <c r="A1679" s="14" t="s">
        <v>6752</v>
      </c>
      <c r="B1679" s="15" t="s">
        <v>5</v>
      </c>
      <c r="C1679" s="10" t="s">
        <v>6753</v>
      </c>
      <c r="D1679" s="16" t="s">
        <v>5495</v>
      </c>
      <c r="E1679" s="15" t="s">
        <v>11215</v>
      </c>
      <c r="F1679" s="16" t="str">
        <f>VLOOKUP(Table8[[#This Row],[Mã khách hàng]],code_khach_hang[],2,0)</f>
        <v>CHI NHÁNH HÀ NỘI - CÔNG TY CỔ PHẦN DỊCH VỤ THƯƠNG MẠI TỔNG HỢP WINCOMMERCE</v>
      </c>
      <c r="G1679" s="16" t="str">
        <f>VLOOKUP(Table8[[#This Row],[Mã khách hàng]],code_khach_hang[],3,0)</f>
        <v>Miền Bắc đặc biệt 1</v>
      </c>
      <c r="H1679" t="str">
        <f>VLOOKUP(Table8[[#This Row],[Mã khách hàng]],'Khách hàng'!A:D,4,0)</f>
        <v>Food Đức Việt</v>
      </c>
      <c r="I1679" t="str">
        <f>VLOOKUP(Table8[[#This Row],[Mã khách hàng]],'Khách hàng'!A:E,5,0)</f>
        <v>HN0040</v>
      </c>
    </row>
    <row r="1680" spans="1:9">
      <c r="A1680" s="14" t="s">
        <v>6788</v>
      </c>
      <c r="B1680" s="15" t="s">
        <v>5</v>
      </c>
      <c r="C1680" s="10" t="s">
        <v>6789</v>
      </c>
      <c r="D1680" s="16" t="s">
        <v>5498</v>
      </c>
      <c r="E1680" s="15" t="s">
        <v>11215</v>
      </c>
      <c r="F1680" s="16" t="str">
        <f>VLOOKUP(Table8[[#This Row],[Mã khách hàng]],code_khach_hang[],2,0)</f>
        <v>CHI NHÁNH HÀ NỘI - CÔNG TY CỔ PHẦN DỊCH VỤ THƯƠNG MẠI TỔNG HỢP WINCOMMERCE</v>
      </c>
      <c r="G1680" s="16" t="str">
        <f>VLOOKUP(Table8[[#This Row],[Mã khách hàng]],code_khach_hang[],3,0)</f>
        <v>Miền Bắc đặc biệt 1</v>
      </c>
      <c r="H1680" t="str">
        <f>VLOOKUP(Table8[[#This Row],[Mã khách hàng]],'Khách hàng'!A:D,4,0)</f>
        <v>Food Đức Việt</v>
      </c>
      <c r="I1680" t="str">
        <f>VLOOKUP(Table8[[#This Row],[Mã khách hàng]],'Khách hàng'!A:E,5,0)</f>
        <v>HN0040</v>
      </c>
    </row>
    <row r="1681" spans="1:9">
      <c r="A1681" s="14" t="s">
        <v>7010</v>
      </c>
      <c r="B1681" s="15" t="s">
        <v>5</v>
      </c>
      <c r="C1681" s="10" t="s">
        <v>7011</v>
      </c>
      <c r="D1681" s="16" t="s">
        <v>5501</v>
      </c>
      <c r="E1681" s="15" t="s">
        <v>11215</v>
      </c>
      <c r="F1681" s="16" t="str">
        <f>VLOOKUP(Table8[[#This Row],[Mã khách hàng]],code_khach_hang[],2,0)</f>
        <v>CHI NHÁNH HÀ NỘI - CÔNG TY CỔ PHẦN DỊCH VỤ THƯƠNG MẠI TỔNG HỢP WINCOMMERCE</v>
      </c>
      <c r="G1681" s="16" t="str">
        <f>VLOOKUP(Table8[[#This Row],[Mã khách hàng]],code_khach_hang[],3,0)</f>
        <v>Miền Bắc đặc biệt 1</v>
      </c>
      <c r="H1681" t="str">
        <f>VLOOKUP(Table8[[#This Row],[Mã khách hàng]],'Khách hàng'!A:D,4,0)</f>
        <v>Food Đức Việt</v>
      </c>
      <c r="I1681" t="str">
        <f>VLOOKUP(Table8[[#This Row],[Mã khách hàng]],'Khách hàng'!A:E,5,0)</f>
        <v>HN0040</v>
      </c>
    </row>
    <row r="1682" spans="1:9">
      <c r="A1682" s="14" t="s">
        <v>7514</v>
      </c>
      <c r="B1682" s="15" t="s">
        <v>5</v>
      </c>
      <c r="C1682" s="10" t="s">
        <v>7515</v>
      </c>
      <c r="D1682" s="16" t="s">
        <v>5504</v>
      </c>
      <c r="E1682" s="15" t="s">
        <v>11215</v>
      </c>
      <c r="F1682" s="16" t="str">
        <f>VLOOKUP(Table8[[#This Row],[Mã khách hàng]],code_khach_hang[],2,0)</f>
        <v>CHI NHÁNH HÀ NỘI - CÔNG TY CỔ PHẦN DỊCH VỤ THƯƠNG MẠI TỔNG HỢP WINCOMMERCE</v>
      </c>
      <c r="G1682" s="16" t="str">
        <f>VLOOKUP(Table8[[#This Row],[Mã khách hàng]],code_khach_hang[],3,0)</f>
        <v>Miền Bắc đặc biệt 1</v>
      </c>
      <c r="H1682" t="str">
        <f>VLOOKUP(Table8[[#This Row],[Mã khách hàng]],'Khách hàng'!A:D,4,0)</f>
        <v>Food Đức Việt</v>
      </c>
      <c r="I1682" t="str">
        <f>VLOOKUP(Table8[[#This Row],[Mã khách hàng]],'Khách hàng'!A:E,5,0)</f>
        <v>HN0040</v>
      </c>
    </row>
    <row r="1683" spans="1:9">
      <c r="A1683" s="14" t="s">
        <v>885</v>
      </c>
      <c r="B1683" s="15" t="s">
        <v>5</v>
      </c>
      <c r="C1683" s="10" t="s">
        <v>886</v>
      </c>
      <c r="D1683" s="16" t="s">
        <v>5507</v>
      </c>
      <c r="E1683" s="15" t="s">
        <v>11215</v>
      </c>
      <c r="F1683" s="16" t="str">
        <f>VLOOKUP(Table8[[#This Row],[Mã khách hàng]],code_khach_hang[],2,0)</f>
        <v>CHI NHÁNH HÀ NỘI - CÔNG TY CỔ PHẦN DỊCH VỤ THƯƠNG MẠI TỔNG HỢP WINCOMMERCE</v>
      </c>
      <c r="G1683" s="16" t="str">
        <f>VLOOKUP(Table8[[#This Row],[Mã khách hàng]],code_khach_hang[],3,0)</f>
        <v>Miền Bắc đặc biệt 1</v>
      </c>
      <c r="H1683" t="str">
        <f>VLOOKUP(Table8[[#This Row],[Mã khách hàng]],'Khách hàng'!A:D,4,0)</f>
        <v>Food Đức Việt</v>
      </c>
      <c r="I1683" t="str">
        <f>VLOOKUP(Table8[[#This Row],[Mã khách hàng]],'Khách hàng'!A:E,5,0)</f>
        <v>HN0040</v>
      </c>
    </row>
    <row r="1684" spans="1:9">
      <c r="A1684" s="14" t="s">
        <v>1179</v>
      </c>
      <c r="B1684" s="15" t="s">
        <v>5</v>
      </c>
      <c r="C1684" s="10" t="s">
        <v>1180</v>
      </c>
      <c r="D1684" s="16" t="s">
        <v>5510</v>
      </c>
      <c r="E1684" s="15" t="s">
        <v>11215</v>
      </c>
      <c r="F1684" s="16" t="str">
        <f>VLOOKUP(Table8[[#This Row],[Mã khách hàng]],code_khach_hang[],2,0)</f>
        <v>CHI NHÁNH HÀ NỘI - CÔNG TY CỔ PHẦN DỊCH VỤ THƯƠNG MẠI TỔNG HỢP WINCOMMERCE</v>
      </c>
      <c r="G1684" s="16" t="str">
        <f>VLOOKUP(Table8[[#This Row],[Mã khách hàng]],code_khach_hang[],3,0)</f>
        <v>Miền Bắc đặc biệt 1</v>
      </c>
      <c r="H1684" t="str">
        <f>VLOOKUP(Table8[[#This Row],[Mã khách hàng]],'Khách hàng'!A:D,4,0)</f>
        <v>Food Đức Việt</v>
      </c>
      <c r="I1684" t="str">
        <f>VLOOKUP(Table8[[#This Row],[Mã khách hàng]],'Khách hàng'!A:E,5,0)</f>
        <v>HN0040</v>
      </c>
    </row>
    <row r="1685" spans="1:9">
      <c r="A1685" s="14" t="s">
        <v>4407</v>
      </c>
      <c r="B1685" s="15" t="s">
        <v>5</v>
      </c>
      <c r="C1685" s="10" t="s">
        <v>4408</v>
      </c>
      <c r="D1685" s="16" t="s">
        <v>5513</v>
      </c>
      <c r="E1685" s="15" t="s">
        <v>11215</v>
      </c>
      <c r="F1685" s="16" t="str">
        <f>VLOOKUP(Table8[[#This Row],[Mã khách hàng]],code_khach_hang[],2,0)</f>
        <v>CHI NHÁNH HÀ NỘI - CÔNG TY CỔ PHẦN DỊCH VỤ THƯƠNG MẠI TỔNG HỢP WINCOMMERCE</v>
      </c>
      <c r="G1685" s="16" t="str">
        <f>VLOOKUP(Table8[[#This Row],[Mã khách hàng]],code_khach_hang[],3,0)</f>
        <v>Miền Bắc đặc biệt 1</v>
      </c>
      <c r="H1685" t="str">
        <f>VLOOKUP(Table8[[#This Row],[Mã khách hàng]],'Khách hàng'!A:D,4,0)</f>
        <v>Food Đức Việt</v>
      </c>
      <c r="I1685" t="str">
        <f>VLOOKUP(Table8[[#This Row],[Mã khách hàng]],'Khách hàng'!A:E,5,0)</f>
        <v>HN0040</v>
      </c>
    </row>
    <row r="1686" spans="1:9">
      <c r="A1686" s="14" t="s">
        <v>4629</v>
      </c>
      <c r="B1686" s="15" t="s">
        <v>5</v>
      </c>
      <c r="C1686" s="10" t="s">
        <v>4630</v>
      </c>
      <c r="D1686" s="16" t="s">
        <v>5516</v>
      </c>
      <c r="E1686" s="15" t="s">
        <v>11215</v>
      </c>
      <c r="F1686" s="16" t="str">
        <f>VLOOKUP(Table8[[#This Row],[Mã khách hàng]],code_khach_hang[],2,0)</f>
        <v>CHI NHÁNH HÀ NỘI - CÔNG TY CỔ PHẦN DỊCH VỤ THƯƠNG MẠI TỔNG HỢP WINCOMMERCE</v>
      </c>
      <c r="G1686" s="16" t="str">
        <f>VLOOKUP(Table8[[#This Row],[Mã khách hàng]],code_khach_hang[],3,0)</f>
        <v>Miền Bắc đặc biệt 1</v>
      </c>
      <c r="H1686" t="str">
        <f>VLOOKUP(Table8[[#This Row],[Mã khách hàng]],'Khách hàng'!A:D,4,0)</f>
        <v>Food Đức Việt</v>
      </c>
      <c r="I1686" t="str">
        <f>VLOOKUP(Table8[[#This Row],[Mã khách hàng]],'Khách hàng'!A:E,5,0)</f>
        <v>HN0040</v>
      </c>
    </row>
    <row r="1687" spans="1:9">
      <c r="A1687" s="14" t="s">
        <v>4659</v>
      </c>
      <c r="B1687" s="15" t="s">
        <v>5</v>
      </c>
      <c r="C1687" s="10" t="s">
        <v>4660</v>
      </c>
      <c r="D1687" s="16" t="s">
        <v>5519</v>
      </c>
      <c r="E1687" s="15" t="s">
        <v>11215</v>
      </c>
      <c r="F1687" s="16" t="str">
        <f>VLOOKUP(Table8[[#This Row],[Mã khách hàng]],code_khach_hang[],2,0)</f>
        <v>CHI NHÁNH HÀ NỘI - CÔNG TY CỔ PHẦN DỊCH VỤ THƯƠNG MẠI TỔNG HỢP WINCOMMERCE</v>
      </c>
      <c r="G1687" s="16" t="str">
        <f>VLOOKUP(Table8[[#This Row],[Mã khách hàng]],code_khach_hang[],3,0)</f>
        <v>Miền Bắc đặc biệt 1</v>
      </c>
      <c r="H1687" t="str">
        <f>VLOOKUP(Table8[[#This Row],[Mã khách hàng]],'Khách hàng'!A:D,4,0)</f>
        <v>Food Đức Việt</v>
      </c>
      <c r="I1687" t="str">
        <f>VLOOKUP(Table8[[#This Row],[Mã khách hàng]],'Khách hàng'!A:E,5,0)</f>
        <v>HN0040</v>
      </c>
    </row>
    <row r="1688" spans="1:9">
      <c r="A1688" s="14" t="s">
        <v>4803</v>
      </c>
      <c r="B1688" s="15" t="s">
        <v>5</v>
      </c>
      <c r="C1688" s="10" t="s">
        <v>4804</v>
      </c>
      <c r="D1688" s="16" t="s">
        <v>5522</v>
      </c>
      <c r="E1688" s="15" t="s">
        <v>11215</v>
      </c>
      <c r="F1688" s="16" t="str">
        <f>VLOOKUP(Table8[[#This Row],[Mã khách hàng]],code_khach_hang[],2,0)</f>
        <v>CHI NHÁNH HÀ NỘI - CÔNG TY CỔ PHẦN DỊCH VỤ THƯƠNG MẠI TỔNG HỢP WINCOMMERCE</v>
      </c>
      <c r="G1688" s="16" t="str">
        <f>VLOOKUP(Table8[[#This Row],[Mã khách hàng]],code_khach_hang[],3,0)</f>
        <v>Miền Bắc đặc biệt 1</v>
      </c>
      <c r="H1688" t="str">
        <f>VLOOKUP(Table8[[#This Row],[Mã khách hàng]],'Khách hàng'!A:D,4,0)</f>
        <v>Food Đức Việt</v>
      </c>
      <c r="I1688" t="str">
        <f>VLOOKUP(Table8[[#This Row],[Mã khách hàng]],'Khách hàng'!A:E,5,0)</f>
        <v>HN0040</v>
      </c>
    </row>
    <row r="1689" spans="1:9">
      <c r="A1689" s="14" t="s">
        <v>5591</v>
      </c>
      <c r="B1689" s="15" t="s">
        <v>5</v>
      </c>
      <c r="C1689" s="10" t="s">
        <v>5592</v>
      </c>
      <c r="D1689" s="16" t="s">
        <v>5525</v>
      </c>
      <c r="E1689" s="15" t="s">
        <v>11215</v>
      </c>
      <c r="F1689" s="16" t="str">
        <f>VLOOKUP(Table8[[#This Row],[Mã khách hàng]],code_khach_hang[],2,0)</f>
        <v>CHI NHÁNH HÀ NỘI - CÔNG TY CỔ PHẦN DỊCH VỤ THƯƠNG MẠI TỔNG HỢP WINCOMMERCE</v>
      </c>
      <c r="G1689" s="16" t="str">
        <f>VLOOKUP(Table8[[#This Row],[Mã khách hàng]],code_khach_hang[],3,0)</f>
        <v>Miền Bắc đặc biệt 1</v>
      </c>
      <c r="H1689" t="str">
        <f>VLOOKUP(Table8[[#This Row],[Mã khách hàng]],'Khách hàng'!A:D,4,0)</f>
        <v>Food Đức Việt</v>
      </c>
      <c r="I1689" t="str">
        <f>VLOOKUP(Table8[[#This Row],[Mã khách hàng]],'Khách hàng'!A:E,5,0)</f>
        <v>HN0040</v>
      </c>
    </row>
    <row r="1690" spans="1:9">
      <c r="A1690" s="14" t="s">
        <v>7613</v>
      </c>
      <c r="B1690" s="15" t="s">
        <v>5</v>
      </c>
      <c r="C1690" s="10" t="s">
        <v>7614</v>
      </c>
      <c r="D1690" s="16" t="s">
        <v>5528</v>
      </c>
      <c r="E1690" s="15" t="s">
        <v>11215</v>
      </c>
      <c r="F1690" s="16" t="str">
        <f>VLOOKUP(Table8[[#This Row],[Mã khách hàng]],code_khach_hang[],2,0)</f>
        <v>CHI NHÁNH HÀ NỘI - CÔNG TY CỔ PHẦN DỊCH VỤ THƯƠNG MẠI TỔNG HỢP WINCOMMERCE</v>
      </c>
      <c r="G1690" s="16" t="str">
        <f>VLOOKUP(Table8[[#This Row],[Mã khách hàng]],code_khach_hang[],3,0)</f>
        <v>Miền Bắc đặc biệt 1</v>
      </c>
      <c r="H1690" t="str">
        <f>VLOOKUP(Table8[[#This Row],[Mã khách hàng]],'Khách hàng'!A:D,4,0)</f>
        <v>Food Đức Việt</v>
      </c>
      <c r="I1690" t="str">
        <f>VLOOKUP(Table8[[#This Row],[Mã khách hàng]],'Khách hàng'!A:E,5,0)</f>
        <v>HN0040</v>
      </c>
    </row>
    <row r="1691" spans="1:9">
      <c r="A1691" s="14" t="s">
        <v>7804</v>
      </c>
      <c r="B1691" s="15" t="s">
        <v>5</v>
      </c>
      <c r="C1691" s="10" t="s">
        <v>7805</v>
      </c>
      <c r="D1691" s="16" t="s">
        <v>5531</v>
      </c>
      <c r="E1691" s="15" t="s">
        <v>11215</v>
      </c>
      <c r="F1691" s="16" t="str">
        <f>VLOOKUP(Table8[[#This Row],[Mã khách hàng]],code_khach_hang[],2,0)</f>
        <v>CHI NHÁNH HÀ NỘI - CÔNG TY CỔ PHẦN DỊCH VỤ THƯƠNG MẠI TỔNG HỢP WINCOMMERCE</v>
      </c>
      <c r="G1691" s="16" t="str">
        <f>VLOOKUP(Table8[[#This Row],[Mã khách hàng]],code_khach_hang[],3,0)</f>
        <v>Miền Bắc đặc biệt 1</v>
      </c>
      <c r="H1691" t="str">
        <f>VLOOKUP(Table8[[#This Row],[Mã khách hàng]],'Khách hàng'!A:D,4,0)</f>
        <v>Food Đức Việt</v>
      </c>
      <c r="I1691" t="str">
        <f>VLOOKUP(Table8[[#This Row],[Mã khách hàng]],'Khách hàng'!A:E,5,0)</f>
        <v>HN0040</v>
      </c>
    </row>
    <row r="1692" spans="1:9">
      <c r="A1692" s="14" t="s">
        <v>7837</v>
      </c>
      <c r="B1692" s="15" t="s">
        <v>5</v>
      </c>
      <c r="C1692" s="10" t="s">
        <v>7838</v>
      </c>
      <c r="D1692" s="16" t="s">
        <v>5534</v>
      </c>
      <c r="E1692" s="15" t="s">
        <v>11215</v>
      </c>
      <c r="F1692" s="16" t="str">
        <f>VLOOKUP(Table8[[#This Row],[Mã khách hàng]],code_khach_hang[],2,0)</f>
        <v>CHI NHÁNH HÀ NỘI - CÔNG TY CỔ PHẦN DỊCH VỤ THƯƠNG MẠI TỔNG HỢP WINCOMMERCE</v>
      </c>
      <c r="G1692" s="16" t="str">
        <f>VLOOKUP(Table8[[#This Row],[Mã khách hàng]],code_khach_hang[],3,0)</f>
        <v>Miền Bắc đặc biệt 1</v>
      </c>
      <c r="H1692" t="str">
        <f>VLOOKUP(Table8[[#This Row],[Mã khách hàng]],'Khách hàng'!A:D,4,0)</f>
        <v>Food Đức Việt</v>
      </c>
      <c r="I1692" t="str">
        <f>VLOOKUP(Table8[[#This Row],[Mã khách hàng]],'Khách hàng'!A:E,5,0)</f>
        <v>HN0040</v>
      </c>
    </row>
    <row r="1693" spans="1:9">
      <c r="A1693" s="14" t="s">
        <v>7849</v>
      </c>
      <c r="B1693" s="15" t="s">
        <v>5</v>
      </c>
      <c r="C1693" s="10" t="s">
        <v>7850</v>
      </c>
      <c r="D1693" s="16" t="s">
        <v>5537</v>
      </c>
      <c r="E1693" s="15" t="s">
        <v>11215</v>
      </c>
      <c r="F1693" s="16" t="str">
        <f>VLOOKUP(Table8[[#This Row],[Mã khách hàng]],code_khach_hang[],2,0)</f>
        <v>CHI NHÁNH HÀ NỘI - CÔNG TY CỔ PHẦN DỊCH VỤ THƯƠNG MẠI TỔNG HỢP WINCOMMERCE</v>
      </c>
      <c r="G1693" s="16" t="str">
        <f>VLOOKUP(Table8[[#This Row],[Mã khách hàng]],code_khach_hang[],3,0)</f>
        <v>Miền Bắc đặc biệt 1</v>
      </c>
      <c r="H1693" t="str">
        <f>VLOOKUP(Table8[[#This Row],[Mã khách hàng]],'Khách hàng'!A:D,4,0)</f>
        <v>Food Đức Việt</v>
      </c>
      <c r="I1693" t="str">
        <f>VLOOKUP(Table8[[#This Row],[Mã khách hàng]],'Khách hàng'!A:E,5,0)</f>
        <v>HN0040</v>
      </c>
    </row>
    <row r="1694" spans="1:9">
      <c r="A1694" s="14" t="s">
        <v>8169</v>
      </c>
      <c r="B1694" s="15" t="s">
        <v>5</v>
      </c>
      <c r="C1694" s="10" t="s">
        <v>8170</v>
      </c>
      <c r="D1694" s="16" t="s">
        <v>5540</v>
      </c>
      <c r="E1694" s="15" t="s">
        <v>11215</v>
      </c>
      <c r="F1694" s="16" t="str">
        <f>VLOOKUP(Table8[[#This Row],[Mã khách hàng]],code_khach_hang[],2,0)</f>
        <v>CHI NHÁNH HÀ NỘI - CÔNG TY CỔ PHẦN DỊCH VỤ THƯƠNG MẠI TỔNG HỢP WINCOMMERCE</v>
      </c>
      <c r="G1694" s="16" t="str">
        <f>VLOOKUP(Table8[[#This Row],[Mã khách hàng]],code_khach_hang[],3,0)</f>
        <v>Miền Bắc đặc biệt 1</v>
      </c>
      <c r="H1694" t="str">
        <f>VLOOKUP(Table8[[#This Row],[Mã khách hàng]],'Khách hàng'!A:D,4,0)</f>
        <v>Food Đức Việt</v>
      </c>
      <c r="I1694" t="str">
        <f>VLOOKUP(Table8[[#This Row],[Mã khách hàng]],'Khách hàng'!A:E,5,0)</f>
        <v>HN0040</v>
      </c>
    </row>
    <row r="1695" spans="1:9">
      <c r="A1695" s="14" t="s">
        <v>4293</v>
      </c>
      <c r="B1695" s="15" t="s">
        <v>5</v>
      </c>
      <c r="C1695" s="10" t="s">
        <v>4294</v>
      </c>
      <c r="D1695" s="16" t="s">
        <v>5543</v>
      </c>
      <c r="E1695" s="15" t="s">
        <v>11215</v>
      </c>
      <c r="F1695" s="16" t="str">
        <f>VLOOKUP(Table8[[#This Row],[Mã khách hàng]],code_khach_hang[],2,0)</f>
        <v>CHI NHÁNH HÀ NỘI - CÔNG TY CỔ PHẦN DỊCH VỤ THƯƠNG MẠI TỔNG HỢP WINCOMMERCE</v>
      </c>
      <c r="G1695" s="16" t="str">
        <f>VLOOKUP(Table8[[#This Row],[Mã khách hàng]],code_khach_hang[],3,0)</f>
        <v>Miền Bắc đặc biệt 1</v>
      </c>
      <c r="H1695" t="str">
        <f>VLOOKUP(Table8[[#This Row],[Mã khách hàng]],'Khách hàng'!A:D,4,0)</f>
        <v>Food Đức Việt</v>
      </c>
      <c r="I1695" t="str">
        <f>VLOOKUP(Table8[[#This Row],[Mã khách hàng]],'Khách hàng'!A:E,5,0)</f>
        <v>HN0040</v>
      </c>
    </row>
    <row r="1696" spans="1:9">
      <c r="A1696" s="14" t="s">
        <v>5647</v>
      </c>
      <c r="B1696" s="15" t="s">
        <v>5</v>
      </c>
      <c r="C1696" s="10" t="s">
        <v>5648</v>
      </c>
      <c r="D1696" s="16" t="s">
        <v>5546</v>
      </c>
      <c r="E1696" s="15" t="s">
        <v>11215</v>
      </c>
      <c r="F1696" s="16" t="str">
        <f>VLOOKUP(Table8[[#This Row],[Mã khách hàng]],code_khach_hang[],2,0)</f>
        <v>CHI NHÁNH HÀ NỘI - CÔNG TY CỔ PHẦN DỊCH VỤ THƯƠNG MẠI TỔNG HỢP WINCOMMERCE</v>
      </c>
      <c r="G1696" s="16" t="str">
        <f>VLOOKUP(Table8[[#This Row],[Mã khách hàng]],code_khach_hang[],3,0)</f>
        <v>Miền Bắc đặc biệt 1</v>
      </c>
      <c r="H1696" t="str">
        <f>VLOOKUP(Table8[[#This Row],[Mã khách hàng]],'Khách hàng'!A:D,4,0)</f>
        <v>Food Đức Việt</v>
      </c>
      <c r="I1696" t="str">
        <f>VLOOKUP(Table8[[#This Row],[Mã khách hàng]],'Khách hàng'!A:E,5,0)</f>
        <v>HN0040</v>
      </c>
    </row>
    <row r="1697" spans="1:9">
      <c r="A1697" s="14" t="s">
        <v>1020</v>
      </c>
      <c r="B1697" s="15" t="s">
        <v>5</v>
      </c>
      <c r="C1697" s="10" t="s">
        <v>1021</v>
      </c>
      <c r="D1697" s="16" t="s">
        <v>5549</v>
      </c>
      <c r="E1697" s="15" t="s">
        <v>11215</v>
      </c>
      <c r="F1697" s="16" t="str">
        <f>VLOOKUP(Table8[[#This Row],[Mã khách hàng]],code_khach_hang[],2,0)</f>
        <v>CHI NHÁNH HÀ NỘI - CÔNG TY CỔ PHẦN DỊCH VỤ THƯƠNG MẠI TỔNG HỢP WINCOMMERCE</v>
      </c>
      <c r="G1697" s="16" t="str">
        <f>VLOOKUP(Table8[[#This Row],[Mã khách hàng]],code_khach_hang[],3,0)</f>
        <v>Miền Bắc đặc biệt 1</v>
      </c>
      <c r="H1697" t="str">
        <f>VLOOKUP(Table8[[#This Row],[Mã khách hàng]],'Khách hàng'!A:D,4,0)</f>
        <v>Food Đức Việt</v>
      </c>
      <c r="I1697" t="str">
        <f>VLOOKUP(Table8[[#This Row],[Mã khách hàng]],'Khách hàng'!A:E,5,0)</f>
        <v>HN0040</v>
      </c>
    </row>
    <row r="1698" spans="1:9">
      <c r="A1698" s="14" t="s">
        <v>8883</v>
      </c>
      <c r="B1698" s="15" t="s">
        <v>5</v>
      </c>
      <c r="C1698" s="10" t="s">
        <v>8884</v>
      </c>
      <c r="D1698" s="16" t="s">
        <v>5552</v>
      </c>
      <c r="E1698" s="15" t="s">
        <v>11215</v>
      </c>
      <c r="F1698" s="16" t="str">
        <f>VLOOKUP(Table8[[#This Row],[Mã khách hàng]],code_khach_hang[],2,0)</f>
        <v>CHI NHÁNH HÀ NỘI - CÔNG TY CỔ PHẦN DỊCH VỤ THƯƠNG MẠI TỔNG HỢP WINCOMMERCE</v>
      </c>
      <c r="G1698" s="16" t="str">
        <f>VLOOKUP(Table8[[#This Row],[Mã khách hàng]],code_khach_hang[],3,0)</f>
        <v>Miền Bắc đặc biệt 1</v>
      </c>
      <c r="H1698" t="str">
        <f>VLOOKUP(Table8[[#This Row],[Mã khách hàng]],'Khách hàng'!A:D,4,0)</f>
        <v>Food Đức Việt</v>
      </c>
      <c r="I1698" t="str">
        <f>VLOOKUP(Table8[[#This Row],[Mã khách hàng]],'Khách hàng'!A:E,5,0)</f>
        <v>HN0040</v>
      </c>
    </row>
    <row r="1699" spans="1:9">
      <c r="A1699" s="14" t="s">
        <v>1089</v>
      </c>
      <c r="B1699" s="15" t="s">
        <v>5</v>
      </c>
      <c r="C1699" s="10" t="s">
        <v>1090</v>
      </c>
      <c r="D1699" s="16" t="s">
        <v>5555</v>
      </c>
      <c r="E1699" s="15" t="s">
        <v>11215</v>
      </c>
      <c r="F1699" s="16" t="str">
        <f>VLOOKUP(Table8[[#This Row],[Mã khách hàng]],code_khach_hang[],2,0)</f>
        <v>CHI NHÁNH HÀ NỘI - CÔNG TY CỔ PHẦN DỊCH VỤ THƯƠNG MẠI TỔNG HỢP WINCOMMERCE</v>
      </c>
      <c r="G1699" s="16" t="str">
        <f>VLOOKUP(Table8[[#This Row],[Mã khách hàng]],code_khach_hang[],3,0)</f>
        <v>Miền Bắc đặc biệt 1</v>
      </c>
      <c r="H1699" t="str">
        <f>VLOOKUP(Table8[[#This Row],[Mã khách hàng]],'Khách hàng'!A:D,4,0)</f>
        <v>Food Đức Việt</v>
      </c>
      <c r="I1699" t="str">
        <f>VLOOKUP(Table8[[#This Row],[Mã khách hàng]],'Khách hàng'!A:E,5,0)</f>
        <v>HN0040</v>
      </c>
    </row>
    <row r="1700" spans="1:9">
      <c r="A1700" s="14" t="s">
        <v>7274</v>
      </c>
      <c r="B1700" s="15" t="s">
        <v>5</v>
      </c>
      <c r="C1700" s="10" t="s">
        <v>7275</v>
      </c>
      <c r="D1700" s="16" t="s">
        <v>5558</v>
      </c>
      <c r="E1700" s="15" t="s">
        <v>11215</v>
      </c>
      <c r="F1700" s="16" t="str">
        <f>VLOOKUP(Table8[[#This Row],[Mã khách hàng]],code_khach_hang[],2,0)</f>
        <v>CHI NHÁNH HÀ NỘI - CÔNG TY CỔ PHẦN DỊCH VỤ THƯƠNG MẠI TỔNG HỢP WINCOMMERCE</v>
      </c>
      <c r="G1700" s="16" t="str">
        <f>VLOOKUP(Table8[[#This Row],[Mã khách hàng]],code_khach_hang[],3,0)</f>
        <v>Miền Bắc đặc biệt 1</v>
      </c>
      <c r="H1700" t="str">
        <f>VLOOKUP(Table8[[#This Row],[Mã khách hàng]],'Khách hàng'!A:D,4,0)</f>
        <v>Food Đức Việt</v>
      </c>
      <c r="I1700" t="str">
        <f>VLOOKUP(Table8[[#This Row],[Mã khách hàng]],'Khách hàng'!A:E,5,0)</f>
        <v>HN0040</v>
      </c>
    </row>
    <row r="1701" spans="1:9">
      <c r="A1701" s="14" t="s">
        <v>942</v>
      </c>
      <c r="B1701" s="15" t="s">
        <v>5</v>
      </c>
      <c r="C1701" s="10" t="s">
        <v>943</v>
      </c>
      <c r="D1701" s="16" t="s">
        <v>5561</v>
      </c>
      <c r="E1701" s="15" t="s">
        <v>11215</v>
      </c>
      <c r="F1701" s="16" t="str">
        <f>VLOOKUP(Table8[[#This Row],[Mã khách hàng]],code_khach_hang[],2,0)</f>
        <v>CHI NHÁNH HÀ NỘI - CÔNG TY CỔ PHẦN DỊCH VỤ THƯƠNG MẠI TỔNG HỢP WINCOMMERCE</v>
      </c>
      <c r="G1701" s="16" t="str">
        <f>VLOOKUP(Table8[[#This Row],[Mã khách hàng]],code_khach_hang[],3,0)</f>
        <v>Miền Bắc đặc biệt 1</v>
      </c>
      <c r="H1701" t="str">
        <f>VLOOKUP(Table8[[#This Row],[Mã khách hàng]],'Khách hàng'!A:D,4,0)</f>
        <v>Food Đức Việt</v>
      </c>
      <c r="I1701" t="str">
        <f>VLOOKUP(Table8[[#This Row],[Mã khách hàng]],'Khách hàng'!A:E,5,0)</f>
        <v>HN0040</v>
      </c>
    </row>
    <row r="1702" spans="1:9">
      <c r="A1702" s="14" t="s">
        <v>963</v>
      </c>
      <c r="B1702" s="15" t="s">
        <v>5</v>
      </c>
      <c r="C1702" s="10" t="s">
        <v>964</v>
      </c>
      <c r="D1702" s="16" t="s">
        <v>5563</v>
      </c>
      <c r="E1702" s="15" t="s">
        <v>11215</v>
      </c>
      <c r="F1702" s="16" t="str">
        <f>VLOOKUP(Table8[[#This Row],[Mã khách hàng]],code_khach_hang[],2,0)</f>
        <v>CHI NHÁNH HÀ NỘI - CÔNG TY CỔ PHẦN DỊCH VỤ THƯƠNG MẠI TỔNG HỢP WINCOMMERCE</v>
      </c>
      <c r="G1702" s="16" t="str">
        <f>VLOOKUP(Table8[[#This Row],[Mã khách hàng]],code_khach_hang[],3,0)</f>
        <v>Miền Bắc đặc biệt 1</v>
      </c>
      <c r="H1702" t="str">
        <f>VLOOKUP(Table8[[#This Row],[Mã khách hàng]],'Khách hàng'!A:D,4,0)</f>
        <v>Food Đức Việt</v>
      </c>
      <c r="I1702" t="str">
        <f>VLOOKUP(Table8[[#This Row],[Mã khách hàng]],'Khách hàng'!A:E,5,0)</f>
        <v>HN0040</v>
      </c>
    </row>
    <row r="1703" spans="1:9">
      <c r="A1703" s="14" t="s">
        <v>1164</v>
      </c>
      <c r="B1703" s="15" t="s">
        <v>5</v>
      </c>
      <c r="C1703" s="10" t="s">
        <v>1165</v>
      </c>
      <c r="D1703" s="16" t="s">
        <v>5566</v>
      </c>
      <c r="E1703" s="15" t="s">
        <v>11215</v>
      </c>
      <c r="F1703" s="16" t="str">
        <f>VLOOKUP(Table8[[#This Row],[Mã khách hàng]],code_khach_hang[],2,0)</f>
        <v>CHI NHÁNH HÀ NỘI - CÔNG TY CỔ PHẦN DỊCH VỤ THƯƠNG MẠI TỔNG HỢP WINCOMMERCE</v>
      </c>
      <c r="G1703" s="16" t="str">
        <f>VLOOKUP(Table8[[#This Row],[Mã khách hàng]],code_khach_hang[],3,0)</f>
        <v>Miền Bắc đặc biệt 1</v>
      </c>
      <c r="H1703" t="str">
        <f>VLOOKUP(Table8[[#This Row],[Mã khách hàng]],'Khách hàng'!A:D,4,0)</f>
        <v>Food Đức Việt</v>
      </c>
      <c r="I1703" t="str">
        <f>VLOOKUP(Table8[[#This Row],[Mã khách hàng]],'Khách hàng'!A:E,5,0)</f>
        <v>HN0040</v>
      </c>
    </row>
    <row r="1704" spans="1:9">
      <c r="A1704" s="14" t="s">
        <v>4125</v>
      </c>
      <c r="B1704" s="15" t="s">
        <v>5</v>
      </c>
      <c r="C1704" s="10" t="s">
        <v>4126</v>
      </c>
      <c r="D1704" s="16" t="s">
        <v>5569</v>
      </c>
      <c r="E1704" s="15" t="s">
        <v>11215</v>
      </c>
      <c r="F1704" s="16" t="str">
        <f>VLOOKUP(Table8[[#This Row],[Mã khách hàng]],code_khach_hang[],2,0)</f>
        <v>CHI NHÁNH HÀ NỘI - CÔNG TY CỔ PHẦN DỊCH VỤ THƯƠNG MẠI TỔNG HỢP WINCOMMERCE</v>
      </c>
      <c r="G1704" s="16" t="str">
        <f>VLOOKUP(Table8[[#This Row],[Mã khách hàng]],code_khach_hang[],3,0)</f>
        <v>Miền Bắc đặc biệt 1</v>
      </c>
      <c r="H1704" t="str">
        <f>VLOOKUP(Table8[[#This Row],[Mã khách hàng]],'Khách hàng'!A:D,4,0)</f>
        <v>Food Đức Việt</v>
      </c>
      <c r="I1704" t="str">
        <f>VLOOKUP(Table8[[#This Row],[Mã khách hàng]],'Khách hàng'!A:E,5,0)</f>
        <v>HN0040</v>
      </c>
    </row>
    <row r="1705" spans="1:9">
      <c r="A1705" s="14" t="s">
        <v>4584</v>
      </c>
      <c r="B1705" s="15" t="s">
        <v>5</v>
      </c>
      <c r="C1705" s="10" t="s">
        <v>4585</v>
      </c>
      <c r="D1705" s="16" t="s">
        <v>5572</v>
      </c>
      <c r="E1705" s="15" t="s">
        <v>11215</v>
      </c>
      <c r="F1705" s="16" t="str">
        <f>VLOOKUP(Table8[[#This Row],[Mã khách hàng]],code_khach_hang[],2,0)</f>
        <v>CHI NHÁNH HÀ NỘI - CÔNG TY CỔ PHẦN DỊCH VỤ THƯƠNG MẠI TỔNG HỢP WINCOMMERCE</v>
      </c>
      <c r="G1705" s="16" t="str">
        <f>VLOOKUP(Table8[[#This Row],[Mã khách hàng]],code_khach_hang[],3,0)</f>
        <v>Miền Bắc đặc biệt 1</v>
      </c>
      <c r="H1705" t="str">
        <f>VLOOKUP(Table8[[#This Row],[Mã khách hàng]],'Khách hàng'!A:D,4,0)</f>
        <v>Food Đức Việt</v>
      </c>
      <c r="I1705" t="str">
        <f>VLOOKUP(Table8[[#This Row],[Mã khách hàng]],'Khách hàng'!A:E,5,0)</f>
        <v>HN0040</v>
      </c>
    </row>
    <row r="1706" spans="1:9">
      <c r="A1706" s="14" t="s">
        <v>4641</v>
      </c>
      <c r="B1706" s="15" t="s">
        <v>5</v>
      </c>
      <c r="C1706" s="10" t="s">
        <v>4642</v>
      </c>
      <c r="D1706" s="16" t="s">
        <v>5575</v>
      </c>
      <c r="E1706" s="15" t="s">
        <v>11215</v>
      </c>
      <c r="F1706" s="16" t="str">
        <f>VLOOKUP(Table8[[#This Row],[Mã khách hàng]],code_khach_hang[],2,0)</f>
        <v>CHI NHÁNH HÀ NỘI - CÔNG TY CỔ PHẦN DỊCH VỤ THƯƠNG MẠI TỔNG HỢP WINCOMMERCE</v>
      </c>
      <c r="G1706" s="16" t="str">
        <f>VLOOKUP(Table8[[#This Row],[Mã khách hàng]],code_khach_hang[],3,0)</f>
        <v>Miền Bắc đặc biệt 1</v>
      </c>
      <c r="H1706" t="str">
        <f>VLOOKUP(Table8[[#This Row],[Mã khách hàng]],'Khách hàng'!A:D,4,0)</f>
        <v>Food Đức Việt</v>
      </c>
      <c r="I1706" t="str">
        <f>VLOOKUP(Table8[[#This Row],[Mã khách hàng]],'Khách hàng'!A:E,5,0)</f>
        <v>HN0040</v>
      </c>
    </row>
    <row r="1707" spans="1:9">
      <c r="A1707" s="14" t="s">
        <v>4788</v>
      </c>
      <c r="B1707" s="15" t="s">
        <v>5</v>
      </c>
      <c r="C1707" s="10" t="s">
        <v>4789</v>
      </c>
      <c r="D1707" s="16" t="s">
        <v>5578</v>
      </c>
      <c r="E1707" s="15" t="s">
        <v>11215</v>
      </c>
      <c r="F1707" s="16" t="str">
        <f>VLOOKUP(Table8[[#This Row],[Mã khách hàng]],code_khach_hang[],2,0)</f>
        <v>CHI NHÁNH HÀ NỘI - CÔNG TY CỔ PHẦN DỊCH VỤ THƯƠNG MẠI TỔNG HỢP WINCOMMERCE</v>
      </c>
      <c r="G1707" s="16" t="str">
        <f>VLOOKUP(Table8[[#This Row],[Mã khách hàng]],code_khach_hang[],3,0)</f>
        <v>Miền Bắc đặc biệt 1</v>
      </c>
      <c r="H1707" t="str">
        <f>VLOOKUP(Table8[[#This Row],[Mã khách hàng]],'Khách hàng'!A:D,4,0)</f>
        <v>Food Đức Việt</v>
      </c>
      <c r="I1707" t="str">
        <f>VLOOKUP(Table8[[#This Row],[Mã khách hàng]],'Khách hàng'!A:E,5,0)</f>
        <v>HN0040</v>
      </c>
    </row>
    <row r="1708" spans="1:9">
      <c r="A1708" s="14" t="s">
        <v>5097</v>
      </c>
      <c r="B1708" s="15" t="s">
        <v>5</v>
      </c>
      <c r="C1708" s="10" t="s">
        <v>5098</v>
      </c>
      <c r="D1708" s="16" t="s">
        <v>5581</v>
      </c>
      <c r="E1708" s="15" t="s">
        <v>11215</v>
      </c>
      <c r="F1708" s="16" t="str">
        <f>VLOOKUP(Table8[[#This Row],[Mã khách hàng]],code_khach_hang[],2,0)</f>
        <v>CHI NHÁNH HÀ NỘI - CÔNG TY CỔ PHẦN DỊCH VỤ THƯƠNG MẠI TỔNG HỢP WINCOMMERCE</v>
      </c>
      <c r="G1708" s="16" t="str">
        <f>VLOOKUP(Table8[[#This Row],[Mã khách hàng]],code_khach_hang[],3,0)</f>
        <v>Miền Bắc đặc biệt 1</v>
      </c>
      <c r="H1708" t="str">
        <f>VLOOKUP(Table8[[#This Row],[Mã khách hàng]],'Khách hàng'!A:D,4,0)</f>
        <v>Food Đức Việt</v>
      </c>
      <c r="I1708" t="str">
        <f>VLOOKUP(Table8[[#This Row],[Mã khách hàng]],'Khách hàng'!A:E,5,0)</f>
        <v>HN0040</v>
      </c>
    </row>
    <row r="1709" spans="1:9">
      <c r="A1709" s="14" t="s">
        <v>5184</v>
      </c>
      <c r="B1709" s="15" t="s">
        <v>5</v>
      </c>
      <c r="C1709" s="10" t="s">
        <v>5185</v>
      </c>
      <c r="D1709" s="16" t="s">
        <v>5584</v>
      </c>
      <c r="E1709" s="15" t="s">
        <v>11215</v>
      </c>
      <c r="F1709" s="16" t="str">
        <f>VLOOKUP(Table8[[#This Row],[Mã khách hàng]],code_khach_hang[],2,0)</f>
        <v>CHI NHÁNH HÀ NỘI - CÔNG TY CỔ PHẦN DỊCH VỤ THƯƠNG MẠI TỔNG HỢP WINCOMMERCE</v>
      </c>
      <c r="G1709" s="16" t="str">
        <f>VLOOKUP(Table8[[#This Row],[Mã khách hàng]],code_khach_hang[],3,0)</f>
        <v>Miền Bắc đặc biệt 1</v>
      </c>
      <c r="H1709" t="str">
        <f>VLOOKUP(Table8[[#This Row],[Mã khách hàng]],'Khách hàng'!A:D,4,0)</f>
        <v>Food Đức Việt</v>
      </c>
      <c r="I1709" t="str">
        <f>VLOOKUP(Table8[[#This Row],[Mã khách hàng]],'Khách hàng'!A:E,5,0)</f>
        <v>HN0040</v>
      </c>
    </row>
    <row r="1710" spans="1:9">
      <c r="A1710" s="14" t="s">
        <v>5202</v>
      </c>
      <c r="B1710" s="15" t="s">
        <v>5</v>
      </c>
      <c r="C1710" s="10" t="s">
        <v>5203</v>
      </c>
      <c r="D1710" s="16" t="s">
        <v>5587</v>
      </c>
      <c r="E1710" s="15" t="s">
        <v>11215</v>
      </c>
      <c r="F1710" s="16" t="str">
        <f>VLOOKUP(Table8[[#This Row],[Mã khách hàng]],code_khach_hang[],2,0)</f>
        <v>CHI NHÁNH HÀ NỘI - CÔNG TY CỔ PHẦN DỊCH VỤ THƯƠNG MẠI TỔNG HỢP WINCOMMERCE</v>
      </c>
      <c r="G1710" s="16" t="str">
        <f>VLOOKUP(Table8[[#This Row],[Mã khách hàng]],code_khach_hang[],3,0)</f>
        <v>Miền Bắc đặc biệt 1</v>
      </c>
      <c r="H1710" t="str">
        <f>VLOOKUP(Table8[[#This Row],[Mã khách hàng]],'Khách hàng'!A:D,4,0)</f>
        <v>Food Đức Việt</v>
      </c>
      <c r="I1710" t="str">
        <f>VLOOKUP(Table8[[#This Row],[Mã khách hàng]],'Khách hàng'!A:E,5,0)</f>
        <v>HN0040</v>
      </c>
    </row>
    <row r="1711" spans="1:9">
      <c r="A1711" s="14" t="s">
        <v>5214</v>
      </c>
      <c r="B1711" s="15" t="s">
        <v>5</v>
      </c>
      <c r="C1711" s="10" t="s">
        <v>5215</v>
      </c>
      <c r="D1711" s="16" t="s">
        <v>5590</v>
      </c>
      <c r="E1711" s="15" t="s">
        <v>11215</v>
      </c>
      <c r="F1711" s="16" t="str">
        <f>VLOOKUP(Table8[[#This Row],[Mã khách hàng]],code_khach_hang[],2,0)</f>
        <v>CHI NHÁNH HÀ NỘI - CÔNG TY CỔ PHẦN DỊCH VỤ THƯƠNG MẠI TỔNG HỢP WINCOMMERCE</v>
      </c>
      <c r="G1711" s="16" t="str">
        <f>VLOOKUP(Table8[[#This Row],[Mã khách hàng]],code_khach_hang[],3,0)</f>
        <v>Miền Bắc đặc biệt 1</v>
      </c>
      <c r="H1711" t="str">
        <f>VLOOKUP(Table8[[#This Row],[Mã khách hàng]],'Khách hàng'!A:D,4,0)</f>
        <v>Food Đức Việt</v>
      </c>
      <c r="I1711" t="str">
        <f>VLOOKUP(Table8[[#This Row],[Mã khách hàng]],'Khách hàng'!A:E,5,0)</f>
        <v>HN0040</v>
      </c>
    </row>
    <row r="1712" spans="1:9">
      <c r="A1712" s="14" t="s">
        <v>11124</v>
      </c>
      <c r="B1712" s="15" t="s">
        <v>5</v>
      </c>
      <c r="C1712" s="10" t="e">
        <v>#N/A</v>
      </c>
      <c r="D1712" s="16" t="s">
        <v>5593</v>
      </c>
      <c r="E1712" s="14" t="s">
        <v>11215</v>
      </c>
      <c r="F1712" s="16" t="str">
        <f>VLOOKUP(Table8[[#This Row],[Mã khách hàng]],code_khach_hang[],2,0)</f>
        <v>CHI NHÁNH HÀ NỘI - CÔNG TY CỔ PHẦN DỊCH VỤ THƯƠNG MẠI TỔNG HỢP WINCOMMERCE</v>
      </c>
      <c r="G1712" s="16" t="str">
        <f>VLOOKUP(Table8[[#This Row],[Mã khách hàng]],code_khach_hang[],3,0)</f>
        <v>Miền Bắc đặc biệt 1</v>
      </c>
      <c r="H1712" t="str">
        <f>VLOOKUP(Table8[[#This Row],[Mã khách hàng]],'Khách hàng'!A:D,4,0)</f>
        <v>Food Đức Việt</v>
      </c>
      <c r="I1712" t="str">
        <f>VLOOKUP(Table8[[#This Row],[Mã khách hàng]],'Khách hàng'!A:E,5,0)</f>
        <v>HN0040</v>
      </c>
    </row>
    <row r="1713" spans="1:9">
      <c r="A1713" s="14" t="s">
        <v>7715</v>
      </c>
      <c r="B1713" s="15" t="s">
        <v>5</v>
      </c>
      <c r="C1713" s="10" t="s">
        <v>7716</v>
      </c>
      <c r="D1713" s="16" t="s">
        <v>5596</v>
      </c>
      <c r="E1713" s="15" t="s">
        <v>11215</v>
      </c>
      <c r="F1713" s="16" t="str">
        <f>VLOOKUP(Table8[[#This Row],[Mã khách hàng]],code_khach_hang[],2,0)</f>
        <v>CHI NHÁNH HÀ NỘI - CÔNG TY CỔ PHẦN DỊCH VỤ THƯƠNG MẠI TỔNG HỢP WINCOMMERCE</v>
      </c>
      <c r="G1713" s="16" t="str">
        <f>VLOOKUP(Table8[[#This Row],[Mã khách hàng]],code_khach_hang[],3,0)</f>
        <v>Miền Bắc đặc biệt 1</v>
      </c>
      <c r="H1713" t="str">
        <f>VLOOKUP(Table8[[#This Row],[Mã khách hàng]],'Khách hàng'!A:D,4,0)</f>
        <v>Food Đức Việt</v>
      </c>
      <c r="I1713" t="str">
        <f>VLOOKUP(Table8[[#This Row],[Mã khách hàng]],'Khách hàng'!A:E,5,0)</f>
        <v>HN0040</v>
      </c>
    </row>
    <row r="1714" spans="1:9">
      <c r="A1714" s="14" t="s">
        <v>7798</v>
      </c>
      <c r="B1714" s="15" t="s">
        <v>5</v>
      </c>
      <c r="C1714" s="10" t="s">
        <v>7799</v>
      </c>
      <c r="D1714" s="16" t="s">
        <v>5599</v>
      </c>
      <c r="E1714" s="15" t="s">
        <v>11215</v>
      </c>
      <c r="F1714" s="16" t="str">
        <f>VLOOKUP(Table8[[#This Row],[Mã khách hàng]],code_khach_hang[],2,0)</f>
        <v>CHI NHÁNH HÀ NỘI - CÔNG TY CỔ PHẦN DỊCH VỤ THƯƠNG MẠI TỔNG HỢP WINCOMMERCE</v>
      </c>
      <c r="G1714" s="16" t="str">
        <f>VLOOKUP(Table8[[#This Row],[Mã khách hàng]],code_khach_hang[],3,0)</f>
        <v>Miền Bắc đặc biệt 1</v>
      </c>
      <c r="H1714" t="str">
        <f>VLOOKUP(Table8[[#This Row],[Mã khách hàng]],'Khách hàng'!A:D,4,0)</f>
        <v>Food Đức Việt</v>
      </c>
      <c r="I1714" t="str">
        <f>VLOOKUP(Table8[[#This Row],[Mã khách hàng]],'Khách hàng'!A:E,5,0)</f>
        <v>HN0040</v>
      </c>
    </row>
    <row r="1715" spans="1:9">
      <c r="A1715" s="14" t="s">
        <v>906</v>
      </c>
      <c r="B1715" s="15" t="s">
        <v>5</v>
      </c>
      <c r="C1715" s="10" t="s">
        <v>907</v>
      </c>
      <c r="D1715" s="16" t="s">
        <v>5602</v>
      </c>
      <c r="E1715" s="15" t="s">
        <v>11215</v>
      </c>
      <c r="F1715" s="16" t="str">
        <f>VLOOKUP(Table8[[#This Row],[Mã khách hàng]],code_khach_hang[],2,0)</f>
        <v>CHI NHÁNH HÀ NỘI - CÔNG TY CỔ PHẦN DỊCH VỤ THƯƠNG MẠI TỔNG HỢP WINCOMMERCE</v>
      </c>
      <c r="G1715" s="16" t="str">
        <f>VLOOKUP(Table8[[#This Row],[Mã khách hàng]],code_khach_hang[],3,0)</f>
        <v>Miền Bắc đặc biệt 1</v>
      </c>
      <c r="H1715" t="str">
        <f>VLOOKUP(Table8[[#This Row],[Mã khách hàng]],'Khách hàng'!A:D,4,0)</f>
        <v>Food Đức Việt</v>
      </c>
      <c r="I1715" t="str">
        <f>VLOOKUP(Table8[[#This Row],[Mã khách hàng]],'Khách hàng'!A:E,5,0)</f>
        <v>HN0040</v>
      </c>
    </row>
    <row r="1716" spans="1:9">
      <c r="A1716" s="14" t="s">
        <v>4173</v>
      </c>
      <c r="B1716" s="15" t="s">
        <v>5</v>
      </c>
      <c r="C1716" s="10" t="s">
        <v>4174</v>
      </c>
      <c r="D1716" s="16" t="s">
        <v>5605</v>
      </c>
      <c r="E1716" s="15" t="s">
        <v>11215</v>
      </c>
      <c r="F1716" s="16" t="str">
        <f>VLOOKUP(Table8[[#This Row],[Mã khách hàng]],code_khach_hang[],2,0)</f>
        <v>CHI NHÁNH HÀ NỘI - CÔNG TY CỔ PHẦN DỊCH VỤ THƯƠNG MẠI TỔNG HỢP WINCOMMERCE</v>
      </c>
      <c r="G1716" s="16" t="str">
        <f>VLOOKUP(Table8[[#This Row],[Mã khách hàng]],code_khach_hang[],3,0)</f>
        <v>Miền Bắc đặc biệt 1</v>
      </c>
      <c r="H1716" t="str">
        <f>VLOOKUP(Table8[[#This Row],[Mã khách hàng]],'Khách hàng'!A:D,4,0)</f>
        <v>Food Đức Việt</v>
      </c>
      <c r="I1716" t="str">
        <f>VLOOKUP(Table8[[#This Row],[Mã khách hàng]],'Khách hàng'!A:E,5,0)</f>
        <v>HN0040</v>
      </c>
    </row>
    <row r="1717" spans="1:9">
      <c r="A1717" s="14" t="s">
        <v>4197</v>
      </c>
      <c r="B1717" s="15" t="s">
        <v>5</v>
      </c>
      <c r="C1717" s="10" t="s">
        <v>4198</v>
      </c>
      <c r="D1717" s="16" t="s">
        <v>5608</v>
      </c>
      <c r="E1717" s="15" t="s">
        <v>11215</v>
      </c>
      <c r="F1717" s="16" t="str">
        <f>VLOOKUP(Table8[[#This Row],[Mã khách hàng]],code_khach_hang[],2,0)</f>
        <v>CHI NHÁNH HÀ NỘI - CÔNG TY CỔ PHẦN DỊCH VỤ THƯƠNG MẠI TỔNG HỢP WINCOMMERCE</v>
      </c>
      <c r="G1717" s="16" t="str">
        <f>VLOOKUP(Table8[[#This Row],[Mã khách hàng]],code_khach_hang[],3,0)</f>
        <v>Miền Bắc đặc biệt 1</v>
      </c>
      <c r="H1717" t="str">
        <f>VLOOKUP(Table8[[#This Row],[Mã khách hàng]],'Khách hàng'!A:D,4,0)</f>
        <v>Food Đức Việt</v>
      </c>
      <c r="I1717" t="str">
        <f>VLOOKUP(Table8[[#This Row],[Mã khách hàng]],'Khách hàng'!A:E,5,0)</f>
        <v>HN0040</v>
      </c>
    </row>
    <row r="1718" spans="1:9">
      <c r="A1718" s="14" t="s">
        <v>4263</v>
      </c>
      <c r="B1718" s="15" t="s">
        <v>5</v>
      </c>
      <c r="C1718" s="10" t="s">
        <v>4264</v>
      </c>
      <c r="D1718" s="16" t="s">
        <v>5611</v>
      </c>
      <c r="E1718" s="15" t="s">
        <v>11215</v>
      </c>
      <c r="F1718" s="16" t="str">
        <f>VLOOKUP(Table8[[#This Row],[Mã khách hàng]],code_khach_hang[],2,0)</f>
        <v>CHI NHÁNH HÀ NỘI - CÔNG TY CỔ PHẦN DỊCH VỤ THƯƠNG MẠI TỔNG HỢP WINCOMMERCE</v>
      </c>
      <c r="G1718" s="16" t="str">
        <f>VLOOKUP(Table8[[#This Row],[Mã khách hàng]],code_khach_hang[],3,0)</f>
        <v>Miền Bắc đặc biệt 1</v>
      </c>
      <c r="H1718" t="str">
        <f>VLOOKUP(Table8[[#This Row],[Mã khách hàng]],'Khách hàng'!A:D,4,0)</f>
        <v>Food Đức Việt</v>
      </c>
      <c r="I1718" t="str">
        <f>VLOOKUP(Table8[[#This Row],[Mã khách hàng]],'Khách hàng'!A:E,5,0)</f>
        <v>HN0040</v>
      </c>
    </row>
    <row r="1719" spans="1:9">
      <c r="A1719" s="14" t="s">
        <v>6109</v>
      </c>
      <c r="B1719" s="15" t="s">
        <v>5</v>
      </c>
      <c r="C1719" s="10" t="s">
        <v>6110</v>
      </c>
      <c r="D1719" s="16" t="s">
        <v>5614</v>
      </c>
      <c r="E1719" s="15" t="s">
        <v>11215</v>
      </c>
      <c r="F1719" s="16" t="str">
        <f>VLOOKUP(Table8[[#This Row],[Mã khách hàng]],code_khach_hang[],2,0)</f>
        <v>CHI NHÁNH HÀ NỘI - CÔNG TY CỔ PHẦN DỊCH VỤ THƯƠNG MẠI TỔNG HỢP WINCOMMERCE</v>
      </c>
      <c r="G1719" s="16" t="str">
        <f>VLOOKUP(Table8[[#This Row],[Mã khách hàng]],code_khach_hang[],3,0)</f>
        <v>Miền Bắc đặc biệt 1</v>
      </c>
      <c r="H1719" t="str">
        <f>VLOOKUP(Table8[[#This Row],[Mã khách hàng]],'Khách hàng'!A:D,4,0)</f>
        <v>Food Đức Việt</v>
      </c>
      <c r="I1719" t="str">
        <f>VLOOKUP(Table8[[#This Row],[Mã khách hàng]],'Khách hàng'!A:E,5,0)</f>
        <v>HN0040</v>
      </c>
    </row>
    <row r="1720" spans="1:9">
      <c r="A1720" s="14" t="s">
        <v>6124</v>
      </c>
      <c r="B1720" s="15" t="s">
        <v>5</v>
      </c>
      <c r="C1720" s="10" t="s">
        <v>6125</v>
      </c>
      <c r="D1720" s="16" t="s">
        <v>5617</v>
      </c>
      <c r="E1720" s="15" t="s">
        <v>11215</v>
      </c>
      <c r="F1720" s="16" t="str">
        <f>VLOOKUP(Table8[[#This Row],[Mã khách hàng]],code_khach_hang[],2,0)</f>
        <v>CHI NHÁNH HÀ NỘI - CÔNG TY CỔ PHẦN DỊCH VỤ THƯƠNG MẠI TỔNG HỢP WINCOMMERCE</v>
      </c>
      <c r="G1720" s="16" t="str">
        <f>VLOOKUP(Table8[[#This Row],[Mã khách hàng]],code_khach_hang[],3,0)</f>
        <v>Miền Bắc đặc biệt 1</v>
      </c>
      <c r="H1720" t="str">
        <f>VLOOKUP(Table8[[#This Row],[Mã khách hàng]],'Khách hàng'!A:D,4,0)</f>
        <v>Food Đức Việt</v>
      </c>
      <c r="I1720" t="str">
        <f>VLOOKUP(Table8[[#This Row],[Mã khách hàng]],'Khách hàng'!A:E,5,0)</f>
        <v>HN0040</v>
      </c>
    </row>
    <row r="1721" spans="1:9">
      <c r="A1721" s="14" t="s">
        <v>11125</v>
      </c>
      <c r="B1721" s="15" t="s">
        <v>5</v>
      </c>
      <c r="C1721" s="10" t="s">
        <v>13167</v>
      </c>
      <c r="D1721" s="16" t="s">
        <v>5620</v>
      </c>
      <c r="E1721" s="15" t="s">
        <v>11215</v>
      </c>
      <c r="F1721" s="16" t="str">
        <f>VLOOKUP(Table8[[#This Row],[Mã khách hàng]],code_khach_hang[],2,0)</f>
        <v>CHI NHÁNH HÀ NỘI - CÔNG TY CỔ PHẦN DỊCH VỤ THƯƠNG MẠI TỔNG HỢP WINCOMMERCE</v>
      </c>
      <c r="G1721" s="16" t="str">
        <f>VLOOKUP(Table8[[#This Row],[Mã khách hàng]],code_khach_hang[],3,0)</f>
        <v>Miền Bắc đặc biệt 1</v>
      </c>
      <c r="H1721" t="str">
        <f>VLOOKUP(Table8[[#This Row],[Mã khách hàng]],'Khách hàng'!A:D,4,0)</f>
        <v>Food Đức Việt</v>
      </c>
      <c r="I1721" t="str">
        <f>VLOOKUP(Table8[[#This Row],[Mã khách hàng]],'Khách hàng'!A:E,5,0)</f>
        <v>HN0040</v>
      </c>
    </row>
    <row r="1722" spans="1:9">
      <c r="A1722" s="14" t="s">
        <v>1191</v>
      </c>
      <c r="B1722" s="15" t="s">
        <v>5</v>
      </c>
      <c r="C1722" s="10" t="s">
        <v>1192</v>
      </c>
      <c r="D1722" s="16" t="s">
        <v>5623</v>
      </c>
      <c r="E1722" s="15" t="s">
        <v>11215</v>
      </c>
      <c r="F1722" s="16" t="str">
        <f>VLOOKUP(Table8[[#This Row],[Mã khách hàng]],code_khach_hang[],2,0)</f>
        <v>CHI NHÁNH HÀ NỘI - CÔNG TY CỔ PHẦN DỊCH VỤ THƯƠNG MẠI TỔNG HỢP WINCOMMERCE</v>
      </c>
      <c r="G1722" s="16" t="str">
        <f>VLOOKUP(Table8[[#This Row],[Mã khách hàng]],code_khach_hang[],3,0)</f>
        <v>Miền Bắc đặc biệt 1</v>
      </c>
      <c r="H1722" t="str">
        <f>VLOOKUP(Table8[[#This Row],[Mã khách hàng]],'Khách hàng'!A:D,4,0)</f>
        <v>Food Đức Việt</v>
      </c>
      <c r="I1722" t="str">
        <f>VLOOKUP(Table8[[#This Row],[Mã khách hàng]],'Khách hàng'!A:E,5,0)</f>
        <v>HN0040</v>
      </c>
    </row>
    <row r="1723" spans="1:9">
      <c r="A1723" s="14" t="s">
        <v>5917</v>
      </c>
      <c r="B1723" s="15" t="s">
        <v>5</v>
      </c>
      <c r="C1723" s="10" t="s">
        <v>5918</v>
      </c>
      <c r="D1723" s="16" t="s">
        <v>5626</v>
      </c>
      <c r="E1723" s="15" t="s">
        <v>11215</v>
      </c>
      <c r="F1723" s="16" t="str">
        <f>VLOOKUP(Table8[[#This Row],[Mã khách hàng]],code_khach_hang[],2,0)</f>
        <v>CHI NHÁNH HÀ NỘI - CÔNG TY CỔ PHẦN DỊCH VỤ THƯƠNG MẠI TỔNG HỢP WINCOMMERCE</v>
      </c>
      <c r="G1723" s="16" t="str">
        <f>VLOOKUP(Table8[[#This Row],[Mã khách hàng]],code_khach_hang[],3,0)</f>
        <v>Miền Bắc đặc biệt 1</v>
      </c>
      <c r="H1723" t="str">
        <f>VLOOKUP(Table8[[#This Row],[Mã khách hàng]],'Khách hàng'!A:D,4,0)</f>
        <v>Food Đức Việt</v>
      </c>
      <c r="I1723" t="str">
        <f>VLOOKUP(Table8[[#This Row],[Mã khách hàng]],'Khách hàng'!A:E,5,0)</f>
        <v>HN0040</v>
      </c>
    </row>
    <row r="1724" spans="1:9">
      <c r="A1724" s="14" t="s">
        <v>6166</v>
      </c>
      <c r="B1724" s="15" t="s">
        <v>5</v>
      </c>
      <c r="C1724" s="10" t="s">
        <v>6167</v>
      </c>
      <c r="D1724" s="16" t="s">
        <v>5629</v>
      </c>
      <c r="E1724" s="15" t="s">
        <v>11215</v>
      </c>
      <c r="F1724" s="16" t="str">
        <f>VLOOKUP(Table8[[#This Row],[Mã khách hàng]],code_khach_hang[],2,0)</f>
        <v>CHI NHÁNH HÀ NỘI - CÔNG TY CỔ PHẦN DỊCH VỤ THƯƠNG MẠI TỔNG HỢP WINCOMMERCE</v>
      </c>
      <c r="G1724" s="16" t="str">
        <f>VLOOKUP(Table8[[#This Row],[Mã khách hàng]],code_khach_hang[],3,0)</f>
        <v>Miền Bắc đặc biệt 1</v>
      </c>
      <c r="H1724" t="str">
        <f>VLOOKUP(Table8[[#This Row],[Mã khách hàng]],'Khách hàng'!A:D,4,0)</f>
        <v>Food Đức Việt</v>
      </c>
      <c r="I1724" t="str">
        <f>VLOOKUP(Table8[[#This Row],[Mã khách hàng]],'Khách hàng'!A:E,5,0)</f>
        <v>HN0040</v>
      </c>
    </row>
    <row r="1725" spans="1:9">
      <c r="A1725" s="14" t="s">
        <v>8304</v>
      </c>
      <c r="B1725" s="15" t="s">
        <v>5</v>
      </c>
      <c r="C1725" s="10" t="s">
        <v>8305</v>
      </c>
      <c r="D1725" s="16" t="s">
        <v>5632</v>
      </c>
      <c r="E1725" s="15" t="s">
        <v>11215</v>
      </c>
      <c r="F1725" s="16" t="str">
        <f>VLOOKUP(Table8[[#This Row],[Mã khách hàng]],code_khach_hang[],2,0)</f>
        <v>CHI NHÁNH HÀ NỘI - CÔNG TY CỔ PHẦN DỊCH VỤ THƯƠNG MẠI TỔNG HỢP WINCOMMERCE</v>
      </c>
      <c r="G1725" s="16" t="str">
        <f>VLOOKUP(Table8[[#This Row],[Mã khách hàng]],code_khach_hang[],3,0)</f>
        <v>Miền Bắc đặc biệt 1</v>
      </c>
      <c r="H1725" t="str">
        <f>VLOOKUP(Table8[[#This Row],[Mã khách hàng]],'Khách hàng'!A:D,4,0)</f>
        <v>Food Đức Việt</v>
      </c>
      <c r="I1725" t="str">
        <f>VLOOKUP(Table8[[#This Row],[Mã khách hàng]],'Khách hàng'!A:E,5,0)</f>
        <v>HN0040</v>
      </c>
    </row>
    <row r="1726" spans="1:9">
      <c r="A1726" s="14" t="s">
        <v>8448</v>
      </c>
      <c r="B1726" s="15" t="s">
        <v>5</v>
      </c>
      <c r="C1726" s="10" t="s">
        <v>8449</v>
      </c>
      <c r="D1726" s="16" t="s">
        <v>5634</v>
      </c>
      <c r="E1726" s="15" t="s">
        <v>11215</v>
      </c>
      <c r="F1726" s="16" t="str">
        <f>VLOOKUP(Table8[[#This Row],[Mã khách hàng]],code_khach_hang[],2,0)</f>
        <v>CHI NHÁNH HÀ NỘI - CÔNG TY CỔ PHẦN DỊCH VỤ THƯƠNG MẠI TỔNG HỢP WINCOMMERCE</v>
      </c>
      <c r="G1726" s="16" t="str">
        <f>VLOOKUP(Table8[[#This Row],[Mã khách hàng]],code_khach_hang[],3,0)</f>
        <v>Miền Bắc đặc biệt 1</v>
      </c>
      <c r="H1726" t="str">
        <f>VLOOKUP(Table8[[#This Row],[Mã khách hàng]],'Khách hàng'!A:D,4,0)</f>
        <v>Food Đức Việt</v>
      </c>
      <c r="I1726" t="str">
        <f>VLOOKUP(Table8[[#This Row],[Mã khách hàng]],'Khách hàng'!A:E,5,0)</f>
        <v>HN0040</v>
      </c>
    </row>
    <row r="1727" spans="1:9">
      <c r="A1727" s="14" t="s">
        <v>8659</v>
      </c>
      <c r="B1727" s="15" t="s">
        <v>5</v>
      </c>
      <c r="C1727" s="10" t="s">
        <v>8660</v>
      </c>
      <c r="D1727" s="16" t="s">
        <v>5637</v>
      </c>
      <c r="E1727" s="15" t="s">
        <v>11215</v>
      </c>
      <c r="F1727" s="16" t="str">
        <f>VLOOKUP(Table8[[#This Row],[Mã khách hàng]],code_khach_hang[],2,0)</f>
        <v>CHI NHÁNH HÀ NỘI - CÔNG TY CỔ PHẦN DỊCH VỤ THƯƠNG MẠI TỔNG HỢP WINCOMMERCE</v>
      </c>
      <c r="G1727" s="16" t="str">
        <f>VLOOKUP(Table8[[#This Row],[Mã khách hàng]],code_khach_hang[],3,0)</f>
        <v>Miền Bắc đặc biệt 1</v>
      </c>
      <c r="H1727" t="str">
        <f>VLOOKUP(Table8[[#This Row],[Mã khách hàng]],'Khách hàng'!A:D,4,0)</f>
        <v>Food Đức Việt</v>
      </c>
      <c r="I1727" t="str">
        <f>VLOOKUP(Table8[[#This Row],[Mã khách hàng]],'Khách hàng'!A:E,5,0)</f>
        <v>HN0040</v>
      </c>
    </row>
    <row r="1728" spans="1:9">
      <c r="A1728" s="14" t="s">
        <v>8697</v>
      </c>
      <c r="B1728" s="15" t="s">
        <v>5</v>
      </c>
      <c r="C1728" s="10" t="s">
        <v>8698</v>
      </c>
      <c r="D1728" s="16" t="s">
        <v>5640</v>
      </c>
      <c r="E1728" s="15" t="s">
        <v>11215</v>
      </c>
      <c r="F1728" s="16" t="str">
        <f>VLOOKUP(Table8[[#This Row],[Mã khách hàng]],code_khach_hang[],2,0)</f>
        <v>CHI NHÁNH HÀ NỘI - CÔNG TY CỔ PHẦN DỊCH VỤ THƯƠNG MẠI TỔNG HỢP WINCOMMERCE</v>
      </c>
      <c r="G1728" s="16" t="str">
        <f>VLOOKUP(Table8[[#This Row],[Mã khách hàng]],code_khach_hang[],3,0)</f>
        <v>Miền Bắc đặc biệt 1</v>
      </c>
      <c r="H1728" t="str">
        <f>VLOOKUP(Table8[[#This Row],[Mã khách hàng]],'Khách hàng'!A:D,4,0)</f>
        <v>Food Đức Việt</v>
      </c>
      <c r="I1728" t="str">
        <f>VLOOKUP(Table8[[#This Row],[Mã khách hàng]],'Khách hàng'!A:E,5,0)</f>
        <v>HN0040</v>
      </c>
    </row>
    <row r="1729" spans="1:9">
      <c r="A1729" s="14" t="s">
        <v>8791</v>
      </c>
      <c r="B1729" s="15" t="s">
        <v>5</v>
      </c>
      <c r="C1729" s="10" t="s">
        <v>8792</v>
      </c>
      <c r="D1729" s="16" t="s">
        <v>5642</v>
      </c>
      <c r="E1729" s="15" t="s">
        <v>11215</v>
      </c>
      <c r="F1729" s="16" t="str">
        <f>VLOOKUP(Table8[[#This Row],[Mã khách hàng]],code_khach_hang[],2,0)</f>
        <v>CHI NHÁNH HÀ NỘI - CÔNG TY CỔ PHẦN DỊCH VỤ THƯƠNG MẠI TỔNG HỢP WINCOMMERCE</v>
      </c>
      <c r="G1729" s="16" t="str">
        <f>VLOOKUP(Table8[[#This Row],[Mã khách hàng]],code_khach_hang[],3,0)</f>
        <v>Miền Bắc đặc biệt 1</v>
      </c>
      <c r="H1729" t="str">
        <f>VLOOKUP(Table8[[#This Row],[Mã khách hàng]],'Khách hàng'!A:D,4,0)</f>
        <v>Food Đức Việt</v>
      </c>
      <c r="I1729" t="str">
        <f>VLOOKUP(Table8[[#This Row],[Mã khách hàng]],'Khách hàng'!A:E,5,0)</f>
        <v>HN0040</v>
      </c>
    </row>
    <row r="1730" spans="1:9">
      <c r="A1730" s="14" t="s">
        <v>4269</v>
      </c>
      <c r="B1730" s="15" t="s">
        <v>5</v>
      </c>
      <c r="C1730" s="10" t="s">
        <v>4270</v>
      </c>
      <c r="D1730" s="16" t="s">
        <v>5644</v>
      </c>
      <c r="E1730" s="15" t="s">
        <v>11215</v>
      </c>
      <c r="F1730" s="16" t="str">
        <f>VLOOKUP(Table8[[#This Row],[Mã khách hàng]],code_khach_hang[],2,0)</f>
        <v>CHI NHÁNH HÀ NỘI - CÔNG TY CỔ PHẦN DỊCH VỤ THƯƠNG MẠI TỔNG HỢP WINCOMMERCE</v>
      </c>
      <c r="G1730" s="16" t="str">
        <f>VLOOKUP(Table8[[#This Row],[Mã khách hàng]],code_khach_hang[],3,0)</f>
        <v>Miền Bắc đặc biệt 1</v>
      </c>
      <c r="H1730" t="str">
        <f>VLOOKUP(Table8[[#This Row],[Mã khách hàng]],'Khách hàng'!A:D,4,0)</f>
        <v>Food Đức Việt</v>
      </c>
      <c r="I1730" t="str">
        <f>VLOOKUP(Table8[[#This Row],[Mã khách hàng]],'Khách hàng'!A:E,5,0)</f>
        <v>HN0040</v>
      </c>
    </row>
    <row r="1731" spans="1:9">
      <c r="A1731" s="14" t="s">
        <v>4524</v>
      </c>
      <c r="B1731" s="15" t="s">
        <v>5</v>
      </c>
      <c r="C1731" s="10" t="s">
        <v>4525</v>
      </c>
      <c r="D1731" s="16" t="s">
        <v>5646</v>
      </c>
      <c r="E1731" s="15" t="s">
        <v>11215</v>
      </c>
      <c r="F1731" s="16" t="str">
        <f>VLOOKUP(Table8[[#This Row],[Mã khách hàng]],code_khach_hang[],2,0)</f>
        <v>CHI NHÁNH HÀ NỘI - CÔNG TY CỔ PHẦN DỊCH VỤ THƯƠNG MẠI TỔNG HỢP WINCOMMERCE</v>
      </c>
      <c r="G1731" s="16" t="str">
        <f>VLOOKUP(Table8[[#This Row],[Mã khách hàng]],code_khach_hang[],3,0)</f>
        <v>Miền Bắc đặc biệt 1</v>
      </c>
      <c r="H1731" t="str">
        <f>VLOOKUP(Table8[[#This Row],[Mã khách hàng]],'Khách hàng'!A:D,4,0)</f>
        <v>Food Đức Việt</v>
      </c>
      <c r="I1731" t="str">
        <f>VLOOKUP(Table8[[#This Row],[Mã khách hàng]],'Khách hàng'!A:E,5,0)</f>
        <v>HN0040</v>
      </c>
    </row>
    <row r="1732" spans="1:9">
      <c r="A1732" s="14" t="s">
        <v>5175</v>
      </c>
      <c r="B1732" s="15" t="s">
        <v>5</v>
      </c>
      <c r="C1732" s="10" t="s">
        <v>5176</v>
      </c>
      <c r="D1732" s="16" t="s">
        <v>5649</v>
      </c>
      <c r="E1732" s="15" t="s">
        <v>11215</v>
      </c>
      <c r="F1732" s="16" t="str">
        <f>VLOOKUP(Table8[[#This Row],[Mã khách hàng]],code_khach_hang[],2,0)</f>
        <v>CHI NHÁNH HÀ NỘI - CÔNG TY CỔ PHẦN DỊCH VỤ THƯƠNG MẠI TỔNG HỢP WINCOMMERCE</v>
      </c>
      <c r="G1732" s="16" t="str">
        <f>VLOOKUP(Table8[[#This Row],[Mã khách hàng]],code_khach_hang[],3,0)</f>
        <v>Miền Bắc đặc biệt 1</v>
      </c>
      <c r="H1732" t="str">
        <f>VLOOKUP(Table8[[#This Row],[Mã khách hàng]],'Khách hàng'!A:D,4,0)</f>
        <v>Food Đức Việt</v>
      </c>
      <c r="I1732" t="str">
        <f>VLOOKUP(Table8[[#This Row],[Mã khách hàng]],'Khách hàng'!A:E,5,0)</f>
        <v>HN0040</v>
      </c>
    </row>
    <row r="1733" spans="1:9">
      <c r="A1733" s="14" t="s">
        <v>5400</v>
      </c>
      <c r="B1733" s="15" t="s">
        <v>5</v>
      </c>
      <c r="C1733" s="10" t="s">
        <v>5401</v>
      </c>
      <c r="D1733" s="16" t="s">
        <v>5652</v>
      </c>
      <c r="E1733" s="15" t="s">
        <v>11215</v>
      </c>
      <c r="F1733" s="16" t="str">
        <f>VLOOKUP(Table8[[#This Row],[Mã khách hàng]],code_khach_hang[],2,0)</f>
        <v>CHI NHÁNH HÀ NỘI - CÔNG TY CỔ PHẦN DỊCH VỤ THƯƠNG MẠI TỔNG HỢP WINCOMMERCE</v>
      </c>
      <c r="G1733" s="16" t="str">
        <f>VLOOKUP(Table8[[#This Row],[Mã khách hàng]],code_khach_hang[],3,0)</f>
        <v>Miền Bắc đặc biệt 1</v>
      </c>
      <c r="H1733" t="str">
        <f>VLOOKUP(Table8[[#This Row],[Mã khách hàng]],'Khách hàng'!A:D,4,0)</f>
        <v>Food Đức Việt</v>
      </c>
      <c r="I1733" t="str">
        <f>VLOOKUP(Table8[[#This Row],[Mã khách hàng]],'Khách hàng'!A:E,5,0)</f>
        <v>HN0040</v>
      </c>
    </row>
    <row r="1734" spans="1:9">
      <c r="A1734" s="14" t="s">
        <v>11126</v>
      </c>
      <c r="B1734" s="15" t="s">
        <v>5</v>
      </c>
      <c r="C1734" s="10" t="e">
        <v>#N/A</v>
      </c>
      <c r="D1734" s="16" t="s">
        <v>5655</v>
      </c>
      <c r="E1734" s="15" t="s">
        <v>11215</v>
      </c>
      <c r="F1734" s="16" t="str">
        <f>VLOOKUP(Table8[[#This Row],[Mã khách hàng]],code_khach_hang[],2,0)</f>
        <v>CHI NHÁNH HÀ NỘI - CÔNG TY CỔ PHẦN DỊCH VỤ THƯƠNG MẠI TỔNG HỢP WINCOMMERCE</v>
      </c>
      <c r="G1734" s="16" t="str">
        <f>VLOOKUP(Table8[[#This Row],[Mã khách hàng]],code_khach_hang[],3,0)</f>
        <v>Miền Bắc đặc biệt 1</v>
      </c>
      <c r="H1734" t="str">
        <f>VLOOKUP(Table8[[#This Row],[Mã khách hàng]],'Khách hàng'!A:D,4,0)</f>
        <v>Food Đức Việt</v>
      </c>
      <c r="I1734" t="str">
        <f>VLOOKUP(Table8[[#This Row],[Mã khách hàng]],'Khách hàng'!A:E,5,0)</f>
        <v>HN0040</v>
      </c>
    </row>
    <row r="1735" spans="1:9">
      <c r="A1735" s="14" t="s">
        <v>1038</v>
      </c>
      <c r="B1735" s="15" t="s">
        <v>5</v>
      </c>
      <c r="C1735" s="10" t="s">
        <v>1039</v>
      </c>
      <c r="D1735" s="16" t="s">
        <v>5658</v>
      </c>
      <c r="E1735" s="15" t="s">
        <v>11215</v>
      </c>
      <c r="F1735" s="16" t="str">
        <f>VLOOKUP(Table8[[#This Row],[Mã khách hàng]],code_khach_hang[],2,0)</f>
        <v>CHI NHÁNH HÀ NỘI - CÔNG TY CỔ PHẦN DỊCH VỤ THƯƠNG MẠI TỔNG HỢP WINCOMMERCE</v>
      </c>
      <c r="G1735" s="16" t="str">
        <f>VLOOKUP(Table8[[#This Row],[Mã khách hàng]],code_khach_hang[],3,0)</f>
        <v>Miền Bắc đặc biệt 1</v>
      </c>
      <c r="H1735" t="str">
        <f>VLOOKUP(Table8[[#This Row],[Mã khách hàng]],'Khách hàng'!A:D,4,0)</f>
        <v>Food Đức Việt</v>
      </c>
      <c r="I1735" t="str">
        <f>VLOOKUP(Table8[[#This Row],[Mã khách hàng]],'Khách hàng'!A:E,5,0)</f>
        <v>HN0040</v>
      </c>
    </row>
    <row r="1736" spans="1:9">
      <c r="A1736" s="14" t="s">
        <v>1044</v>
      </c>
      <c r="B1736" s="15" t="s">
        <v>5</v>
      </c>
      <c r="C1736" s="10" t="s">
        <v>1045</v>
      </c>
      <c r="D1736" s="16" t="s">
        <v>5661</v>
      </c>
      <c r="E1736" s="15" t="s">
        <v>11215</v>
      </c>
      <c r="F1736" s="16" t="str">
        <f>VLOOKUP(Table8[[#This Row],[Mã khách hàng]],code_khach_hang[],2,0)</f>
        <v>CHI NHÁNH HÀ NỘI - CÔNG TY CỔ PHẦN DỊCH VỤ THƯƠNG MẠI TỔNG HỢP WINCOMMERCE</v>
      </c>
      <c r="G1736" s="16" t="str">
        <f>VLOOKUP(Table8[[#This Row],[Mã khách hàng]],code_khach_hang[],3,0)</f>
        <v>Miền Bắc đặc biệt 1</v>
      </c>
      <c r="H1736" t="str">
        <f>VLOOKUP(Table8[[#This Row],[Mã khách hàng]],'Khách hàng'!A:D,4,0)</f>
        <v>Food Đức Việt</v>
      </c>
      <c r="I1736" t="str">
        <f>VLOOKUP(Table8[[#This Row],[Mã khách hàng]],'Khách hàng'!A:E,5,0)</f>
        <v>HN0040</v>
      </c>
    </row>
    <row r="1737" spans="1:9">
      <c r="A1737" s="14" t="s">
        <v>1266</v>
      </c>
      <c r="B1737" s="15" t="s">
        <v>5</v>
      </c>
      <c r="C1737" s="10" t="s">
        <v>1267</v>
      </c>
      <c r="D1737" s="16" t="s">
        <v>5664</v>
      </c>
      <c r="E1737" s="15" t="s">
        <v>11215</v>
      </c>
      <c r="F1737" s="16" t="str">
        <f>VLOOKUP(Table8[[#This Row],[Mã khách hàng]],code_khach_hang[],2,0)</f>
        <v>CHI NHÁNH HÀ NỘI - CÔNG TY CỔ PHẦN DỊCH VỤ THƯƠNG MẠI TỔNG HỢP WINCOMMERCE</v>
      </c>
      <c r="G1737" s="16" t="str">
        <f>VLOOKUP(Table8[[#This Row],[Mã khách hàng]],code_khach_hang[],3,0)</f>
        <v>Miền Bắc đặc biệt 1</v>
      </c>
      <c r="H1737" t="str">
        <f>VLOOKUP(Table8[[#This Row],[Mã khách hàng]],'Khách hàng'!A:D,4,0)</f>
        <v>Food Đức Việt</v>
      </c>
      <c r="I1737" t="str">
        <f>VLOOKUP(Table8[[#This Row],[Mã khách hàng]],'Khách hàng'!A:E,5,0)</f>
        <v>HN0040</v>
      </c>
    </row>
    <row r="1738" spans="1:9">
      <c r="A1738" s="14" t="s">
        <v>1317</v>
      </c>
      <c r="B1738" s="15" t="s">
        <v>5</v>
      </c>
      <c r="C1738" s="10" t="s">
        <v>1318</v>
      </c>
      <c r="D1738" s="16" t="s">
        <v>5667</v>
      </c>
      <c r="E1738" s="15" t="s">
        <v>11215</v>
      </c>
      <c r="F1738" s="16" t="str">
        <f>VLOOKUP(Table8[[#This Row],[Mã khách hàng]],code_khach_hang[],2,0)</f>
        <v>CHI NHÁNH HÀ NỘI - CÔNG TY CỔ PHẦN DỊCH VỤ THƯƠNG MẠI TỔNG HỢP WINCOMMERCE</v>
      </c>
      <c r="G1738" s="16" t="str">
        <f>VLOOKUP(Table8[[#This Row],[Mã khách hàng]],code_khach_hang[],3,0)</f>
        <v>Miền Bắc đặc biệt 1</v>
      </c>
      <c r="H1738" t="str">
        <f>VLOOKUP(Table8[[#This Row],[Mã khách hàng]],'Khách hàng'!A:D,4,0)</f>
        <v>Food Đức Việt</v>
      </c>
      <c r="I1738" t="str">
        <f>VLOOKUP(Table8[[#This Row],[Mã khách hàng]],'Khách hàng'!A:E,5,0)</f>
        <v>HN0040</v>
      </c>
    </row>
    <row r="1739" spans="1:9">
      <c r="A1739" s="14" t="s">
        <v>1346</v>
      </c>
      <c r="B1739" s="15" t="s">
        <v>5</v>
      </c>
      <c r="C1739" s="10" t="s">
        <v>1347</v>
      </c>
      <c r="D1739" s="16" t="s">
        <v>5670</v>
      </c>
      <c r="E1739" s="15" t="s">
        <v>11215</v>
      </c>
      <c r="F1739" s="16" t="str">
        <f>VLOOKUP(Table8[[#This Row],[Mã khách hàng]],code_khach_hang[],2,0)</f>
        <v>CHI NHÁNH HÀ NỘI - CÔNG TY CỔ PHẦN DỊCH VỤ THƯƠNG MẠI TỔNG HỢP WINCOMMERCE</v>
      </c>
      <c r="G1739" s="16" t="str">
        <f>VLOOKUP(Table8[[#This Row],[Mã khách hàng]],code_khach_hang[],3,0)</f>
        <v>Miền Bắc đặc biệt 1</v>
      </c>
      <c r="H1739" t="str">
        <f>VLOOKUP(Table8[[#This Row],[Mã khách hàng]],'Khách hàng'!A:D,4,0)</f>
        <v>Food Đức Việt</v>
      </c>
      <c r="I1739" t="str">
        <f>VLOOKUP(Table8[[#This Row],[Mã khách hàng]],'Khách hàng'!A:E,5,0)</f>
        <v>HN0040</v>
      </c>
    </row>
    <row r="1740" spans="1:9">
      <c r="A1740" s="14" t="s">
        <v>4203</v>
      </c>
      <c r="B1740" s="15" t="s">
        <v>5</v>
      </c>
      <c r="C1740" s="10" t="s">
        <v>4204</v>
      </c>
      <c r="D1740" s="16" t="s">
        <v>5673</v>
      </c>
      <c r="E1740" s="15" t="s">
        <v>11215</v>
      </c>
      <c r="F1740" s="16" t="str">
        <f>VLOOKUP(Table8[[#This Row],[Mã khách hàng]],code_khach_hang[],2,0)</f>
        <v>CHI NHÁNH HÀ NỘI - CÔNG TY CỔ PHẦN DỊCH VỤ THƯƠNG MẠI TỔNG HỢP WINCOMMERCE</v>
      </c>
      <c r="G1740" s="16" t="str">
        <f>VLOOKUP(Table8[[#This Row],[Mã khách hàng]],code_khach_hang[],3,0)</f>
        <v>Miền Bắc đặc biệt 1</v>
      </c>
      <c r="H1740" t="str">
        <f>VLOOKUP(Table8[[#This Row],[Mã khách hàng]],'Khách hàng'!A:D,4,0)</f>
        <v>Food Đức Việt</v>
      </c>
      <c r="I1740" t="str">
        <f>VLOOKUP(Table8[[#This Row],[Mã khách hàng]],'Khách hàng'!A:E,5,0)</f>
        <v>HN0040</v>
      </c>
    </row>
    <row r="1741" spans="1:9">
      <c r="A1741" s="14" t="s">
        <v>4506</v>
      </c>
      <c r="B1741" s="15" t="s">
        <v>5</v>
      </c>
      <c r="C1741" s="10" t="s">
        <v>4507</v>
      </c>
      <c r="D1741" s="16" t="s">
        <v>5676</v>
      </c>
      <c r="E1741" s="15" t="s">
        <v>11215</v>
      </c>
      <c r="F1741" s="16" t="str">
        <f>VLOOKUP(Table8[[#This Row],[Mã khách hàng]],code_khach_hang[],2,0)</f>
        <v>CHI NHÁNH HÀ NỘI - CÔNG TY CỔ PHẦN DỊCH VỤ THƯƠNG MẠI TỔNG HỢP WINCOMMERCE</v>
      </c>
      <c r="G1741" s="16" t="str">
        <f>VLOOKUP(Table8[[#This Row],[Mã khách hàng]],code_khach_hang[],3,0)</f>
        <v>Miền Bắc đặc biệt 1</v>
      </c>
      <c r="H1741" t="str">
        <f>VLOOKUP(Table8[[#This Row],[Mã khách hàng]],'Khách hàng'!A:D,4,0)</f>
        <v>Food Đức Việt</v>
      </c>
      <c r="I1741" t="str">
        <f>VLOOKUP(Table8[[#This Row],[Mã khách hàng]],'Khách hàng'!A:E,5,0)</f>
        <v>HN0040</v>
      </c>
    </row>
    <row r="1742" spans="1:9">
      <c r="A1742" s="14" t="s">
        <v>4599</v>
      </c>
      <c r="B1742" s="15" t="s">
        <v>5</v>
      </c>
      <c r="C1742" s="10" t="s">
        <v>4600</v>
      </c>
      <c r="D1742" s="16" t="s">
        <v>5679</v>
      </c>
      <c r="E1742" s="15" t="s">
        <v>11215</v>
      </c>
      <c r="F1742" s="16" t="str">
        <f>VLOOKUP(Table8[[#This Row],[Mã khách hàng]],code_khach_hang[],2,0)</f>
        <v>CHI NHÁNH HÀ NỘI - CÔNG TY CỔ PHẦN DỊCH VỤ THƯƠNG MẠI TỔNG HỢP WINCOMMERCE</v>
      </c>
      <c r="G1742" s="16" t="str">
        <f>VLOOKUP(Table8[[#This Row],[Mã khách hàng]],code_khach_hang[],3,0)</f>
        <v>Miền Bắc đặc biệt 1</v>
      </c>
      <c r="H1742" t="str">
        <f>VLOOKUP(Table8[[#This Row],[Mã khách hàng]],'Khách hàng'!A:D,4,0)</f>
        <v>Food Đức Việt</v>
      </c>
      <c r="I1742" t="str">
        <f>VLOOKUP(Table8[[#This Row],[Mã khách hàng]],'Khách hàng'!A:E,5,0)</f>
        <v>HN0040</v>
      </c>
    </row>
    <row r="1743" spans="1:9">
      <c r="A1743" s="14" t="s">
        <v>4782</v>
      </c>
      <c r="B1743" s="15" t="s">
        <v>5</v>
      </c>
      <c r="C1743" s="10" t="s">
        <v>4783</v>
      </c>
      <c r="D1743" s="16" t="s">
        <v>5682</v>
      </c>
      <c r="E1743" s="15" t="s">
        <v>11215</v>
      </c>
      <c r="F1743" s="16" t="str">
        <f>VLOOKUP(Table8[[#This Row],[Mã khách hàng]],code_khach_hang[],2,0)</f>
        <v>CHI NHÁNH HÀ NỘI - CÔNG TY CỔ PHẦN DỊCH VỤ THƯƠNG MẠI TỔNG HỢP WINCOMMERCE</v>
      </c>
      <c r="G1743" s="16" t="str">
        <f>VLOOKUP(Table8[[#This Row],[Mã khách hàng]],code_khach_hang[],3,0)</f>
        <v>Miền Bắc đặc biệt 1</v>
      </c>
      <c r="H1743" t="str">
        <f>VLOOKUP(Table8[[#This Row],[Mã khách hàng]],'Khách hàng'!A:D,4,0)</f>
        <v>Food Đức Việt</v>
      </c>
      <c r="I1743" t="str">
        <f>VLOOKUP(Table8[[#This Row],[Mã khách hàng]],'Khách hàng'!A:E,5,0)</f>
        <v>HN0040</v>
      </c>
    </row>
    <row r="1744" spans="1:9">
      <c r="A1744" s="14" t="s">
        <v>4794</v>
      </c>
      <c r="B1744" s="15" t="s">
        <v>5</v>
      </c>
      <c r="C1744" s="10" t="s">
        <v>4795</v>
      </c>
      <c r="D1744" s="16" t="s">
        <v>5685</v>
      </c>
      <c r="E1744" s="15" t="s">
        <v>11215</v>
      </c>
      <c r="F1744" s="16" t="str">
        <f>VLOOKUP(Table8[[#This Row],[Mã khách hàng]],code_khach_hang[],2,0)</f>
        <v>CHI NHÁNH HÀ NỘI - CÔNG TY CỔ PHẦN DỊCH VỤ THƯƠNG MẠI TỔNG HỢP WINCOMMERCE</v>
      </c>
      <c r="G1744" s="16" t="str">
        <f>VLOOKUP(Table8[[#This Row],[Mã khách hàng]],code_khach_hang[],3,0)</f>
        <v>Miền Bắc đặc biệt 1</v>
      </c>
      <c r="H1744" t="str">
        <f>VLOOKUP(Table8[[#This Row],[Mã khách hàng]],'Khách hàng'!A:D,4,0)</f>
        <v>Food Đức Việt</v>
      </c>
      <c r="I1744" t="str">
        <f>VLOOKUP(Table8[[#This Row],[Mã khách hàng]],'Khách hàng'!A:E,5,0)</f>
        <v>HN0040</v>
      </c>
    </row>
    <row r="1745" spans="1:9">
      <c r="A1745" s="14" t="s">
        <v>4878</v>
      </c>
      <c r="B1745" s="15" t="s">
        <v>5</v>
      </c>
      <c r="C1745" s="10" t="s">
        <v>4879</v>
      </c>
      <c r="D1745" s="16" t="s">
        <v>5688</v>
      </c>
      <c r="E1745" s="15" t="s">
        <v>11215</v>
      </c>
      <c r="F1745" s="16" t="str">
        <f>VLOOKUP(Table8[[#This Row],[Mã khách hàng]],code_khach_hang[],2,0)</f>
        <v>CHI NHÁNH HÀ NỘI - CÔNG TY CỔ PHẦN DỊCH VỤ THƯƠNG MẠI TỔNG HỢP WINCOMMERCE</v>
      </c>
      <c r="G1745" s="16" t="str">
        <f>VLOOKUP(Table8[[#This Row],[Mã khách hàng]],code_khach_hang[],3,0)</f>
        <v>Miền Bắc đặc biệt 1</v>
      </c>
      <c r="H1745" t="str">
        <f>VLOOKUP(Table8[[#This Row],[Mã khách hàng]],'Khách hàng'!A:D,4,0)</f>
        <v>Food Đức Việt</v>
      </c>
      <c r="I1745" t="str">
        <f>VLOOKUP(Table8[[#This Row],[Mã khách hàng]],'Khách hàng'!A:E,5,0)</f>
        <v>HN0040</v>
      </c>
    </row>
    <row r="1746" spans="1:9">
      <c r="A1746" s="14" t="s">
        <v>4890</v>
      </c>
      <c r="B1746" s="15" t="s">
        <v>5</v>
      </c>
      <c r="C1746" s="10" t="s">
        <v>4891</v>
      </c>
      <c r="D1746" s="16" t="s">
        <v>5691</v>
      </c>
      <c r="E1746" s="15" t="s">
        <v>11215</v>
      </c>
      <c r="F1746" s="16" t="str">
        <f>VLOOKUP(Table8[[#This Row],[Mã khách hàng]],code_khach_hang[],2,0)</f>
        <v>CHI NHÁNH HÀ NỘI - CÔNG TY CỔ PHẦN DỊCH VỤ THƯƠNG MẠI TỔNG HỢP WINCOMMERCE</v>
      </c>
      <c r="G1746" s="16" t="str">
        <f>VLOOKUP(Table8[[#This Row],[Mã khách hàng]],code_khach_hang[],3,0)</f>
        <v>Miền Bắc đặc biệt 1</v>
      </c>
      <c r="H1746" t="str">
        <f>VLOOKUP(Table8[[#This Row],[Mã khách hàng]],'Khách hàng'!A:D,4,0)</f>
        <v>Food Đức Việt</v>
      </c>
      <c r="I1746" t="str">
        <f>VLOOKUP(Table8[[#This Row],[Mã khách hàng]],'Khách hàng'!A:E,5,0)</f>
        <v>HN0040</v>
      </c>
    </row>
    <row r="1747" spans="1:9">
      <c r="A1747" s="14" t="s">
        <v>4974</v>
      </c>
      <c r="B1747" s="15" t="s">
        <v>5</v>
      </c>
      <c r="C1747" s="10" t="s">
        <v>4975</v>
      </c>
      <c r="D1747" s="16" t="s">
        <v>5694</v>
      </c>
      <c r="E1747" s="15" t="s">
        <v>11215</v>
      </c>
      <c r="F1747" s="16" t="str">
        <f>VLOOKUP(Table8[[#This Row],[Mã khách hàng]],code_khach_hang[],2,0)</f>
        <v>CHI NHÁNH HÀ NỘI - CÔNG TY CỔ PHẦN DỊCH VỤ THƯƠNG MẠI TỔNG HỢP WINCOMMERCE</v>
      </c>
      <c r="G1747" s="16" t="str">
        <f>VLOOKUP(Table8[[#This Row],[Mã khách hàng]],code_khach_hang[],3,0)</f>
        <v>Miền Bắc đặc biệt 1</v>
      </c>
      <c r="H1747" t="str">
        <f>VLOOKUP(Table8[[#This Row],[Mã khách hàng]],'Khách hàng'!A:D,4,0)</f>
        <v>Food Đức Việt</v>
      </c>
      <c r="I1747" t="str">
        <f>VLOOKUP(Table8[[#This Row],[Mã khách hàng]],'Khách hàng'!A:E,5,0)</f>
        <v>HN0040</v>
      </c>
    </row>
    <row r="1748" spans="1:9">
      <c r="A1748" s="14" t="s">
        <v>5046</v>
      </c>
      <c r="B1748" s="15" t="s">
        <v>5</v>
      </c>
      <c r="C1748" s="10" t="s">
        <v>5047</v>
      </c>
      <c r="D1748" s="16" t="s">
        <v>5697</v>
      </c>
      <c r="E1748" s="15" t="s">
        <v>11215</v>
      </c>
      <c r="F1748" s="16" t="str">
        <f>VLOOKUP(Table8[[#This Row],[Mã khách hàng]],code_khach_hang[],2,0)</f>
        <v>CHI NHÁNH HÀ NỘI - CÔNG TY CỔ PHẦN DỊCH VỤ THƯƠNG MẠI TỔNG HỢP WINCOMMERCE</v>
      </c>
      <c r="G1748" s="16" t="str">
        <f>VLOOKUP(Table8[[#This Row],[Mã khách hàng]],code_khach_hang[],3,0)</f>
        <v>Miền Bắc đặc biệt 1</v>
      </c>
      <c r="H1748" t="str">
        <f>VLOOKUP(Table8[[#This Row],[Mã khách hàng]],'Khách hàng'!A:D,4,0)</f>
        <v>Food Đức Việt</v>
      </c>
      <c r="I1748" t="str">
        <f>VLOOKUP(Table8[[#This Row],[Mã khách hàng]],'Khách hàng'!A:E,5,0)</f>
        <v>HN0040</v>
      </c>
    </row>
    <row r="1749" spans="1:9">
      <c r="A1749" s="14" t="s">
        <v>5145</v>
      </c>
      <c r="B1749" s="15" t="s">
        <v>5</v>
      </c>
      <c r="C1749" s="10" t="s">
        <v>5146</v>
      </c>
      <c r="D1749" s="16" t="s">
        <v>5700</v>
      </c>
      <c r="E1749" s="15" t="s">
        <v>11215</v>
      </c>
      <c r="F1749" s="16" t="str">
        <f>VLOOKUP(Table8[[#This Row],[Mã khách hàng]],code_khach_hang[],2,0)</f>
        <v>CHI NHÁNH HÀ NỘI - CÔNG TY CỔ PHẦN DỊCH VỤ THƯƠNG MẠI TỔNG HỢP WINCOMMERCE</v>
      </c>
      <c r="G1749" s="16" t="str">
        <f>VLOOKUP(Table8[[#This Row],[Mã khách hàng]],code_khach_hang[],3,0)</f>
        <v>Miền Bắc đặc biệt 1</v>
      </c>
      <c r="H1749" t="str">
        <f>VLOOKUP(Table8[[#This Row],[Mã khách hàng]],'Khách hàng'!A:D,4,0)</f>
        <v>Food Đức Việt</v>
      </c>
      <c r="I1749" t="str">
        <f>VLOOKUP(Table8[[#This Row],[Mã khách hàng]],'Khách hàng'!A:E,5,0)</f>
        <v>HN0040</v>
      </c>
    </row>
    <row r="1750" spans="1:9">
      <c r="A1750" s="14" t="s">
        <v>5553</v>
      </c>
      <c r="B1750" s="15" t="s">
        <v>5</v>
      </c>
      <c r="C1750" s="10" t="s">
        <v>5554</v>
      </c>
      <c r="D1750" s="16" t="s">
        <v>5703</v>
      </c>
      <c r="E1750" s="15" t="s">
        <v>11215</v>
      </c>
      <c r="F1750" s="16" t="str">
        <f>VLOOKUP(Table8[[#This Row],[Mã khách hàng]],code_khach_hang[],2,0)</f>
        <v>CHI NHÁNH HÀ NỘI - CÔNG TY CỔ PHẦN DỊCH VỤ THƯƠNG MẠI TỔNG HỢP WINCOMMERCE</v>
      </c>
      <c r="G1750" s="16" t="str">
        <f>VLOOKUP(Table8[[#This Row],[Mã khách hàng]],code_khach_hang[],3,0)</f>
        <v>Miền Bắc đặc biệt 1</v>
      </c>
      <c r="H1750" t="str">
        <f>VLOOKUP(Table8[[#This Row],[Mã khách hàng]],'Khách hàng'!A:D,4,0)</f>
        <v>Food Đức Việt</v>
      </c>
      <c r="I1750" t="str">
        <f>VLOOKUP(Table8[[#This Row],[Mã khách hàng]],'Khách hàng'!A:E,5,0)</f>
        <v>HN0040</v>
      </c>
    </row>
    <row r="1751" spans="1:9">
      <c r="A1751" s="14" t="s">
        <v>5686</v>
      </c>
      <c r="B1751" s="15" t="s">
        <v>5</v>
      </c>
      <c r="C1751" s="10" t="s">
        <v>5687</v>
      </c>
      <c r="D1751" s="16" t="s">
        <v>5706</v>
      </c>
      <c r="E1751" s="15" t="s">
        <v>11215</v>
      </c>
      <c r="F1751" s="16" t="str">
        <f>VLOOKUP(Table8[[#This Row],[Mã khách hàng]],code_khach_hang[],2,0)</f>
        <v>CHI NHÁNH HÀ NỘI - CÔNG TY CỔ PHẦN DỊCH VỤ THƯƠNG MẠI TỔNG HỢP WINCOMMERCE</v>
      </c>
      <c r="G1751" s="16" t="str">
        <f>VLOOKUP(Table8[[#This Row],[Mã khách hàng]],code_khach_hang[],3,0)</f>
        <v>Miền Bắc đặc biệt 1</v>
      </c>
      <c r="H1751" t="str">
        <f>VLOOKUP(Table8[[#This Row],[Mã khách hàng]],'Khách hàng'!A:D,4,0)</f>
        <v>Food Đức Việt</v>
      </c>
      <c r="I1751" t="str">
        <f>VLOOKUP(Table8[[#This Row],[Mã khách hàng]],'Khách hàng'!A:E,5,0)</f>
        <v>HN0040</v>
      </c>
    </row>
    <row r="1752" spans="1:9">
      <c r="A1752" s="14" t="s">
        <v>6273</v>
      </c>
      <c r="B1752" s="15" t="s">
        <v>5</v>
      </c>
      <c r="C1752" s="10" t="s">
        <v>6274</v>
      </c>
      <c r="D1752" s="16" t="s">
        <v>5708</v>
      </c>
      <c r="E1752" s="15" t="s">
        <v>11215</v>
      </c>
      <c r="F1752" s="16" t="str">
        <f>VLOOKUP(Table8[[#This Row],[Mã khách hàng]],code_khach_hang[],2,0)</f>
        <v>CHI NHÁNH HÀ NỘI - CÔNG TY CỔ PHẦN DỊCH VỤ THƯƠNG MẠI TỔNG HỢP WINCOMMERCE</v>
      </c>
      <c r="G1752" s="16" t="str">
        <f>VLOOKUP(Table8[[#This Row],[Mã khách hàng]],code_khach_hang[],3,0)</f>
        <v>Miền Bắc đặc biệt 1</v>
      </c>
      <c r="H1752" t="str">
        <f>VLOOKUP(Table8[[#This Row],[Mã khách hàng]],'Khách hàng'!A:D,4,0)</f>
        <v>Food Đức Việt</v>
      </c>
      <c r="I1752" t="str">
        <f>VLOOKUP(Table8[[#This Row],[Mã khách hàng]],'Khách hàng'!A:E,5,0)</f>
        <v>HN0040</v>
      </c>
    </row>
    <row r="1753" spans="1:9">
      <c r="A1753" s="14" t="s">
        <v>11127</v>
      </c>
      <c r="B1753" s="15" t="s">
        <v>5</v>
      </c>
      <c r="C1753" s="10" t="e">
        <v>#N/A</v>
      </c>
      <c r="D1753" s="16" t="s">
        <v>5711</v>
      </c>
      <c r="E1753" s="15" t="s">
        <v>11215</v>
      </c>
      <c r="F1753" s="16" t="str">
        <f>VLOOKUP(Table8[[#This Row],[Mã khách hàng]],code_khach_hang[],2,0)</f>
        <v>CHI NHÁNH HÀ NỘI - CÔNG TY CỔ PHẦN DỊCH VỤ THƯƠNG MẠI TỔNG HỢP WINCOMMERCE</v>
      </c>
      <c r="G1753" s="16" t="str">
        <f>VLOOKUP(Table8[[#This Row],[Mã khách hàng]],code_khach_hang[],3,0)</f>
        <v>Miền Bắc đặc biệt 1</v>
      </c>
      <c r="H1753" t="str">
        <f>VLOOKUP(Table8[[#This Row],[Mã khách hàng]],'Khách hàng'!A:D,4,0)</f>
        <v>Food Đức Việt</v>
      </c>
      <c r="I1753" t="str">
        <f>VLOOKUP(Table8[[#This Row],[Mã khách hàng]],'Khách hàng'!A:E,5,0)</f>
        <v>HN0040</v>
      </c>
    </row>
    <row r="1754" spans="1:9">
      <c r="A1754" s="14" t="s">
        <v>6357</v>
      </c>
      <c r="B1754" s="15" t="s">
        <v>5</v>
      </c>
      <c r="C1754" s="10" t="s">
        <v>6358</v>
      </c>
      <c r="D1754" s="16" t="s">
        <v>5714</v>
      </c>
      <c r="E1754" s="15" t="s">
        <v>11215</v>
      </c>
      <c r="F1754" s="16" t="str">
        <f>VLOOKUP(Table8[[#This Row],[Mã khách hàng]],code_khach_hang[],2,0)</f>
        <v>CHI NHÁNH HÀ NỘI - CÔNG TY CỔ PHẦN DỊCH VỤ THƯƠNG MẠI TỔNG HỢP WINCOMMERCE</v>
      </c>
      <c r="G1754" s="16" t="str">
        <f>VLOOKUP(Table8[[#This Row],[Mã khách hàng]],code_khach_hang[],3,0)</f>
        <v>Miền Bắc đặc biệt 1</v>
      </c>
      <c r="H1754" t="str">
        <f>VLOOKUP(Table8[[#This Row],[Mã khách hàng]],'Khách hàng'!A:D,4,0)</f>
        <v>Food Đức Việt</v>
      </c>
      <c r="I1754" t="str">
        <f>VLOOKUP(Table8[[#This Row],[Mã khách hàng]],'Khách hàng'!A:E,5,0)</f>
        <v>HN0040</v>
      </c>
    </row>
    <row r="1755" spans="1:9">
      <c r="A1755" s="14" t="s">
        <v>6740</v>
      </c>
      <c r="B1755" s="15" t="s">
        <v>5</v>
      </c>
      <c r="C1755" s="10" t="s">
        <v>6741</v>
      </c>
      <c r="D1755" s="16" t="s">
        <v>5717</v>
      </c>
      <c r="E1755" s="15" t="s">
        <v>11215</v>
      </c>
      <c r="F1755" s="16" t="str">
        <f>VLOOKUP(Table8[[#This Row],[Mã khách hàng]],code_khach_hang[],2,0)</f>
        <v>CHI NHÁNH HÀ NỘI - CÔNG TY CỔ PHẦN DỊCH VỤ THƯƠNG MẠI TỔNG HỢP WINCOMMERCE</v>
      </c>
      <c r="G1755" s="16" t="str">
        <f>VLOOKUP(Table8[[#This Row],[Mã khách hàng]],code_khach_hang[],3,0)</f>
        <v>Miền Bắc đặc biệt 1</v>
      </c>
      <c r="H1755" t="str">
        <f>VLOOKUP(Table8[[#This Row],[Mã khách hàng]],'Khách hàng'!A:D,4,0)</f>
        <v>Food Đức Việt</v>
      </c>
      <c r="I1755" t="str">
        <f>VLOOKUP(Table8[[#This Row],[Mã khách hàng]],'Khách hàng'!A:E,5,0)</f>
        <v>HN0040</v>
      </c>
    </row>
    <row r="1756" spans="1:9">
      <c r="A1756" s="14" t="s">
        <v>7171</v>
      </c>
      <c r="B1756" s="15" t="s">
        <v>5</v>
      </c>
      <c r="C1756" s="10" t="s">
        <v>7172</v>
      </c>
      <c r="D1756" s="16" t="s">
        <v>5720</v>
      </c>
      <c r="E1756" s="15" t="s">
        <v>11215</v>
      </c>
      <c r="F1756" s="16" t="str">
        <f>VLOOKUP(Table8[[#This Row],[Mã khách hàng]],code_khach_hang[],2,0)</f>
        <v>CHI NHÁNH HÀ NỘI - CÔNG TY CỔ PHẦN DỊCH VỤ THƯƠNG MẠI TỔNG HỢP WINCOMMERCE</v>
      </c>
      <c r="G1756" s="16" t="str">
        <f>VLOOKUP(Table8[[#This Row],[Mã khách hàng]],code_khach_hang[],3,0)</f>
        <v>Miền Bắc đặc biệt 1</v>
      </c>
      <c r="H1756" t="str">
        <f>VLOOKUP(Table8[[#This Row],[Mã khách hàng]],'Khách hàng'!A:D,4,0)</f>
        <v>Food Đức Việt</v>
      </c>
      <c r="I1756" t="str">
        <f>VLOOKUP(Table8[[#This Row],[Mã khách hàng]],'Khách hàng'!A:E,5,0)</f>
        <v>HN0040</v>
      </c>
    </row>
    <row r="1757" spans="1:9">
      <c r="A1757" s="14" t="s">
        <v>7268</v>
      </c>
      <c r="B1757" s="15" t="s">
        <v>5</v>
      </c>
      <c r="C1757" s="10" t="s">
        <v>7269</v>
      </c>
      <c r="D1757" s="16" t="s">
        <v>5723</v>
      </c>
      <c r="E1757" s="15" t="s">
        <v>11215</v>
      </c>
      <c r="F1757" s="16" t="str">
        <f>VLOOKUP(Table8[[#This Row],[Mã khách hàng]],code_khach_hang[],2,0)</f>
        <v>CHI NHÁNH HÀ NỘI - CÔNG TY CỔ PHẦN DỊCH VỤ THƯƠNG MẠI TỔNG HỢP WINCOMMERCE</v>
      </c>
      <c r="G1757" s="16" t="str">
        <f>VLOOKUP(Table8[[#This Row],[Mã khách hàng]],code_khach_hang[],3,0)</f>
        <v>Miền Bắc đặc biệt 1</v>
      </c>
      <c r="H1757" t="str">
        <f>VLOOKUP(Table8[[#This Row],[Mã khách hàng]],'Khách hàng'!A:D,4,0)</f>
        <v>Food Đức Việt</v>
      </c>
      <c r="I1757" t="str">
        <f>VLOOKUP(Table8[[#This Row],[Mã khách hàng]],'Khách hàng'!A:E,5,0)</f>
        <v>HN0040</v>
      </c>
    </row>
    <row r="1758" spans="1:9">
      <c r="A1758" s="14" t="s">
        <v>4350</v>
      </c>
      <c r="B1758" s="15" t="s">
        <v>5</v>
      </c>
      <c r="C1758" s="10" t="s">
        <v>4351</v>
      </c>
      <c r="D1758" s="16" t="s">
        <v>5726</v>
      </c>
      <c r="E1758" s="15" t="s">
        <v>11215</v>
      </c>
      <c r="F1758" s="16" t="str">
        <f>VLOOKUP(Table8[[#This Row],[Mã khách hàng]],code_khach_hang[],2,0)</f>
        <v>CHI NHÁNH HÀ NỘI - CÔNG TY CỔ PHẦN DỊCH VỤ THƯƠNG MẠI TỔNG HỢP WINCOMMERCE</v>
      </c>
      <c r="G1758" s="16" t="str">
        <f>VLOOKUP(Table8[[#This Row],[Mã khách hàng]],code_khach_hang[],3,0)</f>
        <v>Miền Bắc đặc biệt 1</v>
      </c>
      <c r="H1758" t="str">
        <f>VLOOKUP(Table8[[#This Row],[Mã khách hàng]],'Khách hàng'!A:D,4,0)</f>
        <v>Food Đức Việt</v>
      </c>
      <c r="I1758" t="str">
        <f>VLOOKUP(Table8[[#This Row],[Mã khách hàng]],'Khách hàng'!A:E,5,0)</f>
        <v>HN0040</v>
      </c>
    </row>
    <row r="1759" spans="1:9">
      <c r="A1759" s="14" t="s">
        <v>4536</v>
      </c>
      <c r="B1759" s="15" t="s">
        <v>5</v>
      </c>
      <c r="C1759" s="10" t="s">
        <v>4537</v>
      </c>
      <c r="D1759" s="16" t="s">
        <v>5729</v>
      </c>
      <c r="E1759" s="15" t="s">
        <v>11215</v>
      </c>
      <c r="F1759" s="16" t="str">
        <f>VLOOKUP(Table8[[#This Row],[Mã khách hàng]],code_khach_hang[],2,0)</f>
        <v>CHI NHÁNH HÀ NỘI - CÔNG TY CỔ PHẦN DỊCH VỤ THƯƠNG MẠI TỔNG HỢP WINCOMMERCE</v>
      </c>
      <c r="G1759" s="16" t="str">
        <f>VLOOKUP(Table8[[#This Row],[Mã khách hàng]],code_khach_hang[],3,0)</f>
        <v>Miền Bắc đặc biệt 1</v>
      </c>
      <c r="H1759" t="str">
        <f>VLOOKUP(Table8[[#This Row],[Mã khách hàng]],'Khách hàng'!A:D,4,0)</f>
        <v>Food Đức Việt</v>
      </c>
      <c r="I1759" t="str">
        <f>VLOOKUP(Table8[[#This Row],[Mã khách hàng]],'Khách hàng'!A:E,5,0)</f>
        <v>HN0040</v>
      </c>
    </row>
    <row r="1760" spans="1:9">
      <c r="A1760" s="14" t="s">
        <v>4590</v>
      </c>
      <c r="B1760" s="15" t="s">
        <v>5</v>
      </c>
      <c r="C1760" s="10" t="s">
        <v>4591</v>
      </c>
      <c r="D1760" s="16" t="s">
        <v>5732</v>
      </c>
      <c r="E1760" s="15" t="s">
        <v>11215</v>
      </c>
      <c r="F1760" s="16" t="str">
        <f>VLOOKUP(Table8[[#This Row],[Mã khách hàng]],code_khach_hang[],2,0)</f>
        <v>CHI NHÁNH HÀ NỘI - CÔNG TY CỔ PHẦN DỊCH VỤ THƯƠNG MẠI TỔNG HỢP WINCOMMERCE</v>
      </c>
      <c r="G1760" s="16" t="str">
        <f>VLOOKUP(Table8[[#This Row],[Mã khách hàng]],code_khach_hang[],3,0)</f>
        <v>Miền Bắc đặc biệt 1</v>
      </c>
      <c r="H1760" t="str">
        <f>VLOOKUP(Table8[[#This Row],[Mã khách hàng]],'Khách hàng'!A:D,4,0)</f>
        <v>Food Đức Việt</v>
      </c>
      <c r="I1760" t="str">
        <f>VLOOKUP(Table8[[#This Row],[Mã khách hàng]],'Khách hàng'!A:E,5,0)</f>
        <v>HN0040</v>
      </c>
    </row>
    <row r="1761" spans="1:9">
      <c r="A1761" s="14" t="s">
        <v>4809</v>
      </c>
      <c r="B1761" s="15" t="s">
        <v>5</v>
      </c>
      <c r="C1761" s="10" t="s">
        <v>4810</v>
      </c>
      <c r="D1761" s="16" t="s">
        <v>5735</v>
      </c>
      <c r="E1761" s="15" t="s">
        <v>11215</v>
      </c>
      <c r="F1761" s="16" t="str">
        <f>VLOOKUP(Table8[[#This Row],[Mã khách hàng]],code_khach_hang[],2,0)</f>
        <v>CHI NHÁNH HÀ NỘI - CÔNG TY CỔ PHẦN DỊCH VỤ THƯƠNG MẠI TỔNG HỢP WINCOMMERCE</v>
      </c>
      <c r="G1761" s="16" t="str">
        <f>VLOOKUP(Table8[[#This Row],[Mã khách hàng]],code_khach_hang[],3,0)</f>
        <v>Miền Bắc đặc biệt 1</v>
      </c>
      <c r="H1761" t="str">
        <f>VLOOKUP(Table8[[#This Row],[Mã khách hàng]],'Khách hàng'!A:D,4,0)</f>
        <v>Food Đức Việt</v>
      </c>
      <c r="I1761" t="str">
        <f>VLOOKUP(Table8[[#This Row],[Mã khách hàng]],'Khách hàng'!A:E,5,0)</f>
        <v>HN0040</v>
      </c>
    </row>
    <row r="1762" spans="1:9">
      <c r="A1762" s="14" t="s">
        <v>4977</v>
      </c>
      <c r="B1762" s="15" t="s">
        <v>5</v>
      </c>
      <c r="C1762" s="10" t="s">
        <v>4978</v>
      </c>
      <c r="D1762" s="16" t="s">
        <v>5737</v>
      </c>
      <c r="E1762" s="15" t="s">
        <v>11215</v>
      </c>
      <c r="F1762" s="16" t="str">
        <f>VLOOKUP(Table8[[#This Row],[Mã khách hàng]],code_khach_hang[],2,0)</f>
        <v>CHI NHÁNH HÀ NỘI - CÔNG TY CỔ PHẦN DỊCH VỤ THƯƠNG MẠI TỔNG HỢP WINCOMMERCE</v>
      </c>
      <c r="G1762" s="16" t="str">
        <f>VLOOKUP(Table8[[#This Row],[Mã khách hàng]],code_khach_hang[],3,0)</f>
        <v>Miền Bắc đặc biệt 1</v>
      </c>
      <c r="H1762" t="str">
        <f>VLOOKUP(Table8[[#This Row],[Mã khách hàng]],'Khách hàng'!A:D,4,0)</f>
        <v>Food Đức Việt</v>
      </c>
      <c r="I1762" t="str">
        <f>VLOOKUP(Table8[[#This Row],[Mã khách hàng]],'Khách hàng'!A:E,5,0)</f>
        <v>HN0040</v>
      </c>
    </row>
    <row r="1763" spans="1:9">
      <c r="A1763" s="14" t="s">
        <v>5031</v>
      </c>
      <c r="B1763" s="15" t="s">
        <v>5</v>
      </c>
      <c r="C1763" s="10" t="s">
        <v>5032</v>
      </c>
      <c r="D1763" s="16" t="s">
        <v>5740</v>
      </c>
      <c r="E1763" s="15" t="s">
        <v>11215</v>
      </c>
      <c r="F1763" s="16" t="str">
        <f>VLOOKUP(Table8[[#This Row],[Mã khách hàng]],code_khach_hang[],2,0)</f>
        <v>CHI NHÁNH HÀ NỘI - CÔNG TY CỔ PHẦN DỊCH VỤ THƯƠNG MẠI TỔNG HỢP WINCOMMERCE</v>
      </c>
      <c r="G1763" s="16" t="str">
        <f>VLOOKUP(Table8[[#This Row],[Mã khách hàng]],code_khach_hang[],3,0)</f>
        <v>Miền Bắc đặc biệt 1</v>
      </c>
      <c r="H1763" t="str">
        <f>VLOOKUP(Table8[[#This Row],[Mã khách hàng]],'Khách hàng'!A:D,4,0)</f>
        <v>Food Đức Việt</v>
      </c>
      <c r="I1763" t="str">
        <f>VLOOKUP(Table8[[#This Row],[Mã khách hàng]],'Khách hàng'!A:E,5,0)</f>
        <v>HN0040</v>
      </c>
    </row>
    <row r="1764" spans="1:9">
      <c r="A1764" s="14" t="s">
        <v>5100</v>
      </c>
      <c r="B1764" s="15" t="s">
        <v>5</v>
      </c>
      <c r="C1764" s="10" t="s">
        <v>5101</v>
      </c>
      <c r="D1764" s="16" t="s">
        <v>5743</v>
      </c>
      <c r="E1764" s="15" t="s">
        <v>11215</v>
      </c>
      <c r="F1764" s="16" t="str">
        <f>VLOOKUP(Table8[[#This Row],[Mã khách hàng]],code_khach_hang[],2,0)</f>
        <v>CHI NHÁNH HÀ NỘI - CÔNG TY CỔ PHẦN DỊCH VỤ THƯƠNG MẠI TỔNG HỢP WINCOMMERCE</v>
      </c>
      <c r="G1764" s="16" t="str">
        <f>VLOOKUP(Table8[[#This Row],[Mã khách hàng]],code_khach_hang[],3,0)</f>
        <v>Miền Bắc đặc biệt 1</v>
      </c>
      <c r="H1764" t="str">
        <f>VLOOKUP(Table8[[#This Row],[Mã khách hàng]],'Khách hàng'!A:D,4,0)</f>
        <v>Food Đức Việt</v>
      </c>
      <c r="I1764" t="str">
        <f>VLOOKUP(Table8[[#This Row],[Mã khách hàng]],'Khách hàng'!A:E,5,0)</f>
        <v>HN0040</v>
      </c>
    </row>
    <row r="1765" spans="1:9">
      <c r="A1765" s="14" t="s">
        <v>5139</v>
      </c>
      <c r="B1765" s="15" t="s">
        <v>5</v>
      </c>
      <c r="C1765" s="10" t="s">
        <v>5140</v>
      </c>
      <c r="D1765" s="16" t="s">
        <v>5746</v>
      </c>
      <c r="E1765" s="15" t="s">
        <v>11215</v>
      </c>
      <c r="F1765" s="16" t="str">
        <f>VLOOKUP(Table8[[#This Row],[Mã khách hàng]],code_khach_hang[],2,0)</f>
        <v>CHI NHÁNH HÀ NỘI - CÔNG TY CỔ PHẦN DỊCH VỤ THƯƠNG MẠI TỔNG HỢP WINCOMMERCE</v>
      </c>
      <c r="G1765" s="16" t="str">
        <f>VLOOKUP(Table8[[#This Row],[Mã khách hàng]],code_khach_hang[],3,0)</f>
        <v>Miền Bắc đặc biệt 1</v>
      </c>
      <c r="H1765" t="str">
        <f>VLOOKUP(Table8[[#This Row],[Mã khách hàng]],'Khách hàng'!A:D,4,0)</f>
        <v>Food Đức Việt</v>
      </c>
      <c r="I1765" t="str">
        <f>VLOOKUP(Table8[[#This Row],[Mã khách hàng]],'Khách hàng'!A:E,5,0)</f>
        <v>HN0040</v>
      </c>
    </row>
    <row r="1766" spans="1:9">
      <c r="A1766" s="14" t="s">
        <v>5235</v>
      </c>
      <c r="B1766" s="15" t="s">
        <v>5</v>
      </c>
      <c r="C1766" s="10" t="s">
        <v>5236</v>
      </c>
      <c r="D1766" s="16" t="s">
        <v>5749</v>
      </c>
      <c r="E1766" s="15" t="s">
        <v>11215</v>
      </c>
      <c r="F1766" s="16" t="str">
        <f>VLOOKUP(Table8[[#This Row],[Mã khách hàng]],code_khach_hang[],2,0)</f>
        <v>CHI NHÁNH HÀ NỘI - CÔNG TY CỔ PHẦN DỊCH VỤ THƯƠNG MẠI TỔNG HỢP WINCOMMERCE</v>
      </c>
      <c r="G1766" s="16" t="str">
        <f>VLOOKUP(Table8[[#This Row],[Mã khách hàng]],code_khach_hang[],3,0)</f>
        <v>Miền Bắc đặc biệt 1</v>
      </c>
      <c r="H1766" t="str">
        <f>VLOOKUP(Table8[[#This Row],[Mã khách hàng]],'Khách hàng'!A:D,4,0)</f>
        <v>Food Đức Việt</v>
      </c>
      <c r="I1766" t="str">
        <f>VLOOKUP(Table8[[#This Row],[Mã khách hàng]],'Khách hàng'!A:E,5,0)</f>
        <v>HN0040</v>
      </c>
    </row>
    <row r="1767" spans="1:9">
      <c r="A1767" s="14" t="s">
        <v>5550</v>
      </c>
      <c r="B1767" s="15" t="s">
        <v>5</v>
      </c>
      <c r="C1767" s="10" t="s">
        <v>5551</v>
      </c>
      <c r="D1767" s="16" t="s">
        <v>5752</v>
      </c>
      <c r="E1767" s="15" t="s">
        <v>11215</v>
      </c>
      <c r="F1767" s="16" t="str">
        <f>VLOOKUP(Table8[[#This Row],[Mã khách hàng]],code_khach_hang[],2,0)</f>
        <v>CHI NHÁNH HÀ NỘI - CÔNG TY CỔ PHẦN DỊCH VỤ THƯƠNG MẠI TỔNG HỢP WINCOMMERCE</v>
      </c>
      <c r="G1767" s="16" t="str">
        <f>VLOOKUP(Table8[[#This Row],[Mã khách hàng]],code_khach_hang[],3,0)</f>
        <v>Miền Bắc đặc biệt 1</v>
      </c>
      <c r="H1767" t="str">
        <f>VLOOKUP(Table8[[#This Row],[Mã khách hàng]],'Khách hàng'!A:D,4,0)</f>
        <v>Food Đức Việt</v>
      </c>
      <c r="I1767" t="str">
        <f>VLOOKUP(Table8[[#This Row],[Mã khách hàng]],'Khách hàng'!A:E,5,0)</f>
        <v>HN0040</v>
      </c>
    </row>
    <row r="1768" spans="1:9">
      <c r="A1768" s="14" t="s">
        <v>5609</v>
      </c>
      <c r="B1768" s="15" t="s">
        <v>5</v>
      </c>
      <c r="C1768" s="10" t="s">
        <v>5610</v>
      </c>
      <c r="D1768" s="16" t="s">
        <v>5755</v>
      </c>
      <c r="E1768" s="15" t="s">
        <v>11215</v>
      </c>
      <c r="F1768" s="16" t="str">
        <f>VLOOKUP(Table8[[#This Row],[Mã khách hàng]],code_khach_hang[],2,0)</f>
        <v>CHI NHÁNH HÀ NỘI - CÔNG TY CỔ PHẦN DỊCH VỤ THƯƠNG MẠI TỔNG HỢP WINCOMMERCE</v>
      </c>
      <c r="G1768" s="16" t="str">
        <f>VLOOKUP(Table8[[#This Row],[Mã khách hàng]],code_khach_hang[],3,0)</f>
        <v>Miền Bắc đặc biệt 1</v>
      </c>
      <c r="H1768" t="str">
        <f>VLOOKUP(Table8[[#This Row],[Mã khách hàng]],'Khách hàng'!A:D,4,0)</f>
        <v>Food Đức Việt</v>
      </c>
      <c r="I1768" t="str">
        <f>VLOOKUP(Table8[[#This Row],[Mã khách hàng]],'Khách hàng'!A:E,5,0)</f>
        <v>HN0040</v>
      </c>
    </row>
    <row r="1769" spans="1:9">
      <c r="A1769" s="14" t="s">
        <v>5650</v>
      </c>
      <c r="B1769" s="15" t="s">
        <v>5</v>
      </c>
      <c r="C1769" s="10" t="s">
        <v>5651</v>
      </c>
      <c r="D1769" s="16" t="s">
        <v>5758</v>
      </c>
      <c r="E1769" s="15" t="s">
        <v>11215</v>
      </c>
      <c r="F1769" s="16" t="str">
        <f>VLOOKUP(Table8[[#This Row],[Mã khách hàng]],code_khach_hang[],2,0)</f>
        <v>CHI NHÁNH HÀ NỘI - CÔNG TY CỔ PHẦN DỊCH VỤ THƯƠNG MẠI TỔNG HỢP WINCOMMERCE</v>
      </c>
      <c r="G1769" s="16" t="str">
        <f>VLOOKUP(Table8[[#This Row],[Mã khách hàng]],code_khach_hang[],3,0)</f>
        <v>Miền Bắc đặc biệt 1</v>
      </c>
      <c r="H1769" t="str">
        <f>VLOOKUP(Table8[[#This Row],[Mã khách hàng]],'Khách hàng'!A:D,4,0)</f>
        <v>Food Đức Việt</v>
      </c>
      <c r="I1769" t="str">
        <f>VLOOKUP(Table8[[#This Row],[Mã khách hàng]],'Khách hàng'!A:E,5,0)</f>
        <v>HN0040</v>
      </c>
    </row>
    <row r="1770" spans="1:9">
      <c r="A1770" s="14" t="s">
        <v>5698</v>
      </c>
      <c r="B1770" s="15" t="s">
        <v>5</v>
      </c>
      <c r="C1770" s="10" t="s">
        <v>5699</v>
      </c>
      <c r="D1770" s="16" t="s">
        <v>5761</v>
      </c>
      <c r="E1770" s="15" t="s">
        <v>11215</v>
      </c>
      <c r="F1770" s="16" t="str">
        <f>VLOOKUP(Table8[[#This Row],[Mã khách hàng]],code_khach_hang[],2,0)</f>
        <v>CHI NHÁNH HÀ NỘI - CÔNG TY CỔ PHẦN DỊCH VỤ THƯƠNG MẠI TỔNG HỢP WINCOMMERCE</v>
      </c>
      <c r="G1770" s="16" t="str">
        <f>VLOOKUP(Table8[[#This Row],[Mã khách hàng]],code_khach_hang[],3,0)</f>
        <v>Miền Bắc đặc biệt 1</v>
      </c>
      <c r="H1770" t="str">
        <f>VLOOKUP(Table8[[#This Row],[Mã khách hàng]],'Khách hàng'!A:D,4,0)</f>
        <v>Food Đức Việt</v>
      </c>
      <c r="I1770" t="str">
        <f>VLOOKUP(Table8[[#This Row],[Mã khách hàng]],'Khách hàng'!A:E,5,0)</f>
        <v>HN0040</v>
      </c>
    </row>
    <row r="1771" spans="1:9">
      <c r="A1771" s="14" t="s">
        <v>6228</v>
      </c>
      <c r="B1771" s="15" t="s">
        <v>5</v>
      </c>
      <c r="C1771" s="10" t="s">
        <v>6229</v>
      </c>
      <c r="D1771" s="16" t="s">
        <v>5764</v>
      </c>
      <c r="E1771" s="15" t="s">
        <v>11215</v>
      </c>
      <c r="F1771" s="16" t="str">
        <f>VLOOKUP(Table8[[#This Row],[Mã khách hàng]],code_khach_hang[],2,0)</f>
        <v>CHI NHÁNH HÀ NỘI - CÔNG TY CỔ PHẦN DỊCH VỤ THƯƠNG MẠI TỔNG HỢP WINCOMMERCE</v>
      </c>
      <c r="G1771" s="16" t="str">
        <f>VLOOKUP(Table8[[#This Row],[Mã khách hàng]],code_khach_hang[],3,0)</f>
        <v>Miền Bắc đặc biệt 1</v>
      </c>
      <c r="H1771" t="str">
        <f>VLOOKUP(Table8[[#This Row],[Mã khách hàng]],'Khách hàng'!A:D,4,0)</f>
        <v>Food Đức Việt</v>
      </c>
      <c r="I1771" t="str">
        <f>VLOOKUP(Table8[[#This Row],[Mã khách hàng]],'Khách hàng'!A:E,5,0)</f>
        <v>HN0040</v>
      </c>
    </row>
    <row r="1772" spans="1:9">
      <c r="A1772" s="14" t="s">
        <v>6470</v>
      </c>
      <c r="B1772" s="15" t="s">
        <v>5</v>
      </c>
      <c r="C1772" s="10" t="s">
        <v>6471</v>
      </c>
      <c r="D1772" s="16" t="s">
        <v>5767</v>
      </c>
      <c r="E1772" s="15" t="s">
        <v>11215</v>
      </c>
      <c r="F1772" s="16" t="str">
        <f>VLOOKUP(Table8[[#This Row],[Mã khách hàng]],code_khach_hang[],2,0)</f>
        <v>CHI NHÁNH HÀ NỘI - CÔNG TY CỔ PHẦN DỊCH VỤ THƯƠNG MẠI TỔNG HỢP WINCOMMERCE</v>
      </c>
      <c r="G1772" s="16" t="str">
        <f>VLOOKUP(Table8[[#This Row],[Mã khách hàng]],code_khach_hang[],3,0)</f>
        <v>Miền Bắc đặc biệt 1</v>
      </c>
      <c r="H1772" t="str">
        <f>VLOOKUP(Table8[[#This Row],[Mã khách hàng]],'Khách hàng'!A:D,4,0)</f>
        <v>Food Đức Việt</v>
      </c>
      <c r="I1772" t="str">
        <f>VLOOKUP(Table8[[#This Row],[Mã khách hàng]],'Khách hàng'!A:E,5,0)</f>
        <v>HN0040</v>
      </c>
    </row>
    <row r="1773" spans="1:9">
      <c r="A1773" s="14" t="s">
        <v>6611</v>
      </c>
      <c r="B1773" s="15" t="s">
        <v>5</v>
      </c>
      <c r="C1773" s="10" t="s">
        <v>6612</v>
      </c>
      <c r="D1773" s="16" t="s">
        <v>5770</v>
      </c>
      <c r="E1773" s="15" t="s">
        <v>11215</v>
      </c>
      <c r="F1773" s="16" t="str">
        <f>VLOOKUP(Table8[[#This Row],[Mã khách hàng]],code_khach_hang[],2,0)</f>
        <v>CHI NHÁNH HÀ NỘI - CÔNG TY CỔ PHẦN DỊCH VỤ THƯƠNG MẠI TỔNG HỢP WINCOMMERCE</v>
      </c>
      <c r="G1773" s="16" t="str">
        <f>VLOOKUP(Table8[[#This Row],[Mã khách hàng]],code_khach_hang[],3,0)</f>
        <v>Miền Bắc đặc biệt 1</v>
      </c>
      <c r="H1773" t="str">
        <f>VLOOKUP(Table8[[#This Row],[Mã khách hàng]],'Khách hàng'!A:D,4,0)</f>
        <v>Food Đức Việt</v>
      </c>
      <c r="I1773" t="str">
        <f>VLOOKUP(Table8[[#This Row],[Mã khách hàng]],'Khách hàng'!A:E,5,0)</f>
        <v>HN0040</v>
      </c>
    </row>
    <row r="1774" spans="1:9">
      <c r="A1774" s="14" t="s">
        <v>6704</v>
      </c>
      <c r="B1774" s="15" t="s">
        <v>5</v>
      </c>
      <c r="C1774" s="10" t="s">
        <v>6705</v>
      </c>
      <c r="D1774" s="16" t="s">
        <v>5773</v>
      </c>
      <c r="E1774" s="15" t="s">
        <v>11215</v>
      </c>
      <c r="F1774" s="16" t="str">
        <f>VLOOKUP(Table8[[#This Row],[Mã khách hàng]],code_khach_hang[],2,0)</f>
        <v>CHI NHÁNH HÀ NỘI - CÔNG TY CỔ PHẦN DỊCH VỤ THƯƠNG MẠI TỔNG HỢP WINCOMMERCE</v>
      </c>
      <c r="G1774" s="16" t="str">
        <f>VLOOKUP(Table8[[#This Row],[Mã khách hàng]],code_khach_hang[],3,0)</f>
        <v>Miền Bắc đặc biệt 1</v>
      </c>
      <c r="H1774" t="str">
        <f>VLOOKUP(Table8[[#This Row],[Mã khách hàng]],'Khách hàng'!A:D,4,0)</f>
        <v>Food Đức Việt</v>
      </c>
      <c r="I1774" t="str">
        <f>VLOOKUP(Table8[[#This Row],[Mã khách hàng]],'Khách hàng'!A:E,5,0)</f>
        <v>HN0040</v>
      </c>
    </row>
    <row r="1775" spans="1:9">
      <c r="A1775" s="14" t="s">
        <v>7077</v>
      </c>
      <c r="B1775" s="15" t="s">
        <v>5</v>
      </c>
      <c r="C1775" s="10" t="s">
        <v>7078</v>
      </c>
      <c r="D1775" s="16" t="s">
        <v>5776</v>
      </c>
      <c r="E1775" s="15" t="s">
        <v>11215</v>
      </c>
      <c r="F1775" s="16" t="str">
        <f>VLOOKUP(Table8[[#This Row],[Mã khách hàng]],code_khach_hang[],2,0)</f>
        <v>CHI NHÁNH HÀ NỘI - CÔNG TY CỔ PHẦN DỊCH VỤ THƯƠNG MẠI TỔNG HỢP WINCOMMERCE</v>
      </c>
      <c r="G1775" s="16" t="str">
        <f>VLOOKUP(Table8[[#This Row],[Mã khách hàng]],code_khach_hang[],3,0)</f>
        <v>Miền Bắc đặc biệt 1</v>
      </c>
      <c r="H1775" t="str">
        <f>VLOOKUP(Table8[[#This Row],[Mã khách hàng]],'Khách hàng'!A:D,4,0)</f>
        <v>Food Đức Việt</v>
      </c>
      <c r="I1775" t="str">
        <f>VLOOKUP(Table8[[#This Row],[Mã khách hàng]],'Khách hàng'!A:E,5,0)</f>
        <v>HN0040</v>
      </c>
    </row>
    <row r="1776" spans="1:9">
      <c r="A1776" s="14" t="s">
        <v>8067</v>
      </c>
      <c r="B1776" s="15" t="s">
        <v>5</v>
      </c>
      <c r="C1776" s="10" t="s">
        <v>8068</v>
      </c>
      <c r="D1776" s="16" t="s">
        <v>5779</v>
      </c>
      <c r="E1776" s="15" t="s">
        <v>11215</v>
      </c>
      <c r="F1776" s="16" t="str">
        <f>VLOOKUP(Table8[[#This Row],[Mã khách hàng]],code_khach_hang[],2,0)</f>
        <v>CHI NHÁNH HÀ NỘI - CÔNG TY CỔ PHẦN DỊCH VỤ THƯƠNG MẠI TỔNG HỢP WINCOMMERCE</v>
      </c>
      <c r="G1776" s="16" t="str">
        <f>VLOOKUP(Table8[[#This Row],[Mã khách hàng]],code_khach_hang[],3,0)</f>
        <v>Miền Bắc đặc biệt 1</v>
      </c>
      <c r="H1776" t="str">
        <f>VLOOKUP(Table8[[#This Row],[Mã khách hàng]],'Khách hàng'!A:D,4,0)</f>
        <v>Food Đức Việt</v>
      </c>
      <c r="I1776" t="str">
        <f>VLOOKUP(Table8[[#This Row],[Mã khách hàng]],'Khách hàng'!A:E,5,0)</f>
        <v>HN0040</v>
      </c>
    </row>
    <row r="1777" spans="1:9">
      <c r="A1777" s="14" t="s">
        <v>8381</v>
      </c>
      <c r="B1777" s="15" t="s">
        <v>5</v>
      </c>
      <c r="C1777" s="10" t="s">
        <v>8382</v>
      </c>
      <c r="D1777" s="16" t="s">
        <v>5782</v>
      </c>
      <c r="E1777" s="15" t="s">
        <v>11215</v>
      </c>
      <c r="F1777" s="16" t="str">
        <f>VLOOKUP(Table8[[#This Row],[Mã khách hàng]],code_khach_hang[],2,0)</f>
        <v>CHI NHÁNH HÀ NỘI - CÔNG TY CỔ PHẦN DỊCH VỤ THƯƠNG MẠI TỔNG HỢP WINCOMMERCE</v>
      </c>
      <c r="G1777" s="16" t="str">
        <f>VLOOKUP(Table8[[#This Row],[Mã khách hàng]],code_khach_hang[],3,0)</f>
        <v>Miền Bắc đặc biệt 1</v>
      </c>
      <c r="H1777" t="str">
        <f>VLOOKUP(Table8[[#This Row],[Mã khách hàng]],'Khách hàng'!A:D,4,0)</f>
        <v>Food Đức Việt</v>
      </c>
      <c r="I1777" t="str">
        <f>VLOOKUP(Table8[[#This Row],[Mã khách hàng]],'Khách hàng'!A:E,5,0)</f>
        <v>HN0040</v>
      </c>
    </row>
    <row r="1778" spans="1:9">
      <c r="A1778" s="14" t="s">
        <v>8788</v>
      </c>
      <c r="B1778" s="15" t="s">
        <v>5</v>
      </c>
      <c r="C1778" s="10" t="s">
        <v>8789</v>
      </c>
      <c r="D1778" s="16" t="s">
        <v>5785</v>
      </c>
      <c r="E1778" s="15" t="s">
        <v>11215</v>
      </c>
      <c r="F1778" s="16" t="str">
        <f>VLOOKUP(Table8[[#This Row],[Mã khách hàng]],code_khach_hang[],2,0)</f>
        <v>CHI NHÁNH HÀ NỘI - CÔNG TY CỔ PHẦN DỊCH VỤ THƯƠNG MẠI TỔNG HỢP WINCOMMERCE</v>
      </c>
      <c r="G1778" s="16" t="str">
        <f>VLOOKUP(Table8[[#This Row],[Mã khách hàng]],code_khach_hang[],3,0)</f>
        <v>Miền Bắc đặc biệt 1</v>
      </c>
      <c r="H1778" t="str">
        <f>VLOOKUP(Table8[[#This Row],[Mã khách hàng]],'Khách hàng'!A:D,4,0)</f>
        <v>Food Đức Việt</v>
      </c>
      <c r="I1778" t="str">
        <f>VLOOKUP(Table8[[#This Row],[Mã khách hàng]],'Khách hàng'!A:E,5,0)</f>
        <v>HN0040</v>
      </c>
    </row>
    <row r="1779" spans="1:9">
      <c r="A1779" s="14" t="s">
        <v>1352</v>
      </c>
      <c r="B1779" s="15" t="s">
        <v>5</v>
      </c>
      <c r="C1779" s="10" t="s">
        <v>1353</v>
      </c>
      <c r="D1779" s="16" t="s">
        <v>5788</v>
      </c>
      <c r="E1779" s="15" t="s">
        <v>11215</v>
      </c>
      <c r="F1779" s="16" t="str">
        <f>VLOOKUP(Table8[[#This Row],[Mã khách hàng]],code_khach_hang[],2,0)</f>
        <v>CHI NHÁNH HÀ NỘI - CÔNG TY CỔ PHẦN DỊCH VỤ THƯƠNG MẠI TỔNG HỢP WINCOMMERCE</v>
      </c>
      <c r="G1779" s="16" t="str">
        <f>VLOOKUP(Table8[[#This Row],[Mã khách hàng]],code_khach_hang[],3,0)</f>
        <v>Miền Bắc đặc biệt 1</v>
      </c>
      <c r="H1779" t="str">
        <f>VLOOKUP(Table8[[#This Row],[Mã khách hàng]],'Khách hàng'!A:D,4,0)</f>
        <v>Food Đức Việt</v>
      </c>
      <c r="I1779" t="str">
        <f>VLOOKUP(Table8[[#This Row],[Mã khách hàng]],'Khách hàng'!A:E,5,0)</f>
        <v>HN0040</v>
      </c>
    </row>
    <row r="1780" spans="1:9">
      <c r="A1780" s="14" t="s">
        <v>1615</v>
      </c>
      <c r="B1780" s="15" t="s">
        <v>5</v>
      </c>
      <c r="C1780" s="10" t="s">
        <v>1616</v>
      </c>
      <c r="D1780" s="16" t="s">
        <v>5791</v>
      </c>
      <c r="E1780" s="15" t="s">
        <v>11215</v>
      </c>
      <c r="F1780" s="16" t="str">
        <f>VLOOKUP(Table8[[#This Row],[Mã khách hàng]],code_khach_hang[],2,0)</f>
        <v>CHI NHÁNH HÀ NỘI - CÔNG TY CỔ PHẦN DỊCH VỤ THƯƠNG MẠI TỔNG HỢP WINCOMMERCE</v>
      </c>
      <c r="G1780" s="16" t="str">
        <f>VLOOKUP(Table8[[#This Row],[Mã khách hàng]],code_khach_hang[],3,0)</f>
        <v>Miền Bắc đặc biệt 1</v>
      </c>
      <c r="H1780" t="str">
        <f>VLOOKUP(Table8[[#This Row],[Mã khách hàng]],'Khách hàng'!A:D,4,0)</f>
        <v>Food Đức Việt</v>
      </c>
      <c r="I1780" t="str">
        <f>VLOOKUP(Table8[[#This Row],[Mã khách hàng]],'Khách hàng'!A:E,5,0)</f>
        <v>HN0040</v>
      </c>
    </row>
    <row r="1781" spans="1:9">
      <c r="A1781" s="14" t="s">
        <v>1858</v>
      </c>
      <c r="B1781" s="15" t="s">
        <v>5</v>
      </c>
      <c r="C1781" s="10" t="s">
        <v>1859</v>
      </c>
      <c r="D1781" s="16" t="s">
        <v>5794</v>
      </c>
      <c r="E1781" s="15" t="s">
        <v>11215</v>
      </c>
      <c r="F1781" s="16" t="str">
        <f>VLOOKUP(Table8[[#This Row],[Mã khách hàng]],code_khach_hang[],2,0)</f>
        <v>CHI NHÁNH HÀ NỘI - CÔNG TY CỔ PHẦN DỊCH VỤ THƯƠNG MẠI TỔNG HỢP WINCOMMERCE</v>
      </c>
      <c r="G1781" s="16" t="str">
        <f>VLOOKUP(Table8[[#This Row],[Mã khách hàng]],code_khach_hang[],3,0)</f>
        <v>Miền Bắc đặc biệt 1</v>
      </c>
      <c r="H1781" t="str">
        <f>VLOOKUP(Table8[[#This Row],[Mã khách hàng]],'Khách hàng'!A:D,4,0)</f>
        <v>Food Đức Việt</v>
      </c>
      <c r="I1781" t="str">
        <f>VLOOKUP(Table8[[#This Row],[Mã khách hàng]],'Khách hàng'!A:E,5,0)</f>
        <v>HN0040</v>
      </c>
    </row>
    <row r="1782" spans="1:9">
      <c r="A1782" s="14" t="s">
        <v>1570</v>
      </c>
      <c r="B1782" s="15" t="s">
        <v>5</v>
      </c>
      <c r="C1782" s="10" t="s">
        <v>1571</v>
      </c>
      <c r="D1782" s="16" t="s">
        <v>5797</v>
      </c>
      <c r="E1782" s="15" t="s">
        <v>11215</v>
      </c>
      <c r="F1782" s="16" t="str">
        <f>VLOOKUP(Table8[[#This Row],[Mã khách hàng]],code_khach_hang[],2,0)</f>
        <v>CHI NHÁNH HÀ NỘI - CÔNG TY CỔ PHẦN DỊCH VỤ THƯƠNG MẠI TỔNG HỢP WINCOMMERCE</v>
      </c>
      <c r="G1782" s="16" t="str">
        <f>VLOOKUP(Table8[[#This Row],[Mã khách hàng]],code_khach_hang[],3,0)</f>
        <v>Miền Bắc đặc biệt 1</v>
      </c>
      <c r="H1782" t="str">
        <f>VLOOKUP(Table8[[#This Row],[Mã khách hàng]],'Khách hàng'!A:D,4,0)</f>
        <v>Food Đức Việt</v>
      </c>
      <c r="I1782" t="str">
        <f>VLOOKUP(Table8[[#This Row],[Mã khách hàng]],'Khách hàng'!A:E,5,0)</f>
        <v>HN0040</v>
      </c>
    </row>
    <row r="1783" spans="1:9">
      <c r="A1783" s="14" t="s">
        <v>583</v>
      </c>
      <c r="B1783" s="15" t="s">
        <v>183</v>
      </c>
      <c r="C1783" s="10" t="s">
        <v>584</v>
      </c>
      <c r="D1783" s="16" t="s">
        <v>5800</v>
      </c>
      <c r="E1783" s="15" t="s">
        <v>11195</v>
      </c>
      <c r="F1783" s="16" t="str">
        <f>VLOOKUP(Table8[[#This Row],[Mã khách hàng]],code_khach_hang[],2,0)</f>
        <v>CHI NHÁNH HÀ NỘI - CÔNG TY CỔ PHẦN DỊCH VỤ THƯƠNG MẠI TỔNG HỢP WINCOMMERCE</v>
      </c>
      <c r="G1783" s="16" t="str">
        <f>VLOOKUP(Table8[[#This Row],[Mã khách hàng]],code_khach_hang[],3,0)</f>
        <v>Miền Bắc đặc biệt 2</v>
      </c>
      <c r="H1783" t="str">
        <f>VLOOKUP(Table8[[#This Row],[Mã khách hàng]],'Khách hàng'!A:D,4,0)</f>
        <v>Food Đức Việt</v>
      </c>
      <c r="I1783" t="str">
        <f>VLOOKUP(Table8[[#This Row],[Mã khách hàng]],'Khách hàng'!A:E,5,0)</f>
        <v>HN0040</v>
      </c>
    </row>
    <row r="1784" spans="1:9">
      <c r="A1784" s="14" t="s">
        <v>8653</v>
      </c>
      <c r="B1784" s="15" t="s">
        <v>5</v>
      </c>
      <c r="C1784" s="10" t="s">
        <v>8654</v>
      </c>
      <c r="D1784" s="16" t="s">
        <v>5803</v>
      </c>
      <c r="E1784" s="15" t="s">
        <v>11215</v>
      </c>
      <c r="F1784" s="16" t="str">
        <f>VLOOKUP(Table8[[#This Row],[Mã khách hàng]],code_khach_hang[],2,0)</f>
        <v>CHI NHÁNH HÀ NỘI - CÔNG TY CỔ PHẦN DỊCH VỤ THƯƠNG MẠI TỔNG HỢP WINCOMMERCE</v>
      </c>
      <c r="G1784" s="16" t="str">
        <f>VLOOKUP(Table8[[#This Row],[Mã khách hàng]],code_khach_hang[],3,0)</f>
        <v>Miền Bắc đặc biệt 1</v>
      </c>
      <c r="H1784" t="str">
        <f>VLOOKUP(Table8[[#This Row],[Mã khách hàng]],'Khách hàng'!A:D,4,0)</f>
        <v>Food Đức Việt</v>
      </c>
      <c r="I1784" t="str">
        <f>VLOOKUP(Table8[[#This Row],[Mã khách hàng]],'Khách hàng'!A:E,5,0)</f>
        <v>HN0040</v>
      </c>
    </row>
    <row r="1785" spans="1:9">
      <c r="A1785" s="14" t="s">
        <v>819</v>
      </c>
      <c r="B1785" s="15" t="s">
        <v>5</v>
      </c>
      <c r="C1785" s="10" t="s">
        <v>820</v>
      </c>
      <c r="D1785" s="16" t="s">
        <v>5806</v>
      </c>
      <c r="E1785" s="15" t="s">
        <v>11215</v>
      </c>
      <c r="F1785" s="16" t="str">
        <f>VLOOKUP(Table8[[#This Row],[Mã khách hàng]],code_khach_hang[],2,0)</f>
        <v>CHI NHÁNH HÀ NỘI - CÔNG TY CỔ PHẦN DỊCH VỤ THƯƠNG MẠI TỔNG HỢP WINCOMMERCE</v>
      </c>
      <c r="G1785" s="16" t="str">
        <f>VLOOKUP(Table8[[#This Row],[Mã khách hàng]],code_khach_hang[],3,0)</f>
        <v>Miền Bắc đặc biệt 1</v>
      </c>
      <c r="H1785" t="str">
        <f>VLOOKUP(Table8[[#This Row],[Mã khách hàng]],'Khách hàng'!A:D,4,0)</f>
        <v>Food Đức Việt</v>
      </c>
      <c r="I1785" t="str">
        <f>VLOOKUP(Table8[[#This Row],[Mã khách hàng]],'Khách hàng'!A:E,5,0)</f>
        <v>HN0040</v>
      </c>
    </row>
    <row r="1786" spans="1:9">
      <c r="A1786" s="14" t="s">
        <v>855</v>
      </c>
      <c r="B1786" s="15" t="s">
        <v>5</v>
      </c>
      <c r="C1786" s="10" t="s">
        <v>856</v>
      </c>
      <c r="D1786" s="16" t="s">
        <v>5809</v>
      </c>
      <c r="E1786" s="15" t="s">
        <v>11215</v>
      </c>
      <c r="F1786" s="16" t="str">
        <f>VLOOKUP(Table8[[#This Row],[Mã khách hàng]],code_khach_hang[],2,0)</f>
        <v>CHI NHÁNH HÀ NỘI - CÔNG TY CỔ PHẦN DỊCH VỤ THƯƠNG MẠI TỔNG HỢP WINCOMMERCE</v>
      </c>
      <c r="G1786" s="16" t="str">
        <f>VLOOKUP(Table8[[#This Row],[Mã khách hàng]],code_khach_hang[],3,0)</f>
        <v>Miền Bắc đặc biệt 1</v>
      </c>
      <c r="H1786" t="str">
        <f>VLOOKUP(Table8[[#This Row],[Mã khách hàng]],'Khách hàng'!A:D,4,0)</f>
        <v>Food Đức Việt</v>
      </c>
      <c r="I1786" t="str">
        <f>VLOOKUP(Table8[[#This Row],[Mã khách hàng]],'Khách hàng'!A:E,5,0)</f>
        <v>HN0040</v>
      </c>
    </row>
    <row r="1787" spans="1:9">
      <c r="A1787" s="14" t="s">
        <v>888</v>
      </c>
      <c r="B1787" s="15" t="s">
        <v>5</v>
      </c>
      <c r="C1787" s="10" t="s">
        <v>889</v>
      </c>
      <c r="D1787" s="16" t="s">
        <v>5812</v>
      </c>
      <c r="E1787" s="15" t="s">
        <v>11215</v>
      </c>
      <c r="F1787" s="16" t="str">
        <f>VLOOKUP(Table8[[#This Row],[Mã khách hàng]],code_khach_hang[],2,0)</f>
        <v>CHI NHÁNH HÀ NỘI - CÔNG TY CỔ PHẦN DỊCH VỤ THƯƠNG MẠI TỔNG HỢP WINCOMMERCE</v>
      </c>
      <c r="G1787" s="16" t="str">
        <f>VLOOKUP(Table8[[#This Row],[Mã khách hàng]],code_khach_hang[],3,0)</f>
        <v>Miền Bắc đặc biệt 1</v>
      </c>
      <c r="H1787" t="str">
        <f>VLOOKUP(Table8[[#This Row],[Mã khách hàng]],'Khách hàng'!A:D,4,0)</f>
        <v>Food Đức Việt</v>
      </c>
      <c r="I1787" t="str">
        <f>VLOOKUP(Table8[[#This Row],[Mã khách hàng]],'Khách hàng'!A:E,5,0)</f>
        <v>HN0040</v>
      </c>
    </row>
    <row r="1788" spans="1:9">
      <c r="A1788" s="14" t="s">
        <v>900</v>
      </c>
      <c r="B1788" s="15" t="s">
        <v>5</v>
      </c>
      <c r="C1788" s="10" t="s">
        <v>901</v>
      </c>
      <c r="D1788" s="16" t="s">
        <v>5815</v>
      </c>
      <c r="E1788" s="15" t="s">
        <v>11215</v>
      </c>
      <c r="F1788" s="16" t="str">
        <f>VLOOKUP(Table8[[#This Row],[Mã khách hàng]],code_khach_hang[],2,0)</f>
        <v>CHI NHÁNH HÀ NỘI - CÔNG TY CỔ PHẦN DỊCH VỤ THƯƠNG MẠI TỔNG HỢP WINCOMMERCE</v>
      </c>
      <c r="G1788" s="16" t="str">
        <f>VLOOKUP(Table8[[#This Row],[Mã khách hàng]],code_khach_hang[],3,0)</f>
        <v>Miền Bắc đặc biệt 1</v>
      </c>
      <c r="H1788" t="str">
        <f>VLOOKUP(Table8[[#This Row],[Mã khách hàng]],'Khách hàng'!A:D,4,0)</f>
        <v>Food Đức Việt</v>
      </c>
      <c r="I1788" t="str">
        <f>VLOOKUP(Table8[[#This Row],[Mã khách hàng]],'Khách hàng'!A:E,5,0)</f>
        <v>HN0040</v>
      </c>
    </row>
    <row r="1789" spans="1:9">
      <c r="A1789" s="14" t="s">
        <v>945</v>
      </c>
      <c r="B1789" s="15" t="s">
        <v>5</v>
      </c>
      <c r="C1789" s="10" t="s">
        <v>946</v>
      </c>
      <c r="D1789" s="16" t="s">
        <v>5818</v>
      </c>
      <c r="E1789" s="15" t="s">
        <v>11215</v>
      </c>
      <c r="F1789" s="16" t="str">
        <f>VLOOKUP(Table8[[#This Row],[Mã khách hàng]],code_khach_hang[],2,0)</f>
        <v>CHI NHÁNH HÀ NỘI - CÔNG TY CỔ PHẦN DỊCH VỤ THƯƠNG MẠI TỔNG HỢP WINCOMMERCE</v>
      </c>
      <c r="G1789" s="16" t="str">
        <f>VLOOKUP(Table8[[#This Row],[Mã khách hàng]],code_khach_hang[],3,0)</f>
        <v>Miền Bắc đặc biệt 1</v>
      </c>
      <c r="H1789" t="str">
        <f>VLOOKUP(Table8[[#This Row],[Mã khách hàng]],'Khách hàng'!A:D,4,0)</f>
        <v>Food Đức Việt</v>
      </c>
      <c r="I1789" t="str">
        <f>VLOOKUP(Table8[[#This Row],[Mã khách hàng]],'Khách hàng'!A:E,5,0)</f>
        <v>HN0040</v>
      </c>
    </row>
    <row r="1790" spans="1:9">
      <c r="A1790" s="14" t="s">
        <v>948</v>
      </c>
      <c r="B1790" s="15" t="s">
        <v>5</v>
      </c>
      <c r="C1790" s="10" t="s">
        <v>949</v>
      </c>
      <c r="D1790" s="16" t="s">
        <v>5821</v>
      </c>
      <c r="E1790" s="15" t="s">
        <v>11215</v>
      </c>
      <c r="F1790" s="16" t="str">
        <f>VLOOKUP(Table8[[#This Row],[Mã khách hàng]],code_khach_hang[],2,0)</f>
        <v>CHI NHÁNH HÀ NỘI - CÔNG TY CỔ PHẦN DỊCH VỤ THƯƠNG MẠI TỔNG HỢP WINCOMMERCE</v>
      </c>
      <c r="G1790" s="16" t="str">
        <f>VLOOKUP(Table8[[#This Row],[Mã khách hàng]],code_khach_hang[],3,0)</f>
        <v>Miền Bắc đặc biệt 1</v>
      </c>
      <c r="H1790" t="str">
        <f>VLOOKUP(Table8[[#This Row],[Mã khách hàng]],'Khách hàng'!A:D,4,0)</f>
        <v>Food Đức Việt</v>
      </c>
      <c r="I1790" t="str">
        <f>VLOOKUP(Table8[[#This Row],[Mã khách hàng]],'Khách hàng'!A:E,5,0)</f>
        <v>HN0040</v>
      </c>
    </row>
    <row r="1791" spans="1:9">
      <c r="A1791" s="14" t="s">
        <v>11128</v>
      </c>
      <c r="B1791" s="15" t="s">
        <v>5</v>
      </c>
      <c r="C1791" s="10" t="s">
        <v>13168</v>
      </c>
      <c r="D1791" s="16" t="s">
        <v>5823</v>
      </c>
      <c r="E1791" s="15" t="s">
        <v>11215</v>
      </c>
      <c r="F1791" s="16" t="str">
        <f>VLOOKUP(Table8[[#This Row],[Mã khách hàng]],code_khach_hang[],2,0)</f>
        <v>CHI NHÁNH HÀ NỘI - CÔNG TY CỔ PHẦN DỊCH VỤ THƯƠNG MẠI TỔNG HỢP WINCOMMERCE</v>
      </c>
      <c r="G1791" s="16" t="str">
        <f>VLOOKUP(Table8[[#This Row],[Mã khách hàng]],code_khach_hang[],3,0)</f>
        <v>Miền Bắc đặc biệt 1</v>
      </c>
      <c r="H1791" t="str">
        <f>VLOOKUP(Table8[[#This Row],[Mã khách hàng]],'Khách hàng'!A:D,4,0)</f>
        <v>Food Đức Việt</v>
      </c>
      <c r="I1791" t="str">
        <f>VLOOKUP(Table8[[#This Row],[Mã khách hàng]],'Khách hàng'!A:E,5,0)</f>
        <v>HN0040</v>
      </c>
    </row>
    <row r="1792" spans="1:9">
      <c r="A1792" s="14" t="s">
        <v>993</v>
      </c>
      <c r="B1792" s="15" t="s">
        <v>5</v>
      </c>
      <c r="C1792" s="10" t="s">
        <v>994</v>
      </c>
      <c r="D1792" s="16" t="s">
        <v>5826</v>
      </c>
      <c r="E1792" s="15" t="s">
        <v>11215</v>
      </c>
      <c r="F1792" s="16" t="str">
        <f>VLOOKUP(Table8[[#This Row],[Mã khách hàng]],code_khach_hang[],2,0)</f>
        <v>CHI NHÁNH HÀ NỘI - CÔNG TY CỔ PHẦN DỊCH VỤ THƯƠNG MẠI TỔNG HỢP WINCOMMERCE</v>
      </c>
      <c r="G1792" s="16" t="str">
        <f>VLOOKUP(Table8[[#This Row],[Mã khách hàng]],code_khach_hang[],3,0)</f>
        <v>Miền Bắc đặc biệt 1</v>
      </c>
      <c r="H1792" t="str">
        <f>VLOOKUP(Table8[[#This Row],[Mã khách hàng]],'Khách hàng'!A:D,4,0)</f>
        <v>Food Đức Việt</v>
      </c>
      <c r="I1792" t="str">
        <f>VLOOKUP(Table8[[#This Row],[Mã khách hàng]],'Khách hàng'!A:E,5,0)</f>
        <v>HN0040</v>
      </c>
    </row>
    <row r="1793" spans="1:9">
      <c r="A1793" s="14" t="s">
        <v>1017</v>
      </c>
      <c r="B1793" s="15" t="s">
        <v>5</v>
      </c>
      <c r="C1793" s="10" t="s">
        <v>1018</v>
      </c>
      <c r="D1793" s="16" t="s">
        <v>5829</v>
      </c>
      <c r="E1793" s="15" t="s">
        <v>11215</v>
      </c>
      <c r="F1793" s="16" t="str">
        <f>VLOOKUP(Table8[[#This Row],[Mã khách hàng]],code_khach_hang[],2,0)</f>
        <v>CHI NHÁNH HÀ NỘI - CÔNG TY CỔ PHẦN DỊCH VỤ THƯƠNG MẠI TỔNG HỢP WINCOMMERCE</v>
      </c>
      <c r="G1793" s="16" t="str">
        <f>VLOOKUP(Table8[[#This Row],[Mã khách hàng]],code_khach_hang[],3,0)</f>
        <v>Miền Bắc đặc biệt 1</v>
      </c>
      <c r="H1793" t="str">
        <f>VLOOKUP(Table8[[#This Row],[Mã khách hàng]],'Khách hàng'!A:D,4,0)</f>
        <v>Food Đức Việt</v>
      </c>
      <c r="I1793" t="str">
        <f>VLOOKUP(Table8[[#This Row],[Mã khách hàng]],'Khách hàng'!A:E,5,0)</f>
        <v>HN0040</v>
      </c>
    </row>
    <row r="1794" spans="1:9">
      <c r="A1794" s="14" t="s">
        <v>1059</v>
      </c>
      <c r="B1794" s="15" t="s">
        <v>5</v>
      </c>
      <c r="C1794" s="10" t="s">
        <v>1060</v>
      </c>
      <c r="D1794" s="16" t="s">
        <v>5832</v>
      </c>
      <c r="E1794" s="15" t="s">
        <v>11215</v>
      </c>
      <c r="F1794" s="16" t="str">
        <f>VLOOKUP(Table8[[#This Row],[Mã khách hàng]],code_khach_hang[],2,0)</f>
        <v>CHI NHÁNH HÀ NỘI - CÔNG TY CỔ PHẦN DỊCH VỤ THƯƠNG MẠI TỔNG HỢP WINCOMMERCE</v>
      </c>
      <c r="G1794" s="16" t="str">
        <f>VLOOKUP(Table8[[#This Row],[Mã khách hàng]],code_khach_hang[],3,0)</f>
        <v>Miền Bắc đặc biệt 1</v>
      </c>
      <c r="H1794" t="str">
        <f>VLOOKUP(Table8[[#This Row],[Mã khách hàng]],'Khách hàng'!A:D,4,0)</f>
        <v>Food Đức Việt</v>
      </c>
      <c r="I1794" t="str">
        <f>VLOOKUP(Table8[[#This Row],[Mã khách hàng]],'Khách hàng'!A:E,5,0)</f>
        <v>HN0040</v>
      </c>
    </row>
    <row r="1795" spans="1:9">
      <c r="A1795" s="14" t="s">
        <v>1080</v>
      </c>
      <c r="B1795" s="15" t="s">
        <v>5</v>
      </c>
      <c r="C1795" s="10" t="s">
        <v>1081</v>
      </c>
      <c r="D1795" s="16" t="s">
        <v>5835</v>
      </c>
      <c r="E1795" s="15" t="s">
        <v>11215</v>
      </c>
      <c r="F1795" s="16" t="str">
        <f>VLOOKUP(Table8[[#This Row],[Mã khách hàng]],code_khach_hang[],2,0)</f>
        <v>CHI NHÁNH HÀ NỘI - CÔNG TY CỔ PHẦN DỊCH VỤ THƯƠNG MẠI TỔNG HỢP WINCOMMERCE</v>
      </c>
      <c r="G1795" s="16" t="str">
        <f>VLOOKUP(Table8[[#This Row],[Mã khách hàng]],code_khach_hang[],3,0)</f>
        <v>Miền Bắc đặc biệt 1</v>
      </c>
      <c r="H1795" t="str">
        <f>VLOOKUP(Table8[[#This Row],[Mã khách hàng]],'Khách hàng'!A:D,4,0)</f>
        <v>Food Đức Việt</v>
      </c>
      <c r="I1795" t="str">
        <f>VLOOKUP(Table8[[#This Row],[Mã khách hàng]],'Khách hàng'!A:E,5,0)</f>
        <v>HN0040</v>
      </c>
    </row>
    <row r="1796" spans="1:9">
      <c r="A1796" s="14" t="s">
        <v>1107</v>
      </c>
      <c r="B1796" s="15" t="s">
        <v>5</v>
      </c>
      <c r="C1796" s="10" t="s">
        <v>1108</v>
      </c>
      <c r="D1796" s="16" t="s">
        <v>5838</v>
      </c>
      <c r="E1796" s="15" t="s">
        <v>11215</v>
      </c>
      <c r="F1796" s="16" t="str">
        <f>VLOOKUP(Table8[[#This Row],[Mã khách hàng]],code_khach_hang[],2,0)</f>
        <v>CHI NHÁNH HÀ NỘI - CÔNG TY CỔ PHẦN DỊCH VỤ THƯƠNG MẠI TỔNG HỢP WINCOMMERCE</v>
      </c>
      <c r="G1796" s="16" t="str">
        <f>VLOOKUP(Table8[[#This Row],[Mã khách hàng]],code_khach_hang[],3,0)</f>
        <v>Miền Bắc đặc biệt 1</v>
      </c>
      <c r="H1796" t="str">
        <f>VLOOKUP(Table8[[#This Row],[Mã khách hàng]],'Khách hàng'!A:D,4,0)</f>
        <v>Food Đức Việt</v>
      </c>
      <c r="I1796" t="str">
        <f>VLOOKUP(Table8[[#This Row],[Mã khách hàng]],'Khách hàng'!A:E,5,0)</f>
        <v>HN0040</v>
      </c>
    </row>
    <row r="1797" spans="1:9">
      <c r="A1797" s="14" t="s">
        <v>1137</v>
      </c>
      <c r="B1797" s="15" t="s">
        <v>5</v>
      </c>
      <c r="C1797" s="10" t="s">
        <v>1138</v>
      </c>
      <c r="D1797" s="16" t="s">
        <v>5841</v>
      </c>
      <c r="E1797" s="15" t="s">
        <v>11215</v>
      </c>
      <c r="F1797" s="16" t="str">
        <f>VLOOKUP(Table8[[#This Row],[Mã khách hàng]],code_khach_hang[],2,0)</f>
        <v>CHI NHÁNH HÀ NỘI - CÔNG TY CỔ PHẦN DỊCH VỤ THƯƠNG MẠI TỔNG HỢP WINCOMMERCE</v>
      </c>
      <c r="G1797" s="16" t="str">
        <f>VLOOKUP(Table8[[#This Row],[Mã khách hàng]],code_khach_hang[],3,0)</f>
        <v>Miền Bắc đặc biệt 1</v>
      </c>
      <c r="H1797" t="str">
        <f>VLOOKUP(Table8[[#This Row],[Mã khách hàng]],'Khách hàng'!A:D,4,0)</f>
        <v>Food Đức Việt</v>
      </c>
      <c r="I1797" t="str">
        <f>VLOOKUP(Table8[[#This Row],[Mã khách hàng]],'Khách hàng'!A:E,5,0)</f>
        <v>HN0040</v>
      </c>
    </row>
    <row r="1798" spans="1:9">
      <c r="A1798" s="14" t="s">
        <v>1152</v>
      </c>
      <c r="B1798" s="15" t="s">
        <v>5</v>
      </c>
      <c r="C1798" s="10" t="s">
        <v>1153</v>
      </c>
      <c r="D1798" s="16" t="s">
        <v>5844</v>
      </c>
      <c r="E1798" s="15" t="s">
        <v>11215</v>
      </c>
      <c r="F1798" s="16" t="str">
        <f>VLOOKUP(Table8[[#This Row],[Mã khách hàng]],code_khach_hang[],2,0)</f>
        <v>CHI NHÁNH HÀ NỘI - CÔNG TY CỔ PHẦN DỊCH VỤ THƯƠNG MẠI TỔNG HỢP WINCOMMERCE</v>
      </c>
      <c r="G1798" s="16" t="str">
        <f>VLOOKUP(Table8[[#This Row],[Mã khách hàng]],code_khach_hang[],3,0)</f>
        <v>Miền Bắc đặc biệt 1</v>
      </c>
      <c r="H1798" t="str">
        <f>VLOOKUP(Table8[[#This Row],[Mã khách hàng]],'Khách hàng'!A:D,4,0)</f>
        <v>Food Đức Việt</v>
      </c>
      <c r="I1798" t="str">
        <f>VLOOKUP(Table8[[#This Row],[Mã khách hàng]],'Khách hàng'!A:E,5,0)</f>
        <v>HN0040</v>
      </c>
    </row>
    <row r="1799" spans="1:9">
      <c r="A1799" s="14" t="s">
        <v>11129</v>
      </c>
      <c r="B1799" s="15" t="s">
        <v>5</v>
      </c>
      <c r="C1799" s="10" t="e">
        <v>#N/A</v>
      </c>
      <c r="D1799" s="16" t="s">
        <v>5847</v>
      </c>
      <c r="E1799" s="15" t="s">
        <v>11215</v>
      </c>
      <c r="F1799" s="16" t="str">
        <f>VLOOKUP(Table8[[#This Row],[Mã khách hàng]],code_khach_hang[],2,0)</f>
        <v>CHI NHÁNH HÀ NỘI - CÔNG TY CỔ PHẦN DỊCH VỤ THƯƠNG MẠI TỔNG HỢP WINCOMMERCE</v>
      </c>
      <c r="G1799" s="16" t="str">
        <f>VLOOKUP(Table8[[#This Row],[Mã khách hàng]],code_khach_hang[],3,0)</f>
        <v>Miền Bắc đặc biệt 1</v>
      </c>
      <c r="H1799" t="str">
        <f>VLOOKUP(Table8[[#This Row],[Mã khách hàng]],'Khách hàng'!A:D,4,0)</f>
        <v>Food Đức Việt</v>
      </c>
      <c r="I1799" t="str">
        <f>VLOOKUP(Table8[[#This Row],[Mã khách hàng]],'Khách hàng'!A:E,5,0)</f>
        <v>HN0040</v>
      </c>
    </row>
    <row r="1800" spans="1:9">
      <c r="A1800" s="14" t="s">
        <v>1218</v>
      </c>
      <c r="B1800" s="15" t="s">
        <v>5</v>
      </c>
      <c r="C1800" s="10" t="s">
        <v>1219</v>
      </c>
      <c r="D1800" s="16" t="s">
        <v>5850</v>
      </c>
      <c r="E1800" s="15" t="s">
        <v>11215</v>
      </c>
      <c r="F1800" s="16" t="str">
        <f>VLOOKUP(Table8[[#This Row],[Mã khách hàng]],code_khach_hang[],2,0)</f>
        <v>CHI NHÁNH HÀ NỘI - CÔNG TY CỔ PHẦN DỊCH VỤ THƯƠNG MẠI TỔNG HỢP WINCOMMERCE</v>
      </c>
      <c r="G1800" s="16" t="str">
        <f>VLOOKUP(Table8[[#This Row],[Mã khách hàng]],code_khach_hang[],3,0)</f>
        <v>Miền Bắc đặc biệt 1</v>
      </c>
      <c r="H1800" t="str">
        <f>VLOOKUP(Table8[[#This Row],[Mã khách hàng]],'Khách hàng'!A:D,4,0)</f>
        <v>Food Đức Việt</v>
      </c>
      <c r="I1800" t="str">
        <f>VLOOKUP(Table8[[#This Row],[Mã khách hàng]],'Khách hàng'!A:E,5,0)</f>
        <v>HN0040</v>
      </c>
    </row>
    <row r="1801" spans="1:9">
      <c r="A1801" s="14" t="s">
        <v>1224</v>
      </c>
      <c r="B1801" s="15" t="s">
        <v>5</v>
      </c>
      <c r="C1801" s="10" t="s">
        <v>1225</v>
      </c>
      <c r="D1801" s="16" t="s">
        <v>5853</v>
      </c>
      <c r="E1801" s="15" t="s">
        <v>11215</v>
      </c>
      <c r="F1801" s="16" t="str">
        <f>VLOOKUP(Table8[[#This Row],[Mã khách hàng]],code_khach_hang[],2,0)</f>
        <v>CHI NHÁNH HÀ NỘI - CÔNG TY CỔ PHẦN DỊCH VỤ THƯƠNG MẠI TỔNG HỢP WINCOMMERCE</v>
      </c>
      <c r="G1801" s="16" t="str">
        <f>VLOOKUP(Table8[[#This Row],[Mã khách hàng]],code_khach_hang[],3,0)</f>
        <v>Miền Bắc đặc biệt 1</v>
      </c>
      <c r="H1801" t="str">
        <f>VLOOKUP(Table8[[#This Row],[Mã khách hàng]],'Khách hàng'!A:D,4,0)</f>
        <v>Food Đức Việt</v>
      </c>
      <c r="I1801" t="str">
        <f>VLOOKUP(Table8[[#This Row],[Mã khách hàng]],'Khách hàng'!A:E,5,0)</f>
        <v>HN0040</v>
      </c>
    </row>
    <row r="1802" spans="1:9">
      <c r="A1802" s="14" t="s">
        <v>1227</v>
      </c>
      <c r="B1802" s="15" t="s">
        <v>5</v>
      </c>
      <c r="C1802" s="10" t="s">
        <v>1228</v>
      </c>
      <c r="D1802" s="16" t="s">
        <v>5856</v>
      </c>
      <c r="E1802" s="15" t="s">
        <v>11215</v>
      </c>
      <c r="F1802" s="16" t="str">
        <f>VLOOKUP(Table8[[#This Row],[Mã khách hàng]],code_khach_hang[],2,0)</f>
        <v>CHI NHÁNH HÀ NỘI - CÔNG TY CỔ PHẦN DỊCH VỤ THƯƠNG MẠI TỔNG HỢP WINCOMMERCE</v>
      </c>
      <c r="G1802" s="16" t="str">
        <f>VLOOKUP(Table8[[#This Row],[Mã khách hàng]],code_khach_hang[],3,0)</f>
        <v>Miền Bắc đặc biệt 1</v>
      </c>
      <c r="H1802" t="str">
        <f>VLOOKUP(Table8[[#This Row],[Mã khách hàng]],'Khách hàng'!A:D,4,0)</f>
        <v>Food Đức Việt</v>
      </c>
      <c r="I1802" t="str">
        <f>VLOOKUP(Table8[[#This Row],[Mã khách hàng]],'Khách hàng'!A:E,5,0)</f>
        <v>HN0040</v>
      </c>
    </row>
    <row r="1803" spans="1:9">
      <c r="A1803" s="14" t="s">
        <v>1281</v>
      </c>
      <c r="B1803" s="15" t="s">
        <v>5</v>
      </c>
      <c r="C1803" s="10" t="s">
        <v>1282</v>
      </c>
      <c r="D1803" s="16" t="s">
        <v>5859</v>
      </c>
      <c r="E1803" s="15" t="s">
        <v>11215</v>
      </c>
      <c r="F1803" s="16" t="str">
        <f>VLOOKUP(Table8[[#This Row],[Mã khách hàng]],code_khach_hang[],2,0)</f>
        <v>CHI NHÁNH HÀ NỘI - CÔNG TY CỔ PHẦN DỊCH VỤ THƯƠNG MẠI TỔNG HỢP WINCOMMERCE</v>
      </c>
      <c r="G1803" s="16" t="str">
        <f>VLOOKUP(Table8[[#This Row],[Mã khách hàng]],code_khach_hang[],3,0)</f>
        <v>Miền Bắc đặc biệt 1</v>
      </c>
      <c r="H1803" t="str">
        <f>VLOOKUP(Table8[[#This Row],[Mã khách hàng]],'Khách hàng'!A:D,4,0)</f>
        <v>Food Đức Việt</v>
      </c>
      <c r="I1803" t="str">
        <f>VLOOKUP(Table8[[#This Row],[Mã khách hàng]],'Khách hàng'!A:E,5,0)</f>
        <v>HN0040</v>
      </c>
    </row>
    <row r="1804" spans="1:9">
      <c r="A1804" s="14" t="s">
        <v>4638</v>
      </c>
      <c r="B1804" s="15" t="s">
        <v>5</v>
      </c>
      <c r="C1804" s="10" t="s">
        <v>4639</v>
      </c>
      <c r="D1804" s="16" t="s">
        <v>5862</v>
      </c>
      <c r="E1804" s="15" t="s">
        <v>11215</v>
      </c>
      <c r="F1804" s="16" t="str">
        <f>VLOOKUP(Table8[[#This Row],[Mã khách hàng]],code_khach_hang[],2,0)</f>
        <v>CHI NHÁNH HÀ NỘI - CÔNG TY CỔ PHẦN DỊCH VỤ THƯƠNG MẠI TỔNG HỢP WINCOMMERCE</v>
      </c>
      <c r="G1804" s="16" t="str">
        <f>VLOOKUP(Table8[[#This Row],[Mã khách hàng]],code_khach_hang[],3,0)</f>
        <v>Miền Bắc đặc biệt 1</v>
      </c>
      <c r="H1804" t="str">
        <f>VLOOKUP(Table8[[#This Row],[Mã khách hàng]],'Khách hàng'!A:D,4,0)</f>
        <v>Food Đức Việt</v>
      </c>
      <c r="I1804" t="str">
        <f>VLOOKUP(Table8[[#This Row],[Mã khách hàng]],'Khách hàng'!A:E,5,0)</f>
        <v>HN0040</v>
      </c>
    </row>
    <row r="1805" spans="1:9">
      <c r="A1805" s="14" t="s">
        <v>4860</v>
      </c>
      <c r="B1805" s="15" t="s">
        <v>5</v>
      </c>
      <c r="C1805" s="10" t="s">
        <v>4861</v>
      </c>
      <c r="D1805" s="16" t="s">
        <v>5865</v>
      </c>
      <c r="E1805" s="15" t="s">
        <v>11215</v>
      </c>
      <c r="F1805" s="16" t="str">
        <f>VLOOKUP(Table8[[#This Row],[Mã khách hàng]],code_khach_hang[],2,0)</f>
        <v>CHI NHÁNH HÀ NỘI - CÔNG TY CỔ PHẦN DỊCH VỤ THƯƠNG MẠI TỔNG HỢP WINCOMMERCE</v>
      </c>
      <c r="G1805" s="16" t="str">
        <f>VLOOKUP(Table8[[#This Row],[Mã khách hàng]],code_khach_hang[],3,0)</f>
        <v>Miền Bắc đặc biệt 1</v>
      </c>
      <c r="H1805" t="str">
        <f>VLOOKUP(Table8[[#This Row],[Mã khách hàng]],'Khách hàng'!A:D,4,0)</f>
        <v>Food Đức Việt</v>
      </c>
      <c r="I1805" t="str">
        <f>VLOOKUP(Table8[[#This Row],[Mã khách hàng]],'Khách hàng'!A:E,5,0)</f>
        <v>HN0040</v>
      </c>
    </row>
    <row r="1806" spans="1:9">
      <c r="A1806" s="14" t="s">
        <v>4944</v>
      </c>
      <c r="B1806" s="15" t="s">
        <v>5</v>
      </c>
      <c r="C1806" s="10" t="s">
        <v>4945</v>
      </c>
      <c r="D1806" s="16" t="s">
        <v>5868</v>
      </c>
      <c r="E1806" s="15" t="s">
        <v>11215</v>
      </c>
      <c r="F1806" s="16" t="str">
        <f>VLOOKUP(Table8[[#This Row],[Mã khách hàng]],code_khach_hang[],2,0)</f>
        <v>CHI NHÁNH HÀ NỘI - CÔNG TY CỔ PHẦN DỊCH VỤ THƯƠNG MẠI TỔNG HỢP WINCOMMERCE</v>
      </c>
      <c r="G1806" s="16" t="str">
        <f>VLOOKUP(Table8[[#This Row],[Mã khách hàng]],code_khach_hang[],3,0)</f>
        <v>Miền Bắc đặc biệt 1</v>
      </c>
      <c r="H1806" t="str">
        <f>VLOOKUP(Table8[[#This Row],[Mã khách hàng]],'Khách hàng'!A:D,4,0)</f>
        <v>Food Đức Việt</v>
      </c>
      <c r="I1806" t="str">
        <f>VLOOKUP(Table8[[#This Row],[Mã khách hàng]],'Khách hàng'!A:E,5,0)</f>
        <v>HN0040</v>
      </c>
    </row>
    <row r="1807" spans="1:9">
      <c r="A1807" s="14" t="s">
        <v>4959</v>
      </c>
      <c r="B1807" s="15" t="s">
        <v>5</v>
      </c>
      <c r="C1807" s="10" t="s">
        <v>4960</v>
      </c>
      <c r="D1807" s="16" t="s">
        <v>5871</v>
      </c>
      <c r="E1807" s="15" t="s">
        <v>11215</v>
      </c>
      <c r="F1807" s="16" t="str">
        <f>VLOOKUP(Table8[[#This Row],[Mã khách hàng]],code_khach_hang[],2,0)</f>
        <v>CHI NHÁNH HÀ NỘI - CÔNG TY CỔ PHẦN DỊCH VỤ THƯƠNG MẠI TỔNG HỢP WINCOMMERCE</v>
      </c>
      <c r="G1807" s="16" t="str">
        <f>VLOOKUP(Table8[[#This Row],[Mã khách hàng]],code_khach_hang[],3,0)</f>
        <v>Miền Bắc đặc biệt 1</v>
      </c>
      <c r="H1807" t="str">
        <f>VLOOKUP(Table8[[#This Row],[Mã khách hàng]],'Khách hàng'!A:D,4,0)</f>
        <v>Food Đức Việt</v>
      </c>
      <c r="I1807" t="str">
        <f>VLOOKUP(Table8[[#This Row],[Mã khách hàng]],'Khách hàng'!A:E,5,0)</f>
        <v>HN0040</v>
      </c>
    </row>
    <row r="1808" spans="1:9">
      <c r="A1808" s="14" t="s">
        <v>5280</v>
      </c>
      <c r="B1808" s="15" t="s">
        <v>5</v>
      </c>
      <c r="C1808" s="10" t="s">
        <v>5281</v>
      </c>
      <c r="D1808" s="16" t="s">
        <v>5874</v>
      </c>
      <c r="E1808" s="15" t="s">
        <v>11215</v>
      </c>
      <c r="F1808" s="16" t="str">
        <f>VLOOKUP(Table8[[#This Row],[Mã khách hàng]],code_khach_hang[],2,0)</f>
        <v>CHI NHÁNH HÀ NỘI - CÔNG TY CỔ PHẦN DỊCH VỤ THƯƠNG MẠI TỔNG HỢP WINCOMMERCE</v>
      </c>
      <c r="G1808" s="16" t="str">
        <f>VLOOKUP(Table8[[#This Row],[Mã khách hàng]],code_khach_hang[],3,0)</f>
        <v>Miền Bắc đặc biệt 1</v>
      </c>
      <c r="H1808" t="str">
        <f>VLOOKUP(Table8[[#This Row],[Mã khách hàng]],'Khách hàng'!A:D,4,0)</f>
        <v>Food Đức Việt</v>
      </c>
      <c r="I1808" t="str">
        <f>VLOOKUP(Table8[[#This Row],[Mã khách hàng]],'Khách hàng'!A:E,5,0)</f>
        <v>HN0040</v>
      </c>
    </row>
    <row r="1809" spans="1:9">
      <c r="A1809" s="14" t="s">
        <v>11130</v>
      </c>
      <c r="B1809" s="15" t="s">
        <v>5</v>
      </c>
      <c r="C1809" s="10" t="e">
        <v>#N/A</v>
      </c>
      <c r="D1809" s="16" t="s">
        <v>5877</v>
      </c>
      <c r="E1809" s="15" t="s">
        <v>11215</v>
      </c>
      <c r="F1809" s="16" t="str">
        <f>VLOOKUP(Table8[[#This Row],[Mã khách hàng]],code_khach_hang[],2,0)</f>
        <v>CHI NHÁNH HÀ NỘI - CÔNG TY CỔ PHẦN DỊCH VỤ THƯƠNG MẠI TỔNG HỢP WINCOMMERCE</v>
      </c>
      <c r="G1809" s="16" t="str">
        <f>VLOOKUP(Table8[[#This Row],[Mã khách hàng]],code_khach_hang[],3,0)</f>
        <v>Miền Bắc đặc biệt 1</v>
      </c>
      <c r="H1809" t="str">
        <f>VLOOKUP(Table8[[#This Row],[Mã khách hàng]],'Khách hàng'!A:D,4,0)</f>
        <v>Food Đức Việt</v>
      </c>
      <c r="I1809" t="str">
        <f>VLOOKUP(Table8[[#This Row],[Mã khách hàng]],'Khách hàng'!A:E,5,0)</f>
        <v>HN0040</v>
      </c>
    </row>
    <row r="1810" spans="1:9">
      <c r="A1810" s="14" t="s">
        <v>5478</v>
      </c>
      <c r="B1810" s="15" t="s">
        <v>5</v>
      </c>
      <c r="C1810" s="10" t="s">
        <v>5479</v>
      </c>
      <c r="D1810" s="16" t="s">
        <v>5880</v>
      </c>
      <c r="E1810" s="15" t="s">
        <v>11215</v>
      </c>
      <c r="F1810" s="16" t="str">
        <f>VLOOKUP(Table8[[#This Row],[Mã khách hàng]],code_khach_hang[],2,0)</f>
        <v>CHI NHÁNH HÀ NỘI - CÔNG TY CỔ PHẦN DỊCH VỤ THƯƠNG MẠI TỔNG HỢP WINCOMMERCE</v>
      </c>
      <c r="G1810" s="16" t="str">
        <f>VLOOKUP(Table8[[#This Row],[Mã khách hàng]],code_khach_hang[],3,0)</f>
        <v>Miền Bắc đặc biệt 1</v>
      </c>
      <c r="H1810" t="str">
        <f>VLOOKUP(Table8[[#This Row],[Mã khách hàng]],'Khách hàng'!A:D,4,0)</f>
        <v>Food Đức Việt</v>
      </c>
      <c r="I1810" t="str">
        <f>VLOOKUP(Table8[[#This Row],[Mã khách hàng]],'Khách hàng'!A:E,5,0)</f>
        <v>HN0040</v>
      </c>
    </row>
    <row r="1811" spans="1:9">
      <c r="A1811" s="14" t="s">
        <v>5926</v>
      </c>
      <c r="B1811" s="15" t="s">
        <v>5</v>
      </c>
      <c r="C1811" s="10" t="s">
        <v>5927</v>
      </c>
      <c r="D1811" s="16" t="s">
        <v>5883</v>
      </c>
      <c r="E1811" s="15" t="s">
        <v>11215</v>
      </c>
      <c r="F1811" s="16" t="str">
        <f>VLOOKUP(Table8[[#This Row],[Mã khách hàng]],code_khach_hang[],2,0)</f>
        <v>CHI NHÁNH HÀ NỘI - CÔNG TY CỔ PHẦN DỊCH VỤ THƯƠNG MẠI TỔNG HỢP WINCOMMERCE</v>
      </c>
      <c r="G1811" s="16" t="str">
        <f>VLOOKUP(Table8[[#This Row],[Mã khách hàng]],code_khach_hang[],3,0)</f>
        <v>Miền Bắc đặc biệt 1</v>
      </c>
      <c r="H1811" t="str">
        <f>VLOOKUP(Table8[[#This Row],[Mã khách hàng]],'Khách hàng'!A:D,4,0)</f>
        <v>Food Đức Việt</v>
      </c>
      <c r="I1811" t="str">
        <f>VLOOKUP(Table8[[#This Row],[Mã khách hàng]],'Khách hàng'!A:E,5,0)</f>
        <v>HN0040</v>
      </c>
    </row>
    <row r="1812" spans="1:9">
      <c r="A1812" s="14" t="s">
        <v>6372</v>
      </c>
      <c r="B1812" s="15" t="s">
        <v>5</v>
      </c>
      <c r="C1812" s="10" t="s">
        <v>6373</v>
      </c>
      <c r="D1812" s="16" t="s">
        <v>5886</v>
      </c>
      <c r="E1812" s="15" t="s">
        <v>11215</v>
      </c>
      <c r="F1812" s="16" t="str">
        <f>VLOOKUP(Table8[[#This Row],[Mã khách hàng]],code_khach_hang[],2,0)</f>
        <v>CHI NHÁNH HÀ NỘI - CÔNG TY CỔ PHẦN DỊCH VỤ THƯƠNG MẠI TỔNG HỢP WINCOMMERCE</v>
      </c>
      <c r="G1812" s="16" t="str">
        <f>VLOOKUP(Table8[[#This Row],[Mã khách hàng]],code_khach_hang[],3,0)</f>
        <v>Miền Bắc đặc biệt 1</v>
      </c>
      <c r="H1812" t="str">
        <f>VLOOKUP(Table8[[#This Row],[Mã khách hàng]],'Khách hàng'!A:D,4,0)</f>
        <v>Food Đức Việt</v>
      </c>
      <c r="I1812" t="str">
        <f>VLOOKUP(Table8[[#This Row],[Mã khách hàng]],'Khách hàng'!A:E,5,0)</f>
        <v>HN0040</v>
      </c>
    </row>
    <row r="1813" spans="1:9">
      <c r="A1813" s="14" t="s">
        <v>6545</v>
      </c>
      <c r="B1813" s="15" t="s">
        <v>5</v>
      </c>
      <c r="C1813" s="10" t="s">
        <v>6546</v>
      </c>
      <c r="D1813" s="16" t="s">
        <v>5889</v>
      </c>
      <c r="E1813" s="15" t="s">
        <v>11215</v>
      </c>
      <c r="F1813" s="16" t="str">
        <f>VLOOKUP(Table8[[#This Row],[Mã khách hàng]],code_khach_hang[],2,0)</f>
        <v>CHI NHÁNH HÀ NỘI - CÔNG TY CỔ PHẦN DỊCH VỤ THƯƠNG MẠI TỔNG HỢP WINCOMMERCE</v>
      </c>
      <c r="G1813" s="16" t="str">
        <f>VLOOKUP(Table8[[#This Row],[Mã khách hàng]],code_khach_hang[],3,0)</f>
        <v>Miền Bắc đặc biệt 1</v>
      </c>
      <c r="H1813" t="str">
        <f>VLOOKUP(Table8[[#This Row],[Mã khách hàng]],'Khách hàng'!A:D,4,0)</f>
        <v>Food Đức Việt</v>
      </c>
      <c r="I1813" t="str">
        <f>VLOOKUP(Table8[[#This Row],[Mã khách hàng]],'Khách hàng'!A:E,5,0)</f>
        <v>HN0040</v>
      </c>
    </row>
    <row r="1814" spans="1:9">
      <c r="A1814" s="14" t="s">
        <v>6554</v>
      </c>
      <c r="B1814" s="15" t="s">
        <v>5</v>
      </c>
      <c r="C1814" s="10" t="s">
        <v>6555</v>
      </c>
      <c r="D1814" s="16" t="s">
        <v>5892</v>
      </c>
      <c r="E1814" s="15" t="s">
        <v>11215</v>
      </c>
      <c r="F1814" s="16" t="str">
        <f>VLOOKUP(Table8[[#This Row],[Mã khách hàng]],code_khach_hang[],2,0)</f>
        <v>CHI NHÁNH HÀ NỘI - CÔNG TY CỔ PHẦN DỊCH VỤ THƯƠNG MẠI TỔNG HỢP WINCOMMERCE</v>
      </c>
      <c r="G1814" s="16" t="str">
        <f>VLOOKUP(Table8[[#This Row],[Mã khách hàng]],code_khach_hang[],3,0)</f>
        <v>Miền Bắc đặc biệt 1</v>
      </c>
      <c r="H1814" t="str">
        <f>VLOOKUP(Table8[[#This Row],[Mã khách hàng]],'Khách hàng'!A:D,4,0)</f>
        <v>Food Đức Việt</v>
      </c>
      <c r="I1814" t="str">
        <f>VLOOKUP(Table8[[#This Row],[Mã khách hàng]],'Khách hàng'!A:E,5,0)</f>
        <v>HN0040</v>
      </c>
    </row>
    <row r="1815" spans="1:9">
      <c r="A1815" s="14" t="s">
        <v>6569</v>
      </c>
      <c r="B1815" s="15" t="s">
        <v>5</v>
      </c>
      <c r="C1815" s="10" t="s">
        <v>6570</v>
      </c>
      <c r="D1815" s="16" t="s">
        <v>5895</v>
      </c>
      <c r="E1815" s="15" t="s">
        <v>11215</v>
      </c>
      <c r="F1815" s="16" t="str">
        <f>VLOOKUP(Table8[[#This Row],[Mã khách hàng]],code_khach_hang[],2,0)</f>
        <v>CHI NHÁNH HÀ NỘI - CÔNG TY CỔ PHẦN DỊCH VỤ THƯƠNG MẠI TỔNG HỢP WINCOMMERCE</v>
      </c>
      <c r="G1815" s="16" t="str">
        <f>VLOOKUP(Table8[[#This Row],[Mã khách hàng]],code_khach_hang[],3,0)</f>
        <v>Miền Bắc đặc biệt 1</v>
      </c>
      <c r="H1815" t="str">
        <f>VLOOKUP(Table8[[#This Row],[Mã khách hàng]],'Khách hàng'!A:D,4,0)</f>
        <v>Food Đức Việt</v>
      </c>
      <c r="I1815" t="str">
        <f>VLOOKUP(Table8[[#This Row],[Mã khách hàng]],'Khách hàng'!A:E,5,0)</f>
        <v>HN0040</v>
      </c>
    </row>
    <row r="1816" spans="1:9">
      <c r="A1816" s="14" t="s">
        <v>6572</v>
      </c>
      <c r="B1816" s="15" t="s">
        <v>5</v>
      </c>
      <c r="C1816" s="10" t="s">
        <v>6573</v>
      </c>
      <c r="D1816" s="16" t="s">
        <v>5898</v>
      </c>
      <c r="E1816" s="15" t="s">
        <v>11215</v>
      </c>
      <c r="F1816" s="16" t="str">
        <f>VLOOKUP(Table8[[#This Row],[Mã khách hàng]],code_khach_hang[],2,0)</f>
        <v>CHI NHÁNH HÀ NỘI - CÔNG TY CỔ PHẦN DỊCH VỤ THƯƠNG MẠI TỔNG HỢP WINCOMMERCE</v>
      </c>
      <c r="G1816" s="16" t="str">
        <f>VLOOKUP(Table8[[#This Row],[Mã khách hàng]],code_khach_hang[],3,0)</f>
        <v>Miền Bắc đặc biệt 1</v>
      </c>
      <c r="H1816" t="str">
        <f>VLOOKUP(Table8[[#This Row],[Mã khách hàng]],'Khách hàng'!A:D,4,0)</f>
        <v>Food Đức Việt</v>
      </c>
      <c r="I1816" t="str">
        <f>VLOOKUP(Table8[[#This Row],[Mã khách hàng]],'Khách hàng'!A:E,5,0)</f>
        <v>HN0040</v>
      </c>
    </row>
    <row r="1817" spans="1:9">
      <c r="A1817" s="14" t="s">
        <v>7490</v>
      </c>
      <c r="B1817" s="15" t="s">
        <v>5</v>
      </c>
      <c r="C1817" s="10" t="s">
        <v>7491</v>
      </c>
      <c r="D1817" s="16" t="s">
        <v>5901</v>
      </c>
      <c r="E1817" s="15" t="s">
        <v>11215</v>
      </c>
      <c r="F1817" s="16" t="str">
        <f>VLOOKUP(Table8[[#This Row],[Mã khách hàng]],code_khach_hang[],2,0)</f>
        <v>CHI NHÁNH HÀ NỘI - CÔNG TY CỔ PHẦN DỊCH VỤ THƯƠNG MẠI TỔNG HỢP WINCOMMERCE</v>
      </c>
      <c r="G1817" s="16" t="str">
        <f>VLOOKUP(Table8[[#This Row],[Mã khách hàng]],code_khach_hang[],3,0)</f>
        <v>Miền Bắc đặc biệt 1</v>
      </c>
      <c r="H1817" t="str">
        <f>VLOOKUP(Table8[[#This Row],[Mã khách hàng]],'Khách hàng'!A:D,4,0)</f>
        <v>Food Đức Việt</v>
      </c>
      <c r="I1817" t="str">
        <f>VLOOKUP(Table8[[#This Row],[Mã khách hàng]],'Khách hàng'!A:E,5,0)</f>
        <v>HN0040</v>
      </c>
    </row>
    <row r="1818" spans="1:9">
      <c r="A1818" s="14" t="s">
        <v>7562</v>
      </c>
      <c r="B1818" s="15" t="s">
        <v>5</v>
      </c>
      <c r="C1818" s="10" t="s">
        <v>7563</v>
      </c>
      <c r="D1818" s="16" t="s">
        <v>5904</v>
      </c>
      <c r="E1818" s="15" t="s">
        <v>11215</v>
      </c>
      <c r="F1818" s="16" t="str">
        <f>VLOOKUP(Table8[[#This Row],[Mã khách hàng]],code_khach_hang[],2,0)</f>
        <v>CHI NHÁNH HÀ NỘI - CÔNG TY CỔ PHẦN DỊCH VỤ THƯƠNG MẠI TỔNG HỢP WINCOMMERCE</v>
      </c>
      <c r="G1818" s="16" t="str">
        <f>VLOOKUP(Table8[[#This Row],[Mã khách hàng]],code_khach_hang[],3,0)</f>
        <v>Miền Bắc đặc biệt 1</v>
      </c>
      <c r="H1818" t="str">
        <f>VLOOKUP(Table8[[#This Row],[Mã khách hàng]],'Khách hàng'!A:D,4,0)</f>
        <v>Food Đức Việt</v>
      </c>
      <c r="I1818" t="str">
        <f>VLOOKUP(Table8[[#This Row],[Mã khách hàng]],'Khách hàng'!A:E,5,0)</f>
        <v>HN0040</v>
      </c>
    </row>
    <row r="1819" spans="1:9">
      <c r="A1819" s="14" t="s">
        <v>7825</v>
      </c>
      <c r="B1819" s="15" t="s">
        <v>5</v>
      </c>
      <c r="C1819" s="10" t="s">
        <v>7826</v>
      </c>
      <c r="D1819" s="16" t="s">
        <v>5907</v>
      </c>
      <c r="E1819" s="15" t="s">
        <v>11215</v>
      </c>
      <c r="F1819" s="16" t="str">
        <f>VLOOKUP(Table8[[#This Row],[Mã khách hàng]],code_khach_hang[],2,0)</f>
        <v>CHI NHÁNH HÀ NỘI - CÔNG TY CỔ PHẦN DỊCH VỤ THƯƠNG MẠI TỔNG HỢP WINCOMMERCE</v>
      </c>
      <c r="G1819" s="16" t="str">
        <f>VLOOKUP(Table8[[#This Row],[Mã khách hàng]],code_khach_hang[],3,0)</f>
        <v>Miền Bắc đặc biệt 1</v>
      </c>
      <c r="H1819" t="str">
        <f>VLOOKUP(Table8[[#This Row],[Mã khách hàng]],'Khách hàng'!A:D,4,0)</f>
        <v>Food Đức Việt</v>
      </c>
      <c r="I1819" t="str">
        <f>VLOOKUP(Table8[[#This Row],[Mã khách hàng]],'Khách hàng'!A:E,5,0)</f>
        <v>HN0040</v>
      </c>
    </row>
    <row r="1820" spans="1:9">
      <c r="A1820" s="14" t="s">
        <v>7969</v>
      </c>
      <c r="B1820" s="15" t="s">
        <v>5</v>
      </c>
      <c r="C1820" s="10" t="s">
        <v>7970</v>
      </c>
      <c r="D1820" s="16" t="s">
        <v>5910</v>
      </c>
      <c r="E1820" s="15" t="s">
        <v>11215</v>
      </c>
      <c r="F1820" s="16" t="str">
        <f>VLOOKUP(Table8[[#This Row],[Mã khách hàng]],code_khach_hang[],2,0)</f>
        <v>CHI NHÁNH HÀ NỘI - CÔNG TY CỔ PHẦN DỊCH VỤ THƯƠNG MẠI TỔNG HỢP WINCOMMERCE</v>
      </c>
      <c r="G1820" s="16" t="str">
        <f>VLOOKUP(Table8[[#This Row],[Mã khách hàng]],code_khach_hang[],3,0)</f>
        <v>Miền Bắc đặc biệt 1</v>
      </c>
      <c r="H1820" t="str">
        <f>VLOOKUP(Table8[[#This Row],[Mã khách hàng]],'Khách hàng'!A:D,4,0)</f>
        <v>Food Đức Việt</v>
      </c>
      <c r="I1820" t="str">
        <f>VLOOKUP(Table8[[#This Row],[Mã khách hàng]],'Khách hàng'!A:E,5,0)</f>
        <v>HN0040</v>
      </c>
    </row>
    <row r="1821" spans="1:9">
      <c r="A1821" s="14" t="s">
        <v>8310</v>
      </c>
      <c r="B1821" s="15" t="s">
        <v>5</v>
      </c>
      <c r="C1821" s="10" t="s">
        <v>8311</v>
      </c>
      <c r="D1821" s="16" t="s">
        <v>5913</v>
      </c>
      <c r="E1821" s="15" t="s">
        <v>11215</v>
      </c>
      <c r="F1821" s="16" t="str">
        <f>VLOOKUP(Table8[[#This Row],[Mã khách hàng]],code_khach_hang[],2,0)</f>
        <v>CHI NHÁNH HÀ NỘI - CÔNG TY CỔ PHẦN DỊCH VỤ THƯƠNG MẠI TỔNG HỢP WINCOMMERCE</v>
      </c>
      <c r="G1821" s="16" t="str">
        <f>VLOOKUP(Table8[[#This Row],[Mã khách hàng]],code_khach_hang[],3,0)</f>
        <v>Miền Bắc đặc biệt 1</v>
      </c>
      <c r="H1821" t="str">
        <f>VLOOKUP(Table8[[#This Row],[Mã khách hàng]],'Khách hàng'!A:D,4,0)</f>
        <v>Food Đức Việt</v>
      </c>
      <c r="I1821" t="str">
        <f>VLOOKUP(Table8[[#This Row],[Mã khách hàng]],'Khách hàng'!A:E,5,0)</f>
        <v>HN0040</v>
      </c>
    </row>
    <row r="1822" spans="1:9">
      <c r="A1822" s="14" t="s">
        <v>541</v>
      </c>
      <c r="B1822" s="15" t="s">
        <v>183</v>
      </c>
      <c r="C1822" s="10" t="s">
        <v>542</v>
      </c>
      <c r="D1822" s="16" t="s">
        <v>5916</v>
      </c>
      <c r="E1822" s="15" t="s">
        <v>11195</v>
      </c>
      <c r="F1822" s="16" t="str">
        <f>VLOOKUP(Table8[[#This Row],[Mã khách hàng]],code_khach_hang[],2,0)</f>
        <v>CHI NHÁNH HÀ NỘI - CÔNG TY CỔ PHẦN DỊCH VỤ THƯƠNG MẠI TỔNG HỢP WINCOMMERCE</v>
      </c>
      <c r="G1822" s="16" t="str">
        <f>VLOOKUP(Table8[[#This Row],[Mã khách hàng]],code_khach_hang[],3,0)</f>
        <v>Miền Bắc đặc biệt 2</v>
      </c>
      <c r="H1822" t="str">
        <f>VLOOKUP(Table8[[#This Row],[Mã khách hàng]],'Khách hàng'!A:D,4,0)</f>
        <v>Food Đức Việt</v>
      </c>
      <c r="I1822" t="str">
        <f>VLOOKUP(Table8[[#This Row],[Mã khách hàng]],'Khách hàng'!A:E,5,0)</f>
        <v>HN0040</v>
      </c>
    </row>
    <row r="1823" spans="1:9">
      <c r="A1823" s="14" t="s">
        <v>553</v>
      </c>
      <c r="B1823" s="15" t="s">
        <v>183</v>
      </c>
      <c r="C1823" s="10" t="s">
        <v>554</v>
      </c>
      <c r="D1823" s="16" t="s">
        <v>5919</v>
      </c>
      <c r="E1823" s="15" t="s">
        <v>11195</v>
      </c>
      <c r="F1823" s="16" t="str">
        <f>VLOOKUP(Table8[[#This Row],[Mã khách hàng]],code_khach_hang[],2,0)</f>
        <v>CHI NHÁNH HÀ NỘI - CÔNG TY CỔ PHẦN DỊCH VỤ THƯƠNG MẠI TỔNG HỢP WINCOMMERCE</v>
      </c>
      <c r="G1823" s="16" t="str">
        <f>VLOOKUP(Table8[[#This Row],[Mã khách hàng]],code_khach_hang[],3,0)</f>
        <v>Miền Bắc đặc biệt 2</v>
      </c>
      <c r="H1823" t="str">
        <f>VLOOKUP(Table8[[#This Row],[Mã khách hàng]],'Khách hàng'!A:D,4,0)</f>
        <v>Food Đức Việt</v>
      </c>
      <c r="I1823" t="str">
        <f>VLOOKUP(Table8[[#This Row],[Mã khách hàng]],'Khách hàng'!A:E,5,0)</f>
        <v>HN0040</v>
      </c>
    </row>
    <row r="1824" spans="1:9">
      <c r="A1824" s="14" t="s">
        <v>565</v>
      </c>
      <c r="B1824" s="15" t="s">
        <v>183</v>
      </c>
      <c r="C1824" s="10" t="s">
        <v>566</v>
      </c>
      <c r="D1824" s="16" t="s">
        <v>5922</v>
      </c>
      <c r="E1824" s="15" t="s">
        <v>11195</v>
      </c>
      <c r="F1824" s="16" t="str">
        <f>VLOOKUP(Table8[[#This Row],[Mã khách hàng]],code_khach_hang[],2,0)</f>
        <v>CHI NHÁNH HÀ NỘI - CÔNG TY CỔ PHẦN DỊCH VỤ THƯƠNG MẠI TỔNG HỢP WINCOMMERCE</v>
      </c>
      <c r="G1824" s="16" t="str">
        <f>VLOOKUP(Table8[[#This Row],[Mã khách hàng]],code_khach_hang[],3,0)</f>
        <v>Miền Bắc đặc biệt 2</v>
      </c>
      <c r="H1824" t="str">
        <f>VLOOKUP(Table8[[#This Row],[Mã khách hàng]],'Khách hàng'!A:D,4,0)</f>
        <v>Food Đức Việt</v>
      </c>
      <c r="I1824" t="str">
        <f>VLOOKUP(Table8[[#This Row],[Mã khách hàng]],'Khách hàng'!A:E,5,0)</f>
        <v>HN0040</v>
      </c>
    </row>
    <row r="1825" spans="1:9">
      <c r="A1825" s="14" t="s">
        <v>571</v>
      </c>
      <c r="B1825" s="15" t="s">
        <v>183</v>
      </c>
      <c r="C1825" s="10" t="s">
        <v>572</v>
      </c>
      <c r="D1825" s="16" t="s">
        <v>5925</v>
      </c>
      <c r="E1825" s="15" t="s">
        <v>11195</v>
      </c>
      <c r="F1825" s="16" t="str">
        <f>VLOOKUP(Table8[[#This Row],[Mã khách hàng]],code_khach_hang[],2,0)</f>
        <v>CHI NHÁNH HÀ NỘI - CÔNG TY CỔ PHẦN DỊCH VỤ THƯƠNG MẠI TỔNG HỢP WINCOMMERCE</v>
      </c>
      <c r="G1825" s="16" t="str">
        <f>VLOOKUP(Table8[[#This Row],[Mã khách hàng]],code_khach_hang[],3,0)</f>
        <v>Miền Bắc đặc biệt 2</v>
      </c>
      <c r="H1825" t="str">
        <f>VLOOKUP(Table8[[#This Row],[Mã khách hàng]],'Khách hàng'!A:D,4,0)</f>
        <v>Food Đức Việt</v>
      </c>
      <c r="I1825" t="str">
        <f>VLOOKUP(Table8[[#This Row],[Mã khách hàng]],'Khách hàng'!A:E,5,0)</f>
        <v>HN0040</v>
      </c>
    </row>
    <row r="1826" spans="1:9">
      <c r="A1826" s="14" t="s">
        <v>613</v>
      </c>
      <c r="B1826" s="15" t="s">
        <v>183</v>
      </c>
      <c r="C1826" s="10" t="s">
        <v>614</v>
      </c>
      <c r="D1826" s="16" t="s">
        <v>5928</v>
      </c>
      <c r="E1826" s="15" t="s">
        <v>11195</v>
      </c>
      <c r="F1826" s="16" t="str">
        <f>VLOOKUP(Table8[[#This Row],[Mã khách hàng]],code_khach_hang[],2,0)</f>
        <v>CHI NHÁNH HÀ NỘI - CÔNG TY CỔ PHẦN DỊCH VỤ THƯƠNG MẠI TỔNG HỢP WINCOMMERCE</v>
      </c>
      <c r="G1826" s="16" t="str">
        <f>VLOOKUP(Table8[[#This Row],[Mã khách hàng]],code_khach_hang[],3,0)</f>
        <v>Miền Bắc đặc biệt 2</v>
      </c>
      <c r="H1826" t="str">
        <f>VLOOKUP(Table8[[#This Row],[Mã khách hàng]],'Khách hàng'!A:D,4,0)</f>
        <v>Food Đức Việt</v>
      </c>
      <c r="I1826" t="str">
        <f>VLOOKUP(Table8[[#This Row],[Mã khách hàng]],'Khách hàng'!A:E,5,0)</f>
        <v>HN0040</v>
      </c>
    </row>
    <row r="1827" spans="1:9">
      <c r="A1827" s="14" t="s">
        <v>4389</v>
      </c>
      <c r="B1827" s="15" t="s">
        <v>5</v>
      </c>
      <c r="C1827" s="10" t="s">
        <v>4390</v>
      </c>
      <c r="D1827" s="16" t="s">
        <v>5931</v>
      </c>
      <c r="E1827" s="15" t="s">
        <v>11215</v>
      </c>
      <c r="F1827" s="16" t="str">
        <f>VLOOKUP(Table8[[#This Row],[Mã khách hàng]],code_khach_hang[],2,0)</f>
        <v>CHI NHÁNH HÀ NỘI - CÔNG TY CỔ PHẦN DỊCH VỤ THƯƠNG MẠI TỔNG HỢP WINCOMMERCE</v>
      </c>
      <c r="G1827" s="16" t="str">
        <f>VLOOKUP(Table8[[#This Row],[Mã khách hàng]],code_khach_hang[],3,0)</f>
        <v>Miền Bắc đặc biệt 1</v>
      </c>
      <c r="H1827" t="str">
        <f>VLOOKUP(Table8[[#This Row],[Mã khách hàng]],'Khách hàng'!A:D,4,0)</f>
        <v>Food Đức Việt</v>
      </c>
      <c r="I1827" t="str">
        <f>VLOOKUP(Table8[[#This Row],[Mã khách hàng]],'Khách hàng'!A:E,5,0)</f>
        <v>HN0040</v>
      </c>
    </row>
    <row r="1828" spans="1:9">
      <c r="A1828" s="14" t="s">
        <v>6638</v>
      </c>
      <c r="B1828" s="15" t="s">
        <v>5</v>
      </c>
      <c r="C1828" s="10" t="s">
        <v>6639</v>
      </c>
      <c r="D1828" s="16" t="s">
        <v>5934</v>
      </c>
      <c r="E1828" s="15" t="s">
        <v>11215</v>
      </c>
      <c r="F1828" s="16" t="str">
        <f>VLOOKUP(Table8[[#This Row],[Mã khách hàng]],code_khach_hang[],2,0)</f>
        <v>CHI NHÁNH HÀ NỘI - CÔNG TY CỔ PHẦN DỊCH VỤ THƯƠNG MẠI TỔNG HỢP WINCOMMERCE</v>
      </c>
      <c r="G1828" s="16" t="str">
        <f>VLOOKUP(Table8[[#This Row],[Mã khách hàng]],code_khach_hang[],3,0)</f>
        <v>Miền Bắc đặc biệt 1</v>
      </c>
      <c r="H1828" t="str">
        <f>VLOOKUP(Table8[[#This Row],[Mã khách hàng]],'Khách hàng'!A:D,4,0)</f>
        <v>Food Đức Việt</v>
      </c>
      <c r="I1828" t="str">
        <f>VLOOKUP(Table8[[#This Row],[Mã khách hàng]],'Khách hàng'!A:E,5,0)</f>
        <v>HN0040</v>
      </c>
    </row>
    <row r="1829" spans="1:9">
      <c r="A1829" s="14" t="s">
        <v>6366</v>
      </c>
      <c r="B1829" s="15" t="s">
        <v>5</v>
      </c>
      <c r="C1829" s="10" t="s">
        <v>6367</v>
      </c>
      <c r="D1829" s="16" t="s">
        <v>5937</v>
      </c>
      <c r="E1829" s="15" t="s">
        <v>11215</v>
      </c>
      <c r="F1829" s="16" t="str">
        <f>VLOOKUP(Table8[[#This Row],[Mã khách hàng]],code_khach_hang[],2,0)</f>
        <v>CHI NHÁNH HÀ NỘI - CÔNG TY CỔ PHẦN DỊCH VỤ THƯƠNG MẠI TỔNG HỢP WINCOMMERCE</v>
      </c>
      <c r="G1829" s="16" t="str">
        <f>VLOOKUP(Table8[[#This Row],[Mã khách hàng]],code_khach_hang[],3,0)</f>
        <v>Miền Bắc đặc biệt 1</v>
      </c>
      <c r="H1829" t="str">
        <f>VLOOKUP(Table8[[#This Row],[Mã khách hàng]],'Khách hàng'!A:D,4,0)</f>
        <v>Food Đức Việt</v>
      </c>
      <c r="I1829" t="str">
        <f>VLOOKUP(Table8[[#This Row],[Mã khách hàng]],'Khách hàng'!A:E,5,0)</f>
        <v>HN0040</v>
      </c>
    </row>
    <row r="1830" spans="1:9">
      <c r="A1830" s="14" t="s">
        <v>6530</v>
      </c>
      <c r="B1830" s="15" t="s">
        <v>5</v>
      </c>
      <c r="C1830" s="10" t="s">
        <v>6531</v>
      </c>
      <c r="D1830" s="16" t="s">
        <v>5940</v>
      </c>
      <c r="E1830" s="15" t="s">
        <v>11215</v>
      </c>
      <c r="F1830" s="16" t="str">
        <f>VLOOKUP(Table8[[#This Row],[Mã khách hàng]],code_khach_hang[],2,0)</f>
        <v>CHI NHÁNH HÀ NỘI - CÔNG TY CỔ PHẦN DỊCH VỤ THƯƠNG MẠI TỔNG HỢP WINCOMMERCE</v>
      </c>
      <c r="G1830" s="16" t="str">
        <f>VLOOKUP(Table8[[#This Row],[Mã khách hàng]],code_khach_hang[],3,0)</f>
        <v>Miền Bắc đặc biệt 1</v>
      </c>
      <c r="H1830" t="str">
        <f>VLOOKUP(Table8[[#This Row],[Mã khách hàng]],'Khách hàng'!A:D,4,0)</f>
        <v>Food Đức Việt</v>
      </c>
      <c r="I1830" t="str">
        <f>VLOOKUP(Table8[[#This Row],[Mã khách hàng]],'Khách hàng'!A:E,5,0)</f>
        <v>HN0040</v>
      </c>
    </row>
    <row r="1831" spans="1:9">
      <c r="A1831" s="14" t="s">
        <v>6953</v>
      </c>
      <c r="B1831" s="15" t="s">
        <v>5</v>
      </c>
      <c r="C1831" s="10" t="s">
        <v>6954</v>
      </c>
      <c r="D1831" s="16" t="s">
        <v>5943</v>
      </c>
      <c r="E1831" s="15" t="s">
        <v>11215</v>
      </c>
      <c r="F1831" s="16" t="str">
        <f>VLOOKUP(Table8[[#This Row],[Mã khách hàng]],code_khach_hang[],2,0)</f>
        <v>CHI NHÁNH HÀ NỘI - CÔNG TY CỔ PHẦN DỊCH VỤ THƯƠNG MẠI TỔNG HỢP WINCOMMERCE</v>
      </c>
      <c r="G1831" s="16" t="str">
        <f>VLOOKUP(Table8[[#This Row],[Mã khách hàng]],code_khach_hang[],3,0)</f>
        <v>Miền Bắc đặc biệt 1</v>
      </c>
      <c r="H1831" t="str">
        <f>VLOOKUP(Table8[[#This Row],[Mã khách hàng]],'Khách hàng'!A:D,4,0)</f>
        <v>Food Đức Việt</v>
      </c>
      <c r="I1831" t="str">
        <f>VLOOKUP(Table8[[#This Row],[Mã khách hàng]],'Khách hàng'!A:E,5,0)</f>
        <v>HN0040</v>
      </c>
    </row>
    <row r="1832" spans="1:9">
      <c r="A1832" s="14" t="s">
        <v>7168</v>
      </c>
      <c r="B1832" s="15" t="s">
        <v>5</v>
      </c>
      <c r="C1832" s="10" t="s">
        <v>7169</v>
      </c>
      <c r="D1832" s="16" t="s">
        <v>5946</v>
      </c>
      <c r="E1832" s="15" t="s">
        <v>11215</v>
      </c>
      <c r="F1832" s="16" t="str">
        <f>VLOOKUP(Table8[[#This Row],[Mã khách hàng]],code_khach_hang[],2,0)</f>
        <v>CHI NHÁNH HÀ NỘI - CÔNG TY CỔ PHẦN DỊCH VỤ THƯƠNG MẠI TỔNG HỢP WINCOMMERCE</v>
      </c>
      <c r="G1832" s="16" t="str">
        <f>VLOOKUP(Table8[[#This Row],[Mã khách hàng]],code_khach_hang[],3,0)</f>
        <v>Miền Bắc đặc biệt 1</v>
      </c>
      <c r="H1832" t="str">
        <f>VLOOKUP(Table8[[#This Row],[Mã khách hàng]],'Khách hàng'!A:D,4,0)</f>
        <v>Food Đức Việt</v>
      </c>
      <c r="I1832" t="str">
        <f>VLOOKUP(Table8[[#This Row],[Mã khách hàng]],'Khách hàng'!A:E,5,0)</f>
        <v>HN0040</v>
      </c>
    </row>
    <row r="1833" spans="1:9">
      <c r="A1833" s="14" t="s">
        <v>7363</v>
      </c>
      <c r="B1833" s="15" t="s">
        <v>5</v>
      </c>
      <c r="C1833" s="10" t="s">
        <v>7364</v>
      </c>
      <c r="D1833" s="16" t="s">
        <v>5949</v>
      </c>
      <c r="E1833" s="15" t="s">
        <v>11215</v>
      </c>
      <c r="F1833" s="16" t="str">
        <f>VLOOKUP(Table8[[#This Row],[Mã khách hàng]],code_khach_hang[],2,0)</f>
        <v>CHI NHÁNH HÀ NỘI - CÔNG TY CỔ PHẦN DỊCH VỤ THƯƠNG MẠI TỔNG HỢP WINCOMMERCE</v>
      </c>
      <c r="G1833" s="16" t="str">
        <f>VLOOKUP(Table8[[#This Row],[Mã khách hàng]],code_khach_hang[],3,0)</f>
        <v>Miền Bắc đặc biệt 1</v>
      </c>
      <c r="H1833" t="str">
        <f>VLOOKUP(Table8[[#This Row],[Mã khách hàng]],'Khách hàng'!A:D,4,0)</f>
        <v>Food Đức Việt</v>
      </c>
      <c r="I1833" t="str">
        <f>VLOOKUP(Table8[[#This Row],[Mã khách hàng]],'Khách hàng'!A:E,5,0)</f>
        <v>HN0040</v>
      </c>
    </row>
    <row r="1834" spans="1:9">
      <c r="A1834" s="14" t="s">
        <v>5645</v>
      </c>
      <c r="B1834" s="15" t="s">
        <v>5</v>
      </c>
      <c r="C1834" s="10" t="e">
        <v>#N/A</v>
      </c>
      <c r="D1834" s="16" t="s">
        <v>5952</v>
      </c>
      <c r="E1834" s="15" t="s">
        <v>11215</v>
      </c>
      <c r="F1834" s="16" t="str">
        <f>VLOOKUP(Table8[[#This Row],[Mã khách hàng]],code_khach_hang[],2,0)</f>
        <v>CHI NHÁNH HÀ NỘI - CÔNG TY CỔ PHẦN DỊCH VỤ THƯƠNG MẠI TỔNG HỢP WINCOMMERCE</v>
      </c>
      <c r="G1834" s="16" t="str">
        <f>VLOOKUP(Table8[[#This Row],[Mã khách hàng]],code_khach_hang[],3,0)</f>
        <v>Miền Bắc đặc biệt 1</v>
      </c>
      <c r="H1834" t="str">
        <f>VLOOKUP(Table8[[#This Row],[Mã khách hàng]],'Khách hàng'!A:D,4,0)</f>
        <v>Food Đức Việt</v>
      </c>
      <c r="I1834" t="str">
        <f>VLOOKUP(Table8[[#This Row],[Mã khách hàng]],'Khách hàng'!A:E,5,0)</f>
        <v>HN0040</v>
      </c>
    </row>
    <row r="1835" spans="1:9">
      <c r="A1835" s="14" t="s">
        <v>5701</v>
      </c>
      <c r="B1835" s="15" t="s">
        <v>5</v>
      </c>
      <c r="C1835" s="10" t="s">
        <v>5702</v>
      </c>
      <c r="D1835" s="16" t="s">
        <v>5955</v>
      </c>
      <c r="E1835" s="15" t="s">
        <v>11215</v>
      </c>
      <c r="F1835" s="16" t="str">
        <f>VLOOKUP(Table8[[#This Row],[Mã khách hàng]],code_khach_hang[],2,0)</f>
        <v>CHI NHÁNH HÀ NỘI - CÔNG TY CỔ PHẦN DỊCH VỤ THƯƠNG MẠI TỔNG HỢP WINCOMMERCE</v>
      </c>
      <c r="G1835" s="16" t="str">
        <f>VLOOKUP(Table8[[#This Row],[Mã khách hàng]],code_khach_hang[],3,0)</f>
        <v>Miền Bắc đặc biệt 1</v>
      </c>
      <c r="H1835" t="str">
        <f>VLOOKUP(Table8[[#This Row],[Mã khách hàng]],'Khách hàng'!A:D,4,0)</f>
        <v>Food Đức Việt</v>
      </c>
      <c r="I1835" t="str">
        <f>VLOOKUP(Table8[[#This Row],[Mã khách hàng]],'Khách hàng'!A:E,5,0)</f>
        <v>HN0040</v>
      </c>
    </row>
    <row r="1836" spans="1:9">
      <c r="A1836" s="14" t="s">
        <v>5704</v>
      </c>
      <c r="B1836" s="15" t="s">
        <v>5</v>
      </c>
      <c r="C1836" s="10" t="s">
        <v>5705</v>
      </c>
      <c r="D1836" s="16" t="s">
        <v>5958</v>
      </c>
      <c r="E1836" s="15" t="s">
        <v>11215</v>
      </c>
      <c r="F1836" s="16" t="str">
        <f>VLOOKUP(Table8[[#This Row],[Mã khách hàng]],code_khach_hang[],2,0)</f>
        <v>CHI NHÁNH HÀ NỘI - CÔNG TY CỔ PHẦN DỊCH VỤ THƯƠNG MẠI TỔNG HỢP WINCOMMERCE</v>
      </c>
      <c r="G1836" s="16" t="str">
        <f>VLOOKUP(Table8[[#This Row],[Mã khách hàng]],code_khach_hang[],3,0)</f>
        <v>Miền Bắc đặc biệt 1</v>
      </c>
      <c r="H1836" t="str">
        <f>VLOOKUP(Table8[[#This Row],[Mã khách hàng]],'Khách hàng'!A:D,4,0)</f>
        <v>Food Đức Việt</v>
      </c>
      <c r="I1836" t="str">
        <f>VLOOKUP(Table8[[#This Row],[Mã khách hàng]],'Khách hàng'!A:E,5,0)</f>
        <v>HN0040</v>
      </c>
    </row>
    <row r="1837" spans="1:9">
      <c r="A1837" s="14" t="s">
        <v>5780</v>
      </c>
      <c r="B1837" s="15" t="s">
        <v>5</v>
      </c>
      <c r="C1837" s="10" t="s">
        <v>5781</v>
      </c>
      <c r="D1837" s="16" t="s">
        <v>5961</v>
      </c>
      <c r="E1837" s="15" t="s">
        <v>11215</v>
      </c>
      <c r="F1837" s="16" t="str">
        <f>VLOOKUP(Table8[[#This Row],[Mã khách hàng]],code_khach_hang[],2,0)</f>
        <v>CHI NHÁNH HÀ NỘI - CÔNG TY CỔ PHẦN DỊCH VỤ THƯƠNG MẠI TỔNG HỢP WINCOMMERCE</v>
      </c>
      <c r="G1837" s="16" t="str">
        <f>VLOOKUP(Table8[[#This Row],[Mã khách hàng]],code_khach_hang[],3,0)</f>
        <v>Miền Bắc đặc biệt 1</v>
      </c>
      <c r="H1837" t="str">
        <f>VLOOKUP(Table8[[#This Row],[Mã khách hàng]],'Khách hàng'!A:D,4,0)</f>
        <v>Food Đức Việt</v>
      </c>
      <c r="I1837" t="str">
        <f>VLOOKUP(Table8[[#This Row],[Mã khách hàng]],'Khách hàng'!A:E,5,0)</f>
        <v>HN0040</v>
      </c>
    </row>
    <row r="1838" spans="1:9">
      <c r="A1838" s="14" t="s">
        <v>5789</v>
      </c>
      <c r="B1838" s="15" t="s">
        <v>5</v>
      </c>
      <c r="C1838" s="10" t="s">
        <v>5790</v>
      </c>
      <c r="D1838" s="16" t="s">
        <v>5964</v>
      </c>
      <c r="E1838" s="15" t="s">
        <v>11215</v>
      </c>
      <c r="F1838" s="16" t="str">
        <f>VLOOKUP(Table8[[#This Row],[Mã khách hàng]],code_khach_hang[],2,0)</f>
        <v>CHI NHÁNH HÀ NỘI - CÔNG TY CỔ PHẦN DỊCH VỤ THƯƠNG MẠI TỔNG HỢP WINCOMMERCE</v>
      </c>
      <c r="G1838" s="16" t="str">
        <f>VLOOKUP(Table8[[#This Row],[Mã khách hàng]],code_khach_hang[],3,0)</f>
        <v>Miền Bắc đặc biệt 1</v>
      </c>
      <c r="H1838" t="str">
        <f>VLOOKUP(Table8[[#This Row],[Mã khách hàng]],'Khách hàng'!A:D,4,0)</f>
        <v>Food Đức Việt</v>
      </c>
      <c r="I1838" t="str">
        <f>VLOOKUP(Table8[[#This Row],[Mã khách hàng]],'Khách hàng'!A:E,5,0)</f>
        <v>HN0040</v>
      </c>
    </row>
    <row r="1839" spans="1:9">
      <c r="A1839" s="14" t="s">
        <v>6097</v>
      </c>
      <c r="B1839" s="15" t="s">
        <v>5</v>
      </c>
      <c r="C1839" s="10" t="s">
        <v>6098</v>
      </c>
      <c r="D1839" s="16" t="s">
        <v>5967</v>
      </c>
      <c r="E1839" s="15" t="s">
        <v>11215</v>
      </c>
      <c r="F1839" s="16" t="str">
        <f>VLOOKUP(Table8[[#This Row],[Mã khách hàng]],code_khach_hang[],2,0)</f>
        <v>CHI NHÁNH HÀ NỘI - CÔNG TY CỔ PHẦN DỊCH VỤ THƯƠNG MẠI TỔNG HỢP WINCOMMERCE</v>
      </c>
      <c r="G1839" s="16" t="str">
        <f>VLOOKUP(Table8[[#This Row],[Mã khách hàng]],code_khach_hang[],3,0)</f>
        <v>Miền Bắc đặc biệt 1</v>
      </c>
      <c r="H1839" t="str">
        <f>VLOOKUP(Table8[[#This Row],[Mã khách hàng]],'Khách hàng'!A:D,4,0)</f>
        <v>Food Đức Việt</v>
      </c>
      <c r="I1839" t="str">
        <f>VLOOKUP(Table8[[#This Row],[Mã khách hàng]],'Khách hàng'!A:E,5,0)</f>
        <v>HN0040</v>
      </c>
    </row>
    <row r="1840" spans="1:9">
      <c r="A1840" s="14" t="s">
        <v>6133</v>
      </c>
      <c r="B1840" s="15" t="s">
        <v>5</v>
      </c>
      <c r="C1840" s="10" t="s">
        <v>6134</v>
      </c>
      <c r="D1840" s="16" t="s">
        <v>5970</v>
      </c>
      <c r="E1840" s="15" t="s">
        <v>11215</v>
      </c>
      <c r="F1840" s="16" t="str">
        <f>VLOOKUP(Table8[[#This Row],[Mã khách hàng]],code_khach_hang[],2,0)</f>
        <v>CHI NHÁNH HÀ NỘI - CÔNG TY CỔ PHẦN DỊCH VỤ THƯƠNG MẠI TỔNG HỢP WINCOMMERCE</v>
      </c>
      <c r="G1840" s="16" t="str">
        <f>VLOOKUP(Table8[[#This Row],[Mã khách hàng]],code_khach_hang[],3,0)</f>
        <v>Miền Bắc đặc biệt 1</v>
      </c>
      <c r="H1840" t="str">
        <f>VLOOKUP(Table8[[#This Row],[Mã khách hàng]],'Khách hàng'!A:D,4,0)</f>
        <v>Food Đức Việt</v>
      </c>
      <c r="I1840" t="str">
        <f>VLOOKUP(Table8[[#This Row],[Mã khách hàng]],'Khách hàng'!A:E,5,0)</f>
        <v>HN0040</v>
      </c>
    </row>
    <row r="1841" spans="1:9">
      <c r="A1841" s="14" t="s">
        <v>6590</v>
      </c>
      <c r="B1841" s="15" t="s">
        <v>5</v>
      </c>
      <c r="C1841" s="10" t="s">
        <v>6591</v>
      </c>
      <c r="D1841" s="16" t="s">
        <v>5973</v>
      </c>
      <c r="E1841" s="15" t="s">
        <v>11215</v>
      </c>
      <c r="F1841" s="16" t="str">
        <f>VLOOKUP(Table8[[#This Row],[Mã khách hàng]],code_khach_hang[],2,0)</f>
        <v>CHI NHÁNH HÀ NỘI - CÔNG TY CỔ PHẦN DỊCH VỤ THƯƠNG MẠI TỔNG HỢP WINCOMMERCE</v>
      </c>
      <c r="G1841" s="16" t="str">
        <f>VLOOKUP(Table8[[#This Row],[Mã khách hàng]],code_khach_hang[],3,0)</f>
        <v>Miền Bắc đặc biệt 1</v>
      </c>
      <c r="H1841" t="str">
        <f>VLOOKUP(Table8[[#This Row],[Mã khách hàng]],'Khách hàng'!A:D,4,0)</f>
        <v>Food Đức Việt</v>
      </c>
      <c r="I1841" t="str">
        <f>VLOOKUP(Table8[[#This Row],[Mã khách hàng]],'Khách hàng'!A:E,5,0)</f>
        <v>HN0040</v>
      </c>
    </row>
    <row r="1842" spans="1:9">
      <c r="A1842" s="14" t="s">
        <v>6866</v>
      </c>
      <c r="B1842" s="15" t="s">
        <v>5</v>
      </c>
      <c r="C1842" s="10" t="s">
        <v>6867</v>
      </c>
      <c r="D1842" s="16" t="s">
        <v>5976</v>
      </c>
      <c r="E1842" s="15" t="s">
        <v>11215</v>
      </c>
      <c r="F1842" s="16" t="str">
        <f>VLOOKUP(Table8[[#This Row],[Mã khách hàng]],code_khach_hang[],2,0)</f>
        <v>CHI NHÁNH HÀ NỘI - CÔNG TY CỔ PHẦN DỊCH VỤ THƯƠNG MẠI TỔNG HỢP WINCOMMERCE</v>
      </c>
      <c r="G1842" s="16" t="str">
        <f>VLOOKUP(Table8[[#This Row],[Mã khách hàng]],code_khach_hang[],3,0)</f>
        <v>Miền Bắc đặc biệt 1</v>
      </c>
      <c r="H1842" t="str">
        <f>VLOOKUP(Table8[[#This Row],[Mã khách hàng]],'Khách hàng'!A:D,4,0)</f>
        <v>Food Đức Việt</v>
      </c>
      <c r="I1842" t="str">
        <f>VLOOKUP(Table8[[#This Row],[Mã khách hàng]],'Khách hàng'!A:E,5,0)</f>
        <v>HN0040</v>
      </c>
    </row>
    <row r="1843" spans="1:9">
      <c r="A1843" s="14" t="s">
        <v>7131</v>
      </c>
      <c r="B1843" s="15" t="s">
        <v>5</v>
      </c>
      <c r="C1843" s="10" t="s">
        <v>7132</v>
      </c>
      <c r="D1843" s="16" t="s">
        <v>5979</v>
      </c>
      <c r="E1843" s="15" t="s">
        <v>11215</v>
      </c>
      <c r="F1843" s="16" t="str">
        <f>VLOOKUP(Table8[[#This Row],[Mã khách hàng]],code_khach_hang[],2,0)</f>
        <v>CHI NHÁNH HÀ NỘI - CÔNG TY CỔ PHẦN DỊCH VỤ THƯƠNG MẠI TỔNG HỢP WINCOMMERCE</v>
      </c>
      <c r="G1843" s="16" t="str">
        <f>VLOOKUP(Table8[[#This Row],[Mã khách hàng]],code_khach_hang[],3,0)</f>
        <v>Miền Bắc đặc biệt 1</v>
      </c>
      <c r="H1843" t="str">
        <f>VLOOKUP(Table8[[#This Row],[Mã khách hàng]],'Khách hàng'!A:D,4,0)</f>
        <v>Food Đức Việt</v>
      </c>
      <c r="I1843" t="str">
        <f>VLOOKUP(Table8[[#This Row],[Mã khách hàng]],'Khách hàng'!A:E,5,0)</f>
        <v>HN0040</v>
      </c>
    </row>
    <row r="1844" spans="1:9">
      <c r="A1844" s="14" t="s">
        <v>7190</v>
      </c>
      <c r="B1844" s="15" t="s">
        <v>5</v>
      </c>
      <c r="C1844" s="10" t="s">
        <v>7191</v>
      </c>
      <c r="D1844" s="16" t="s">
        <v>5982</v>
      </c>
      <c r="E1844" s="15" t="s">
        <v>11215</v>
      </c>
      <c r="F1844" s="16" t="str">
        <f>VLOOKUP(Table8[[#This Row],[Mã khách hàng]],code_khach_hang[],2,0)</f>
        <v>CHI NHÁNH HÀ NỘI - CÔNG TY CỔ PHẦN DỊCH VỤ THƯƠNG MẠI TỔNG HỢP WINCOMMERCE</v>
      </c>
      <c r="G1844" s="16" t="str">
        <f>VLOOKUP(Table8[[#This Row],[Mã khách hàng]],code_khach_hang[],3,0)</f>
        <v>Miền Bắc đặc biệt 1</v>
      </c>
      <c r="H1844" t="str">
        <f>VLOOKUP(Table8[[#This Row],[Mã khách hàng]],'Khách hàng'!A:D,4,0)</f>
        <v>Food Đức Việt</v>
      </c>
      <c r="I1844" t="str">
        <f>VLOOKUP(Table8[[#This Row],[Mã khách hàng]],'Khách hàng'!A:E,5,0)</f>
        <v>HN0040</v>
      </c>
    </row>
    <row r="1845" spans="1:9">
      <c r="A1845" s="14" t="s">
        <v>7285</v>
      </c>
      <c r="B1845" s="15" t="s">
        <v>5</v>
      </c>
      <c r="C1845" s="10" t="s">
        <v>7286</v>
      </c>
      <c r="D1845" s="16" t="s">
        <v>5985</v>
      </c>
      <c r="E1845" s="15" t="s">
        <v>11215</v>
      </c>
      <c r="F1845" s="16" t="str">
        <f>VLOOKUP(Table8[[#This Row],[Mã khách hàng]],code_khach_hang[],2,0)</f>
        <v>CHI NHÁNH HÀ NỘI - CÔNG TY CỔ PHẦN DỊCH VỤ THƯƠNG MẠI TỔNG HỢP WINCOMMERCE</v>
      </c>
      <c r="G1845" s="16" t="str">
        <f>VLOOKUP(Table8[[#This Row],[Mã khách hàng]],code_khach_hang[],3,0)</f>
        <v>Miền Bắc đặc biệt 1</v>
      </c>
      <c r="H1845" t="str">
        <f>VLOOKUP(Table8[[#This Row],[Mã khách hàng]],'Khách hàng'!A:D,4,0)</f>
        <v>Food Đức Việt</v>
      </c>
      <c r="I1845" t="str">
        <f>VLOOKUP(Table8[[#This Row],[Mã khách hàng]],'Khách hàng'!A:E,5,0)</f>
        <v>HN0040</v>
      </c>
    </row>
    <row r="1846" spans="1:9">
      <c r="A1846" s="14" t="s">
        <v>7116</v>
      </c>
      <c r="B1846" s="15" t="s">
        <v>5</v>
      </c>
      <c r="C1846" s="10" t="s">
        <v>7117</v>
      </c>
      <c r="D1846" s="16" t="s">
        <v>5988</v>
      </c>
      <c r="E1846" s="15" t="s">
        <v>11222</v>
      </c>
      <c r="F1846" s="16" t="str">
        <f>VLOOKUP(Table8[[#This Row],[Mã khách hàng]],code_khach_hang[],2,0)</f>
        <v>CHI NHÁNH CAO BẰNG - CÔNG TY CỔ PHẦN DỊCH VỤ THƯƠNG MẠI TỔNG HỢP WINCOMMERCE</v>
      </c>
      <c r="G1846" s="16" t="str">
        <f>VLOOKUP(Table8[[#This Row],[Mã khách hàng]],code_khach_hang[],3,0)</f>
        <v>Miền Bắc đặc biệt 2</v>
      </c>
      <c r="H1846" t="str">
        <f>VLOOKUP(Table8[[#This Row],[Mã khách hàng]],'Khách hàng'!A:D,4,0)</f>
        <v>Food Đức Việt</v>
      </c>
      <c r="I1846" t="str">
        <f>VLOOKUP(Table8[[#This Row],[Mã khách hàng]],'Khách hàng'!A:E,5,0)</f>
        <v>HN0040</v>
      </c>
    </row>
    <row r="1847" spans="1:9">
      <c r="A1847" s="14" t="s">
        <v>7119</v>
      </c>
      <c r="B1847" s="15" t="s">
        <v>5</v>
      </c>
      <c r="C1847" s="10" t="s">
        <v>7120</v>
      </c>
      <c r="D1847" s="16" t="s">
        <v>5991</v>
      </c>
      <c r="E1847" s="15" t="s">
        <v>11222</v>
      </c>
      <c r="F1847" s="16" t="str">
        <f>VLOOKUP(Table8[[#This Row],[Mã khách hàng]],code_khach_hang[],2,0)</f>
        <v>CHI NHÁNH CAO BẰNG - CÔNG TY CỔ PHẦN DỊCH VỤ THƯƠNG MẠI TỔNG HỢP WINCOMMERCE</v>
      </c>
      <c r="G1847" s="16" t="str">
        <f>VLOOKUP(Table8[[#This Row],[Mã khách hàng]],code_khach_hang[],3,0)</f>
        <v>Miền Bắc đặc biệt 2</v>
      </c>
      <c r="H1847" t="str">
        <f>VLOOKUP(Table8[[#This Row],[Mã khách hàng]],'Khách hàng'!A:D,4,0)</f>
        <v>Food Đức Việt</v>
      </c>
      <c r="I1847" t="str">
        <f>VLOOKUP(Table8[[#This Row],[Mã khách hàng]],'Khách hàng'!A:E,5,0)</f>
        <v>HN0040</v>
      </c>
    </row>
    <row r="1848" spans="1:9">
      <c r="A1848" s="14" t="s">
        <v>7345</v>
      </c>
      <c r="B1848" s="15" t="s">
        <v>5</v>
      </c>
      <c r="C1848" s="10" t="s">
        <v>7346</v>
      </c>
      <c r="D1848" s="16" t="s">
        <v>5994</v>
      </c>
      <c r="E1848" s="15" t="s">
        <v>11222</v>
      </c>
      <c r="F1848" s="16" t="str">
        <f>VLOOKUP(Table8[[#This Row],[Mã khách hàng]],code_khach_hang[],2,0)</f>
        <v>CHI NHÁNH CAO BẰNG - CÔNG TY CỔ PHẦN DỊCH VỤ THƯƠNG MẠI TỔNG HỢP WINCOMMERCE</v>
      </c>
      <c r="G1848" s="16" t="str">
        <f>VLOOKUP(Table8[[#This Row],[Mã khách hàng]],code_khach_hang[],3,0)</f>
        <v>Miền Bắc đặc biệt 2</v>
      </c>
      <c r="H1848" t="str">
        <f>VLOOKUP(Table8[[#This Row],[Mã khách hàng]],'Khách hàng'!A:D,4,0)</f>
        <v>Food Đức Việt</v>
      </c>
      <c r="I1848" t="str">
        <f>VLOOKUP(Table8[[#This Row],[Mã khách hàng]],'Khách hàng'!A:E,5,0)</f>
        <v>HN0040</v>
      </c>
    </row>
    <row r="1849" spans="1:9">
      <c r="A1849" s="14" t="s">
        <v>11131</v>
      </c>
      <c r="B1849" s="15" t="s">
        <v>5</v>
      </c>
      <c r="C1849" s="10" t="s">
        <v>13169</v>
      </c>
      <c r="D1849" s="16" t="s">
        <v>5997</v>
      </c>
      <c r="E1849" s="15" t="s">
        <v>11222</v>
      </c>
      <c r="F1849" s="16" t="str">
        <f>VLOOKUP(Table8[[#This Row],[Mã khách hàng]],code_khach_hang[],2,0)</f>
        <v>CHI NHÁNH CAO BẰNG - CÔNG TY CỔ PHẦN DỊCH VỤ THƯƠNG MẠI TỔNG HỢP WINCOMMERCE</v>
      </c>
      <c r="G1849" s="16" t="str">
        <f>VLOOKUP(Table8[[#This Row],[Mã khách hàng]],code_khach_hang[],3,0)</f>
        <v>Miền Bắc đặc biệt 2</v>
      </c>
      <c r="H1849" t="str">
        <f>VLOOKUP(Table8[[#This Row],[Mã khách hàng]],'Khách hàng'!A:D,4,0)</f>
        <v>Food Đức Việt</v>
      </c>
      <c r="I1849" t="str">
        <f>VLOOKUP(Table8[[#This Row],[Mã khách hàng]],'Khách hàng'!A:E,5,0)</f>
        <v>HN0040</v>
      </c>
    </row>
    <row r="1850" spans="1:9">
      <c r="A1850" s="14" t="s">
        <v>8187</v>
      </c>
      <c r="B1850" s="15" t="s">
        <v>5</v>
      </c>
      <c r="C1850" s="10" t="s">
        <v>8188</v>
      </c>
      <c r="D1850" s="16" t="s">
        <v>6000</v>
      </c>
      <c r="E1850" s="15" t="s">
        <v>11222</v>
      </c>
      <c r="F1850" s="16" t="str">
        <f>VLOOKUP(Table8[[#This Row],[Mã khách hàng]],code_khach_hang[],2,0)</f>
        <v>CHI NHÁNH CAO BẰNG - CÔNG TY CỔ PHẦN DỊCH VỤ THƯƠNG MẠI TỔNG HỢP WINCOMMERCE</v>
      </c>
      <c r="G1850" s="16" t="str">
        <f>VLOOKUP(Table8[[#This Row],[Mã khách hàng]],code_khach_hang[],3,0)</f>
        <v>Miền Bắc đặc biệt 2</v>
      </c>
      <c r="H1850" t="str">
        <f>VLOOKUP(Table8[[#This Row],[Mã khách hàng]],'Khách hàng'!A:D,4,0)</f>
        <v>Food Đức Việt</v>
      </c>
      <c r="I1850" t="str">
        <f>VLOOKUP(Table8[[#This Row],[Mã khách hàng]],'Khách hàng'!A:E,5,0)</f>
        <v>HN0040</v>
      </c>
    </row>
    <row r="1851" spans="1:9">
      <c r="A1851" s="14" t="s">
        <v>8431</v>
      </c>
      <c r="B1851" s="15" t="s">
        <v>5</v>
      </c>
      <c r="C1851" s="10" t="s">
        <v>8432</v>
      </c>
      <c r="D1851" s="16" t="s">
        <v>6003</v>
      </c>
      <c r="E1851" s="15" t="s">
        <v>11222</v>
      </c>
      <c r="F1851" s="16" t="str">
        <f>VLOOKUP(Table8[[#This Row],[Mã khách hàng]],code_khach_hang[],2,0)</f>
        <v>CHI NHÁNH CAO BẰNG - CÔNG TY CỔ PHẦN DỊCH VỤ THƯƠNG MẠI TỔNG HỢP WINCOMMERCE</v>
      </c>
      <c r="G1851" s="16" t="str">
        <f>VLOOKUP(Table8[[#This Row],[Mã khách hàng]],code_khach_hang[],3,0)</f>
        <v>Miền Bắc đặc biệt 2</v>
      </c>
      <c r="H1851" t="str">
        <f>VLOOKUP(Table8[[#This Row],[Mã khách hàng]],'Khách hàng'!A:D,4,0)</f>
        <v>Food Đức Việt</v>
      </c>
      <c r="I1851" t="str">
        <f>VLOOKUP(Table8[[#This Row],[Mã khách hàng]],'Khách hàng'!A:E,5,0)</f>
        <v>HN0040</v>
      </c>
    </row>
    <row r="1852" spans="1:9">
      <c r="A1852" s="14" t="s">
        <v>8013</v>
      </c>
      <c r="B1852" s="15" t="s">
        <v>5</v>
      </c>
      <c r="C1852" s="10" t="s">
        <v>8014</v>
      </c>
      <c r="D1852" s="16" t="s">
        <v>6006</v>
      </c>
      <c r="E1852" s="15" t="s">
        <v>11221</v>
      </c>
      <c r="F1852" s="16" t="str">
        <f>VLOOKUP(Table8[[#This Row],[Mã khách hàng]],code_khach_hang[],2,0)</f>
        <v>CHI NHÁNH ĐIỆN BIÊN - CÔNG TY CỔ PHẦN DỊCH VỤ THƯƠNG MẠI TỔNG HỢP WINCOMMERCE</v>
      </c>
      <c r="G1852" s="16" t="str">
        <f>VLOOKUP(Table8[[#This Row],[Mã khách hàng]],code_khach_hang[],3,0)</f>
        <v>Miền Bắc đặc biệt 1</v>
      </c>
      <c r="H1852" t="str">
        <f>VLOOKUP(Table8[[#This Row],[Mã khách hàng]],'Khách hàng'!A:D,4,0)</f>
        <v>Food Đức Việt</v>
      </c>
      <c r="I1852" t="str">
        <f>VLOOKUP(Table8[[#This Row],[Mã khách hàng]],'Khách hàng'!A:E,5,0)</f>
        <v>HN0040</v>
      </c>
    </row>
    <row r="1853" spans="1:9">
      <c r="A1853" s="14" t="s">
        <v>8025</v>
      </c>
      <c r="B1853" s="15" t="s">
        <v>5</v>
      </c>
      <c r="C1853" s="10" t="s">
        <v>8026</v>
      </c>
      <c r="D1853" s="16" t="s">
        <v>6009</v>
      </c>
      <c r="E1853" s="15" t="s">
        <v>11221</v>
      </c>
      <c r="F1853" s="16" t="str">
        <f>VLOOKUP(Table8[[#This Row],[Mã khách hàng]],code_khach_hang[],2,0)</f>
        <v>CHI NHÁNH ĐIỆN BIÊN - CÔNG TY CỔ PHẦN DỊCH VỤ THƯƠNG MẠI TỔNG HỢP WINCOMMERCE</v>
      </c>
      <c r="G1853" s="16" t="str">
        <f>VLOOKUP(Table8[[#This Row],[Mã khách hàng]],code_khach_hang[],3,0)</f>
        <v>Miền Bắc đặc biệt 1</v>
      </c>
      <c r="H1853" t="str">
        <f>VLOOKUP(Table8[[#This Row],[Mã khách hàng]],'Khách hàng'!A:D,4,0)</f>
        <v>Food Đức Việt</v>
      </c>
      <c r="I1853" t="str">
        <f>VLOOKUP(Table8[[#This Row],[Mã khách hàng]],'Khách hàng'!A:E,5,0)</f>
        <v>HN0040</v>
      </c>
    </row>
    <row r="1854" spans="1:9">
      <c r="A1854" s="14" t="s">
        <v>8031</v>
      </c>
      <c r="B1854" s="15" t="s">
        <v>5</v>
      </c>
      <c r="C1854" s="10" t="s">
        <v>8032</v>
      </c>
      <c r="D1854" s="16" t="s">
        <v>6012</v>
      </c>
      <c r="E1854" s="15" t="s">
        <v>11221</v>
      </c>
      <c r="F1854" s="16" t="str">
        <f>VLOOKUP(Table8[[#This Row],[Mã khách hàng]],code_khach_hang[],2,0)</f>
        <v>CHI NHÁNH ĐIỆN BIÊN - CÔNG TY CỔ PHẦN DỊCH VỤ THƯƠNG MẠI TỔNG HỢP WINCOMMERCE</v>
      </c>
      <c r="G1854" s="16" t="str">
        <f>VLOOKUP(Table8[[#This Row],[Mã khách hàng]],code_khach_hang[],3,0)</f>
        <v>Miền Bắc đặc biệt 1</v>
      </c>
      <c r="H1854" t="str">
        <f>VLOOKUP(Table8[[#This Row],[Mã khách hàng]],'Khách hàng'!A:D,4,0)</f>
        <v>Food Đức Việt</v>
      </c>
      <c r="I1854" t="str">
        <f>VLOOKUP(Table8[[#This Row],[Mã khách hàng]],'Khách hàng'!A:E,5,0)</f>
        <v>HN0040</v>
      </c>
    </row>
    <row r="1855" spans="1:9">
      <c r="A1855" s="14" t="s">
        <v>8040</v>
      </c>
      <c r="B1855" s="15" t="s">
        <v>5</v>
      </c>
      <c r="C1855" s="10" t="s">
        <v>8041</v>
      </c>
      <c r="D1855" s="16" t="s">
        <v>6015</v>
      </c>
      <c r="E1855" s="15" t="s">
        <v>11221</v>
      </c>
      <c r="F1855" s="16" t="str">
        <f>VLOOKUP(Table8[[#This Row],[Mã khách hàng]],code_khach_hang[],2,0)</f>
        <v>CHI NHÁNH ĐIỆN BIÊN - CÔNG TY CỔ PHẦN DỊCH VỤ THƯƠNG MẠI TỔNG HỢP WINCOMMERCE</v>
      </c>
      <c r="G1855" s="16" t="str">
        <f>VLOOKUP(Table8[[#This Row],[Mã khách hàng]],code_khach_hang[],3,0)</f>
        <v>Miền Bắc đặc biệt 1</v>
      </c>
      <c r="H1855" t="str">
        <f>VLOOKUP(Table8[[#This Row],[Mã khách hàng]],'Khách hàng'!A:D,4,0)</f>
        <v>Food Đức Việt</v>
      </c>
      <c r="I1855" t="str">
        <f>VLOOKUP(Table8[[#This Row],[Mã khách hàng]],'Khách hàng'!A:E,5,0)</f>
        <v>HN0040</v>
      </c>
    </row>
    <row r="1856" spans="1:9">
      <c r="A1856" s="14" t="s">
        <v>8052</v>
      </c>
      <c r="B1856" s="15" t="s">
        <v>5</v>
      </c>
      <c r="C1856" s="10" t="s">
        <v>8053</v>
      </c>
      <c r="D1856" s="16" t="s">
        <v>6018</v>
      </c>
      <c r="E1856" s="15" t="s">
        <v>11221</v>
      </c>
      <c r="F1856" s="16" t="str">
        <f>VLOOKUP(Table8[[#This Row],[Mã khách hàng]],code_khach_hang[],2,0)</f>
        <v>CHI NHÁNH ĐIỆN BIÊN - CÔNG TY CỔ PHẦN DỊCH VỤ THƯƠNG MẠI TỔNG HỢP WINCOMMERCE</v>
      </c>
      <c r="G1856" s="16" t="str">
        <f>VLOOKUP(Table8[[#This Row],[Mã khách hàng]],code_khach_hang[],3,0)</f>
        <v>Miền Bắc đặc biệt 1</v>
      </c>
      <c r="H1856" t="str">
        <f>VLOOKUP(Table8[[#This Row],[Mã khách hàng]],'Khách hàng'!A:D,4,0)</f>
        <v>Food Đức Việt</v>
      </c>
      <c r="I1856" t="str">
        <f>VLOOKUP(Table8[[#This Row],[Mã khách hàng]],'Khách hàng'!A:E,5,0)</f>
        <v>HN0040</v>
      </c>
    </row>
    <row r="1857" spans="1:9">
      <c r="A1857" s="14" t="s">
        <v>8034</v>
      </c>
      <c r="B1857" s="15" t="s">
        <v>5</v>
      </c>
      <c r="C1857" s="10" t="s">
        <v>8035</v>
      </c>
      <c r="D1857" s="16" t="s">
        <v>6021</v>
      </c>
      <c r="E1857" s="15" t="s">
        <v>11221</v>
      </c>
      <c r="F1857" s="16" t="str">
        <f>VLOOKUP(Table8[[#This Row],[Mã khách hàng]],code_khach_hang[],2,0)</f>
        <v>CHI NHÁNH ĐIỆN BIÊN - CÔNG TY CỔ PHẦN DỊCH VỤ THƯƠNG MẠI TỔNG HỢP WINCOMMERCE</v>
      </c>
      <c r="G1857" s="16" t="str">
        <f>VLOOKUP(Table8[[#This Row],[Mã khách hàng]],code_khach_hang[],3,0)</f>
        <v>Miền Bắc đặc biệt 1</v>
      </c>
      <c r="H1857" t="str">
        <f>VLOOKUP(Table8[[#This Row],[Mã khách hàng]],'Khách hàng'!A:D,4,0)</f>
        <v>Food Đức Việt</v>
      </c>
      <c r="I1857" t="str">
        <f>VLOOKUP(Table8[[#This Row],[Mã khách hàng]],'Khách hàng'!A:E,5,0)</f>
        <v>HN0040</v>
      </c>
    </row>
    <row r="1858" spans="1:9">
      <c r="A1858" s="14" t="s">
        <v>8500</v>
      </c>
      <c r="B1858" s="15" t="s">
        <v>5</v>
      </c>
      <c r="C1858" s="10" t="s">
        <v>8501</v>
      </c>
      <c r="D1858" s="16" t="s">
        <v>6024</v>
      </c>
      <c r="E1858" s="15" t="s">
        <v>11221</v>
      </c>
      <c r="F1858" s="16" t="str">
        <f>VLOOKUP(Table8[[#This Row],[Mã khách hàng]],code_khach_hang[],2,0)</f>
        <v>CHI NHÁNH ĐIỆN BIÊN - CÔNG TY CỔ PHẦN DỊCH VỤ THƯƠNG MẠI TỔNG HỢP WINCOMMERCE</v>
      </c>
      <c r="G1858" s="16" t="str">
        <f>VLOOKUP(Table8[[#This Row],[Mã khách hàng]],code_khach_hang[],3,0)</f>
        <v>Miền Bắc đặc biệt 1</v>
      </c>
      <c r="H1858" t="str">
        <f>VLOOKUP(Table8[[#This Row],[Mã khách hàng]],'Khách hàng'!A:D,4,0)</f>
        <v>Food Đức Việt</v>
      </c>
      <c r="I1858" t="str">
        <f>VLOOKUP(Table8[[#This Row],[Mã khách hàng]],'Khách hàng'!A:E,5,0)</f>
        <v>HN0040</v>
      </c>
    </row>
    <row r="1859" spans="1:9">
      <c r="A1859" s="14" t="s">
        <v>8703</v>
      </c>
      <c r="B1859" s="15" t="s">
        <v>5</v>
      </c>
      <c r="C1859" s="10" t="s">
        <v>8704</v>
      </c>
      <c r="D1859" s="16" t="s">
        <v>6027</v>
      </c>
      <c r="E1859" s="15" t="s">
        <v>11221</v>
      </c>
      <c r="F1859" s="16" t="str">
        <f>VLOOKUP(Table8[[#This Row],[Mã khách hàng]],code_khach_hang[],2,0)</f>
        <v>CHI NHÁNH ĐIỆN BIÊN - CÔNG TY CỔ PHẦN DỊCH VỤ THƯƠNG MẠI TỔNG HỢP WINCOMMERCE</v>
      </c>
      <c r="G1859" s="16" t="str">
        <f>VLOOKUP(Table8[[#This Row],[Mã khách hàng]],code_khach_hang[],3,0)</f>
        <v>Miền Bắc đặc biệt 1</v>
      </c>
      <c r="H1859" t="str">
        <f>VLOOKUP(Table8[[#This Row],[Mã khách hàng]],'Khách hàng'!A:D,4,0)</f>
        <v>Food Đức Việt</v>
      </c>
      <c r="I1859" t="str">
        <f>VLOOKUP(Table8[[#This Row],[Mã khách hàng]],'Khách hàng'!A:E,5,0)</f>
        <v>HN0040</v>
      </c>
    </row>
    <row r="1860" spans="1:9">
      <c r="A1860" s="14" t="s">
        <v>7481</v>
      </c>
      <c r="B1860" s="15" t="s">
        <v>5</v>
      </c>
      <c r="C1860" s="10" t="s">
        <v>7482</v>
      </c>
      <c r="D1860" s="16" t="s">
        <v>6030</v>
      </c>
      <c r="E1860" s="15" t="s">
        <v>11220</v>
      </c>
      <c r="F1860" s="16" t="str">
        <f>VLOOKUP(Table8[[#This Row],[Mã khách hàng]],code_khach_hang[],2,0)</f>
        <v>CHI NHÁNH HÀ GIANG - CÔNG TY CỔ PHẦN DỊCH VỤ THƯƠNG MẠI TỔNG HỢP WINCOMMERCE</v>
      </c>
      <c r="G1860" s="16" t="str">
        <f>VLOOKUP(Table8[[#This Row],[Mã khách hàng]],code_khach_hang[],3,0)</f>
        <v>Miền Bắc đặc biệt 2</v>
      </c>
      <c r="H1860" t="str">
        <f>VLOOKUP(Table8[[#This Row],[Mã khách hàng]],'Khách hàng'!A:D,4,0)</f>
        <v>Food Đức Việt</v>
      </c>
      <c r="I1860" t="str">
        <f>VLOOKUP(Table8[[#This Row],[Mã khách hàng]],'Khách hàng'!A:E,5,0)</f>
        <v>HN0040</v>
      </c>
    </row>
    <row r="1861" spans="1:9">
      <c r="A1861" s="14" t="s">
        <v>6578</v>
      </c>
      <c r="B1861" s="15" t="s">
        <v>5</v>
      </c>
      <c r="C1861" s="10" t="s">
        <v>6579</v>
      </c>
      <c r="D1861" s="16" t="s">
        <v>6033</v>
      </c>
      <c r="E1861" s="15" t="s">
        <v>11220</v>
      </c>
      <c r="F1861" s="16" t="str">
        <f>VLOOKUP(Table8[[#This Row],[Mã khách hàng]],code_khach_hang[],2,0)</f>
        <v>CHI NHÁNH HÀ GIANG - CÔNG TY CỔ PHẦN DỊCH VỤ THƯƠNG MẠI TỔNG HỢP WINCOMMERCE</v>
      </c>
      <c r="G1861" s="16" t="str">
        <f>VLOOKUP(Table8[[#This Row],[Mã khách hàng]],code_khach_hang[],3,0)</f>
        <v>Miền Bắc đặc biệt 2</v>
      </c>
      <c r="H1861" t="str">
        <f>VLOOKUP(Table8[[#This Row],[Mã khách hàng]],'Khách hàng'!A:D,4,0)</f>
        <v>Food Đức Việt</v>
      </c>
      <c r="I1861" t="str">
        <f>VLOOKUP(Table8[[#This Row],[Mã khách hàng]],'Khách hàng'!A:E,5,0)</f>
        <v>HN0040</v>
      </c>
    </row>
    <row r="1862" spans="1:9">
      <c r="A1862" s="14" t="s">
        <v>7214</v>
      </c>
      <c r="B1862" s="15" t="s">
        <v>5</v>
      </c>
      <c r="C1862" s="10" t="s">
        <v>7215</v>
      </c>
      <c r="D1862" s="16" t="s">
        <v>6036</v>
      </c>
      <c r="E1862" s="15" t="s">
        <v>11220</v>
      </c>
      <c r="F1862" s="16" t="str">
        <f>VLOOKUP(Table8[[#This Row],[Mã khách hàng]],code_khach_hang[],2,0)</f>
        <v>CHI NHÁNH HÀ GIANG - CÔNG TY CỔ PHẦN DỊCH VỤ THƯƠNG MẠI TỔNG HỢP WINCOMMERCE</v>
      </c>
      <c r="G1862" s="16" t="str">
        <f>VLOOKUP(Table8[[#This Row],[Mã khách hàng]],code_khach_hang[],3,0)</f>
        <v>Miền Bắc đặc biệt 2</v>
      </c>
      <c r="H1862" t="str">
        <f>VLOOKUP(Table8[[#This Row],[Mã khách hàng]],'Khách hàng'!A:D,4,0)</f>
        <v>Food Đức Việt</v>
      </c>
      <c r="I1862" t="str">
        <f>VLOOKUP(Table8[[#This Row],[Mã khách hàng]],'Khách hàng'!A:E,5,0)</f>
        <v>HN0040</v>
      </c>
    </row>
    <row r="1863" spans="1:9">
      <c r="A1863" s="14" t="s">
        <v>7042</v>
      </c>
      <c r="B1863" s="15" t="s">
        <v>5</v>
      </c>
      <c r="C1863" s="10" t="s">
        <v>7043</v>
      </c>
      <c r="D1863" s="16" t="s">
        <v>6039</v>
      </c>
      <c r="E1863" s="15" t="s">
        <v>11220</v>
      </c>
      <c r="F1863" s="16" t="str">
        <f>VLOOKUP(Table8[[#This Row],[Mã khách hàng]],code_khach_hang[],2,0)</f>
        <v>CHI NHÁNH HÀ GIANG - CÔNG TY CỔ PHẦN DỊCH VỤ THƯƠNG MẠI TỔNG HỢP WINCOMMERCE</v>
      </c>
      <c r="G1863" s="16" t="str">
        <f>VLOOKUP(Table8[[#This Row],[Mã khách hàng]],code_khach_hang[],3,0)</f>
        <v>Miền Bắc đặc biệt 2</v>
      </c>
      <c r="H1863" t="str">
        <f>VLOOKUP(Table8[[#This Row],[Mã khách hàng]],'Khách hàng'!A:D,4,0)</f>
        <v>Food Đức Việt</v>
      </c>
      <c r="I1863" t="str">
        <f>VLOOKUP(Table8[[#This Row],[Mã khách hàng]],'Khách hàng'!A:E,5,0)</f>
        <v>HN0040</v>
      </c>
    </row>
    <row r="1864" spans="1:9">
      <c r="A1864" s="14" t="s">
        <v>6455</v>
      </c>
      <c r="B1864" s="15" t="s">
        <v>5</v>
      </c>
      <c r="C1864" s="10" t="s">
        <v>6456</v>
      </c>
      <c r="D1864" s="16" t="s">
        <v>6042</v>
      </c>
      <c r="E1864" s="15" t="s">
        <v>11220</v>
      </c>
      <c r="F1864" s="16" t="str">
        <f>VLOOKUP(Table8[[#This Row],[Mã khách hàng]],code_khach_hang[],2,0)</f>
        <v>CHI NHÁNH HÀ GIANG - CÔNG TY CỔ PHẦN DỊCH VỤ THƯƠNG MẠI TỔNG HỢP WINCOMMERCE</v>
      </c>
      <c r="G1864" s="16" t="str">
        <f>VLOOKUP(Table8[[#This Row],[Mã khách hàng]],code_khach_hang[],3,0)</f>
        <v>Miền Bắc đặc biệt 2</v>
      </c>
      <c r="H1864" t="str">
        <f>VLOOKUP(Table8[[#This Row],[Mã khách hàng]],'Khách hàng'!A:D,4,0)</f>
        <v>Food Đức Việt</v>
      </c>
      <c r="I1864" t="str">
        <f>VLOOKUP(Table8[[#This Row],[Mã khách hàng]],'Khách hàng'!A:E,5,0)</f>
        <v>HN0040</v>
      </c>
    </row>
    <row r="1865" spans="1:9">
      <c r="A1865" s="14" t="s">
        <v>6306</v>
      </c>
      <c r="B1865" s="15" t="s">
        <v>5</v>
      </c>
      <c r="C1865" s="10" t="s">
        <v>6307</v>
      </c>
      <c r="D1865" s="16" t="s">
        <v>6045</v>
      </c>
      <c r="E1865" s="15" t="s">
        <v>11220</v>
      </c>
      <c r="F1865" s="16" t="str">
        <f>VLOOKUP(Table8[[#This Row],[Mã khách hàng]],code_khach_hang[],2,0)</f>
        <v>CHI NHÁNH HÀ GIANG - CÔNG TY CỔ PHẦN DỊCH VỤ THƯƠNG MẠI TỔNG HỢP WINCOMMERCE</v>
      </c>
      <c r="G1865" s="16" t="str">
        <f>VLOOKUP(Table8[[#This Row],[Mã khách hàng]],code_khach_hang[],3,0)</f>
        <v>Miền Bắc đặc biệt 2</v>
      </c>
      <c r="H1865" t="str">
        <f>VLOOKUP(Table8[[#This Row],[Mã khách hàng]],'Khách hàng'!A:D,4,0)</f>
        <v>Food Đức Việt</v>
      </c>
      <c r="I1865" t="str">
        <f>VLOOKUP(Table8[[#This Row],[Mã khách hàng]],'Khách hàng'!A:E,5,0)</f>
        <v>HN0040</v>
      </c>
    </row>
    <row r="1866" spans="1:9">
      <c r="A1866" s="14" t="s">
        <v>6980</v>
      </c>
      <c r="B1866" s="15" t="s">
        <v>5</v>
      </c>
      <c r="C1866" s="10" t="s">
        <v>6981</v>
      </c>
      <c r="D1866" s="16" t="s">
        <v>6048</v>
      </c>
      <c r="E1866" s="15" t="s">
        <v>11220</v>
      </c>
      <c r="F1866" s="16" t="str">
        <f>VLOOKUP(Table8[[#This Row],[Mã khách hàng]],code_khach_hang[],2,0)</f>
        <v>CHI NHÁNH HÀ GIANG - CÔNG TY CỔ PHẦN DỊCH VỤ THƯƠNG MẠI TỔNG HỢP WINCOMMERCE</v>
      </c>
      <c r="G1866" s="16" t="str">
        <f>VLOOKUP(Table8[[#This Row],[Mã khách hàng]],code_khach_hang[],3,0)</f>
        <v>Miền Bắc đặc biệt 2</v>
      </c>
      <c r="H1866" t="str">
        <f>VLOOKUP(Table8[[#This Row],[Mã khách hàng]],'Khách hàng'!A:D,4,0)</f>
        <v>Food Đức Việt</v>
      </c>
      <c r="I1866" t="str">
        <f>VLOOKUP(Table8[[#This Row],[Mã khách hàng]],'Khách hàng'!A:E,5,0)</f>
        <v>HN0040</v>
      </c>
    </row>
    <row r="1867" spans="1:9">
      <c r="A1867" s="14" t="s">
        <v>6282</v>
      </c>
      <c r="B1867" s="15" t="s">
        <v>5</v>
      </c>
      <c r="C1867" s="10" t="s">
        <v>6283</v>
      </c>
      <c r="D1867" s="16" t="s">
        <v>6051</v>
      </c>
      <c r="E1867" s="15" t="s">
        <v>11220</v>
      </c>
      <c r="F1867" s="16" t="str">
        <f>VLOOKUP(Table8[[#This Row],[Mã khách hàng]],code_khach_hang[],2,0)</f>
        <v>CHI NHÁNH HÀ GIANG - CÔNG TY CỔ PHẦN DỊCH VỤ THƯƠNG MẠI TỔNG HỢP WINCOMMERCE</v>
      </c>
      <c r="G1867" s="16" t="str">
        <f>VLOOKUP(Table8[[#This Row],[Mã khách hàng]],code_khach_hang[],3,0)</f>
        <v>Miền Bắc đặc biệt 2</v>
      </c>
      <c r="H1867" t="str">
        <f>VLOOKUP(Table8[[#This Row],[Mã khách hàng]],'Khách hàng'!A:D,4,0)</f>
        <v>Food Đức Việt</v>
      </c>
      <c r="I1867" t="str">
        <f>VLOOKUP(Table8[[#This Row],[Mã khách hàng]],'Khách hàng'!A:E,5,0)</f>
        <v>HN0040</v>
      </c>
    </row>
    <row r="1868" spans="1:9">
      <c r="A1868" s="14" t="s">
        <v>6947</v>
      </c>
      <c r="B1868" s="15" t="s">
        <v>5</v>
      </c>
      <c r="C1868" s="10" t="s">
        <v>6948</v>
      </c>
      <c r="D1868" s="16" t="s">
        <v>6054</v>
      </c>
      <c r="E1868" s="15" t="s">
        <v>11220</v>
      </c>
      <c r="F1868" s="16" t="str">
        <f>VLOOKUP(Table8[[#This Row],[Mã khách hàng]],code_khach_hang[],2,0)</f>
        <v>CHI NHÁNH HÀ GIANG - CÔNG TY CỔ PHẦN DỊCH VỤ THƯƠNG MẠI TỔNG HỢP WINCOMMERCE</v>
      </c>
      <c r="G1868" s="16" t="str">
        <f>VLOOKUP(Table8[[#This Row],[Mã khách hàng]],code_khach_hang[],3,0)</f>
        <v>Miền Bắc đặc biệt 2</v>
      </c>
      <c r="H1868" t="str">
        <f>VLOOKUP(Table8[[#This Row],[Mã khách hàng]],'Khách hàng'!A:D,4,0)</f>
        <v>Food Đức Việt</v>
      </c>
      <c r="I1868" t="str">
        <f>VLOOKUP(Table8[[#This Row],[Mã khách hàng]],'Khách hàng'!A:E,5,0)</f>
        <v>HN0040</v>
      </c>
    </row>
    <row r="1869" spans="1:9">
      <c r="A1869" s="14" t="s">
        <v>6986</v>
      </c>
      <c r="B1869" s="15" t="s">
        <v>5</v>
      </c>
      <c r="C1869" s="10" t="s">
        <v>6987</v>
      </c>
      <c r="D1869" s="16" t="s">
        <v>6057</v>
      </c>
      <c r="E1869" s="15" t="s">
        <v>11220</v>
      </c>
      <c r="F1869" s="16" t="str">
        <f>VLOOKUP(Table8[[#This Row],[Mã khách hàng]],code_khach_hang[],2,0)</f>
        <v>CHI NHÁNH HÀ GIANG - CÔNG TY CỔ PHẦN DỊCH VỤ THƯƠNG MẠI TỔNG HỢP WINCOMMERCE</v>
      </c>
      <c r="G1869" s="16" t="str">
        <f>VLOOKUP(Table8[[#This Row],[Mã khách hàng]],code_khach_hang[],3,0)</f>
        <v>Miền Bắc đặc biệt 2</v>
      </c>
      <c r="H1869" t="str">
        <f>VLOOKUP(Table8[[#This Row],[Mã khách hàng]],'Khách hàng'!A:D,4,0)</f>
        <v>Food Đức Việt</v>
      </c>
      <c r="I1869" t="str">
        <f>VLOOKUP(Table8[[#This Row],[Mã khách hàng]],'Khách hàng'!A:E,5,0)</f>
        <v>HN0040</v>
      </c>
    </row>
    <row r="1870" spans="1:9">
      <c r="A1870" s="14" t="s">
        <v>6279</v>
      </c>
      <c r="B1870" s="15" t="s">
        <v>5</v>
      </c>
      <c r="C1870" s="10" t="s">
        <v>6280</v>
      </c>
      <c r="D1870" s="16" t="s">
        <v>6060</v>
      </c>
      <c r="E1870" s="15" t="s">
        <v>11220</v>
      </c>
      <c r="F1870" s="16" t="str">
        <f>VLOOKUP(Table8[[#This Row],[Mã khách hàng]],code_khach_hang[],2,0)</f>
        <v>CHI NHÁNH HÀ GIANG - CÔNG TY CỔ PHẦN DỊCH VỤ THƯƠNG MẠI TỔNG HỢP WINCOMMERCE</v>
      </c>
      <c r="G1870" s="16" t="str">
        <f>VLOOKUP(Table8[[#This Row],[Mã khách hàng]],code_khach_hang[],3,0)</f>
        <v>Miền Bắc đặc biệt 2</v>
      </c>
      <c r="H1870" t="str">
        <f>VLOOKUP(Table8[[#This Row],[Mã khách hàng]],'Khách hàng'!A:D,4,0)</f>
        <v>Food Đức Việt</v>
      </c>
      <c r="I1870" t="str">
        <f>VLOOKUP(Table8[[#This Row],[Mã khách hàng]],'Khách hàng'!A:E,5,0)</f>
        <v>HN0040</v>
      </c>
    </row>
    <row r="1871" spans="1:9">
      <c r="A1871" s="14" t="s">
        <v>6210</v>
      </c>
      <c r="B1871" s="15" t="s">
        <v>5</v>
      </c>
      <c r="C1871" s="10" t="s">
        <v>6211</v>
      </c>
      <c r="D1871" s="16" t="s">
        <v>6063</v>
      </c>
      <c r="E1871" s="15" t="s">
        <v>11220</v>
      </c>
      <c r="F1871" s="16" t="str">
        <f>VLOOKUP(Table8[[#This Row],[Mã khách hàng]],code_khach_hang[],2,0)</f>
        <v>CHI NHÁNH HÀ GIANG - CÔNG TY CỔ PHẦN DỊCH VỤ THƯƠNG MẠI TỔNG HỢP WINCOMMERCE</v>
      </c>
      <c r="G1871" s="16" t="str">
        <f>VLOOKUP(Table8[[#This Row],[Mã khách hàng]],code_khach_hang[],3,0)</f>
        <v>Miền Bắc đặc biệt 2</v>
      </c>
      <c r="H1871" t="str">
        <f>VLOOKUP(Table8[[#This Row],[Mã khách hàng]],'Khách hàng'!A:D,4,0)</f>
        <v>Food Đức Việt</v>
      </c>
      <c r="I1871" t="str">
        <f>VLOOKUP(Table8[[#This Row],[Mã khách hàng]],'Khách hàng'!A:E,5,0)</f>
        <v>HN0040</v>
      </c>
    </row>
    <row r="1872" spans="1:9">
      <c r="A1872" s="14" t="s">
        <v>6213</v>
      </c>
      <c r="B1872" s="15" t="s">
        <v>5</v>
      </c>
      <c r="C1872" s="10" t="s">
        <v>6214</v>
      </c>
      <c r="D1872" s="16" t="s">
        <v>6066</v>
      </c>
      <c r="E1872" s="15" t="s">
        <v>11220</v>
      </c>
      <c r="F1872" s="16" t="str">
        <f>VLOOKUP(Table8[[#This Row],[Mã khách hàng]],code_khach_hang[],2,0)</f>
        <v>CHI NHÁNH HÀ GIANG - CÔNG TY CỔ PHẦN DỊCH VỤ THƯƠNG MẠI TỔNG HỢP WINCOMMERCE</v>
      </c>
      <c r="G1872" s="16" t="str">
        <f>VLOOKUP(Table8[[#This Row],[Mã khách hàng]],code_khach_hang[],3,0)</f>
        <v>Miền Bắc đặc biệt 2</v>
      </c>
      <c r="H1872" t="str">
        <f>VLOOKUP(Table8[[#This Row],[Mã khách hàng]],'Khách hàng'!A:D,4,0)</f>
        <v>Food Đức Việt</v>
      </c>
      <c r="I1872" t="str">
        <f>VLOOKUP(Table8[[#This Row],[Mã khách hàng]],'Khách hàng'!A:E,5,0)</f>
        <v>HN0040</v>
      </c>
    </row>
    <row r="1873" spans="1:9">
      <c r="A1873" s="14" t="s">
        <v>7086</v>
      </c>
      <c r="B1873" s="15" t="s">
        <v>5</v>
      </c>
      <c r="C1873" s="10" t="s">
        <v>7087</v>
      </c>
      <c r="D1873" s="16" t="s">
        <v>6069</v>
      </c>
      <c r="E1873" s="15" t="s">
        <v>11220</v>
      </c>
      <c r="F1873" s="16" t="str">
        <f>VLOOKUP(Table8[[#This Row],[Mã khách hàng]],code_khach_hang[],2,0)</f>
        <v>CHI NHÁNH HÀ GIANG - CÔNG TY CỔ PHẦN DỊCH VỤ THƯƠNG MẠI TỔNG HỢP WINCOMMERCE</v>
      </c>
      <c r="G1873" s="16" t="str">
        <f>VLOOKUP(Table8[[#This Row],[Mã khách hàng]],code_khach_hang[],3,0)</f>
        <v>Miền Bắc đặc biệt 2</v>
      </c>
      <c r="H1873" t="str">
        <f>VLOOKUP(Table8[[#This Row],[Mã khách hàng]],'Khách hàng'!A:D,4,0)</f>
        <v>Food Đức Việt</v>
      </c>
      <c r="I1873" t="str">
        <f>VLOOKUP(Table8[[#This Row],[Mã khách hàng]],'Khách hàng'!A:E,5,0)</f>
        <v>HN0040</v>
      </c>
    </row>
    <row r="1874" spans="1:9">
      <c r="A1874" s="14" t="s">
        <v>7945</v>
      </c>
      <c r="B1874" s="15" t="s">
        <v>5</v>
      </c>
      <c r="C1874" s="10" t="s">
        <v>7946</v>
      </c>
      <c r="D1874" s="16" t="s">
        <v>6072</v>
      </c>
      <c r="E1874" s="15" t="s">
        <v>11220</v>
      </c>
      <c r="F1874" s="16" t="str">
        <f>VLOOKUP(Table8[[#This Row],[Mã khách hàng]],code_khach_hang[],2,0)</f>
        <v>CHI NHÁNH HÀ GIANG - CÔNG TY CỔ PHẦN DỊCH VỤ THƯƠNG MẠI TỔNG HỢP WINCOMMERCE</v>
      </c>
      <c r="G1874" s="16" t="str">
        <f>VLOOKUP(Table8[[#This Row],[Mã khách hàng]],code_khach_hang[],3,0)</f>
        <v>Miền Bắc đặc biệt 2</v>
      </c>
      <c r="H1874" t="str">
        <f>VLOOKUP(Table8[[#This Row],[Mã khách hàng]],'Khách hàng'!A:D,4,0)</f>
        <v>Food Đức Việt</v>
      </c>
      <c r="I1874" t="str">
        <f>VLOOKUP(Table8[[#This Row],[Mã khách hàng]],'Khách hàng'!A:E,5,0)</f>
        <v>HN0040</v>
      </c>
    </row>
    <row r="1875" spans="1:9">
      <c r="A1875" s="14" t="s">
        <v>7211</v>
      </c>
      <c r="B1875" s="15" t="s">
        <v>5</v>
      </c>
      <c r="C1875" s="10" t="s">
        <v>7212</v>
      </c>
      <c r="D1875" s="16" t="s">
        <v>6075</v>
      </c>
      <c r="E1875" s="15" t="s">
        <v>11220</v>
      </c>
      <c r="F1875" s="16" t="str">
        <f>VLOOKUP(Table8[[#This Row],[Mã khách hàng]],code_khach_hang[],2,0)</f>
        <v>CHI NHÁNH HÀ GIANG - CÔNG TY CỔ PHẦN DỊCH VỤ THƯƠNG MẠI TỔNG HỢP WINCOMMERCE</v>
      </c>
      <c r="G1875" s="16" t="str">
        <f>VLOOKUP(Table8[[#This Row],[Mã khách hàng]],code_khach_hang[],3,0)</f>
        <v>Miền Bắc đặc biệt 2</v>
      </c>
      <c r="H1875" t="str">
        <f>VLOOKUP(Table8[[#This Row],[Mã khách hàng]],'Khách hàng'!A:D,4,0)</f>
        <v>Food Đức Việt</v>
      </c>
      <c r="I1875" t="str">
        <f>VLOOKUP(Table8[[#This Row],[Mã khách hàng]],'Khách hàng'!A:E,5,0)</f>
        <v>HN0040</v>
      </c>
    </row>
    <row r="1876" spans="1:9">
      <c r="A1876" s="14" t="s">
        <v>6267</v>
      </c>
      <c r="B1876" s="15" t="s">
        <v>5</v>
      </c>
      <c r="C1876" s="10" t="s">
        <v>6268</v>
      </c>
      <c r="D1876" s="16" t="s">
        <v>6078</v>
      </c>
      <c r="E1876" s="15" t="s">
        <v>11220</v>
      </c>
      <c r="F1876" s="16" t="str">
        <f>VLOOKUP(Table8[[#This Row],[Mã khách hàng]],code_khach_hang[],2,0)</f>
        <v>CHI NHÁNH HÀ GIANG - CÔNG TY CỔ PHẦN DỊCH VỤ THƯƠNG MẠI TỔNG HỢP WINCOMMERCE</v>
      </c>
      <c r="G1876" s="16" t="str">
        <f>VLOOKUP(Table8[[#This Row],[Mã khách hàng]],code_khach_hang[],3,0)</f>
        <v>Miền Bắc đặc biệt 2</v>
      </c>
      <c r="H1876" t="str">
        <f>VLOOKUP(Table8[[#This Row],[Mã khách hàng]],'Khách hàng'!A:D,4,0)</f>
        <v>Food Đức Việt</v>
      </c>
      <c r="I1876" t="str">
        <f>VLOOKUP(Table8[[#This Row],[Mã khách hàng]],'Khách hàng'!A:E,5,0)</f>
        <v>HN0040</v>
      </c>
    </row>
    <row r="1877" spans="1:9">
      <c r="A1877" s="14" t="s">
        <v>11132</v>
      </c>
      <c r="B1877" s="15" t="s">
        <v>5</v>
      </c>
      <c r="C1877" s="10" t="e">
        <v>#N/A</v>
      </c>
      <c r="D1877" s="16" t="s">
        <v>6081</v>
      </c>
      <c r="E1877" s="15" t="s">
        <v>11215</v>
      </c>
      <c r="F1877" s="16" t="str">
        <f>VLOOKUP(Table8[[#This Row],[Mã khách hàng]],code_khach_hang[],2,0)</f>
        <v>CHI NHÁNH HÀ NỘI - CÔNG TY CỔ PHẦN DỊCH VỤ THƯƠNG MẠI TỔNG HỢP WINCOMMERCE</v>
      </c>
      <c r="G1877" s="16" t="str">
        <f>VLOOKUP(Table8[[#This Row],[Mã khách hàng]],code_khach_hang[],3,0)</f>
        <v>Miền Bắc đặc biệt 1</v>
      </c>
      <c r="H1877" t="str">
        <f>VLOOKUP(Table8[[#This Row],[Mã khách hàng]],'Khách hàng'!A:D,4,0)</f>
        <v>Food Đức Việt</v>
      </c>
      <c r="I1877" t="str">
        <f>VLOOKUP(Table8[[#This Row],[Mã khách hàng]],'Khách hàng'!A:E,5,0)</f>
        <v>HN0040</v>
      </c>
    </row>
    <row r="1878" spans="1:9">
      <c r="A1878" s="14" t="s">
        <v>6169</v>
      </c>
      <c r="B1878" s="15" t="s">
        <v>5</v>
      </c>
      <c r="C1878" s="10" t="s">
        <v>6170</v>
      </c>
      <c r="D1878" s="16" t="s">
        <v>6084</v>
      </c>
      <c r="E1878" s="15" t="s">
        <v>11215</v>
      </c>
      <c r="F1878" s="16" t="str">
        <f>VLOOKUP(Table8[[#This Row],[Mã khách hàng]],code_khach_hang[],2,0)</f>
        <v>CHI NHÁNH HÀ NỘI - CÔNG TY CỔ PHẦN DỊCH VỤ THƯƠNG MẠI TỔNG HỢP WINCOMMERCE</v>
      </c>
      <c r="G1878" s="16" t="str">
        <f>VLOOKUP(Table8[[#This Row],[Mã khách hàng]],code_khach_hang[],3,0)</f>
        <v>Miền Bắc đặc biệt 1</v>
      </c>
      <c r="H1878" t="str">
        <f>VLOOKUP(Table8[[#This Row],[Mã khách hàng]],'Khách hàng'!A:D,4,0)</f>
        <v>Food Đức Việt</v>
      </c>
      <c r="I1878" t="str">
        <f>VLOOKUP(Table8[[#This Row],[Mã khách hàng]],'Khách hàng'!A:E,5,0)</f>
        <v>HN0040</v>
      </c>
    </row>
    <row r="1879" spans="1:9">
      <c r="A1879" s="14" t="s">
        <v>6396</v>
      </c>
      <c r="B1879" s="15" t="s">
        <v>5</v>
      </c>
      <c r="C1879" s="10" t="s">
        <v>6397</v>
      </c>
      <c r="D1879" s="16" t="s">
        <v>6087</v>
      </c>
      <c r="E1879" s="15" t="s">
        <v>11215</v>
      </c>
      <c r="F1879" s="16" t="str">
        <f>VLOOKUP(Table8[[#This Row],[Mã khách hàng]],code_khach_hang[],2,0)</f>
        <v>CHI NHÁNH HÀ NỘI - CÔNG TY CỔ PHẦN DỊCH VỤ THƯƠNG MẠI TỔNG HỢP WINCOMMERCE</v>
      </c>
      <c r="G1879" s="16" t="str">
        <f>VLOOKUP(Table8[[#This Row],[Mã khách hàng]],code_khach_hang[],3,0)</f>
        <v>Miền Bắc đặc biệt 1</v>
      </c>
      <c r="H1879" t="str">
        <f>VLOOKUP(Table8[[#This Row],[Mã khách hàng]],'Khách hàng'!A:D,4,0)</f>
        <v>Food Đức Việt</v>
      </c>
      <c r="I1879" t="str">
        <f>VLOOKUP(Table8[[#This Row],[Mã khách hàng]],'Khách hàng'!A:E,5,0)</f>
        <v>HN0040</v>
      </c>
    </row>
    <row r="1880" spans="1:9">
      <c r="A1880" s="14" t="s">
        <v>4146</v>
      </c>
      <c r="B1880" s="15" t="s">
        <v>5</v>
      </c>
      <c r="C1880" s="10" t="s">
        <v>4147</v>
      </c>
      <c r="D1880" s="16" t="s">
        <v>6090</v>
      </c>
      <c r="E1880" s="15" t="s">
        <v>11215</v>
      </c>
      <c r="F1880" s="16" t="str">
        <f>VLOOKUP(Table8[[#This Row],[Mã khách hàng]],code_khach_hang[],2,0)</f>
        <v>CHI NHÁNH HÀ NỘI - CÔNG TY CỔ PHẦN DỊCH VỤ THƯƠNG MẠI TỔNG HỢP WINCOMMERCE</v>
      </c>
      <c r="G1880" s="16" t="str">
        <f>VLOOKUP(Table8[[#This Row],[Mã khách hàng]],code_khach_hang[],3,0)</f>
        <v>Miền Bắc đặc biệt 1</v>
      </c>
      <c r="H1880" t="str">
        <f>VLOOKUP(Table8[[#This Row],[Mã khách hàng]],'Khách hàng'!A:D,4,0)</f>
        <v>Food Đức Việt</v>
      </c>
      <c r="I1880" t="str">
        <f>VLOOKUP(Table8[[#This Row],[Mã khách hàng]],'Khách hàng'!A:E,5,0)</f>
        <v>HN0040</v>
      </c>
    </row>
    <row r="1881" spans="1:9">
      <c r="A1881" s="14" t="s">
        <v>4149</v>
      </c>
      <c r="B1881" s="15" t="s">
        <v>5</v>
      </c>
      <c r="C1881" s="10" t="s">
        <v>4150</v>
      </c>
      <c r="D1881" s="16" t="s">
        <v>6093</v>
      </c>
      <c r="E1881" s="15" t="s">
        <v>11215</v>
      </c>
      <c r="F1881" s="16" t="str">
        <f>VLOOKUP(Table8[[#This Row],[Mã khách hàng]],code_khach_hang[],2,0)</f>
        <v>CHI NHÁNH HÀ NỘI - CÔNG TY CỔ PHẦN DỊCH VỤ THƯƠNG MẠI TỔNG HỢP WINCOMMERCE</v>
      </c>
      <c r="G1881" s="16" t="str">
        <f>VLOOKUP(Table8[[#This Row],[Mã khách hàng]],code_khach_hang[],3,0)</f>
        <v>Miền Bắc đặc biệt 1</v>
      </c>
      <c r="H1881" t="str">
        <f>VLOOKUP(Table8[[#This Row],[Mã khách hàng]],'Khách hàng'!A:D,4,0)</f>
        <v>Food Đức Việt</v>
      </c>
      <c r="I1881" t="str">
        <f>VLOOKUP(Table8[[#This Row],[Mã khách hàng]],'Khách hàng'!A:E,5,0)</f>
        <v>HN0040</v>
      </c>
    </row>
    <row r="1882" spans="1:9">
      <c r="A1882" s="14" t="s">
        <v>4527</v>
      </c>
      <c r="B1882" s="15" t="s">
        <v>5</v>
      </c>
      <c r="C1882" s="10" t="s">
        <v>4528</v>
      </c>
      <c r="D1882" s="16" t="s">
        <v>6096</v>
      </c>
      <c r="E1882" s="15" t="s">
        <v>11215</v>
      </c>
      <c r="F1882" s="16" t="str">
        <f>VLOOKUP(Table8[[#This Row],[Mã khách hàng]],code_khach_hang[],2,0)</f>
        <v>CHI NHÁNH HÀ NỘI - CÔNG TY CỔ PHẦN DỊCH VỤ THƯƠNG MẠI TỔNG HỢP WINCOMMERCE</v>
      </c>
      <c r="G1882" s="16" t="str">
        <f>VLOOKUP(Table8[[#This Row],[Mã khách hàng]],code_khach_hang[],3,0)</f>
        <v>Miền Bắc đặc biệt 1</v>
      </c>
      <c r="H1882" t="str">
        <f>VLOOKUP(Table8[[#This Row],[Mã khách hàng]],'Khách hàng'!A:D,4,0)</f>
        <v>Food Đức Việt</v>
      </c>
      <c r="I1882" t="str">
        <f>VLOOKUP(Table8[[#This Row],[Mã khách hàng]],'Khách hàng'!A:E,5,0)</f>
        <v>HN0040</v>
      </c>
    </row>
    <row r="1883" spans="1:9">
      <c r="A1883" s="14" t="s">
        <v>4887</v>
      </c>
      <c r="B1883" s="15" t="s">
        <v>5</v>
      </c>
      <c r="C1883" s="10" t="s">
        <v>4888</v>
      </c>
      <c r="D1883" s="16" t="s">
        <v>6099</v>
      </c>
      <c r="E1883" s="15" t="s">
        <v>11215</v>
      </c>
      <c r="F1883" s="16" t="str">
        <f>VLOOKUP(Table8[[#This Row],[Mã khách hàng]],code_khach_hang[],2,0)</f>
        <v>CHI NHÁNH HÀ NỘI - CÔNG TY CỔ PHẦN DỊCH VỤ THƯƠNG MẠI TỔNG HỢP WINCOMMERCE</v>
      </c>
      <c r="G1883" s="16" t="str">
        <f>VLOOKUP(Table8[[#This Row],[Mã khách hàng]],code_khach_hang[],3,0)</f>
        <v>Miền Bắc đặc biệt 1</v>
      </c>
      <c r="H1883" t="str">
        <f>VLOOKUP(Table8[[#This Row],[Mã khách hàng]],'Khách hàng'!A:D,4,0)</f>
        <v>Food Đức Việt</v>
      </c>
      <c r="I1883" t="str">
        <f>VLOOKUP(Table8[[#This Row],[Mã khách hàng]],'Khách hàng'!A:E,5,0)</f>
        <v>HN0040</v>
      </c>
    </row>
    <row r="1884" spans="1:9">
      <c r="A1884" s="14" t="s">
        <v>4998</v>
      </c>
      <c r="B1884" s="15" t="s">
        <v>5</v>
      </c>
      <c r="C1884" s="10" t="s">
        <v>4999</v>
      </c>
      <c r="D1884" s="16" t="s">
        <v>6102</v>
      </c>
      <c r="E1884" s="15" t="s">
        <v>11215</v>
      </c>
      <c r="F1884" s="16" t="str">
        <f>VLOOKUP(Table8[[#This Row],[Mã khách hàng]],code_khach_hang[],2,0)</f>
        <v>CHI NHÁNH HÀ NỘI - CÔNG TY CỔ PHẦN DỊCH VỤ THƯƠNG MẠI TỔNG HỢP WINCOMMERCE</v>
      </c>
      <c r="G1884" s="16" t="str">
        <f>VLOOKUP(Table8[[#This Row],[Mã khách hàng]],code_khach_hang[],3,0)</f>
        <v>Miền Bắc đặc biệt 1</v>
      </c>
      <c r="H1884" t="str">
        <f>VLOOKUP(Table8[[#This Row],[Mã khách hàng]],'Khách hàng'!A:D,4,0)</f>
        <v>Food Đức Việt</v>
      </c>
      <c r="I1884" t="str">
        <f>VLOOKUP(Table8[[#This Row],[Mã khách hàng]],'Khách hàng'!A:E,5,0)</f>
        <v>HN0040</v>
      </c>
    </row>
    <row r="1885" spans="1:9">
      <c r="A1885" s="14" t="s">
        <v>11133</v>
      </c>
      <c r="B1885" s="15" t="s">
        <v>5</v>
      </c>
      <c r="C1885" s="10" t="s">
        <v>13170</v>
      </c>
      <c r="D1885" s="16" t="s">
        <v>6105</v>
      </c>
      <c r="E1885" s="15" t="s">
        <v>11215</v>
      </c>
      <c r="F1885" s="16" t="str">
        <f>VLOOKUP(Table8[[#This Row],[Mã khách hàng]],code_khach_hang[],2,0)</f>
        <v>CHI NHÁNH HÀ NỘI - CÔNG TY CỔ PHẦN DỊCH VỤ THƯƠNG MẠI TỔNG HỢP WINCOMMERCE</v>
      </c>
      <c r="G1885" s="16" t="str">
        <f>VLOOKUP(Table8[[#This Row],[Mã khách hàng]],code_khach_hang[],3,0)</f>
        <v>Miền Bắc đặc biệt 1</v>
      </c>
      <c r="H1885" t="str">
        <f>VLOOKUP(Table8[[#This Row],[Mã khách hàng]],'Khách hàng'!A:D,4,0)</f>
        <v>Food Đức Việt</v>
      </c>
      <c r="I1885" t="str">
        <f>VLOOKUP(Table8[[#This Row],[Mã khách hàng]],'Khách hàng'!A:E,5,0)</f>
        <v>HN0040</v>
      </c>
    </row>
    <row r="1886" spans="1:9">
      <c r="A1886" s="14" t="s">
        <v>6285</v>
      </c>
      <c r="B1886" s="15" t="s">
        <v>5</v>
      </c>
      <c r="C1886" s="10" t="s">
        <v>6286</v>
      </c>
      <c r="D1886" s="16" t="s">
        <v>6108</v>
      </c>
      <c r="E1886" s="15" t="s">
        <v>11215</v>
      </c>
      <c r="F1886" s="16" t="str">
        <f>VLOOKUP(Table8[[#This Row],[Mã khách hàng]],code_khach_hang[],2,0)</f>
        <v>CHI NHÁNH HÀ NỘI - CÔNG TY CỔ PHẦN DỊCH VỤ THƯƠNG MẠI TỔNG HỢP WINCOMMERCE</v>
      </c>
      <c r="G1886" s="16" t="str">
        <f>VLOOKUP(Table8[[#This Row],[Mã khách hàng]],code_khach_hang[],3,0)</f>
        <v>Miền Bắc đặc biệt 1</v>
      </c>
      <c r="H1886" t="str">
        <f>VLOOKUP(Table8[[#This Row],[Mã khách hàng]],'Khách hàng'!A:D,4,0)</f>
        <v>Food Đức Việt</v>
      </c>
      <c r="I1886" t="str">
        <f>VLOOKUP(Table8[[#This Row],[Mã khách hàng]],'Khách hàng'!A:E,5,0)</f>
        <v>HN0040</v>
      </c>
    </row>
    <row r="1887" spans="1:9">
      <c r="A1887" s="14" t="s">
        <v>6019</v>
      </c>
      <c r="B1887" s="15" t="s">
        <v>5</v>
      </c>
      <c r="C1887" s="10" t="s">
        <v>6020</v>
      </c>
      <c r="D1887" s="16" t="s">
        <v>6111</v>
      </c>
      <c r="E1887" s="15" t="s">
        <v>11215</v>
      </c>
      <c r="F1887" s="16" t="str">
        <f>VLOOKUP(Table8[[#This Row],[Mã khách hàng]],code_khach_hang[],2,0)</f>
        <v>CHI NHÁNH HÀ NỘI - CÔNG TY CỔ PHẦN DỊCH VỤ THƯƠNG MẠI TỔNG HỢP WINCOMMERCE</v>
      </c>
      <c r="G1887" s="16" t="str">
        <f>VLOOKUP(Table8[[#This Row],[Mã khách hàng]],code_khach_hang[],3,0)</f>
        <v>Miền Bắc đặc biệt 1</v>
      </c>
      <c r="H1887" t="str">
        <f>VLOOKUP(Table8[[#This Row],[Mã khách hàng]],'Khách hàng'!A:D,4,0)</f>
        <v>Food Đức Việt</v>
      </c>
      <c r="I1887" t="str">
        <f>VLOOKUP(Table8[[#This Row],[Mã khách hàng]],'Khách hàng'!A:E,5,0)</f>
        <v>HN0040</v>
      </c>
    </row>
    <row r="1888" spans="1:9">
      <c r="A1888" s="14" t="s">
        <v>6261</v>
      </c>
      <c r="B1888" s="15" t="s">
        <v>5</v>
      </c>
      <c r="C1888" s="10" t="s">
        <v>6262</v>
      </c>
      <c r="D1888" s="16" t="s">
        <v>6114</v>
      </c>
      <c r="E1888" s="15" t="s">
        <v>11215</v>
      </c>
      <c r="F1888" s="16" t="str">
        <f>VLOOKUP(Table8[[#This Row],[Mã khách hàng]],code_khach_hang[],2,0)</f>
        <v>CHI NHÁNH HÀ NỘI - CÔNG TY CỔ PHẦN DỊCH VỤ THƯƠNG MẠI TỔNG HỢP WINCOMMERCE</v>
      </c>
      <c r="G1888" s="16" t="str">
        <f>VLOOKUP(Table8[[#This Row],[Mã khách hàng]],code_khach_hang[],3,0)</f>
        <v>Miền Bắc đặc biệt 1</v>
      </c>
      <c r="H1888" t="str">
        <f>VLOOKUP(Table8[[#This Row],[Mã khách hàng]],'Khách hàng'!A:D,4,0)</f>
        <v>Food Đức Việt</v>
      </c>
      <c r="I1888" t="str">
        <f>VLOOKUP(Table8[[#This Row],[Mã khách hàng]],'Khách hàng'!A:E,5,0)</f>
        <v>HN0040</v>
      </c>
    </row>
    <row r="1889" spans="1:9">
      <c r="A1889" s="14" t="s">
        <v>6270</v>
      </c>
      <c r="B1889" s="15" t="s">
        <v>5</v>
      </c>
      <c r="C1889" s="10" t="s">
        <v>6271</v>
      </c>
      <c r="D1889" s="16" t="s">
        <v>6117</v>
      </c>
      <c r="E1889" s="15" t="s">
        <v>11215</v>
      </c>
      <c r="F1889" s="16" t="str">
        <f>VLOOKUP(Table8[[#This Row],[Mã khách hàng]],code_khach_hang[],2,0)</f>
        <v>CHI NHÁNH HÀ NỘI - CÔNG TY CỔ PHẦN DỊCH VỤ THƯƠNG MẠI TỔNG HỢP WINCOMMERCE</v>
      </c>
      <c r="G1889" s="16" t="str">
        <f>VLOOKUP(Table8[[#This Row],[Mã khách hàng]],code_khach_hang[],3,0)</f>
        <v>Miền Bắc đặc biệt 1</v>
      </c>
      <c r="H1889" t="str">
        <f>VLOOKUP(Table8[[#This Row],[Mã khách hàng]],'Khách hàng'!A:D,4,0)</f>
        <v>Food Đức Việt</v>
      </c>
      <c r="I1889" t="str">
        <f>VLOOKUP(Table8[[#This Row],[Mã khách hàng]],'Khách hàng'!A:E,5,0)</f>
        <v>HN0040</v>
      </c>
    </row>
    <row r="1890" spans="1:9">
      <c r="A1890" s="14" t="s">
        <v>6473</v>
      </c>
      <c r="B1890" s="15" t="s">
        <v>5</v>
      </c>
      <c r="C1890" s="10" t="s">
        <v>6474</v>
      </c>
      <c r="D1890" s="16" t="s">
        <v>6120</v>
      </c>
      <c r="E1890" s="15" t="s">
        <v>11215</v>
      </c>
      <c r="F1890" s="16" t="str">
        <f>VLOOKUP(Table8[[#This Row],[Mã khách hàng]],code_khach_hang[],2,0)</f>
        <v>CHI NHÁNH HÀ NỘI - CÔNG TY CỔ PHẦN DỊCH VỤ THƯƠNG MẠI TỔNG HỢP WINCOMMERCE</v>
      </c>
      <c r="G1890" s="16" t="str">
        <f>VLOOKUP(Table8[[#This Row],[Mã khách hàng]],code_khach_hang[],3,0)</f>
        <v>Miền Bắc đặc biệt 1</v>
      </c>
      <c r="H1890" t="str">
        <f>VLOOKUP(Table8[[#This Row],[Mã khách hàng]],'Khách hàng'!A:D,4,0)</f>
        <v>Food Đức Việt</v>
      </c>
      <c r="I1890" t="str">
        <f>VLOOKUP(Table8[[#This Row],[Mã khách hàng]],'Khách hàng'!A:E,5,0)</f>
        <v>HN0040</v>
      </c>
    </row>
    <row r="1891" spans="1:9">
      <c r="A1891" s="14" t="s">
        <v>6488</v>
      </c>
      <c r="B1891" s="15" t="s">
        <v>5</v>
      </c>
      <c r="C1891" s="10" t="s">
        <v>6489</v>
      </c>
      <c r="D1891" s="16" t="s">
        <v>6123</v>
      </c>
      <c r="E1891" s="15" t="s">
        <v>11215</v>
      </c>
      <c r="F1891" s="16" t="str">
        <f>VLOOKUP(Table8[[#This Row],[Mã khách hàng]],code_khach_hang[],2,0)</f>
        <v>CHI NHÁNH HÀ NỘI - CÔNG TY CỔ PHẦN DỊCH VỤ THƯƠNG MẠI TỔNG HỢP WINCOMMERCE</v>
      </c>
      <c r="G1891" s="16" t="str">
        <f>VLOOKUP(Table8[[#This Row],[Mã khách hàng]],code_khach_hang[],3,0)</f>
        <v>Miền Bắc đặc biệt 1</v>
      </c>
      <c r="H1891" t="str">
        <f>VLOOKUP(Table8[[#This Row],[Mã khách hàng]],'Khách hàng'!A:D,4,0)</f>
        <v>Food Đức Việt</v>
      </c>
      <c r="I1891" t="str">
        <f>VLOOKUP(Table8[[#This Row],[Mã khách hàng]],'Khách hàng'!A:E,5,0)</f>
        <v>HN0040</v>
      </c>
    </row>
    <row r="1892" spans="1:9">
      <c r="A1892" s="14" t="s">
        <v>6617</v>
      </c>
      <c r="B1892" s="15" t="s">
        <v>5</v>
      </c>
      <c r="C1892" s="10" t="s">
        <v>6618</v>
      </c>
      <c r="D1892" s="16" t="s">
        <v>6126</v>
      </c>
      <c r="E1892" s="15" t="s">
        <v>11215</v>
      </c>
      <c r="F1892" s="16" t="str">
        <f>VLOOKUP(Table8[[#This Row],[Mã khách hàng]],code_khach_hang[],2,0)</f>
        <v>CHI NHÁNH HÀ NỘI - CÔNG TY CỔ PHẦN DỊCH VỤ THƯƠNG MẠI TỔNG HỢP WINCOMMERCE</v>
      </c>
      <c r="G1892" s="16" t="str">
        <f>VLOOKUP(Table8[[#This Row],[Mã khách hàng]],code_khach_hang[],3,0)</f>
        <v>Miền Bắc đặc biệt 1</v>
      </c>
      <c r="H1892" t="str">
        <f>VLOOKUP(Table8[[#This Row],[Mã khách hàng]],'Khách hàng'!A:D,4,0)</f>
        <v>Food Đức Việt</v>
      </c>
      <c r="I1892" t="str">
        <f>VLOOKUP(Table8[[#This Row],[Mã khách hàng]],'Khách hàng'!A:E,5,0)</f>
        <v>HN0040</v>
      </c>
    </row>
    <row r="1893" spans="1:9">
      <c r="A1893" s="14" t="s">
        <v>6815</v>
      </c>
      <c r="B1893" s="15" t="s">
        <v>5</v>
      </c>
      <c r="C1893" s="10" t="s">
        <v>6816</v>
      </c>
      <c r="D1893" s="16" t="s">
        <v>6129</v>
      </c>
      <c r="E1893" s="15" t="s">
        <v>11215</v>
      </c>
      <c r="F1893" s="16" t="str">
        <f>VLOOKUP(Table8[[#This Row],[Mã khách hàng]],code_khach_hang[],2,0)</f>
        <v>CHI NHÁNH HÀ NỘI - CÔNG TY CỔ PHẦN DỊCH VỤ THƯƠNG MẠI TỔNG HỢP WINCOMMERCE</v>
      </c>
      <c r="G1893" s="16" t="str">
        <f>VLOOKUP(Table8[[#This Row],[Mã khách hàng]],code_khach_hang[],3,0)</f>
        <v>Miền Bắc đặc biệt 1</v>
      </c>
      <c r="H1893" t="str">
        <f>VLOOKUP(Table8[[#This Row],[Mã khách hàng]],'Khách hàng'!A:D,4,0)</f>
        <v>Food Đức Việt</v>
      </c>
      <c r="I1893" t="str">
        <f>VLOOKUP(Table8[[#This Row],[Mã khách hàng]],'Khách hàng'!A:E,5,0)</f>
        <v>HN0040</v>
      </c>
    </row>
    <row r="1894" spans="1:9">
      <c r="A1894" s="14" t="s">
        <v>7150</v>
      </c>
      <c r="B1894" s="15" t="s">
        <v>5</v>
      </c>
      <c r="C1894" s="10" t="s">
        <v>7151</v>
      </c>
      <c r="D1894" s="16" t="s">
        <v>6132</v>
      </c>
      <c r="E1894" s="15" t="s">
        <v>11215</v>
      </c>
      <c r="F1894" s="16" t="str">
        <f>VLOOKUP(Table8[[#This Row],[Mã khách hàng]],code_khach_hang[],2,0)</f>
        <v>CHI NHÁNH HÀ NỘI - CÔNG TY CỔ PHẦN DỊCH VỤ THƯƠNG MẠI TỔNG HỢP WINCOMMERCE</v>
      </c>
      <c r="G1894" s="16" t="str">
        <f>VLOOKUP(Table8[[#This Row],[Mã khách hàng]],code_khach_hang[],3,0)</f>
        <v>Miền Bắc đặc biệt 1</v>
      </c>
      <c r="H1894" t="str">
        <f>VLOOKUP(Table8[[#This Row],[Mã khách hàng]],'Khách hàng'!A:D,4,0)</f>
        <v>Food Đức Việt</v>
      </c>
      <c r="I1894" t="str">
        <f>VLOOKUP(Table8[[#This Row],[Mã khách hàng]],'Khách hàng'!A:E,5,0)</f>
        <v>HN0040</v>
      </c>
    </row>
    <row r="1895" spans="1:9">
      <c r="A1895" s="14" t="s">
        <v>7387</v>
      </c>
      <c r="B1895" s="15" t="s">
        <v>5</v>
      </c>
      <c r="C1895" s="10" t="s">
        <v>7388</v>
      </c>
      <c r="D1895" s="16" t="s">
        <v>6135</v>
      </c>
      <c r="E1895" s="15" t="s">
        <v>11215</v>
      </c>
      <c r="F1895" s="16" t="str">
        <f>VLOOKUP(Table8[[#This Row],[Mã khách hàng]],code_khach_hang[],2,0)</f>
        <v>CHI NHÁNH HÀ NỘI - CÔNG TY CỔ PHẦN DỊCH VỤ THƯƠNG MẠI TỔNG HỢP WINCOMMERCE</v>
      </c>
      <c r="G1895" s="16" t="str">
        <f>VLOOKUP(Table8[[#This Row],[Mã khách hàng]],code_khach_hang[],3,0)</f>
        <v>Miền Bắc đặc biệt 1</v>
      </c>
      <c r="H1895" t="str">
        <f>VLOOKUP(Table8[[#This Row],[Mã khách hàng]],'Khách hàng'!A:D,4,0)</f>
        <v>Food Đức Việt</v>
      </c>
      <c r="I1895" t="str">
        <f>VLOOKUP(Table8[[#This Row],[Mã khách hàng]],'Khách hàng'!A:E,5,0)</f>
        <v>HN0040</v>
      </c>
    </row>
    <row r="1896" spans="1:9">
      <c r="A1896" s="14" t="s">
        <v>7457</v>
      </c>
      <c r="B1896" s="15" t="s">
        <v>5</v>
      </c>
      <c r="C1896" s="10" t="s">
        <v>7458</v>
      </c>
      <c r="D1896" s="16" t="s">
        <v>6138</v>
      </c>
      <c r="E1896" s="15" t="s">
        <v>11215</v>
      </c>
      <c r="F1896" s="16" t="str">
        <f>VLOOKUP(Table8[[#This Row],[Mã khách hàng]],code_khach_hang[],2,0)</f>
        <v>CHI NHÁNH HÀ NỘI - CÔNG TY CỔ PHẦN DỊCH VỤ THƯƠNG MẠI TỔNG HỢP WINCOMMERCE</v>
      </c>
      <c r="G1896" s="16" t="str">
        <f>VLOOKUP(Table8[[#This Row],[Mã khách hàng]],code_khach_hang[],3,0)</f>
        <v>Miền Bắc đặc biệt 1</v>
      </c>
      <c r="H1896" t="str">
        <f>VLOOKUP(Table8[[#This Row],[Mã khách hàng]],'Khách hàng'!A:D,4,0)</f>
        <v>Food Đức Việt</v>
      </c>
      <c r="I1896" t="str">
        <f>VLOOKUP(Table8[[#This Row],[Mã khách hàng]],'Khách hàng'!A:E,5,0)</f>
        <v>HN0040</v>
      </c>
    </row>
    <row r="1897" spans="1:9">
      <c r="A1897" s="14" t="s">
        <v>7777</v>
      </c>
      <c r="B1897" s="15" t="s">
        <v>5</v>
      </c>
      <c r="C1897" s="10" t="s">
        <v>7778</v>
      </c>
      <c r="D1897" s="16" t="s">
        <v>6141</v>
      </c>
      <c r="E1897" s="15" t="s">
        <v>11215</v>
      </c>
      <c r="F1897" s="16" t="str">
        <f>VLOOKUP(Table8[[#This Row],[Mã khách hàng]],code_khach_hang[],2,0)</f>
        <v>CHI NHÁNH HÀ NỘI - CÔNG TY CỔ PHẦN DỊCH VỤ THƯƠNG MẠI TỔNG HỢP WINCOMMERCE</v>
      </c>
      <c r="G1897" s="16" t="str">
        <f>VLOOKUP(Table8[[#This Row],[Mã khách hàng]],code_khach_hang[],3,0)</f>
        <v>Miền Bắc đặc biệt 1</v>
      </c>
      <c r="H1897" t="str">
        <f>VLOOKUP(Table8[[#This Row],[Mã khách hàng]],'Khách hàng'!A:D,4,0)</f>
        <v>Food Đức Việt</v>
      </c>
      <c r="I1897" t="str">
        <f>VLOOKUP(Table8[[#This Row],[Mã khách hàng]],'Khách hàng'!A:E,5,0)</f>
        <v>HN0040</v>
      </c>
    </row>
    <row r="1898" spans="1:9">
      <c r="A1898" s="14" t="s">
        <v>7816</v>
      </c>
      <c r="B1898" s="15" t="s">
        <v>5</v>
      </c>
      <c r="C1898" s="10" t="s">
        <v>7817</v>
      </c>
      <c r="D1898" s="16" t="s">
        <v>6144</v>
      </c>
      <c r="E1898" s="15" t="s">
        <v>11215</v>
      </c>
      <c r="F1898" s="16" t="str">
        <f>VLOOKUP(Table8[[#This Row],[Mã khách hàng]],code_khach_hang[],2,0)</f>
        <v>CHI NHÁNH HÀ NỘI - CÔNG TY CỔ PHẦN DỊCH VỤ THƯƠNG MẠI TỔNG HỢP WINCOMMERCE</v>
      </c>
      <c r="G1898" s="16" t="str">
        <f>VLOOKUP(Table8[[#This Row],[Mã khách hàng]],code_khach_hang[],3,0)</f>
        <v>Miền Bắc đặc biệt 1</v>
      </c>
      <c r="H1898" t="str">
        <f>VLOOKUP(Table8[[#This Row],[Mã khách hàng]],'Khách hàng'!A:D,4,0)</f>
        <v>Food Đức Việt</v>
      </c>
      <c r="I1898" t="str">
        <f>VLOOKUP(Table8[[#This Row],[Mã khách hàng]],'Khách hàng'!A:E,5,0)</f>
        <v>HN0040</v>
      </c>
    </row>
    <row r="1899" spans="1:9">
      <c r="A1899" s="14" t="s">
        <v>8058</v>
      </c>
      <c r="B1899" s="15" t="s">
        <v>5</v>
      </c>
      <c r="C1899" s="10" t="s">
        <v>8059</v>
      </c>
      <c r="D1899" s="16" t="s">
        <v>6147</v>
      </c>
      <c r="E1899" s="15" t="s">
        <v>11215</v>
      </c>
      <c r="F1899" s="16" t="str">
        <f>VLOOKUP(Table8[[#This Row],[Mã khách hàng]],code_khach_hang[],2,0)</f>
        <v>CHI NHÁNH HÀ NỘI - CÔNG TY CỔ PHẦN DỊCH VỤ THƯƠNG MẠI TỔNG HỢP WINCOMMERCE</v>
      </c>
      <c r="G1899" s="16" t="str">
        <f>VLOOKUP(Table8[[#This Row],[Mã khách hàng]],code_khach_hang[],3,0)</f>
        <v>Miền Bắc đặc biệt 1</v>
      </c>
      <c r="H1899" t="str">
        <f>VLOOKUP(Table8[[#This Row],[Mã khách hàng]],'Khách hàng'!A:D,4,0)</f>
        <v>Food Đức Việt</v>
      </c>
      <c r="I1899" t="str">
        <f>VLOOKUP(Table8[[#This Row],[Mã khách hàng]],'Khách hàng'!A:E,5,0)</f>
        <v>HN0040</v>
      </c>
    </row>
    <row r="1900" spans="1:9">
      <c r="A1900" s="14" t="s">
        <v>4179</v>
      </c>
      <c r="B1900" s="15" t="s">
        <v>5</v>
      </c>
      <c r="C1900" s="10" t="s">
        <v>4180</v>
      </c>
      <c r="D1900" s="16" t="s">
        <v>6150</v>
      </c>
      <c r="E1900" s="15" t="s">
        <v>11215</v>
      </c>
      <c r="F1900" s="16" t="str">
        <f>VLOOKUP(Table8[[#This Row],[Mã khách hàng]],code_khach_hang[],2,0)</f>
        <v>CHI NHÁNH HÀ NỘI - CÔNG TY CỔ PHẦN DỊCH VỤ THƯƠNG MẠI TỔNG HỢP WINCOMMERCE</v>
      </c>
      <c r="G1900" s="16" t="str">
        <f>VLOOKUP(Table8[[#This Row],[Mã khách hàng]],code_khach_hang[],3,0)</f>
        <v>Miền Bắc đặc biệt 1</v>
      </c>
      <c r="H1900" t="str">
        <f>VLOOKUP(Table8[[#This Row],[Mã khách hàng]],'Khách hàng'!A:D,4,0)</f>
        <v>Food Đức Việt</v>
      </c>
      <c r="I1900" t="str">
        <f>VLOOKUP(Table8[[#This Row],[Mã khách hàng]],'Khách hàng'!A:E,5,0)</f>
        <v>HN0040</v>
      </c>
    </row>
    <row r="1901" spans="1:9">
      <c r="A1901" s="14" t="s">
        <v>4182</v>
      </c>
      <c r="B1901" s="15" t="s">
        <v>5</v>
      </c>
      <c r="C1901" s="10" t="s">
        <v>4183</v>
      </c>
      <c r="D1901" s="16" t="s">
        <v>6153</v>
      </c>
      <c r="E1901" s="15" t="s">
        <v>11215</v>
      </c>
      <c r="F1901" s="16" t="str">
        <f>VLOOKUP(Table8[[#This Row],[Mã khách hàng]],code_khach_hang[],2,0)</f>
        <v>CHI NHÁNH HÀ NỘI - CÔNG TY CỔ PHẦN DỊCH VỤ THƯƠNG MẠI TỔNG HỢP WINCOMMERCE</v>
      </c>
      <c r="G1901" s="16" t="str">
        <f>VLOOKUP(Table8[[#This Row],[Mã khách hàng]],code_khach_hang[],3,0)</f>
        <v>Miền Bắc đặc biệt 1</v>
      </c>
      <c r="H1901" t="str">
        <f>VLOOKUP(Table8[[#This Row],[Mã khách hàng]],'Khách hàng'!A:D,4,0)</f>
        <v>Food Đức Việt</v>
      </c>
      <c r="I1901" t="str">
        <f>VLOOKUP(Table8[[#This Row],[Mã khách hàng]],'Khách hàng'!A:E,5,0)</f>
        <v>HN0040</v>
      </c>
    </row>
    <row r="1902" spans="1:9">
      <c r="A1902" s="14" t="s">
        <v>4341</v>
      </c>
      <c r="B1902" s="15" t="s">
        <v>5</v>
      </c>
      <c r="C1902" s="10" t="s">
        <v>4342</v>
      </c>
      <c r="D1902" s="16" t="s">
        <v>6156</v>
      </c>
      <c r="E1902" s="15" t="s">
        <v>11215</v>
      </c>
      <c r="F1902" s="16" t="str">
        <f>VLOOKUP(Table8[[#This Row],[Mã khách hàng]],code_khach_hang[],2,0)</f>
        <v>CHI NHÁNH HÀ NỘI - CÔNG TY CỔ PHẦN DỊCH VỤ THƯƠNG MẠI TỔNG HỢP WINCOMMERCE</v>
      </c>
      <c r="G1902" s="16" t="str">
        <f>VLOOKUP(Table8[[#This Row],[Mã khách hàng]],code_khach_hang[],3,0)</f>
        <v>Miền Bắc đặc biệt 1</v>
      </c>
      <c r="H1902" t="str">
        <f>VLOOKUP(Table8[[#This Row],[Mã khách hàng]],'Khách hàng'!A:D,4,0)</f>
        <v>Food Đức Việt</v>
      </c>
      <c r="I1902" t="str">
        <f>VLOOKUP(Table8[[#This Row],[Mã khách hàng]],'Khách hàng'!A:E,5,0)</f>
        <v>HN0040</v>
      </c>
    </row>
    <row r="1903" spans="1:9">
      <c r="A1903" s="14" t="s">
        <v>4356</v>
      </c>
      <c r="B1903" s="15" t="s">
        <v>5</v>
      </c>
      <c r="C1903" s="10" t="s">
        <v>4357</v>
      </c>
      <c r="D1903" s="16" t="s">
        <v>6159</v>
      </c>
      <c r="E1903" s="15" t="s">
        <v>11215</v>
      </c>
      <c r="F1903" s="16" t="str">
        <f>VLOOKUP(Table8[[#This Row],[Mã khách hàng]],code_khach_hang[],2,0)</f>
        <v>CHI NHÁNH HÀ NỘI - CÔNG TY CỔ PHẦN DỊCH VỤ THƯƠNG MẠI TỔNG HỢP WINCOMMERCE</v>
      </c>
      <c r="G1903" s="16" t="str">
        <f>VLOOKUP(Table8[[#This Row],[Mã khách hàng]],code_khach_hang[],3,0)</f>
        <v>Miền Bắc đặc biệt 1</v>
      </c>
      <c r="H1903" t="str">
        <f>VLOOKUP(Table8[[#This Row],[Mã khách hàng]],'Khách hàng'!A:D,4,0)</f>
        <v>Food Đức Việt</v>
      </c>
      <c r="I1903" t="str">
        <f>VLOOKUP(Table8[[#This Row],[Mã khách hàng]],'Khách hàng'!A:E,5,0)</f>
        <v>HN0040</v>
      </c>
    </row>
    <row r="1904" spans="1:9">
      <c r="A1904" s="14" t="s">
        <v>4650</v>
      </c>
      <c r="B1904" s="15" t="s">
        <v>5</v>
      </c>
      <c r="C1904" s="10" t="s">
        <v>4651</v>
      </c>
      <c r="D1904" s="16" t="s">
        <v>6162</v>
      </c>
      <c r="E1904" s="15" t="s">
        <v>11215</v>
      </c>
      <c r="F1904" s="16" t="str">
        <f>VLOOKUP(Table8[[#This Row],[Mã khách hàng]],code_khach_hang[],2,0)</f>
        <v>CHI NHÁNH HÀ NỘI - CÔNG TY CỔ PHẦN DỊCH VỤ THƯƠNG MẠI TỔNG HỢP WINCOMMERCE</v>
      </c>
      <c r="G1904" s="16" t="str">
        <f>VLOOKUP(Table8[[#This Row],[Mã khách hàng]],code_khach_hang[],3,0)</f>
        <v>Miền Bắc đặc biệt 1</v>
      </c>
      <c r="H1904" t="str">
        <f>VLOOKUP(Table8[[#This Row],[Mã khách hàng]],'Khách hàng'!A:D,4,0)</f>
        <v>Food Đức Việt</v>
      </c>
      <c r="I1904" t="str">
        <f>VLOOKUP(Table8[[#This Row],[Mã khách hàng]],'Khách hàng'!A:E,5,0)</f>
        <v>HN0040</v>
      </c>
    </row>
    <row r="1905" spans="1:9">
      <c r="A1905" s="14" t="s">
        <v>4806</v>
      </c>
      <c r="B1905" s="15" t="s">
        <v>5</v>
      </c>
      <c r="C1905" s="10" t="s">
        <v>4807</v>
      </c>
      <c r="D1905" s="16" t="s">
        <v>6165</v>
      </c>
      <c r="E1905" s="15" t="s">
        <v>11215</v>
      </c>
      <c r="F1905" s="16" t="str">
        <f>VLOOKUP(Table8[[#This Row],[Mã khách hàng]],code_khach_hang[],2,0)</f>
        <v>CHI NHÁNH HÀ NỘI - CÔNG TY CỔ PHẦN DỊCH VỤ THƯƠNG MẠI TỔNG HỢP WINCOMMERCE</v>
      </c>
      <c r="G1905" s="16" t="str">
        <f>VLOOKUP(Table8[[#This Row],[Mã khách hàng]],code_khach_hang[],3,0)</f>
        <v>Miền Bắc đặc biệt 1</v>
      </c>
      <c r="H1905" t="str">
        <f>VLOOKUP(Table8[[#This Row],[Mã khách hàng]],'Khách hàng'!A:D,4,0)</f>
        <v>Food Đức Việt</v>
      </c>
      <c r="I1905" t="str">
        <f>VLOOKUP(Table8[[#This Row],[Mã khách hàng]],'Khách hàng'!A:E,5,0)</f>
        <v>HN0040</v>
      </c>
    </row>
    <row r="1906" spans="1:9">
      <c r="A1906" s="14" t="s">
        <v>4914</v>
      </c>
      <c r="B1906" s="15" t="s">
        <v>5</v>
      </c>
      <c r="C1906" s="10" t="s">
        <v>4915</v>
      </c>
      <c r="D1906" s="16" t="s">
        <v>6168</v>
      </c>
      <c r="E1906" s="15" t="s">
        <v>11215</v>
      </c>
      <c r="F1906" s="16" t="str">
        <f>VLOOKUP(Table8[[#This Row],[Mã khách hàng]],code_khach_hang[],2,0)</f>
        <v>CHI NHÁNH HÀ NỘI - CÔNG TY CỔ PHẦN DỊCH VỤ THƯƠNG MẠI TỔNG HỢP WINCOMMERCE</v>
      </c>
      <c r="G1906" s="16" t="str">
        <f>VLOOKUP(Table8[[#This Row],[Mã khách hàng]],code_khach_hang[],3,0)</f>
        <v>Miền Bắc đặc biệt 1</v>
      </c>
      <c r="H1906" t="str">
        <f>VLOOKUP(Table8[[#This Row],[Mã khách hàng]],'Khách hàng'!A:D,4,0)</f>
        <v>Food Đức Việt</v>
      </c>
      <c r="I1906" t="str">
        <f>VLOOKUP(Table8[[#This Row],[Mã khách hàng]],'Khách hàng'!A:E,5,0)</f>
        <v>HN0040</v>
      </c>
    </row>
    <row r="1907" spans="1:9">
      <c r="A1907" s="14" t="s">
        <v>4986</v>
      </c>
      <c r="B1907" s="15" t="s">
        <v>5</v>
      </c>
      <c r="C1907" s="10" t="s">
        <v>4987</v>
      </c>
      <c r="D1907" s="16" t="s">
        <v>6171</v>
      </c>
      <c r="E1907" s="15" t="s">
        <v>11215</v>
      </c>
      <c r="F1907" s="16" t="str">
        <f>VLOOKUP(Table8[[#This Row],[Mã khách hàng]],code_khach_hang[],2,0)</f>
        <v>CHI NHÁNH HÀ NỘI - CÔNG TY CỔ PHẦN DỊCH VỤ THƯƠNG MẠI TỔNG HỢP WINCOMMERCE</v>
      </c>
      <c r="G1907" s="16" t="str">
        <f>VLOOKUP(Table8[[#This Row],[Mã khách hàng]],code_khach_hang[],3,0)</f>
        <v>Miền Bắc đặc biệt 1</v>
      </c>
      <c r="H1907" t="str">
        <f>VLOOKUP(Table8[[#This Row],[Mã khách hàng]],'Khách hàng'!A:D,4,0)</f>
        <v>Food Đức Việt</v>
      </c>
      <c r="I1907" t="str">
        <f>VLOOKUP(Table8[[#This Row],[Mã khách hàng]],'Khách hàng'!A:E,5,0)</f>
        <v>HN0040</v>
      </c>
    </row>
    <row r="1908" spans="1:9">
      <c r="A1908" s="14" t="s">
        <v>5133</v>
      </c>
      <c r="B1908" s="15" t="s">
        <v>5</v>
      </c>
      <c r="C1908" s="10" t="s">
        <v>5134</v>
      </c>
      <c r="D1908" s="16" t="s">
        <v>6174</v>
      </c>
      <c r="E1908" s="15" t="s">
        <v>11215</v>
      </c>
      <c r="F1908" s="16" t="str">
        <f>VLOOKUP(Table8[[#This Row],[Mã khách hàng]],code_khach_hang[],2,0)</f>
        <v>CHI NHÁNH HÀ NỘI - CÔNG TY CỔ PHẦN DỊCH VỤ THƯƠNG MẠI TỔNG HỢP WINCOMMERCE</v>
      </c>
      <c r="G1908" s="16" t="str">
        <f>VLOOKUP(Table8[[#This Row],[Mã khách hàng]],code_khach_hang[],3,0)</f>
        <v>Miền Bắc đặc biệt 1</v>
      </c>
      <c r="H1908" t="str">
        <f>VLOOKUP(Table8[[#This Row],[Mã khách hàng]],'Khách hàng'!A:D,4,0)</f>
        <v>Food Đức Việt</v>
      </c>
      <c r="I1908" t="str">
        <f>VLOOKUP(Table8[[#This Row],[Mã khách hàng]],'Khách hàng'!A:E,5,0)</f>
        <v>HN0040</v>
      </c>
    </row>
    <row r="1909" spans="1:9">
      <c r="A1909" s="14" t="s">
        <v>5154</v>
      </c>
      <c r="B1909" s="15" t="s">
        <v>5</v>
      </c>
      <c r="C1909" s="10" t="s">
        <v>5155</v>
      </c>
      <c r="D1909" s="16" t="s">
        <v>6177</v>
      </c>
      <c r="E1909" s="15" t="s">
        <v>11215</v>
      </c>
      <c r="F1909" s="16" t="str">
        <f>VLOOKUP(Table8[[#This Row],[Mã khách hàng]],code_khach_hang[],2,0)</f>
        <v>CHI NHÁNH HÀ NỘI - CÔNG TY CỔ PHẦN DỊCH VỤ THƯƠNG MẠI TỔNG HỢP WINCOMMERCE</v>
      </c>
      <c r="G1909" s="16" t="str">
        <f>VLOOKUP(Table8[[#This Row],[Mã khách hàng]],code_khach_hang[],3,0)</f>
        <v>Miền Bắc đặc biệt 1</v>
      </c>
      <c r="H1909" t="str">
        <f>VLOOKUP(Table8[[#This Row],[Mã khách hàng]],'Khách hàng'!A:D,4,0)</f>
        <v>Food Đức Việt</v>
      </c>
      <c r="I1909" t="str">
        <f>VLOOKUP(Table8[[#This Row],[Mã khách hàng]],'Khách hàng'!A:E,5,0)</f>
        <v>HN0040</v>
      </c>
    </row>
    <row r="1910" spans="1:9">
      <c r="A1910" s="14" t="s">
        <v>5229</v>
      </c>
      <c r="B1910" s="15" t="s">
        <v>5</v>
      </c>
      <c r="C1910" s="10" t="s">
        <v>5230</v>
      </c>
      <c r="D1910" s="16" t="s">
        <v>6180</v>
      </c>
      <c r="E1910" s="15" t="s">
        <v>11215</v>
      </c>
      <c r="F1910" s="16" t="str">
        <f>VLOOKUP(Table8[[#This Row],[Mã khách hàng]],code_khach_hang[],2,0)</f>
        <v>CHI NHÁNH HÀ NỘI - CÔNG TY CỔ PHẦN DỊCH VỤ THƯƠNG MẠI TỔNG HỢP WINCOMMERCE</v>
      </c>
      <c r="G1910" s="16" t="str">
        <f>VLOOKUP(Table8[[#This Row],[Mã khách hàng]],code_khach_hang[],3,0)</f>
        <v>Miền Bắc đặc biệt 1</v>
      </c>
      <c r="H1910" t="str">
        <f>VLOOKUP(Table8[[#This Row],[Mã khách hàng]],'Khách hàng'!A:D,4,0)</f>
        <v>Food Đức Việt</v>
      </c>
      <c r="I1910" t="str">
        <f>VLOOKUP(Table8[[#This Row],[Mã khách hàng]],'Khách hàng'!A:E,5,0)</f>
        <v>HN0040</v>
      </c>
    </row>
    <row r="1911" spans="1:9">
      <c r="A1911" s="14" t="s">
        <v>5316</v>
      </c>
      <c r="B1911" s="15" t="s">
        <v>5</v>
      </c>
      <c r="C1911" s="10" t="s">
        <v>5317</v>
      </c>
      <c r="D1911" s="16" t="s">
        <v>6183</v>
      </c>
      <c r="E1911" s="15" t="s">
        <v>11215</v>
      </c>
      <c r="F1911" s="16" t="str">
        <f>VLOOKUP(Table8[[#This Row],[Mã khách hàng]],code_khach_hang[],2,0)</f>
        <v>CHI NHÁNH HÀ NỘI - CÔNG TY CỔ PHẦN DỊCH VỤ THƯƠNG MẠI TỔNG HỢP WINCOMMERCE</v>
      </c>
      <c r="G1911" s="16" t="str">
        <f>VLOOKUP(Table8[[#This Row],[Mã khách hàng]],code_khach_hang[],3,0)</f>
        <v>Miền Bắc đặc biệt 1</v>
      </c>
      <c r="H1911" t="str">
        <f>VLOOKUP(Table8[[#This Row],[Mã khách hàng]],'Khách hàng'!A:D,4,0)</f>
        <v>Food Đức Việt</v>
      </c>
      <c r="I1911" t="str">
        <f>VLOOKUP(Table8[[#This Row],[Mã khách hàng]],'Khách hàng'!A:E,5,0)</f>
        <v>HN0040</v>
      </c>
    </row>
    <row r="1912" spans="1:9">
      <c r="A1912" s="14" t="s">
        <v>5454</v>
      </c>
      <c r="B1912" s="15" t="s">
        <v>5</v>
      </c>
      <c r="C1912" s="10" t="s">
        <v>5455</v>
      </c>
      <c r="D1912" s="16" t="s">
        <v>6186</v>
      </c>
      <c r="E1912" s="15" t="s">
        <v>11215</v>
      </c>
      <c r="F1912" s="16" t="str">
        <f>VLOOKUP(Table8[[#This Row],[Mã khách hàng]],code_khach_hang[],2,0)</f>
        <v>CHI NHÁNH HÀ NỘI - CÔNG TY CỔ PHẦN DỊCH VỤ THƯƠNG MẠI TỔNG HỢP WINCOMMERCE</v>
      </c>
      <c r="G1912" s="16" t="str">
        <f>VLOOKUP(Table8[[#This Row],[Mã khách hàng]],code_khach_hang[],3,0)</f>
        <v>Miền Bắc đặc biệt 1</v>
      </c>
      <c r="H1912" t="str">
        <f>VLOOKUP(Table8[[#This Row],[Mã khách hàng]],'Khách hàng'!A:D,4,0)</f>
        <v>Food Đức Việt</v>
      </c>
      <c r="I1912" t="str">
        <f>VLOOKUP(Table8[[#This Row],[Mã khách hàng]],'Khách hàng'!A:E,5,0)</f>
        <v>HN0040</v>
      </c>
    </row>
    <row r="1913" spans="1:9">
      <c r="A1913" s="14" t="s">
        <v>8221</v>
      </c>
      <c r="B1913" s="15" t="s">
        <v>5</v>
      </c>
      <c r="C1913" s="10" t="s">
        <v>8222</v>
      </c>
      <c r="D1913" s="16" t="s">
        <v>6189</v>
      </c>
      <c r="E1913" s="15" t="s">
        <v>11215</v>
      </c>
      <c r="F1913" s="16" t="str">
        <f>VLOOKUP(Table8[[#This Row],[Mã khách hàng]],code_khach_hang[],2,0)</f>
        <v>CHI NHÁNH HÀ NỘI - CÔNG TY CỔ PHẦN DỊCH VỤ THƯƠNG MẠI TỔNG HỢP WINCOMMERCE</v>
      </c>
      <c r="G1913" s="16" t="str">
        <f>VLOOKUP(Table8[[#This Row],[Mã khách hàng]],code_khach_hang[],3,0)</f>
        <v>Miền Bắc đặc biệt 1</v>
      </c>
      <c r="H1913" t="str">
        <f>VLOOKUP(Table8[[#This Row],[Mã khách hàng]],'Khách hàng'!A:D,4,0)</f>
        <v>Food Đức Việt</v>
      </c>
      <c r="I1913" t="str">
        <f>VLOOKUP(Table8[[#This Row],[Mã khách hàng]],'Khách hàng'!A:E,5,0)</f>
        <v>HN0040</v>
      </c>
    </row>
    <row r="1914" spans="1:9">
      <c r="A1914" s="14" t="s">
        <v>5878</v>
      </c>
      <c r="B1914" s="15" t="s">
        <v>5</v>
      </c>
      <c r="C1914" s="10" t="s">
        <v>5879</v>
      </c>
      <c r="D1914" s="16" t="s">
        <v>6192</v>
      </c>
      <c r="E1914" s="15" t="s">
        <v>11215</v>
      </c>
      <c r="F1914" s="16" t="str">
        <f>VLOOKUP(Table8[[#This Row],[Mã khách hàng]],code_khach_hang[],2,0)</f>
        <v>CHI NHÁNH HÀ NỘI - CÔNG TY CỔ PHẦN DỊCH VỤ THƯƠNG MẠI TỔNG HỢP WINCOMMERCE</v>
      </c>
      <c r="G1914" s="16" t="str">
        <f>VLOOKUP(Table8[[#This Row],[Mã khách hàng]],code_khach_hang[],3,0)</f>
        <v>Miền Bắc đặc biệt 1</v>
      </c>
      <c r="H1914" t="str">
        <f>VLOOKUP(Table8[[#This Row],[Mã khách hàng]],'Khách hàng'!A:D,4,0)</f>
        <v>Food Đức Việt</v>
      </c>
      <c r="I1914" t="str">
        <f>VLOOKUP(Table8[[#This Row],[Mã khách hàng]],'Khách hàng'!A:E,5,0)</f>
        <v>HN0040</v>
      </c>
    </row>
    <row r="1915" spans="1:9">
      <c r="A1915" s="14" t="s">
        <v>5977</v>
      </c>
      <c r="B1915" s="15" t="s">
        <v>5</v>
      </c>
      <c r="C1915" s="10" t="s">
        <v>5978</v>
      </c>
      <c r="D1915" s="16" t="s">
        <v>6195</v>
      </c>
      <c r="E1915" s="15" t="s">
        <v>11215</v>
      </c>
      <c r="F1915" s="16" t="str">
        <f>VLOOKUP(Table8[[#This Row],[Mã khách hàng]],code_khach_hang[],2,0)</f>
        <v>CHI NHÁNH HÀ NỘI - CÔNG TY CỔ PHẦN DỊCH VỤ THƯƠNG MẠI TỔNG HỢP WINCOMMERCE</v>
      </c>
      <c r="G1915" s="16" t="str">
        <f>VLOOKUP(Table8[[#This Row],[Mã khách hàng]],code_khach_hang[],3,0)</f>
        <v>Miền Bắc đặc biệt 1</v>
      </c>
      <c r="H1915" t="str">
        <f>VLOOKUP(Table8[[#This Row],[Mã khách hàng]],'Khách hàng'!A:D,4,0)</f>
        <v>Food Đức Việt</v>
      </c>
      <c r="I1915" t="str">
        <f>VLOOKUP(Table8[[#This Row],[Mã khách hàng]],'Khách hàng'!A:E,5,0)</f>
        <v>HN0040</v>
      </c>
    </row>
    <row r="1916" spans="1:9">
      <c r="A1916" s="14" t="s">
        <v>11134</v>
      </c>
      <c r="B1916" s="15" t="s">
        <v>5</v>
      </c>
      <c r="C1916" s="10" t="e">
        <v>#N/A</v>
      </c>
      <c r="D1916" s="16" t="s">
        <v>6198</v>
      </c>
      <c r="E1916" s="15" t="s">
        <v>11215</v>
      </c>
      <c r="F1916" s="16" t="str">
        <f>VLOOKUP(Table8[[#This Row],[Mã khách hàng]],code_khach_hang[],2,0)</f>
        <v>CHI NHÁNH HÀ NỘI - CÔNG TY CỔ PHẦN DỊCH VỤ THƯƠNG MẠI TỔNG HỢP WINCOMMERCE</v>
      </c>
      <c r="G1916" s="16" t="str">
        <f>VLOOKUP(Table8[[#This Row],[Mã khách hàng]],code_khach_hang[],3,0)</f>
        <v>Miền Bắc đặc biệt 1</v>
      </c>
      <c r="H1916" t="str">
        <f>VLOOKUP(Table8[[#This Row],[Mã khách hàng]],'Khách hàng'!A:D,4,0)</f>
        <v>Food Đức Việt</v>
      </c>
      <c r="I1916" t="str">
        <f>VLOOKUP(Table8[[#This Row],[Mã khách hàng]],'Khách hàng'!A:E,5,0)</f>
        <v>HN0040</v>
      </c>
    </row>
    <row r="1917" spans="1:9">
      <c r="A1917" s="14" t="s">
        <v>6330</v>
      </c>
      <c r="B1917" s="15" t="s">
        <v>5</v>
      </c>
      <c r="C1917" s="10" t="s">
        <v>6331</v>
      </c>
      <c r="D1917" s="16" t="s">
        <v>6201</v>
      </c>
      <c r="E1917" s="15" t="s">
        <v>11215</v>
      </c>
      <c r="F1917" s="16" t="str">
        <f>VLOOKUP(Table8[[#This Row],[Mã khách hàng]],code_khach_hang[],2,0)</f>
        <v>CHI NHÁNH HÀ NỘI - CÔNG TY CỔ PHẦN DỊCH VỤ THƯƠNG MẠI TỔNG HỢP WINCOMMERCE</v>
      </c>
      <c r="G1917" s="16" t="str">
        <f>VLOOKUP(Table8[[#This Row],[Mã khách hàng]],code_khach_hang[],3,0)</f>
        <v>Miền Bắc đặc biệt 1</v>
      </c>
      <c r="H1917" t="str">
        <f>VLOOKUP(Table8[[#This Row],[Mã khách hàng]],'Khách hàng'!A:D,4,0)</f>
        <v>Food Đức Việt</v>
      </c>
      <c r="I1917" t="str">
        <f>VLOOKUP(Table8[[#This Row],[Mã khách hàng]],'Khách hàng'!A:E,5,0)</f>
        <v>HN0040</v>
      </c>
    </row>
    <row r="1918" spans="1:9">
      <c r="A1918" s="14" t="s">
        <v>11135</v>
      </c>
      <c r="B1918" s="15" t="s">
        <v>5</v>
      </c>
      <c r="C1918" s="10" t="e">
        <v>#N/A</v>
      </c>
      <c r="D1918" s="16" t="s">
        <v>6204</v>
      </c>
      <c r="E1918" s="15" t="s">
        <v>11215</v>
      </c>
      <c r="F1918" s="16" t="str">
        <f>VLOOKUP(Table8[[#This Row],[Mã khách hàng]],code_khach_hang[],2,0)</f>
        <v>CHI NHÁNH HÀ NỘI - CÔNG TY CỔ PHẦN DỊCH VỤ THƯƠNG MẠI TỔNG HỢP WINCOMMERCE</v>
      </c>
      <c r="G1918" s="16" t="str">
        <f>VLOOKUP(Table8[[#This Row],[Mã khách hàng]],code_khach_hang[],3,0)</f>
        <v>Miền Bắc đặc biệt 1</v>
      </c>
      <c r="H1918" t="str">
        <f>VLOOKUP(Table8[[#This Row],[Mã khách hàng]],'Khách hàng'!A:D,4,0)</f>
        <v>Food Đức Việt</v>
      </c>
      <c r="I1918" t="str">
        <f>VLOOKUP(Table8[[#This Row],[Mã khách hàng]],'Khách hàng'!A:E,5,0)</f>
        <v>HN0040</v>
      </c>
    </row>
    <row r="1919" spans="1:9">
      <c r="A1919" s="14" t="s">
        <v>6908</v>
      </c>
      <c r="B1919" s="15" t="s">
        <v>5</v>
      </c>
      <c r="C1919" s="10" t="s">
        <v>6909</v>
      </c>
      <c r="D1919" s="16" t="s">
        <v>6206</v>
      </c>
      <c r="E1919" s="15" t="s">
        <v>11215</v>
      </c>
      <c r="F1919" s="16" t="str">
        <f>VLOOKUP(Table8[[#This Row],[Mã khách hàng]],code_khach_hang[],2,0)</f>
        <v>CHI NHÁNH HÀ NỘI - CÔNG TY CỔ PHẦN DỊCH VỤ THƯƠNG MẠI TỔNG HỢP WINCOMMERCE</v>
      </c>
      <c r="G1919" s="16" t="str">
        <f>VLOOKUP(Table8[[#This Row],[Mã khách hàng]],code_khach_hang[],3,0)</f>
        <v>Miền Bắc đặc biệt 1</v>
      </c>
      <c r="H1919" t="str">
        <f>VLOOKUP(Table8[[#This Row],[Mã khách hàng]],'Khách hàng'!A:D,4,0)</f>
        <v>Food Đức Việt</v>
      </c>
      <c r="I1919" t="str">
        <f>VLOOKUP(Table8[[#This Row],[Mã khách hàng]],'Khách hàng'!A:E,5,0)</f>
        <v>HN0040</v>
      </c>
    </row>
    <row r="1920" spans="1:9">
      <c r="A1920" s="14" t="s">
        <v>5238</v>
      </c>
      <c r="B1920" s="15" t="s">
        <v>5</v>
      </c>
      <c r="C1920" s="10" t="s">
        <v>5239</v>
      </c>
      <c r="D1920" s="16" t="s">
        <v>6209</v>
      </c>
      <c r="E1920" s="15" t="s">
        <v>11215</v>
      </c>
      <c r="F1920" s="16" t="str">
        <f>VLOOKUP(Table8[[#This Row],[Mã khách hàng]],code_khach_hang[],2,0)</f>
        <v>CHI NHÁNH HÀ NỘI - CÔNG TY CỔ PHẦN DỊCH VỤ THƯƠNG MẠI TỔNG HỢP WINCOMMERCE</v>
      </c>
      <c r="G1920" s="16" t="str">
        <f>VLOOKUP(Table8[[#This Row],[Mã khách hàng]],code_khach_hang[],3,0)</f>
        <v>Miền Bắc đặc biệt 1</v>
      </c>
      <c r="H1920" t="str">
        <f>VLOOKUP(Table8[[#This Row],[Mã khách hàng]],'Khách hàng'!A:D,4,0)</f>
        <v>Food Đức Việt</v>
      </c>
      <c r="I1920" t="str">
        <f>VLOOKUP(Table8[[#This Row],[Mã khách hàng]],'Khách hàng'!A:E,5,0)</f>
        <v>HN0040</v>
      </c>
    </row>
    <row r="1921" spans="1:9">
      <c r="A1921" s="14" t="s">
        <v>5370</v>
      </c>
      <c r="B1921" s="15" t="s">
        <v>5</v>
      </c>
      <c r="C1921" s="10" t="s">
        <v>5371</v>
      </c>
      <c r="D1921" s="16" t="s">
        <v>6212</v>
      </c>
      <c r="E1921" s="15" t="s">
        <v>11215</v>
      </c>
      <c r="F1921" s="16" t="str">
        <f>VLOOKUP(Table8[[#This Row],[Mã khách hàng]],code_khach_hang[],2,0)</f>
        <v>CHI NHÁNH HÀ NỘI - CÔNG TY CỔ PHẦN DỊCH VỤ THƯƠNG MẠI TỔNG HỢP WINCOMMERCE</v>
      </c>
      <c r="G1921" s="16" t="str">
        <f>VLOOKUP(Table8[[#This Row],[Mã khách hàng]],code_khach_hang[],3,0)</f>
        <v>Miền Bắc đặc biệt 1</v>
      </c>
      <c r="H1921" t="str">
        <f>VLOOKUP(Table8[[#This Row],[Mã khách hàng]],'Khách hàng'!A:D,4,0)</f>
        <v>Food Đức Việt</v>
      </c>
      <c r="I1921" t="str">
        <f>VLOOKUP(Table8[[#This Row],[Mã khách hàng]],'Khách hàng'!A:E,5,0)</f>
        <v>HN0040</v>
      </c>
    </row>
    <row r="1922" spans="1:9">
      <c r="A1922" s="14" t="s">
        <v>5397</v>
      </c>
      <c r="B1922" s="15" t="s">
        <v>5</v>
      </c>
      <c r="C1922" s="10" t="s">
        <v>5398</v>
      </c>
      <c r="D1922" s="16" t="s">
        <v>6215</v>
      </c>
      <c r="E1922" s="15" t="s">
        <v>11215</v>
      </c>
      <c r="F1922" s="16" t="str">
        <f>VLOOKUP(Table8[[#This Row],[Mã khách hàng]],code_khach_hang[],2,0)</f>
        <v>CHI NHÁNH HÀ NỘI - CÔNG TY CỔ PHẦN DỊCH VỤ THƯƠNG MẠI TỔNG HỢP WINCOMMERCE</v>
      </c>
      <c r="G1922" s="16" t="str">
        <f>VLOOKUP(Table8[[#This Row],[Mã khách hàng]],code_khach_hang[],3,0)</f>
        <v>Miền Bắc đặc biệt 1</v>
      </c>
      <c r="H1922" t="str">
        <f>VLOOKUP(Table8[[#This Row],[Mã khách hàng]],'Khách hàng'!A:D,4,0)</f>
        <v>Food Đức Việt</v>
      </c>
      <c r="I1922" t="str">
        <f>VLOOKUP(Table8[[#This Row],[Mã khách hàng]],'Khách hàng'!A:E,5,0)</f>
        <v>HN0040</v>
      </c>
    </row>
    <row r="1923" spans="1:9">
      <c r="A1923" s="14" t="s">
        <v>6333</v>
      </c>
      <c r="B1923" s="15" t="s">
        <v>5</v>
      </c>
      <c r="C1923" s="10" t="s">
        <v>6334</v>
      </c>
      <c r="D1923" s="16" t="s">
        <v>6218</v>
      </c>
      <c r="E1923" s="15" t="s">
        <v>11215</v>
      </c>
      <c r="F1923" s="16" t="str">
        <f>VLOOKUP(Table8[[#This Row],[Mã khách hàng]],code_khach_hang[],2,0)</f>
        <v>CHI NHÁNH HÀ NỘI - CÔNG TY CỔ PHẦN DỊCH VỤ THƯƠNG MẠI TỔNG HỢP WINCOMMERCE</v>
      </c>
      <c r="G1923" s="16" t="str">
        <f>VLOOKUP(Table8[[#This Row],[Mã khách hàng]],code_khach_hang[],3,0)</f>
        <v>Miền Bắc đặc biệt 1</v>
      </c>
      <c r="H1923" t="str">
        <f>VLOOKUP(Table8[[#This Row],[Mã khách hàng]],'Khách hàng'!A:D,4,0)</f>
        <v>Food Đức Việt</v>
      </c>
      <c r="I1923" t="str">
        <f>VLOOKUP(Table8[[#This Row],[Mã khách hàng]],'Khách hàng'!A:E,5,0)</f>
        <v>HN0040</v>
      </c>
    </row>
    <row r="1924" spans="1:9">
      <c r="A1924" s="14" t="s">
        <v>7983</v>
      </c>
      <c r="B1924" s="15" t="s">
        <v>5</v>
      </c>
      <c r="C1924" s="10" t="s">
        <v>7984</v>
      </c>
      <c r="D1924" s="16" t="s">
        <v>6221</v>
      </c>
      <c r="E1924" s="15" t="s">
        <v>11215</v>
      </c>
      <c r="F1924" s="16" t="str">
        <f>VLOOKUP(Table8[[#This Row],[Mã khách hàng]],code_khach_hang[],2,0)</f>
        <v>CHI NHÁNH HÀ NỘI - CÔNG TY CỔ PHẦN DỊCH VỤ THƯƠNG MẠI TỔNG HỢP WINCOMMERCE</v>
      </c>
      <c r="G1924" s="16" t="str">
        <f>VLOOKUP(Table8[[#This Row],[Mã khách hàng]],code_khach_hang[],3,0)</f>
        <v>Miền Bắc đặc biệt 1</v>
      </c>
      <c r="H1924" t="str">
        <f>VLOOKUP(Table8[[#This Row],[Mã khách hàng]],'Khách hàng'!A:D,4,0)</f>
        <v>Food Đức Việt</v>
      </c>
      <c r="I1924" t="str">
        <f>VLOOKUP(Table8[[#This Row],[Mã khách hàng]],'Khách hàng'!A:E,5,0)</f>
        <v>HN0040</v>
      </c>
    </row>
    <row r="1925" spans="1:9">
      <c r="A1925" s="14" t="s">
        <v>8337</v>
      </c>
      <c r="B1925" s="15" t="s">
        <v>5</v>
      </c>
      <c r="C1925" s="10" t="s">
        <v>8338</v>
      </c>
      <c r="D1925" s="16" t="s">
        <v>6224</v>
      </c>
      <c r="E1925" s="15" t="s">
        <v>11215</v>
      </c>
      <c r="F1925" s="16" t="str">
        <f>VLOOKUP(Table8[[#This Row],[Mã khách hàng]],code_khach_hang[],2,0)</f>
        <v>CHI NHÁNH HÀ NỘI - CÔNG TY CỔ PHẦN DỊCH VỤ THƯƠNG MẠI TỔNG HỢP WINCOMMERCE</v>
      </c>
      <c r="G1925" s="16" t="str">
        <f>VLOOKUP(Table8[[#This Row],[Mã khách hàng]],code_khach_hang[],3,0)</f>
        <v>Miền Bắc đặc biệt 1</v>
      </c>
      <c r="H1925" t="str">
        <f>VLOOKUP(Table8[[#This Row],[Mã khách hàng]],'Khách hàng'!A:D,4,0)</f>
        <v>Food Đức Việt</v>
      </c>
      <c r="I1925" t="str">
        <f>VLOOKUP(Table8[[#This Row],[Mã khách hàng]],'Khách hàng'!A:E,5,0)</f>
        <v>HN0040</v>
      </c>
    </row>
    <row r="1926" spans="1:9">
      <c r="A1926" s="14" t="s">
        <v>5863</v>
      </c>
      <c r="B1926" s="15" t="s">
        <v>5</v>
      </c>
      <c r="C1926" s="10" t="s">
        <v>5864</v>
      </c>
      <c r="D1926" s="16" t="s">
        <v>6227</v>
      </c>
      <c r="E1926" s="15" t="s">
        <v>11215</v>
      </c>
      <c r="F1926" s="16" t="str">
        <f>VLOOKUP(Table8[[#This Row],[Mã khách hàng]],code_khach_hang[],2,0)</f>
        <v>CHI NHÁNH HÀ NỘI - CÔNG TY CỔ PHẦN DỊCH VỤ THƯƠNG MẠI TỔNG HỢP WINCOMMERCE</v>
      </c>
      <c r="G1926" s="16" t="str">
        <f>VLOOKUP(Table8[[#This Row],[Mã khách hàng]],code_khach_hang[],3,0)</f>
        <v>Miền Bắc đặc biệt 1</v>
      </c>
      <c r="H1926" t="str">
        <f>VLOOKUP(Table8[[#This Row],[Mã khách hàng]],'Khách hàng'!A:D,4,0)</f>
        <v>Food Đức Việt</v>
      </c>
      <c r="I1926" t="str">
        <f>VLOOKUP(Table8[[#This Row],[Mã khách hàng]],'Khách hàng'!A:E,5,0)</f>
        <v>HN0040</v>
      </c>
    </row>
    <row r="1927" spans="1:9">
      <c r="A1927" s="14" t="s">
        <v>5875</v>
      </c>
      <c r="B1927" s="15" t="s">
        <v>5</v>
      </c>
      <c r="C1927" s="10" t="s">
        <v>5876</v>
      </c>
      <c r="D1927" s="16" t="s">
        <v>6230</v>
      </c>
      <c r="E1927" s="15" t="s">
        <v>11215</v>
      </c>
      <c r="F1927" s="16" t="str">
        <f>VLOOKUP(Table8[[#This Row],[Mã khách hàng]],code_khach_hang[],2,0)</f>
        <v>CHI NHÁNH HÀ NỘI - CÔNG TY CỔ PHẦN DỊCH VỤ THƯƠNG MẠI TỔNG HỢP WINCOMMERCE</v>
      </c>
      <c r="G1927" s="16" t="str">
        <f>VLOOKUP(Table8[[#This Row],[Mã khách hàng]],code_khach_hang[],3,0)</f>
        <v>Miền Bắc đặc biệt 1</v>
      </c>
      <c r="H1927" t="str">
        <f>VLOOKUP(Table8[[#This Row],[Mã khách hàng]],'Khách hàng'!A:D,4,0)</f>
        <v>Food Đức Việt</v>
      </c>
      <c r="I1927" t="str">
        <f>VLOOKUP(Table8[[#This Row],[Mã khách hàng]],'Khách hàng'!A:E,5,0)</f>
        <v>HN0040</v>
      </c>
    </row>
    <row r="1928" spans="1:9">
      <c r="A1928" s="14" t="s">
        <v>6028</v>
      </c>
      <c r="B1928" s="15" t="s">
        <v>5</v>
      </c>
      <c r="C1928" s="10" t="s">
        <v>6029</v>
      </c>
      <c r="D1928" s="16" t="s">
        <v>6233</v>
      </c>
      <c r="E1928" s="15" t="s">
        <v>11215</v>
      </c>
      <c r="F1928" s="16" t="str">
        <f>VLOOKUP(Table8[[#This Row],[Mã khách hàng]],code_khach_hang[],2,0)</f>
        <v>CHI NHÁNH HÀ NỘI - CÔNG TY CỔ PHẦN DỊCH VỤ THƯƠNG MẠI TỔNG HỢP WINCOMMERCE</v>
      </c>
      <c r="G1928" s="16" t="str">
        <f>VLOOKUP(Table8[[#This Row],[Mã khách hàng]],code_khach_hang[],3,0)</f>
        <v>Miền Bắc đặc biệt 1</v>
      </c>
      <c r="H1928" t="str">
        <f>VLOOKUP(Table8[[#This Row],[Mã khách hàng]],'Khách hàng'!A:D,4,0)</f>
        <v>Food Đức Việt</v>
      </c>
      <c r="I1928" t="str">
        <f>VLOOKUP(Table8[[#This Row],[Mã khách hàng]],'Khách hàng'!A:E,5,0)</f>
        <v>HN0040</v>
      </c>
    </row>
    <row r="1929" spans="1:9">
      <c r="A1929" s="14" t="s">
        <v>6288</v>
      </c>
      <c r="B1929" s="15" t="s">
        <v>5</v>
      </c>
      <c r="C1929" s="10" t="s">
        <v>6289</v>
      </c>
      <c r="D1929" s="16" t="s">
        <v>6236</v>
      </c>
      <c r="E1929" s="15" t="s">
        <v>11215</v>
      </c>
      <c r="F1929" s="16" t="str">
        <f>VLOOKUP(Table8[[#This Row],[Mã khách hàng]],code_khach_hang[],2,0)</f>
        <v>CHI NHÁNH HÀ NỘI - CÔNG TY CỔ PHẦN DỊCH VỤ THƯƠNG MẠI TỔNG HỢP WINCOMMERCE</v>
      </c>
      <c r="G1929" s="16" t="str">
        <f>VLOOKUP(Table8[[#This Row],[Mã khách hàng]],code_khach_hang[],3,0)</f>
        <v>Miền Bắc đặc biệt 1</v>
      </c>
      <c r="H1929" t="str">
        <f>VLOOKUP(Table8[[#This Row],[Mã khách hàng]],'Khách hàng'!A:D,4,0)</f>
        <v>Food Đức Việt</v>
      </c>
      <c r="I1929" t="str">
        <f>VLOOKUP(Table8[[#This Row],[Mã khách hàng]],'Khách hàng'!A:E,5,0)</f>
        <v>HN0040</v>
      </c>
    </row>
    <row r="1930" spans="1:9">
      <c r="A1930" s="14" t="s">
        <v>6339</v>
      </c>
      <c r="B1930" s="15" t="s">
        <v>5</v>
      </c>
      <c r="C1930" s="10" t="s">
        <v>6340</v>
      </c>
      <c r="D1930" s="16" t="s">
        <v>6239</v>
      </c>
      <c r="E1930" s="15" t="s">
        <v>11215</v>
      </c>
      <c r="F1930" s="16" t="str">
        <f>VLOOKUP(Table8[[#This Row],[Mã khách hàng]],code_khach_hang[],2,0)</f>
        <v>CHI NHÁNH HÀ NỘI - CÔNG TY CỔ PHẦN DỊCH VỤ THƯƠNG MẠI TỔNG HỢP WINCOMMERCE</v>
      </c>
      <c r="G1930" s="16" t="str">
        <f>VLOOKUP(Table8[[#This Row],[Mã khách hàng]],code_khach_hang[],3,0)</f>
        <v>Miền Bắc đặc biệt 1</v>
      </c>
      <c r="H1930" t="str">
        <f>VLOOKUP(Table8[[#This Row],[Mã khách hàng]],'Khách hàng'!A:D,4,0)</f>
        <v>Food Đức Việt</v>
      </c>
      <c r="I1930" t="str">
        <f>VLOOKUP(Table8[[#This Row],[Mã khách hàng]],'Khách hàng'!A:E,5,0)</f>
        <v>HN0040</v>
      </c>
    </row>
    <row r="1931" spans="1:9">
      <c r="A1931" s="14" t="s">
        <v>6446</v>
      </c>
      <c r="B1931" s="15" t="s">
        <v>5</v>
      </c>
      <c r="C1931" s="10" t="s">
        <v>6447</v>
      </c>
      <c r="D1931" s="16" t="s">
        <v>6242</v>
      </c>
      <c r="E1931" s="15" t="s">
        <v>11215</v>
      </c>
      <c r="F1931" s="16" t="str">
        <f>VLOOKUP(Table8[[#This Row],[Mã khách hàng]],code_khach_hang[],2,0)</f>
        <v>CHI NHÁNH HÀ NỘI - CÔNG TY CỔ PHẦN DỊCH VỤ THƯƠNG MẠI TỔNG HỢP WINCOMMERCE</v>
      </c>
      <c r="G1931" s="16" t="str">
        <f>VLOOKUP(Table8[[#This Row],[Mã khách hàng]],code_khach_hang[],3,0)</f>
        <v>Miền Bắc đặc biệt 1</v>
      </c>
      <c r="H1931" t="str">
        <f>VLOOKUP(Table8[[#This Row],[Mã khách hàng]],'Khách hàng'!A:D,4,0)</f>
        <v>Food Đức Việt</v>
      </c>
      <c r="I1931" t="str">
        <f>VLOOKUP(Table8[[#This Row],[Mã khách hàng]],'Khách hàng'!A:E,5,0)</f>
        <v>HN0040</v>
      </c>
    </row>
    <row r="1932" spans="1:9">
      <c r="A1932" s="14" t="s">
        <v>6557</v>
      </c>
      <c r="B1932" s="15" t="s">
        <v>5</v>
      </c>
      <c r="C1932" s="10" t="s">
        <v>6558</v>
      </c>
      <c r="D1932" s="16" t="s">
        <v>6245</v>
      </c>
      <c r="E1932" s="15" t="s">
        <v>11215</v>
      </c>
      <c r="F1932" s="16" t="str">
        <f>VLOOKUP(Table8[[#This Row],[Mã khách hàng]],code_khach_hang[],2,0)</f>
        <v>CHI NHÁNH HÀ NỘI - CÔNG TY CỔ PHẦN DỊCH VỤ THƯƠNG MẠI TỔNG HỢP WINCOMMERCE</v>
      </c>
      <c r="G1932" s="16" t="str">
        <f>VLOOKUP(Table8[[#This Row],[Mã khách hàng]],code_khach_hang[],3,0)</f>
        <v>Miền Bắc đặc biệt 1</v>
      </c>
      <c r="H1932" t="str">
        <f>VLOOKUP(Table8[[#This Row],[Mã khách hàng]],'Khách hàng'!A:D,4,0)</f>
        <v>Food Đức Việt</v>
      </c>
      <c r="I1932" t="str">
        <f>VLOOKUP(Table8[[#This Row],[Mã khách hàng]],'Khách hàng'!A:E,5,0)</f>
        <v>HN0040</v>
      </c>
    </row>
    <row r="1933" spans="1:9">
      <c r="A1933" s="14" t="s">
        <v>6560</v>
      </c>
      <c r="B1933" s="15" t="s">
        <v>5</v>
      </c>
      <c r="C1933" s="10" t="s">
        <v>6561</v>
      </c>
      <c r="D1933" s="16" t="s">
        <v>6248</v>
      </c>
      <c r="E1933" s="15" t="s">
        <v>11215</v>
      </c>
      <c r="F1933" s="16" t="str">
        <f>VLOOKUP(Table8[[#This Row],[Mã khách hàng]],code_khach_hang[],2,0)</f>
        <v>CHI NHÁNH HÀ NỘI - CÔNG TY CỔ PHẦN DỊCH VỤ THƯƠNG MẠI TỔNG HỢP WINCOMMERCE</v>
      </c>
      <c r="G1933" s="16" t="str">
        <f>VLOOKUP(Table8[[#This Row],[Mã khách hàng]],code_khach_hang[],3,0)</f>
        <v>Miền Bắc đặc biệt 1</v>
      </c>
      <c r="H1933" t="str">
        <f>VLOOKUP(Table8[[#This Row],[Mã khách hàng]],'Khách hàng'!A:D,4,0)</f>
        <v>Food Đức Việt</v>
      </c>
      <c r="I1933" t="str">
        <f>VLOOKUP(Table8[[#This Row],[Mã khách hàng]],'Khách hàng'!A:E,5,0)</f>
        <v>HN0040</v>
      </c>
    </row>
    <row r="1934" spans="1:9">
      <c r="A1934" s="14" t="s">
        <v>6701</v>
      </c>
      <c r="B1934" s="15" t="s">
        <v>5</v>
      </c>
      <c r="C1934" s="10" t="s">
        <v>6702</v>
      </c>
      <c r="D1934" s="16" t="s">
        <v>6251</v>
      </c>
      <c r="E1934" s="15" t="s">
        <v>11215</v>
      </c>
      <c r="F1934" s="16" t="str">
        <f>VLOOKUP(Table8[[#This Row],[Mã khách hàng]],code_khach_hang[],2,0)</f>
        <v>CHI NHÁNH HÀ NỘI - CÔNG TY CỔ PHẦN DỊCH VỤ THƯƠNG MẠI TỔNG HỢP WINCOMMERCE</v>
      </c>
      <c r="G1934" s="16" t="str">
        <f>VLOOKUP(Table8[[#This Row],[Mã khách hàng]],code_khach_hang[],3,0)</f>
        <v>Miền Bắc đặc biệt 1</v>
      </c>
      <c r="H1934" t="str">
        <f>VLOOKUP(Table8[[#This Row],[Mã khách hàng]],'Khách hàng'!A:D,4,0)</f>
        <v>Food Đức Việt</v>
      </c>
      <c r="I1934" t="str">
        <f>VLOOKUP(Table8[[#This Row],[Mã khách hàng]],'Khách hàng'!A:E,5,0)</f>
        <v>HN0040</v>
      </c>
    </row>
    <row r="1935" spans="1:9">
      <c r="A1935" s="14" t="s">
        <v>6707</v>
      </c>
      <c r="B1935" s="15" t="s">
        <v>5</v>
      </c>
      <c r="C1935" s="10" t="s">
        <v>6708</v>
      </c>
      <c r="D1935" s="16" t="s">
        <v>6254</v>
      </c>
      <c r="E1935" s="15" t="s">
        <v>11215</v>
      </c>
      <c r="F1935" s="16" t="str">
        <f>VLOOKUP(Table8[[#This Row],[Mã khách hàng]],code_khach_hang[],2,0)</f>
        <v>CHI NHÁNH HÀ NỘI - CÔNG TY CỔ PHẦN DỊCH VỤ THƯƠNG MẠI TỔNG HỢP WINCOMMERCE</v>
      </c>
      <c r="G1935" s="16" t="str">
        <f>VLOOKUP(Table8[[#This Row],[Mã khách hàng]],code_khach_hang[],3,0)</f>
        <v>Miền Bắc đặc biệt 1</v>
      </c>
      <c r="H1935" t="str">
        <f>VLOOKUP(Table8[[#This Row],[Mã khách hàng]],'Khách hàng'!A:D,4,0)</f>
        <v>Food Đức Việt</v>
      </c>
      <c r="I1935" t="str">
        <f>VLOOKUP(Table8[[#This Row],[Mã khách hàng]],'Khách hàng'!A:E,5,0)</f>
        <v>HN0040</v>
      </c>
    </row>
    <row r="1936" spans="1:9">
      <c r="A1936" s="14" t="s">
        <v>6734</v>
      </c>
      <c r="B1936" s="15" t="s">
        <v>5</v>
      </c>
      <c r="C1936" s="10" t="s">
        <v>6735</v>
      </c>
      <c r="D1936" s="16" t="s">
        <v>6257</v>
      </c>
      <c r="E1936" s="15" t="s">
        <v>11215</v>
      </c>
      <c r="F1936" s="16" t="str">
        <f>VLOOKUP(Table8[[#This Row],[Mã khách hàng]],code_khach_hang[],2,0)</f>
        <v>CHI NHÁNH HÀ NỘI - CÔNG TY CỔ PHẦN DỊCH VỤ THƯƠNG MẠI TỔNG HỢP WINCOMMERCE</v>
      </c>
      <c r="G1936" s="16" t="str">
        <f>VLOOKUP(Table8[[#This Row],[Mã khách hàng]],code_khach_hang[],3,0)</f>
        <v>Miền Bắc đặc biệt 1</v>
      </c>
      <c r="H1936" t="str">
        <f>VLOOKUP(Table8[[#This Row],[Mã khách hàng]],'Khách hàng'!A:D,4,0)</f>
        <v>Food Đức Việt</v>
      </c>
      <c r="I1936" t="str">
        <f>VLOOKUP(Table8[[#This Row],[Mã khách hàng]],'Khách hàng'!A:E,5,0)</f>
        <v>HN0040</v>
      </c>
    </row>
    <row r="1937" spans="1:9">
      <c r="A1937" s="14" t="s">
        <v>6899</v>
      </c>
      <c r="B1937" s="15" t="s">
        <v>5</v>
      </c>
      <c r="C1937" s="10" t="s">
        <v>6900</v>
      </c>
      <c r="D1937" s="16" t="s">
        <v>6260</v>
      </c>
      <c r="E1937" s="15" t="s">
        <v>11215</v>
      </c>
      <c r="F1937" s="16" t="str">
        <f>VLOOKUP(Table8[[#This Row],[Mã khách hàng]],code_khach_hang[],2,0)</f>
        <v>CHI NHÁNH HÀ NỘI - CÔNG TY CỔ PHẦN DỊCH VỤ THƯƠNG MẠI TỔNG HỢP WINCOMMERCE</v>
      </c>
      <c r="G1937" s="16" t="str">
        <f>VLOOKUP(Table8[[#This Row],[Mã khách hàng]],code_khach_hang[],3,0)</f>
        <v>Miền Bắc đặc biệt 1</v>
      </c>
      <c r="H1937" t="str">
        <f>VLOOKUP(Table8[[#This Row],[Mã khách hàng]],'Khách hàng'!A:D,4,0)</f>
        <v>Food Đức Việt</v>
      </c>
      <c r="I1937" t="str">
        <f>VLOOKUP(Table8[[#This Row],[Mã khách hàng]],'Khách hàng'!A:E,5,0)</f>
        <v>HN0040</v>
      </c>
    </row>
    <row r="1938" spans="1:9">
      <c r="A1938" s="14" t="s">
        <v>7083</v>
      </c>
      <c r="B1938" s="15" t="s">
        <v>5</v>
      </c>
      <c r="C1938" s="10" t="s">
        <v>7084</v>
      </c>
      <c r="D1938" s="16" t="s">
        <v>6263</v>
      </c>
      <c r="E1938" s="15" t="s">
        <v>11215</v>
      </c>
      <c r="F1938" s="16" t="str">
        <f>VLOOKUP(Table8[[#This Row],[Mã khách hàng]],code_khach_hang[],2,0)</f>
        <v>CHI NHÁNH HÀ NỘI - CÔNG TY CỔ PHẦN DỊCH VỤ THƯƠNG MẠI TỔNG HỢP WINCOMMERCE</v>
      </c>
      <c r="G1938" s="16" t="str">
        <f>VLOOKUP(Table8[[#This Row],[Mã khách hàng]],code_khach_hang[],3,0)</f>
        <v>Miền Bắc đặc biệt 1</v>
      </c>
      <c r="H1938" t="str">
        <f>VLOOKUP(Table8[[#This Row],[Mã khách hàng]],'Khách hàng'!A:D,4,0)</f>
        <v>Food Đức Việt</v>
      </c>
      <c r="I1938" t="str">
        <f>VLOOKUP(Table8[[#This Row],[Mã khách hàng]],'Khách hàng'!A:E,5,0)</f>
        <v>HN0040</v>
      </c>
    </row>
    <row r="1939" spans="1:9">
      <c r="A1939" s="14" t="s">
        <v>7110</v>
      </c>
      <c r="B1939" s="15" t="s">
        <v>5</v>
      </c>
      <c r="C1939" s="10" t="s">
        <v>7111</v>
      </c>
      <c r="D1939" s="16" t="s">
        <v>6266</v>
      </c>
      <c r="E1939" s="15" t="s">
        <v>11215</v>
      </c>
      <c r="F1939" s="16" t="str">
        <f>VLOOKUP(Table8[[#This Row],[Mã khách hàng]],code_khach_hang[],2,0)</f>
        <v>CHI NHÁNH HÀ NỘI - CÔNG TY CỔ PHẦN DỊCH VỤ THƯƠNG MẠI TỔNG HỢP WINCOMMERCE</v>
      </c>
      <c r="G1939" s="16" t="str">
        <f>VLOOKUP(Table8[[#This Row],[Mã khách hàng]],code_khach_hang[],3,0)</f>
        <v>Miền Bắc đặc biệt 1</v>
      </c>
      <c r="H1939" t="str">
        <f>VLOOKUP(Table8[[#This Row],[Mã khách hàng]],'Khách hàng'!A:D,4,0)</f>
        <v>Food Đức Việt</v>
      </c>
      <c r="I1939" t="str">
        <f>VLOOKUP(Table8[[#This Row],[Mã khách hàng]],'Khách hàng'!A:E,5,0)</f>
        <v>HN0040</v>
      </c>
    </row>
    <row r="1940" spans="1:9">
      <c r="A1940" s="14" t="s">
        <v>7145</v>
      </c>
      <c r="B1940" s="15" t="s">
        <v>5</v>
      </c>
      <c r="C1940" s="10" t="e">
        <v>#N/A</v>
      </c>
      <c r="D1940" s="16" t="s">
        <v>6269</v>
      </c>
      <c r="E1940" s="15" t="s">
        <v>11215</v>
      </c>
      <c r="F1940" s="16" t="str">
        <f>VLOOKUP(Table8[[#This Row],[Mã khách hàng]],code_khach_hang[],2,0)</f>
        <v>CHI NHÁNH HÀ NỘI - CÔNG TY CỔ PHẦN DỊCH VỤ THƯƠNG MẠI TỔNG HỢP WINCOMMERCE</v>
      </c>
      <c r="G1940" s="16" t="str">
        <f>VLOOKUP(Table8[[#This Row],[Mã khách hàng]],code_khach_hang[],3,0)</f>
        <v>Miền Bắc đặc biệt 1</v>
      </c>
      <c r="H1940" t="str">
        <f>VLOOKUP(Table8[[#This Row],[Mã khách hàng]],'Khách hàng'!A:D,4,0)</f>
        <v>Food Đức Việt</v>
      </c>
      <c r="I1940" t="str">
        <f>VLOOKUP(Table8[[#This Row],[Mã khách hàng]],'Khách hàng'!A:E,5,0)</f>
        <v>HN0040</v>
      </c>
    </row>
    <row r="1941" spans="1:9">
      <c r="A1941" s="14" t="s">
        <v>7177</v>
      </c>
      <c r="B1941" s="15" t="s">
        <v>5</v>
      </c>
      <c r="C1941" s="10" t="s">
        <v>7178</v>
      </c>
      <c r="D1941" s="16" t="s">
        <v>6272</v>
      </c>
      <c r="E1941" s="15" t="s">
        <v>11215</v>
      </c>
      <c r="F1941" s="16" t="str">
        <f>VLOOKUP(Table8[[#This Row],[Mã khách hàng]],code_khach_hang[],2,0)</f>
        <v>CHI NHÁNH HÀ NỘI - CÔNG TY CỔ PHẦN DỊCH VỤ THƯƠNG MẠI TỔNG HỢP WINCOMMERCE</v>
      </c>
      <c r="G1941" s="16" t="str">
        <f>VLOOKUP(Table8[[#This Row],[Mã khách hàng]],code_khach_hang[],3,0)</f>
        <v>Miền Bắc đặc biệt 1</v>
      </c>
      <c r="H1941" t="str">
        <f>VLOOKUP(Table8[[#This Row],[Mã khách hàng]],'Khách hàng'!A:D,4,0)</f>
        <v>Food Đức Việt</v>
      </c>
      <c r="I1941" t="str">
        <f>VLOOKUP(Table8[[#This Row],[Mã khách hàng]],'Khách hàng'!A:E,5,0)</f>
        <v>HN0040</v>
      </c>
    </row>
    <row r="1942" spans="1:9">
      <c r="A1942" s="14" t="s">
        <v>7185</v>
      </c>
      <c r="B1942" s="15" t="s">
        <v>5</v>
      </c>
      <c r="C1942" s="10" t="s">
        <v>7186</v>
      </c>
      <c r="D1942" s="16" t="s">
        <v>6275</v>
      </c>
      <c r="E1942" s="15" t="s">
        <v>11215</v>
      </c>
      <c r="F1942" s="16" t="str">
        <f>VLOOKUP(Table8[[#This Row],[Mã khách hàng]],code_khach_hang[],2,0)</f>
        <v>CHI NHÁNH HÀ NỘI - CÔNG TY CỔ PHẦN DỊCH VỤ THƯƠNG MẠI TỔNG HỢP WINCOMMERCE</v>
      </c>
      <c r="G1942" s="16" t="str">
        <f>VLOOKUP(Table8[[#This Row],[Mã khách hàng]],code_khach_hang[],3,0)</f>
        <v>Miền Bắc đặc biệt 1</v>
      </c>
      <c r="H1942" t="str">
        <f>VLOOKUP(Table8[[#This Row],[Mã khách hàng]],'Khách hàng'!A:D,4,0)</f>
        <v>Food Đức Việt</v>
      </c>
      <c r="I1942" t="str">
        <f>VLOOKUP(Table8[[#This Row],[Mã khách hàng]],'Khách hàng'!A:E,5,0)</f>
        <v>HN0040</v>
      </c>
    </row>
    <row r="1943" spans="1:9">
      <c r="A1943" s="14" t="s">
        <v>7199</v>
      </c>
      <c r="B1943" s="15" t="s">
        <v>5</v>
      </c>
      <c r="C1943" s="10" t="s">
        <v>7200</v>
      </c>
      <c r="D1943" s="16" t="s">
        <v>6278</v>
      </c>
      <c r="E1943" s="15" t="s">
        <v>11215</v>
      </c>
      <c r="F1943" s="16" t="str">
        <f>VLOOKUP(Table8[[#This Row],[Mã khách hàng]],code_khach_hang[],2,0)</f>
        <v>CHI NHÁNH HÀ NỘI - CÔNG TY CỔ PHẦN DỊCH VỤ THƯƠNG MẠI TỔNG HỢP WINCOMMERCE</v>
      </c>
      <c r="G1943" s="16" t="str">
        <f>VLOOKUP(Table8[[#This Row],[Mã khách hàng]],code_khach_hang[],3,0)</f>
        <v>Miền Bắc đặc biệt 1</v>
      </c>
      <c r="H1943" t="str">
        <f>VLOOKUP(Table8[[#This Row],[Mã khách hàng]],'Khách hàng'!A:D,4,0)</f>
        <v>Food Đức Việt</v>
      </c>
      <c r="I1943" t="str">
        <f>VLOOKUP(Table8[[#This Row],[Mã khách hàng]],'Khách hàng'!A:E,5,0)</f>
        <v>HN0040</v>
      </c>
    </row>
    <row r="1944" spans="1:9">
      <c r="A1944" s="14" t="s">
        <v>7219</v>
      </c>
      <c r="B1944" s="15" t="s">
        <v>5</v>
      </c>
      <c r="C1944" s="10" t="s">
        <v>7220</v>
      </c>
      <c r="D1944" s="16" t="s">
        <v>6281</v>
      </c>
      <c r="E1944" s="15" t="s">
        <v>11215</v>
      </c>
      <c r="F1944" s="16" t="str">
        <f>VLOOKUP(Table8[[#This Row],[Mã khách hàng]],code_khach_hang[],2,0)</f>
        <v>CHI NHÁNH HÀ NỘI - CÔNG TY CỔ PHẦN DỊCH VỤ THƯƠNG MẠI TỔNG HỢP WINCOMMERCE</v>
      </c>
      <c r="G1944" s="16" t="str">
        <f>VLOOKUP(Table8[[#This Row],[Mã khách hàng]],code_khach_hang[],3,0)</f>
        <v>Miền Bắc đặc biệt 1</v>
      </c>
      <c r="H1944" t="str">
        <f>VLOOKUP(Table8[[#This Row],[Mã khách hàng]],'Khách hàng'!A:D,4,0)</f>
        <v>Food Đức Việt</v>
      </c>
      <c r="I1944" t="str">
        <f>VLOOKUP(Table8[[#This Row],[Mã khách hàng]],'Khách hàng'!A:E,5,0)</f>
        <v>HN0040</v>
      </c>
    </row>
    <row r="1945" spans="1:9">
      <c r="A1945" s="14" t="s">
        <v>7225</v>
      </c>
      <c r="B1945" s="15" t="s">
        <v>5</v>
      </c>
      <c r="C1945" s="10" t="s">
        <v>7226</v>
      </c>
      <c r="D1945" s="16" t="s">
        <v>6284</v>
      </c>
      <c r="E1945" s="15" t="s">
        <v>11215</v>
      </c>
      <c r="F1945" s="16" t="str">
        <f>VLOOKUP(Table8[[#This Row],[Mã khách hàng]],code_khach_hang[],2,0)</f>
        <v>CHI NHÁNH HÀ NỘI - CÔNG TY CỔ PHẦN DỊCH VỤ THƯƠNG MẠI TỔNG HỢP WINCOMMERCE</v>
      </c>
      <c r="G1945" s="16" t="str">
        <f>VLOOKUP(Table8[[#This Row],[Mã khách hàng]],code_khach_hang[],3,0)</f>
        <v>Miền Bắc đặc biệt 1</v>
      </c>
      <c r="H1945" t="str">
        <f>VLOOKUP(Table8[[#This Row],[Mã khách hàng]],'Khách hàng'!A:D,4,0)</f>
        <v>Food Đức Việt</v>
      </c>
      <c r="I1945" t="str">
        <f>VLOOKUP(Table8[[#This Row],[Mã khách hàng]],'Khách hàng'!A:E,5,0)</f>
        <v>HN0040</v>
      </c>
    </row>
    <row r="1946" spans="1:9">
      <c r="A1946" s="14" t="s">
        <v>7318</v>
      </c>
      <c r="B1946" s="15" t="s">
        <v>5</v>
      </c>
      <c r="C1946" s="10" t="s">
        <v>7319</v>
      </c>
      <c r="D1946" s="16" t="s">
        <v>6287</v>
      </c>
      <c r="E1946" s="15" t="s">
        <v>11215</v>
      </c>
      <c r="F1946" s="16" t="str">
        <f>VLOOKUP(Table8[[#This Row],[Mã khách hàng]],code_khach_hang[],2,0)</f>
        <v>CHI NHÁNH HÀ NỘI - CÔNG TY CỔ PHẦN DỊCH VỤ THƯƠNG MẠI TỔNG HỢP WINCOMMERCE</v>
      </c>
      <c r="G1946" s="16" t="str">
        <f>VLOOKUP(Table8[[#This Row],[Mã khách hàng]],code_khach_hang[],3,0)</f>
        <v>Miền Bắc đặc biệt 1</v>
      </c>
      <c r="H1946" t="str">
        <f>VLOOKUP(Table8[[#This Row],[Mã khách hàng]],'Khách hàng'!A:D,4,0)</f>
        <v>Food Đức Việt</v>
      </c>
      <c r="I1946" t="str">
        <f>VLOOKUP(Table8[[#This Row],[Mã khách hàng]],'Khách hàng'!A:E,5,0)</f>
        <v>HN0040</v>
      </c>
    </row>
    <row r="1947" spans="1:9">
      <c r="A1947" s="14" t="s">
        <v>7544</v>
      </c>
      <c r="B1947" s="15" t="s">
        <v>5</v>
      </c>
      <c r="C1947" s="10" t="s">
        <v>7545</v>
      </c>
      <c r="D1947" s="16" t="s">
        <v>6290</v>
      </c>
      <c r="E1947" s="15" t="s">
        <v>11215</v>
      </c>
      <c r="F1947" s="16" t="str">
        <f>VLOOKUP(Table8[[#This Row],[Mã khách hàng]],code_khach_hang[],2,0)</f>
        <v>CHI NHÁNH HÀ NỘI - CÔNG TY CỔ PHẦN DỊCH VỤ THƯƠNG MẠI TỔNG HỢP WINCOMMERCE</v>
      </c>
      <c r="G1947" s="16" t="str">
        <f>VLOOKUP(Table8[[#This Row],[Mã khách hàng]],code_khach_hang[],3,0)</f>
        <v>Miền Bắc đặc biệt 1</v>
      </c>
      <c r="H1947" t="str">
        <f>VLOOKUP(Table8[[#This Row],[Mã khách hàng]],'Khách hàng'!A:D,4,0)</f>
        <v>Food Đức Việt</v>
      </c>
      <c r="I1947" t="str">
        <f>VLOOKUP(Table8[[#This Row],[Mã khách hàng]],'Khách hàng'!A:E,5,0)</f>
        <v>HN0040</v>
      </c>
    </row>
    <row r="1948" spans="1:9">
      <c r="A1948" s="14" t="s">
        <v>7577</v>
      </c>
      <c r="B1948" s="15" t="s">
        <v>5</v>
      </c>
      <c r="C1948" s="10" t="s">
        <v>7578</v>
      </c>
      <c r="D1948" s="16" t="s">
        <v>6293</v>
      </c>
      <c r="E1948" s="15" t="s">
        <v>11215</v>
      </c>
      <c r="F1948" s="16" t="str">
        <f>VLOOKUP(Table8[[#This Row],[Mã khách hàng]],code_khach_hang[],2,0)</f>
        <v>CHI NHÁNH HÀ NỘI - CÔNG TY CỔ PHẦN DỊCH VỤ THƯƠNG MẠI TỔNG HỢP WINCOMMERCE</v>
      </c>
      <c r="G1948" s="16" t="str">
        <f>VLOOKUP(Table8[[#This Row],[Mã khách hàng]],code_khach_hang[],3,0)</f>
        <v>Miền Bắc đặc biệt 1</v>
      </c>
      <c r="H1948" t="str">
        <f>VLOOKUP(Table8[[#This Row],[Mã khách hàng]],'Khách hàng'!A:D,4,0)</f>
        <v>Food Đức Việt</v>
      </c>
      <c r="I1948" t="str">
        <f>VLOOKUP(Table8[[#This Row],[Mã khách hàng]],'Khách hàng'!A:E,5,0)</f>
        <v>HN0040</v>
      </c>
    </row>
    <row r="1949" spans="1:9">
      <c r="A1949" s="14" t="s">
        <v>7610</v>
      </c>
      <c r="B1949" s="15" t="s">
        <v>5</v>
      </c>
      <c r="C1949" s="10" t="s">
        <v>7611</v>
      </c>
      <c r="D1949" s="16" t="s">
        <v>6296</v>
      </c>
      <c r="E1949" s="15" t="s">
        <v>11215</v>
      </c>
      <c r="F1949" s="16" t="str">
        <f>VLOOKUP(Table8[[#This Row],[Mã khách hàng]],code_khach_hang[],2,0)</f>
        <v>CHI NHÁNH HÀ NỘI - CÔNG TY CỔ PHẦN DỊCH VỤ THƯƠNG MẠI TỔNG HỢP WINCOMMERCE</v>
      </c>
      <c r="G1949" s="16" t="str">
        <f>VLOOKUP(Table8[[#This Row],[Mã khách hàng]],code_khach_hang[],3,0)</f>
        <v>Miền Bắc đặc biệt 1</v>
      </c>
      <c r="H1949" t="str">
        <f>VLOOKUP(Table8[[#This Row],[Mã khách hàng]],'Khách hàng'!A:D,4,0)</f>
        <v>Food Đức Việt</v>
      </c>
      <c r="I1949" t="str">
        <f>VLOOKUP(Table8[[#This Row],[Mã khách hàng]],'Khách hàng'!A:E,5,0)</f>
        <v>HN0040</v>
      </c>
    </row>
    <row r="1950" spans="1:9">
      <c r="A1950" s="14" t="s">
        <v>7858</v>
      </c>
      <c r="B1950" s="15" t="s">
        <v>5</v>
      </c>
      <c r="C1950" s="10" t="s">
        <v>7859</v>
      </c>
      <c r="D1950" s="16" t="s">
        <v>6299</v>
      </c>
      <c r="E1950" s="15" t="s">
        <v>11215</v>
      </c>
      <c r="F1950" s="16" t="str">
        <f>VLOOKUP(Table8[[#This Row],[Mã khách hàng]],code_khach_hang[],2,0)</f>
        <v>CHI NHÁNH HÀ NỘI - CÔNG TY CỔ PHẦN DỊCH VỤ THƯƠNG MẠI TỔNG HỢP WINCOMMERCE</v>
      </c>
      <c r="G1950" s="16" t="str">
        <f>VLOOKUP(Table8[[#This Row],[Mã khách hàng]],code_khach_hang[],3,0)</f>
        <v>Miền Bắc đặc biệt 1</v>
      </c>
      <c r="H1950" t="str">
        <f>VLOOKUP(Table8[[#This Row],[Mã khách hàng]],'Khách hàng'!A:D,4,0)</f>
        <v>Food Đức Việt</v>
      </c>
      <c r="I1950" t="str">
        <f>VLOOKUP(Table8[[#This Row],[Mã khách hàng]],'Khách hàng'!A:E,5,0)</f>
        <v>HN0040</v>
      </c>
    </row>
    <row r="1951" spans="1:9">
      <c r="A1951" s="14" t="s">
        <v>5220</v>
      </c>
      <c r="B1951" s="15" t="s">
        <v>5</v>
      </c>
      <c r="C1951" s="10" t="s">
        <v>5221</v>
      </c>
      <c r="D1951" s="16" t="s">
        <v>6302</v>
      </c>
      <c r="E1951" s="15" t="s">
        <v>11215</v>
      </c>
      <c r="F1951" s="16" t="str">
        <f>VLOOKUP(Table8[[#This Row],[Mã khách hàng]],code_khach_hang[],2,0)</f>
        <v>CHI NHÁNH HÀ NỘI - CÔNG TY CỔ PHẦN DỊCH VỤ THƯƠNG MẠI TỔNG HỢP WINCOMMERCE</v>
      </c>
      <c r="G1951" s="16" t="str">
        <f>VLOOKUP(Table8[[#This Row],[Mã khách hàng]],code_khach_hang[],3,0)</f>
        <v>Miền Bắc đặc biệt 1</v>
      </c>
      <c r="H1951" t="str">
        <f>VLOOKUP(Table8[[#This Row],[Mã khách hàng]],'Khách hàng'!A:D,4,0)</f>
        <v>Food Đức Việt</v>
      </c>
      <c r="I1951" t="str">
        <f>VLOOKUP(Table8[[#This Row],[Mã khách hàng]],'Khách hàng'!A:E,5,0)</f>
        <v>HN0040</v>
      </c>
    </row>
    <row r="1952" spans="1:9">
      <c r="A1952" s="14" t="s">
        <v>5223</v>
      </c>
      <c r="B1952" s="15" t="s">
        <v>5</v>
      </c>
      <c r="C1952" s="10" t="s">
        <v>5224</v>
      </c>
      <c r="D1952" s="16" t="s">
        <v>6305</v>
      </c>
      <c r="E1952" s="15" t="s">
        <v>11215</v>
      </c>
      <c r="F1952" s="16" t="str">
        <f>VLOOKUP(Table8[[#This Row],[Mã khách hàng]],code_khach_hang[],2,0)</f>
        <v>CHI NHÁNH HÀ NỘI - CÔNG TY CỔ PHẦN DỊCH VỤ THƯƠNG MẠI TỔNG HỢP WINCOMMERCE</v>
      </c>
      <c r="G1952" s="16" t="str">
        <f>VLOOKUP(Table8[[#This Row],[Mã khách hàng]],code_khach_hang[],3,0)</f>
        <v>Miền Bắc đặc biệt 1</v>
      </c>
      <c r="H1952" t="str">
        <f>VLOOKUP(Table8[[#This Row],[Mã khách hàng]],'Khách hàng'!A:D,4,0)</f>
        <v>Food Đức Việt</v>
      </c>
      <c r="I1952" t="str">
        <f>VLOOKUP(Table8[[#This Row],[Mã khách hàng]],'Khách hàng'!A:E,5,0)</f>
        <v>HN0040</v>
      </c>
    </row>
    <row r="1953" spans="1:9">
      <c r="A1953" s="14" t="s">
        <v>5259</v>
      </c>
      <c r="B1953" s="15" t="s">
        <v>5</v>
      </c>
      <c r="C1953" s="10" t="s">
        <v>5260</v>
      </c>
      <c r="D1953" s="16" t="s">
        <v>6308</v>
      </c>
      <c r="E1953" s="15" t="s">
        <v>11215</v>
      </c>
      <c r="F1953" s="16" t="str">
        <f>VLOOKUP(Table8[[#This Row],[Mã khách hàng]],code_khach_hang[],2,0)</f>
        <v>CHI NHÁNH HÀ NỘI - CÔNG TY CỔ PHẦN DỊCH VỤ THƯƠNG MẠI TỔNG HỢP WINCOMMERCE</v>
      </c>
      <c r="G1953" s="16" t="str">
        <f>VLOOKUP(Table8[[#This Row],[Mã khách hàng]],code_khach_hang[],3,0)</f>
        <v>Miền Bắc đặc biệt 1</v>
      </c>
      <c r="H1953" t="str">
        <f>VLOOKUP(Table8[[#This Row],[Mã khách hàng]],'Khách hàng'!A:D,4,0)</f>
        <v>Food Đức Việt</v>
      </c>
      <c r="I1953" t="str">
        <f>VLOOKUP(Table8[[#This Row],[Mã khách hàng]],'Khách hàng'!A:E,5,0)</f>
        <v>HN0040</v>
      </c>
    </row>
    <row r="1954" spans="1:9">
      <c r="A1954" s="14" t="s">
        <v>5268</v>
      </c>
      <c r="B1954" s="15" t="s">
        <v>5</v>
      </c>
      <c r="C1954" s="10" t="s">
        <v>5269</v>
      </c>
      <c r="D1954" s="16" t="s">
        <v>6311</v>
      </c>
      <c r="E1954" s="15" t="s">
        <v>11215</v>
      </c>
      <c r="F1954" s="16" t="str">
        <f>VLOOKUP(Table8[[#This Row],[Mã khách hàng]],code_khach_hang[],2,0)</f>
        <v>CHI NHÁNH HÀ NỘI - CÔNG TY CỔ PHẦN DỊCH VỤ THƯƠNG MẠI TỔNG HỢP WINCOMMERCE</v>
      </c>
      <c r="G1954" s="16" t="str">
        <f>VLOOKUP(Table8[[#This Row],[Mã khách hàng]],code_khach_hang[],3,0)</f>
        <v>Miền Bắc đặc biệt 1</v>
      </c>
      <c r="H1954" t="str">
        <f>VLOOKUP(Table8[[#This Row],[Mã khách hàng]],'Khách hàng'!A:D,4,0)</f>
        <v>Food Đức Việt</v>
      </c>
      <c r="I1954" t="str">
        <f>VLOOKUP(Table8[[#This Row],[Mã khách hàng]],'Khách hàng'!A:E,5,0)</f>
        <v>HN0040</v>
      </c>
    </row>
    <row r="1955" spans="1:9">
      <c r="A1955" s="14" t="s">
        <v>5304</v>
      </c>
      <c r="B1955" s="15" t="s">
        <v>5</v>
      </c>
      <c r="C1955" s="10" t="s">
        <v>5305</v>
      </c>
      <c r="D1955" s="16" t="s">
        <v>6314</v>
      </c>
      <c r="E1955" s="15" t="s">
        <v>11215</v>
      </c>
      <c r="F1955" s="16" t="str">
        <f>VLOOKUP(Table8[[#This Row],[Mã khách hàng]],code_khach_hang[],2,0)</f>
        <v>CHI NHÁNH HÀ NỘI - CÔNG TY CỔ PHẦN DỊCH VỤ THƯƠNG MẠI TỔNG HỢP WINCOMMERCE</v>
      </c>
      <c r="G1955" s="16" t="str">
        <f>VLOOKUP(Table8[[#This Row],[Mã khách hàng]],code_khach_hang[],3,0)</f>
        <v>Miền Bắc đặc biệt 1</v>
      </c>
      <c r="H1955" t="str">
        <f>VLOOKUP(Table8[[#This Row],[Mã khách hàng]],'Khách hàng'!A:D,4,0)</f>
        <v>Food Đức Việt</v>
      </c>
      <c r="I1955" t="str">
        <f>VLOOKUP(Table8[[#This Row],[Mã khách hàng]],'Khách hàng'!A:E,5,0)</f>
        <v>HN0040</v>
      </c>
    </row>
    <row r="1956" spans="1:9">
      <c r="A1956" s="14" t="s">
        <v>5361</v>
      </c>
      <c r="B1956" s="15" t="s">
        <v>5</v>
      </c>
      <c r="C1956" s="10" t="s">
        <v>5362</v>
      </c>
      <c r="D1956" s="16" t="s">
        <v>6317</v>
      </c>
      <c r="E1956" s="15" t="s">
        <v>11215</v>
      </c>
      <c r="F1956" s="16" t="str">
        <f>VLOOKUP(Table8[[#This Row],[Mã khách hàng]],code_khach_hang[],2,0)</f>
        <v>CHI NHÁNH HÀ NỘI - CÔNG TY CỔ PHẦN DỊCH VỤ THƯƠNG MẠI TỔNG HỢP WINCOMMERCE</v>
      </c>
      <c r="G1956" s="16" t="str">
        <f>VLOOKUP(Table8[[#This Row],[Mã khách hàng]],code_khach_hang[],3,0)</f>
        <v>Miền Bắc đặc biệt 1</v>
      </c>
      <c r="H1956" t="str">
        <f>VLOOKUP(Table8[[#This Row],[Mã khách hàng]],'Khách hàng'!A:D,4,0)</f>
        <v>Food Đức Việt</v>
      </c>
      <c r="I1956" t="str">
        <f>VLOOKUP(Table8[[#This Row],[Mã khách hàng]],'Khách hàng'!A:E,5,0)</f>
        <v>HN0040</v>
      </c>
    </row>
    <row r="1957" spans="1:9">
      <c r="A1957" s="14" t="s">
        <v>5421</v>
      </c>
      <c r="B1957" s="15" t="s">
        <v>5</v>
      </c>
      <c r="C1957" s="10" t="s">
        <v>5422</v>
      </c>
      <c r="D1957" s="16" t="s">
        <v>6320</v>
      </c>
      <c r="E1957" s="15" t="s">
        <v>11215</v>
      </c>
      <c r="F1957" s="16" t="str">
        <f>VLOOKUP(Table8[[#This Row],[Mã khách hàng]],code_khach_hang[],2,0)</f>
        <v>CHI NHÁNH HÀ NỘI - CÔNG TY CỔ PHẦN DỊCH VỤ THƯƠNG MẠI TỔNG HỢP WINCOMMERCE</v>
      </c>
      <c r="G1957" s="16" t="str">
        <f>VLOOKUP(Table8[[#This Row],[Mã khách hàng]],code_khach_hang[],3,0)</f>
        <v>Miền Bắc đặc biệt 1</v>
      </c>
      <c r="H1957" t="str">
        <f>VLOOKUP(Table8[[#This Row],[Mã khách hàng]],'Khách hàng'!A:D,4,0)</f>
        <v>Food Đức Việt</v>
      </c>
      <c r="I1957" t="str">
        <f>VLOOKUP(Table8[[#This Row],[Mã khách hàng]],'Khách hàng'!A:E,5,0)</f>
        <v>HN0040</v>
      </c>
    </row>
    <row r="1958" spans="1:9">
      <c r="A1958" s="14" t="s">
        <v>5532</v>
      </c>
      <c r="B1958" s="15" t="s">
        <v>5</v>
      </c>
      <c r="C1958" s="10" t="s">
        <v>5533</v>
      </c>
      <c r="D1958" s="16" t="s">
        <v>6323</v>
      </c>
      <c r="E1958" s="15" t="s">
        <v>11215</v>
      </c>
      <c r="F1958" s="16" t="str">
        <f>VLOOKUP(Table8[[#This Row],[Mã khách hàng]],code_khach_hang[],2,0)</f>
        <v>CHI NHÁNH HÀ NỘI - CÔNG TY CỔ PHẦN DỊCH VỤ THƯƠNG MẠI TỔNG HỢP WINCOMMERCE</v>
      </c>
      <c r="G1958" s="16" t="str">
        <f>VLOOKUP(Table8[[#This Row],[Mã khách hàng]],code_khach_hang[],3,0)</f>
        <v>Miền Bắc đặc biệt 1</v>
      </c>
      <c r="H1958" t="str">
        <f>VLOOKUP(Table8[[#This Row],[Mã khách hàng]],'Khách hàng'!A:D,4,0)</f>
        <v>Food Đức Việt</v>
      </c>
      <c r="I1958" t="str">
        <f>VLOOKUP(Table8[[#This Row],[Mã khách hàng]],'Khách hàng'!A:E,5,0)</f>
        <v>HN0040</v>
      </c>
    </row>
    <row r="1959" spans="1:9">
      <c r="A1959" s="14" t="s">
        <v>5638</v>
      </c>
      <c r="B1959" s="15" t="s">
        <v>5</v>
      </c>
      <c r="C1959" s="10" t="s">
        <v>5639</v>
      </c>
      <c r="D1959" s="16" t="s">
        <v>6326</v>
      </c>
      <c r="E1959" s="15" t="s">
        <v>11215</v>
      </c>
      <c r="F1959" s="16" t="str">
        <f>VLOOKUP(Table8[[#This Row],[Mã khách hàng]],code_khach_hang[],2,0)</f>
        <v>CHI NHÁNH HÀ NỘI - CÔNG TY CỔ PHẦN DỊCH VỤ THƯƠNG MẠI TỔNG HỢP WINCOMMERCE</v>
      </c>
      <c r="G1959" s="16" t="str">
        <f>VLOOKUP(Table8[[#This Row],[Mã khách hàng]],code_khach_hang[],3,0)</f>
        <v>Miền Bắc đặc biệt 1</v>
      </c>
      <c r="H1959" t="str">
        <f>VLOOKUP(Table8[[#This Row],[Mã khách hàng]],'Khách hàng'!A:D,4,0)</f>
        <v>Food Đức Việt</v>
      </c>
      <c r="I1959" t="str">
        <f>VLOOKUP(Table8[[#This Row],[Mã khách hàng]],'Khách hàng'!A:E,5,0)</f>
        <v>HN0040</v>
      </c>
    </row>
    <row r="1960" spans="1:9">
      <c r="A1960" s="14" t="s">
        <v>5795</v>
      </c>
      <c r="B1960" s="15" t="s">
        <v>5</v>
      </c>
      <c r="C1960" s="10" t="s">
        <v>5796</v>
      </c>
      <c r="D1960" s="16" t="s">
        <v>6329</v>
      </c>
      <c r="E1960" s="15" t="s">
        <v>11215</v>
      </c>
      <c r="F1960" s="16" t="str">
        <f>VLOOKUP(Table8[[#This Row],[Mã khách hàng]],code_khach_hang[],2,0)</f>
        <v>CHI NHÁNH HÀ NỘI - CÔNG TY CỔ PHẦN DỊCH VỤ THƯƠNG MẠI TỔNG HỢP WINCOMMERCE</v>
      </c>
      <c r="G1960" s="16" t="str">
        <f>VLOOKUP(Table8[[#This Row],[Mã khách hàng]],code_khach_hang[],3,0)</f>
        <v>Miền Bắc đặc biệt 1</v>
      </c>
      <c r="H1960" t="str">
        <f>VLOOKUP(Table8[[#This Row],[Mã khách hàng]],'Khách hàng'!A:D,4,0)</f>
        <v>Food Đức Việt</v>
      </c>
      <c r="I1960" t="str">
        <f>VLOOKUP(Table8[[#This Row],[Mã khách hàng]],'Khách hàng'!A:E,5,0)</f>
        <v>HN0040</v>
      </c>
    </row>
    <row r="1961" spans="1:9">
      <c r="A1961" s="14" t="s">
        <v>8254</v>
      </c>
      <c r="B1961" s="15" t="s">
        <v>5</v>
      </c>
      <c r="C1961" s="10" t="s">
        <v>8255</v>
      </c>
      <c r="D1961" s="16" t="s">
        <v>6332</v>
      </c>
      <c r="E1961" s="15" t="s">
        <v>11215</v>
      </c>
      <c r="F1961" s="16" t="str">
        <f>VLOOKUP(Table8[[#This Row],[Mã khách hàng]],code_khach_hang[],2,0)</f>
        <v>CHI NHÁNH HÀ NỘI - CÔNG TY CỔ PHẦN DỊCH VỤ THƯƠNG MẠI TỔNG HỢP WINCOMMERCE</v>
      </c>
      <c r="G1961" s="16" t="str">
        <f>VLOOKUP(Table8[[#This Row],[Mã khách hàng]],code_khach_hang[],3,0)</f>
        <v>Miền Bắc đặc biệt 1</v>
      </c>
      <c r="H1961" t="str">
        <f>VLOOKUP(Table8[[#This Row],[Mã khách hàng]],'Khách hàng'!A:D,4,0)</f>
        <v>Food Đức Việt</v>
      </c>
      <c r="I1961" t="str">
        <f>VLOOKUP(Table8[[#This Row],[Mã khách hàng]],'Khách hàng'!A:E,5,0)</f>
        <v>HN0040</v>
      </c>
    </row>
    <row r="1962" spans="1:9">
      <c r="A1962" s="14" t="s">
        <v>8361</v>
      </c>
      <c r="B1962" s="15" t="s">
        <v>5</v>
      </c>
      <c r="C1962" s="10" t="s">
        <v>8362</v>
      </c>
      <c r="D1962" s="16" t="s">
        <v>6335</v>
      </c>
      <c r="E1962" s="15" t="s">
        <v>11215</v>
      </c>
      <c r="F1962" s="16" t="str">
        <f>VLOOKUP(Table8[[#This Row],[Mã khách hàng]],code_khach_hang[],2,0)</f>
        <v>CHI NHÁNH HÀ NỘI - CÔNG TY CỔ PHẦN DỊCH VỤ THƯƠNG MẠI TỔNG HỢP WINCOMMERCE</v>
      </c>
      <c r="G1962" s="16" t="str">
        <f>VLOOKUP(Table8[[#This Row],[Mã khách hàng]],code_khach_hang[],3,0)</f>
        <v>Miền Bắc đặc biệt 1</v>
      </c>
      <c r="H1962" t="str">
        <f>VLOOKUP(Table8[[#This Row],[Mã khách hàng]],'Khách hàng'!A:D,4,0)</f>
        <v>Food Đức Việt</v>
      </c>
      <c r="I1962" t="str">
        <f>VLOOKUP(Table8[[#This Row],[Mã khách hàng]],'Khách hàng'!A:E,5,0)</f>
        <v>HN0040</v>
      </c>
    </row>
    <row r="1963" spans="1:9">
      <c r="A1963" s="14" t="s">
        <v>8316</v>
      </c>
      <c r="B1963" s="15" t="s">
        <v>5</v>
      </c>
      <c r="C1963" s="10" t="s">
        <v>8317</v>
      </c>
      <c r="D1963" s="16" t="s">
        <v>6338</v>
      </c>
      <c r="E1963" s="15" t="s">
        <v>11215</v>
      </c>
      <c r="F1963" s="16" t="str">
        <f>VLOOKUP(Table8[[#This Row],[Mã khách hàng]],code_khach_hang[],2,0)</f>
        <v>CHI NHÁNH HÀ NỘI - CÔNG TY CỔ PHẦN DỊCH VỤ THƯƠNG MẠI TỔNG HỢP WINCOMMERCE</v>
      </c>
      <c r="G1963" s="16" t="str">
        <f>VLOOKUP(Table8[[#This Row],[Mã khách hàng]],code_khach_hang[],3,0)</f>
        <v>Miền Bắc đặc biệt 1</v>
      </c>
      <c r="H1963" t="str">
        <f>VLOOKUP(Table8[[#This Row],[Mã khách hàng]],'Khách hàng'!A:D,4,0)</f>
        <v>Food Đức Việt</v>
      </c>
      <c r="I1963" t="str">
        <f>VLOOKUP(Table8[[#This Row],[Mã khách hàng]],'Khách hàng'!A:E,5,0)</f>
        <v>HN0040</v>
      </c>
    </row>
    <row r="1964" spans="1:9">
      <c r="A1964" s="14" t="s">
        <v>8483</v>
      </c>
      <c r="B1964" s="15" t="s">
        <v>5</v>
      </c>
      <c r="C1964" s="10" t="s">
        <v>8484</v>
      </c>
      <c r="D1964" s="16" t="s">
        <v>6341</v>
      </c>
      <c r="E1964" s="15" t="s">
        <v>11215</v>
      </c>
      <c r="F1964" s="16" t="str">
        <f>VLOOKUP(Table8[[#This Row],[Mã khách hàng]],code_khach_hang[],2,0)</f>
        <v>CHI NHÁNH HÀ NỘI - CÔNG TY CỔ PHẦN DỊCH VỤ THƯƠNG MẠI TỔNG HỢP WINCOMMERCE</v>
      </c>
      <c r="G1964" s="16" t="str">
        <f>VLOOKUP(Table8[[#This Row],[Mã khách hàng]],code_khach_hang[],3,0)</f>
        <v>Miền Bắc đặc biệt 1</v>
      </c>
      <c r="H1964" t="str">
        <f>VLOOKUP(Table8[[#This Row],[Mã khách hàng]],'Khách hàng'!A:D,4,0)</f>
        <v>Food Đức Việt</v>
      </c>
      <c r="I1964" t="str">
        <f>VLOOKUP(Table8[[#This Row],[Mã khách hàng]],'Khách hàng'!A:E,5,0)</f>
        <v>HN0040</v>
      </c>
    </row>
    <row r="1965" spans="1:9">
      <c r="A1965" s="14" t="s">
        <v>8512</v>
      </c>
      <c r="B1965" s="15" t="s">
        <v>5</v>
      </c>
      <c r="C1965" s="10" t="s">
        <v>8513</v>
      </c>
      <c r="D1965" s="16" t="s">
        <v>6344</v>
      </c>
      <c r="E1965" s="15" t="s">
        <v>11215</v>
      </c>
      <c r="F1965" s="16" t="str">
        <f>VLOOKUP(Table8[[#This Row],[Mã khách hàng]],code_khach_hang[],2,0)</f>
        <v>CHI NHÁNH HÀ NỘI - CÔNG TY CỔ PHẦN DỊCH VỤ THƯƠNG MẠI TỔNG HỢP WINCOMMERCE</v>
      </c>
      <c r="G1965" s="16" t="str">
        <f>VLOOKUP(Table8[[#This Row],[Mã khách hàng]],code_khach_hang[],3,0)</f>
        <v>Miền Bắc đặc biệt 1</v>
      </c>
      <c r="H1965" t="str">
        <f>VLOOKUP(Table8[[#This Row],[Mã khách hàng]],'Khách hàng'!A:D,4,0)</f>
        <v>Food Đức Việt</v>
      </c>
      <c r="I1965" t="str">
        <f>VLOOKUP(Table8[[#This Row],[Mã khách hàng]],'Khách hàng'!A:E,5,0)</f>
        <v>HN0040</v>
      </c>
    </row>
    <row r="1966" spans="1:9">
      <c r="A1966" s="14" t="s">
        <v>8636</v>
      </c>
      <c r="B1966" s="15" t="s">
        <v>5</v>
      </c>
      <c r="C1966" s="10" t="s">
        <v>8637</v>
      </c>
      <c r="D1966" s="16" t="s">
        <v>6347</v>
      </c>
      <c r="E1966" s="15" t="s">
        <v>11215</v>
      </c>
      <c r="F1966" s="16" t="str">
        <f>VLOOKUP(Table8[[#This Row],[Mã khách hàng]],code_khach_hang[],2,0)</f>
        <v>CHI NHÁNH HÀ NỘI - CÔNG TY CỔ PHẦN DỊCH VỤ THƯƠNG MẠI TỔNG HỢP WINCOMMERCE</v>
      </c>
      <c r="G1966" s="16" t="str">
        <f>VLOOKUP(Table8[[#This Row],[Mã khách hàng]],code_khach_hang[],3,0)</f>
        <v>Miền Bắc đặc biệt 1</v>
      </c>
      <c r="H1966" t="str">
        <f>VLOOKUP(Table8[[#This Row],[Mã khách hàng]],'Khách hàng'!A:D,4,0)</f>
        <v>Food Đức Việt</v>
      </c>
      <c r="I1966" t="str">
        <f>VLOOKUP(Table8[[#This Row],[Mã khách hàng]],'Khách hàng'!A:E,5,0)</f>
        <v>HN0040</v>
      </c>
    </row>
    <row r="1967" spans="1:9">
      <c r="A1967" s="14" t="s">
        <v>8573</v>
      </c>
      <c r="B1967" s="15" t="s">
        <v>5</v>
      </c>
      <c r="C1967" s="10" t="s">
        <v>8574</v>
      </c>
      <c r="D1967" s="16" t="s">
        <v>6350</v>
      </c>
      <c r="E1967" s="15" t="s">
        <v>11215</v>
      </c>
      <c r="F1967" s="16" t="str">
        <f>VLOOKUP(Table8[[#This Row],[Mã khách hàng]],code_khach_hang[],2,0)</f>
        <v>CHI NHÁNH HÀ NỘI - CÔNG TY CỔ PHẦN DỊCH VỤ THƯƠNG MẠI TỔNG HỢP WINCOMMERCE</v>
      </c>
      <c r="G1967" s="16" t="str">
        <f>VLOOKUP(Table8[[#This Row],[Mã khách hàng]],code_khach_hang[],3,0)</f>
        <v>Miền Bắc đặc biệt 1</v>
      </c>
      <c r="H1967" t="str">
        <f>VLOOKUP(Table8[[#This Row],[Mã khách hàng]],'Khách hàng'!A:D,4,0)</f>
        <v>Food Đức Việt</v>
      </c>
      <c r="I1967" t="str">
        <f>VLOOKUP(Table8[[#This Row],[Mã khách hàng]],'Khách hàng'!A:E,5,0)</f>
        <v>HN0040</v>
      </c>
    </row>
    <row r="1968" spans="1:9">
      <c r="A1968" s="14" t="s">
        <v>8723</v>
      </c>
      <c r="B1968" s="15" t="s">
        <v>5</v>
      </c>
      <c r="C1968" s="10" t="s">
        <v>8724</v>
      </c>
      <c r="D1968" s="16" t="s">
        <v>6353</v>
      </c>
      <c r="E1968" s="15" t="s">
        <v>11215</v>
      </c>
      <c r="F1968" s="16" t="str">
        <f>VLOOKUP(Table8[[#This Row],[Mã khách hàng]],code_khach_hang[],2,0)</f>
        <v>CHI NHÁNH HÀ NỘI - CÔNG TY CỔ PHẦN DỊCH VỤ THƯƠNG MẠI TỔNG HỢP WINCOMMERCE</v>
      </c>
      <c r="G1968" s="16" t="str">
        <f>VLOOKUP(Table8[[#This Row],[Mã khách hàng]],code_khach_hang[],3,0)</f>
        <v>Miền Bắc đặc biệt 1</v>
      </c>
      <c r="H1968" t="str">
        <f>VLOOKUP(Table8[[#This Row],[Mã khách hàng]],'Khách hàng'!A:D,4,0)</f>
        <v>Food Đức Việt</v>
      </c>
      <c r="I1968" t="str">
        <f>VLOOKUP(Table8[[#This Row],[Mã khách hàng]],'Khách hàng'!A:E,5,0)</f>
        <v>HN0040</v>
      </c>
    </row>
    <row r="1969" spans="1:9">
      <c r="A1969" s="14" t="s">
        <v>1600</v>
      </c>
      <c r="B1969" s="15" t="s">
        <v>5</v>
      </c>
      <c r="C1969" s="10" t="s">
        <v>1601</v>
      </c>
      <c r="D1969" s="16" t="s">
        <v>6356</v>
      </c>
      <c r="E1969" s="15" t="s">
        <v>11212</v>
      </c>
      <c r="F1969" s="16" t="str">
        <f>VLOOKUP(Table8[[#This Row],[Mã khách hàng]],code_khach_hang[],2,0)</f>
        <v>CHI NHÁNH HÒA BÌNH - CÔNG TY CỔ PHẦN DỊCH VỤ THƯƠNG MẠI TỔNG HỢP WINCOMMERCE</v>
      </c>
      <c r="G1969" s="16" t="str">
        <f>VLOOKUP(Table8[[#This Row],[Mã khách hàng]],code_khach_hang[],3,0)</f>
        <v>Miền Bắc đặc biệt 1</v>
      </c>
      <c r="H1969" t="str">
        <f>VLOOKUP(Table8[[#This Row],[Mã khách hàng]],'Khách hàng'!A:D,4,0)</f>
        <v>Food Đức Việt</v>
      </c>
      <c r="I1969" t="str">
        <f>VLOOKUP(Table8[[#This Row],[Mã khách hàng]],'Khách hàng'!A:E,5,0)</f>
        <v>HN0040</v>
      </c>
    </row>
    <row r="1970" spans="1:9">
      <c r="A1970" s="14" t="s">
        <v>6431</v>
      </c>
      <c r="B1970" s="15" t="s">
        <v>5</v>
      </c>
      <c r="C1970" s="10" t="s">
        <v>6432</v>
      </c>
      <c r="D1970" s="16" t="s">
        <v>6359</v>
      </c>
      <c r="E1970" s="15" t="s">
        <v>11212</v>
      </c>
      <c r="F1970" s="16" t="str">
        <f>VLOOKUP(Table8[[#This Row],[Mã khách hàng]],code_khach_hang[],2,0)</f>
        <v>CHI NHÁNH HÒA BÌNH - CÔNG TY CỔ PHẦN DỊCH VỤ THƯƠNG MẠI TỔNG HỢP WINCOMMERCE</v>
      </c>
      <c r="G1970" s="16" t="str">
        <f>VLOOKUP(Table8[[#This Row],[Mã khách hàng]],code_khach_hang[],3,0)</f>
        <v>Miền Bắc đặc biệt 1</v>
      </c>
      <c r="H1970" t="str">
        <f>VLOOKUP(Table8[[#This Row],[Mã khách hàng]],'Khách hàng'!A:D,4,0)</f>
        <v>Food Đức Việt</v>
      </c>
      <c r="I1970" t="str">
        <f>VLOOKUP(Table8[[#This Row],[Mã khách hàng]],'Khách hàng'!A:E,5,0)</f>
        <v>HN0040</v>
      </c>
    </row>
    <row r="1971" spans="1:9">
      <c r="A1971" s="14" t="s">
        <v>6461</v>
      </c>
      <c r="B1971" s="15" t="s">
        <v>5</v>
      </c>
      <c r="C1971" s="10" t="s">
        <v>6462</v>
      </c>
      <c r="D1971" s="16" t="s">
        <v>6362</v>
      </c>
      <c r="E1971" s="15" t="s">
        <v>11212</v>
      </c>
      <c r="F1971" s="16" t="str">
        <f>VLOOKUP(Table8[[#This Row],[Mã khách hàng]],code_khach_hang[],2,0)</f>
        <v>CHI NHÁNH HÒA BÌNH - CÔNG TY CỔ PHẦN DỊCH VỤ THƯƠNG MẠI TỔNG HỢP WINCOMMERCE</v>
      </c>
      <c r="G1971" s="16" t="str">
        <f>VLOOKUP(Table8[[#This Row],[Mã khách hàng]],code_khach_hang[],3,0)</f>
        <v>Miền Bắc đặc biệt 1</v>
      </c>
      <c r="H1971" t="str">
        <f>VLOOKUP(Table8[[#This Row],[Mã khách hàng]],'Khách hàng'!A:D,4,0)</f>
        <v>Food Đức Việt</v>
      </c>
      <c r="I1971" t="str">
        <f>VLOOKUP(Table8[[#This Row],[Mã khách hàng]],'Khách hàng'!A:E,5,0)</f>
        <v>HN0040</v>
      </c>
    </row>
    <row r="1972" spans="1:9">
      <c r="A1972" s="14" t="s">
        <v>7771</v>
      </c>
      <c r="B1972" s="15" t="s">
        <v>5</v>
      </c>
      <c r="C1972" s="10" t="s">
        <v>7772</v>
      </c>
      <c r="D1972" s="16" t="s">
        <v>6365</v>
      </c>
      <c r="E1972" s="15" t="s">
        <v>11212</v>
      </c>
      <c r="F1972" s="16" t="str">
        <f>VLOOKUP(Table8[[#This Row],[Mã khách hàng]],code_khach_hang[],2,0)</f>
        <v>CHI NHÁNH HÒA BÌNH - CÔNG TY CỔ PHẦN DỊCH VỤ THƯƠNG MẠI TỔNG HỢP WINCOMMERCE</v>
      </c>
      <c r="G1972" s="16" t="str">
        <f>VLOOKUP(Table8[[#This Row],[Mã khách hàng]],code_khach_hang[],3,0)</f>
        <v>Miền Bắc đặc biệt 1</v>
      </c>
      <c r="H1972" t="str">
        <f>VLOOKUP(Table8[[#This Row],[Mã khách hàng]],'Khách hàng'!A:D,4,0)</f>
        <v>Food Đức Việt</v>
      </c>
      <c r="I1972" t="str">
        <f>VLOOKUP(Table8[[#This Row],[Mã khách hàng]],'Khách hàng'!A:E,5,0)</f>
        <v>HN0040</v>
      </c>
    </row>
    <row r="1973" spans="1:9">
      <c r="A1973" s="14" t="s">
        <v>6390</v>
      </c>
      <c r="B1973" s="15" t="s">
        <v>5</v>
      </c>
      <c r="C1973" s="10" t="s">
        <v>6391</v>
      </c>
      <c r="D1973" s="16" t="s">
        <v>6368</v>
      </c>
      <c r="E1973" s="15" t="s">
        <v>11212</v>
      </c>
      <c r="F1973" s="16" t="str">
        <f>VLOOKUP(Table8[[#This Row],[Mã khách hàng]],code_khach_hang[],2,0)</f>
        <v>CHI NHÁNH HÒA BÌNH - CÔNG TY CỔ PHẦN DỊCH VỤ THƯƠNG MẠI TỔNG HỢP WINCOMMERCE</v>
      </c>
      <c r="G1973" s="16" t="str">
        <f>VLOOKUP(Table8[[#This Row],[Mã khách hàng]],code_khach_hang[],3,0)</f>
        <v>Miền Bắc đặc biệt 1</v>
      </c>
      <c r="H1973" t="str">
        <f>VLOOKUP(Table8[[#This Row],[Mã khách hàng]],'Khách hàng'!A:D,4,0)</f>
        <v>Food Đức Việt</v>
      </c>
      <c r="I1973" t="str">
        <f>VLOOKUP(Table8[[#This Row],[Mã khách hàng]],'Khách hàng'!A:E,5,0)</f>
        <v>HN0040</v>
      </c>
    </row>
    <row r="1974" spans="1:9">
      <c r="A1974" s="14" t="s">
        <v>1683</v>
      </c>
      <c r="B1974" s="15" t="s">
        <v>5</v>
      </c>
      <c r="C1974" s="10" t="s">
        <v>1684</v>
      </c>
      <c r="D1974" s="16" t="s">
        <v>6371</v>
      </c>
      <c r="E1974" s="15" t="s">
        <v>11212</v>
      </c>
      <c r="F1974" s="16" t="str">
        <f>VLOOKUP(Table8[[#This Row],[Mã khách hàng]],code_khach_hang[],2,0)</f>
        <v>CHI NHÁNH HÒA BÌNH - CÔNG TY CỔ PHẦN DỊCH VỤ THƯƠNG MẠI TỔNG HỢP WINCOMMERCE</v>
      </c>
      <c r="G1974" s="16" t="str">
        <f>VLOOKUP(Table8[[#This Row],[Mã khách hàng]],code_khach_hang[],3,0)</f>
        <v>Miền Bắc đặc biệt 1</v>
      </c>
      <c r="H1974" t="str">
        <f>VLOOKUP(Table8[[#This Row],[Mã khách hàng]],'Khách hàng'!A:D,4,0)</f>
        <v>Food Đức Việt</v>
      </c>
      <c r="I1974" t="str">
        <f>VLOOKUP(Table8[[#This Row],[Mã khách hàng]],'Khách hàng'!A:E,5,0)</f>
        <v>HN0040</v>
      </c>
    </row>
    <row r="1975" spans="1:9">
      <c r="A1975" s="14" t="s">
        <v>6428</v>
      </c>
      <c r="B1975" s="15" t="s">
        <v>5</v>
      </c>
      <c r="C1975" s="10" t="s">
        <v>6429</v>
      </c>
      <c r="D1975" s="16" t="s">
        <v>6374</v>
      </c>
      <c r="E1975" s="15" t="s">
        <v>11212</v>
      </c>
      <c r="F1975" s="16" t="str">
        <f>VLOOKUP(Table8[[#This Row],[Mã khách hàng]],code_khach_hang[],2,0)</f>
        <v>CHI NHÁNH HÒA BÌNH - CÔNG TY CỔ PHẦN DỊCH VỤ THƯƠNG MẠI TỔNG HỢP WINCOMMERCE</v>
      </c>
      <c r="G1975" s="16" t="str">
        <f>VLOOKUP(Table8[[#This Row],[Mã khách hàng]],code_khach_hang[],3,0)</f>
        <v>Miền Bắc đặc biệt 1</v>
      </c>
      <c r="H1975" t="str">
        <f>VLOOKUP(Table8[[#This Row],[Mã khách hàng]],'Khách hàng'!A:D,4,0)</f>
        <v>Food Đức Việt</v>
      </c>
      <c r="I1975" t="str">
        <f>VLOOKUP(Table8[[#This Row],[Mã khách hàng]],'Khách hàng'!A:E,5,0)</f>
        <v>HN0040</v>
      </c>
    </row>
    <row r="1976" spans="1:9">
      <c r="A1976" s="14" t="s">
        <v>6614</v>
      </c>
      <c r="B1976" s="15" t="s">
        <v>5</v>
      </c>
      <c r="C1976" s="10" t="s">
        <v>6615</v>
      </c>
      <c r="D1976" s="16" t="s">
        <v>6377</v>
      </c>
      <c r="E1976" s="15" t="s">
        <v>11212</v>
      </c>
      <c r="F1976" s="16" t="str">
        <f>VLOOKUP(Table8[[#This Row],[Mã khách hàng]],code_khach_hang[],2,0)</f>
        <v>CHI NHÁNH HÒA BÌNH - CÔNG TY CỔ PHẦN DỊCH VỤ THƯƠNG MẠI TỔNG HỢP WINCOMMERCE</v>
      </c>
      <c r="G1976" s="16" t="str">
        <f>VLOOKUP(Table8[[#This Row],[Mã khách hàng]],code_khach_hang[],3,0)</f>
        <v>Miền Bắc đặc biệt 1</v>
      </c>
      <c r="H1976" t="str">
        <f>VLOOKUP(Table8[[#This Row],[Mã khách hàng]],'Khách hàng'!A:D,4,0)</f>
        <v>Food Đức Việt</v>
      </c>
      <c r="I1976" t="str">
        <f>VLOOKUP(Table8[[#This Row],[Mã khách hàng]],'Khách hàng'!A:E,5,0)</f>
        <v>HN0040</v>
      </c>
    </row>
    <row r="1977" spans="1:9">
      <c r="A1977" s="14" t="s">
        <v>6399</v>
      </c>
      <c r="B1977" s="15" t="s">
        <v>5</v>
      </c>
      <c r="C1977" s="10" t="s">
        <v>6400</v>
      </c>
      <c r="D1977" s="16" t="s">
        <v>6380</v>
      </c>
      <c r="E1977" s="15" t="s">
        <v>11212</v>
      </c>
      <c r="F1977" s="16" t="str">
        <f>VLOOKUP(Table8[[#This Row],[Mã khách hàng]],code_khach_hang[],2,0)</f>
        <v>CHI NHÁNH HÒA BÌNH - CÔNG TY CỔ PHẦN DỊCH VỤ THƯƠNG MẠI TỔNG HỢP WINCOMMERCE</v>
      </c>
      <c r="G1977" s="16" t="str">
        <f>VLOOKUP(Table8[[#This Row],[Mã khách hàng]],code_khach_hang[],3,0)</f>
        <v>Miền Bắc đặc biệt 1</v>
      </c>
      <c r="H1977" t="str">
        <f>VLOOKUP(Table8[[#This Row],[Mã khách hàng]],'Khách hàng'!A:D,4,0)</f>
        <v>Food Đức Việt</v>
      </c>
      <c r="I1977" t="str">
        <f>VLOOKUP(Table8[[#This Row],[Mã khách hàng]],'Khách hàng'!A:E,5,0)</f>
        <v>HN0040</v>
      </c>
    </row>
    <row r="1978" spans="1:9">
      <c r="A1978" s="14" t="s">
        <v>1803</v>
      </c>
      <c r="B1978" s="15" t="s">
        <v>5</v>
      </c>
      <c r="C1978" s="10" t="s">
        <v>1804</v>
      </c>
      <c r="D1978" s="16" t="s">
        <v>6383</v>
      </c>
      <c r="E1978" s="15" t="s">
        <v>11212</v>
      </c>
      <c r="F1978" s="16" t="str">
        <f>VLOOKUP(Table8[[#This Row],[Mã khách hàng]],code_khach_hang[],2,0)</f>
        <v>CHI NHÁNH HÒA BÌNH - CÔNG TY CỔ PHẦN DỊCH VỤ THƯƠNG MẠI TỔNG HỢP WINCOMMERCE</v>
      </c>
      <c r="G1978" s="16" t="str">
        <f>VLOOKUP(Table8[[#This Row],[Mã khách hàng]],code_khach_hang[],3,0)</f>
        <v>Miền Bắc đặc biệt 1</v>
      </c>
      <c r="H1978" t="str">
        <f>VLOOKUP(Table8[[#This Row],[Mã khách hàng]],'Khách hàng'!A:D,4,0)</f>
        <v>Food Đức Việt</v>
      </c>
      <c r="I1978" t="str">
        <f>VLOOKUP(Table8[[#This Row],[Mã khách hàng]],'Khách hàng'!A:E,5,0)</f>
        <v>HN0040</v>
      </c>
    </row>
    <row r="1979" spans="1:9">
      <c r="A1979" s="14" t="s">
        <v>2762</v>
      </c>
      <c r="B1979" s="15" t="s">
        <v>5</v>
      </c>
      <c r="C1979" s="10" t="s">
        <v>2763</v>
      </c>
      <c r="D1979" s="16" t="s">
        <v>6386</v>
      </c>
      <c r="E1979" s="15" t="s">
        <v>11212</v>
      </c>
      <c r="F1979" s="16" t="str">
        <f>VLOOKUP(Table8[[#This Row],[Mã khách hàng]],code_khach_hang[],2,0)</f>
        <v>CHI NHÁNH HÒA BÌNH - CÔNG TY CỔ PHẦN DỊCH VỤ THƯƠNG MẠI TỔNG HỢP WINCOMMERCE</v>
      </c>
      <c r="G1979" s="16" t="str">
        <f>VLOOKUP(Table8[[#This Row],[Mã khách hàng]],code_khach_hang[],3,0)</f>
        <v>Miền Bắc đặc biệt 1</v>
      </c>
      <c r="H1979" t="str">
        <f>VLOOKUP(Table8[[#This Row],[Mã khách hàng]],'Khách hàng'!A:D,4,0)</f>
        <v>Food Đức Việt</v>
      </c>
      <c r="I1979" t="str">
        <f>VLOOKUP(Table8[[#This Row],[Mã khách hàng]],'Khách hàng'!A:E,5,0)</f>
        <v>HN0040</v>
      </c>
    </row>
    <row r="1980" spans="1:9">
      <c r="A1980" s="14" t="s">
        <v>7954</v>
      </c>
      <c r="B1980" s="15" t="s">
        <v>5</v>
      </c>
      <c r="C1980" s="10" t="s">
        <v>7955</v>
      </c>
      <c r="D1980" s="16" t="s">
        <v>6389</v>
      </c>
      <c r="E1980" s="15" t="s">
        <v>11212</v>
      </c>
      <c r="F1980" s="16" t="str">
        <f>VLOOKUP(Table8[[#This Row],[Mã khách hàng]],code_khach_hang[],2,0)</f>
        <v>CHI NHÁNH HÒA BÌNH - CÔNG TY CỔ PHẦN DỊCH VỤ THƯƠNG MẠI TỔNG HỢP WINCOMMERCE</v>
      </c>
      <c r="G1980" s="16" t="str">
        <f>VLOOKUP(Table8[[#This Row],[Mã khách hàng]],code_khach_hang[],3,0)</f>
        <v>Miền Bắc đặc biệt 1</v>
      </c>
      <c r="H1980" t="str">
        <f>VLOOKUP(Table8[[#This Row],[Mã khách hàng]],'Khách hàng'!A:D,4,0)</f>
        <v>Food Đức Việt</v>
      </c>
      <c r="I1980" t="str">
        <f>VLOOKUP(Table8[[#This Row],[Mã khách hàng]],'Khách hàng'!A:E,5,0)</f>
        <v>HN0040</v>
      </c>
    </row>
    <row r="1981" spans="1:9">
      <c r="A1981" s="14" t="s">
        <v>8753</v>
      </c>
      <c r="B1981" s="15" t="s">
        <v>5</v>
      </c>
      <c r="C1981" s="10" t="s">
        <v>8754</v>
      </c>
      <c r="D1981" s="16" t="s">
        <v>6392</v>
      </c>
      <c r="E1981" s="15" t="s">
        <v>11212</v>
      </c>
      <c r="F1981" s="16" t="str">
        <f>VLOOKUP(Table8[[#This Row],[Mã khách hàng]],code_khach_hang[],2,0)</f>
        <v>CHI NHÁNH HÒA BÌNH - CÔNG TY CỔ PHẦN DỊCH VỤ THƯƠNG MẠI TỔNG HỢP WINCOMMERCE</v>
      </c>
      <c r="G1981" s="16" t="str">
        <f>VLOOKUP(Table8[[#This Row],[Mã khách hàng]],code_khach_hang[],3,0)</f>
        <v>Miền Bắc đặc biệt 1</v>
      </c>
      <c r="H1981" t="str">
        <f>VLOOKUP(Table8[[#This Row],[Mã khách hàng]],'Khách hàng'!A:D,4,0)</f>
        <v>Food Đức Việt</v>
      </c>
      <c r="I1981" t="str">
        <f>VLOOKUP(Table8[[#This Row],[Mã khách hàng]],'Khách hàng'!A:E,5,0)</f>
        <v>HN0040</v>
      </c>
    </row>
    <row r="1982" spans="1:9">
      <c r="A1982" s="14" t="s">
        <v>8319</v>
      </c>
      <c r="B1982" s="15" t="s">
        <v>5</v>
      </c>
      <c r="C1982" s="10" t="s">
        <v>8320</v>
      </c>
      <c r="D1982" s="16" t="s">
        <v>6395</v>
      </c>
      <c r="E1982" s="15" t="s">
        <v>11214</v>
      </c>
      <c r="F1982" s="16" t="str">
        <f>VLOOKUP(Table8[[#This Row],[Mã khách hàng]],code_khach_hang[],2,0)</f>
        <v>CHI NHÁNH LAI CHÂU - CÔNG TY CỔ PHẦN DỊCH VỤ THƯƠNG MẠI TỔNG HỢP WINCOMMERCE</v>
      </c>
      <c r="G1982" s="16" t="str">
        <f>VLOOKUP(Table8[[#This Row],[Mã khách hàng]],code_khach_hang[],3,0)</f>
        <v>Miền Bắc đặc biệt 1</v>
      </c>
      <c r="H1982" t="str">
        <f>VLOOKUP(Table8[[#This Row],[Mã khách hàng]],'Khách hàng'!A:D,4,0)</f>
        <v>Food Đức Việt</v>
      </c>
      <c r="I1982" t="str">
        <f>VLOOKUP(Table8[[#This Row],[Mã khách hàng]],'Khách hàng'!A:E,5,0)</f>
        <v>HN0040</v>
      </c>
    </row>
    <row r="1983" spans="1:9">
      <c r="A1983" s="14" t="s">
        <v>8364</v>
      </c>
      <c r="B1983" s="15" t="s">
        <v>5</v>
      </c>
      <c r="C1983" s="10" t="s">
        <v>8365</v>
      </c>
      <c r="D1983" s="16" t="s">
        <v>6398</v>
      </c>
      <c r="E1983" s="15" t="s">
        <v>11214</v>
      </c>
      <c r="F1983" s="16" t="str">
        <f>VLOOKUP(Table8[[#This Row],[Mã khách hàng]],code_khach_hang[],2,0)</f>
        <v>CHI NHÁNH LAI CHÂU - CÔNG TY CỔ PHẦN DỊCH VỤ THƯƠNG MẠI TỔNG HỢP WINCOMMERCE</v>
      </c>
      <c r="G1983" s="16" t="str">
        <f>VLOOKUP(Table8[[#This Row],[Mã khách hàng]],code_khach_hang[],3,0)</f>
        <v>Miền Bắc đặc biệt 1</v>
      </c>
      <c r="H1983" t="str">
        <f>VLOOKUP(Table8[[#This Row],[Mã khách hàng]],'Khách hàng'!A:D,4,0)</f>
        <v>Food Đức Việt</v>
      </c>
      <c r="I1983" t="str">
        <f>VLOOKUP(Table8[[#This Row],[Mã khách hàng]],'Khách hàng'!A:E,5,0)</f>
        <v>HN0040</v>
      </c>
    </row>
    <row r="1984" spans="1:9">
      <c r="A1984" s="14" t="s">
        <v>6216</v>
      </c>
      <c r="B1984" s="15" t="s">
        <v>5</v>
      </c>
      <c r="C1984" s="10" t="s">
        <v>6217</v>
      </c>
      <c r="D1984" s="16" t="s">
        <v>6401</v>
      </c>
      <c r="E1984" s="15" t="s">
        <v>11218</v>
      </c>
      <c r="F1984" s="16" t="str">
        <f>VLOOKUP(Table8[[#This Row],[Mã khách hàng]],code_khach_hang[],2,0)</f>
        <v>CHI NHÁNH LÀO CAI - CÔNG TY CỔ PHẦN DỊCH VỤ THƯƠNG MẠI TỔNG HỢP WINCOMMERCE</v>
      </c>
      <c r="G1984" s="16" t="str">
        <f>VLOOKUP(Table8[[#This Row],[Mã khách hàng]],code_khach_hang[],3,0)</f>
        <v>Miền Bắc đặc biệt 1</v>
      </c>
      <c r="H1984" t="str">
        <f>VLOOKUP(Table8[[#This Row],[Mã khách hàng]],'Khách hàng'!A:D,4,0)</f>
        <v>Food Đức Việt</v>
      </c>
      <c r="I1984" t="str">
        <f>VLOOKUP(Table8[[#This Row],[Mã khách hàng]],'Khách hàng'!A:E,5,0)</f>
        <v>HN0040</v>
      </c>
    </row>
    <row r="1985" spans="1:9">
      <c r="A1985" s="14" t="s">
        <v>6130</v>
      </c>
      <c r="B1985" s="15" t="s">
        <v>5</v>
      </c>
      <c r="C1985" s="10" t="s">
        <v>6131</v>
      </c>
      <c r="D1985" s="16" t="s">
        <v>6404</v>
      </c>
      <c r="E1985" s="15" t="s">
        <v>11218</v>
      </c>
      <c r="F1985" s="16" t="str">
        <f>VLOOKUP(Table8[[#This Row],[Mã khách hàng]],code_khach_hang[],2,0)</f>
        <v>CHI NHÁNH LÀO CAI - CÔNG TY CỔ PHẦN DỊCH VỤ THƯƠNG MẠI TỔNG HỢP WINCOMMERCE</v>
      </c>
      <c r="G1985" s="16" t="str">
        <f>VLOOKUP(Table8[[#This Row],[Mã khách hàng]],code_khach_hang[],3,0)</f>
        <v>Miền Bắc đặc biệt 1</v>
      </c>
      <c r="H1985" t="str">
        <f>VLOOKUP(Table8[[#This Row],[Mã khách hàng]],'Khách hàng'!A:D,4,0)</f>
        <v>Food Đức Việt</v>
      </c>
      <c r="I1985" t="str">
        <f>VLOOKUP(Table8[[#This Row],[Mã khách hàng]],'Khách hàng'!A:E,5,0)</f>
        <v>HN0040</v>
      </c>
    </row>
    <row r="1986" spans="1:9">
      <c r="A1986" s="14" t="s">
        <v>6524</v>
      </c>
      <c r="B1986" s="15" t="s">
        <v>5</v>
      </c>
      <c r="C1986" s="10" t="s">
        <v>6525</v>
      </c>
      <c r="D1986" s="16" t="s">
        <v>6407</v>
      </c>
      <c r="E1986" s="15" t="s">
        <v>11218</v>
      </c>
      <c r="F1986" s="16" t="str">
        <f>VLOOKUP(Table8[[#This Row],[Mã khách hàng]],code_khach_hang[],2,0)</f>
        <v>CHI NHÁNH LÀO CAI - CÔNG TY CỔ PHẦN DỊCH VỤ THƯƠNG MẠI TỔNG HỢP WINCOMMERCE</v>
      </c>
      <c r="G1986" s="16" t="str">
        <f>VLOOKUP(Table8[[#This Row],[Mã khách hàng]],code_khach_hang[],3,0)</f>
        <v>Miền Bắc đặc biệt 1</v>
      </c>
      <c r="H1986" t="str">
        <f>VLOOKUP(Table8[[#This Row],[Mã khách hàng]],'Khách hàng'!A:D,4,0)</f>
        <v>Food Đức Việt</v>
      </c>
      <c r="I1986" t="str">
        <f>VLOOKUP(Table8[[#This Row],[Mã khách hàng]],'Khách hàng'!A:E,5,0)</f>
        <v>HN0040</v>
      </c>
    </row>
    <row r="1987" spans="1:9">
      <c r="A1987" s="14" t="s">
        <v>6476</v>
      </c>
      <c r="B1987" s="15" t="s">
        <v>5</v>
      </c>
      <c r="C1987" s="10" t="s">
        <v>6477</v>
      </c>
      <c r="D1987" s="16" t="s">
        <v>6410</v>
      </c>
      <c r="E1987" s="15" t="s">
        <v>11218</v>
      </c>
      <c r="F1987" s="16" t="str">
        <f>VLOOKUP(Table8[[#This Row],[Mã khách hàng]],code_khach_hang[],2,0)</f>
        <v>CHI NHÁNH LÀO CAI - CÔNG TY CỔ PHẦN DỊCH VỤ THƯƠNG MẠI TỔNG HỢP WINCOMMERCE</v>
      </c>
      <c r="G1987" s="16" t="str">
        <f>VLOOKUP(Table8[[#This Row],[Mã khách hàng]],code_khach_hang[],3,0)</f>
        <v>Miền Bắc đặc biệt 1</v>
      </c>
      <c r="H1987" t="str">
        <f>VLOOKUP(Table8[[#This Row],[Mã khách hàng]],'Khách hàng'!A:D,4,0)</f>
        <v>Food Đức Việt</v>
      </c>
      <c r="I1987" t="str">
        <f>VLOOKUP(Table8[[#This Row],[Mã khách hàng]],'Khách hàng'!A:E,5,0)</f>
        <v>HN0040</v>
      </c>
    </row>
    <row r="1988" spans="1:9">
      <c r="A1988" s="14" t="s">
        <v>6088</v>
      </c>
      <c r="B1988" s="15" t="s">
        <v>5</v>
      </c>
      <c r="C1988" s="10" t="s">
        <v>6089</v>
      </c>
      <c r="D1988" s="16" t="s">
        <v>6412</v>
      </c>
      <c r="E1988" s="15" t="s">
        <v>11218</v>
      </c>
      <c r="F1988" s="16" t="str">
        <f>VLOOKUP(Table8[[#This Row],[Mã khách hàng]],code_khach_hang[],2,0)</f>
        <v>CHI NHÁNH LÀO CAI - CÔNG TY CỔ PHẦN DỊCH VỤ THƯƠNG MẠI TỔNG HỢP WINCOMMERCE</v>
      </c>
      <c r="G1988" s="16" t="str">
        <f>VLOOKUP(Table8[[#This Row],[Mã khách hàng]],code_khach_hang[],3,0)</f>
        <v>Miền Bắc đặc biệt 1</v>
      </c>
      <c r="H1988" t="str">
        <f>VLOOKUP(Table8[[#This Row],[Mã khách hàng]],'Khách hàng'!A:D,4,0)</f>
        <v>Food Đức Việt</v>
      </c>
      <c r="I1988" t="str">
        <f>VLOOKUP(Table8[[#This Row],[Mã khách hàng]],'Khách hàng'!A:E,5,0)</f>
        <v>HN0040</v>
      </c>
    </row>
    <row r="1989" spans="1:9">
      <c r="A1989" s="14" t="s">
        <v>7134</v>
      </c>
      <c r="B1989" s="15" t="s">
        <v>5</v>
      </c>
      <c r="C1989" s="10" t="s">
        <v>7135</v>
      </c>
      <c r="D1989" s="16" t="s">
        <v>6415</v>
      </c>
      <c r="E1989" s="15" t="s">
        <v>11218</v>
      </c>
      <c r="F1989" s="16" t="str">
        <f>VLOOKUP(Table8[[#This Row],[Mã khách hàng]],code_khach_hang[],2,0)</f>
        <v>CHI NHÁNH LÀO CAI - CÔNG TY CỔ PHẦN DỊCH VỤ THƯƠNG MẠI TỔNG HỢP WINCOMMERCE</v>
      </c>
      <c r="G1989" s="16" t="str">
        <f>VLOOKUP(Table8[[#This Row],[Mã khách hàng]],code_khach_hang[],3,0)</f>
        <v>Miền Bắc đặc biệt 1</v>
      </c>
      <c r="H1989" t="str">
        <f>VLOOKUP(Table8[[#This Row],[Mã khách hàng]],'Khách hàng'!A:D,4,0)</f>
        <v>Food Đức Việt</v>
      </c>
      <c r="I1989" t="str">
        <f>VLOOKUP(Table8[[#This Row],[Mã khách hàng]],'Khách hàng'!A:E,5,0)</f>
        <v>HN0040</v>
      </c>
    </row>
    <row r="1990" spans="1:9">
      <c r="A1990" s="14" t="s">
        <v>6010</v>
      </c>
      <c r="B1990" s="15" t="s">
        <v>5</v>
      </c>
      <c r="C1990" s="10" t="s">
        <v>6011</v>
      </c>
      <c r="D1990" s="16" t="s">
        <v>6418</v>
      </c>
      <c r="E1990" s="15" t="s">
        <v>11218</v>
      </c>
      <c r="F1990" s="16" t="str">
        <f>VLOOKUP(Table8[[#This Row],[Mã khách hàng]],code_khach_hang[],2,0)</f>
        <v>CHI NHÁNH LÀO CAI - CÔNG TY CỔ PHẦN DỊCH VỤ THƯƠNG MẠI TỔNG HỢP WINCOMMERCE</v>
      </c>
      <c r="G1990" s="16" t="str">
        <f>VLOOKUP(Table8[[#This Row],[Mã khách hàng]],code_khach_hang[],3,0)</f>
        <v>Miền Bắc đặc biệt 1</v>
      </c>
      <c r="H1990" t="str">
        <f>VLOOKUP(Table8[[#This Row],[Mã khách hàng]],'Khách hàng'!A:D,4,0)</f>
        <v>Food Đức Việt</v>
      </c>
      <c r="I1990" t="str">
        <f>VLOOKUP(Table8[[#This Row],[Mã khách hàng]],'Khách hàng'!A:E,5,0)</f>
        <v>HN0040</v>
      </c>
    </row>
    <row r="1991" spans="1:9">
      <c r="A1991" s="14" t="s">
        <v>6479</v>
      </c>
      <c r="B1991" s="15" t="s">
        <v>5</v>
      </c>
      <c r="C1991" s="10" t="s">
        <v>6480</v>
      </c>
      <c r="D1991" s="16" t="s">
        <v>6421</v>
      </c>
      <c r="E1991" s="15" t="s">
        <v>11218</v>
      </c>
      <c r="F1991" s="16" t="str">
        <f>VLOOKUP(Table8[[#This Row],[Mã khách hàng]],code_khach_hang[],2,0)</f>
        <v>CHI NHÁNH LÀO CAI - CÔNG TY CỔ PHẦN DỊCH VỤ THƯƠNG MẠI TỔNG HỢP WINCOMMERCE</v>
      </c>
      <c r="G1991" s="16" t="str">
        <f>VLOOKUP(Table8[[#This Row],[Mã khách hàng]],code_khach_hang[],3,0)</f>
        <v>Miền Bắc đặc biệt 1</v>
      </c>
      <c r="H1991" t="str">
        <f>VLOOKUP(Table8[[#This Row],[Mã khách hàng]],'Khách hàng'!A:D,4,0)</f>
        <v>Food Đức Việt</v>
      </c>
      <c r="I1991" t="str">
        <f>VLOOKUP(Table8[[#This Row],[Mã khách hàng]],'Khách hàng'!A:E,5,0)</f>
        <v>HN0040</v>
      </c>
    </row>
    <row r="1992" spans="1:9">
      <c r="A1992" s="14" t="s">
        <v>6139</v>
      </c>
      <c r="B1992" s="15" t="s">
        <v>5</v>
      </c>
      <c r="C1992" s="10" t="s">
        <v>6140</v>
      </c>
      <c r="D1992" s="16" t="s">
        <v>6424</v>
      </c>
      <c r="E1992" s="15" t="s">
        <v>11218</v>
      </c>
      <c r="F1992" s="16" t="str">
        <f>VLOOKUP(Table8[[#This Row],[Mã khách hàng]],code_khach_hang[],2,0)</f>
        <v>CHI NHÁNH LÀO CAI - CÔNG TY CỔ PHẦN DỊCH VỤ THƯƠNG MẠI TỔNG HỢP WINCOMMERCE</v>
      </c>
      <c r="G1992" s="16" t="str">
        <f>VLOOKUP(Table8[[#This Row],[Mã khách hàng]],code_khach_hang[],3,0)</f>
        <v>Miền Bắc đặc biệt 1</v>
      </c>
      <c r="H1992" t="str">
        <f>VLOOKUP(Table8[[#This Row],[Mã khách hàng]],'Khách hàng'!A:D,4,0)</f>
        <v>Food Đức Việt</v>
      </c>
      <c r="I1992" t="str">
        <f>VLOOKUP(Table8[[#This Row],[Mã khách hàng]],'Khách hàng'!A:E,5,0)</f>
        <v>HN0040</v>
      </c>
    </row>
    <row r="1993" spans="1:9">
      <c r="A1993" s="14" t="s">
        <v>8070</v>
      </c>
      <c r="B1993" s="15" t="s">
        <v>5</v>
      </c>
      <c r="C1993" s="10" t="s">
        <v>8071</v>
      </c>
      <c r="D1993" s="16" t="s">
        <v>6427</v>
      </c>
      <c r="E1993" s="15" t="s">
        <v>11218</v>
      </c>
      <c r="F1993" s="16" t="str">
        <f>VLOOKUP(Table8[[#This Row],[Mã khách hàng]],code_khach_hang[],2,0)</f>
        <v>CHI NHÁNH LÀO CAI - CÔNG TY CỔ PHẦN DỊCH VỤ THƯƠNG MẠI TỔNG HỢP WINCOMMERCE</v>
      </c>
      <c r="G1993" s="16" t="str">
        <f>VLOOKUP(Table8[[#This Row],[Mã khách hàng]],code_khach_hang[],3,0)</f>
        <v>Miền Bắc đặc biệt 1</v>
      </c>
      <c r="H1993" t="str">
        <f>VLOOKUP(Table8[[#This Row],[Mã khách hàng]],'Khách hàng'!A:D,4,0)</f>
        <v>Food Đức Việt</v>
      </c>
      <c r="I1993" t="str">
        <f>VLOOKUP(Table8[[#This Row],[Mã khách hàng]],'Khách hàng'!A:E,5,0)</f>
        <v>HN0040</v>
      </c>
    </row>
    <row r="1994" spans="1:9">
      <c r="A1994" s="14" t="s">
        <v>8061</v>
      </c>
      <c r="B1994" s="15" t="s">
        <v>5</v>
      </c>
      <c r="C1994" s="10" t="s">
        <v>8062</v>
      </c>
      <c r="D1994" s="16" t="s">
        <v>6430</v>
      </c>
      <c r="E1994" s="15" t="s">
        <v>11218</v>
      </c>
      <c r="F1994" s="16" t="str">
        <f>VLOOKUP(Table8[[#This Row],[Mã khách hàng]],code_khach_hang[],2,0)</f>
        <v>CHI NHÁNH LÀO CAI - CÔNG TY CỔ PHẦN DỊCH VỤ THƯƠNG MẠI TỔNG HỢP WINCOMMERCE</v>
      </c>
      <c r="G1994" s="16" t="str">
        <f>VLOOKUP(Table8[[#This Row],[Mã khách hàng]],code_khach_hang[],3,0)</f>
        <v>Miền Bắc đặc biệt 1</v>
      </c>
      <c r="H1994" t="str">
        <f>VLOOKUP(Table8[[#This Row],[Mã khách hàng]],'Khách hàng'!A:D,4,0)</f>
        <v>Food Đức Việt</v>
      </c>
      <c r="I1994" t="str">
        <f>VLOOKUP(Table8[[#This Row],[Mã khách hàng]],'Khách hàng'!A:E,5,0)</f>
        <v>HN0040</v>
      </c>
    </row>
    <row r="1995" spans="1:9">
      <c r="A1995" s="14" t="s">
        <v>8352</v>
      </c>
      <c r="B1995" s="15" t="s">
        <v>5</v>
      </c>
      <c r="C1995" s="10" t="s">
        <v>8353</v>
      </c>
      <c r="D1995" s="16" t="s">
        <v>6433</v>
      </c>
      <c r="E1995" s="15" t="s">
        <v>11214</v>
      </c>
      <c r="F1995" s="16" t="str">
        <f>VLOOKUP(Table8[[#This Row],[Mã khách hàng]],code_khach_hang[],2,0)</f>
        <v>CHI NHÁNH LAI CHÂU - CÔNG TY CỔ PHẦN DỊCH VỤ THƯƠNG MẠI TỔNG HỢP WINCOMMERCE</v>
      </c>
      <c r="G1995" s="16" t="str">
        <f>VLOOKUP(Table8[[#This Row],[Mã khách hàng]],code_khach_hang[],3,0)</f>
        <v>Miền Bắc đặc biệt 1</v>
      </c>
      <c r="H1995" t="str">
        <f>VLOOKUP(Table8[[#This Row],[Mã khách hàng]],'Khách hàng'!A:D,4,0)</f>
        <v>Food Đức Việt</v>
      </c>
      <c r="I1995" t="str">
        <f>VLOOKUP(Table8[[#This Row],[Mã khách hàng]],'Khách hàng'!A:E,5,0)</f>
        <v>HN0040</v>
      </c>
    </row>
    <row r="1996" spans="1:9">
      <c r="A1996" s="14" t="s">
        <v>8553</v>
      </c>
      <c r="B1996" s="15" t="s">
        <v>5</v>
      </c>
      <c r="C1996" s="10" t="s">
        <v>8554</v>
      </c>
      <c r="D1996" s="16" t="s">
        <v>6436</v>
      </c>
      <c r="E1996" s="15" t="s">
        <v>11214</v>
      </c>
      <c r="F1996" s="16" t="str">
        <f>VLOOKUP(Table8[[#This Row],[Mã khách hàng]],code_khach_hang[],2,0)</f>
        <v>CHI NHÁNH LAI CHÂU - CÔNG TY CỔ PHẦN DỊCH VỤ THƯƠNG MẠI TỔNG HỢP WINCOMMERCE</v>
      </c>
      <c r="G1996" s="16" t="str">
        <f>VLOOKUP(Table8[[#This Row],[Mã khách hàng]],code_khach_hang[],3,0)</f>
        <v>Miền Bắc đặc biệt 1</v>
      </c>
      <c r="H1996" t="str">
        <f>VLOOKUP(Table8[[#This Row],[Mã khách hàng]],'Khách hàng'!A:D,4,0)</f>
        <v>Food Đức Việt</v>
      </c>
      <c r="I1996" t="str">
        <f>VLOOKUP(Table8[[#This Row],[Mã khách hàng]],'Khách hàng'!A:E,5,0)</f>
        <v>HN0040</v>
      </c>
    </row>
    <row r="1997" spans="1:9">
      <c r="A1997" s="14" t="s">
        <v>7742</v>
      </c>
      <c r="B1997" s="15" t="s">
        <v>5</v>
      </c>
      <c r="C1997" s="10" t="s">
        <v>7743</v>
      </c>
      <c r="D1997" s="16" t="s">
        <v>6439</v>
      </c>
      <c r="E1997" s="15" t="s">
        <v>11206</v>
      </c>
      <c r="F1997" s="16" t="str">
        <f>VLOOKUP(Table8[[#This Row],[Mã khách hàng]],code_khach_hang[],2,0)</f>
        <v>CHI NHÁNH SƠN LA - CÔNG TY CỔ PHẦN DỊCH VỤ THƯƠNG MẠI TỔNG HỢP WINCOMMERCE</v>
      </c>
      <c r="G1997" s="16" t="str">
        <f>VLOOKUP(Table8[[#This Row],[Mã khách hàng]],code_khach_hang[],3,0)</f>
        <v>Miền Bắc đặc biệt 1</v>
      </c>
      <c r="H1997" t="str">
        <f>VLOOKUP(Table8[[#This Row],[Mã khách hàng]],'Khách hàng'!A:D,4,0)</f>
        <v>Food Đức Việt</v>
      </c>
      <c r="I1997" t="str">
        <f>VLOOKUP(Table8[[#This Row],[Mã khách hàng]],'Khách hàng'!A:E,5,0)</f>
        <v>HN0040</v>
      </c>
    </row>
    <row r="1998" spans="1:9">
      <c r="A1998" s="14" t="s">
        <v>7733</v>
      </c>
      <c r="B1998" s="15" t="s">
        <v>5</v>
      </c>
      <c r="C1998" s="10" t="s">
        <v>7734</v>
      </c>
      <c r="D1998" s="16" t="s">
        <v>6442</v>
      </c>
      <c r="E1998" s="15" t="s">
        <v>11206</v>
      </c>
      <c r="F1998" s="16" t="str">
        <f>VLOOKUP(Table8[[#This Row],[Mã khách hàng]],code_khach_hang[],2,0)</f>
        <v>CHI NHÁNH SƠN LA - CÔNG TY CỔ PHẦN DỊCH VỤ THƯƠNG MẠI TỔNG HỢP WINCOMMERCE</v>
      </c>
      <c r="G1998" s="16" t="str">
        <f>VLOOKUP(Table8[[#This Row],[Mã khách hàng]],code_khach_hang[],3,0)</f>
        <v>Miền Bắc đặc biệt 1</v>
      </c>
      <c r="H1998" t="str">
        <f>VLOOKUP(Table8[[#This Row],[Mã khách hàng]],'Khách hàng'!A:D,4,0)</f>
        <v>Food Đức Việt</v>
      </c>
      <c r="I1998" t="str">
        <f>VLOOKUP(Table8[[#This Row],[Mã khách hàng]],'Khách hàng'!A:E,5,0)</f>
        <v>HN0040</v>
      </c>
    </row>
    <row r="1999" spans="1:9">
      <c r="A1999" s="14" t="s">
        <v>7819</v>
      </c>
      <c r="B1999" s="15" t="s">
        <v>5</v>
      </c>
      <c r="C1999" s="10" t="s">
        <v>7820</v>
      </c>
      <c r="D1999" s="16" t="s">
        <v>6445</v>
      </c>
      <c r="E1999" s="15" t="s">
        <v>11206</v>
      </c>
      <c r="F1999" s="16" t="str">
        <f>VLOOKUP(Table8[[#This Row],[Mã khách hàng]],code_khach_hang[],2,0)</f>
        <v>CHI NHÁNH SƠN LA - CÔNG TY CỔ PHẦN DỊCH VỤ THƯƠNG MẠI TỔNG HỢP WINCOMMERCE</v>
      </c>
      <c r="G1999" s="16" t="str">
        <f>VLOOKUP(Table8[[#This Row],[Mã khách hàng]],code_khach_hang[],3,0)</f>
        <v>Miền Bắc đặc biệt 1</v>
      </c>
      <c r="H1999" t="str">
        <f>VLOOKUP(Table8[[#This Row],[Mã khách hàng]],'Khách hàng'!A:D,4,0)</f>
        <v>Food Đức Việt</v>
      </c>
      <c r="I1999" t="str">
        <f>VLOOKUP(Table8[[#This Row],[Mã khách hàng]],'Khách hàng'!A:E,5,0)</f>
        <v>HN0040</v>
      </c>
    </row>
    <row r="2000" spans="1:9">
      <c r="A2000" s="14" t="s">
        <v>6369</v>
      </c>
      <c r="B2000" s="15" t="s">
        <v>5</v>
      </c>
      <c r="C2000" s="10" t="s">
        <v>6370</v>
      </c>
      <c r="D2000" s="16" t="s">
        <v>6448</v>
      </c>
      <c r="E2000" s="15" t="s">
        <v>11206</v>
      </c>
      <c r="F2000" s="16" t="str">
        <f>VLOOKUP(Table8[[#This Row],[Mã khách hàng]],code_khach_hang[],2,0)</f>
        <v>CHI NHÁNH SƠN LA - CÔNG TY CỔ PHẦN DỊCH VỤ THƯƠNG MẠI TỔNG HỢP WINCOMMERCE</v>
      </c>
      <c r="G2000" s="16" t="str">
        <f>VLOOKUP(Table8[[#This Row],[Mã khách hàng]],code_khach_hang[],3,0)</f>
        <v>Miền Bắc đặc biệt 1</v>
      </c>
      <c r="H2000" t="str">
        <f>VLOOKUP(Table8[[#This Row],[Mã khách hàng]],'Khách hàng'!A:D,4,0)</f>
        <v>Food Đức Việt</v>
      </c>
      <c r="I2000" t="str">
        <f>VLOOKUP(Table8[[#This Row],[Mã khách hàng]],'Khách hàng'!A:E,5,0)</f>
        <v>HN0040</v>
      </c>
    </row>
    <row r="2001" spans="1:9">
      <c r="A2001" s="14" t="s">
        <v>6608</v>
      </c>
      <c r="B2001" s="15" t="s">
        <v>5</v>
      </c>
      <c r="C2001" s="10" t="s">
        <v>6609</v>
      </c>
      <c r="D2001" s="16" t="s">
        <v>6451</v>
      </c>
      <c r="E2001" s="15" t="s">
        <v>11206</v>
      </c>
      <c r="F2001" s="16" t="str">
        <f>VLOOKUP(Table8[[#This Row],[Mã khách hàng]],code_khach_hang[],2,0)</f>
        <v>CHI NHÁNH SƠN LA - CÔNG TY CỔ PHẦN DỊCH VỤ THƯƠNG MẠI TỔNG HỢP WINCOMMERCE</v>
      </c>
      <c r="G2001" s="16" t="str">
        <f>VLOOKUP(Table8[[#This Row],[Mã khách hàng]],code_khach_hang[],3,0)</f>
        <v>Miền Bắc đặc biệt 1</v>
      </c>
      <c r="H2001" t="str">
        <f>VLOOKUP(Table8[[#This Row],[Mã khách hàng]],'Khách hàng'!A:D,4,0)</f>
        <v>Food Đức Việt</v>
      </c>
      <c r="I2001" t="str">
        <f>VLOOKUP(Table8[[#This Row],[Mã khách hàng]],'Khách hàng'!A:E,5,0)</f>
        <v>HN0040</v>
      </c>
    </row>
    <row r="2002" spans="1:9">
      <c r="A2002" s="14" t="s">
        <v>6360</v>
      </c>
      <c r="B2002" s="15" t="s">
        <v>5</v>
      </c>
      <c r="C2002" s="10" t="s">
        <v>6361</v>
      </c>
      <c r="D2002" s="16" t="s">
        <v>6454</v>
      </c>
      <c r="E2002" s="15" t="s">
        <v>11206</v>
      </c>
      <c r="F2002" s="16" t="str">
        <f>VLOOKUP(Table8[[#This Row],[Mã khách hàng]],code_khach_hang[],2,0)</f>
        <v>CHI NHÁNH SƠN LA - CÔNG TY CỔ PHẦN DỊCH VỤ THƯƠNG MẠI TỔNG HỢP WINCOMMERCE</v>
      </c>
      <c r="G2002" s="16" t="str">
        <f>VLOOKUP(Table8[[#This Row],[Mã khách hàng]],code_khach_hang[],3,0)</f>
        <v>Miền Bắc đặc biệt 1</v>
      </c>
      <c r="H2002" t="str">
        <f>VLOOKUP(Table8[[#This Row],[Mã khách hàng]],'Khách hàng'!A:D,4,0)</f>
        <v>Food Đức Việt</v>
      </c>
      <c r="I2002" t="str">
        <f>VLOOKUP(Table8[[#This Row],[Mã khách hàng]],'Khách hàng'!A:E,5,0)</f>
        <v>HN0040</v>
      </c>
    </row>
    <row r="2003" spans="1:9">
      <c r="A2003" s="14" t="s">
        <v>6593</v>
      </c>
      <c r="B2003" s="15" t="s">
        <v>5</v>
      </c>
      <c r="C2003" s="10" t="s">
        <v>6594</v>
      </c>
      <c r="D2003" s="16" t="s">
        <v>6457</v>
      </c>
      <c r="E2003" s="15" t="s">
        <v>11206</v>
      </c>
      <c r="F2003" s="16" t="str">
        <f>VLOOKUP(Table8[[#This Row],[Mã khách hàng]],code_khach_hang[],2,0)</f>
        <v>CHI NHÁNH SƠN LA - CÔNG TY CỔ PHẦN DỊCH VỤ THƯƠNG MẠI TỔNG HỢP WINCOMMERCE</v>
      </c>
      <c r="G2003" s="16" t="str">
        <f>VLOOKUP(Table8[[#This Row],[Mã khách hàng]],code_khach_hang[],3,0)</f>
        <v>Miền Bắc đặc biệt 1</v>
      </c>
      <c r="H2003" t="str">
        <f>VLOOKUP(Table8[[#This Row],[Mã khách hàng]],'Khách hàng'!A:D,4,0)</f>
        <v>Food Đức Việt</v>
      </c>
      <c r="I2003" t="str">
        <f>VLOOKUP(Table8[[#This Row],[Mã khách hàng]],'Khách hàng'!A:E,5,0)</f>
        <v>HN0040</v>
      </c>
    </row>
    <row r="2004" spans="1:9">
      <c r="A2004" s="14" t="s">
        <v>6393</v>
      </c>
      <c r="B2004" s="15" t="s">
        <v>5</v>
      </c>
      <c r="C2004" s="10" t="s">
        <v>6394</v>
      </c>
      <c r="D2004" s="16" t="s">
        <v>6460</v>
      </c>
      <c r="E2004" s="15" t="s">
        <v>11206</v>
      </c>
      <c r="F2004" s="16" t="str">
        <f>VLOOKUP(Table8[[#This Row],[Mã khách hàng]],code_khach_hang[],2,0)</f>
        <v>CHI NHÁNH SƠN LA - CÔNG TY CỔ PHẦN DỊCH VỤ THƯƠNG MẠI TỔNG HỢP WINCOMMERCE</v>
      </c>
      <c r="G2004" s="16" t="str">
        <f>VLOOKUP(Table8[[#This Row],[Mã khách hàng]],code_khach_hang[],3,0)</f>
        <v>Miền Bắc đặc biệt 1</v>
      </c>
      <c r="H2004" t="str">
        <f>VLOOKUP(Table8[[#This Row],[Mã khách hàng]],'Khách hàng'!A:D,4,0)</f>
        <v>Food Đức Việt</v>
      </c>
      <c r="I2004" t="str">
        <f>VLOOKUP(Table8[[#This Row],[Mã khách hàng]],'Khách hàng'!A:E,5,0)</f>
        <v>HN0040</v>
      </c>
    </row>
    <row r="2005" spans="1:9">
      <c r="A2005" s="14" t="s">
        <v>6452</v>
      </c>
      <c r="B2005" s="15" t="s">
        <v>5</v>
      </c>
      <c r="C2005" s="10" t="s">
        <v>6453</v>
      </c>
      <c r="D2005" s="16" t="s">
        <v>6463</v>
      </c>
      <c r="E2005" s="15" t="s">
        <v>11206</v>
      </c>
      <c r="F2005" s="16" t="str">
        <f>VLOOKUP(Table8[[#This Row],[Mã khách hàng]],code_khach_hang[],2,0)</f>
        <v>CHI NHÁNH SƠN LA - CÔNG TY CỔ PHẦN DỊCH VỤ THƯƠNG MẠI TỔNG HỢP WINCOMMERCE</v>
      </c>
      <c r="G2005" s="16" t="str">
        <f>VLOOKUP(Table8[[#This Row],[Mã khách hàng]],code_khach_hang[],3,0)</f>
        <v>Miền Bắc đặc biệt 1</v>
      </c>
      <c r="H2005" t="str">
        <f>VLOOKUP(Table8[[#This Row],[Mã khách hàng]],'Khách hàng'!A:D,4,0)</f>
        <v>Food Đức Việt</v>
      </c>
      <c r="I2005" t="str">
        <f>VLOOKUP(Table8[[#This Row],[Mã khách hàng]],'Khách hàng'!A:E,5,0)</f>
        <v>HN0040</v>
      </c>
    </row>
    <row r="2006" spans="1:9">
      <c r="A2006" s="14" t="s">
        <v>6422</v>
      </c>
      <c r="B2006" s="15" t="s">
        <v>5</v>
      </c>
      <c r="C2006" s="10" t="s">
        <v>6423</v>
      </c>
      <c r="D2006" s="16" t="s">
        <v>6466</v>
      </c>
      <c r="E2006" s="15" t="s">
        <v>11206</v>
      </c>
      <c r="F2006" s="16" t="str">
        <f>VLOOKUP(Table8[[#This Row],[Mã khách hàng]],code_khach_hang[],2,0)</f>
        <v>CHI NHÁNH SƠN LA - CÔNG TY CỔ PHẦN DỊCH VỤ THƯƠNG MẠI TỔNG HỢP WINCOMMERCE</v>
      </c>
      <c r="G2006" s="16" t="str">
        <f>VLOOKUP(Table8[[#This Row],[Mã khách hàng]],code_khach_hang[],3,0)</f>
        <v>Miền Bắc đặc biệt 1</v>
      </c>
      <c r="H2006" t="str">
        <f>VLOOKUP(Table8[[#This Row],[Mã khách hàng]],'Khách hàng'!A:D,4,0)</f>
        <v>Food Đức Việt</v>
      </c>
      <c r="I2006" t="str">
        <f>VLOOKUP(Table8[[#This Row],[Mã khách hàng]],'Khách hàng'!A:E,5,0)</f>
        <v>HN0040</v>
      </c>
    </row>
    <row r="2007" spans="1:9">
      <c r="A2007" s="14" t="s">
        <v>11136</v>
      </c>
      <c r="B2007" s="15" t="s">
        <v>5</v>
      </c>
      <c r="C2007" s="10" t="e">
        <v>#N/A</v>
      </c>
      <c r="D2007" s="16" t="s">
        <v>6469</v>
      </c>
      <c r="E2007" s="15" t="s">
        <v>11206</v>
      </c>
      <c r="F2007" s="16" t="str">
        <f>VLOOKUP(Table8[[#This Row],[Mã khách hàng]],code_khach_hang[],2,0)</f>
        <v>CHI NHÁNH SƠN LA - CÔNG TY CỔ PHẦN DỊCH VỤ THƯƠNG MẠI TỔNG HỢP WINCOMMERCE</v>
      </c>
      <c r="G2007" s="16" t="str">
        <f>VLOOKUP(Table8[[#This Row],[Mã khách hàng]],code_khach_hang[],3,0)</f>
        <v>Miền Bắc đặc biệt 1</v>
      </c>
      <c r="H2007" t="str">
        <f>VLOOKUP(Table8[[#This Row],[Mã khách hàng]],'Khách hàng'!A:D,4,0)</f>
        <v>Food Đức Việt</v>
      </c>
      <c r="I2007" t="str">
        <f>VLOOKUP(Table8[[#This Row],[Mã khách hàng]],'Khách hàng'!A:E,5,0)</f>
        <v>HN0040</v>
      </c>
    </row>
    <row r="2008" spans="1:9">
      <c r="A2008" s="14" t="s">
        <v>6434</v>
      </c>
      <c r="B2008" s="15" t="s">
        <v>5</v>
      </c>
      <c r="C2008" s="10" t="s">
        <v>6435</v>
      </c>
      <c r="D2008" s="16" t="s">
        <v>6472</v>
      </c>
      <c r="E2008" s="15" t="s">
        <v>11206</v>
      </c>
      <c r="F2008" s="16" t="str">
        <f>VLOOKUP(Table8[[#This Row],[Mã khách hàng]],code_khach_hang[],2,0)</f>
        <v>CHI NHÁNH SƠN LA - CÔNG TY CỔ PHẦN DỊCH VỤ THƯƠNG MẠI TỔNG HỢP WINCOMMERCE</v>
      </c>
      <c r="G2008" s="16" t="str">
        <f>VLOOKUP(Table8[[#This Row],[Mã khách hàng]],code_khach_hang[],3,0)</f>
        <v>Miền Bắc đặc biệt 1</v>
      </c>
      <c r="H2008" t="str">
        <f>VLOOKUP(Table8[[#This Row],[Mã khách hàng]],'Khách hàng'!A:D,4,0)</f>
        <v>Food Đức Việt</v>
      </c>
      <c r="I2008" t="str">
        <f>VLOOKUP(Table8[[#This Row],[Mã khách hàng]],'Khách hàng'!A:E,5,0)</f>
        <v>HN0040</v>
      </c>
    </row>
    <row r="2009" spans="1:9">
      <c r="A2009" s="14" t="s">
        <v>8215</v>
      </c>
      <c r="B2009" s="15" t="s">
        <v>5</v>
      </c>
      <c r="C2009" s="10" t="s">
        <v>8216</v>
      </c>
      <c r="D2009" s="16" t="s">
        <v>6475</v>
      </c>
      <c r="E2009" s="15" t="s">
        <v>11206</v>
      </c>
      <c r="F2009" s="16" t="str">
        <f>VLOOKUP(Table8[[#This Row],[Mã khách hàng]],code_khach_hang[],2,0)</f>
        <v>CHI NHÁNH SƠN LA - CÔNG TY CỔ PHẦN DỊCH VỤ THƯƠNG MẠI TỔNG HỢP WINCOMMERCE</v>
      </c>
      <c r="G2009" s="16" t="str">
        <f>VLOOKUP(Table8[[#This Row],[Mã khách hàng]],code_khach_hang[],3,0)</f>
        <v>Miền Bắc đặc biệt 1</v>
      </c>
      <c r="H2009" t="str">
        <f>VLOOKUP(Table8[[#This Row],[Mã khách hàng]],'Khách hàng'!A:D,4,0)</f>
        <v>Food Đức Việt</v>
      </c>
      <c r="I2009" t="str">
        <f>VLOOKUP(Table8[[#This Row],[Mã khách hàng]],'Khách hàng'!A:E,5,0)</f>
        <v>HN0040</v>
      </c>
    </row>
    <row r="2010" spans="1:9">
      <c r="A2010" s="14" t="s">
        <v>7906</v>
      </c>
      <c r="B2010" s="15" t="s">
        <v>5</v>
      </c>
      <c r="C2010" s="10" t="s">
        <v>7907</v>
      </c>
      <c r="D2010" s="16" t="s">
        <v>6478</v>
      </c>
      <c r="E2010" s="15" t="s">
        <v>11206</v>
      </c>
      <c r="F2010" s="16" t="str">
        <f>VLOOKUP(Table8[[#This Row],[Mã khách hàng]],code_khach_hang[],2,0)</f>
        <v>CHI NHÁNH SƠN LA - CÔNG TY CỔ PHẦN DỊCH VỤ THƯƠNG MẠI TỔNG HỢP WINCOMMERCE</v>
      </c>
      <c r="G2010" s="16" t="str">
        <f>VLOOKUP(Table8[[#This Row],[Mã khách hàng]],code_khach_hang[],3,0)</f>
        <v>Miền Bắc đặc biệt 1</v>
      </c>
      <c r="H2010" t="str">
        <f>VLOOKUP(Table8[[#This Row],[Mã khách hàng]],'Khách hàng'!A:D,4,0)</f>
        <v>Food Đức Việt</v>
      </c>
      <c r="I2010" t="str">
        <f>VLOOKUP(Table8[[#This Row],[Mã khách hàng]],'Khách hàng'!A:E,5,0)</f>
        <v>HN0040</v>
      </c>
    </row>
    <row r="2011" spans="1:9">
      <c r="A2011" s="14" t="s">
        <v>8419</v>
      </c>
      <c r="B2011" s="15" t="s">
        <v>5</v>
      </c>
      <c r="C2011" s="10" t="s">
        <v>8420</v>
      </c>
      <c r="D2011" s="16" t="s">
        <v>6481</v>
      </c>
      <c r="E2011" s="15" t="s">
        <v>11206</v>
      </c>
      <c r="F2011" s="16" t="str">
        <f>VLOOKUP(Table8[[#This Row],[Mã khách hàng]],code_khach_hang[],2,0)</f>
        <v>CHI NHÁNH SƠN LA - CÔNG TY CỔ PHẦN DỊCH VỤ THƯƠNG MẠI TỔNG HỢP WINCOMMERCE</v>
      </c>
      <c r="G2011" s="16" t="str">
        <f>VLOOKUP(Table8[[#This Row],[Mã khách hàng]],code_khach_hang[],3,0)</f>
        <v>Miền Bắc đặc biệt 1</v>
      </c>
      <c r="H2011" t="str">
        <f>VLOOKUP(Table8[[#This Row],[Mã khách hàng]],'Khách hàng'!A:D,4,0)</f>
        <v>Food Đức Việt</v>
      </c>
      <c r="I2011" t="str">
        <f>VLOOKUP(Table8[[#This Row],[Mã khách hàng]],'Khách hàng'!A:E,5,0)</f>
        <v>HN0040</v>
      </c>
    </row>
    <row r="2012" spans="1:9">
      <c r="A2012" s="14" t="s">
        <v>5750</v>
      </c>
      <c r="B2012" s="15" t="s">
        <v>5</v>
      </c>
      <c r="C2012" s="10" t="s">
        <v>5751</v>
      </c>
      <c r="D2012" s="16" t="s">
        <v>6484</v>
      </c>
      <c r="E2012" s="15" t="s">
        <v>11207</v>
      </c>
      <c r="F2012" s="16" t="str">
        <f>VLOOKUP(Table8[[#This Row],[Mã khách hàng]],code_khach_hang[],2,0)</f>
        <v>CHI NHÁNH THÁI NGUYÊN - CÔNG TY CỔ PHẦN DỊCH VỤ THƯƠNG MẠI TỔNG HỢP WINCOMMERCE</v>
      </c>
      <c r="G2012" s="16" t="str">
        <f>VLOOKUP(Table8[[#This Row],[Mã khách hàng]],code_khach_hang[],3,0)</f>
        <v>Miền Bắc đặc biệt 2</v>
      </c>
      <c r="H2012" t="str">
        <f>VLOOKUP(Table8[[#This Row],[Mã khách hàng]],'Khách hàng'!A:D,4,0)</f>
        <v>Food Đức Việt</v>
      </c>
      <c r="I2012" t="str">
        <f>VLOOKUP(Table8[[#This Row],[Mã khách hàng]],'Khách hàng'!A:E,5,0)</f>
        <v>HN0040</v>
      </c>
    </row>
    <row r="2013" spans="1:9">
      <c r="A2013" s="14" t="s">
        <v>5712</v>
      </c>
      <c r="B2013" s="15" t="s">
        <v>5</v>
      </c>
      <c r="C2013" s="10" t="s">
        <v>5713</v>
      </c>
      <c r="D2013" s="16" t="s">
        <v>6487</v>
      </c>
      <c r="E2013" s="15" t="s">
        <v>11207</v>
      </c>
      <c r="F2013" s="16" t="str">
        <f>VLOOKUP(Table8[[#This Row],[Mã khách hàng]],code_khach_hang[],2,0)</f>
        <v>CHI NHÁNH THÁI NGUYÊN - CÔNG TY CỔ PHẦN DỊCH VỤ THƯƠNG MẠI TỔNG HỢP WINCOMMERCE</v>
      </c>
      <c r="G2013" s="16" t="str">
        <f>VLOOKUP(Table8[[#This Row],[Mã khách hàng]],code_khach_hang[],3,0)</f>
        <v>Miền Bắc đặc biệt 2</v>
      </c>
      <c r="H2013" t="str">
        <f>VLOOKUP(Table8[[#This Row],[Mã khách hàng]],'Khách hàng'!A:D,4,0)</f>
        <v>Food Đức Việt</v>
      </c>
      <c r="I2013" t="str">
        <f>VLOOKUP(Table8[[#This Row],[Mã khách hàng]],'Khách hàng'!A:E,5,0)</f>
        <v>HN0040</v>
      </c>
    </row>
    <row r="2014" spans="1:9">
      <c r="A2014" s="14" t="s">
        <v>7294</v>
      </c>
      <c r="B2014" s="15" t="s">
        <v>5</v>
      </c>
      <c r="C2014" s="10" t="s">
        <v>7295</v>
      </c>
      <c r="D2014" s="16" t="s">
        <v>6490</v>
      </c>
      <c r="E2014" s="15" t="s">
        <v>11207</v>
      </c>
      <c r="F2014" s="16" t="str">
        <f>VLOOKUP(Table8[[#This Row],[Mã khách hàng]],code_khach_hang[],2,0)</f>
        <v>CHI NHÁNH THÁI NGUYÊN - CÔNG TY CỔ PHẦN DỊCH VỤ THƯƠNG MẠI TỔNG HỢP WINCOMMERCE</v>
      </c>
      <c r="G2014" s="16" t="str">
        <f>VLOOKUP(Table8[[#This Row],[Mã khách hàng]],code_khach_hang[],3,0)</f>
        <v>Miền Bắc đặc biệt 2</v>
      </c>
      <c r="H2014" t="str">
        <f>VLOOKUP(Table8[[#This Row],[Mã khách hàng]],'Khách hàng'!A:D,4,0)</f>
        <v>Food Đức Việt</v>
      </c>
      <c r="I2014" t="str">
        <f>VLOOKUP(Table8[[#This Row],[Mã khách hàng]],'Khách hàng'!A:E,5,0)</f>
        <v>HN0040</v>
      </c>
    </row>
    <row r="2015" spans="1:9">
      <c r="A2015" s="14" t="s">
        <v>7863</v>
      </c>
      <c r="B2015" s="15" t="s">
        <v>5</v>
      </c>
      <c r="C2015" s="10" t="s">
        <v>7864</v>
      </c>
      <c r="D2015" s="16" t="s">
        <v>6493</v>
      </c>
      <c r="E2015" s="15" t="s">
        <v>11207</v>
      </c>
      <c r="F2015" s="16" t="str">
        <f>VLOOKUP(Table8[[#This Row],[Mã khách hàng]],code_khach_hang[],2,0)</f>
        <v>CHI NHÁNH THÁI NGUYÊN - CÔNG TY CỔ PHẦN DỊCH VỤ THƯƠNG MẠI TỔNG HỢP WINCOMMERCE</v>
      </c>
      <c r="G2015" s="16" t="str">
        <f>VLOOKUP(Table8[[#This Row],[Mã khách hàng]],code_khach_hang[],3,0)</f>
        <v>Miền Bắc đặc biệt 2</v>
      </c>
      <c r="H2015" t="str">
        <f>VLOOKUP(Table8[[#This Row],[Mã khách hàng]],'Khách hàng'!A:D,4,0)</f>
        <v>Food Đức Việt</v>
      </c>
      <c r="I2015" t="str">
        <f>VLOOKUP(Table8[[#This Row],[Mã khách hàng]],'Khách hàng'!A:E,5,0)</f>
        <v>HN0040</v>
      </c>
    </row>
    <row r="2016" spans="1:9">
      <c r="A2016" s="14" t="s">
        <v>7960</v>
      </c>
      <c r="B2016" s="15" t="s">
        <v>5</v>
      </c>
      <c r="C2016" s="10" t="s">
        <v>7961</v>
      </c>
      <c r="D2016" s="16" t="s">
        <v>6496</v>
      </c>
      <c r="E2016" s="15" t="s">
        <v>11207</v>
      </c>
      <c r="F2016" s="16" t="str">
        <f>VLOOKUP(Table8[[#This Row],[Mã khách hàng]],code_khach_hang[],2,0)</f>
        <v>CHI NHÁNH THÁI NGUYÊN - CÔNG TY CỔ PHẦN DỊCH VỤ THƯƠNG MẠI TỔNG HỢP WINCOMMERCE</v>
      </c>
      <c r="G2016" s="16" t="str">
        <f>VLOOKUP(Table8[[#This Row],[Mã khách hàng]],code_khach_hang[],3,0)</f>
        <v>Miền Bắc đặc biệt 2</v>
      </c>
      <c r="H2016" t="str">
        <f>VLOOKUP(Table8[[#This Row],[Mã khách hàng]],'Khách hàng'!A:D,4,0)</f>
        <v>Food Đức Việt</v>
      </c>
      <c r="I2016" t="str">
        <f>VLOOKUP(Table8[[#This Row],[Mã khách hàng]],'Khách hàng'!A:E,5,0)</f>
        <v>HN0040</v>
      </c>
    </row>
    <row r="2017" spans="1:9">
      <c r="A2017" s="14" t="s">
        <v>7995</v>
      </c>
      <c r="B2017" s="15" t="s">
        <v>5</v>
      </c>
      <c r="C2017" s="10" t="s">
        <v>7996</v>
      </c>
      <c r="D2017" s="16" t="s">
        <v>6499</v>
      </c>
      <c r="E2017" s="15" t="s">
        <v>11207</v>
      </c>
      <c r="F2017" s="16" t="str">
        <f>VLOOKUP(Table8[[#This Row],[Mã khách hàng]],code_khach_hang[],2,0)</f>
        <v>CHI NHÁNH THÁI NGUYÊN - CÔNG TY CỔ PHẦN DỊCH VỤ THƯƠNG MẠI TỔNG HỢP WINCOMMERCE</v>
      </c>
      <c r="G2017" s="16" t="str">
        <f>VLOOKUP(Table8[[#This Row],[Mã khách hàng]],code_khach_hang[],3,0)</f>
        <v>Miền Bắc đặc biệt 2</v>
      </c>
      <c r="H2017" t="str">
        <f>VLOOKUP(Table8[[#This Row],[Mã khách hàng]],'Khách hàng'!A:D,4,0)</f>
        <v>Food Đức Việt</v>
      </c>
      <c r="I2017" t="str">
        <f>VLOOKUP(Table8[[#This Row],[Mã khách hàng]],'Khách hàng'!A:E,5,0)</f>
        <v>HN0040</v>
      </c>
    </row>
    <row r="2018" spans="1:9">
      <c r="A2018" s="14" t="s">
        <v>8004</v>
      </c>
      <c r="B2018" s="15" t="s">
        <v>5</v>
      </c>
      <c r="C2018" s="10" t="s">
        <v>8005</v>
      </c>
      <c r="D2018" s="16" t="s">
        <v>6502</v>
      </c>
      <c r="E2018" s="15" t="s">
        <v>11207</v>
      </c>
      <c r="F2018" s="16" t="str">
        <f>VLOOKUP(Table8[[#This Row],[Mã khách hàng]],code_khach_hang[],2,0)</f>
        <v>CHI NHÁNH THÁI NGUYÊN - CÔNG TY CỔ PHẦN DỊCH VỤ THƯƠNG MẠI TỔNG HỢP WINCOMMERCE</v>
      </c>
      <c r="G2018" s="16" t="str">
        <f>VLOOKUP(Table8[[#This Row],[Mã khách hàng]],code_khach_hang[],3,0)</f>
        <v>Miền Bắc đặc biệt 2</v>
      </c>
      <c r="H2018" t="str">
        <f>VLOOKUP(Table8[[#This Row],[Mã khách hàng]],'Khách hàng'!A:D,4,0)</f>
        <v>Food Đức Việt</v>
      </c>
      <c r="I2018" t="str">
        <f>VLOOKUP(Table8[[#This Row],[Mã khách hàng]],'Khách hàng'!A:E,5,0)</f>
        <v>HN0040</v>
      </c>
    </row>
    <row r="2019" spans="1:9">
      <c r="A2019" s="14" t="s">
        <v>5866</v>
      </c>
      <c r="B2019" s="15" t="s">
        <v>5</v>
      </c>
      <c r="C2019" s="10" t="s">
        <v>5867</v>
      </c>
      <c r="D2019" s="16" t="s">
        <v>6505</v>
      </c>
      <c r="E2019" s="15" t="s">
        <v>11207</v>
      </c>
      <c r="F2019" s="16" t="str">
        <f>VLOOKUP(Table8[[#This Row],[Mã khách hàng]],code_khach_hang[],2,0)</f>
        <v>CHI NHÁNH THÁI NGUYÊN - CÔNG TY CỔ PHẦN DỊCH VỤ THƯƠNG MẠI TỔNG HỢP WINCOMMERCE</v>
      </c>
      <c r="G2019" s="16" t="str">
        <f>VLOOKUP(Table8[[#This Row],[Mã khách hàng]],code_khach_hang[],3,0)</f>
        <v>Miền Bắc đặc biệt 2</v>
      </c>
      <c r="H2019" t="str">
        <f>VLOOKUP(Table8[[#This Row],[Mã khách hàng]],'Khách hàng'!A:D,4,0)</f>
        <v>Food Đức Việt</v>
      </c>
      <c r="I2019" t="str">
        <f>VLOOKUP(Table8[[#This Row],[Mã khách hàng]],'Khách hàng'!A:E,5,0)</f>
        <v>HN0040</v>
      </c>
    </row>
    <row r="2020" spans="1:9">
      <c r="A2020" s="14" t="s">
        <v>6324</v>
      </c>
      <c r="B2020" s="15" t="s">
        <v>5</v>
      </c>
      <c r="C2020" s="10" t="s">
        <v>6325</v>
      </c>
      <c r="D2020" s="16" t="s">
        <v>6508</v>
      </c>
      <c r="E2020" s="15" t="s">
        <v>11207</v>
      </c>
      <c r="F2020" s="16" t="str">
        <f>VLOOKUP(Table8[[#This Row],[Mã khách hàng]],code_khach_hang[],2,0)</f>
        <v>CHI NHÁNH THÁI NGUYÊN - CÔNG TY CỔ PHẦN DỊCH VỤ THƯƠNG MẠI TỔNG HỢP WINCOMMERCE</v>
      </c>
      <c r="G2020" s="16" t="str">
        <f>VLOOKUP(Table8[[#This Row],[Mã khách hàng]],code_khach_hang[],3,0)</f>
        <v>Miền Bắc đặc biệt 2</v>
      </c>
      <c r="H2020" t="str">
        <f>VLOOKUP(Table8[[#This Row],[Mã khách hàng]],'Khách hàng'!A:D,4,0)</f>
        <v>Food Đức Việt</v>
      </c>
      <c r="I2020" t="str">
        <f>VLOOKUP(Table8[[#This Row],[Mã khách hàng]],'Khách hàng'!A:E,5,0)</f>
        <v>HN0040</v>
      </c>
    </row>
    <row r="2021" spans="1:9">
      <c r="A2021" s="14" t="s">
        <v>7095</v>
      </c>
      <c r="B2021" s="15" t="s">
        <v>5</v>
      </c>
      <c r="C2021" s="10" t="s">
        <v>7096</v>
      </c>
      <c r="D2021" s="16" t="s">
        <v>6511</v>
      </c>
      <c r="E2021" s="15" t="s">
        <v>11207</v>
      </c>
      <c r="F2021" s="16" t="str">
        <f>VLOOKUP(Table8[[#This Row],[Mã khách hàng]],code_khach_hang[],2,0)</f>
        <v>CHI NHÁNH THÁI NGUYÊN - CÔNG TY CỔ PHẦN DỊCH VỤ THƯƠNG MẠI TỔNG HỢP WINCOMMERCE</v>
      </c>
      <c r="G2021" s="16" t="str">
        <f>VLOOKUP(Table8[[#This Row],[Mã khách hàng]],code_khach_hang[],3,0)</f>
        <v>Miền Bắc đặc biệt 2</v>
      </c>
      <c r="H2021" t="str">
        <f>VLOOKUP(Table8[[#This Row],[Mã khách hàng]],'Khách hàng'!A:D,4,0)</f>
        <v>Food Đức Việt</v>
      </c>
      <c r="I2021" t="str">
        <f>VLOOKUP(Table8[[#This Row],[Mã khách hàng]],'Khách hàng'!A:E,5,0)</f>
        <v>HN0040</v>
      </c>
    </row>
    <row r="2022" spans="1:9">
      <c r="A2022" s="14" t="s">
        <v>5974</v>
      </c>
      <c r="B2022" s="15" t="s">
        <v>5</v>
      </c>
      <c r="C2022" s="10" t="s">
        <v>5975</v>
      </c>
      <c r="D2022" s="16" t="s">
        <v>6514</v>
      </c>
      <c r="E2022" s="15" t="s">
        <v>11207</v>
      </c>
      <c r="F2022" s="16" t="str">
        <f>VLOOKUP(Table8[[#This Row],[Mã khách hàng]],code_khach_hang[],2,0)</f>
        <v>CHI NHÁNH THÁI NGUYÊN - CÔNG TY CỔ PHẦN DỊCH VỤ THƯƠNG MẠI TỔNG HỢP WINCOMMERCE</v>
      </c>
      <c r="G2022" s="16" t="str">
        <f>VLOOKUP(Table8[[#This Row],[Mã khách hàng]],code_khach_hang[],3,0)</f>
        <v>Miền Bắc đặc biệt 2</v>
      </c>
      <c r="H2022" t="str">
        <f>VLOOKUP(Table8[[#This Row],[Mã khách hàng]],'Khách hàng'!A:D,4,0)</f>
        <v>Food Đức Việt</v>
      </c>
      <c r="I2022" t="str">
        <f>VLOOKUP(Table8[[#This Row],[Mã khách hàng]],'Khách hàng'!A:E,5,0)</f>
        <v>HN0040</v>
      </c>
    </row>
    <row r="2023" spans="1:9">
      <c r="A2023" s="14" t="s">
        <v>6034</v>
      </c>
      <c r="B2023" s="15" t="s">
        <v>5</v>
      </c>
      <c r="C2023" s="10" t="s">
        <v>6035</v>
      </c>
      <c r="D2023" s="16" t="s">
        <v>6517</v>
      </c>
      <c r="E2023" s="15" t="s">
        <v>11207</v>
      </c>
      <c r="F2023" s="16" t="str">
        <f>VLOOKUP(Table8[[#This Row],[Mã khách hàng]],code_khach_hang[],2,0)</f>
        <v>CHI NHÁNH THÁI NGUYÊN - CÔNG TY CỔ PHẦN DỊCH VỤ THƯƠNG MẠI TỔNG HỢP WINCOMMERCE</v>
      </c>
      <c r="G2023" s="16" t="str">
        <f>VLOOKUP(Table8[[#This Row],[Mã khách hàng]],code_khach_hang[],3,0)</f>
        <v>Miền Bắc đặc biệt 2</v>
      </c>
      <c r="H2023" t="str">
        <f>VLOOKUP(Table8[[#This Row],[Mã khách hàng]],'Khách hàng'!A:D,4,0)</f>
        <v>Food Đức Việt</v>
      </c>
      <c r="I2023" t="str">
        <f>VLOOKUP(Table8[[#This Row],[Mã khách hàng]],'Khách hàng'!A:E,5,0)</f>
        <v>HN0040</v>
      </c>
    </row>
    <row r="2024" spans="1:9">
      <c r="A2024" s="14" t="s">
        <v>6252</v>
      </c>
      <c r="B2024" s="15" t="s">
        <v>5</v>
      </c>
      <c r="C2024" s="10" t="s">
        <v>6253</v>
      </c>
      <c r="D2024" s="16" t="s">
        <v>6520</v>
      </c>
      <c r="E2024" s="15" t="s">
        <v>11207</v>
      </c>
      <c r="F2024" s="16" t="str">
        <f>VLOOKUP(Table8[[#This Row],[Mã khách hàng]],code_khach_hang[],2,0)</f>
        <v>CHI NHÁNH THÁI NGUYÊN - CÔNG TY CỔ PHẦN DỊCH VỤ THƯƠNG MẠI TỔNG HỢP WINCOMMERCE</v>
      </c>
      <c r="G2024" s="16" t="str">
        <f>VLOOKUP(Table8[[#This Row],[Mã khách hàng]],code_khach_hang[],3,0)</f>
        <v>Miền Bắc đặc biệt 2</v>
      </c>
      <c r="H2024" t="str">
        <f>VLOOKUP(Table8[[#This Row],[Mã khách hàng]],'Khách hàng'!A:D,4,0)</f>
        <v>Food Đức Việt</v>
      </c>
      <c r="I2024" t="str">
        <f>VLOOKUP(Table8[[#This Row],[Mã khách hàng]],'Khách hàng'!A:E,5,0)</f>
        <v>HN0040</v>
      </c>
    </row>
    <row r="2025" spans="1:9">
      <c r="A2025" s="14" t="s">
        <v>5801</v>
      </c>
      <c r="B2025" s="15" t="s">
        <v>5</v>
      </c>
      <c r="C2025" s="10" t="s">
        <v>5802</v>
      </c>
      <c r="D2025" s="16" t="s">
        <v>6523</v>
      </c>
      <c r="E2025" s="15" t="s">
        <v>11207</v>
      </c>
      <c r="F2025" s="16" t="str">
        <f>VLOOKUP(Table8[[#This Row],[Mã khách hàng]],code_khach_hang[],2,0)</f>
        <v>CHI NHÁNH THÁI NGUYÊN - CÔNG TY CỔ PHẦN DỊCH VỤ THƯƠNG MẠI TỔNG HỢP WINCOMMERCE</v>
      </c>
      <c r="G2025" s="16" t="str">
        <f>VLOOKUP(Table8[[#This Row],[Mã khách hàng]],code_khach_hang[],3,0)</f>
        <v>Miền Bắc đặc biệt 2</v>
      </c>
      <c r="H2025" t="str">
        <f>VLOOKUP(Table8[[#This Row],[Mã khách hàng]],'Khách hàng'!A:D,4,0)</f>
        <v>Food Đức Việt</v>
      </c>
      <c r="I2025" t="str">
        <f>VLOOKUP(Table8[[#This Row],[Mã khách hàng]],'Khách hàng'!A:E,5,0)</f>
        <v>HN0040</v>
      </c>
    </row>
    <row r="2026" spans="1:9">
      <c r="A2026" s="14" t="s">
        <v>5905</v>
      </c>
      <c r="B2026" s="15" t="s">
        <v>5</v>
      </c>
      <c r="C2026" s="10" t="s">
        <v>5906</v>
      </c>
      <c r="D2026" s="16" t="s">
        <v>6526</v>
      </c>
      <c r="E2026" s="15" t="s">
        <v>11207</v>
      </c>
      <c r="F2026" s="16" t="str">
        <f>VLOOKUP(Table8[[#This Row],[Mã khách hàng]],code_khach_hang[],2,0)</f>
        <v>CHI NHÁNH THÁI NGUYÊN - CÔNG TY CỔ PHẦN DỊCH VỤ THƯƠNG MẠI TỔNG HỢP WINCOMMERCE</v>
      </c>
      <c r="G2026" s="16" t="str">
        <f>VLOOKUP(Table8[[#This Row],[Mã khách hàng]],code_khach_hang[],3,0)</f>
        <v>Miền Bắc đặc biệt 2</v>
      </c>
      <c r="H2026" t="str">
        <f>VLOOKUP(Table8[[#This Row],[Mã khách hàng]],'Khách hàng'!A:D,4,0)</f>
        <v>Food Đức Việt</v>
      </c>
      <c r="I2026" t="str">
        <f>VLOOKUP(Table8[[#This Row],[Mã khách hàng]],'Khách hàng'!A:E,5,0)</f>
        <v>HN0040</v>
      </c>
    </row>
    <row r="2027" spans="1:9">
      <c r="A2027" s="14" t="s">
        <v>7098</v>
      </c>
      <c r="B2027" s="15" t="s">
        <v>5</v>
      </c>
      <c r="C2027" s="10" t="s">
        <v>7099</v>
      </c>
      <c r="D2027" s="16" t="s">
        <v>6529</v>
      </c>
      <c r="E2027" s="15" t="s">
        <v>11207</v>
      </c>
      <c r="F2027" s="16" t="str">
        <f>VLOOKUP(Table8[[#This Row],[Mã khách hàng]],code_khach_hang[],2,0)</f>
        <v>CHI NHÁNH THÁI NGUYÊN - CÔNG TY CỔ PHẦN DỊCH VỤ THƯƠNG MẠI TỔNG HỢP WINCOMMERCE</v>
      </c>
      <c r="G2027" s="16" t="str">
        <f>VLOOKUP(Table8[[#This Row],[Mã khách hàng]],code_khach_hang[],3,0)</f>
        <v>Miền Bắc đặc biệt 2</v>
      </c>
      <c r="H2027" t="str">
        <f>VLOOKUP(Table8[[#This Row],[Mã khách hàng]],'Khách hàng'!A:D,4,0)</f>
        <v>Food Đức Việt</v>
      </c>
      <c r="I2027" t="str">
        <f>VLOOKUP(Table8[[#This Row],[Mã khách hàng]],'Khách hàng'!A:E,5,0)</f>
        <v>HN0040</v>
      </c>
    </row>
    <row r="2028" spans="1:9">
      <c r="A2028" s="14" t="s">
        <v>7288</v>
      </c>
      <c r="B2028" s="15" t="s">
        <v>5</v>
      </c>
      <c r="C2028" s="10" t="s">
        <v>7289</v>
      </c>
      <c r="D2028" s="16" t="s">
        <v>6532</v>
      </c>
      <c r="E2028" s="15" t="s">
        <v>11207</v>
      </c>
      <c r="F2028" s="16" t="str">
        <f>VLOOKUP(Table8[[#This Row],[Mã khách hàng]],code_khach_hang[],2,0)</f>
        <v>CHI NHÁNH THÁI NGUYÊN - CÔNG TY CỔ PHẦN DỊCH VỤ THƯƠNG MẠI TỔNG HỢP WINCOMMERCE</v>
      </c>
      <c r="G2028" s="16" t="str">
        <f>VLOOKUP(Table8[[#This Row],[Mã khách hàng]],code_khach_hang[],3,0)</f>
        <v>Miền Bắc đặc biệt 2</v>
      </c>
      <c r="H2028" t="str">
        <f>VLOOKUP(Table8[[#This Row],[Mã khách hàng]],'Khách hàng'!A:D,4,0)</f>
        <v>Food Đức Việt</v>
      </c>
      <c r="I2028" t="str">
        <f>VLOOKUP(Table8[[#This Row],[Mã khách hàng]],'Khách hàng'!A:E,5,0)</f>
        <v>HN0040</v>
      </c>
    </row>
    <row r="2029" spans="1:9">
      <c r="A2029" s="14" t="s">
        <v>5944</v>
      </c>
      <c r="B2029" s="15" t="s">
        <v>5</v>
      </c>
      <c r="C2029" s="10" t="s">
        <v>5945</v>
      </c>
      <c r="D2029" s="16" t="s">
        <v>6535</v>
      </c>
      <c r="E2029" s="15" t="s">
        <v>11207</v>
      </c>
      <c r="F2029" s="16" t="str">
        <f>VLOOKUP(Table8[[#This Row],[Mã khách hàng]],code_khach_hang[],2,0)</f>
        <v>CHI NHÁNH THÁI NGUYÊN - CÔNG TY CỔ PHẦN DỊCH VỤ THƯƠNG MẠI TỔNG HỢP WINCOMMERCE</v>
      </c>
      <c r="G2029" s="16" t="str">
        <f>VLOOKUP(Table8[[#This Row],[Mã khách hàng]],code_khach_hang[],3,0)</f>
        <v>Miền Bắc đặc biệt 2</v>
      </c>
      <c r="H2029" t="str">
        <f>VLOOKUP(Table8[[#This Row],[Mã khách hàng]],'Khách hàng'!A:D,4,0)</f>
        <v>Food Đức Việt</v>
      </c>
      <c r="I2029" t="str">
        <f>VLOOKUP(Table8[[#This Row],[Mã khách hàng]],'Khách hàng'!A:E,5,0)</f>
        <v>HN0040</v>
      </c>
    </row>
    <row r="2030" spans="1:9">
      <c r="A2030" s="14" t="s">
        <v>5908</v>
      </c>
      <c r="B2030" s="15" t="s">
        <v>5</v>
      </c>
      <c r="C2030" s="10" t="s">
        <v>5909</v>
      </c>
      <c r="D2030" s="16" t="s">
        <v>6538</v>
      </c>
      <c r="E2030" s="15" t="s">
        <v>11207</v>
      </c>
      <c r="F2030" s="16" t="str">
        <f>VLOOKUP(Table8[[#This Row],[Mã khách hàng]],code_khach_hang[],2,0)</f>
        <v>CHI NHÁNH THÁI NGUYÊN - CÔNG TY CỔ PHẦN DỊCH VỤ THƯƠNG MẠI TỔNG HỢP WINCOMMERCE</v>
      </c>
      <c r="G2030" s="16" t="str">
        <f>VLOOKUP(Table8[[#This Row],[Mã khách hàng]],code_khach_hang[],3,0)</f>
        <v>Miền Bắc đặc biệt 2</v>
      </c>
      <c r="H2030" t="str">
        <f>VLOOKUP(Table8[[#This Row],[Mã khách hàng]],'Khách hàng'!A:D,4,0)</f>
        <v>Food Đức Việt</v>
      </c>
      <c r="I2030" t="str">
        <f>VLOOKUP(Table8[[#This Row],[Mã khách hàng]],'Khách hàng'!A:E,5,0)</f>
        <v>HN0040</v>
      </c>
    </row>
    <row r="2031" spans="1:9">
      <c r="A2031" s="14" t="s">
        <v>6770</v>
      </c>
      <c r="B2031" s="15" t="s">
        <v>5</v>
      </c>
      <c r="C2031" s="10" t="s">
        <v>6771</v>
      </c>
      <c r="D2031" s="16" t="s">
        <v>6541</v>
      </c>
      <c r="E2031" s="15" t="s">
        <v>11207</v>
      </c>
      <c r="F2031" s="16" t="str">
        <f>VLOOKUP(Table8[[#This Row],[Mã khách hàng]],code_khach_hang[],2,0)</f>
        <v>CHI NHÁNH THÁI NGUYÊN - CÔNG TY CỔ PHẦN DỊCH VỤ THƯƠNG MẠI TỔNG HỢP WINCOMMERCE</v>
      </c>
      <c r="G2031" s="16" t="str">
        <f>VLOOKUP(Table8[[#This Row],[Mã khách hàng]],code_khach_hang[],3,0)</f>
        <v>Miền Bắc đặc biệt 2</v>
      </c>
      <c r="H2031" t="str">
        <f>VLOOKUP(Table8[[#This Row],[Mã khách hàng]],'Khách hàng'!A:D,4,0)</f>
        <v>Food Đức Việt</v>
      </c>
      <c r="I2031" t="str">
        <f>VLOOKUP(Table8[[#This Row],[Mã khách hàng]],'Khách hàng'!A:E,5,0)</f>
        <v>HN0040</v>
      </c>
    </row>
    <row r="2032" spans="1:9">
      <c r="A2032" s="14" t="s">
        <v>6443</v>
      </c>
      <c r="B2032" s="15" t="s">
        <v>5</v>
      </c>
      <c r="C2032" s="10" t="s">
        <v>6444</v>
      </c>
      <c r="D2032" s="16" t="s">
        <v>6544</v>
      </c>
      <c r="E2032" s="15" t="s">
        <v>11207</v>
      </c>
      <c r="F2032" s="16" t="str">
        <f>VLOOKUP(Table8[[#This Row],[Mã khách hàng]],code_khach_hang[],2,0)</f>
        <v>CHI NHÁNH THÁI NGUYÊN - CÔNG TY CỔ PHẦN DỊCH VỤ THƯƠNG MẠI TỔNG HỢP WINCOMMERCE</v>
      </c>
      <c r="G2032" s="16" t="str">
        <f>VLOOKUP(Table8[[#This Row],[Mã khách hàng]],code_khach_hang[],3,0)</f>
        <v>Miền Bắc đặc biệt 2</v>
      </c>
      <c r="H2032" t="str">
        <f>VLOOKUP(Table8[[#This Row],[Mã khách hàng]],'Khách hàng'!A:D,4,0)</f>
        <v>Food Đức Việt</v>
      </c>
      <c r="I2032" t="str">
        <f>VLOOKUP(Table8[[#This Row],[Mã khách hàng]],'Khách hàng'!A:E,5,0)</f>
        <v>HN0040</v>
      </c>
    </row>
    <row r="2033" spans="1:9">
      <c r="A2033" s="14" t="s">
        <v>8010</v>
      </c>
      <c r="B2033" s="15" t="s">
        <v>5</v>
      </c>
      <c r="C2033" s="10" t="s">
        <v>8011</v>
      </c>
      <c r="D2033" s="16" t="s">
        <v>6547</v>
      </c>
      <c r="E2033" s="15" t="s">
        <v>11207</v>
      </c>
      <c r="F2033" s="16" t="str">
        <f>VLOOKUP(Table8[[#This Row],[Mã khách hàng]],code_khach_hang[],2,0)</f>
        <v>CHI NHÁNH THÁI NGUYÊN - CÔNG TY CỔ PHẦN DỊCH VỤ THƯƠNG MẠI TỔNG HỢP WINCOMMERCE</v>
      </c>
      <c r="G2033" s="16" t="str">
        <f>VLOOKUP(Table8[[#This Row],[Mã khách hàng]],code_khach_hang[],3,0)</f>
        <v>Miền Bắc đặc biệt 2</v>
      </c>
      <c r="H2033" t="str">
        <f>VLOOKUP(Table8[[#This Row],[Mã khách hàng]],'Khách hàng'!A:D,4,0)</f>
        <v>Food Đức Việt</v>
      </c>
      <c r="I2033" t="str">
        <f>VLOOKUP(Table8[[#This Row],[Mã khách hàng]],'Khách hàng'!A:E,5,0)</f>
        <v>HN0040</v>
      </c>
    </row>
    <row r="2034" spans="1:9">
      <c r="A2034" s="14" t="s">
        <v>8544</v>
      </c>
      <c r="B2034" s="15" t="s">
        <v>5</v>
      </c>
      <c r="C2034" s="10" t="s">
        <v>8545</v>
      </c>
      <c r="D2034" s="16" t="s">
        <v>6550</v>
      </c>
      <c r="E2034" s="15" t="s">
        <v>11207</v>
      </c>
      <c r="F2034" s="16" t="str">
        <f>VLOOKUP(Table8[[#This Row],[Mã khách hàng]],code_khach_hang[],2,0)</f>
        <v>CHI NHÁNH THÁI NGUYÊN - CÔNG TY CỔ PHẦN DỊCH VỤ THƯƠNG MẠI TỔNG HỢP WINCOMMERCE</v>
      </c>
      <c r="G2034" s="16" t="str">
        <f>VLOOKUP(Table8[[#This Row],[Mã khách hàng]],code_khach_hang[],3,0)</f>
        <v>Miền Bắc đặc biệt 2</v>
      </c>
      <c r="H2034" t="str">
        <f>VLOOKUP(Table8[[#This Row],[Mã khách hàng]],'Khách hàng'!A:D,4,0)</f>
        <v>Food Đức Việt</v>
      </c>
      <c r="I2034" t="str">
        <f>VLOOKUP(Table8[[#This Row],[Mã khách hàng]],'Khách hàng'!A:E,5,0)</f>
        <v>HN0040</v>
      </c>
    </row>
    <row r="2035" spans="1:9">
      <c r="A2035" s="14" t="s">
        <v>8582</v>
      </c>
      <c r="B2035" s="15" t="s">
        <v>5</v>
      </c>
      <c r="C2035" s="10" t="s">
        <v>8583</v>
      </c>
      <c r="D2035" s="16" t="s">
        <v>6553</v>
      </c>
      <c r="E2035" s="15" t="s">
        <v>11207</v>
      </c>
      <c r="F2035" s="16" t="str">
        <f>VLOOKUP(Table8[[#This Row],[Mã khách hàng]],code_khach_hang[],2,0)</f>
        <v>CHI NHÁNH THÁI NGUYÊN - CÔNG TY CỔ PHẦN DỊCH VỤ THƯƠNG MẠI TỔNG HỢP WINCOMMERCE</v>
      </c>
      <c r="G2035" s="16" t="str">
        <f>VLOOKUP(Table8[[#This Row],[Mã khách hàng]],code_khach_hang[],3,0)</f>
        <v>Miền Bắc đặc biệt 2</v>
      </c>
      <c r="H2035" t="str">
        <f>VLOOKUP(Table8[[#This Row],[Mã khách hàng]],'Khách hàng'!A:D,4,0)</f>
        <v>Food Đức Việt</v>
      </c>
      <c r="I2035" t="str">
        <f>VLOOKUP(Table8[[#This Row],[Mã khách hàng]],'Khách hàng'!A:E,5,0)</f>
        <v>HN0040</v>
      </c>
    </row>
    <row r="2036" spans="1:9">
      <c r="A2036" s="14" t="s">
        <v>8497</v>
      </c>
      <c r="B2036" s="15" t="s">
        <v>5</v>
      </c>
      <c r="C2036" s="10" t="s">
        <v>8498</v>
      </c>
      <c r="D2036" s="16" t="s">
        <v>6556</v>
      </c>
      <c r="E2036" s="15" t="s">
        <v>11207</v>
      </c>
      <c r="F2036" s="16" t="str">
        <f>VLOOKUP(Table8[[#This Row],[Mã khách hàng]],code_khach_hang[],2,0)</f>
        <v>CHI NHÁNH THÁI NGUYÊN - CÔNG TY CỔ PHẦN DỊCH VỤ THƯƠNG MẠI TỔNG HỢP WINCOMMERCE</v>
      </c>
      <c r="G2036" s="16" t="str">
        <f>VLOOKUP(Table8[[#This Row],[Mã khách hàng]],code_khach_hang[],3,0)</f>
        <v>Miền Bắc đặc biệt 2</v>
      </c>
      <c r="H2036" t="str">
        <f>VLOOKUP(Table8[[#This Row],[Mã khách hàng]],'Khách hàng'!A:D,4,0)</f>
        <v>Food Đức Việt</v>
      </c>
      <c r="I2036" t="str">
        <f>VLOOKUP(Table8[[#This Row],[Mã khách hàng]],'Khách hàng'!A:E,5,0)</f>
        <v>HN0040</v>
      </c>
    </row>
    <row r="2037" spans="1:9">
      <c r="A2037" s="14" t="s">
        <v>8172</v>
      </c>
      <c r="B2037" s="15" t="s">
        <v>5</v>
      </c>
      <c r="C2037" s="10" t="s">
        <v>8173</v>
      </c>
      <c r="D2037" s="16" t="s">
        <v>6559</v>
      </c>
      <c r="E2037" s="15" t="s">
        <v>11207</v>
      </c>
      <c r="F2037" s="16" t="str">
        <f>VLOOKUP(Table8[[#This Row],[Mã khách hàng]],code_khach_hang[],2,0)</f>
        <v>CHI NHÁNH THÁI NGUYÊN - CÔNG TY CỔ PHẦN DỊCH VỤ THƯƠNG MẠI TỔNG HỢP WINCOMMERCE</v>
      </c>
      <c r="G2037" s="16" t="str">
        <f>VLOOKUP(Table8[[#This Row],[Mã khách hàng]],code_khach_hang[],3,0)</f>
        <v>Miền Bắc đặc biệt 2</v>
      </c>
      <c r="H2037" t="str">
        <f>VLOOKUP(Table8[[#This Row],[Mã khách hàng]],'Khách hàng'!A:D,4,0)</f>
        <v>Food Đức Việt</v>
      </c>
      <c r="I2037" t="str">
        <f>VLOOKUP(Table8[[#This Row],[Mã khách hàng]],'Khách hàng'!A:E,5,0)</f>
        <v>HN0040</v>
      </c>
    </row>
    <row r="2038" spans="1:9">
      <c r="A2038" s="14" t="s">
        <v>8605</v>
      </c>
      <c r="B2038" s="15" t="s">
        <v>5</v>
      </c>
      <c r="C2038" s="10" t="s">
        <v>8606</v>
      </c>
      <c r="D2038" s="16" t="s">
        <v>6562</v>
      </c>
      <c r="E2038" s="15" t="s">
        <v>11207</v>
      </c>
      <c r="F2038" s="16" t="str">
        <f>VLOOKUP(Table8[[#This Row],[Mã khách hàng]],code_khach_hang[],2,0)</f>
        <v>CHI NHÁNH THÁI NGUYÊN - CÔNG TY CỔ PHẦN DỊCH VỤ THƯƠNG MẠI TỔNG HỢP WINCOMMERCE</v>
      </c>
      <c r="G2038" s="16" t="str">
        <f>VLOOKUP(Table8[[#This Row],[Mã khách hàng]],code_khach_hang[],3,0)</f>
        <v>Miền Bắc đặc biệt 2</v>
      </c>
      <c r="H2038" t="str">
        <f>VLOOKUP(Table8[[#This Row],[Mã khách hàng]],'Khách hàng'!A:D,4,0)</f>
        <v>Food Đức Việt</v>
      </c>
      <c r="I2038" t="str">
        <f>VLOOKUP(Table8[[#This Row],[Mã khách hàng]],'Khách hàng'!A:E,5,0)</f>
        <v>HN0040</v>
      </c>
    </row>
    <row r="2039" spans="1:9">
      <c r="A2039" s="14" t="s">
        <v>8768</v>
      </c>
      <c r="B2039" s="15" t="s">
        <v>5</v>
      </c>
      <c r="C2039" s="10" t="s">
        <v>8769</v>
      </c>
      <c r="D2039" s="16" t="s">
        <v>6565</v>
      </c>
      <c r="E2039" s="15" t="s">
        <v>11207</v>
      </c>
      <c r="F2039" s="16" t="str">
        <f>VLOOKUP(Table8[[#This Row],[Mã khách hàng]],code_khach_hang[],2,0)</f>
        <v>CHI NHÁNH THÁI NGUYÊN - CÔNG TY CỔ PHẦN DỊCH VỤ THƯƠNG MẠI TỔNG HỢP WINCOMMERCE</v>
      </c>
      <c r="G2039" s="16" t="str">
        <f>VLOOKUP(Table8[[#This Row],[Mã khách hàng]],code_khach_hang[],3,0)</f>
        <v>Miền Bắc đặc biệt 2</v>
      </c>
      <c r="H2039" t="str">
        <f>VLOOKUP(Table8[[#This Row],[Mã khách hàng]],'Khách hàng'!A:D,4,0)</f>
        <v>Food Đức Việt</v>
      </c>
      <c r="I2039" t="str">
        <f>VLOOKUP(Table8[[#This Row],[Mã khách hàng]],'Khách hàng'!A:E,5,0)</f>
        <v>HN0040</v>
      </c>
    </row>
    <row r="2040" spans="1:9">
      <c r="A2040" s="14" t="s">
        <v>7912</v>
      </c>
      <c r="B2040" s="15" t="s">
        <v>5</v>
      </c>
      <c r="C2040" s="10" t="s">
        <v>7913</v>
      </c>
      <c r="D2040" s="16" t="s">
        <v>6568</v>
      </c>
      <c r="E2040" s="15" t="s">
        <v>11204</v>
      </c>
      <c r="F2040" s="16" t="str">
        <f>VLOOKUP(Table8[[#This Row],[Mã khách hàng]],code_khach_hang[],2,0)</f>
        <v>CHI NHÁNH TUYÊN QUANG - CÔNG TY CỔ PHẦN DỊCH VỤ THƯƠNG MẠI TỔNG HỢP WINCOMMERCE</v>
      </c>
      <c r="G2040" s="16" t="str">
        <f>VLOOKUP(Table8[[#This Row],[Mã khách hàng]],code_khach_hang[],3,0)</f>
        <v>Miền Bắc đặc biệt 2</v>
      </c>
      <c r="H2040" t="str">
        <f>VLOOKUP(Table8[[#This Row],[Mã khách hàng]],'Khách hàng'!A:D,4,0)</f>
        <v>Food Đức Việt</v>
      </c>
      <c r="I2040" t="str">
        <f>VLOOKUP(Table8[[#This Row],[Mã khách hàng]],'Khách hàng'!A:E,5,0)</f>
        <v>HN0040</v>
      </c>
    </row>
    <row r="2041" spans="1:9">
      <c r="A2041" s="14" t="s">
        <v>8109</v>
      </c>
      <c r="B2041" s="15" t="s">
        <v>5</v>
      </c>
      <c r="C2041" s="10" t="s">
        <v>8110</v>
      </c>
      <c r="D2041" s="16" t="s">
        <v>6571</v>
      </c>
      <c r="E2041" s="15" t="s">
        <v>11204</v>
      </c>
      <c r="F2041" s="16" t="str">
        <f>VLOOKUP(Table8[[#This Row],[Mã khách hàng]],code_khach_hang[],2,0)</f>
        <v>CHI NHÁNH TUYÊN QUANG - CÔNG TY CỔ PHẦN DỊCH VỤ THƯƠNG MẠI TỔNG HỢP WINCOMMERCE</v>
      </c>
      <c r="G2041" s="16" t="str">
        <f>VLOOKUP(Table8[[#This Row],[Mã khách hàng]],code_khach_hang[],3,0)</f>
        <v>Miền Bắc đặc biệt 2</v>
      </c>
      <c r="H2041" t="str">
        <f>VLOOKUP(Table8[[#This Row],[Mã khách hàng]],'Khách hàng'!A:D,4,0)</f>
        <v>Food Đức Việt</v>
      </c>
      <c r="I2041" t="str">
        <f>VLOOKUP(Table8[[#This Row],[Mã khách hàng]],'Khách hàng'!A:E,5,0)</f>
        <v>HN0040</v>
      </c>
    </row>
    <row r="2042" spans="1:9">
      <c r="A2042" s="14" t="s">
        <v>7966</v>
      </c>
      <c r="B2042" s="15" t="s">
        <v>5</v>
      </c>
      <c r="C2042" s="10" t="s">
        <v>7967</v>
      </c>
      <c r="D2042" s="16" t="s">
        <v>6574</v>
      </c>
      <c r="E2042" s="15" t="s">
        <v>11204</v>
      </c>
      <c r="F2042" s="16" t="str">
        <f>VLOOKUP(Table8[[#This Row],[Mã khách hàng]],code_khach_hang[],2,0)</f>
        <v>CHI NHÁNH TUYÊN QUANG - CÔNG TY CỔ PHẦN DỊCH VỤ THƯƠNG MẠI TỔNG HỢP WINCOMMERCE</v>
      </c>
      <c r="G2042" s="16" t="str">
        <f>VLOOKUP(Table8[[#This Row],[Mã khách hàng]],code_khach_hang[],3,0)</f>
        <v>Miền Bắc đặc biệt 2</v>
      </c>
      <c r="H2042" t="str">
        <f>VLOOKUP(Table8[[#This Row],[Mã khách hàng]],'Khách hàng'!A:D,4,0)</f>
        <v>Food Đức Việt</v>
      </c>
      <c r="I2042" t="str">
        <f>VLOOKUP(Table8[[#This Row],[Mã khách hàng]],'Khách hàng'!A:E,5,0)</f>
        <v>HN0040</v>
      </c>
    </row>
    <row r="2043" spans="1:9">
      <c r="A2043" s="14" t="s">
        <v>5854</v>
      </c>
      <c r="B2043" s="15" t="s">
        <v>5</v>
      </c>
      <c r="C2043" s="10" t="s">
        <v>5855</v>
      </c>
      <c r="D2043" s="16" t="s">
        <v>6577</v>
      </c>
      <c r="E2043" s="15" t="s">
        <v>11204</v>
      </c>
      <c r="F2043" s="16" t="str">
        <f>VLOOKUP(Table8[[#This Row],[Mã khách hàng]],code_khach_hang[],2,0)</f>
        <v>CHI NHÁNH TUYÊN QUANG - CÔNG TY CỔ PHẦN DỊCH VỤ THƯƠNG MẠI TỔNG HỢP WINCOMMERCE</v>
      </c>
      <c r="G2043" s="16" t="str">
        <f>VLOOKUP(Table8[[#This Row],[Mã khách hàng]],code_khach_hang[],3,0)</f>
        <v>Miền Bắc đặc biệt 2</v>
      </c>
      <c r="H2043" t="str">
        <f>VLOOKUP(Table8[[#This Row],[Mã khách hàng]],'Khách hàng'!A:D,4,0)</f>
        <v>Food Đức Việt</v>
      </c>
      <c r="I2043" t="str">
        <f>VLOOKUP(Table8[[#This Row],[Mã khách hàng]],'Khách hàng'!A:E,5,0)</f>
        <v>HN0040</v>
      </c>
    </row>
    <row r="2044" spans="1:9">
      <c r="A2044" s="14" t="s">
        <v>7637</v>
      </c>
      <c r="B2044" s="15" t="s">
        <v>5</v>
      </c>
      <c r="C2044" s="10" t="s">
        <v>7638</v>
      </c>
      <c r="D2044" s="16" t="s">
        <v>6580</v>
      </c>
      <c r="E2044" s="15" t="s">
        <v>11204</v>
      </c>
      <c r="F2044" s="16" t="str">
        <f>VLOOKUP(Table8[[#This Row],[Mã khách hàng]],code_khach_hang[],2,0)</f>
        <v>CHI NHÁNH TUYÊN QUANG - CÔNG TY CỔ PHẦN DỊCH VỤ THƯƠNG MẠI TỔNG HỢP WINCOMMERCE</v>
      </c>
      <c r="G2044" s="16" t="str">
        <f>VLOOKUP(Table8[[#This Row],[Mã khách hàng]],code_khach_hang[],3,0)</f>
        <v>Miền Bắc đặc biệt 2</v>
      </c>
      <c r="H2044" t="str">
        <f>VLOOKUP(Table8[[#This Row],[Mã khách hàng]],'Khách hàng'!A:D,4,0)</f>
        <v>Food Đức Việt</v>
      </c>
      <c r="I2044" t="str">
        <f>VLOOKUP(Table8[[#This Row],[Mã khách hàng]],'Khách hàng'!A:E,5,0)</f>
        <v>HN0040</v>
      </c>
    </row>
    <row r="2045" spans="1:9">
      <c r="A2045" s="14" t="s">
        <v>7872</v>
      </c>
      <c r="B2045" s="15" t="s">
        <v>5</v>
      </c>
      <c r="C2045" s="10" t="s">
        <v>7873</v>
      </c>
      <c r="D2045" s="16" t="s">
        <v>6583</v>
      </c>
      <c r="E2045" s="15" t="s">
        <v>11204</v>
      </c>
      <c r="F2045" s="16" t="str">
        <f>VLOOKUP(Table8[[#This Row],[Mã khách hàng]],code_khach_hang[],2,0)</f>
        <v>CHI NHÁNH TUYÊN QUANG - CÔNG TY CỔ PHẦN DỊCH VỤ THƯƠNG MẠI TỔNG HỢP WINCOMMERCE</v>
      </c>
      <c r="G2045" s="16" t="str">
        <f>VLOOKUP(Table8[[#This Row],[Mã khách hàng]],code_khach_hang[],3,0)</f>
        <v>Miền Bắc đặc biệt 2</v>
      </c>
      <c r="H2045" t="str">
        <f>VLOOKUP(Table8[[#This Row],[Mã khách hàng]],'Khách hàng'!A:D,4,0)</f>
        <v>Food Đức Việt</v>
      </c>
      <c r="I2045" t="str">
        <f>VLOOKUP(Table8[[#This Row],[Mã khách hàng]],'Khách hàng'!A:E,5,0)</f>
        <v>HN0040</v>
      </c>
    </row>
    <row r="2046" spans="1:9">
      <c r="A2046" s="14" t="s">
        <v>6773</v>
      </c>
      <c r="B2046" s="15" t="s">
        <v>5</v>
      </c>
      <c r="C2046" s="10" t="s">
        <v>6774</v>
      </c>
      <c r="D2046" s="16" t="s">
        <v>6586</v>
      </c>
      <c r="E2046" s="15" t="s">
        <v>11204</v>
      </c>
      <c r="F2046" s="16" t="str">
        <f>VLOOKUP(Table8[[#This Row],[Mã khách hàng]],code_khach_hang[],2,0)</f>
        <v>CHI NHÁNH TUYÊN QUANG - CÔNG TY CỔ PHẦN DỊCH VỤ THƯƠNG MẠI TỔNG HỢP WINCOMMERCE</v>
      </c>
      <c r="G2046" s="16" t="str">
        <f>VLOOKUP(Table8[[#This Row],[Mã khách hàng]],code_khach_hang[],3,0)</f>
        <v>Miền Bắc đặc biệt 2</v>
      </c>
      <c r="H2046" t="str">
        <f>VLOOKUP(Table8[[#This Row],[Mã khách hàng]],'Khách hàng'!A:D,4,0)</f>
        <v>Food Đức Việt</v>
      </c>
      <c r="I2046" t="str">
        <f>VLOOKUP(Table8[[#This Row],[Mã khách hàng]],'Khách hàng'!A:E,5,0)</f>
        <v>HN0040</v>
      </c>
    </row>
    <row r="2047" spans="1:9">
      <c r="A2047" s="14" t="s">
        <v>5833</v>
      </c>
      <c r="B2047" s="15" t="s">
        <v>5</v>
      </c>
      <c r="C2047" s="10" t="s">
        <v>5834</v>
      </c>
      <c r="D2047" s="16" t="s">
        <v>6589</v>
      </c>
      <c r="E2047" s="15" t="s">
        <v>11204</v>
      </c>
      <c r="F2047" s="16" t="str">
        <f>VLOOKUP(Table8[[#This Row],[Mã khách hàng]],code_khach_hang[],2,0)</f>
        <v>CHI NHÁNH TUYÊN QUANG - CÔNG TY CỔ PHẦN DỊCH VỤ THƯƠNG MẠI TỔNG HỢP WINCOMMERCE</v>
      </c>
      <c r="G2047" s="16" t="str">
        <f>VLOOKUP(Table8[[#This Row],[Mã khách hàng]],code_khach_hang[],3,0)</f>
        <v>Miền Bắc đặc biệt 2</v>
      </c>
      <c r="H2047" t="str">
        <f>VLOOKUP(Table8[[#This Row],[Mã khách hàng]],'Khách hàng'!A:D,4,0)</f>
        <v>Food Đức Việt</v>
      </c>
      <c r="I2047" t="str">
        <f>VLOOKUP(Table8[[#This Row],[Mã khách hàng]],'Khách hàng'!A:E,5,0)</f>
        <v>HN0040</v>
      </c>
    </row>
    <row r="2048" spans="1:9">
      <c r="A2048" s="14" t="s">
        <v>5597</v>
      </c>
      <c r="B2048" s="15" t="s">
        <v>5</v>
      </c>
      <c r="C2048" s="10" t="s">
        <v>5598</v>
      </c>
      <c r="D2048" s="16" t="s">
        <v>6592</v>
      </c>
      <c r="E2048" s="15" t="s">
        <v>11204</v>
      </c>
      <c r="F2048" s="16" t="str">
        <f>VLOOKUP(Table8[[#This Row],[Mã khách hàng]],code_khach_hang[],2,0)</f>
        <v>CHI NHÁNH TUYÊN QUANG - CÔNG TY CỔ PHẦN DỊCH VỤ THƯƠNG MẠI TỔNG HỢP WINCOMMERCE</v>
      </c>
      <c r="G2048" s="16" t="str">
        <f>VLOOKUP(Table8[[#This Row],[Mã khách hàng]],code_khach_hang[],3,0)</f>
        <v>Miền Bắc đặc biệt 2</v>
      </c>
      <c r="H2048" t="str">
        <f>VLOOKUP(Table8[[#This Row],[Mã khách hàng]],'Khách hàng'!A:D,4,0)</f>
        <v>Food Đức Việt</v>
      </c>
      <c r="I2048" t="str">
        <f>VLOOKUP(Table8[[#This Row],[Mã khách hàng]],'Khách hàng'!A:E,5,0)</f>
        <v>HN0040</v>
      </c>
    </row>
    <row r="2049" spans="1:9">
      <c r="A2049" s="14" t="s">
        <v>5683</v>
      </c>
      <c r="B2049" s="15" t="s">
        <v>5</v>
      </c>
      <c r="C2049" s="10" t="s">
        <v>5684</v>
      </c>
      <c r="D2049" s="16" t="s">
        <v>6595</v>
      </c>
      <c r="E2049" s="15" t="s">
        <v>11204</v>
      </c>
      <c r="F2049" s="16" t="str">
        <f>VLOOKUP(Table8[[#This Row],[Mã khách hàng]],code_khach_hang[],2,0)</f>
        <v>CHI NHÁNH TUYÊN QUANG - CÔNG TY CỔ PHẦN DỊCH VỤ THƯƠNG MẠI TỔNG HỢP WINCOMMERCE</v>
      </c>
      <c r="G2049" s="16" t="str">
        <f>VLOOKUP(Table8[[#This Row],[Mã khách hàng]],code_khach_hang[],3,0)</f>
        <v>Miền Bắc đặc biệt 2</v>
      </c>
      <c r="H2049" t="str">
        <f>VLOOKUP(Table8[[#This Row],[Mã khách hàng]],'Khách hàng'!A:D,4,0)</f>
        <v>Food Đức Việt</v>
      </c>
      <c r="I2049" t="str">
        <f>VLOOKUP(Table8[[#This Row],[Mã khách hàng]],'Khách hàng'!A:E,5,0)</f>
        <v>HN0040</v>
      </c>
    </row>
    <row r="2050" spans="1:9">
      <c r="A2050" s="14" t="s">
        <v>7153</v>
      </c>
      <c r="B2050" s="15" t="s">
        <v>5</v>
      </c>
      <c r="C2050" s="10" t="s">
        <v>7154</v>
      </c>
      <c r="D2050" s="16" t="s">
        <v>6598</v>
      </c>
      <c r="E2050" s="15" t="s">
        <v>11204</v>
      </c>
      <c r="F2050" s="16" t="str">
        <f>VLOOKUP(Table8[[#This Row],[Mã khách hàng]],code_khach_hang[],2,0)</f>
        <v>CHI NHÁNH TUYÊN QUANG - CÔNG TY CỔ PHẦN DỊCH VỤ THƯƠNG MẠI TỔNG HỢP WINCOMMERCE</v>
      </c>
      <c r="G2050" s="16" t="str">
        <f>VLOOKUP(Table8[[#This Row],[Mã khách hàng]],code_khach_hang[],3,0)</f>
        <v>Miền Bắc đặc biệt 2</v>
      </c>
      <c r="H2050" t="str">
        <f>VLOOKUP(Table8[[#This Row],[Mã khách hàng]],'Khách hàng'!A:D,4,0)</f>
        <v>Food Đức Việt</v>
      </c>
      <c r="I2050" t="str">
        <f>VLOOKUP(Table8[[#This Row],[Mã khách hàng]],'Khách hàng'!A:E,5,0)</f>
        <v>HN0040</v>
      </c>
    </row>
    <row r="2051" spans="1:9">
      <c r="A2051" s="14" t="s">
        <v>5709</v>
      </c>
      <c r="B2051" s="15" t="s">
        <v>5</v>
      </c>
      <c r="C2051" s="10" t="s">
        <v>5710</v>
      </c>
      <c r="D2051" s="16" t="s">
        <v>6601</v>
      </c>
      <c r="E2051" s="15" t="s">
        <v>11204</v>
      </c>
      <c r="F2051" s="16" t="str">
        <f>VLOOKUP(Table8[[#This Row],[Mã khách hàng]],code_khach_hang[],2,0)</f>
        <v>CHI NHÁNH TUYÊN QUANG - CÔNG TY CỔ PHẦN DỊCH VỤ THƯƠNG MẠI TỔNG HỢP WINCOMMERCE</v>
      </c>
      <c r="G2051" s="16" t="str">
        <f>VLOOKUP(Table8[[#This Row],[Mã khách hàng]],code_khach_hang[],3,0)</f>
        <v>Miền Bắc đặc biệt 2</v>
      </c>
      <c r="H2051" t="str">
        <f>VLOOKUP(Table8[[#This Row],[Mã khách hàng]],'Khách hàng'!A:D,4,0)</f>
        <v>Food Đức Việt</v>
      </c>
      <c r="I2051" t="str">
        <f>VLOOKUP(Table8[[#This Row],[Mã khách hàng]],'Khách hàng'!A:E,5,0)</f>
        <v>HN0040</v>
      </c>
    </row>
    <row r="2052" spans="1:9">
      <c r="A2052" s="14" t="s">
        <v>7598</v>
      </c>
      <c r="B2052" s="15" t="s">
        <v>5</v>
      </c>
      <c r="C2052" s="10" t="s">
        <v>7599</v>
      </c>
      <c r="D2052" s="16" t="s">
        <v>6604</v>
      </c>
      <c r="E2052" s="15" t="s">
        <v>11204</v>
      </c>
      <c r="F2052" s="16" t="str">
        <f>VLOOKUP(Table8[[#This Row],[Mã khách hàng]],code_khach_hang[],2,0)</f>
        <v>CHI NHÁNH TUYÊN QUANG - CÔNG TY CỔ PHẦN DỊCH VỤ THƯƠNG MẠI TỔNG HỢP WINCOMMERCE</v>
      </c>
      <c r="G2052" s="16" t="str">
        <f>VLOOKUP(Table8[[#This Row],[Mã khách hàng]],code_khach_hang[],3,0)</f>
        <v>Miền Bắc đặc biệt 2</v>
      </c>
      <c r="H2052" t="str">
        <f>VLOOKUP(Table8[[#This Row],[Mã khách hàng]],'Khách hàng'!A:D,4,0)</f>
        <v>Food Đức Việt</v>
      </c>
      <c r="I2052" t="str">
        <f>VLOOKUP(Table8[[#This Row],[Mã khách hàng]],'Khách hàng'!A:E,5,0)</f>
        <v>HN0040</v>
      </c>
    </row>
    <row r="2053" spans="1:9">
      <c r="A2053" s="14" t="s">
        <v>7234</v>
      </c>
      <c r="B2053" s="15" t="s">
        <v>5</v>
      </c>
      <c r="C2053" s="10" t="s">
        <v>7235</v>
      </c>
      <c r="D2053" s="16" t="s">
        <v>6607</v>
      </c>
      <c r="E2053" s="15" t="s">
        <v>11204</v>
      </c>
      <c r="F2053" s="16" t="str">
        <f>VLOOKUP(Table8[[#This Row],[Mã khách hàng]],code_khach_hang[],2,0)</f>
        <v>CHI NHÁNH TUYÊN QUANG - CÔNG TY CỔ PHẦN DỊCH VỤ THƯƠNG MẠI TỔNG HỢP WINCOMMERCE</v>
      </c>
      <c r="G2053" s="16" t="str">
        <f>VLOOKUP(Table8[[#This Row],[Mã khách hàng]],code_khach_hang[],3,0)</f>
        <v>Miền Bắc đặc biệt 2</v>
      </c>
      <c r="H2053" t="str">
        <f>VLOOKUP(Table8[[#This Row],[Mã khách hàng]],'Khách hàng'!A:D,4,0)</f>
        <v>Food Đức Việt</v>
      </c>
      <c r="I2053" t="str">
        <f>VLOOKUP(Table8[[#This Row],[Mã khách hàng]],'Khách hàng'!A:E,5,0)</f>
        <v>HN0040</v>
      </c>
    </row>
    <row r="2054" spans="1:9">
      <c r="A2054" s="14" t="s">
        <v>7137</v>
      </c>
      <c r="B2054" s="15" t="s">
        <v>5</v>
      </c>
      <c r="C2054" s="10" t="s">
        <v>7138</v>
      </c>
      <c r="D2054" s="16" t="s">
        <v>6610</v>
      </c>
      <c r="E2054" s="15" t="s">
        <v>11204</v>
      </c>
      <c r="F2054" s="16" t="str">
        <f>VLOOKUP(Table8[[#This Row],[Mã khách hàng]],code_khach_hang[],2,0)</f>
        <v>CHI NHÁNH TUYÊN QUANG - CÔNG TY CỔ PHẦN DỊCH VỤ THƯƠNG MẠI TỔNG HỢP WINCOMMERCE</v>
      </c>
      <c r="G2054" s="16" t="str">
        <f>VLOOKUP(Table8[[#This Row],[Mã khách hàng]],code_khach_hang[],3,0)</f>
        <v>Miền Bắc đặc biệt 2</v>
      </c>
      <c r="H2054" t="str">
        <f>VLOOKUP(Table8[[#This Row],[Mã khách hàng]],'Khách hàng'!A:D,4,0)</f>
        <v>Food Đức Việt</v>
      </c>
      <c r="I2054" t="str">
        <f>VLOOKUP(Table8[[#This Row],[Mã khách hàng]],'Khách hàng'!A:E,5,0)</f>
        <v>HN0040</v>
      </c>
    </row>
    <row r="2055" spans="1:9">
      <c r="A2055" s="14" t="s">
        <v>5741</v>
      </c>
      <c r="B2055" s="15" t="s">
        <v>5</v>
      </c>
      <c r="C2055" s="10" t="s">
        <v>5742</v>
      </c>
      <c r="D2055" s="16" t="s">
        <v>6613</v>
      </c>
      <c r="E2055" s="15" t="s">
        <v>11204</v>
      </c>
      <c r="F2055" s="16" t="str">
        <f>VLOOKUP(Table8[[#This Row],[Mã khách hàng]],code_khach_hang[],2,0)</f>
        <v>CHI NHÁNH TUYÊN QUANG - CÔNG TY CỔ PHẦN DỊCH VỤ THƯƠNG MẠI TỔNG HỢP WINCOMMERCE</v>
      </c>
      <c r="G2055" s="16" t="str">
        <f>VLOOKUP(Table8[[#This Row],[Mã khách hàng]],code_khach_hang[],3,0)</f>
        <v>Miền Bắc đặc biệt 2</v>
      </c>
      <c r="H2055" t="str">
        <f>VLOOKUP(Table8[[#This Row],[Mã khách hàng]],'Khách hàng'!A:D,4,0)</f>
        <v>Food Đức Việt</v>
      </c>
      <c r="I2055" t="str">
        <f>VLOOKUP(Table8[[#This Row],[Mã khách hàng]],'Khách hàng'!A:E,5,0)</f>
        <v>HN0040</v>
      </c>
    </row>
    <row r="2056" spans="1:9">
      <c r="A2056" s="14" t="s">
        <v>7253</v>
      </c>
      <c r="B2056" s="15" t="s">
        <v>5</v>
      </c>
      <c r="C2056" s="10" t="s">
        <v>7254</v>
      </c>
      <c r="D2056" s="16" t="s">
        <v>6616</v>
      </c>
      <c r="E2056" s="15" t="s">
        <v>11204</v>
      </c>
      <c r="F2056" s="16" t="str">
        <f>VLOOKUP(Table8[[#This Row],[Mã khách hàng]],code_khach_hang[],2,0)</f>
        <v>CHI NHÁNH TUYÊN QUANG - CÔNG TY CỔ PHẦN DỊCH VỤ THƯƠNG MẠI TỔNG HỢP WINCOMMERCE</v>
      </c>
      <c r="G2056" s="16" t="str">
        <f>VLOOKUP(Table8[[#This Row],[Mã khách hàng]],code_khach_hang[],3,0)</f>
        <v>Miền Bắc đặc biệt 2</v>
      </c>
      <c r="H2056" t="str">
        <f>VLOOKUP(Table8[[#This Row],[Mã khách hàng]],'Khách hàng'!A:D,4,0)</f>
        <v>Food Đức Việt</v>
      </c>
      <c r="I2056" t="str">
        <f>VLOOKUP(Table8[[#This Row],[Mã khách hàng]],'Khách hàng'!A:E,5,0)</f>
        <v>HN0040</v>
      </c>
    </row>
    <row r="2057" spans="1:9">
      <c r="A2057" s="14" t="s">
        <v>5582</v>
      </c>
      <c r="B2057" s="15" t="s">
        <v>5</v>
      </c>
      <c r="C2057" s="10" t="s">
        <v>5583</v>
      </c>
      <c r="D2057" s="16" t="s">
        <v>6619</v>
      </c>
      <c r="E2057" s="15" t="s">
        <v>11204</v>
      </c>
      <c r="F2057" s="16" t="str">
        <f>VLOOKUP(Table8[[#This Row],[Mã khách hàng]],code_khach_hang[],2,0)</f>
        <v>CHI NHÁNH TUYÊN QUANG - CÔNG TY CỔ PHẦN DỊCH VỤ THƯƠNG MẠI TỔNG HỢP WINCOMMERCE</v>
      </c>
      <c r="G2057" s="16" t="str">
        <f>VLOOKUP(Table8[[#This Row],[Mã khách hàng]],code_khach_hang[],3,0)</f>
        <v>Miền Bắc đặc biệt 2</v>
      </c>
      <c r="H2057" t="str">
        <f>VLOOKUP(Table8[[#This Row],[Mã khách hàng]],'Khách hàng'!A:D,4,0)</f>
        <v>Food Đức Việt</v>
      </c>
      <c r="I2057" t="str">
        <f>VLOOKUP(Table8[[#This Row],[Mã khách hàng]],'Khách hàng'!A:E,5,0)</f>
        <v>HN0040</v>
      </c>
    </row>
    <row r="2058" spans="1:9">
      <c r="A2058" s="14" t="s">
        <v>6776</v>
      </c>
      <c r="B2058" s="15" t="s">
        <v>5</v>
      </c>
      <c r="C2058" s="10" t="s">
        <v>6777</v>
      </c>
      <c r="D2058" s="16" t="s">
        <v>6622</v>
      </c>
      <c r="E2058" s="15" t="s">
        <v>11204</v>
      </c>
      <c r="F2058" s="16" t="str">
        <f>VLOOKUP(Table8[[#This Row],[Mã khách hàng]],code_khach_hang[],2,0)</f>
        <v>CHI NHÁNH TUYÊN QUANG - CÔNG TY CỔ PHẦN DỊCH VỤ THƯƠNG MẠI TỔNG HỢP WINCOMMERCE</v>
      </c>
      <c r="G2058" s="16" t="str">
        <f>VLOOKUP(Table8[[#This Row],[Mã khách hàng]],code_khach_hang[],3,0)</f>
        <v>Miền Bắc đặc biệt 2</v>
      </c>
      <c r="H2058" t="str">
        <f>VLOOKUP(Table8[[#This Row],[Mã khách hàng]],'Khách hàng'!A:D,4,0)</f>
        <v>Food Đức Việt</v>
      </c>
      <c r="I2058" t="str">
        <f>VLOOKUP(Table8[[#This Row],[Mã khách hàng]],'Khách hàng'!A:E,5,0)</f>
        <v>HN0040</v>
      </c>
    </row>
    <row r="2059" spans="1:9">
      <c r="A2059" s="14" t="s">
        <v>7673</v>
      </c>
      <c r="B2059" s="15" t="s">
        <v>5</v>
      </c>
      <c r="C2059" s="10" t="s">
        <v>7674</v>
      </c>
      <c r="D2059" s="16" t="s">
        <v>6625</v>
      </c>
      <c r="E2059" s="15" t="s">
        <v>11204</v>
      </c>
      <c r="F2059" s="16" t="str">
        <f>VLOOKUP(Table8[[#This Row],[Mã khách hàng]],code_khach_hang[],2,0)</f>
        <v>CHI NHÁNH TUYÊN QUANG - CÔNG TY CỔ PHẦN DỊCH VỤ THƯƠNG MẠI TỔNG HỢP WINCOMMERCE</v>
      </c>
      <c r="G2059" s="16" t="str">
        <f>VLOOKUP(Table8[[#This Row],[Mã khách hàng]],code_khach_hang[],3,0)</f>
        <v>Miền Bắc đặc biệt 2</v>
      </c>
      <c r="H2059" t="str">
        <f>VLOOKUP(Table8[[#This Row],[Mã khách hàng]],'Khách hàng'!A:D,4,0)</f>
        <v>Food Đức Việt</v>
      </c>
      <c r="I2059" t="str">
        <f>VLOOKUP(Table8[[#This Row],[Mã khách hàng]],'Khách hàng'!A:E,5,0)</f>
        <v>HN0040</v>
      </c>
    </row>
    <row r="2060" spans="1:9">
      <c r="A2060" s="14" t="s">
        <v>7550</v>
      </c>
      <c r="B2060" s="15" t="s">
        <v>5</v>
      </c>
      <c r="C2060" s="10" t="s">
        <v>7551</v>
      </c>
      <c r="D2060" s="16" t="s">
        <v>6628</v>
      </c>
      <c r="E2060" s="15" t="s">
        <v>11204</v>
      </c>
      <c r="F2060" s="16" t="str">
        <f>VLOOKUP(Table8[[#This Row],[Mã khách hàng]],code_khach_hang[],2,0)</f>
        <v>CHI NHÁNH TUYÊN QUANG - CÔNG TY CỔ PHẦN DỊCH VỤ THƯƠNG MẠI TỔNG HỢP WINCOMMERCE</v>
      </c>
      <c r="G2060" s="16" t="str">
        <f>VLOOKUP(Table8[[#This Row],[Mã khách hàng]],code_khach_hang[],3,0)</f>
        <v>Miền Bắc đặc biệt 2</v>
      </c>
      <c r="H2060" t="str">
        <f>VLOOKUP(Table8[[#This Row],[Mã khách hàng]],'Khách hàng'!A:D,4,0)</f>
        <v>Food Đức Việt</v>
      </c>
      <c r="I2060" t="str">
        <f>VLOOKUP(Table8[[#This Row],[Mã khách hàng]],'Khách hàng'!A:E,5,0)</f>
        <v>HN0040</v>
      </c>
    </row>
    <row r="2061" spans="1:9">
      <c r="A2061" s="14" t="s">
        <v>7553</v>
      </c>
      <c r="B2061" s="15" t="s">
        <v>5</v>
      </c>
      <c r="C2061" s="10" t="s">
        <v>7554</v>
      </c>
      <c r="D2061" s="16" t="s">
        <v>6631</v>
      </c>
      <c r="E2061" s="15" t="s">
        <v>11204</v>
      </c>
      <c r="F2061" s="16" t="str">
        <f>VLOOKUP(Table8[[#This Row],[Mã khách hàng]],code_khach_hang[],2,0)</f>
        <v>CHI NHÁNH TUYÊN QUANG - CÔNG TY CỔ PHẦN DỊCH VỤ THƯƠNG MẠI TỔNG HỢP WINCOMMERCE</v>
      </c>
      <c r="G2061" s="16" t="str">
        <f>VLOOKUP(Table8[[#This Row],[Mã khách hàng]],code_khach_hang[],3,0)</f>
        <v>Miền Bắc đặc biệt 2</v>
      </c>
      <c r="H2061" t="str">
        <f>VLOOKUP(Table8[[#This Row],[Mã khách hàng]],'Khách hàng'!A:D,4,0)</f>
        <v>Food Đức Việt</v>
      </c>
      <c r="I2061" t="str">
        <f>VLOOKUP(Table8[[#This Row],[Mã khách hàng]],'Khách hàng'!A:E,5,0)</f>
        <v>HN0040</v>
      </c>
    </row>
    <row r="2062" spans="1:9">
      <c r="A2062" s="14" t="s">
        <v>7592</v>
      </c>
      <c r="B2062" s="15" t="s">
        <v>5</v>
      </c>
      <c r="C2062" s="10" t="s">
        <v>7593</v>
      </c>
      <c r="D2062" s="16" t="s">
        <v>6634</v>
      </c>
      <c r="E2062" s="15" t="s">
        <v>11204</v>
      </c>
      <c r="F2062" s="16" t="str">
        <f>VLOOKUP(Table8[[#This Row],[Mã khách hàng]],code_khach_hang[],2,0)</f>
        <v>CHI NHÁNH TUYÊN QUANG - CÔNG TY CỔ PHẦN DỊCH VỤ THƯƠNG MẠI TỔNG HỢP WINCOMMERCE</v>
      </c>
      <c r="G2062" s="16" t="str">
        <f>VLOOKUP(Table8[[#This Row],[Mã khách hàng]],code_khach_hang[],3,0)</f>
        <v>Miền Bắc đặc biệt 2</v>
      </c>
      <c r="H2062" t="str">
        <f>VLOOKUP(Table8[[#This Row],[Mã khách hàng]],'Khách hàng'!A:D,4,0)</f>
        <v>Food Đức Việt</v>
      </c>
      <c r="I2062" t="str">
        <f>VLOOKUP(Table8[[#This Row],[Mã khách hàng]],'Khách hàng'!A:E,5,0)</f>
        <v>HN0040</v>
      </c>
    </row>
    <row r="2063" spans="1:9">
      <c r="A2063" s="14" t="s">
        <v>7978</v>
      </c>
      <c r="B2063" s="15" t="s">
        <v>5</v>
      </c>
      <c r="C2063" s="10" t="e">
        <v>#N/A</v>
      </c>
      <c r="D2063" s="16" t="s">
        <v>6637</v>
      </c>
      <c r="E2063" s="15" t="s">
        <v>11194</v>
      </c>
      <c r="F2063" s="16" t="str">
        <f>VLOOKUP(Table8[[#This Row],[Mã khách hàng]],code_khach_hang[],2,0)</f>
        <v>CHI NHÁNH VĨNH PHÚC - CÔNG TY CỔ PHẦN DỊCH VỤ THƯƠNG MẠI TỔNG HỢP WINCOMMERCE</v>
      </c>
      <c r="G2063" s="16" t="str">
        <f>VLOOKUP(Table8[[#This Row],[Mã khách hàng]],code_khach_hang[],3,0)</f>
        <v>Miền Bắc đặc biệt 2</v>
      </c>
      <c r="H2063" t="str">
        <f>VLOOKUP(Table8[[#This Row],[Mã khách hàng]],'Khách hàng'!A:D,4,0)</f>
        <v>Food Đức Việt</v>
      </c>
      <c r="I2063" t="str">
        <f>VLOOKUP(Table8[[#This Row],[Mã khách hàng]],'Khách hàng'!A:E,5,0)</f>
        <v>HN0040</v>
      </c>
    </row>
    <row r="2064" spans="1:9">
      <c r="A2064" s="14" t="s">
        <v>7712</v>
      </c>
      <c r="B2064" s="15" t="s">
        <v>5</v>
      </c>
      <c r="C2064" s="10" t="s">
        <v>7713</v>
      </c>
      <c r="D2064" s="16" t="s">
        <v>6640</v>
      </c>
      <c r="E2064" s="15" t="s">
        <v>11194</v>
      </c>
      <c r="F2064" s="16" t="str">
        <f>VLOOKUP(Table8[[#This Row],[Mã khách hàng]],code_khach_hang[],2,0)</f>
        <v>CHI NHÁNH VĨNH PHÚC - CÔNG TY CỔ PHẦN DỊCH VỤ THƯƠNG MẠI TỔNG HỢP WINCOMMERCE</v>
      </c>
      <c r="G2064" s="16" t="str">
        <f>VLOOKUP(Table8[[#This Row],[Mã khách hàng]],code_khach_hang[],3,0)</f>
        <v>Miền Bắc đặc biệt 2</v>
      </c>
      <c r="H2064" t="str">
        <f>VLOOKUP(Table8[[#This Row],[Mã khách hàng]],'Khách hàng'!A:D,4,0)</f>
        <v>Food Đức Việt</v>
      </c>
      <c r="I2064" t="str">
        <f>VLOOKUP(Table8[[#This Row],[Mã khách hàng]],'Khách hàng'!A:E,5,0)</f>
        <v>HN0040</v>
      </c>
    </row>
    <row r="2065" spans="1:9">
      <c r="A2065" s="14" t="s">
        <v>8016</v>
      </c>
      <c r="B2065" s="15" t="s">
        <v>5</v>
      </c>
      <c r="C2065" s="10" t="s">
        <v>8017</v>
      </c>
      <c r="D2065" s="16" t="s">
        <v>6643</v>
      </c>
      <c r="E2065" s="15" t="s">
        <v>11194</v>
      </c>
      <c r="F2065" s="16" t="str">
        <f>VLOOKUP(Table8[[#This Row],[Mã khách hàng]],code_khach_hang[],2,0)</f>
        <v>CHI NHÁNH VĨNH PHÚC - CÔNG TY CỔ PHẦN DỊCH VỤ THƯƠNG MẠI TỔNG HỢP WINCOMMERCE</v>
      </c>
      <c r="G2065" s="16" t="str">
        <f>VLOOKUP(Table8[[#This Row],[Mã khách hàng]],code_khach_hang[],3,0)</f>
        <v>Miền Bắc đặc biệt 2</v>
      </c>
      <c r="H2065" t="str">
        <f>VLOOKUP(Table8[[#This Row],[Mã khách hàng]],'Khách hàng'!A:D,4,0)</f>
        <v>Food Đức Việt</v>
      </c>
      <c r="I2065" t="str">
        <f>VLOOKUP(Table8[[#This Row],[Mã khách hàng]],'Khách hàng'!A:E,5,0)</f>
        <v>HN0040</v>
      </c>
    </row>
    <row r="2066" spans="1:9">
      <c r="A2066" s="14" t="s">
        <v>8133</v>
      </c>
      <c r="B2066" s="15" t="s">
        <v>5</v>
      </c>
      <c r="C2066" s="10" t="s">
        <v>8134</v>
      </c>
      <c r="D2066" s="16" t="s">
        <v>6646</v>
      </c>
      <c r="E2066" s="15" t="s">
        <v>11194</v>
      </c>
      <c r="F2066" s="16" t="str">
        <f>VLOOKUP(Table8[[#This Row],[Mã khách hàng]],code_khach_hang[],2,0)</f>
        <v>CHI NHÁNH VĨNH PHÚC - CÔNG TY CỔ PHẦN DỊCH VỤ THƯƠNG MẠI TỔNG HỢP WINCOMMERCE</v>
      </c>
      <c r="G2066" s="16" t="str">
        <f>VLOOKUP(Table8[[#This Row],[Mã khách hàng]],code_khach_hang[],3,0)</f>
        <v>Miền Bắc đặc biệt 2</v>
      </c>
      <c r="H2066" t="str">
        <f>VLOOKUP(Table8[[#This Row],[Mã khách hàng]],'Khách hàng'!A:D,4,0)</f>
        <v>Food Đức Việt</v>
      </c>
      <c r="I2066" t="str">
        <f>VLOOKUP(Table8[[#This Row],[Mã khách hàng]],'Khách hàng'!A:E,5,0)</f>
        <v>HN0040</v>
      </c>
    </row>
    <row r="2067" spans="1:9">
      <c r="A2067" s="14" t="s">
        <v>5845</v>
      </c>
      <c r="B2067" s="15" t="s">
        <v>5</v>
      </c>
      <c r="C2067" s="10" t="s">
        <v>5846</v>
      </c>
      <c r="D2067" s="16" t="s">
        <v>6649</v>
      </c>
      <c r="E2067" s="15" t="s">
        <v>11194</v>
      </c>
      <c r="F2067" s="16" t="str">
        <f>VLOOKUP(Table8[[#This Row],[Mã khách hàng]],code_khach_hang[],2,0)</f>
        <v>CHI NHÁNH VĨNH PHÚC - CÔNG TY CỔ PHẦN DỊCH VỤ THƯƠNG MẠI TỔNG HỢP WINCOMMERCE</v>
      </c>
      <c r="G2067" s="16" t="str">
        <f>VLOOKUP(Table8[[#This Row],[Mã khách hàng]],code_khach_hang[],3,0)</f>
        <v>Miền Bắc đặc biệt 2</v>
      </c>
      <c r="H2067" t="str">
        <f>VLOOKUP(Table8[[#This Row],[Mã khách hàng]],'Khách hàng'!A:D,4,0)</f>
        <v>Food Đức Việt</v>
      </c>
      <c r="I2067" t="str">
        <f>VLOOKUP(Table8[[#This Row],[Mã khách hàng]],'Khách hàng'!A:E,5,0)</f>
        <v>HN0040</v>
      </c>
    </row>
    <row r="2068" spans="1:9">
      <c r="A2068" s="14" t="s">
        <v>6205</v>
      </c>
      <c r="B2068" s="15" t="s">
        <v>5</v>
      </c>
      <c r="C2068" s="10" t="e">
        <v>#N/A</v>
      </c>
      <c r="D2068" s="16" t="s">
        <v>6652</v>
      </c>
      <c r="E2068" s="15" t="s">
        <v>11194</v>
      </c>
      <c r="F2068" s="16" t="str">
        <f>VLOOKUP(Table8[[#This Row],[Mã khách hàng]],code_khach_hang[],2,0)</f>
        <v>CHI NHÁNH VĨNH PHÚC - CÔNG TY CỔ PHẦN DỊCH VỤ THƯƠNG MẠI TỔNG HỢP WINCOMMERCE</v>
      </c>
      <c r="G2068" s="16" t="str">
        <f>VLOOKUP(Table8[[#This Row],[Mã khách hàng]],code_khach_hang[],3,0)</f>
        <v>Miền Bắc đặc biệt 2</v>
      </c>
      <c r="H2068" t="str">
        <f>VLOOKUP(Table8[[#This Row],[Mã khách hàng]],'Khách hàng'!A:D,4,0)</f>
        <v>Food Đức Việt</v>
      </c>
      <c r="I2068" t="str">
        <f>VLOOKUP(Table8[[#This Row],[Mã khách hàng]],'Khách hàng'!A:E,5,0)</f>
        <v>HN0040</v>
      </c>
    </row>
    <row r="2069" spans="1:9">
      <c r="A2069" s="14" t="s">
        <v>7992</v>
      </c>
      <c r="B2069" s="15" t="s">
        <v>5</v>
      </c>
      <c r="C2069" s="10" t="s">
        <v>7993</v>
      </c>
      <c r="D2069" s="16" t="s">
        <v>6655</v>
      </c>
      <c r="E2069" s="15" t="s">
        <v>11194</v>
      </c>
      <c r="F2069" s="16" t="str">
        <f>VLOOKUP(Table8[[#This Row],[Mã khách hàng]],code_khach_hang[],2,0)</f>
        <v>CHI NHÁNH VĨNH PHÚC - CÔNG TY CỔ PHẦN DỊCH VỤ THƯƠNG MẠI TỔNG HỢP WINCOMMERCE</v>
      </c>
      <c r="G2069" s="16" t="str">
        <f>VLOOKUP(Table8[[#This Row],[Mã khách hàng]],code_khach_hang[],3,0)</f>
        <v>Miền Bắc đặc biệt 2</v>
      </c>
      <c r="H2069" t="str">
        <f>VLOOKUP(Table8[[#This Row],[Mã khách hàng]],'Khách hàng'!A:D,4,0)</f>
        <v>Food Đức Việt</v>
      </c>
      <c r="I2069" t="str">
        <f>VLOOKUP(Table8[[#This Row],[Mã khách hàng]],'Khách hàng'!A:E,5,0)</f>
        <v>HN0040</v>
      </c>
    </row>
    <row r="2070" spans="1:9">
      <c r="A2070" s="14" t="s">
        <v>7795</v>
      </c>
      <c r="B2070" s="15" t="s">
        <v>5</v>
      </c>
      <c r="C2070" s="10" t="s">
        <v>7796</v>
      </c>
      <c r="D2070" s="16" t="s">
        <v>6658</v>
      </c>
      <c r="E2070" s="15" t="s">
        <v>11194</v>
      </c>
      <c r="F2070" s="16" t="str">
        <f>VLOOKUP(Table8[[#This Row],[Mã khách hàng]],code_khach_hang[],2,0)</f>
        <v>CHI NHÁNH VĨNH PHÚC - CÔNG TY CỔ PHẦN DỊCH VỤ THƯƠNG MẠI TỔNG HỢP WINCOMMERCE</v>
      </c>
      <c r="G2070" s="16" t="str">
        <f>VLOOKUP(Table8[[#This Row],[Mã khách hàng]],code_khach_hang[],3,0)</f>
        <v>Miền Bắc đặc biệt 2</v>
      </c>
      <c r="H2070" t="str">
        <f>VLOOKUP(Table8[[#This Row],[Mã khách hàng]],'Khách hàng'!A:D,4,0)</f>
        <v>Food Đức Việt</v>
      </c>
      <c r="I2070" t="str">
        <f>VLOOKUP(Table8[[#This Row],[Mã khách hàng]],'Khách hàng'!A:E,5,0)</f>
        <v>HN0040</v>
      </c>
    </row>
    <row r="2071" spans="1:9">
      <c r="A2071" s="14" t="s">
        <v>6869</v>
      </c>
      <c r="B2071" s="15" t="s">
        <v>5</v>
      </c>
      <c r="C2071" s="10" t="s">
        <v>6870</v>
      </c>
      <c r="D2071" s="16" t="s">
        <v>6661</v>
      </c>
      <c r="E2071" s="15" t="s">
        <v>11194</v>
      </c>
      <c r="F2071" s="16" t="str">
        <f>VLOOKUP(Table8[[#This Row],[Mã khách hàng]],code_khach_hang[],2,0)</f>
        <v>CHI NHÁNH VĨNH PHÚC - CÔNG TY CỔ PHẦN DỊCH VỤ THƯƠNG MẠI TỔNG HỢP WINCOMMERCE</v>
      </c>
      <c r="G2071" s="16" t="str">
        <f>VLOOKUP(Table8[[#This Row],[Mã khách hàng]],code_khach_hang[],3,0)</f>
        <v>Miền Bắc đặc biệt 2</v>
      </c>
      <c r="H2071" t="str">
        <f>VLOOKUP(Table8[[#This Row],[Mã khách hàng]],'Khách hàng'!A:D,4,0)</f>
        <v>Food Đức Việt</v>
      </c>
      <c r="I2071" t="str">
        <f>VLOOKUP(Table8[[#This Row],[Mã khách hàng]],'Khách hàng'!A:E,5,0)</f>
        <v>HN0040</v>
      </c>
    </row>
    <row r="2072" spans="1:9">
      <c r="A2072" s="14" t="s">
        <v>6013</v>
      </c>
      <c r="B2072" s="15" t="s">
        <v>5</v>
      </c>
      <c r="C2072" s="10" t="s">
        <v>6014</v>
      </c>
      <c r="D2072" s="16" t="s">
        <v>6664</v>
      </c>
      <c r="E2072" s="15" t="s">
        <v>11194</v>
      </c>
      <c r="F2072" s="16" t="str">
        <f>VLOOKUP(Table8[[#This Row],[Mã khách hàng]],code_khach_hang[],2,0)</f>
        <v>CHI NHÁNH VĨNH PHÚC - CÔNG TY CỔ PHẦN DỊCH VỤ THƯƠNG MẠI TỔNG HỢP WINCOMMERCE</v>
      </c>
      <c r="G2072" s="16" t="str">
        <f>VLOOKUP(Table8[[#This Row],[Mã khách hàng]],code_khach_hang[],3,0)</f>
        <v>Miền Bắc đặc biệt 2</v>
      </c>
      <c r="H2072" t="str">
        <f>VLOOKUP(Table8[[#This Row],[Mã khách hàng]],'Khách hàng'!A:D,4,0)</f>
        <v>Food Đức Việt</v>
      </c>
      <c r="I2072" t="str">
        <f>VLOOKUP(Table8[[#This Row],[Mã khách hàng]],'Khách hàng'!A:E,5,0)</f>
        <v>HN0040</v>
      </c>
    </row>
    <row r="2073" spans="1:9">
      <c r="A2073" s="14" t="s">
        <v>5445</v>
      </c>
      <c r="B2073" s="15" t="s">
        <v>5</v>
      </c>
      <c r="C2073" s="10" t="s">
        <v>5446</v>
      </c>
      <c r="D2073" s="16" t="s">
        <v>6667</v>
      </c>
      <c r="E2073" s="15" t="s">
        <v>11194</v>
      </c>
      <c r="F2073" s="16" t="str">
        <f>VLOOKUP(Table8[[#This Row],[Mã khách hàng]],code_khach_hang[],2,0)</f>
        <v>CHI NHÁNH VĨNH PHÚC - CÔNG TY CỔ PHẦN DỊCH VỤ THƯƠNG MẠI TỔNG HỢP WINCOMMERCE</v>
      </c>
      <c r="G2073" s="16" t="str">
        <f>VLOOKUP(Table8[[#This Row],[Mã khách hàng]],code_khach_hang[],3,0)</f>
        <v>Miền Bắc đặc biệt 2</v>
      </c>
      <c r="H2073" t="str">
        <f>VLOOKUP(Table8[[#This Row],[Mã khách hàng]],'Khách hàng'!A:D,4,0)</f>
        <v>Food Đức Việt</v>
      </c>
      <c r="I2073" t="str">
        <f>VLOOKUP(Table8[[#This Row],[Mã khách hàng]],'Khách hàng'!A:E,5,0)</f>
        <v>HN0040</v>
      </c>
    </row>
    <row r="2074" spans="1:9">
      <c r="A2074" s="14" t="s">
        <v>5448</v>
      </c>
      <c r="B2074" s="15" t="s">
        <v>5</v>
      </c>
      <c r="C2074" s="10" t="s">
        <v>5449</v>
      </c>
      <c r="D2074" s="16" t="s">
        <v>6670</v>
      </c>
      <c r="E2074" s="15" t="s">
        <v>11194</v>
      </c>
      <c r="F2074" s="16" t="str">
        <f>VLOOKUP(Table8[[#This Row],[Mã khách hàng]],code_khach_hang[],2,0)</f>
        <v>CHI NHÁNH VĨNH PHÚC - CÔNG TY CỔ PHẦN DỊCH VỤ THƯƠNG MẠI TỔNG HỢP WINCOMMERCE</v>
      </c>
      <c r="G2074" s="16" t="str">
        <f>VLOOKUP(Table8[[#This Row],[Mã khách hàng]],code_khach_hang[],3,0)</f>
        <v>Miền Bắc đặc biệt 2</v>
      </c>
      <c r="H2074" t="str">
        <f>VLOOKUP(Table8[[#This Row],[Mã khách hàng]],'Khách hàng'!A:D,4,0)</f>
        <v>Food Đức Việt</v>
      </c>
      <c r="I2074" t="str">
        <f>VLOOKUP(Table8[[#This Row],[Mã khách hàng]],'Khách hàng'!A:E,5,0)</f>
        <v>HN0040</v>
      </c>
    </row>
    <row r="2075" spans="1:9">
      <c r="A2075" s="14" t="s">
        <v>7881</v>
      </c>
      <c r="B2075" s="15" t="s">
        <v>5</v>
      </c>
      <c r="C2075" s="10" t="s">
        <v>7882</v>
      </c>
      <c r="D2075" s="16" t="s">
        <v>6673</v>
      </c>
      <c r="E2075" s="15" t="s">
        <v>11194</v>
      </c>
      <c r="F2075" s="16" t="str">
        <f>VLOOKUP(Table8[[#This Row],[Mã khách hàng]],code_khach_hang[],2,0)</f>
        <v>CHI NHÁNH VĨNH PHÚC - CÔNG TY CỔ PHẦN DỊCH VỤ THƯƠNG MẠI TỔNG HỢP WINCOMMERCE</v>
      </c>
      <c r="G2075" s="16" t="str">
        <f>VLOOKUP(Table8[[#This Row],[Mã khách hàng]],code_khach_hang[],3,0)</f>
        <v>Miền Bắc đặc biệt 2</v>
      </c>
      <c r="H2075" t="str">
        <f>VLOOKUP(Table8[[#This Row],[Mã khách hàng]],'Khách hàng'!A:D,4,0)</f>
        <v>Food Đức Việt</v>
      </c>
      <c r="I2075" t="str">
        <f>VLOOKUP(Table8[[#This Row],[Mã khách hàng]],'Khách hàng'!A:E,5,0)</f>
        <v>HN0040</v>
      </c>
    </row>
    <row r="2076" spans="1:9">
      <c r="A2076" s="14" t="s">
        <v>5460</v>
      </c>
      <c r="B2076" s="15" t="s">
        <v>5</v>
      </c>
      <c r="C2076" s="10" t="s">
        <v>5461</v>
      </c>
      <c r="D2076" s="16" t="s">
        <v>6676</v>
      </c>
      <c r="E2076" s="15" t="s">
        <v>11194</v>
      </c>
      <c r="F2076" s="16" t="str">
        <f>VLOOKUP(Table8[[#This Row],[Mã khách hàng]],code_khach_hang[],2,0)</f>
        <v>CHI NHÁNH VĨNH PHÚC - CÔNG TY CỔ PHẦN DỊCH VỤ THƯƠNG MẠI TỔNG HỢP WINCOMMERCE</v>
      </c>
      <c r="G2076" s="16" t="str">
        <f>VLOOKUP(Table8[[#This Row],[Mã khách hàng]],code_khach_hang[],3,0)</f>
        <v>Miền Bắc đặc biệt 2</v>
      </c>
      <c r="H2076" t="str">
        <f>VLOOKUP(Table8[[#This Row],[Mã khách hàng]],'Khách hàng'!A:D,4,0)</f>
        <v>Food Đức Việt</v>
      </c>
      <c r="I2076" t="str">
        <f>VLOOKUP(Table8[[#This Row],[Mã khách hàng]],'Khách hàng'!A:E,5,0)</f>
        <v>HN0040</v>
      </c>
    </row>
    <row r="2077" spans="1:9">
      <c r="A2077" s="14" t="s">
        <v>5466</v>
      </c>
      <c r="B2077" s="15" t="s">
        <v>5</v>
      </c>
      <c r="C2077" s="10" t="s">
        <v>5467</v>
      </c>
      <c r="D2077" s="16" t="s">
        <v>6679</v>
      </c>
      <c r="E2077" s="15" t="s">
        <v>11194</v>
      </c>
      <c r="F2077" s="16" t="str">
        <f>VLOOKUP(Table8[[#This Row],[Mã khách hàng]],code_khach_hang[],2,0)</f>
        <v>CHI NHÁNH VĨNH PHÚC - CÔNG TY CỔ PHẦN DỊCH VỤ THƯƠNG MẠI TỔNG HỢP WINCOMMERCE</v>
      </c>
      <c r="G2077" s="16" t="str">
        <f>VLOOKUP(Table8[[#This Row],[Mã khách hàng]],code_khach_hang[],3,0)</f>
        <v>Miền Bắc đặc biệt 2</v>
      </c>
      <c r="H2077" t="str">
        <f>VLOOKUP(Table8[[#This Row],[Mã khách hàng]],'Khách hàng'!A:D,4,0)</f>
        <v>Food Đức Việt</v>
      </c>
      <c r="I2077" t="str">
        <f>VLOOKUP(Table8[[#This Row],[Mã khách hàng]],'Khách hàng'!A:E,5,0)</f>
        <v>HN0040</v>
      </c>
    </row>
    <row r="2078" spans="1:9">
      <c r="A2078" s="14" t="s">
        <v>5668</v>
      </c>
      <c r="B2078" s="15" t="s">
        <v>5</v>
      </c>
      <c r="C2078" s="10" t="s">
        <v>5669</v>
      </c>
      <c r="D2078" s="16" t="s">
        <v>6682</v>
      </c>
      <c r="E2078" s="15" t="s">
        <v>11194</v>
      </c>
      <c r="F2078" s="16" t="str">
        <f>VLOOKUP(Table8[[#This Row],[Mã khách hàng]],code_khach_hang[],2,0)</f>
        <v>CHI NHÁNH VĨNH PHÚC - CÔNG TY CỔ PHẦN DỊCH VỤ THƯƠNG MẠI TỔNG HỢP WINCOMMERCE</v>
      </c>
      <c r="G2078" s="16" t="str">
        <f>VLOOKUP(Table8[[#This Row],[Mã khách hàng]],code_khach_hang[],3,0)</f>
        <v>Miền Bắc đặc biệt 2</v>
      </c>
      <c r="H2078" t="str">
        <f>VLOOKUP(Table8[[#This Row],[Mã khách hàng]],'Khách hàng'!A:D,4,0)</f>
        <v>Food Đức Việt</v>
      </c>
      <c r="I2078" t="str">
        <f>VLOOKUP(Table8[[#This Row],[Mã khách hàng]],'Khách hàng'!A:E,5,0)</f>
        <v>HN0040</v>
      </c>
    </row>
    <row r="2079" spans="1:9">
      <c r="A2079" s="14" t="s">
        <v>5998</v>
      </c>
      <c r="B2079" s="15" t="s">
        <v>5</v>
      </c>
      <c r="C2079" s="10" t="s">
        <v>5999</v>
      </c>
      <c r="D2079" s="16" t="s">
        <v>6685</v>
      </c>
      <c r="E2079" s="15" t="s">
        <v>11194</v>
      </c>
      <c r="F2079" s="16" t="str">
        <f>VLOOKUP(Table8[[#This Row],[Mã khách hàng]],code_khach_hang[],2,0)</f>
        <v>CHI NHÁNH VĨNH PHÚC - CÔNG TY CỔ PHẦN DỊCH VỤ THƯƠNG MẠI TỔNG HỢP WINCOMMERCE</v>
      </c>
      <c r="G2079" s="16" t="str">
        <f>VLOOKUP(Table8[[#This Row],[Mã khách hàng]],code_khach_hang[],3,0)</f>
        <v>Miền Bắc đặc biệt 2</v>
      </c>
      <c r="H2079" t="str">
        <f>VLOOKUP(Table8[[#This Row],[Mã khách hàng]],'Khách hàng'!A:D,4,0)</f>
        <v>Food Đức Việt</v>
      </c>
      <c r="I2079" t="str">
        <f>VLOOKUP(Table8[[#This Row],[Mã khách hàng]],'Khách hàng'!A:E,5,0)</f>
        <v>HN0040</v>
      </c>
    </row>
    <row r="2080" spans="1:9">
      <c r="A2080" s="14" t="s">
        <v>5508</v>
      </c>
      <c r="B2080" s="15" t="s">
        <v>5</v>
      </c>
      <c r="C2080" s="10" t="s">
        <v>5509</v>
      </c>
      <c r="D2080" s="16" t="s">
        <v>6688</v>
      </c>
      <c r="E2080" s="14" t="s">
        <v>11194</v>
      </c>
      <c r="F2080" s="16" t="str">
        <f>VLOOKUP(Table8[[#This Row],[Mã khách hàng]],code_khach_hang[],2,0)</f>
        <v>CHI NHÁNH VĨNH PHÚC - CÔNG TY CỔ PHẦN DỊCH VỤ THƯƠNG MẠI TỔNG HỢP WINCOMMERCE</v>
      </c>
      <c r="G2080" s="16" t="str">
        <f>VLOOKUP(Table8[[#This Row],[Mã khách hàng]],code_khach_hang[],3,0)</f>
        <v>Miền Bắc đặc biệt 2</v>
      </c>
      <c r="H2080" t="str">
        <f>VLOOKUP(Table8[[#This Row],[Mã khách hàng]],'Khách hàng'!A:D,4,0)</f>
        <v>Food Đức Việt</v>
      </c>
      <c r="I2080" t="str">
        <f>VLOOKUP(Table8[[#This Row],[Mã khách hàng]],'Khách hàng'!A:E,5,0)</f>
        <v>HN0040</v>
      </c>
    </row>
    <row r="2081" spans="1:9">
      <c r="A2081" s="14" t="s">
        <v>5511</v>
      </c>
      <c r="B2081" s="15" t="s">
        <v>5</v>
      </c>
      <c r="C2081" s="10" t="s">
        <v>5512</v>
      </c>
      <c r="D2081" s="16" t="s">
        <v>6691</v>
      </c>
      <c r="E2081" s="15" t="s">
        <v>11194</v>
      </c>
      <c r="F2081" s="16" t="str">
        <f>VLOOKUP(Table8[[#This Row],[Mã khách hàng]],code_khach_hang[],2,0)</f>
        <v>CHI NHÁNH VĨNH PHÚC - CÔNG TY CỔ PHẦN DỊCH VỤ THƯƠNG MẠI TỔNG HỢP WINCOMMERCE</v>
      </c>
      <c r="G2081" s="16" t="str">
        <f>VLOOKUP(Table8[[#This Row],[Mã khách hàng]],code_khach_hang[],3,0)</f>
        <v>Miền Bắc đặc biệt 2</v>
      </c>
      <c r="H2081" t="str">
        <f>VLOOKUP(Table8[[#This Row],[Mã khách hàng]],'Khách hàng'!A:D,4,0)</f>
        <v>Food Đức Việt</v>
      </c>
      <c r="I2081" t="str">
        <f>VLOOKUP(Table8[[#This Row],[Mã khách hàng]],'Khách hàng'!A:E,5,0)</f>
        <v>HN0040</v>
      </c>
    </row>
    <row r="2082" spans="1:9">
      <c r="A2082" s="14" t="s">
        <v>5463</v>
      </c>
      <c r="B2082" s="15" t="s">
        <v>5</v>
      </c>
      <c r="C2082" s="10" t="s">
        <v>5464</v>
      </c>
      <c r="D2082" s="16" t="s">
        <v>6694</v>
      </c>
      <c r="E2082" s="15" t="s">
        <v>11194</v>
      </c>
      <c r="F2082" s="16" t="str">
        <f>VLOOKUP(Table8[[#This Row],[Mã khách hàng]],code_khach_hang[],2,0)</f>
        <v>CHI NHÁNH VĨNH PHÚC - CÔNG TY CỔ PHẦN DỊCH VỤ THƯƠNG MẠI TỔNG HỢP WINCOMMERCE</v>
      </c>
      <c r="G2082" s="16" t="str">
        <f>VLOOKUP(Table8[[#This Row],[Mã khách hàng]],code_khach_hang[],3,0)</f>
        <v>Miền Bắc đặc biệt 2</v>
      </c>
      <c r="H2082" t="str">
        <f>VLOOKUP(Table8[[#This Row],[Mã khách hàng]],'Khách hàng'!A:D,4,0)</f>
        <v>Food Đức Việt</v>
      </c>
      <c r="I2082" t="str">
        <f>VLOOKUP(Table8[[#This Row],[Mã khách hàng]],'Khách hàng'!A:E,5,0)</f>
        <v>HN0040</v>
      </c>
    </row>
    <row r="2083" spans="1:9">
      <c r="A2083" s="14" t="s">
        <v>5677</v>
      </c>
      <c r="B2083" s="15" t="s">
        <v>5</v>
      </c>
      <c r="C2083" s="10" t="s">
        <v>5678</v>
      </c>
      <c r="D2083" s="16" t="s">
        <v>6697</v>
      </c>
      <c r="E2083" s="15" t="s">
        <v>11194</v>
      </c>
      <c r="F2083" s="16" t="str">
        <f>VLOOKUP(Table8[[#This Row],[Mã khách hàng]],code_khach_hang[],2,0)</f>
        <v>CHI NHÁNH VĨNH PHÚC - CÔNG TY CỔ PHẦN DỊCH VỤ THƯƠNG MẠI TỔNG HỢP WINCOMMERCE</v>
      </c>
      <c r="G2083" s="16" t="str">
        <f>VLOOKUP(Table8[[#This Row],[Mã khách hàng]],code_khach_hang[],3,0)</f>
        <v>Miền Bắc đặc biệt 2</v>
      </c>
      <c r="H2083" t="str">
        <f>VLOOKUP(Table8[[#This Row],[Mã khách hàng]],'Khách hàng'!A:D,4,0)</f>
        <v>Food Đức Việt</v>
      </c>
      <c r="I2083" t="str">
        <f>VLOOKUP(Table8[[#This Row],[Mã khách hàng]],'Khách hàng'!A:E,5,0)</f>
        <v>HN0040</v>
      </c>
    </row>
    <row r="2084" spans="1:9">
      <c r="A2084" s="14" t="s">
        <v>7282</v>
      </c>
      <c r="B2084" s="15" t="s">
        <v>5</v>
      </c>
      <c r="C2084" s="10" t="s">
        <v>7283</v>
      </c>
      <c r="D2084" s="16" t="s">
        <v>6700</v>
      </c>
      <c r="E2084" s="15" t="s">
        <v>11194</v>
      </c>
      <c r="F2084" s="16" t="str">
        <f>VLOOKUP(Table8[[#This Row],[Mã khách hàng]],code_khach_hang[],2,0)</f>
        <v>CHI NHÁNH VĨNH PHÚC - CÔNG TY CỔ PHẦN DỊCH VỤ THƯƠNG MẠI TỔNG HỢP WINCOMMERCE</v>
      </c>
      <c r="G2084" s="16" t="str">
        <f>VLOOKUP(Table8[[#This Row],[Mã khách hàng]],code_khach_hang[],3,0)</f>
        <v>Miền Bắc đặc biệt 2</v>
      </c>
      <c r="H2084" t="str">
        <f>VLOOKUP(Table8[[#This Row],[Mã khách hàng]],'Khách hàng'!A:D,4,0)</f>
        <v>Food Đức Việt</v>
      </c>
      <c r="I2084" t="str">
        <f>VLOOKUP(Table8[[#This Row],[Mã khách hàng]],'Khách hàng'!A:E,5,0)</f>
        <v>HN0040</v>
      </c>
    </row>
    <row r="2085" spans="1:9">
      <c r="A2085" s="14" t="s">
        <v>7580</v>
      </c>
      <c r="B2085" s="15" t="s">
        <v>5</v>
      </c>
      <c r="C2085" s="10" t="s">
        <v>7581</v>
      </c>
      <c r="D2085" s="16" t="s">
        <v>6703</v>
      </c>
      <c r="E2085" s="15" t="s">
        <v>11194</v>
      </c>
      <c r="F2085" s="16" t="str">
        <f>VLOOKUP(Table8[[#This Row],[Mã khách hàng]],code_khach_hang[],2,0)</f>
        <v>CHI NHÁNH VĨNH PHÚC - CÔNG TY CỔ PHẦN DỊCH VỤ THƯƠNG MẠI TỔNG HỢP WINCOMMERCE</v>
      </c>
      <c r="G2085" s="16" t="str">
        <f>VLOOKUP(Table8[[#This Row],[Mã khách hàng]],code_khach_hang[],3,0)</f>
        <v>Miền Bắc đặc biệt 2</v>
      </c>
      <c r="H2085" t="str">
        <f>VLOOKUP(Table8[[#This Row],[Mã khách hàng]],'Khách hàng'!A:D,4,0)</f>
        <v>Food Đức Việt</v>
      </c>
      <c r="I2085" t="str">
        <f>VLOOKUP(Table8[[#This Row],[Mã khách hàng]],'Khách hàng'!A:E,5,0)</f>
        <v>HN0040</v>
      </c>
    </row>
    <row r="2086" spans="1:9">
      <c r="A2086" s="14" t="s">
        <v>5472</v>
      </c>
      <c r="B2086" s="15" t="s">
        <v>5</v>
      </c>
      <c r="C2086" s="10" t="s">
        <v>5473</v>
      </c>
      <c r="D2086" s="16" t="s">
        <v>6706</v>
      </c>
      <c r="E2086" s="15" t="s">
        <v>11194</v>
      </c>
      <c r="F2086" s="16" t="str">
        <f>VLOOKUP(Table8[[#This Row],[Mã khách hàng]],code_khach_hang[],2,0)</f>
        <v>CHI NHÁNH VĨNH PHÚC - CÔNG TY CỔ PHẦN DỊCH VỤ THƯƠNG MẠI TỔNG HỢP WINCOMMERCE</v>
      </c>
      <c r="G2086" s="16" t="str">
        <f>VLOOKUP(Table8[[#This Row],[Mã khách hàng]],code_khach_hang[],3,0)</f>
        <v>Miền Bắc đặc biệt 2</v>
      </c>
      <c r="H2086" t="str">
        <f>VLOOKUP(Table8[[#This Row],[Mã khách hàng]],'Khách hàng'!A:D,4,0)</f>
        <v>Food Đức Việt</v>
      </c>
      <c r="I2086" t="str">
        <f>VLOOKUP(Table8[[#This Row],[Mã khách hàng]],'Khách hàng'!A:E,5,0)</f>
        <v>HN0040</v>
      </c>
    </row>
    <row r="2087" spans="1:9">
      <c r="A2087" s="14" t="s">
        <v>6115</v>
      </c>
      <c r="B2087" s="15" t="s">
        <v>5</v>
      </c>
      <c r="C2087" s="10" t="s">
        <v>6116</v>
      </c>
      <c r="D2087" s="16" t="s">
        <v>6709</v>
      </c>
      <c r="E2087" s="15" t="s">
        <v>11194</v>
      </c>
      <c r="F2087" s="16" t="str">
        <f>VLOOKUP(Table8[[#This Row],[Mã khách hàng]],code_khach_hang[],2,0)</f>
        <v>CHI NHÁNH VĨNH PHÚC - CÔNG TY CỔ PHẦN DỊCH VỤ THƯƠNG MẠI TỔNG HỢP WINCOMMERCE</v>
      </c>
      <c r="G2087" s="16" t="str">
        <f>VLOOKUP(Table8[[#This Row],[Mã khách hàng]],code_khach_hang[],3,0)</f>
        <v>Miền Bắc đặc biệt 2</v>
      </c>
      <c r="H2087" t="str">
        <f>VLOOKUP(Table8[[#This Row],[Mã khách hàng]],'Khách hàng'!A:D,4,0)</f>
        <v>Food Đức Việt</v>
      </c>
      <c r="I2087" t="str">
        <f>VLOOKUP(Table8[[#This Row],[Mã khách hàng]],'Khách hàng'!A:E,5,0)</f>
        <v>HN0040</v>
      </c>
    </row>
    <row r="2088" spans="1:9">
      <c r="A2088" s="14" t="s">
        <v>6923</v>
      </c>
      <c r="B2088" s="15" t="s">
        <v>5</v>
      </c>
      <c r="C2088" s="10" t="s">
        <v>6924</v>
      </c>
      <c r="D2088" s="16" t="s">
        <v>6712</v>
      </c>
      <c r="E2088" s="15" t="s">
        <v>11194</v>
      </c>
      <c r="F2088" s="16" t="str">
        <f>VLOOKUP(Table8[[#This Row],[Mã khách hàng]],code_khach_hang[],2,0)</f>
        <v>CHI NHÁNH VĨNH PHÚC - CÔNG TY CỔ PHẦN DỊCH VỤ THƯƠNG MẠI TỔNG HỢP WINCOMMERCE</v>
      </c>
      <c r="G2088" s="16" t="str">
        <f>VLOOKUP(Table8[[#This Row],[Mã khách hàng]],code_khach_hang[],3,0)</f>
        <v>Miền Bắc đặc biệt 2</v>
      </c>
      <c r="H2088" t="str">
        <f>VLOOKUP(Table8[[#This Row],[Mã khách hàng]],'Khách hàng'!A:D,4,0)</f>
        <v>Food Đức Việt</v>
      </c>
      <c r="I2088" t="str">
        <f>VLOOKUP(Table8[[#This Row],[Mã khách hàng]],'Khách hàng'!A:E,5,0)</f>
        <v>HN0040</v>
      </c>
    </row>
    <row r="2089" spans="1:9">
      <c r="A2089" s="14" t="s">
        <v>7228</v>
      </c>
      <c r="B2089" s="15" t="s">
        <v>5</v>
      </c>
      <c r="C2089" s="10" t="s">
        <v>7229</v>
      </c>
      <c r="D2089" s="16" t="s">
        <v>6715</v>
      </c>
      <c r="E2089" s="15" t="s">
        <v>11194</v>
      </c>
      <c r="F2089" s="16" t="str">
        <f>VLOOKUP(Table8[[#This Row],[Mã khách hàng]],code_khach_hang[],2,0)</f>
        <v>CHI NHÁNH VĨNH PHÚC - CÔNG TY CỔ PHẦN DỊCH VỤ THƯƠNG MẠI TỔNG HỢP WINCOMMERCE</v>
      </c>
      <c r="G2089" s="16" t="str">
        <f>VLOOKUP(Table8[[#This Row],[Mã khách hàng]],code_khach_hang[],3,0)</f>
        <v>Miền Bắc đặc biệt 2</v>
      </c>
      <c r="H2089" t="str">
        <f>VLOOKUP(Table8[[#This Row],[Mã khách hàng]],'Khách hàng'!A:D,4,0)</f>
        <v>Food Đức Việt</v>
      </c>
      <c r="I2089" t="str">
        <f>VLOOKUP(Table8[[#This Row],[Mã khách hàng]],'Khách hàng'!A:E,5,0)</f>
        <v>HN0040</v>
      </c>
    </row>
    <row r="2090" spans="1:9">
      <c r="A2090" s="14" t="s">
        <v>7217</v>
      </c>
      <c r="B2090" s="15" t="s">
        <v>5</v>
      </c>
      <c r="C2090" s="10" t="e">
        <v>#N/A</v>
      </c>
      <c r="D2090" s="16" t="s">
        <v>6718</v>
      </c>
      <c r="E2090" s="15" t="s">
        <v>11194</v>
      </c>
      <c r="F2090" s="16" t="str">
        <f>VLOOKUP(Table8[[#This Row],[Mã khách hàng]],code_khach_hang[],2,0)</f>
        <v>CHI NHÁNH VĨNH PHÚC - CÔNG TY CỔ PHẦN DỊCH VỤ THƯƠNG MẠI TỔNG HỢP WINCOMMERCE</v>
      </c>
      <c r="G2090" s="16" t="str">
        <f>VLOOKUP(Table8[[#This Row],[Mã khách hàng]],code_khach_hang[],3,0)</f>
        <v>Miền Bắc đặc biệt 2</v>
      </c>
      <c r="H2090" t="str">
        <f>VLOOKUP(Table8[[#This Row],[Mã khách hàng]],'Khách hàng'!A:D,4,0)</f>
        <v>Food Đức Việt</v>
      </c>
      <c r="I2090" t="str">
        <f>VLOOKUP(Table8[[#This Row],[Mã khách hàng]],'Khách hàng'!A:E,5,0)</f>
        <v>HN0040</v>
      </c>
    </row>
    <row r="2091" spans="1:9">
      <c r="A2091" s="14" t="s">
        <v>524</v>
      </c>
      <c r="B2091" s="15" t="s">
        <v>5</v>
      </c>
      <c r="C2091" s="10" t="s">
        <v>525</v>
      </c>
      <c r="D2091" s="16" t="s">
        <v>6721</v>
      </c>
      <c r="E2091" s="15" t="s">
        <v>11194</v>
      </c>
      <c r="F2091" s="16" t="str">
        <f>VLOOKUP(Table8[[#This Row],[Mã khách hàng]],code_khach_hang[],2,0)</f>
        <v>CHI NHÁNH VĨNH PHÚC - CÔNG TY CỔ PHẦN DỊCH VỤ THƯƠNG MẠI TỔNG HỢP WINCOMMERCE</v>
      </c>
      <c r="G2091" s="16" t="str">
        <f>VLOOKUP(Table8[[#This Row],[Mã khách hàng]],code_khach_hang[],3,0)</f>
        <v>Miền Bắc đặc biệt 2</v>
      </c>
      <c r="H2091" t="str">
        <f>VLOOKUP(Table8[[#This Row],[Mã khách hàng]],'Khách hàng'!A:D,4,0)</f>
        <v>Food Đức Việt</v>
      </c>
      <c r="I2091" t="str">
        <f>VLOOKUP(Table8[[#This Row],[Mã khách hàng]],'Khách hàng'!A:E,5,0)</f>
        <v>HN0040</v>
      </c>
    </row>
    <row r="2092" spans="1:9">
      <c r="A2092" s="14" t="s">
        <v>6938</v>
      </c>
      <c r="B2092" s="15" t="s">
        <v>5</v>
      </c>
      <c r="C2092" s="10" t="s">
        <v>6939</v>
      </c>
      <c r="D2092" s="16" t="s">
        <v>6724</v>
      </c>
      <c r="E2092" s="15" t="s">
        <v>11194</v>
      </c>
      <c r="F2092" s="16" t="str">
        <f>VLOOKUP(Table8[[#This Row],[Mã khách hàng]],code_khach_hang[],2,0)</f>
        <v>CHI NHÁNH VĨNH PHÚC - CÔNG TY CỔ PHẦN DỊCH VỤ THƯƠNG MẠI TỔNG HỢP WINCOMMERCE</v>
      </c>
      <c r="G2092" s="16" t="str">
        <f>VLOOKUP(Table8[[#This Row],[Mã khách hàng]],code_khach_hang[],3,0)</f>
        <v>Miền Bắc đặc biệt 2</v>
      </c>
      <c r="H2092" t="str">
        <f>VLOOKUP(Table8[[#This Row],[Mã khách hàng]],'Khách hàng'!A:D,4,0)</f>
        <v>Food Đức Việt</v>
      </c>
      <c r="I2092" t="str">
        <f>VLOOKUP(Table8[[#This Row],[Mã khách hàng]],'Khách hàng'!A:E,5,0)</f>
        <v>HN0040</v>
      </c>
    </row>
    <row r="2093" spans="1:9">
      <c r="A2093" s="14" t="s">
        <v>5523</v>
      </c>
      <c r="B2093" s="15" t="s">
        <v>5</v>
      </c>
      <c r="C2093" s="10" t="s">
        <v>5524</v>
      </c>
      <c r="D2093" s="16" t="s">
        <v>6727</v>
      </c>
      <c r="E2093" s="15" t="s">
        <v>11194</v>
      </c>
      <c r="F2093" s="16" t="str">
        <f>VLOOKUP(Table8[[#This Row],[Mã khách hàng]],code_khach_hang[],2,0)</f>
        <v>CHI NHÁNH VĨNH PHÚC - CÔNG TY CỔ PHẦN DỊCH VỤ THƯƠNG MẠI TỔNG HỢP WINCOMMERCE</v>
      </c>
      <c r="G2093" s="16" t="str">
        <f>VLOOKUP(Table8[[#This Row],[Mã khách hàng]],code_khach_hang[],3,0)</f>
        <v>Miền Bắc đặc biệt 2</v>
      </c>
      <c r="H2093" t="str">
        <f>VLOOKUP(Table8[[#This Row],[Mã khách hàng]],'Khách hàng'!A:D,4,0)</f>
        <v>Food Đức Việt</v>
      </c>
      <c r="I2093" t="str">
        <f>VLOOKUP(Table8[[#This Row],[Mã khách hàng]],'Khách hàng'!A:E,5,0)</f>
        <v>HN0040</v>
      </c>
    </row>
    <row r="2094" spans="1:9">
      <c r="A2094" s="14" t="s">
        <v>7309</v>
      </c>
      <c r="B2094" s="15" t="s">
        <v>5</v>
      </c>
      <c r="C2094" s="10" t="s">
        <v>7310</v>
      </c>
      <c r="D2094" s="16" t="s">
        <v>6730</v>
      </c>
      <c r="E2094" s="15" t="s">
        <v>11194</v>
      </c>
      <c r="F2094" s="16" t="str">
        <f>VLOOKUP(Table8[[#This Row],[Mã khách hàng]],code_khach_hang[],2,0)</f>
        <v>CHI NHÁNH VĨNH PHÚC - CÔNG TY CỔ PHẦN DỊCH VỤ THƯƠNG MẠI TỔNG HỢP WINCOMMERCE</v>
      </c>
      <c r="G2094" s="16" t="str">
        <f>VLOOKUP(Table8[[#This Row],[Mã khách hàng]],code_khach_hang[],3,0)</f>
        <v>Miền Bắc đặc biệt 2</v>
      </c>
      <c r="H2094" t="str">
        <f>VLOOKUP(Table8[[#This Row],[Mã khách hàng]],'Khách hàng'!A:D,4,0)</f>
        <v>Food Đức Việt</v>
      </c>
      <c r="I2094" t="str">
        <f>VLOOKUP(Table8[[#This Row],[Mã khách hàng]],'Khách hàng'!A:E,5,0)</f>
        <v>HN0040</v>
      </c>
    </row>
    <row r="2095" spans="1:9">
      <c r="A2095" s="14" t="s">
        <v>7517</v>
      </c>
      <c r="B2095" s="15" t="s">
        <v>5</v>
      </c>
      <c r="C2095" s="10" t="s">
        <v>7518</v>
      </c>
      <c r="D2095" s="16" t="s">
        <v>6733</v>
      </c>
      <c r="E2095" s="15" t="s">
        <v>11194</v>
      </c>
      <c r="F2095" s="16" t="str">
        <f>VLOOKUP(Table8[[#This Row],[Mã khách hàng]],code_khach_hang[],2,0)</f>
        <v>CHI NHÁNH VĨNH PHÚC - CÔNG TY CỔ PHẦN DỊCH VỤ THƯƠNG MẠI TỔNG HỢP WINCOMMERCE</v>
      </c>
      <c r="G2095" s="16" t="str">
        <f>VLOOKUP(Table8[[#This Row],[Mã khách hàng]],code_khach_hang[],3,0)</f>
        <v>Miền Bắc đặc biệt 2</v>
      </c>
      <c r="H2095" t="str">
        <f>VLOOKUP(Table8[[#This Row],[Mã khách hàng]],'Khách hàng'!A:D,4,0)</f>
        <v>Food Đức Việt</v>
      </c>
      <c r="I2095" t="str">
        <f>VLOOKUP(Table8[[#This Row],[Mã khách hàng]],'Khách hàng'!A:E,5,0)</f>
        <v>HN0040</v>
      </c>
    </row>
    <row r="2096" spans="1:9">
      <c r="A2096" s="14" t="s">
        <v>7616</v>
      </c>
      <c r="B2096" s="15" t="s">
        <v>5</v>
      </c>
      <c r="C2096" s="10" t="s">
        <v>7617</v>
      </c>
      <c r="D2096" s="16" t="s">
        <v>6736</v>
      </c>
      <c r="E2096" s="15" t="s">
        <v>11194</v>
      </c>
      <c r="F2096" s="16" t="str">
        <f>VLOOKUP(Table8[[#This Row],[Mã khách hàng]],code_khach_hang[],2,0)</f>
        <v>CHI NHÁNH VĨNH PHÚC - CÔNG TY CỔ PHẦN DỊCH VỤ THƯƠNG MẠI TỔNG HỢP WINCOMMERCE</v>
      </c>
      <c r="G2096" s="16" t="str">
        <f>VLOOKUP(Table8[[#This Row],[Mã khách hàng]],code_khach_hang[],3,0)</f>
        <v>Miền Bắc đặc biệt 2</v>
      </c>
      <c r="H2096" t="str">
        <f>VLOOKUP(Table8[[#This Row],[Mã khách hàng]],'Khách hàng'!A:D,4,0)</f>
        <v>Food Đức Việt</v>
      </c>
      <c r="I2096" t="str">
        <f>VLOOKUP(Table8[[#This Row],[Mã khách hàng]],'Khách hàng'!A:E,5,0)</f>
        <v>HN0040</v>
      </c>
    </row>
    <row r="2097" spans="1:9">
      <c r="A2097" s="14" t="s">
        <v>7664</v>
      </c>
      <c r="B2097" s="15" t="s">
        <v>5</v>
      </c>
      <c r="C2097" s="10" t="s">
        <v>7665</v>
      </c>
      <c r="D2097" s="16" t="s">
        <v>6739</v>
      </c>
      <c r="E2097" s="15" t="s">
        <v>11194</v>
      </c>
      <c r="F2097" s="16" t="str">
        <f>VLOOKUP(Table8[[#This Row],[Mã khách hàng]],code_khach_hang[],2,0)</f>
        <v>CHI NHÁNH VĨNH PHÚC - CÔNG TY CỔ PHẦN DỊCH VỤ THƯƠNG MẠI TỔNG HỢP WINCOMMERCE</v>
      </c>
      <c r="G2097" s="16" t="str">
        <f>VLOOKUP(Table8[[#This Row],[Mã khách hàng]],code_khach_hang[],3,0)</f>
        <v>Miền Bắc đặc biệt 2</v>
      </c>
      <c r="H2097" t="str">
        <f>VLOOKUP(Table8[[#This Row],[Mã khách hàng]],'Khách hàng'!A:D,4,0)</f>
        <v>Food Đức Việt</v>
      </c>
      <c r="I2097" t="str">
        <f>VLOOKUP(Table8[[#This Row],[Mã khách hàng]],'Khách hàng'!A:E,5,0)</f>
        <v>HN0040</v>
      </c>
    </row>
    <row r="2098" spans="1:9">
      <c r="A2098" s="14" t="s">
        <v>7801</v>
      </c>
      <c r="B2098" s="15" t="s">
        <v>5</v>
      </c>
      <c r="C2098" s="10" t="s">
        <v>7802</v>
      </c>
      <c r="D2098" s="16" t="s">
        <v>6742</v>
      </c>
      <c r="E2098" s="15" t="s">
        <v>11194</v>
      </c>
      <c r="F2098" s="16" t="str">
        <f>VLOOKUP(Table8[[#This Row],[Mã khách hàng]],code_khach_hang[],2,0)</f>
        <v>CHI NHÁNH VĨNH PHÚC - CÔNG TY CỔ PHẦN DỊCH VỤ THƯƠNG MẠI TỔNG HỢP WINCOMMERCE</v>
      </c>
      <c r="G2098" s="16" t="str">
        <f>VLOOKUP(Table8[[#This Row],[Mã khách hàng]],code_khach_hang[],3,0)</f>
        <v>Miền Bắc đặc biệt 2</v>
      </c>
      <c r="H2098" t="str">
        <f>VLOOKUP(Table8[[#This Row],[Mã khách hàng]],'Khách hàng'!A:D,4,0)</f>
        <v>Food Đức Việt</v>
      </c>
      <c r="I2098" t="str">
        <f>VLOOKUP(Table8[[#This Row],[Mã khách hàng]],'Khách hàng'!A:E,5,0)</f>
        <v>HN0040</v>
      </c>
    </row>
    <row r="2099" spans="1:9">
      <c r="A2099" s="14" t="s">
        <v>5490</v>
      </c>
      <c r="B2099" s="15" t="s">
        <v>5</v>
      </c>
      <c r="C2099" s="10" t="s">
        <v>5491</v>
      </c>
      <c r="D2099" s="16" t="s">
        <v>6745</v>
      </c>
      <c r="E2099" s="15" t="s">
        <v>11194</v>
      </c>
      <c r="F2099" s="16" t="str">
        <f>VLOOKUP(Table8[[#This Row],[Mã khách hàng]],code_khach_hang[],2,0)</f>
        <v>CHI NHÁNH VĨNH PHÚC - CÔNG TY CỔ PHẦN DỊCH VỤ THƯƠNG MẠI TỔNG HỢP WINCOMMERCE</v>
      </c>
      <c r="G2099" s="16" t="str">
        <f>VLOOKUP(Table8[[#This Row],[Mã khách hàng]],code_khach_hang[],3,0)</f>
        <v>Miền Bắc đặc biệt 2</v>
      </c>
      <c r="H2099" t="str">
        <f>VLOOKUP(Table8[[#This Row],[Mã khách hàng]],'Khách hàng'!A:D,4,0)</f>
        <v>Food Đức Việt</v>
      </c>
      <c r="I2099" t="str">
        <f>VLOOKUP(Table8[[#This Row],[Mã khách hàng]],'Khách hàng'!A:E,5,0)</f>
        <v>HN0040</v>
      </c>
    </row>
    <row r="2100" spans="1:9">
      <c r="A2100" s="14" t="s">
        <v>8127</v>
      </c>
      <c r="B2100" s="15" t="s">
        <v>5</v>
      </c>
      <c r="C2100" s="10" t="s">
        <v>8128</v>
      </c>
      <c r="D2100" s="16" t="s">
        <v>6748</v>
      </c>
      <c r="E2100" s="15" t="s">
        <v>11194</v>
      </c>
      <c r="F2100" s="16" t="str">
        <f>VLOOKUP(Table8[[#This Row],[Mã khách hàng]],code_khach_hang[],2,0)</f>
        <v>CHI NHÁNH VĨNH PHÚC - CÔNG TY CỔ PHẦN DỊCH VỤ THƯƠNG MẠI TỔNG HỢP WINCOMMERCE</v>
      </c>
      <c r="G2100" s="16" t="str">
        <f>VLOOKUP(Table8[[#This Row],[Mã khách hàng]],code_khach_hang[],3,0)</f>
        <v>Miền Bắc đặc biệt 2</v>
      </c>
      <c r="H2100" t="str">
        <f>VLOOKUP(Table8[[#This Row],[Mã khách hàng]],'Khách hàng'!A:D,4,0)</f>
        <v>Food Đức Việt</v>
      </c>
      <c r="I2100" t="str">
        <f>VLOOKUP(Table8[[#This Row],[Mã khách hàng]],'Khách hàng'!A:E,5,0)</f>
        <v>HN0040</v>
      </c>
    </row>
    <row r="2101" spans="1:9">
      <c r="A2101" s="14" t="s">
        <v>8331</v>
      </c>
      <c r="B2101" s="15" t="s">
        <v>5</v>
      </c>
      <c r="C2101" s="10" t="s">
        <v>8332</v>
      </c>
      <c r="D2101" s="16" t="s">
        <v>6751</v>
      </c>
      <c r="E2101" s="15" t="s">
        <v>11194</v>
      </c>
      <c r="F2101" s="16" t="str">
        <f>VLOOKUP(Table8[[#This Row],[Mã khách hàng]],code_khach_hang[],2,0)</f>
        <v>CHI NHÁNH VĨNH PHÚC - CÔNG TY CỔ PHẦN DỊCH VỤ THƯƠNG MẠI TỔNG HỢP WINCOMMERCE</v>
      </c>
      <c r="G2101" s="16" t="str">
        <f>VLOOKUP(Table8[[#This Row],[Mã khách hàng]],code_khach_hang[],3,0)</f>
        <v>Miền Bắc đặc biệt 2</v>
      </c>
      <c r="H2101" t="str">
        <f>VLOOKUP(Table8[[#This Row],[Mã khách hàng]],'Khách hàng'!A:D,4,0)</f>
        <v>Food Đức Việt</v>
      </c>
      <c r="I2101" t="str">
        <f>VLOOKUP(Table8[[#This Row],[Mã khách hàng]],'Khách hàng'!A:E,5,0)</f>
        <v>HN0040</v>
      </c>
    </row>
    <row r="2102" spans="1:9">
      <c r="A2102" s="14" t="s">
        <v>8343</v>
      </c>
      <c r="B2102" s="15" t="s">
        <v>5</v>
      </c>
      <c r="C2102" s="10" t="s">
        <v>8344</v>
      </c>
      <c r="D2102" s="16" t="s">
        <v>6754</v>
      </c>
      <c r="E2102" s="15" t="s">
        <v>11194</v>
      </c>
      <c r="F2102" s="16" t="str">
        <f>VLOOKUP(Table8[[#This Row],[Mã khách hàng]],code_khach_hang[],2,0)</f>
        <v>CHI NHÁNH VĨNH PHÚC - CÔNG TY CỔ PHẦN DỊCH VỤ THƯƠNG MẠI TỔNG HỢP WINCOMMERCE</v>
      </c>
      <c r="G2102" s="16" t="str">
        <f>VLOOKUP(Table8[[#This Row],[Mã khách hàng]],code_khach_hang[],3,0)</f>
        <v>Miền Bắc đặc biệt 2</v>
      </c>
      <c r="H2102" t="str">
        <f>VLOOKUP(Table8[[#This Row],[Mã khách hàng]],'Khách hàng'!A:D,4,0)</f>
        <v>Food Đức Việt</v>
      </c>
      <c r="I2102" t="str">
        <f>VLOOKUP(Table8[[#This Row],[Mã khách hàng]],'Khách hàng'!A:E,5,0)</f>
        <v>HN0040</v>
      </c>
    </row>
    <row r="2103" spans="1:9">
      <c r="A2103" s="14" t="s">
        <v>8106</v>
      </c>
      <c r="B2103" s="15" t="s">
        <v>5</v>
      </c>
      <c r="C2103" s="10" t="s">
        <v>8107</v>
      </c>
      <c r="D2103" s="16" t="s">
        <v>6757</v>
      </c>
      <c r="E2103" s="15" t="s">
        <v>11194</v>
      </c>
      <c r="F2103" s="16" t="str">
        <f>VLOOKUP(Table8[[#This Row],[Mã khách hàng]],code_khach_hang[],2,0)</f>
        <v>CHI NHÁNH VĨNH PHÚC - CÔNG TY CỔ PHẦN DỊCH VỤ THƯƠNG MẠI TỔNG HỢP WINCOMMERCE</v>
      </c>
      <c r="G2103" s="16" t="str">
        <f>VLOOKUP(Table8[[#This Row],[Mã khách hàng]],code_khach_hang[],3,0)</f>
        <v>Miền Bắc đặc biệt 2</v>
      </c>
      <c r="H2103" t="str">
        <f>VLOOKUP(Table8[[#This Row],[Mã khách hàng]],'Khách hàng'!A:D,4,0)</f>
        <v>Food Đức Việt</v>
      </c>
      <c r="I2103" t="str">
        <f>VLOOKUP(Table8[[#This Row],[Mã khách hàng]],'Khách hàng'!A:E,5,0)</f>
        <v>HN0040</v>
      </c>
    </row>
    <row r="2104" spans="1:9">
      <c r="A2104" s="14" t="s">
        <v>8410</v>
      </c>
      <c r="B2104" s="15" t="s">
        <v>5</v>
      </c>
      <c r="C2104" s="10" t="s">
        <v>8411</v>
      </c>
      <c r="D2104" s="16" t="s">
        <v>6760</v>
      </c>
      <c r="E2104" s="15" t="s">
        <v>11194</v>
      </c>
      <c r="F2104" s="16" t="str">
        <f>VLOOKUP(Table8[[#This Row],[Mã khách hàng]],code_khach_hang[],2,0)</f>
        <v>CHI NHÁNH VĨNH PHÚC - CÔNG TY CỔ PHẦN DỊCH VỤ THƯƠNG MẠI TỔNG HỢP WINCOMMERCE</v>
      </c>
      <c r="G2104" s="16" t="str">
        <f>VLOOKUP(Table8[[#This Row],[Mã khách hàng]],code_khach_hang[],3,0)</f>
        <v>Miền Bắc đặc biệt 2</v>
      </c>
      <c r="H2104" t="str">
        <f>VLOOKUP(Table8[[#This Row],[Mã khách hàng]],'Khách hàng'!A:D,4,0)</f>
        <v>Food Đức Việt</v>
      </c>
      <c r="I2104" t="str">
        <f>VLOOKUP(Table8[[#This Row],[Mã khách hàng]],'Khách hàng'!A:E,5,0)</f>
        <v>HN0040</v>
      </c>
    </row>
    <row r="2105" spans="1:9">
      <c r="A2105" s="14" t="s">
        <v>8376</v>
      </c>
      <c r="B2105" s="15" t="s">
        <v>5</v>
      </c>
      <c r="C2105" s="10" t="s">
        <v>8377</v>
      </c>
      <c r="D2105" s="16" t="s">
        <v>6763</v>
      </c>
      <c r="E2105" s="15" t="s">
        <v>11194</v>
      </c>
      <c r="F2105" s="16" t="str">
        <f>VLOOKUP(Table8[[#This Row],[Mã khách hàng]],code_khach_hang[],2,0)</f>
        <v>CHI NHÁNH VĨNH PHÚC - CÔNG TY CỔ PHẦN DỊCH VỤ THƯƠNG MẠI TỔNG HỢP WINCOMMERCE</v>
      </c>
      <c r="G2105" s="16" t="str">
        <f>VLOOKUP(Table8[[#This Row],[Mã khách hàng]],code_khach_hang[],3,0)</f>
        <v>Miền Bắc đặc biệt 2</v>
      </c>
      <c r="H2105" t="str">
        <f>VLOOKUP(Table8[[#This Row],[Mã khách hàng]],'Khách hàng'!A:D,4,0)</f>
        <v>Food Đức Việt</v>
      </c>
      <c r="I2105" t="str">
        <f>VLOOKUP(Table8[[#This Row],[Mã khách hàng]],'Khách hàng'!A:E,5,0)</f>
        <v>HN0040</v>
      </c>
    </row>
    <row r="2106" spans="1:9">
      <c r="A2106" s="14" t="s">
        <v>8521</v>
      </c>
      <c r="B2106" s="15" t="s">
        <v>5</v>
      </c>
      <c r="C2106" s="10" t="s">
        <v>8522</v>
      </c>
      <c r="D2106" s="16" t="s">
        <v>6766</v>
      </c>
      <c r="E2106" s="15" t="s">
        <v>11194</v>
      </c>
      <c r="F2106" s="16" t="str">
        <f>VLOOKUP(Table8[[#This Row],[Mã khách hàng]],code_khach_hang[],2,0)</f>
        <v>CHI NHÁNH VĨNH PHÚC - CÔNG TY CỔ PHẦN DỊCH VỤ THƯƠNG MẠI TỔNG HỢP WINCOMMERCE</v>
      </c>
      <c r="G2106" s="16" t="str">
        <f>VLOOKUP(Table8[[#This Row],[Mã khách hàng]],code_khach_hang[],3,0)</f>
        <v>Miền Bắc đặc biệt 2</v>
      </c>
      <c r="H2106" t="str">
        <f>VLOOKUP(Table8[[#This Row],[Mã khách hàng]],'Khách hàng'!A:D,4,0)</f>
        <v>Food Đức Việt</v>
      </c>
      <c r="I2106" t="str">
        <f>VLOOKUP(Table8[[#This Row],[Mã khách hàng]],'Khách hàng'!A:E,5,0)</f>
        <v>HN0040</v>
      </c>
    </row>
    <row r="2107" spans="1:9">
      <c r="A2107" s="14" t="s">
        <v>8130</v>
      </c>
      <c r="B2107" s="15" t="s">
        <v>5</v>
      </c>
      <c r="C2107" s="10" t="s">
        <v>8131</v>
      </c>
      <c r="D2107" s="16" t="s">
        <v>6769</v>
      </c>
      <c r="E2107" s="15" t="s">
        <v>11194</v>
      </c>
      <c r="F2107" s="16" t="str">
        <f>VLOOKUP(Table8[[#This Row],[Mã khách hàng]],code_khach_hang[],2,0)</f>
        <v>CHI NHÁNH VĨNH PHÚC - CÔNG TY CỔ PHẦN DỊCH VỤ THƯƠNG MẠI TỔNG HỢP WINCOMMERCE</v>
      </c>
      <c r="G2107" s="16" t="str">
        <f>VLOOKUP(Table8[[#This Row],[Mã khách hàng]],code_khach_hang[],3,0)</f>
        <v>Miền Bắc đặc biệt 2</v>
      </c>
      <c r="H2107" t="str">
        <f>VLOOKUP(Table8[[#This Row],[Mã khách hàng]],'Khách hàng'!A:D,4,0)</f>
        <v>Food Đức Việt</v>
      </c>
      <c r="I2107" t="str">
        <f>VLOOKUP(Table8[[#This Row],[Mã khách hàng]],'Khách hàng'!A:E,5,0)</f>
        <v>HN0040</v>
      </c>
    </row>
    <row r="2108" spans="1:9">
      <c r="A2108" s="14" t="s">
        <v>8556</v>
      </c>
      <c r="B2108" s="15" t="s">
        <v>5</v>
      </c>
      <c r="C2108" s="10" t="s">
        <v>8557</v>
      </c>
      <c r="D2108" s="16" t="s">
        <v>6772</v>
      </c>
      <c r="E2108" s="15" t="s">
        <v>11194</v>
      </c>
      <c r="F2108" s="16" t="str">
        <f>VLOOKUP(Table8[[#This Row],[Mã khách hàng]],code_khach_hang[],2,0)</f>
        <v>CHI NHÁNH VĨNH PHÚC - CÔNG TY CỔ PHẦN DỊCH VỤ THƯƠNG MẠI TỔNG HỢP WINCOMMERCE</v>
      </c>
      <c r="G2108" s="16" t="str">
        <f>VLOOKUP(Table8[[#This Row],[Mã khách hàng]],code_khach_hang[],3,0)</f>
        <v>Miền Bắc đặc biệt 2</v>
      </c>
      <c r="H2108" t="str">
        <f>VLOOKUP(Table8[[#This Row],[Mã khách hàng]],'Khách hàng'!A:D,4,0)</f>
        <v>Food Đức Việt</v>
      </c>
      <c r="I2108" t="str">
        <f>VLOOKUP(Table8[[#This Row],[Mã khách hàng]],'Khách hàng'!A:E,5,0)</f>
        <v>HN0040</v>
      </c>
    </row>
    <row r="2109" spans="1:9">
      <c r="A2109" s="14" t="s">
        <v>8474</v>
      </c>
      <c r="B2109" s="15" t="s">
        <v>5</v>
      </c>
      <c r="C2109" s="10" t="s">
        <v>8475</v>
      </c>
      <c r="D2109" s="16" t="s">
        <v>6775</v>
      </c>
      <c r="E2109" s="15" t="s">
        <v>11194</v>
      </c>
      <c r="F2109" s="16" t="str">
        <f>VLOOKUP(Table8[[#This Row],[Mã khách hàng]],code_khach_hang[],2,0)</f>
        <v>CHI NHÁNH VĨNH PHÚC - CÔNG TY CỔ PHẦN DỊCH VỤ THƯƠNG MẠI TỔNG HỢP WINCOMMERCE</v>
      </c>
      <c r="G2109" s="16" t="str">
        <f>VLOOKUP(Table8[[#This Row],[Mã khách hàng]],code_khach_hang[],3,0)</f>
        <v>Miền Bắc đặc biệt 2</v>
      </c>
      <c r="H2109" t="str">
        <f>VLOOKUP(Table8[[#This Row],[Mã khách hàng]],'Khách hàng'!A:D,4,0)</f>
        <v>Food Đức Việt</v>
      </c>
      <c r="I2109" t="str">
        <f>VLOOKUP(Table8[[#This Row],[Mã khách hàng]],'Khách hàng'!A:E,5,0)</f>
        <v>HN0040</v>
      </c>
    </row>
    <row r="2110" spans="1:9">
      <c r="A2110" s="14" t="s">
        <v>7754</v>
      </c>
      <c r="B2110" s="15" t="s">
        <v>5</v>
      </c>
      <c r="C2110" s="10" t="s">
        <v>7755</v>
      </c>
      <c r="D2110" s="16" t="s">
        <v>6778</v>
      </c>
      <c r="E2110" s="15" t="s">
        <v>11194</v>
      </c>
      <c r="F2110" s="16" t="str">
        <f>VLOOKUP(Table8[[#This Row],[Mã khách hàng]],code_khach_hang[],2,0)</f>
        <v>CHI NHÁNH VĨNH PHÚC - CÔNG TY CỔ PHẦN DỊCH VỤ THƯƠNG MẠI TỔNG HỢP WINCOMMERCE</v>
      </c>
      <c r="G2110" s="16" t="str">
        <f>VLOOKUP(Table8[[#This Row],[Mã khách hàng]],code_khach_hang[],3,0)</f>
        <v>Miền Bắc đặc biệt 2</v>
      </c>
      <c r="H2110" t="str">
        <f>VLOOKUP(Table8[[#This Row],[Mã khách hàng]],'Khách hàng'!A:D,4,0)</f>
        <v>Food Đức Việt</v>
      </c>
      <c r="I2110" t="str">
        <f>VLOOKUP(Table8[[#This Row],[Mã khách hàng]],'Khách hàng'!A:E,5,0)</f>
        <v>HN0040</v>
      </c>
    </row>
    <row r="2111" spans="1:9">
      <c r="A2111" s="14" t="s">
        <v>8626</v>
      </c>
      <c r="B2111" s="15" t="s">
        <v>5</v>
      </c>
      <c r="C2111" s="10" t="s">
        <v>8627</v>
      </c>
      <c r="D2111" s="16" t="s">
        <v>6781</v>
      </c>
      <c r="E2111" s="15" t="s">
        <v>11194</v>
      </c>
      <c r="F2111" s="16" t="str">
        <f>VLOOKUP(Table8[[#This Row],[Mã khách hàng]],code_khach_hang[],2,0)</f>
        <v>CHI NHÁNH VĨNH PHÚC - CÔNG TY CỔ PHẦN DỊCH VỤ THƯƠNG MẠI TỔNG HỢP WINCOMMERCE</v>
      </c>
      <c r="G2111" s="16" t="str">
        <f>VLOOKUP(Table8[[#This Row],[Mã khách hàng]],code_khach_hang[],3,0)</f>
        <v>Miền Bắc đặc biệt 2</v>
      </c>
      <c r="H2111" t="str">
        <f>VLOOKUP(Table8[[#This Row],[Mã khách hàng]],'Khách hàng'!A:D,4,0)</f>
        <v>Food Đức Việt</v>
      </c>
      <c r="I2111" t="str">
        <f>VLOOKUP(Table8[[#This Row],[Mã khách hàng]],'Khách hàng'!A:E,5,0)</f>
        <v>HN0040</v>
      </c>
    </row>
    <row r="2112" spans="1:9">
      <c r="A2112" s="14" t="s">
        <v>8691</v>
      </c>
      <c r="B2112" s="15" t="s">
        <v>5</v>
      </c>
      <c r="C2112" s="10" t="s">
        <v>8692</v>
      </c>
      <c r="D2112" s="16" t="s">
        <v>6784</v>
      </c>
      <c r="E2112" s="15" t="s">
        <v>11194</v>
      </c>
      <c r="F2112" s="16" t="str">
        <f>VLOOKUP(Table8[[#This Row],[Mã khách hàng]],code_khach_hang[],2,0)</f>
        <v>CHI NHÁNH VĨNH PHÚC - CÔNG TY CỔ PHẦN DỊCH VỤ THƯƠNG MẠI TỔNG HỢP WINCOMMERCE</v>
      </c>
      <c r="G2112" s="16" t="str">
        <f>VLOOKUP(Table8[[#This Row],[Mã khách hàng]],code_khach_hang[],3,0)</f>
        <v>Miền Bắc đặc biệt 2</v>
      </c>
      <c r="H2112" t="str">
        <f>VLOOKUP(Table8[[#This Row],[Mã khách hàng]],'Khách hàng'!A:D,4,0)</f>
        <v>Food Đức Việt</v>
      </c>
      <c r="I2112" t="str">
        <f>VLOOKUP(Table8[[#This Row],[Mã khách hàng]],'Khách hàng'!A:E,5,0)</f>
        <v>HN0040</v>
      </c>
    </row>
    <row r="2113" spans="1:9">
      <c r="A2113" s="14" t="s">
        <v>8824</v>
      </c>
      <c r="B2113" s="15" t="s">
        <v>5</v>
      </c>
      <c r="C2113" s="10" t="s">
        <v>8825</v>
      </c>
      <c r="D2113" s="16" t="s">
        <v>6787</v>
      </c>
      <c r="E2113" s="15" t="s">
        <v>11194</v>
      </c>
      <c r="F2113" s="16" t="str">
        <f>VLOOKUP(Table8[[#This Row],[Mã khách hàng]],code_khach_hang[],2,0)</f>
        <v>CHI NHÁNH VĨNH PHÚC - CÔNG TY CỔ PHẦN DỊCH VỤ THƯƠNG MẠI TỔNG HỢP WINCOMMERCE</v>
      </c>
      <c r="G2113" s="16" t="str">
        <f>VLOOKUP(Table8[[#This Row],[Mã khách hàng]],code_khach_hang[],3,0)</f>
        <v>Miền Bắc đặc biệt 2</v>
      </c>
      <c r="H2113" t="str">
        <f>VLOOKUP(Table8[[#This Row],[Mã khách hàng]],'Khách hàng'!A:D,4,0)</f>
        <v>Food Đức Việt</v>
      </c>
      <c r="I2113" t="str">
        <f>VLOOKUP(Table8[[#This Row],[Mã khách hàng]],'Khách hàng'!A:E,5,0)</f>
        <v>HN0040</v>
      </c>
    </row>
    <row r="2114" spans="1:9">
      <c r="A2114" s="14" t="s">
        <v>6073</v>
      </c>
      <c r="B2114" s="15" t="s">
        <v>5</v>
      </c>
      <c r="C2114" s="10" t="s">
        <v>6074</v>
      </c>
      <c r="D2114" s="16" t="s">
        <v>6790</v>
      </c>
      <c r="E2114" s="15" t="s">
        <v>11202</v>
      </c>
      <c r="F2114" s="16" t="str">
        <f>VLOOKUP(Table8[[#This Row],[Mã khách hàng]],code_khach_hang[],2,0)</f>
        <v>CHI NHÁNH YÊN BÁI - CÔNG TY CỔ PHẦN DỊCH VỤ THƯƠNG MẠI TỔNG HỢP WINCOMMERCE</v>
      </c>
      <c r="G2114" s="16" t="str">
        <f>VLOOKUP(Table8[[#This Row],[Mã khách hàng]],code_khach_hang[],3,0)</f>
        <v>Miền Bắc đặc biệt 1</v>
      </c>
      <c r="H2114" t="str">
        <f>VLOOKUP(Table8[[#This Row],[Mã khách hàng]],'Khách hàng'!A:D,4,0)</f>
        <v>Food Đức Việt</v>
      </c>
      <c r="I2114" t="str">
        <f>VLOOKUP(Table8[[#This Row],[Mã khách hàng]],'Khách hàng'!A:E,5,0)</f>
        <v>HN0040</v>
      </c>
    </row>
    <row r="2115" spans="1:9">
      <c r="A2115" s="14" t="s">
        <v>8037</v>
      </c>
      <c r="B2115" s="15" t="s">
        <v>5</v>
      </c>
      <c r="C2115" s="10" t="s">
        <v>8038</v>
      </c>
      <c r="D2115" s="16" t="s">
        <v>6793</v>
      </c>
      <c r="E2115" s="15" t="s">
        <v>11202</v>
      </c>
      <c r="F2115" s="16" t="str">
        <f>VLOOKUP(Table8[[#This Row],[Mã khách hàng]],code_khach_hang[],2,0)</f>
        <v>CHI NHÁNH YÊN BÁI - CÔNG TY CỔ PHẦN DỊCH VỤ THƯƠNG MẠI TỔNG HỢP WINCOMMERCE</v>
      </c>
      <c r="G2115" s="16" t="str">
        <f>VLOOKUP(Table8[[#This Row],[Mã khách hàng]],code_khach_hang[],3,0)</f>
        <v>Miền Bắc đặc biệt 1</v>
      </c>
      <c r="H2115" t="str">
        <f>VLOOKUP(Table8[[#This Row],[Mã khách hàng]],'Khách hàng'!A:D,4,0)</f>
        <v>Food Đức Việt</v>
      </c>
      <c r="I2115" t="str">
        <f>VLOOKUP(Table8[[#This Row],[Mã khách hàng]],'Khách hàng'!A:E,5,0)</f>
        <v>HN0040</v>
      </c>
    </row>
    <row r="2116" spans="1:9">
      <c r="A2116" s="14" t="s">
        <v>8139</v>
      </c>
      <c r="B2116" s="15" t="s">
        <v>5</v>
      </c>
      <c r="C2116" s="10" t="s">
        <v>8140</v>
      </c>
      <c r="D2116" s="16" t="s">
        <v>6796</v>
      </c>
      <c r="E2116" s="15" t="s">
        <v>11202</v>
      </c>
      <c r="F2116" s="16" t="str">
        <f>VLOOKUP(Table8[[#This Row],[Mã khách hàng]],code_khach_hang[],2,0)</f>
        <v>CHI NHÁNH YÊN BÁI - CÔNG TY CỔ PHẦN DỊCH VỤ THƯƠNG MẠI TỔNG HỢP WINCOMMERCE</v>
      </c>
      <c r="G2116" s="16" t="str">
        <f>VLOOKUP(Table8[[#This Row],[Mã khách hàng]],code_khach_hang[],3,0)</f>
        <v>Miền Bắc đặc biệt 1</v>
      </c>
      <c r="H2116" t="str">
        <f>VLOOKUP(Table8[[#This Row],[Mã khách hàng]],'Khách hàng'!A:D,4,0)</f>
        <v>Food Đức Việt</v>
      </c>
      <c r="I2116" t="str">
        <f>VLOOKUP(Table8[[#This Row],[Mã khách hàng]],'Khách hàng'!A:E,5,0)</f>
        <v>HN0040</v>
      </c>
    </row>
    <row r="2117" spans="1:9">
      <c r="A2117" s="14" t="s">
        <v>8334</v>
      </c>
      <c r="B2117" s="15" t="s">
        <v>5</v>
      </c>
      <c r="C2117" s="10" t="s">
        <v>8335</v>
      </c>
      <c r="D2117" s="16" t="s">
        <v>6799</v>
      </c>
      <c r="E2117" s="15" t="s">
        <v>11202</v>
      </c>
      <c r="F2117" s="16" t="str">
        <f>VLOOKUP(Table8[[#This Row],[Mã khách hàng]],code_khach_hang[],2,0)</f>
        <v>CHI NHÁNH YÊN BÁI - CÔNG TY CỔ PHẦN DỊCH VỤ THƯƠNG MẠI TỔNG HỢP WINCOMMERCE</v>
      </c>
      <c r="G2117" s="16" t="str">
        <f>VLOOKUP(Table8[[#This Row],[Mã khách hàng]],code_khach_hang[],3,0)</f>
        <v>Miền Bắc đặc biệt 1</v>
      </c>
      <c r="H2117" t="str">
        <f>VLOOKUP(Table8[[#This Row],[Mã khách hàng]],'Khách hàng'!A:D,4,0)</f>
        <v>Food Đức Việt</v>
      </c>
      <c r="I2117" t="str">
        <f>VLOOKUP(Table8[[#This Row],[Mã khách hàng]],'Khách hàng'!A:E,5,0)</f>
        <v>HN0040</v>
      </c>
    </row>
    <row r="2118" spans="1:9">
      <c r="A2118" s="14" t="s">
        <v>6187</v>
      </c>
      <c r="B2118" s="15" t="s">
        <v>5</v>
      </c>
      <c r="C2118" s="10" t="s">
        <v>6188</v>
      </c>
      <c r="D2118" s="16" t="s">
        <v>6802</v>
      </c>
      <c r="E2118" s="15" t="s">
        <v>11202</v>
      </c>
      <c r="F2118" s="16" t="str">
        <f>VLOOKUP(Table8[[#This Row],[Mã khách hàng]],code_khach_hang[],2,0)</f>
        <v>CHI NHÁNH YÊN BÁI - CÔNG TY CỔ PHẦN DỊCH VỤ THƯƠNG MẠI TỔNG HỢP WINCOMMERCE</v>
      </c>
      <c r="G2118" s="16" t="str">
        <f>VLOOKUP(Table8[[#This Row],[Mã khách hàng]],code_khach_hang[],3,0)</f>
        <v>Miền Bắc đặc biệt 1</v>
      </c>
      <c r="H2118" t="str">
        <f>VLOOKUP(Table8[[#This Row],[Mã khách hàng]],'Khách hàng'!A:D,4,0)</f>
        <v>Food Đức Việt</v>
      </c>
      <c r="I2118" t="str">
        <f>VLOOKUP(Table8[[#This Row],[Mã khách hàng]],'Khách hàng'!A:E,5,0)</f>
        <v>HN0040</v>
      </c>
    </row>
    <row r="2119" spans="1:9">
      <c r="A2119" s="14" t="s">
        <v>5959</v>
      </c>
      <c r="B2119" s="15" t="s">
        <v>5</v>
      </c>
      <c r="C2119" s="10" t="s">
        <v>5960</v>
      </c>
      <c r="D2119" s="16" t="s">
        <v>6805</v>
      </c>
      <c r="E2119" s="15" t="s">
        <v>11202</v>
      </c>
      <c r="F2119" s="16" t="str">
        <f>VLOOKUP(Table8[[#This Row],[Mã khách hàng]],code_khach_hang[],2,0)</f>
        <v>CHI NHÁNH YÊN BÁI - CÔNG TY CỔ PHẦN DỊCH VỤ THƯƠNG MẠI TỔNG HỢP WINCOMMERCE</v>
      </c>
      <c r="G2119" s="16" t="str">
        <f>VLOOKUP(Table8[[#This Row],[Mã khách hàng]],code_khach_hang[],3,0)</f>
        <v>Miền Bắc đặc biệt 1</v>
      </c>
      <c r="H2119" t="str">
        <f>VLOOKUP(Table8[[#This Row],[Mã khách hàng]],'Khách hàng'!A:D,4,0)</f>
        <v>Food Đức Việt</v>
      </c>
      <c r="I2119" t="str">
        <f>VLOOKUP(Table8[[#This Row],[Mã khách hàng]],'Khách hàng'!A:E,5,0)</f>
        <v>HN0040</v>
      </c>
    </row>
    <row r="2120" spans="1:9">
      <c r="A2120" s="14" t="s">
        <v>5947</v>
      </c>
      <c r="B2120" s="15" t="s">
        <v>5</v>
      </c>
      <c r="C2120" s="10" t="s">
        <v>5948</v>
      </c>
      <c r="D2120" s="16" t="s">
        <v>6808</v>
      </c>
      <c r="E2120" s="15" t="s">
        <v>11202</v>
      </c>
      <c r="F2120" s="16" t="str">
        <f>VLOOKUP(Table8[[#This Row],[Mã khách hàng]],code_khach_hang[],2,0)</f>
        <v>CHI NHÁNH YÊN BÁI - CÔNG TY CỔ PHẦN DỊCH VỤ THƯƠNG MẠI TỔNG HỢP WINCOMMERCE</v>
      </c>
      <c r="G2120" s="16" t="str">
        <f>VLOOKUP(Table8[[#This Row],[Mã khách hàng]],code_khach_hang[],3,0)</f>
        <v>Miền Bắc đặc biệt 1</v>
      </c>
      <c r="H2120" t="str">
        <f>VLOOKUP(Table8[[#This Row],[Mã khách hàng]],'Khách hàng'!A:D,4,0)</f>
        <v>Food Đức Việt</v>
      </c>
      <c r="I2120" t="str">
        <f>VLOOKUP(Table8[[#This Row],[Mã khách hàng]],'Khách hàng'!A:E,5,0)</f>
        <v>HN0040</v>
      </c>
    </row>
    <row r="2121" spans="1:9">
      <c r="A2121" s="14" t="s">
        <v>11137</v>
      </c>
      <c r="B2121" s="15" t="s">
        <v>5</v>
      </c>
      <c r="C2121" s="10" t="e">
        <v>#N/A</v>
      </c>
      <c r="D2121" s="16" t="s">
        <v>6811</v>
      </c>
      <c r="E2121" s="15" t="s">
        <v>11202</v>
      </c>
      <c r="F2121" s="16" t="str">
        <f>VLOOKUP(Table8[[#This Row],[Mã khách hàng]],code_khach_hang[],2,0)</f>
        <v>CHI NHÁNH YÊN BÁI - CÔNG TY CỔ PHẦN DỊCH VỤ THƯƠNG MẠI TỔNG HỢP WINCOMMERCE</v>
      </c>
      <c r="G2121" s="16" t="str">
        <f>VLOOKUP(Table8[[#This Row],[Mã khách hàng]],code_khach_hang[],3,0)</f>
        <v>Miền Bắc đặc biệt 1</v>
      </c>
      <c r="H2121" t="str">
        <f>VLOOKUP(Table8[[#This Row],[Mã khách hàng]],'Khách hàng'!A:D,4,0)</f>
        <v>Food Đức Việt</v>
      </c>
      <c r="I2121" t="str">
        <f>VLOOKUP(Table8[[#This Row],[Mã khách hàng]],'Khách hàng'!A:E,5,0)</f>
        <v>HN0040</v>
      </c>
    </row>
    <row r="2122" spans="1:9">
      <c r="A2122" s="14" t="s">
        <v>7646</v>
      </c>
      <c r="B2122" s="15" t="s">
        <v>5</v>
      </c>
      <c r="C2122" s="10" t="s">
        <v>7647</v>
      </c>
      <c r="D2122" s="16" t="s">
        <v>6814</v>
      </c>
      <c r="E2122" s="15" t="s">
        <v>11202</v>
      </c>
      <c r="F2122" s="16" t="str">
        <f>VLOOKUP(Table8[[#This Row],[Mã khách hàng]],code_khach_hang[],2,0)</f>
        <v>CHI NHÁNH YÊN BÁI - CÔNG TY CỔ PHẦN DỊCH VỤ THƯƠNG MẠI TỔNG HỢP WINCOMMERCE</v>
      </c>
      <c r="G2122" s="16" t="str">
        <f>VLOOKUP(Table8[[#This Row],[Mã khách hàng]],code_khach_hang[],3,0)</f>
        <v>Miền Bắc đặc biệt 1</v>
      </c>
      <c r="H2122" t="str">
        <f>VLOOKUP(Table8[[#This Row],[Mã khách hàng]],'Khách hàng'!A:D,4,0)</f>
        <v>Food Đức Việt</v>
      </c>
      <c r="I2122" t="str">
        <f>VLOOKUP(Table8[[#This Row],[Mã khách hàng]],'Khách hàng'!A:E,5,0)</f>
        <v>HN0040</v>
      </c>
    </row>
    <row r="2123" spans="1:9">
      <c r="A2123" s="14" t="s">
        <v>7030</v>
      </c>
      <c r="B2123" s="15" t="s">
        <v>5</v>
      </c>
      <c r="C2123" s="10" t="s">
        <v>7031</v>
      </c>
      <c r="D2123" s="16" t="s">
        <v>6817</v>
      </c>
      <c r="E2123" s="15" t="s">
        <v>11202</v>
      </c>
      <c r="F2123" s="16" t="str">
        <f>VLOOKUP(Table8[[#This Row],[Mã khách hàng]],code_khach_hang[],2,0)</f>
        <v>CHI NHÁNH YÊN BÁI - CÔNG TY CỔ PHẦN DỊCH VỤ THƯƠNG MẠI TỔNG HỢP WINCOMMERCE</v>
      </c>
      <c r="G2123" s="16" t="str">
        <f>VLOOKUP(Table8[[#This Row],[Mã khách hàng]],code_khach_hang[],3,0)</f>
        <v>Miền Bắc đặc biệt 1</v>
      </c>
      <c r="H2123" t="str">
        <f>VLOOKUP(Table8[[#This Row],[Mã khách hàng]],'Khách hàng'!A:D,4,0)</f>
        <v>Food Đức Việt</v>
      </c>
      <c r="I2123" t="str">
        <f>VLOOKUP(Table8[[#This Row],[Mã khách hàng]],'Khách hàng'!A:E,5,0)</f>
        <v>HN0040</v>
      </c>
    </row>
    <row r="2124" spans="1:9">
      <c r="A2124" s="14" t="s">
        <v>6070</v>
      </c>
      <c r="B2124" s="15" t="s">
        <v>5</v>
      </c>
      <c r="C2124" s="10" t="s">
        <v>6071</v>
      </c>
      <c r="D2124" s="16" t="s">
        <v>6820</v>
      </c>
      <c r="E2124" s="15" t="s">
        <v>11202</v>
      </c>
      <c r="F2124" s="16" t="str">
        <f>VLOOKUP(Table8[[#This Row],[Mã khách hàng]],code_khach_hang[],2,0)</f>
        <v>CHI NHÁNH YÊN BÁI - CÔNG TY CỔ PHẦN DỊCH VỤ THƯƠNG MẠI TỔNG HỢP WINCOMMERCE</v>
      </c>
      <c r="G2124" s="16" t="str">
        <f>VLOOKUP(Table8[[#This Row],[Mã khách hàng]],code_khach_hang[],3,0)</f>
        <v>Miền Bắc đặc biệt 1</v>
      </c>
      <c r="H2124" t="str">
        <f>VLOOKUP(Table8[[#This Row],[Mã khách hàng]],'Khách hàng'!A:D,4,0)</f>
        <v>Food Đức Việt</v>
      </c>
      <c r="I2124" t="str">
        <f>VLOOKUP(Table8[[#This Row],[Mã khách hàng]],'Khách hàng'!A:E,5,0)</f>
        <v>HN0040</v>
      </c>
    </row>
    <row r="2125" spans="1:9">
      <c r="A2125" s="14" t="s">
        <v>7369</v>
      </c>
      <c r="B2125" s="15" t="s">
        <v>5</v>
      </c>
      <c r="C2125" s="10" t="s">
        <v>7370</v>
      </c>
      <c r="D2125" s="16" t="s">
        <v>6823</v>
      </c>
      <c r="E2125" s="15" t="s">
        <v>11202</v>
      </c>
      <c r="F2125" s="16" t="str">
        <f>VLOOKUP(Table8[[#This Row],[Mã khách hàng]],code_khach_hang[],2,0)</f>
        <v>CHI NHÁNH YÊN BÁI - CÔNG TY CỔ PHẦN DỊCH VỤ THƯƠNG MẠI TỔNG HỢP WINCOMMERCE</v>
      </c>
      <c r="G2125" s="16" t="str">
        <f>VLOOKUP(Table8[[#This Row],[Mã khách hàng]],code_khach_hang[],3,0)</f>
        <v>Miền Bắc đặc biệt 1</v>
      </c>
      <c r="H2125" t="str">
        <f>VLOOKUP(Table8[[#This Row],[Mã khách hàng]],'Khách hàng'!A:D,4,0)</f>
        <v>Food Đức Việt</v>
      </c>
      <c r="I2125" t="str">
        <f>VLOOKUP(Table8[[#This Row],[Mã khách hàng]],'Khách hàng'!A:E,5,0)</f>
        <v>HN0040</v>
      </c>
    </row>
    <row r="2126" spans="1:9">
      <c r="A2126" s="14" t="s">
        <v>6079</v>
      </c>
      <c r="B2126" s="15" t="s">
        <v>5</v>
      </c>
      <c r="C2126" s="10" t="s">
        <v>6080</v>
      </c>
      <c r="D2126" s="16" t="s">
        <v>6826</v>
      </c>
      <c r="E2126" s="15" t="s">
        <v>11202</v>
      </c>
      <c r="F2126" s="16" t="str">
        <f>VLOOKUP(Table8[[#This Row],[Mã khách hàng]],code_khach_hang[],2,0)</f>
        <v>CHI NHÁNH YÊN BÁI - CÔNG TY CỔ PHẦN DỊCH VỤ THƯƠNG MẠI TỔNG HỢP WINCOMMERCE</v>
      </c>
      <c r="G2126" s="16" t="str">
        <f>VLOOKUP(Table8[[#This Row],[Mã khách hàng]],code_khach_hang[],3,0)</f>
        <v>Miền Bắc đặc biệt 1</v>
      </c>
      <c r="H2126" t="str">
        <f>VLOOKUP(Table8[[#This Row],[Mã khách hàng]],'Khách hàng'!A:D,4,0)</f>
        <v>Food Đức Việt</v>
      </c>
      <c r="I2126" t="str">
        <f>VLOOKUP(Table8[[#This Row],[Mã khách hàng]],'Khách hàng'!A:E,5,0)</f>
        <v>HN0040</v>
      </c>
    </row>
    <row r="2127" spans="1:9">
      <c r="A2127" s="14" t="s">
        <v>7024</v>
      </c>
      <c r="B2127" s="15" t="s">
        <v>5</v>
      </c>
      <c r="C2127" s="10" t="s">
        <v>7025</v>
      </c>
      <c r="D2127" s="16" t="s">
        <v>6829</v>
      </c>
      <c r="E2127" s="15" t="s">
        <v>11202</v>
      </c>
      <c r="F2127" s="16" t="str">
        <f>VLOOKUP(Table8[[#This Row],[Mã khách hàng]],code_khach_hang[],2,0)</f>
        <v>CHI NHÁNH YÊN BÁI - CÔNG TY CỔ PHẦN DỊCH VỤ THƯƠNG MẠI TỔNG HỢP WINCOMMERCE</v>
      </c>
      <c r="G2127" s="16" t="str">
        <f>VLOOKUP(Table8[[#This Row],[Mã khách hàng]],code_khach_hang[],3,0)</f>
        <v>Miền Bắc đặc biệt 1</v>
      </c>
      <c r="H2127" t="str">
        <f>VLOOKUP(Table8[[#This Row],[Mã khách hàng]],'Khách hàng'!A:D,4,0)</f>
        <v>Food Đức Việt</v>
      </c>
      <c r="I2127" t="str">
        <f>VLOOKUP(Table8[[#This Row],[Mã khách hàng]],'Khách hàng'!A:E,5,0)</f>
        <v>HN0040</v>
      </c>
    </row>
    <row r="2128" spans="1:9">
      <c r="A2128" s="14" t="s">
        <v>6094</v>
      </c>
      <c r="B2128" s="15" t="s">
        <v>5</v>
      </c>
      <c r="C2128" s="10" t="s">
        <v>6095</v>
      </c>
      <c r="D2128" s="16" t="s">
        <v>6832</v>
      </c>
      <c r="E2128" s="15" t="s">
        <v>11202</v>
      </c>
      <c r="F2128" s="16" t="str">
        <f>VLOOKUP(Table8[[#This Row],[Mã khách hàng]],code_khach_hang[],2,0)</f>
        <v>CHI NHÁNH YÊN BÁI - CÔNG TY CỔ PHẦN DỊCH VỤ THƯƠNG MẠI TỔNG HỢP WINCOMMERCE</v>
      </c>
      <c r="G2128" s="16" t="str">
        <f>VLOOKUP(Table8[[#This Row],[Mã khách hàng]],code_khach_hang[],3,0)</f>
        <v>Miền Bắc đặc biệt 1</v>
      </c>
      <c r="H2128" t="str">
        <f>VLOOKUP(Table8[[#This Row],[Mã khách hàng]],'Khách hàng'!A:D,4,0)</f>
        <v>Food Đức Việt</v>
      </c>
      <c r="I2128" t="str">
        <f>VLOOKUP(Table8[[#This Row],[Mã khách hàng]],'Khách hàng'!A:E,5,0)</f>
        <v>HN0040</v>
      </c>
    </row>
    <row r="2129" spans="1:9">
      <c r="A2129" s="14" t="s">
        <v>8460</v>
      </c>
      <c r="B2129" s="15" t="s">
        <v>5</v>
      </c>
      <c r="C2129" s="10" t="s">
        <v>8461</v>
      </c>
      <c r="D2129" s="16" t="s">
        <v>6835</v>
      </c>
      <c r="E2129" s="15" t="s">
        <v>11202</v>
      </c>
      <c r="F2129" s="16" t="str">
        <f>VLOOKUP(Table8[[#This Row],[Mã khách hàng]],code_khach_hang[],2,0)</f>
        <v>CHI NHÁNH YÊN BÁI - CÔNG TY CỔ PHẦN DỊCH VỤ THƯƠNG MẠI TỔNG HỢP WINCOMMERCE</v>
      </c>
      <c r="G2129" s="16" t="str">
        <f>VLOOKUP(Table8[[#This Row],[Mã khách hàng]],code_khach_hang[],3,0)</f>
        <v>Miền Bắc đặc biệt 1</v>
      </c>
      <c r="H2129" t="str">
        <f>VLOOKUP(Table8[[#This Row],[Mã khách hàng]],'Khách hàng'!A:D,4,0)</f>
        <v>Food Đức Việt</v>
      </c>
      <c r="I2129" t="str">
        <f>VLOOKUP(Table8[[#This Row],[Mã khách hàng]],'Khách hàng'!A:E,5,0)</f>
        <v>HN0040</v>
      </c>
    </row>
    <row r="2130" spans="1:9">
      <c r="A2130" s="14" t="s">
        <v>8407</v>
      </c>
      <c r="B2130" s="15" t="s">
        <v>5</v>
      </c>
      <c r="C2130" s="10" t="s">
        <v>8408</v>
      </c>
      <c r="D2130" s="16" t="s">
        <v>6838</v>
      </c>
      <c r="E2130" s="15" t="s">
        <v>11202</v>
      </c>
      <c r="F2130" s="16" t="str">
        <f>VLOOKUP(Table8[[#This Row],[Mã khách hàng]],code_khach_hang[],2,0)</f>
        <v>CHI NHÁNH YÊN BÁI - CÔNG TY CỔ PHẦN DỊCH VỤ THƯƠNG MẠI TỔNG HỢP WINCOMMERCE</v>
      </c>
      <c r="G2130" s="16" t="str">
        <f>VLOOKUP(Table8[[#This Row],[Mã khách hàng]],code_khach_hang[],3,0)</f>
        <v>Miền Bắc đặc biệt 1</v>
      </c>
      <c r="H2130" t="str">
        <f>VLOOKUP(Table8[[#This Row],[Mã khách hàng]],'Khách hàng'!A:D,4,0)</f>
        <v>Food Đức Việt</v>
      </c>
      <c r="I2130" t="str">
        <f>VLOOKUP(Table8[[#This Row],[Mã khách hàng]],'Khách hàng'!A:E,5,0)</f>
        <v>HN0040</v>
      </c>
    </row>
    <row r="2131" spans="1:9">
      <c r="A2131" s="14" t="s">
        <v>8611</v>
      </c>
      <c r="B2131" s="15" t="s">
        <v>5</v>
      </c>
      <c r="C2131" s="10" t="s">
        <v>8612</v>
      </c>
      <c r="D2131" s="16" t="s">
        <v>6841</v>
      </c>
      <c r="E2131" s="15" t="s">
        <v>11202</v>
      </c>
      <c r="F2131" s="16" t="str">
        <f>VLOOKUP(Table8[[#This Row],[Mã khách hàng]],code_khach_hang[],2,0)</f>
        <v>CHI NHÁNH YÊN BÁI - CÔNG TY CỔ PHẦN DỊCH VỤ THƯƠNG MẠI TỔNG HỢP WINCOMMERCE</v>
      </c>
      <c r="G2131" s="16" t="str">
        <f>VLOOKUP(Table8[[#This Row],[Mã khách hàng]],code_khach_hang[],3,0)</f>
        <v>Miền Bắc đặc biệt 1</v>
      </c>
      <c r="H2131" t="str">
        <f>VLOOKUP(Table8[[#This Row],[Mã khách hàng]],'Khách hàng'!A:D,4,0)</f>
        <v>Food Đức Việt</v>
      </c>
      <c r="I2131" t="str">
        <f>VLOOKUP(Table8[[#This Row],[Mã khách hàng]],'Khách hàng'!A:E,5,0)</f>
        <v>HN0040</v>
      </c>
    </row>
    <row r="2132" spans="1:9">
      <c r="A2132" s="14" t="s">
        <v>8765</v>
      </c>
      <c r="B2132" s="15" t="s">
        <v>5</v>
      </c>
      <c r="C2132" s="10" t="s">
        <v>8766</v>
      </c>
      <c r="D2132" s="16" t="s">
        <v>6844</v>
      </c>
      <c r="E2132" s="15" t="s">
        <v>11207</v>
      </c>
      <c r="F2132" s="16" t="str">
        <f>VLOOKUP(Table8[[#This Row],[Mã khách hàng]],code_khach_hang[],2,0)</f>
        <v>CHI NHÁNH THÁI NGUYÊN - CÔNG TY CỔ PHẦN DỊCH VỤ THƯƠNG MẠI TỔNG HỢP WINCOMMERCE</v>
      </c>
      <c r="G2132" s="16" t="str">
        <f>VLOOKUP(Table8[[#This Row],[Mã khách hàng]],code_khach_hang[],3,0)</f>
        <v>Miền Bắc đặc biệt 2</v>
      </c>
      <c r="H2132" t="str">
        <f>VLOOKUP(Table8[[#This Row],[Mã khách hàng]],'Khách hàng'!A:D,4,0)</f>
        <v>Food Đức Việt</v>
      </c>
      <c r="I2132" t="str">
        <f>VLOOKUP(Table8[[#This Row],[Mã khách hàng]],'Khách hàng'!A:E,5,0)</f>
        <v>HN0040</v>
      </c>
    </row>
    <row r="2133" spans="1:9">
      <c r="A2133" s="14" t="s">
        <v>8856</v>
      </c>
      <c r="B2133" s="15" t="s">
        <v>5</v>
      </c>
      <c r="C2133" s="10" t="s">
        <v>8857</v>
      </c>
      <c r="D2133" s="16" t="s">
        <v>6847</v>
      </c>
      <c r="E2133" s="15" t="s">
        <v>11204</v>
      </c>
      <c r="F2133" s="16" t="str">
        <f>VLOOKUP(Table8[[#This Row],[Mã khách hàng]],code_khach_hang[],2,0)</f>
        <v>CHI NHÁNH TUYÊN QUANG - CÔNG TY CỔ PHẦN DỊCH VỤ THƯƠNG MẠI TỔNG HỢP WINCOMMERCE</v>
      </c>
      <c r="G2133" s="16" t="str">
        <f>VLOOKUP(Table8[[#This Row],[Mã khách hàng]],code_khach_hang[],3,0)</f>
        <v>Miền Bắc đặc biệt 2</v>
      </c>
      <c r="H2133" t="str">
        <f>VLOOKUP(Table8[[#This Row],[Mã khách hàng]],'Khách hàng'!A:D,4,0)</f>
        <v>Food Đức Việt</v>
      </c>
      <c r="I2133" t="str">
        <f>VLOOKUP(Table8[[#This Row],[Mã khách hàng]],'Khách hàng'!A:E,5,0)</f>
        <v>HN0040</v>
      </c>
    </row>
    <row r="2134" spans="1:9">
      <c r="A2134" s="14" t="s">
        <v>9252</v>
      </c>
      <c r="B2134" s="15" t="s">
        <v>5</v>
      </c>
      <c r="C2134" s="10" t="s">
        <v>9253</v>
      </c>
      <c r="D2134" s="16" t="s">
        <v>6850</v>
      </c>
      <c r="E2134" s="15" t="s">
        <v>11207</v>
      </c>
      <c r="F2134" s="16" t="str">
        <f>VLOOKUP(Table8[[#This Row],[Mã khách hàng]],code_khach_hang[],2,0)</f>
        <v>CHI NHÁNH THÁI NGUYÊN - CÔNG TY CỔ PHẦN DỊCH VỤ THƯƠNG MẠI TỔNG HỢP WINCOMMERCE</v>
      </c>
      <c r="G2134" s="16" t="str">
        <f>VLOOKUP(Table8[[#This Row],[Mã khách hàng]],code_khach_hang[],3,0)</f>
        <v>Miền Bắc đặc biệt 2</v>
      </c>
      <c r="H2134" t="str">
        <f>VLOOKUP(Table8[[#This Row],[Mã khách hàng]],'Khách hàng'!A:D,4,0)</f>
        <v>Food Đức Việt</v>
      </c>
      <c r="I2134" t="str">
        <f>VLOOKUP(Table8[[#This Row],[Mã khách hàng]],'Khách hàng'!A:E,5,0)</f>
        <v>HN0040</v>
      </c>
    </row>
    <row r="2135" spans="1:9">
      <c r="A2135" s="14" t="s">
        <v>8910</v>
      </c>
      <c r="B2135" s="15" t="s">
        <v>5</v>
      </c>
      <c r="C2135" s="10" t="s">
        <v>8911</v>
      </c>
      <c r="D2135" s="16" t="s">
        <v>6853</v>
      </c>
      <c r="E2135" s="15" t="s">
        <v>11220</v>
      </c>
      <c r="F2135" s="16" t="str">
        <f>VLOOKUP(Table8[[#This Row],[Mã khách hàng]],code_khach_hang[],2,0)</f>
        <v>CHI NHÁNH HÀ GIANG - CÔNG TY CỔ PHẦN DỊCH VỤ THƯƠNG MẠI TỔNG HỢP WINCOMMERCE</v>
      </c>
      <c r="G2135" s="16" t="str">
        <f>VLOOKUP(Table8[[#This Row],[Mã khách hàng]],code_khach_hang[],3,0)</f>
        <v>Miền Bắc đặc biệt 2</v>
      </c>
      <c r="H2135" t="str">
        <f>VLOOKUP(Table8[[#This Row],[Mã khách hàng]],'Khách hàng'!A:D,4,0)</f>
        <v>Food Đức Việt</v>
      </c>
      <c r="I2135" t="str">
        <f>VLOOKUP(Table8[[#This Row],[Mã khách hàng]],'Khách hàng'!A:E,5,0)</f>
        <v>HN0040</v>
      </c>
    </row>
    <row r="2136" spans="1:9">
      <c r="A2136" s="14" t="s">
        <v>11138</v>
      </c>
      <c r="B2136" s="15" t="s">
        <v>5</v>
      </c>
      <c r="C2136" s="10" t="e">
        <v>#N/A</v>
      </c>
      <c r="D2136" s="16" t="s">
        <v>6856</v>
      </c>
      <c r="E2136" s="15" t="s">
        <v>11202</v>
      </c>
      <c r="F2136" s="16" t="str">
        <f>VLOOKUP(Table8[[#This Row],[Mã khách hàng]],code_khach_hang[],2,0)</f>
        <v>CHI NHÁNH YÊN BÁI - CÔNG TY CỔ PHẦN DỊCH VỤ THƯƠNG MẠI TỔNG HỢP WINCOMMERCE</v>
      </c>
      <c r="G2136" s="16" t="str">
        <f>VLOOKUP(Table8[[#This Row],[Mã khách hàng]],code_khach_hang[],3,0)</f>
        <v>Miền Bắc đặc biệt 1</v>
      </c>
      <c r="H2136" t="str">
        <f>VLOOKUP(Table8[[#This Row],[Mã khách hàng]],'Khách hàng'!A:D,4,0)</f>
        <v>Food Đức Việt</v>
      </c>
      <c r="I2136" t="str">
        <f>VLOOKUP(Table8[[#This Row],[Mã khách hàng]],'Khách hàng'!A:E,5,0)</f>
        <v>HN0040</v>
      </c>
    </row>
    <row r="2137" spans="1:9">
      <c r="A2137" s="14" t="s">
        <v>8992</v>
      </c>
      <c r="B2137" s="15" t="s">
        <v>5</v>
      </c>
      <c r="C2137" s="10" t="s">
        <v>8993</v>
      </c>
      <c r="D2137" s="16" t="s">
        <v>6859</v>
      </c>
      <c r="E2137" s="15" t="s">
        <v>11218</v>
      </c>
      <c r="F2137" s="16" t="str">
        <f>VLOOKUP(Table8[[#This Row],[Mã khách hàng]],code_khach_hang[],2,0)</f>
        <v>CHI NHÁNH LÀO CAI - CÔNG TY CỔ PHẦN DỊCH VỤ THƯƠNG MẠI TỔNG HỢP WINCOMMERCE</v>
      </c>
      <c r="G2137" s="16" t="str">
        <f>VLOOKUP(Table8[[#This Row],[Mã khách hàng]],code_khach_hang[],3,0)</f>
        <v>Miền Bắc đặc biệt 1</v>
      </c>
      <c r="H2137" t="str">
        <f>VLOOKUP(Table8[[#This Row],[Mã khách hàng]],'Khách hàng'!A:D,4,0)</f>
        <v>Food Đức Việt</v>
      </c>
      <c r="I2137" t="str">
        <f>VLOOKUP(Table8[[#This Row],[Mã khách hàng]],'Khách hàng'!A:E,5,0)</f>
        <v>HN0040</v>
      </c>
    </row>
    <row r="2138" spans="1:9">
      <c r="A2138" s="14" t="s">
        <v>8995</v>
      </c>
      <c r="B2138" s="15" t="s">
        <v>5</v>
      </c>
      <c r="C2138" s="10" t="s">
        <v>8996</v>
      </c>
      <c r="D2138" s="16" t="s">
        <v>6862</v>
      </c>
      <c r="E2138" s="15" t="s">
        <v>11206</v>
      </c>
      <c r="F2138" s="16" t="str">
        <f>VLOOKUP(Table8[[#This Row],[Mã khách hàng]],code_khach_hang[],2,0)</f>
        <v>CHI NHÁNH SƠN LA - CÔNG TY CỔ PHẦN DỊCH VỤ THƯƠNG MẠI TỔNG HỢP WINCOMMERCE</v>
      </c>
      <c r="G2138" s="16" t="str">
        <f>VLOOKUP(Table8[[#This Row],[Mã khách hàng]],code_khach_hang[],3,0)</f>
        <v>Miền Bắc đặc biệt 1</v>
      </c>
      <c r="H2138" t="str">
        <f>VLOOKUP(Table8[[#This Row],[Mã khách hàng]],'Khách hàng'!A:D,4,0)</f>
        <v>Food Đức Việt</v>
      </c>
      <c r="I2138" t="str">
        <f>VLOOKUP(Table8[[#This Row],[Mã khách hàng]],'Khách hàng'!A:E,5,0)</f>
        <v>HN0040</v>
      </c>
    </row>
    <row r="2139" spans="1:9">
      <c r="A2139" s="14" t="s">
        <v>8998</v>
      </c>
      <c r="B2139" s="15" t="s">
        <v>5</v>
      </c>
      <c r="C2139" s="10" t="s">
        <v>8999</v>
      </c>
      <c r="D2139" s="16" t="s">
        <v>6865</v>
      </c>
      <c r="E2139" s="15" t="s">
        <v>11202</v>
      </c>
      <c r="F2139" s="16" t="str">
        <f>VLOOKUP(Table8[[#This Row],[Mã khách hàng]],code_khach_hang[],2,0)</f>
        <v>CHI NHÁNH YÊN BÁI - CÔNG TY CỔ PHẦN DỊCH VỤ THƯƠNG MẠI TỔNG HỢP WINCOMMERCE</v>
      </c>
      <c r="G2139" s="16" t="str">
        <f>VLOOKUP(Table8[[#This Row],[Mã khách hàng]],code_khach_hang[],3,0)</f>
        <v>Miền Bắc đặc biệt 1</v>
      </c>
      <c r="H2139" t="str">
        <f>VLOOKUP(Table8[[#This Row],[Mã khách hàng]],'Khách hàng'!A:D,4,0)</f>
        <v>Food Đức Việt</v>
      </c>
      <c r="I2139" t="str">
        <f>VLOOKUP(Table8[[#This Row],[Mã khách hàng]],'Khách hàng'!A:E,5,0)</f>
        <v>HN0040</v>
      </c>
    </row>
    <row r="2140" spans="1:9">
      <c r="A2140" s="14" t="s">
        <v>9034</v>
      </c>
      <c r="B2140" s="15" t="s">
        <v>5</v>
      </c>
      <c r="C2140" s="10" t="s">
        <v>9035</v>
      </c>
      <c r="D2140" s="16" t="s">
        <v>6868</v>
      </c>
      <c r="E2140" s="15" t="s">
        <v>11218</v>
      </c>
      <c r="F2140" s="16" t="str">
        <f>VLOOKUP(Table8[[#This Row],[Mã khách hàng]],code_khach_hang[],2,0)</f>
        <v>CHI NHÁNH LÀO CAI - CÔNG TY CỔ PHẦN DỊCH VỤ THƯƠNG MẠI TỔNG HỢP WINCOMMERCE</v>
      </c>
      <c r="G2140" s="16" t="str">
        <f>VLOOKUP(Table8[[#This Row],[Mã khách hàng]],code_khach_hang[],3,0)</f>
        <v>Miền Bắc đặc biệt 1</v>
      </c>
      <c r="H2140" t="str">
        <f>VLOOKUP(Table8[[#This Row],[Mã khách hàng]],'Khách hàng'!A:D,4,0)</f>
        <v>Food Đức Việt</v>
      </c>
      <c r="I2140" t="str">
        <f>VLOOKUP(Table8[[#This Row],[Mã khách hàng]],'Khách hàng'!A:E,5,0)</f>
        <v>HN0040</v>
      </c>
    </row>
    <row r="2141" spans="1:9">
      <c r="A2141" s="14" t="s">
        <v>9052</v>
      </c>
      <c r="B2141" s="15" t="s">
        <v>5</v>
      </c>
      <c r="C2141" s="10" t="s">
        <v>9053</v>
      </c>
      <c r="D2141" s="16" t="s">
        <v>6871</v>
      </c>
      <c r="E2141" s="15" t="s">
        <v>11194</v>
      </c>
      <c r="F2141" s="16" t="str">
        <f>VLOOKUP(Table8[[#This Row],[Mã khách hàng]],code_khach_hang[],2,0)</f>
        <v>CHI NHÁNH VĨNH PHÚC - CÔNG TY CỔ PHẦN DỊCH VỤ THƯƠNG MẠI TỔNG HỢP WINCOMMERCE</v>
      </c>
      <c r="G2141" s="16" t="str">
        <f>VLOOKUP(Table8[[#This Row],[Mã khách hàng]],code_khach_hang[],3,0)</f>
        <v>Miền Bắc đặc biệt 2</v>
      </c>
      <c r="H2141" t="str">
        <f>VLOOKUP(Table8[[#This Row],[Mã khách hàng]],'Khách hàng'!A:D,4,0)</f>
        <v>Food Đức Việt</v>
      </c>
      <c r="I2141" t="str">
        <f>VLOOKUP(Table8[[#This Row],[Mã khách hàng]],'Khách hàng'!A:E,5,0)</f>
        <v>HN0040</v>
      </c>
    </row>
    <row r="2142" spans="1:9">
      <c r="A2142" s="14" t="s">
        <v>8880</v>
      </c>
      <c r="B2142" s="15" t="s">
        <v>5</v>
      </c>
      <c r="C2142" s="10" t="s">
        <v>8881</v>
      </c>
      <c r="D2142" s="16" t="s">
        <v>6874</v>
      </c>
      <c r="E2142" s="15" t="s">
        <v>11222</v>
      </c>
      <c r="F2142" s="16" t="str">
        <f>VLOOKUP(Table8[[#This Row],[Mã khách hàng]],code_khach_hang[],2,0)</f>
        <v>CHI NHÁNH CAO BẰNG - CÔNG TY CỔ PHẦN DỊCH VỤ THƯƠNG MẠI TỔNG HỢP WINCOMMERCE</v>
      </c>
      <c r="G2142" s="16" t="str">
        <f>VLOOKUP(Table8[[#This Row],[Mã khách hàng]],code_khach_hang[],3,0)</f>
        <v>Miền Bắc đặc biệt 2</v>
      </c>
      <c r="H2142" t="str">
        <f>VLOOKUP(Table8[[#This Row],[Mã khách hàng]],'Khách hàng'!A:D,4,0)</f>
        <v>Food Đức Việt</v>
      </c>
      <c r="I2142" t="str">
        <f>VLOOKUP(Table8[[#This Row],[Mã khách hàng]],'Khách hàng'!A:E,5,0)</f>
        <v>HN0040</v>
      </c>
    </row>
    <row r="2143" spans="1:9">
      <c r="A2143" s="14" t="s">
        <v>8924</v>
      </c>
      <c r="B2143" s="15" t="s">
        <v>5</v>
      </c>
      <c r="C2143" s="10" t="s">
        <v>8925</v>
      </c>
      <c r="D2143" s="16" t="s">
        <v>6877</v>
      </c>
      <c r="E2143" s="15" t="s">
        <v>11222</v>
      </c>
      <c r="F2143" s="16" t="str">
        <f>VLOOKUP(Table8[[#This Row],[Mã khách hàng]],code_khach_hang[],2,0)</f>
        <v>CHI NHÁNH CAO BẰNG - CÔNG TY CỔ PHẦN DỊCH VỤ THƯƠNG MẠI TỔNG HỢP WINCOMMERCE</v>
      </c>
      <c r="G2143" s="16" t="str">
        <f>VLOOKUP(Table8[[#This Row],[Mã khách hàng]],code_khach_hang[],3,0)</f>
        <v>Miền Bắc đặc biệt 2</v>
      </c>
      <c r="H2143" t="str">
        <f>VLOOKUP(Table8[[#This Row],[Mã khách hàng]],'Khách hàng'!A:D,4,0)</f>
        <v>Food Đức Việt</v>
      </c>
      <c r="I2143" t="str">
        <f>VLOOKUP(Table8[[#This Row],[Mã khách hàng]],'Khách hàng'!A:E,5,0)</f>
        <v>HN0040</v>
      </c>
    </row>
    <row r="2144" spans="1:9">
      <c r="A2144" s="14" t="s">
        <v>9043</v>
      </c>
      <c r="B2144" s="15" t="s">
        <v>5</v>
      </c>
      <c r="C2144" s="10" t="s">
        <v>9044</v>
      </c>
      <c r="D2144" s="16" t="s">
        <v>6880</v>
      </c>
      <c r="E2144" s="15" t="s">
        <v>11207</v>
      </c>
      <c r="F2144" s="16" t="str">
        <f>VLOOKUP(Table8[[#This Row],[Mã khách hàng]],code_khach_hang[],2,0)</f>
        <v>CHI NHÁNH THÁI NGUYÊN - CÔNG TY CỔ PHẦN DỊCH VỤ THƯƠNG MẠI TỔNG HỢP WINCOMMERCE</v>
      </c>
      <c r="G2144" s="16" t="str">
        <f>VLOOKUP(Table8[[#This Row],[Mã khách hàng]],code_khach_hang[],3,0)</f>
        <v>Miền Bắc đặc biệt 2</v>
      </c>
      <c r="H2144" t="str">
        <f>VLOOKUP(Table8[[#This Row],[Mã khách hàng]],'Khách hàng'!A:D,4,0)</f>
        <v>Food Đức Việt</v>
      </c>
      <c r="I2144" t="str">
        <f>VLOOKUP(Table8[[#This Row],[Mã khách hàng]],'Khách hàng'!A:E,5,0)</f>
        <v>HN0040</v>
      </c>
    </row>
    <row r="2145" spans="1:9">
      <c r="A2145" s="14" t="s">
        <v>9031</v>
      </c>
      <c r="B2145" s="15" t="s">
        <v>5</v>
      </c>
      <c r="C2145" s="10" t="s">
        <v>9032</v>
      </c>
      <c r="D2145" s="16" t="s">
        <v>6883</v>
      </c>
      <c r="E2145" s="15" t="s">
        <v>11194</v>
      </c>
      <c r="F2145" s="16" t="str">
        <f>VLOOKUP(Table8[[#This Row],[Mã khách hàng]],code_khach_hang[],2,0)</f>
        <v>CHI NHÁNH VĨNH PHÚC - CÔNG TY CỔ PHẦN DỊCH VỤ THƯƠNG MẠI TỔNG HỢP WINCOMMERCE</v>
      </c>
      <c r="G2145" s="16" t="str">
        <f>VLOOKUP(Table8[[#This Row],[Mã khách hàng]],code_khach_hang[],3,0)</f>
        <v>Miền Bắc đặc biệt 2</v>
      </c>
      <c r="H2145" t="str">
        <f>VLOOKUP(Table8[[#This Row],[Mã khách hàng]],'Khách hàng'!A:D,4,0)</f>
        <v>Food Đức Việt</v>
      </c>
      <c r="I2145" t="str">
        <f>VLOOKUP(Table8[[#This Row],[Mã khách hàng]],'Khách hàng'!A:E,5,0)</f>
        <v>HN0040</v>
      </c>
    </row>
    <row r="2146" spans="1:9">
      <c r="A2146" s="14" t="s">
        <v>9079</v>
      </c>
      <c r="B2146" s="15" t="s">
        <v>5</v>
      </c>
      <c r="C2146" s="10" t="s">
        <v>9080</v>
      </c>
      <c r="D2146" s="16" t="s">
        <v>6886</v>
      </c>
      <c r="E2146" s="15" t="s">
        <v>11194</v>
      </c>
      <c r="F2146" s="16" t="str">
        <f>VLOOKUP(Table8[[#This Row],[Mã khách hàng]],code_khach_hang[],2,0)</f>
        <v>CHI NHÁNH VĨNH PHÚC - CÔNG TY CỔ PHẦN DỊCH VỤ THƯƠNG MẠI TỔNG HỢP WINCOMMERCE</v>
      </c>
      <c r="G2146" s="16" t="str">
        <f>VLOOKUP(Table8[[#This Row],[Mã khách hàng]],code_khach_hang[],3,0)</f>
        <v>Miền Bắc đặc biệt 2</v>
      </c>
      <c r="H2146" t="str">
        <f>VLOOKUP(Table8[[#This Row],[Mã khách hàng]],'Khách hàng'!A:D,4,0)</f>
        <v>Food Đức Việt</v>
      </c>
      <c r="I2146" t="str">
        <f>VLOOKUP(Table8[[#This Row],[Mã khách hàng]],'Khách hàng'!A:E,5,0)</f>
        <v>HN0040</v>
      </c>
    </row>
    <row r="2147" spans="1:9">
      <c r="A2147" s="14" t="s">
        <v>9073</v>
      </c>
      <c r="B2147" s="15" t="s">
        <v>5</v>
      </c>
      <c r="C2147" s="10" t="s">
        <v>9074</v>
      </c>
      <c r="D2147" s="16" t="s">
        <v>6889</v>
      </c>
      <c r="E2147" s="15" t="s">
        <v>11202</v>
      </c>
      <c r="F2147" s="16" t="str">
        <f>VLOOKUP(Table8[[#This Row],[Mã khách hàng]],code_khach_hang[],2,0)</f>
        <v>CHI NHÁNH YÊN BÁI - CÔNG TY CỔ PHẦN DỊCH VỤ THƯƠNG MẠI TỔNG HỢP WINCOMMERCE</v>
      </c>
      <c r="G2147" s="16" t="str">
        <f>VLOOKUP(Table8[[#This Row],[Mã khách hàng]],code_khach_hang[],3,0)</f>
        <v>Miền Bắc đặc biệt 1</v>
      </c>
      <c r="H2147" t="str">
        <f>VLOOKUP(Table8[[#This Row],[Mã khách hàng]],'Khách hàng'!A:D,4,0)</f>
        <v>Food Đức Việt</v>
      </c>
      <c r="I2147" t="str">
        <f>VLOOKUP(Table8[[#This Row],[Mã khách hàng]],'Khách hàng'!A:E,5,0)</f>
        <v>HN0040</v>
      </c>
    </row>
    <row r="2148" spans="1:9">
      <c r="A2148" s="14" t="s">
        <v>9111</v>
      </c>
      <c r="B2148" s="15" t="s">
        <v>5</v>
      </c>
      <c r="C2148" s="10" t="s">
        <v>9112</v>
      </c>
      <c r="D2148" s="16" t="s">
        <v>6892</v>
      </c>
      <c r="E2148" s="15" t="s">
        <v>11215</v>
      </c>
      <c r="F2148" s="16" t="str">
        <f>VLOOKUP(Table8[[#This Row],[Mã khách hàng]],code_khach_hang[],2,0)</f>
        <v>CHI NHÁNH HÀ NỘI - CÔNG TY CỔ PHẦN DỊCH VỤ THƯƠNG MẠI TỔNG HỢP WINCOMMERCE</v>
      </c>
      <c r="G2148" s="16" t="str">
        <f>VLOOKUP(Table8[[#This Row],[Mã khách hàng]],code_khach_hang[],3,0)</f>
        <v>Miền Bắc đặc biệt 1</v>
      </c>
      <c r="H2148" t="str">
        <f>VLOOKUP(Table8[[#This Row],[Mã khách hàng]],'Khách hàng'!A:D,4,0)</f>
        <v>Food Đức Việt</v>
      </c>
      <c r="I2148" t="str">
        <f>VLOOKUP(Table8[[#This Row],[Mã khách hàng]],'Khách hàng'!A:E,5,0)</f>
        <v>HN0040</v>
      </c>
    </row>
    <row r="2149" spans="1:9">
      <c r="A2149" s="14" t="s">
        <v>9082</v>
      </c>
      <c r="B2149" s="15" t="s">
        <v>5</v>
      </c>
      <c r="C2149" s="10" t="s">
        <v>9083</v>
      </c>
      <c r="D2149" s="16" t="s">
        <v>6895</v>
      </c>
      <c r="E2149" s="15" t="s">
        <v>11194</v>
      </c>
      <c r="F2149" s="16" t="str">
        <f>VLOOKUP(Table8[[#This Row],[Mã khách hàng]],code_khach_hang[],2,0)</f>
        <v>CHI NHÁNH VĨNH PHÚC - CÔNG TY CỔ PHẦN DỊCH VỤ THƯƠNG MẠI TỔNG HỢP WINCOMMERCE</v>
      </c>
      <c r="G2149" s="16" t="str">
        <f>VLOOKUP(Table8[[#This Row],[Mã khách hàng]],code_khach_hang[],3,0)</f>
        <v>Miền Bắc đặc biệt 2</v>
      </c>
      <c r="H2149" t="str">
        <f>VLOOKUP(Table8[[#This Row],[Mã khách hàng]],'Khách hàng'!A:D,4,0)</f>
        <v>Food Đức Việt</v>
      </c>
      <c r="I2149" t="str">
        <f>VLOOKUP(Table8[[#This Row],[Mã khách hàng]],'Khách hàng'!A:E,5,0)</f>
        <v>HN0040</v>
      </c>
    </row>
    <row r="2150" spans="1:9">
      <c r="A2150" s="14" t="s">
        <v>1355</v>
      </c>
      <c r="B2150" s="15" t="s">
        <v>5</v>
      </c>
      <c r="C2150" s="10" t="s">
        <v>1356</v>
      </c>
      <c r="D2150" s="16" t="s">
        <v>6898</v>
      </c>
      <c r="E2150" s="15" t="s">
        <v>11194</v>
      </c>
      <c r="F2150" s="16" t="str">
        <f>VLOOKUP(Table8[[#This Row],[Mã khách hàng]],code_khach_hang[],2,0)</f>
        <v>CHI NHÁNH VĨNH PHÚC - CÔNG TY CỔ PHẦN DỊCH VỤ THƯƠNG MẠI TỔNG HỢP WINCOMMERCE</v>
      </c>
      <c r="G2150" s="16" t="str">
        <f>VLOOKUP(Table8[[#This Row],[Mã khách hàng]],code_khach_hang[],3,0)</f>
        <v>Miền Bắc đặc biệt 2</v>
      </c>
      <c r="H2150" t="str">
        <f>VLOOKUP(Table8[[#This Row],[Mã khách hàng]],'Khách hàng'!A:D,4,0)</f>
        <v>Food Đức Việt</v>
      </c>
      <c r="I2150" t="str">
        <f>VLOOKUP(Table8[[#This Row],[Mã khách hàng]],'Khách hàng'!A:E,5,0)</f>
        <v>HN0040</v>
      </c>
    </row>
    <row r="2151" spans="1:9">
      <c r="A2151" s="14" t="s">
        <v>1404</v>
      </c>
      <c r="B2151" s="15" t="s">
        <v>5</v>
      </c>
      <c r="C2151" s="10" t="s">
        <v>1405</v>
      </c>
      <c r="D2151" s="16" t="s">
        <v>6901</v>
      </c>
      <c r="E2151" s="15" t="s">
        <v>11207</v>
      </c>
      <c r="F2151" s="16" t="str">
        <f>VLOOKUP(Table8[[#This Row],[Mã khách hàng]],code_khach_hang[],2,0)</f>
        <v>CHI NHÁNH THÁI NGUYÊN - CÔNG TY CỔ PHẦN DỊCH VỤ THƯƠNG MẠI TỔNG HỢP WINCOMMERCE</v>
      </c>
      <c r="G2151" s="16" t="str">
        <f>VLOOKUP(Table8[[#This Row],[Mã khách hàng]],code_khach_hang[],3,0)</f>
        <v>Miền Bắc đặc biệt 2</v>
      </c>
      <c r="H2151" t="str">
        <f>VLOOKUP(Table8[[#This Row],[Mã khách hàng]],'Khách hàng'!A:D,4,0)</f>
        <v>Food Đức Việt</v>
      </c>
      <c r="I2151" t="str">
        <f>VLOOKUP(Table8[[#This Row],[Mã khách hàng]],'Khách hàng'!A:E,5,0)</f>
        <v>HN0040</v>
      </c>
    </row>
    <row r="2152" spans="1:9">
      <c r="A2152" s="14" t="s">
        <v>1410</v>
      </c>
      <c r="B2152" s="15" t="s">
        <v>5</v>
      </c>
      <c r="C2152" s="10" t="s">
        <v>1411</v>
      </c>
      <c r="D2152" s="16" t="s">
        <v>6904</v>
      </c>
      <c r="E2152" s="15" t="s">
        <v>11202</v>
      </c>
      <c r="F2152" s="16" t="str">
        <f>VLOOKUP(Table8[[#This Row],[Mã khách hàng]],code_khach_hang[],2,0)</f>
        <v>CHI NHÁNH YÊN BÁI - CÔNG TY CỔ PHẦN DỊCH VỤ THƯƠNG MẠI TỔNG HỢP WINCOMMERCE</v>
      </c>
      <c r="G2152" s="16" t="str">
        <f>VLOOKUP(Table8[[#This Row],[Mã khách hàng]],code_khach_hang[],3,0)</f>
        <v>Miền Bắc đặc biệt 1</v>
      </c>
      <c r="H2152" t="str">
        <f>VLOOKUP(Table8[[#This Row],[Mã khách hàng]],'Khách hàng'!A:D,4,0)</f>
        <v>Food Đức Việt</v>
      </c>
      <c r="I2152" t="str">
        <f>VLOOKUP(Table8[[#This Row],[Mã khách hàng]],'Khách hàng'!A:E,5,0)</f>
        <v>HN0040</v>
      </c>
    </row>
    <row r="2153" spans="1:9">
      <c r="A2153" s="14" t="s">
        <v>1375</v>
      </c>
      <c r="B2153" s="15" t="s">
        <v>5</v>
      </c>
      <c r="C2153" s="10" t="s">
        <v>1376</v>
      </c>
      <c r="D2153" s="16" t="s">
        <v>6907</v>
      </c>
      <c r="E2153" s="15" t="s">
        <v>11215</v>
      </c>
      <c r="F2153" s="16" t="str">
        <f>VLOOKUP(Table8[[#This Row],[Mã khách hàng]],code_khach_hang[],2,0)</f>
        <v>CHI NHÁNH HÀ NỘI - CÔNG TY CỔ PHẦN DỊCH VỤ THƯƠNG MẠI TỔNG HỢP WINCOMMERCE</v>
      </c>
      <c r="G2153" s="16" t="str">
        <f>VLOOKUP(Table8[[#This Row],[Mã khách hàng]],code_khach_hang[],3,0)</f>
        <v>Miền Bắc đặc biệt 1</v>
      </c>
      <c r="H2153" t="str">
        <f>VLOOKUP(Table8[[#This Row],[Mã khách hàng]],'Khách hàng'!A:D,4,0)</f>
        <v>Food Đức Việt</v>
      </c>
      <c r="I2153" t="str">
        <f>VLOOKUP(Table8[[#This Row],[Mã khách hàng]],'Khách hàng'!A:E,5,0)</f>
        <v>HN0040</v>
      </c>
    </row>
    <row r="2154" spans="1:9">
      <c r="A2154" s="14" t="s">
        <v>1417</v>
      </c>
      <c r="B2154" s="15" t="s">
        <v>5</v>
      </c>
      <c r="C2154" s="10" t="s">
        <v>1418</v>
      </c>
      <c r="D2154" s="16" t="s">
        <v>6910</v>
      </c>
      <c r="E2154" s="15" t="s">
        <v>11194</v>
      </c>
      <c r="F2154" s="16" t="str">
        <f>VLOOKUP(Table8[[#This Row],[Mã khách hàng]],code_khach_hang[],2,0)</f>
        <v>CHI NHÁNH VĨNH PHÚC - CÔNG TY CỔ PHẦN DỊCH VỤ THƯƠNG MẠI TỔNG HỢP WINCOMMERCE</v>
      </c>
      <c r="G2154" s="16" t="str">
        <f>VLOOKUP(Table8[[#This Row],[Mã khách hàng]],code_khach_hang[],3,0)</f>
        <v>Miền Bắc đặc biệt 2</v>
      </c>
      <c r="H2154" t="str">
        <f>VLOOKUP(Table8[[#This Row],[Mã khách hàng]],'Khách hàng'!A:D,4,0)</f>
        <v>Food Đức Việt</v>
      </c>
      <c r="I2154" t="str">
        <f>VLOOKUP(Table8[[#This Row],[Mã khách hàng]],'Khách hàng'!A:E,5,0)</f>
        <v>HN0040</v>
      </c>
    </row>
    <row r="2155" spans="1:9">
      <c r="A2155" s="14" t="s">
        <v>1422</v>
      </c>
      <c r="B2155" s="15" t="s">
        <v>5</v>
      </c>
      <c r="C2155" s="10" t="s">
        <v>1423</v>
      </c>
      <c r="D2155" s="16" t="s">
        <v>6913</v>
      </c>
      <c r="E2155" s="15" t="s">
        <v>11207</v>
      </c>
      <c r="F2155" s="16" t="str">
        <f>VLOOKUP(Table8[[#This Row],[Mã khách hàng]],code_khach_hang[],2,0)</f>
        <v>CHI NHÁNH THÁI NGUYÊN - CÔNG TY CỔ PHẦN DỊCH VỤ THƯƠNG MẠI TỔNG HỢP WINCOMMERCE</v>
      </c>
      <c r="G2155" s="16" t="str">
        <f>VLOOKUP(Table8[[#This Row],[Mã khách hàng]],code_khach_hang[],3,0)</f>
        <v>Miền Bắc đặc biệt 2</v>
      </c>
      <c r="H2155" t="str">
        <f>VLOOKUP(Table8[[#This Row],[Mã khách hàng]],'Khách hàng'!A:D,4,0)</f>
        <v>Food Đức Việt</v>
      </c>
      <c r="I2155" t="str">
        <f>VLOOKUP(Table8[[#This Row],[Mã khách hàng]],'Khách hàng'!A:E,5,0)</f>
        <v>HN0040</v>
      </c>
    </row>
    <row r="2156" spans="1:9">
      <c r="A2156" s="14" t="s">
        <v>1470</v>
      </c>
      <c r="B2156" s="15" t="s">
        <v>5</v>
      </c>
      <c r="C2156" s="10" t="s">
        <v>1471</v>
      </c>
      <c r="D2156" s="16" t="s">
        <v>6916</v>
      </c>
      <c r="E2156" s="15" t="s">
        <v>11211</v>
      </c>
      <c r="F2156" s="16" t="str">
        <f>VLOOKUP(Table8[[#This Row],[Mã khách hàng]],code_khach_hang[],2,0)</f>
        <v>CHI NHÁNH NGHỆ AN - CÔNG TY CỔ PHẦN DỊCH VỤ THƯƠNG MẠI TỔNG HỢP WINCOMMERCE</v>
      </c>
      <c r="G2156" s="16" t="str">
        <f>VLOOKUP(Table8[[#This Row],[Mã khách hàng]],code_khach_hang[],3,0)</f>
        <v>Miền Trung đặc biệt 1</v>
      </c>
      <c r="H2156" t="str">
        <f>VLOOKUP(Table8[[#This Row],[Mã khách hàng]],'Khách hàng'!A:D,4,0)</f>
        <v>Food Đức Việt</v>
      </c>
      <c r="I2156" t="str">
        <f>VLOOKUP(Table8[[#This Row],[Mã khách hàng]],'Khách hàng'!A:E,5,0)</f>
        <v>HN0040</v>
      </c>
    </row>
    <row r="2157" spans="1:9">
      <c r="A2157" s="14" t="s">
        <v>1438</v>
      </c>
      <c r="B2157" s="15" t="s">
        <v>5</v>
      </c>
      <c r="C2157" s="10" t="s">
        <v>1439</v>
      </c>
      <c r="D2157" s="16" t="s">
        <v>6919</v>
      </c>
      <c r="E2157" s="15" t="s">
        <v>11215</v>
      </c>
      <c r="F2157" s="16" t="str">
        <f>VLOOKUP(Table8[[#This Row],[Mã khách hàng]],code_khach_hang[],2,0)</f>
        <v>CHI NHÁNH HÀ NỘI - CÔNG TY CỔ PHẦN DỊCH VỤ THƯƠNG MẠI TỔNG HỢP WINCOMMERCE</v>
      </c>
      <c r="G2157" s="16" t="str">
        <f>VLOOKUP(Table8[[#This Row],[Mã khách hàng]],code_khach_hang[],3,0)</f>
        <v>Miền Bắc đặc biệt 1</v>
      </c>
      <c r="H2157" t="str">
        <f>VLOOKUP(Table8[[#This Row],[Mã khách hàng]],'Khách hàng'!A:D,4,0)</f>
        <v>Food Đức Việt</v>
      </c>
      <c r="I2157" t="str">
        <f>VLOOKUP(Table8[[#This Row],[Mã khách hàng]],'Khách hàng'!A:E,5,0)</f>
        <v>HN0040</v>
      </c>
    </row>
    <row r="2158" spans="1:9">
      <c r="A2158" s="14" t="s">
        <v>1450</v>
      </c>
      <c r="B2158" s="15" t="s">
        <v>5</v>
      </c>
      <c r="C2158" s="10" t="s">
        <v>1451</v>
      </c>
      <c r="D2158" s="16" t="s">
        <v>6922</v>
      </c>
      <c r="E2158" s="15" t="s">
        <v>11202</v>
      </c>
      <c r="F2158" s="16" t="str">
        <f>VLOOKUP(Table8[[#This Row],[Mã khách hàng]],code_khach_hang[],2,0)</f>
        <v>CHI NHÁNH YÊN BÁI - CÔNG TY CỔ PHẦN DỊCH VỤ THƯƠNG MẠI TỔNG HỢP WINCOMMERCE</v>
      </c>
      <c r="G2158" s="16" t="str">
        <f>VLOOKUP(Table8[[#This Row],[Mã khách hàng]],code_khach_hang[],3,0)</f>
        <v>Miền Bắc đặc biệt 1</v>
      </c>
      <c r="H2158" t="str">
        <f>VLOOKUP(Table8[[#This Row],[Mã khách hàng]],'Khách hàng'!A:D,4,0)</f>
        <v>Food Đức Việt</v>
      </c>
      <c r="I2158" t="str">
        <f>VLOOKUP(Table8[[#This Row],[Mã khách hàng]],'Khách hàng'!A:E,5,0)</f>
        <v>HN0040</v>
      </c>
    </row>
    <row r="2159" spans="1:9">
      <c r="A2159" s="14" t="s">
        <v>1618</v>
      </c>
      <c r="B2159" s="15" t="s">
        <v>5</v>
      </c>
      <c r="C2159" s="10" t="s">
        <v>1619</v>
      </c>
      <c r="D2159" s="16" t="s">
        <v>6925</v>
      </c>
      <c r="E2159" s="15" t="s">
        <v>11194</v>
      </c>
      <c r="F2159" s="16" t="str">
        <f>VLOOKUP(Table8[[#This Row],[Mã khách hàng]],code_khach_hang[],2,0)</f>
        <v>CHI NHÁNH VĨNH PHÚC - CÔNG TY CỔ PHẦN DỊCH VỤ THƯƠNG MẠI TỔNG HỢP WINCOMMERCE</v>
      </c>
      <c r="G2159" s="16" t="str">
        <f>VLOOKUP(Table8[[#This Row],[Mã khách hàng]],code_khach_hang[],3,0)</f>
        <v>Miền Bắc đặc biệt 2</v>
      </c>
      <c r="H2159" t="str">
        <f>VLOOKUP(Table8[[#This Row],[Mã khách hàng]],'Khách hàng'!A:D,4,0)</f>
        <v>Food Đức Việt</v>
      </c>
      <c r="I2159" t="str">
        <f>VLOOKUP(Table8[[#This Row],[Mã khách hàng]],'Khách hàng'!A:E,5,0)</f>
        <v>HN0040</v>
      </c>
    </row>
    <row r="2160" spans="1:9">
      <c r="A2160" s="14" t="s">
        <v>1456</v>
      </c>
      <c r="B2160" s="15" t="s">
        <v>5</v>
      </c>
      <c r="C2160" s="10" t="s">
        <v>1457</v>
      </c>
      <c r="D2160" s="16" t="s">
        <v>6928</v>
      </c>
      <c r="E2160" s="15" t="s">
        <v>11215</v>
      </c>
      <c r="F2160" s="16" t="str">
        <f>VLOOKUP(Table8[[#This Row],[Mã khách hàng]],code_khach_hang[],2,0)</f>
        <v>CHI NHÁNH HÀ NỘI - CÔNG TY CỔ PHẦN DỊCH VỤ THƯƠNG MẠI TỔNG HỢP WINCOMMERCE</v>
      </c>
      <c r="G2160" s="16" t="str">
        <f>VLOOKUP(Table8[[#This Row],[Mã khách hàng]],code_khach_hang[],3,0)</f>
        <v>Miền Bắc đặc biệt 1</v>
      </c>
      <c r="H2160" t="str">
        <f>VLOOKUP(Table8[[#This Row],[Mã khách hàng]],'Khách hàng'!A:D,4,0)</f>
        <v>Food Đức Việt</v>
      </c>
      <c r="I2160" t="str">
        <f>VLOOKUP(Table8[[#This Row],[Mã khách hàng]],'Khách hàng'!A:E,5,0)</f>
        <v>HN0040</v>
      </c>
    </row>
    <row r="2161" spans="1:9">
      <c r="A2161" s="14" t="s">
        <v>1476</v>
      </c>
      <c r="B2161" s="15" t="s">
        <v>5</v>
      </c>
      <c r="C2161" s="10" t="s">
        <v>1477</v>
      </c>
      <c r="D2161" s="16" t="s">
        <v>6931</v>
      </c>
      <c r="E2161" s="15" t="s">
        <v>11218</v>
      </c>
      <c r="F2161" s="16" t="str">
        <f>VLOOKUP(Table8[[#This Row],[Mã khách hàng]],code_khach_hang[],2,0)</f>
        <v>CHI NHÁNH LÀO CAI - CÔNG TY CỔ PHẦN DỊCH VỤ THƯƠNG MẠI TỔNG HỢP WINCOMMERCE</v>
      </c>
      <c r="G2161" s="16" t="str">
        <f>VLOOKUP(Table8[[#This Row],[Mã khách hàng]],code_khach_hang[],3,0)</f>
        <v>Miền Bắc đặc biệt 1</v>
      </c>
      <c r="H2161" t="str">
        <f>VLOOKUP(Table8[[#This Row],[Mã khách hàng]],'Khách hàng'!A:D,4,0)</f>
        <v>Food Đức Việt</v>
      </c>
      <c r="I2161" t="str">
        <f>VLOOKUP(Table8[[#This Row],[Mã khách hàng]],'Khách hàng'!A:E,5,0)</f>
        <v>HN0040</v>
      </c>
    </row>
    <row r="2162" spans="1:9">
      <c r="A2162" s="14" t="s">
        <v>1742</v>
      </c>
      <c r="B2162" s="15" t="s">
        <v>5</v>
      </c>
      <c r="C2162" s="10" t="s">
        <v>1743</v>
      </c>
      <c r="D2162" s="16" t="s">
        <v>6934</v>
      </c>
      <c r="E2162" s="15" t="s">
        <v>11215</v>
      </c>
      <c r="F2162" s="16" t="str">
        <f>VLOOKUP(Table8[[#This Row],[Mã khách hàng]],code_khach_hang[],2,0)</f>
        <v>CHI NHÁNH HÀ NỘI - CÔNG TY CỔ PHẦN DỊCH VỤ THƯƠNG MẠI TỔNG HỢP WINCOMMERCE</v>
      </c>
      <c r="G2162" s="16" t="str">
        <f>VLOOKUP(Table8[[#This Row],[Mã khách hàng]],code_khach_hang[],3,0)</f>
        <v>Miền Bắc đặc biệt 1</v>
      </c>
      <c r="H2162" t="str">
        <f>VLOOKUP(Table8[[#This Row],[Mã khách hàng]],'Khách hàng'!A:D,4,0)</f>
        <v>Food Đức Việt</v>
      </c>
      <c r="I2162" t="str">
        <f>VLOOKUP(Table8[[#This Row],[Mã khách hàng]],'Khách hàng'!A:E,5,0)</f>
        <v>HN0040</v>
      </c>
    </row>
    <row r="2163" spans="1:9">
      <c r="A2163" s="14" t="s">
        <v>1473</v>
      </c>
      <c r="B2163" s="15" t="s">
        <v>5</v>
      </c>
      <c r="C2163" s="10" t="s">
        <v>1474</v>
      </c>
      <c r="D2163" s="16" t="s">
        <v>6937</v>
      </c>
      <c r="E2163" s="15" t="s">
        <v>11215</v>
      </c>
      <c r="F2163" s="16" t="str">
        <f>VLOOKUP(Table8[[#This Row],[Mã khách hàng]],code_khach_hang[],2,0)</f>
        <v>CHI NHÁNH HÀ NỘI - CÔNG TY CỔ PHẦN DỊCH VỤ THƯƠNG MẠI TỔNG HỢP WINCOMMERCE</v>
      </c>
      <c r="G2163" s="16" t="str">
        <f>VLOOKUP(Table8[[#This Row],[Mã khách hàng]],code_khach_hang[],3,0)</f>
        <v>Miền Bắc đặc biệt 1</v>
      </c>
      <c r="H2163" t="str">
        <f>VLOOKUP(Table8[[#This Row],[Mã khách hàng]],'Khách hàng'!A:D,4,0)</f>
        <v>Food Đức Việt</v>
      </c>
      <c r="I2163" t="str">
        <f>VLOOKUP(Table8[[#This Row],[Mã khách hàng]],'Khách hàng'!A:E,5,0)</f>
        <v>HN0040</v>
      </c>
    </row>
    <row r="2164" spans="1:9">
      <c r="A2164" s="14" t="s">
        <v>1855</v>
      </c>
      <c r="B2164" s="15" t="s">
        <v>5</v>
      </c>
      <c r="C2164" s="10" t="s">
        <v>1856</v>
      </c>
      <c r="D2164" s="16" t="s">
        <v>6940</v>
      </c>
      <c r="E2164" s="15" t="s">
        <v>11194</v>
      </c>
      <c r="F2164" s="16" t="str">
        <f>VLOOKUP(Table8[[#This Row],[Mã khách hàng]],code_khach_hang[],2,0)</f>
        <v>CHI NHÁNH VĨNH PHÚC - CÔNG TY CỔ PHẦN DỊCH VỤ THƯƠNG MẠI TỔNG HỢP WINCOMMERCE</v>
      </c>
      <c r="G2164" s="16" t="str">
        <f>VLOOKUP(Table8[[#This Row],[Mã khách hàng]],code_khach_hang[],3,0)</f>
        <v>Miền Bắc đặc biệt 2</v>
      </c>
      <c r="H2164" t="str">
        <f>VLOOKUP(Table8[[#This Row],[Mã khách hàng]],'Khách hàng'!A:D,4,0)</f>
        <v>Food Đức Việt</v>
      </c>
      <c r="I2164" t="str">
        <f>VLOOKUP(Table8[[#This Row],[Mã khách hàng]],'Khách hàng'!A:E,5,0)</f>
        <v>HN0040</v>
      </c>
    </row>
    <row r="2165" spans="1:9">
      <c r="A2165" s="14" t="s">
        <v>1624</v>
      </c>
      <c r="B2165" s="15" t="s">
        <v>5</v>
      </c>
      <c r="C2165" s="10" t="s">
        <v>1625</v>
      </c>
      <c r="D2165" s="16" t="s">
        <v>6943</v>
      </c>
      <c r="E2165" s="15" t="s">
        <v>11194</v>
      </c>
      <c r="F2165" s="16" t="str">
        <f>VLOOKUP(Table8[[#This Row],[Mã khách hàng]],code_khach_hang[],2,0)</f>
        <v>CHI NHÁNH VĨNH PHÚC - CÔNG TY CỔ PHẦN DỊCH VỤ THƯƠNG MẠI TỔNG HỢP WINCOMMERCE</v>
      </c>
      <c r="G2165" s="16" t="str">
        <f>VLOOKUP(Table8[[#This Row],[Mã khách hàng]],code_khach_hang[],3,0)</f>
        <v>Miền Bắc đặc biệt 2</v>
      </c>
      <c r="H2165" t="str">
        <f>VLOOKUP(Table8[[#This Row],[Mã khách hàng]],'Khách hàng'!A:D,4,0)</f>
        <v>Food Đức Việt</v>
      </c>
      <c r="I2165" t="str">
        <f>VLOOKUP(Table8[[#This Row],[Mã khách hàng]],'Khách hàng'!A:E,5,0)</f>
        <v>HN0040</v>
      </c>
    </row>
    <row r="2166" spans="1:9">
      <c r="A2166" s="14" t="s">
        <v>1911</v>
      </c>
      <c r="B2166" s="15" t="s">
        <v>5</v>
      </c>
      <c r="C2166" s="10" t="s">
        <v>1912</v>
      </c>
      <c r="D2166" s="16" t="s">
        <v>6946</v>
      </c>
      <c r="E2166" s="15" t="s">
        <v>11202</v>
      </c>
      <c r="F2166" s="16" t="str">
        <f>VLOOKUP(Table8[[#This Row],[Mã khách hàng]],code_khach_hang[],2,0)</f>
        <v>CHI NHÁNH YÊN BÁI - CÔNG TY CỔ PHẦN DỊCH VỤ THƯƠNG MẠI TỔNG HỢP WINCOMMERCE</v>
      </c>
      <c r="G2166" s="16" t="str">
        <f>VLOOKUP(Table8[[#This Row],[Mã khách hàng]],code_khach_hang[],3,0)</f>
        <v>Miền Bắc đặc biệt 1</v>
      </c>
      <c r="H2166" t="str">
        <f>VLOOKUP(Table8[[#This Row],[Mã khách hàng]],'Khách hàng'!A:D,4,0)</f>
        <v>Food Đức Việt</v>
      </c>
      <c r="I2166" t="str">
        <f>VLOOKUP(Table8[[#This Row],[Mã khách hàng]],'Khách hàng'!A:E,5,0)</f>
        <v>HN0040</v>
      </c>
    </row>
    <row r="2167" spans="1:9">
      <c r="A2167" s="14" t="s">
        <v>2060</v>
      </c>
      <c r="B2167" s="15" t="s">
        <v>5</v>
      </c>
      <c r="C2167" s="10" t="s">
        <v>2061</v>
      </c>
      <c r="D2167" s="16" t="s">
        <v>6949</v>
      </c>
      <c r="E2167" s="15" t="s">
        <v>11194</v>
      </c>
      <c r="F2167" s="16" t="str">
        <f>VLOOKUP(Table8[[#This Row],[Mã khách hàng]],code_khach_hang[],2,0)</f>
        <v>CHI NHÁNH VĨNH PHÚC - CÔNG TY CỔ PHẦN DỊCH VỤ THƯƠNG MẠI TỔNG HỢP WINCOMMERCE</v>
      </c>
      <c r="G2167" s="16" t="str">
        <f>VLOOKUP(Table8[[#This Row],[Mã khách hàng]],code_khach_hang[],3,0)</f>
        <v>Miền Bắc đặc biệt 2</v>
      </c>
      <c r="H2167" t="str">
        <f>VLOOKUP(Table8[[#This Row],[Mã khách hàng]],'Khách hàng'!A:D,4,0)</f>
        <v>Food Đức Việt</v>
      </c>
      <c r="I2167" t="str">
        <f>VLOOKUP(Table8[[#This Row],[Mã khách hàng]],'Khách hàng'!A:E,5,0)</f>
        <v>HN0040</v>
      </c>
    </row>
    <row r="2168" spans="1:9">
      <c r="A2168" s="14" t="s">
        <v>8284</v>
      </c>
      <c r="B2168" s="15" t="s">
        <v>5</v>
      </c>
      <c r="C2168" s="10" t="s">
        <v>8285</v>
      </c>
      <c r="D2168" s="16" t="s">
        <v>6952</v>
      </c>
      <c r="E2168" s="15" t="s">
        <v>11212</v>
      </c>
      <c r="F2168" s="16" t="str">
        <f>VLOOKUP(Table8[[#This Row],[Mã khách hàng]],code_khach_hang[],2,0)</f>
        <v>CHI NHÁNH HÒA BÌNH - CÔNG TY CỔ PHẦN DỊCH VỤ THƯƠNG MẠI TỔNG HỢP WINCOMMERCE</v>
      </c>
      <c r="G2168" s="16" t="str">
        <f>VLOOKUP(Table8[[#This Row],[Mã khách hàng]],code_khach_hang[],3,0)</f>
        <v>Miền Bắc đặc biệt 1</v>
      </c>
      <c r="H2168" t="str">
        <f>VLOOKUP(Table8[[#This Row],[Mã khách hàng]],'Khách hàng'!A:D,4,0)</f>
        <v>Food Đức Việt</v>
      </c>
      <c r="I2168" t="str">
        <f>VLOOKUP(Table8[[#This Row],[Mã khách hàng]],'Khách hàng'!A:E,5,0)</f>
        <v>HN0040</v>
      </c>
    </row>
    <row r="2169" spans="1:9">
      <c r="A2169" s="14" t="s">
        <v>2108</v>
      </c>
      <c r="B2169" s="15" t="s">
        <v>5</v>
      </c>
      <c r="C2169" s="10" t="s">
        <v>2109</v>
      </c>
      <c r="D2169" s="16" t="s">
        <v>6955</v>
      </c>
      <c r="E2169" s="15" t="s">
        <v>11194</v>
      </c>
      <c r="F2169" s="16" t="str">
        <f>VLOOKUP(Table8[[#This Row],[Mã khách hàng]],code_khach_hang[],2,0)</f>
        <v>CHI NHÁNH VĨNH PHÚC - CÔNG TY CỔ PHẦN DỊCH VỤ THƯƠNG MẠI TỔNG HỢP WINCOMMERCE</v>
      </c>
      <c r="G2169" s="16" t="str">
        <f>VLOOKUP(Table8[[#This Row],[Mã khách hàng]],code_khach_hang[],3,0)</f>
        <v>Miền Bắc đặc biệt 2</v>
      </c>
      <c r="H2169" t="str">
        <f>VLOOKUP(Table8[[#This Row],[Mã khách hàng]],'Khách hàng'!A:D,4,0)</f>
        <v>Food Đức Việt</v>
      </c>
      <c r="I2169" t="str">
        <f>VLOOKUP(Table8[[#This Row],[Mã khách hàng]],'Khách hàng'!A:E,5,0)</f>
        <v>HN0040</v>
      </c>
    </row>
    <row r="2170" spans="1:9">
      <c r="A2170" s="14" t="s">
        <v>2238</v>
      </c>
      <c r="B2170" s="15" t="s">
        <v>5</v>
      </c>
      <c r="C2170" s="10" t="s">
        <v>2239</v>
      </c>
      <c r="D2170" s="16" t="s">
        <v>6958</v>
      </c>
      <c r="E2170" s="15" t="s">
        <v>11202</v>
      </c>
      <c r="F2170" s="16" t="str">
        <f>VLOOKUP(Table8[[#This Row],[Mã khách hàng]],code_khach_hang[],2,0)</f>
        <v>CHI NHÁNH YÊN BÁI - CÔNG TY CỔ PHẦN DỊCH VỤ THƯƠNG MẠI TỔNG HỢP WINCOMMERCE</v>
      </c>
      <c r="G2170" s="16" t="str">
        <f>VLOOKUP(Table8[[#This Row],[Mã khách hàng]],code_khach_hang[],3,0)</f>
        <v>Miền Bắc đặc biệt 1</v>
      </c>
      <c r="H2170" t="str">
        <f>VLOOKUP(Table8[[#This Row],[Mã khách hàng]],'Khách hàng'!A:D,4,0)</f>
        <v>Food Đức Việt</v>
      </c>
      <c r="I2170" t="str">
        <f>VLOOKUP(Table8[[#This Row],[Mã khách hàng]],'Khách hàng'!A:E,5,0)</f>
        <v>HN0040</v>
      </c>
    </row>
    <row r="2171" spans="1:9">
      <c r="A2171" s="14" t="s">
        <v>2235</v>
      </c>
      <c r="B2171" s="15" t="s">
        <v>5</v>
      </c>
      <c r="C2171" s="10" t="s">
        <v>2236</v>
      </c>
      <c r="D2171" s="16" t="s">
        <v>6961</v>
      </c>
      <c r="E2171" s="15" t="s">
        <v>11215</v>
      </c>
      <c r="F2171" s="16" t="str">
        <f>VLOOKUP(Table8[[#This Row],[Mã khách hàng]],code_khach_hang[],2,0)</f>
        <v>CHI NHÁNH HÀ NỘI - CÔNG TY CỔ PHẦN DỊCH VỤ THƯƠNG MẠI TỔNG HỢP WINCOMMERCE</v>
      </c>
      <c r="G2171" s="16" t="str">
        <f>VLOOKUP(Table8[[#This Row],[Mã khách hàng]],code_khach_hang[],3,0)</f>
        <v>Miền Bắc đặc biệt 1</v>
      </c>
      <c r="H2171" t="str">
        <f>VLOOKUP(Table8[[#This Row],[Mã khách hàng]],'Khách hàng'!A:D,4,0)</f>
        <v>Food Đức Việt</v>
      </c>
      <c r="I2171" t="str">
        <f>VLOOKUP(Table8[[#This Row],[Mã khách hàng]],'Khách hàng'!A:E,5,0)</f>
        <v>HN0040</v>
      </c>
    </row>
    <row r="2172" spans="1:9">
      <c r="A2172" s="14" t="s">
        <v>2545</v>
      </c>
      <c r="B2172" s="15" t="s">
        <v>5</v>
      </c>
      <c r="C2172" s="10" t="s">
        <v>2546</v>
      </c>
      <c r="D2172" s="16" t="s">
        <v>6964</v>
      </c>
      <c r="E2172" s="15" t="s">
        <v>11215</v>
      </c>
      <c r="F2172" s="16" t="str">
        <f>VLOOKUP(Table8[[#This Row],[Mã khách hàng]],code_khach_hang[],2,0)</f>
        <v>CHI NHÁNH HÀ NỘI - CÔNG TY CỔ PHẦN DỊCH VỤ THƯƠNG MẠI TỔNG HỢP WINCOMMERCE</v>
      </c>
      <c r="G2172" s="16" t="str">
        <f>VLOOKUP(Table8[[#This Row],[Mã khách hàng]],code_khach_hang[],3,0)</f>
        <v>Miền Bắc đặc biệt 1</v>
      </c>
      <c r="H2172" t="str">
        <f>VLOOKUP(Table8[[#This Row],[Mã khách hàng]],'Khách hàng'!A:D,4,0)</f>
        <v>Food Đức Việt</v>
      </c>
      <c r="I2172" t="str">
        <f>VLOOKUP(Table8[[#This Row],[Mã khách hàng]],'Khách hàng'!A:E,5,0)</f>
        <v>HN0040</v>
      </c>
    </row>
    <row r="2173" spans="1:9">
      <c r="A2173" s="14" t="s">
        <v>2472</v>
      </c>
      <c r="B2173" s="15" t="s">
        <v>5</v>
      </c>
      <c r="C2173" s="10" t="s">
        <v>2473</v>
      </c>
      <c r="D2173" s="16" t="s">
        <v>6967</v>
      </c>
      <c r="E2173" s="15" t="s">
        <v>11194</v>
      </c>
      <c r="F2173" s="16" t="str">
        <f>VLOOKUP(Table8[[#This Row],[Mã khách hàng]],code_khach_hang[],2,0)</f>
        <v>CHI NHÁNH VĨNH PHÚC - CÔNG TY CỔ PHẦN DỊCH VỤ THƯƠNG MẠI TỔNG HỢP WINCOMMERCE</v>
      </c>
      <c r="G2173" s="16" t="str">
        <f>VLOOKUP(Table8[[#This Row],[Mã khách hàng]],code_khach_hang[],3,0)</f>
        <v>Miền Bắc đặc biệt 2</v>
      </c>
      <c r="H2173" t="str">
        <f>VLOOKUP(Table8[[#This Row],[Mã khách hàng]],'Khách hàng'!A:D,4,0)</f>
        <v>Food Đức Việt</v>
      </c>
      <c r="I2173" t="str">
        <f>VLOOKUP(Table8[[#This Row],[Mã khách hàng]],'Khách hàng'!A:E,5,0)</f>
        <v>HN0040</v>
      </c>
    </row>
    <row r="2174" spans="1:9">
      <c r="A2174" s="14" t="s">
        <v>2412</v>
      </c>
      <c r="B2174" s="15" t="s">
        <v>5</v>
      </c>
      <c r="C2174" s="10" t="s">
        <v>2413</v>
      </c>
      <c r="D2174" s="16" t="s">
        <v>6970</v>
      </c>
      <c r="E2174" s="15" t="s">
        <v>11215</v>
      </c>
      <c r="F2174" s="16" t="str">
        <f>VLOOKUP(Table8[[#This Row],[Mã khách hàng]],code_khach_hang[],2,0)</f>
        <v>CHI NHÁNH HÀ NỘI - CÔNG TY CỔ PHẦN DỊCH VỤ THƯƠNG MẠI TỔNG HỢP WINCOMMERCE</v>
      </c>
      <c r="G2174" s="16" t="str">
        <f>VLOOKUP(Table8[[#This Row],[Mã khách hàng]],code_khach_hang[],3,0)</f>
        <v>Miền Bắc đặc biệt 1</v>
      </c>
      <c r="H2174" t="str">
        <f>VLOOKUP(Table8[[#This Row],[Mã khách hàng]],'Khách hàng'!A:D,4,0)</f>
        <v>Food Đức Việt</v>
      </c>
      <c r="I2174" t="str">
        <f>VLOOKUP(Table8[[#This Row],[Mã khách hàng]],'Khách hàng'!A:E,5,0)</f>
        <v>HN0040</v>
      </c>
    </row>
    <row r="2175" spans="1:9">
      <c r="A2175" s="14" t="s">
        <v>2748</v>
      </c>
      <c r="B2175" s="15" t="s">
        <v>5</v>
      </c>
      <c r="C2175" s="10" t="s">
        <v>2749</v>
      </c>
      <c r="D2175" s="16" t="s">
        <v>6973</v>
      </c>
      <c r="E2175" s="15" t="s">
        <v>11215</v>
      </c>
      <c r="F2175" s="16" t="str">
        <f>VLOOKUP(Table8[[#This Row],[Mã khách hàng]],code_khach_hang[],2,0)</f>
        <v>CHI NHÁNH HÀ NỘI - CÔNG TY CỔ PHẦN DỊCH VỤ THƯƠNG MẠI TỔNG HỢP WINCOMMERCE</v>
      </c>
      <c r="G2175" s="16" t="str">
        <f>VLOOKUP(Table8[[#This Row],[Mã khách hàng]],code_khach_hang[],3,0)</f>
        <v>Miền Bắc đặc biệt 1</v>
      </c>
      <c r="H2175" t="str">
        <f>VLOOKUP(Table8[[#This Row],[Mã khách hàng]],'Khách hàng'!A:D,4,0)</f>
        <v>Food Đức Việt</v>
      </c>
      <c r="I2175" t="str">
        <f>VLOOKUP(Table8[[#This Row],[Mã khách hàng]],'Khách hàng'!A:E,5,0)</f>
        <v>HN0040</v>
      </c>
    </row>
    <row r="2176" spans="1:9">
      <c r="A2176" s="14" t="s">
        <v>7939</v>
      </c>
      <c r="B2176" s="15" t="s">
        <v>5</v>
      </c>
      <c r="C2176" s="10" t="s">
        <v>7940</v>
      </c>
      <c r="D2176" s="16" t="s">
        <v>6976</v>
      </c>
      <c r="E2176" s="15" t="s">
        <v>11212</v>
      </c>
      <c r="F2176" s="16" t="str">
        <f>VLOOKUP(Table8[[#This Row],[Mã khách hàng]],code_khach_hang[],2,0)</f>
        <v>CHI NHÁNH HÒA BÌNH - CÔNG TY CỔ PHẦN DỊCH VỤ THƯƠNG MẠI TỔNG HỢP WINCOMMERCE</v>
      </c>
      <c r="G2176" s="16" t="str">
        <f>VLOOKUP(Table8[[#This Row],[Mã khách hàng]],code_khach_hang[],3,0)</f>
        <v>Miền Bắc đặc biệt 1</v>
      </c>
      <c r="H2176" t="str">
        <f>VLOOKUP(Table8[[#This Row],[Mã khách hàng]],'Khách hàng'!A:D,4,0)</f>
        <v>Food Đức Việt</v>
      </c>
      <c r="I2176" t="str">
        <f>VLOOKUP(Table8[[#This Row],[Mã khách hàng]],'Khách hàng'!A:E,5,0)</f>
        <v>HN0040</v>
      </c>
    </row>
    <row r="2177" spans="1:9">
      <c r="A2177" s="14" t="s">
        <v>1546</v>
      </c>
      <c r="B2177" s="15" t="s">
        <v>5</v>
      </c>
      <c r="C2177" s="10" t="s">
        <v>1547</v>
      </c>
      <c r="D2177" s="16" t="s">
        <v>6979</v>
      </c>
      <c r="E2177" s="15" t="s">
        <v>11218</v>
      </c>
      <c r="F2177" s="16" t="str">
        <f>VLOOKUP(Table8[[#This Row],[Mã khách hàng]],code_khach_hang[],2,0)</f>
        <v>CHI NHÁNH LÀO CAI - CÔNG TY CỔ PHẦN DỊCH VỤ THƯƠNG MẠI TỔNG HỢP WINCOMMERCE</v>
      </c>
      <c r="G2177" s="16" t="str">
        <f>VLOOKUP(Table8[[#This Row],[Mã khách hàng]],code_khach_hang[],3,0)</f>
        <v>Miền Bắc đặc biệt 1</v>
      </c>
      <c r="H2177" t="str">
        <f>VLOOKUP(Table8[[#This Row],[Mã khách hàng]],'Khách hàng'!A:D,4,0)</f>
        <v>Food Đức Việt</v>
      </c>
      <c r="I2177" t="str">
        <f>VLOOKUP(Table8[[#This Row],[Mã khách hàng]],'Khách hàng'!A:E,5,0)</f>
        <v>HN0040</v>
      </c>
    </row>
    <row r="2178" spans="1:9">
      <c r="A2178" s="14" t="s">
        <v>1557</v>
      </c>
      <c r="B2178" s="15" t="s">
        <v>5</v>
      </c>
      <c r="C2178" s="10" t="s">
        <v>1558</v>
      </c>
      <c r="D2178" s="16" t="s">
        <v>6982</v>
      </c>
      <c r="E2178" s="15" t="s">
        <v>11220</v>
      </c>
      <c r="F2178" s="16" t="str">
        <f>VLOOKUP(Table8[[#This Row],[Mã khách hàng]],code_khach_hang[],2,0)</f>
        <v>CHI NHÁNH HÀ GIANG - CÔNG TY CỔ PHẦN DỊCH VỤ THƯƠNG MẠI TỔNG HỢP WINCOMMERCE</v>
      </c>
      <c r="G2178" s="16" t="str">
        <f>VLOOKUP(Table8[[#This Row],[Mã khách hàng]],code_khach_hang[],3,0)</f>
        <v>Miền Bắc đặc biệt 2</v>
      </c>
      <c r="H2178" t="str">
        <f>VLOOKUP(Table8[[#This Row],[Mã khách hàng]],'Khách hàng'!A:D,4,0)</f>
        <v>Food Đức Việt</v>
      </c>
      <c r="I2178" t="str">
        <f>VLOOKUP(Table8[[#This Row],[Mã khách hàng]],'Khách hàng'!A:E,5,0)</f>
        <v>HN0040</v>
      </c>
    </row>
    <row r="2179" spans="1:9">
      <c r="A2179" s="14" t="s">
        <v>1582</v>
      </c>
      <c r="B2179" s="15" t="s">
        <v>5</v>
      </c>
      <c r="C2179" s="10" t="s">
        <v>1583</v>
      </c>
      <c r="D2179" s="16" t="s">
        <v>6985</v>
      </c>
      <c r="E2179" s="15" t="s">
        <v>11218</v>
      </c>
      <c r="F2179" s="16" t="str">
        <f>VLOOKUP(Table8[[#This Row],[Mã khách hàng]],code_khach_hang[],2,0)</f>
        <v>CHI NHÁNH LÀO CAI - CÔNG TY CỔ PHẦN DỊCH VỤ THƯƠNG MẠI TỔNG HỢP WINCOMMERCE</v>
      </c>
      <c r="G2179" s="16" t="str">
        <f>VLOOKUP(Table8[[#This Row],[Mã khách hàng]],code_khach_hang[],3,0)</f>
        <v>Miền Bắc đặc biệt 1</v>
      </c>
      <c r="H2179" t="str">
        <f>VLOOKUP(Table8[[#This Row],[Mã khách hàng]],'Khách hàng'!A:D,4,0)</f>
        <v>Food Đức Việt</v>
      </c>
      <c r="I2179" t="str">
        <f>VLOOKUP(Table8[[#This Row],[Mã khách hàng]],'Khách hàng'!A:E,5,0)</f>
        <v>HN0040</v>
      </c>
    </row>
    <row r="2180" spans="1:9">
      <c r="A2180" s="14" t="s">
        <v>1597</v>
      </c>
      <c r="B2180" s="15" t="s">
        <v>5</v>
      </c>
      <c r="C2180" s="10" t="s">
        <v>1598</v>
      </c>
      <c r="D2180" s="16" t="s">
        <v>6988</v>
      </c>
      <c r="E2180" s="15" t="s">
        <v>11194</v>
      </c>
      <c r="F2180" s="16" t="str">
        <f>VLOOKUP(Table8[[#This Row],[Mã khách hàng]],code_khach_hang[],2,0)</f>
        <v>CHI NHÁNH VĨNH PHÚC - CÔNG TY CỔ PHẦN DỊCH VỤ THƯƠNG MẠI TỔNG HỢP WINCOMMERCE</v>
      </c>
      <c r="G2180" s="16" t="str">
        <f>VLOOKUP(Table8[[#This Row],[Mã khách hàng]],code_khach_hang[],3,0)</f>
        <v>Miền Bắc đặc biệt 2</v>
      </c>
      <c r="H2180" t="str">
        <f>VLOOKUP(Table8[[#This Row],[Mã khách hàng]],'Khách hàng'!A:D,4,0)</f>
        <v>Food Đức Việt</v>
      </c>
      <c r="I2180" t="str">
        <f>VLOOKUP(Table8[[#This Row],[Mã khách hàng]],'Khách hàng'!A:E,5,0)</f>
        <v>HN0040</v>
      </c>
    </row>
    <row r="2181" spans="1:9">
      <c r="A2181" s="14" t="s">
        <v>1573</v>
      </c>
      <c r="B2181" s="15" t="s">
        <v>5</v>
      </c>
      <c r="C2181" s="10" t="s">
        <v>1574</v>
      </c>
      <c r="D2181" s="16" t="s">
        <v>6991</v>
      </c>
      <c r="E2181" s="15" t="s">
        <v>11218</v>
      </c>
      <c r="F2181" s="16" t="str">
        <f>VLOOKUP(Table8[[#This Row],[Mã khách hàng]],code_khach_hang[],2,0)</f>
        <v>CHI NHÁNH LÀO CAI - CÔNG TY CỔ PHẦN DỊCH VỤ THƯƠNG MẠI TỔNG HỢP WINCOMMERCE</v>
      </c>
      <c r="G2181" s="16" t="str">
        <f>VLOOKUP(Table8[[#This Row],[Mã khách hàng]],code_khach_hang[],3,0)</f>
        <v>Miền Bắc đặc biệt 1</v>
      </c>
      <c r="H2181" t="str">
        <f>VLOOKUP(Table8[[#This Row],[Mã khách hàng]],'Khách hàng'!A:D,4,0)</f>
        <v>Food Đức Việt</v>
      </c>
      <c r="I2181" t="str">
        <f>VLOOKUP(Table8[[#This Row],[Mã khách hàng]],'Khách hàng'!A:E,5,0)</f>
        <v>HN0040</v>
      </c>
    </row>
    <row r="2182" spans="1:9">
      <c r="A2182" s="14" t="s">
        <v>1638</v>
      </c>
      <c r="B2182" s="15" t="s">
        <v>5</v>
      </c>
      <c r="C2182" s="10" t="s">
        <v>1639</v>
      </c>
      <c r="D2182" s="16" t="s">
        <v>6994</v>
      </c>
      <c r="E2182" s="15" t="s">
        <v>11213</v>
      </c>
      <c r="F2182" s="16" t="str">
        <f>VLOOKUP(Table8[[#This Row],[Mã khách hàng]],code_khach_hang[],2,0)</f>
        <v>CHI NHÁNH BẮC KẠN - CÔNG TY CỔ PHẦN DỊCH VỤ THƯƠNG MẠI TỔNG HỢP WINCOMMERCE</v>
      </c>
      <c r="G2182" s="16" t="str">
        <f>VLOOKUP(Table8[[#This Row],[Mã khách hàng]],code_khach_hang[],3,0)</f>
        <v>Miền Bắc đặc biệt 2</v>
      </c>
      <c r="H2182" t="str">
        <f>VLOOKUP(Table8[[#This Row],[Mã khách hàng]],'Khách hàng'!A:D,4,0)</f>
        <v>Food Đức Việt</v>
      </c>
      <c r="I2182" t="str">
        <f>VLOOKUP(Table8[[#This Row],[Mã khách hàng]],'Khách hàng'!A:E,5,0)</f>
        <v>HN0040</v>
      </c>
    </row>
    <row r="2183" spans="1:9">
      <c r="A2183" s="14" t="s">
        <v>1674</v>
      </c>
      <c r="B2183" s="15" t="s">
        <v>5</v>
      </c>
      <c r="C2183" s="10" t="e">
        <v>#N/A</v>
      </c>
      <c r="D2183" s="16" t="s">
        <v>6997</v>
      </c>
      <c r="E2183" s="15" t="s">
        <v>11213</v>
      </c>
      <c r="F2183" s="16" t="str">
        <f>VLOOKUP(Table8[[#This Row],[Mã khách hàng]],code_khach_hang[],2,0)</f>
        <v>CHI NHÁNH BẮC KẠN - CÔNG TY CỔ PHẦN DỊCH VỤ THƯƠNG MẠI TỔNG HỢP WINCOMMERCE</v>
      </c>
      <c r="G2183" s="16" t="str">
        <f>VLOOKUP(Table8[[#This Row],[Mã khách hàng]],code_khach_hang[],3,0)</f>
        <v>Miền Bắc đặc biệt 2</v>
      </c>
      <c r="H2183" t="str">
        <f>VLOOKUP(Table8[[#This Row],[Mã khách hàng]],'Khách hàng'!A:D,4,0)</f>
        <v>Food Đức Việt</v>
      </c>
      <c r="I2183" t="str">
        <f>VLOOKUP(Table8[[#This Row],[Mã khách hàng]],'Khách hàng'!A:E,5,0)</f>
        <v>HN0040</v>
      </c>
    </row>
    <row r="2184" spans="1:9">
      <c r="A2184" s="14" t="s">
        <v>1686</v>
      </c>
      <c r="B2184" s="15" t="s">
        <v>5</v>
      </c>
      <c r="C2184" s="10" t="s">
        <v>1687</v>
      </c>
      <c r="D2184" s="16" t="s">
        <v>7000</v>
      </c>
      <c r="E2184" s="15" t="s">
        <v>11213</v>
      </c>
      <c r="F2184" s="16" t="str">
        <f>VLOOKUP(Table8[[#This Row],[Mã khách hàng]],code_khach_hang[],2,0)</f>
        <v>CHI NHÁNH BẮC KẠN - CÔNG TY CỔ PHẦN DỊCH VỤ THƯƠNG MẠI TỔNG HỢP WINCOMMERCE</v>
      </c>
      <c r="G2184" s="16" t="str">
        <f>VLOOKUP(Table8[[#This Row],[Mã khách hàng]],code_khach_hang[],3,0)</f>
        <v>Miền Bắc đặc biệt 2</v>
      </c>
      <c r="H2184" t="str">
        <f>VLOOKUP(Table8[[#This Row],[Mã khách hàng]],'Khách hàng'!A:D,4,0)</f>
        <v>Food Đức Việt</v>
      </c>
      <c r="I2184" t="str">
        <f>VLOOKUP(Table8[[#This Row],[Mã khách hàng]],'Khách hàng'!A:E,5,0)</f>
        <v>HN0040</v>
      </c>
    </row>
    <row r="2185" spans="1:9">
      <c r="A2185" s="14" t="s">
        <v>1503</v>
      </c>
      <c r="B2185" s="15" t="s">
        <v>5</v>
      </c>
      <c r="C2185" s="10" t="s">
        <v>1504</v>
      </c>
      <c r="D2185" s="16" t="s">
        <v>7003</v>
      </c>
      <c r="E2185" s="15" t="s">
        <v>11215</v>
      </c>
      <c r="F2185" s="16" t="str">
        <f>VLOOKUP(Table8[[#This Row],[Mã khách hàng]],code_khach_hang[],2,0)</f>
        <v>CHI NHÁNH HÀ NỘI - CÔNG TY CỔ PHẦN DỊCH VỤ THƯƠNG MẠI TỔNG HỢP WINCOMMERCE</v>
      </c>
      <c r="G2185" s="16" t="str">
        <f>VLOOKUP(Table8[[#This Row],[Mã khách hàng]],code_khach_hang[],3,0)</f>
        <v>Miền Bắc đặc biệt 1</v>
      </c>
      <c r="H2185" t="str">
        <f>VLOOKUP(Table8[[#This Row],[Mã khách hàng]],'Khách hàng'!A:D,4,0)</f>
        <v>Food Đức Việt</v>
      </c>
      <c r="I2185" t="str">
        <f>VLOOKUP(Table8[[#This Row],[Mã khách hàng]],'Khách hàng'!A:E,5,0)</f>
        <v>HN0040</v>
      </c>
    </row>
    <row r="2186" spans="1:9">
      <c r="A2186" s="14" t="s">
        <v>1642</v>
      </c>
      <c r="B2186" s="15" t="s">
        <v>5</v>
      </c>
      <c r="C2186" s="10" t="s">
        <v>1643</v>
      </c>
      <c r="D2186" s="16" t="s">
        <v>7006</v>
      </c>
      <c r="E2186" s="15" t="s">
        <v>11220</v>
      </c>
      <c r="F2186" s="16" t="str">
        <f>VLOOKUP(Table8[[#This Row],[Mã khách hàng]],code_khach_hang[],2,0)</f>
        <v>CHI NHÁNH HÀ GIANG - CÔNG TY CỔ PHẦN DỊCH VỤ THƯƠNG MẠI TỔNG HỢP WINCOMMERCE</v>
      </c>
      <c r="G2186" s="16" t="str">
        <f>VLOOKUP(Table8[[#This Row],[Mã khách hàng]],code_khach_hang[],3,0)</f>
        <v>Miền Bắc đặc biệt 2</v>
      </c>
      <c r="H2186" t="str">
        <f>VLOOKUP(Table8[[#This Row],[Mã khách hàng]],'Khách hàng'!A:D,4,0)</f>
        <v>Food Đức Việt</v>
      </c>
      <c r="I2186" t="str">
        <f>VLOOKUP(Table8[[#This Row],[Mã khách hàng]],'Khách hàng'!A:E,5,0)</f>
        <v>HN0040</v>
      </c>
    </row>
    <row r="2187" spans="1:9">
      <c r="A2187" s="14" t="s">
        <v>1676</v>
      </c>
      <c r="B2187" s="15" t="s">
        <v>5</v>
      </c>
      <c r="C2187" s="10" t="s">
        <v>1677</v>
      </c>
      <c r="D2187" s="16" t="s">
        <v>7009</v>
      </c>
      <c r="E2187" s="15" t="s">
        <v>11214</v>
      </c>
      <c r="F2187" s="16" t="str">
        <f>VLOOKUP(Table8[[#This Row],[Mã khách hàng]],code_khach_hang[],2,0)</f>
        <v>CHI NHÁNH LAI CHÂU - CÔNG TY CỔ PHẦN DỊCH VỤ THƯƠNG MẠI TỔNG HỢP WINCOMMERCE</v>
      </c>
      <c r="G2187" s="16" t="str">
        <f>VLOOKUP(Table8[[#This Row],[Mã khách hàng]],code_khach_hang[],3,0)</f>
        <v>Miền Bắc đặc biệt 1</v>
      </c>
      <c r="H2187" t="str">
        <f>VLOOKUP(Table8[[#This Row],[Mã khách hàng]],'Khách hàng'!A:D,4,0)</f>
        <v>Food Đức Việt</v>
      </c>
      <c r="I2187" t="str">
        <f>VLOOKUP(Table8[[#This Row],[Mã khách hàng]],'Khách hàng'!A:E,5,0)</f>
        <v>HN0040</v>
      </c>
    </row>
    <row r="2188" spans="1:9">
      <c r="A2188" s="14" t="s">
        <v>1695</v>
      </c>
      <c r="B2188" s="15" t="s">
        <v>5</v>
      </c>
      <c r="C2188" s="10" t="s">
        <v>1696</v>
      </c>
      <c r="D2188" s="16" t="s">
        <v>7012</v>
      </c>
      <c r="E2188" s="15" t="s">
        <v>11214</v>
      </c>
      <c r="F2188" s="16" t="str">
        <f>VLOOKUP(Table8[[#This Row],[Mã khách hàng]],code_khach_hang[],2,0)</f>
        <v>CHI NHÁNH LAI CHÂU - CÔNG TY CỔ PHẦN DỊCH VỤ THƯƠNG MẠI TỔNG HỢP WINCOMMERCE</v>
      </c>
      <c r="G2188" s="16" t="str">
        <f>VLOOKUP(Table8[[#This Row],[Mã khách hàng]],code_khach_hang[],3,0)</f>
        <v>Miền Bắc đặc biệt 1</v>
      </c>
      <c r="H2188" t="str">
        <f>VLOOKUP(Table8[[#This Row],[Mã khách hàng]],'Khách hàng'!A:D,4,0)</f>
        <v>Food Đức Việt</v>
      </c>
      <c r="I2188" t="str">
        <f>VLOOKUP(Table8[[#This Row],[Mã khách hàng]],'Khách hàng'!A:E,5,0)</f>
        <v>HN0040</v>
      </c>
    </row>
    <row r="2189" spans="1:9">
      <c r="A2189" s="14" t="s">
        <v>8509</v>
      </c>
      <c r="B2189" s="15" t="s">
        <v>5</v>
      </c>
      <c r="C2189" s="10" t="s">
        <v>8510</v>
      </c>
      <c r="D2189" s="16" t="s">
        <v>7015</v>
      </c>
      <c r="E2189" s="15" t="s">
        <v>11212</v>
      </c>
      <c r="F2189" s="16" t="str">
        <f>VLOOKUP(Table8[[#This Row],[Mã khách hàng]],code_khach_hang[],2,0)</f>
        <v>CHI NHÁNH HÒA BÌNH - CÔNG TY CỔ PHẦN DỊCH VỤ THƯƠNG MẠI TỔNG HỢP WINCOMMERCE</v>
      </c>
      <c r="G2189" s="16" t="str">
        <f>VLOOKUP(Table8[[#This Row],[Mã khách hàng]],code_khach_hang[],3,0)</f>
        <v>Miền Bắc đặc biệt 1</v>
      </c>
      <c r="H2189" t="str">
        <f>VLOOKUP(Table8[[#This Row],[Mã khách hàng]],'Khách hàng'!A:D,4,0)</f>
        <v>Food Đức Việt</v>
      </c>
      <c r="I2189" t="str">
        <f>VLOOKUP(Table8[[#This Row],[Mã khách hàng]],'Khách hàng'!A:E,5,0)</f>
        <v>HN0040</v>
      </c>
    </row>
    <row r="2190" spans="1:9">
      <c r="A2190" s="14" t="s">
        <v>1656</v>
      </c>
      <c r="B2190" s="15" t="s">
        <v>5</v>
      </c>
      <c r="C2190" s="10" t="s">
        <v>1657</v>
      </c>
      <c r="D2190" s="16" t="s">
        <v>7018</v>
      </c>
      <c r="E2190" s="15" t="s">
        <v>11221</v>
      </c>
      <c r="F2190" s="16" t="str">
        <f>VLOOKUP(Table8[[#This Row],[Mã khách hàng]],code_khach_hang[],2,0)</f>
        <v>CHI NHÁNH ĐIỆN BIÊN - CÔNG TY CỔ PHẦN DỊCH VỤ THƯƠNG MẠI TỔNG HỢP WINCOMMERCE</v>
      </c>
      <c r="G2190" s="16" t="str">
        <f>VLOOKUP(Table8[[#This Row],[Mã khách hàng]],code_khach_hang[],3,0)</f>
        <v>Miền Bắc đặc biệt 1</v>
      </c>
      <c r="H2190" t="str">
        <f>VLOOKUP(Table8[[#This Row],[Mã khách hàng]],'Khách hàng'!A:D,4,0)</f>
        <v>Food Đức Việt</v>
      </c>
      <c r="I2190" t="str">
        <f>VLOOKUP(Table8[[#This Row],[Mã khách hàng]],'Khách hàng'!A:E,5,0)</f>
        <v>HN0040</v>
      </c>
    </row>
    <row r="2191" spans="1:9">
      <c r="A2191" s="14" t="s">
        <v>1652</v>
      </c>
      <c r="B2191" s="15" t="s">
        <v>5</v>
      </c>
      <c r="C2191" s="10" t="s">
        <v>1653</v>
      </c>
      <c r="D2191" s="16" t="s">
        <v>7020</v>
      </c>
      <c r="E2191" s="15" t="s">
        <v>11221</v>
      </c>
      <c r="F2191" s="16" t="str">
        <f>VLOOKUP(Table8[[#This Row],[Mã khách hàng]],code_khach_hang[],2,0)</f>
        <v>CHI NHÁNH ĐIỆN BIÊN - CÔNG TY CỔ PHẦN DỊCH VỤ THƯƠNG MẠI TỔNG HỢP WINCOMMERCE</v>
      </c>
      <c r="G2191" s="16" t="str">
        <f>VLOOKUP(Table8[[#This Row],[Mã khách hàng]],code_khach_hang[],3,0)</f>
        <v>Miền Bắc đặc biệt 1</v>
      </c>
      <c r="H2191" t="str">
        <f>VLOOKUP(Table8[[#This Row],[Mã khách hàng]],'Khách hàng'!A:D,4,0)</f>
        <v>Food Đức Việt</v>
      </c>
      <c r="I2191" t="str">
        <f>VLOOKUP(Table8[[#This Row],[Mã khách hàng]],'Khách hàng'!A:E,5,0)</f>
        <v>HN0040</v>
      </c>
    </row>
    <row r="2192" spans="1:9">
      <c r="A2192" s="14" t="s">
        <v>1645</v>
      </c>
      <c r="B2192" s="15" t="s">
        <v>5</v>
      </c>
      <c r="C2192" s="10" t="s">
        <v>1646</v>
      </c>
      <c r="D2192" s="16" t="s">
        <v>7023</v>
      </c>
      <c r="E2192" s="15" t="s">
        <v>11206</v>
      </c>
      <c r="F2192" s="16" t="str">
        <f>VLOOKUP(Table8[[#This Row],[Mã khách hàng]],code_khach_hang[],2,0)</f>
        <v>CHI NHÁNH SƠN LA - CÔNG TY CỔ PHẦN DỊCH VỤ THƯƠNG MẠI TỔNG HỢP WINCOMMERCE</v>
      </c>
      <c r="G2192" s="16" t="str">
        <f>VLOOKUP(Table8[[#This Row],[Mã khách hàng]],code_khach_hang[],3,0)</f>
        <v>Miền Bắc đặc biệt 1</v>
      </c>
      <c r="H2192" t="str">
        <f>VLOOKUP(Table8[[#This Row],[Mã khách hàng]],'Khách hàng'!A:D,4,0)</f>
        <v>Food Đức Việt</v>
      </c>
      <c r="I2192" t="str">
        <f>VLOOKUP(Table8[[#This Row],[Mã khách hàng]],'Khách hàng'!A:E,5,0)</f>
        <v>HN0040</v>
      </c>
    </row>
    <row r="2193" spans="1:9">
      <c r="A2193" s="14" t="s">
        <v>1707</v>
      </c>
      <c r="B2193" s="15" t="s">
        <v>5</v>
      </c>
      <c r="C2193" s="10" t="s">
        <v>1708</v>
      </c>
      <c r="D2193" s="16" t="s">
        <v>7026</v>
      </c>
      <c r="E2193" s="15" t="s">
        <v>11214</v>
      </c>
      <c r="F2193" s="16" t="str">
        <f>VLOOKUP(Table8[[#This Row],[Mã khách hàng]],code_khach_hang[],2,0)</f>
        <v>CHI NHÁNH LAI CHÂU - CÔNG TY CỔ PHẦN DỊCH VỤ THƯƠNG MẠI TỔNG HỢP WINCOMMERCE</v>
      </c>
      <c r="G2193" s="16" t="str">
        <f>VLOOKUP(Table8[[#This Row],[Mã khách hàng]],code_khach_hang[],3,0)</f>
        <v>Miền Bắc đặc biệt 1</v>
      </c>
      <c r="H2193" t="str">
        <f>VLOOKUP(Table8[[#This Row],[Mã khách hàng]],'Khách hàng'!A:D,4,0)</f>
        <v>Food Đức Việt</v>
      </c>
      <c r="I2193" t="str">
        <f>VLOOKUP(Table8[[#This Row],[Mã khách hàng]],'Khách hàng'!A:E,5,0)</f>
        <v>HN0040</v>
      </c>
    </row>
    <row r="2194" spans="1:9">
      <c r="A2194" s="14" t="s">
        <v>1680</v>
      </c>
      <c r="B2194" s="15" t="s">
        <v>5</v>
      </c>
      <c r="C2194" s="10" t="s">
        <v>1681</v>
      </c>
      <c r="D2194" s="16" t="s">
        <v>7029</v>
      </c>
      <c r="E2194" s="15" t="s">
        <v>11206</v>
      </c>
      <c r="F2194" s="16" t="str">
        <f>VLOOKUP(Table8[[#This Row],[Mã khách hàng]],code_khach_hang[],2,0)</f>
        <v>CHI NHÁNH SƠN LA - CÔNG TY CỔ PHẦN DỊCH VỤ THƯƠNG MẠI TỔNG HỢP WINCOMMERCE</v>
      </c>
      <c r="G2194" s="16" t="str">
        <f>VLOOKUP(Table8[[#This Row],[Mã khách hàng]],code_khach_hang[],3,0)</f>
        <v>Miền Bắc đặc biệt 1</v>
      </c>
      <c r="H2194" t="str">
        <f>VLOOKUP(Table8[[#This Row],[Mã khách hàng]],'Khách hàng'!A:D,4,0)</f>
        <v>Food Đức Việt</v>
      </c>
      <c r="I2194" t="str">
        <f>VLOOKUP(Table8[[#This Row],[Mã khách hàng]],'Khách hàng'!A:E,5,0)</f>
        <v>HN0040</v>
      </c>
    </row>
    <row r="2195" spans="1:9">
      <c r="A2195" s="14" t="s">
        <v>1733</v>
      </c>
      <c r="B2195" s="15" t="s">
        <v>5</v>
      </c>
      <c r="C2195" s="10" t="s">
        <v>1734</v>
      </c>
      <c r="D2195" s="16" t="s">
        <v>7032</v>
      </c>
      <c r="E2195" s="15" t="s">
        <v>11202</v>
      </c>
      <c r="F2195" s="16" t="str">
        <f>VLOOKUP(Table8[[#This Row],[Mã khách hàng]],code_khach_hang[],2,0)</f>
        <v>CHI NHÁNH YÊN BÁI - CÔNG TY CỔ PHẦN DỊCH VỤ THƯƠNG MẠI TỔNG HỢP WINCOMMERCE</v>
      </c>
      <c r="G2195" s="16" t="str">
        <f>VLOOKUP(Table8[[#This Row],[Mã khách hàng]],code_khach_hang[],3,0)</f>
        <v>Miền Bắc đặc biệt 1</v>
      </c>
      <c r="H2195" t="str">
        <f>VLOOKUP(Table8[[#This Row],[Mã khách hàng]],'Khách hàng'!A:D,4,0)</f>
        <v>Food Đức Việt</v>
      </c>
      <c r="I2195" t="str">
        <f>VLOOKUP(Table8[[#This Row],[Mã khách hàng]],'Khách hàng'!A:E,5,0)</f>
        <v>HN0040</v>
      </c>
    </row>
    <row r="2196" spans="1:9">
      <c r="A2196" s="14" t="s">
        <v>1736</v>
      </c>
      <c r="B2196" s="15" t="s">
        <v>5</v>
      </c>
      <c r="C2196" s="10" t="s">
        <v>1737</v>
      </c>
      <c r="D2196" s="16" t="s">
        <v>7035</v>
      </c>
      <c r="E2196" s="15" t="s">
        <v>11218</v>
      </c>
      <c r="F2196" s="16" t="str">
        <f>VLOOKUP(Table8[[#This Row],[Mã khách hàng]],code_khach_hang[],2,0)</f>
        <v>CHI NHÁNH LÀO CAI - CÔNG TY CỔ PHẦN DỊCH VỤ THƯƠNG MẠI TỔNG HỢP WINCOMMERCE</v>
      </c>
      <c r="G2196" s="16" t="str">
        <f>VLOOKUP(Table8[[#This Row],[Mã khách hàng]],code_khach_hang[],3,0)</f>
        <v>Miền Bắc đặc biệt 1</v>
      </c>
      <c r="H2196" t="str">
        <f>VLOOKUP(Table8[[#This Row],[Mã khách hàng]],'Khách hàng'!A:D,4,0)</f>
        <v>Food Đức Việt</v>
      </c>
      <c r="I2196" t="str">
        <f>VLOOKUP(Table8[[#This Row],[Mã khách hàng]],'Khách hàng'!A:E,5,0)</f>
        <v>HN0040</v>
      </c>
    </row>
    <row r="2197" spans="1:9">
      <c r="A2197" s="14" t="s">
        <v>1780</v>
      </c>
      <c r="B2197" s="15" t="s">
        <v>5</v>
      </c>
      <c r="C2197" s="10" t="s">
        <v>1781</v>
      </c>
      <c r="D2197" s="16" t="s">
        <v>7038</v>
      </c>
      <c r="E2197" s="15" t="s">
        <v>11194</v>
      </c>
      <c r="F2197" s="16" t="str">
        <f>VLOOKUP(Table8[[#This Row],[Mã khách hàng]],code_khach_hang[],2,0)</f>
        <v>CHI NHÁNH VĨNH PHÚC - CÔNG TY CỔ PHẦN DỊCH VỤ THƯƠNG MẠI TỔNG HỢP WINCOMMERCE</v>
      </c>
      <c r="G2197" s="16" t="str">
        <f>VLOOKUP(Table8[[#This Row],[Mã khách hàng]],code_khach_hang[],3,0)</f>
        <v>Miền Bắc đặc biệt 2</v>
      </c>
      <c r="H2197" t="str">
        <f>VLOOKUP(Table8[[#This Row],[Mã khách hàng]],'Khách hàng'!A:D,4,0)</f>
        <v>Food Đức Việt</v>
      </c>
      <c r="I2197" t="str">
        <f>VLOOKUP(Table8[[#This Row],[Mã khách hàng]],'Khách hàng'!A:E,5,0)</f>
        <v>HN0040</v>
      </c>
    </row>
    <row r="2198" spans="1:9">
      <c r="A2198" s="14" t="s">
        <v>1754</v>
      </c>
      <c r="B2198" s="15" t="s">
        <v>5</v>
      </c>
      <c r="C2198" s="10" t="s">
        <v>1755</v>
      </c>
      <c r="D2198" s="16" t="s">
        <v>7041</v>
      </c>
      <c r="E2198" s="15" t="s">
        <v>11199</v>
      </c>
      <c r="F2198" s="16" t="str">
        <f>VLOOKUP(Table8[[#This Row],[Mã khách hàng]],code_khach_hang[],2,0)</f>
        <v>CHI NHÁNH PHÚ THỌ - CÔNG TY CỔ PHẦN DỊCH VỤ THƯƠNG MẠI TỔNG HỢP WINCOMMERCE</v>
      </c>
      <c r="G2198" s="16" t="str">
        <f>VLOOKUP(Table8[[#This Row],[Mã khách hàng]],code_khach_hang[],3,0)</f>
        <v>Miền Bắc đặc biệt 1</v>
      </c>
      <c r="H2198" t="str">
        <f>VLOOKUP(Table8[[#This Row],[Mã khách hàng]],'Khách hàng'!A:D,4,0)</f>
        <v>Food Đức Việt</v>
      </c>
      <c r="I2198" t="str">
        <f>VLOOKUP(Table8[[#This Row],[Mã khách hàng]],'Khách hàng'!A:E,5,0)</f>
        <v>HN0040</v>
      </c>
    </row>
    <row r="2199" spans="1:9">
      <c r="A2199" s="14" t="s">
        <v>722</v>
      </c>
      <c r="B2199" s="15" t="s">
        <v>183</v>
      </c>
      <c r="C2199" s="10" t="s">
        <v>723</v>
      </c>
      <c r="D2199" s="16" t="s">
        <v>7044</v>
      </c>
      <c r="E2199" s="15" t="s">
        <v>11213</v>
      </c>
      <c r="F2199" s="16" t="str">
        <f>VLOOKUP(Table8[[#This Row],[Mã khách hàng]],code_khach_hang[],2,0)</f>
        <v>CHI NHÁNH BẮC KẠN - CÔNG TY CỔ PHẦN DỊCH VỤ THƯƠNG MẠI TỔNG HỢP WINCOMMERCE</v>
      </c>
      <c r="G2199" s="16" t="str">
        <f>VLOOKUP(Table8[[#This Row],[Mã khách hàng]],code_khach_hang[],3,0)</f>
        <v>Miền Bắc đặc biệt 2</v>
      </c>
      <c r="H2199" t="str">
        <f>VLOOKUP(Table8[[#This Row],[Mã khách hàng]],'Khách hàng'!A:D,4,0)</f>
        <v>Food Đức Việt</v>
      </c>
      <c r="I2199" t="str">
        <f>VLOOKUP(Table8[[#This Row],[Mã khách hàng]],'Khách hàng'!A:E,5,0)</f>
        <v>HN0040</v>
      </c>
    </row>
    <row r="2200" spans="1:9">
      <c r="A2200" s="14" t="s">
        <v>6548</v>
      </c>
      <c r="B2200" s="15" t="s">
        <v>5</v>
      </c>
      <c r="C2200" s="10" t="s">
        <v>6549</v>
      </c>
      <c r="D2200" s="16" t="s">
        <v>7046</v>
      </c>
      <c r="E2200" s="15" t="s">
        <v>11212</v>
      </c>
      <c r="F2200" s="16" t="str">
        <f>VLOOKUP(Table8[[#This Row],[Mã khách hàng]],code_khach_hang[],2,0)</f>
        <v>CHI NHÁNH HÒA BÌNH - CÔNG TY CỔ PHẦN DỊCH VỤ THƯƠNG MẠI TỔNG HỢP WINCOMMERCE</v>
      </c>
      <c r="G2200" s="16" t="str">
        <f>VLOOKUP(Table8[[#This Row],[Mã khách hàng]],code_khach_hang[],3,0)</f>
        <v>Miền Bắc đặc biệt 1</v>
      </c>
      <c r="H2200" t="str">
        <f>VLOOKUP(Table8[[#This Row],[Mã khách hàng]],'Khách hàng'!A:D,4,0)</f>
        <v>Food Đức Việt</v>
      </c>
      <c r="I2200" t="str">
        <f>VLOOKUP(Table8[[#This Row],[Mã khách hàng]],'Khách hàng'!A:E,5,0)</f>
        <v>HN0040</v>
      </c>
    </row>
    <row r="2201" spans="1:9">
      <c r="A2201" s="14" t="s">
        <v>730</v>
      </c>
      <c r="B2201" s="15" t="s">
        <v>183</v>
      </c>
      <c r="C2201" s="10" t="s">
        <v>731</v>
      </c>
      <c r="D2201" s="16" t="s">
        <v>7049</v>
      </c>
      <c r="E2201" s="15" t="s">
        <v>11214</v>
      </c>
      <c r="F2201" s="16" t="str">
        <f>VLOOKUP(Table8[[#This Row],[Mã khách hàng]],code_khach_hang[],2,0)</f>
        <v>CHI NHÁNH LAI CHÂU - CÔNG TY CỔ PHẦN DỊCH VỤ THƯƠNG MẠI TỔNG HỢP WINCOMMERCE</v>
      </c>
      <c r="G2201" s="16" t="str">
        <f>VLOOKUP(Table8[[#This Row],[Mã khách hàng]],code_khach_hang[],3,0)</f>
        <v>Miền Bắc đặc biệt 1</v>
      </c>
      <c r="H2201" t="str">
        <f>VLOOKUP(Table8[[#This Row],[Mã khách hàng]],'Khách hàng'!A:D,4,0)</f>
        <v>Food Đức Việt</v>
      </c>
      <c r="I2201" t="str">
        <f>VLOOKUP(Table8[[#This Row],[Mã khách hàng]],'Khách hàng'!A:E,5,0)</f>
        <v>HN0040</v>
      </c>
    </row>
    <row r="2202" spans="1:9">
      <c r="A2202" s="14" t="s">
        <v>684</v>
      </c>
      <c r="B2202" s="15" t="s">
        <v>183</v>
      </c>
      <c r="C2202" s="10" t="s">
        <v>685</v>
      </c>
      <c r="D2202" s="16" t="s">
        <v>7052</v>
      </c>
      <c r="E2202" s="15" t="s">
        <v>11206</v>
      </c>
      <c r="F2202" s="16" t="str">
        <f>VLOOKUP(Table8[[#This Row],[Mã khách hàng]],code_khach_hang[],2,0)</f>
        <v>CHI NHÁNH SƠN LA - CÔNG TY CỔ PHẦN DỊCH VỤ THƯƠNG MẠI TỔNG HỢP WINCOMMERCE</v>
      </c>
      <c r="G2202" s="16" t="str">
        <f>VLOOKUP(Table8[[#This Row],[Mã khách hàng]],code_khach_hang[],3,0)</f>
        <v>Miền Bắc đặc biệt 1</v>
      </c>
      <c r="H2202" t="str">
        <f>VLOOKUP(Table8[[#This Row],[Mã khách hàng]],'Khách hàng'!A:D,4,0)</f>
        <v>Food Đức Việt</v>
      </c>
      <c r="I2202" t="str">
        <f>VLOOKUP(Table8[[#This Row],[Mã khách hàng]],'Khách hàng'!A:E,5,0)</f>
        <v>HN0040</v>
      </c>
    </row>
    <row r="2203" spans="1:9">
      <c r="A2203" s="14" t="s">
        <v>687</v>
      </c>
      <c r="B2203" s="15" t="s">
        <v>183</v>
      </c>
      <c r="C2203" s="10" t="s">
        <v>688</v>
      </c>
      <c r="D2203" s="16" t="s">
        <v>7055</v>
      </c>
      <c r="E2203" s="15" t="s">
        <v>11207</v>
      </c>
      <c r="F2203" s="16" t="str">
        <f>VLOOKUP(Table8[[#This Row],[Mã khách hàng]],code_khach_hang[],2,0)</f>
        <v>CHI NHÁNH THÁI NGUYÊN - CÔNG TY CỔ PHẦN DỊCH VỤ THƯƠNG MẠI TỔNG HỢP WINCOMMERCE</v>
      </c>
      <c r="G2203" s="16" t="str">
        <f>VLOOKUP(Table8[[#This Row],[Mã khách hàng]],code_khach_hang[],3,0)</f>
        <v>Miền Bắc đặc biệt 2</v>
      </c>
      <c r="H2203" t="str">
        <f>VLOOKUP(Table8[[#This Row],[Mã khách hàng]],'Khách hàng'!A:D,4,0)</f>
        <v>Food Đức Việt</v>
      </c>
      <c r="I2203" t="str">
        <f>VLOOKUP(Table8[[#This Row],[Mã khách hàng]],'Khách hàng'!A:E,5,0)</f>
        <v>HN0040</v>
      </c>
    </row>
    <row r="2204" spans="1:9">
      <c r="A2204" s="14" t="s">
        <v>676</v>
      </c>
      <c r="B2204" s="15" t="s">
        <v>183</v>
      </c>
      <c r="C2204" s="10" t="s">
        <v>677</v>
      </c>
      <c r="D2204" s="16" t="s">
        <v>7058</v>
      </c>
      <c r="E2204" s="15" t="s">
        <v>11204</v>
      </c>
      <c r="F2204" s="16" t="str">
        <f>VLOOKUP(Table8[[#This Row],[Mã khách hàng]],code_khach_hang[],2,0)</f>
        <v>CHI NHÁNH TUYÊN QUANG - CÔNG TY CỔ PHẦN DỊCH VỤ THƯƠNG MẠI TỔNG HỢP WINCOMMERCE</v>
      </c>
      <c r="G2204" s="16" t="str">
        <f>VLOOKUP(Table8[[#This Row],[Mã khách hàng]],code_khach_hang[],3,0)</f>
        <v>Miền Bắc đặc biệt 2</v>
      </c>
      <c r="H2204" t="str">
        <f>VLOOKUP(Table8[[#This Row],[Mã khách hàng]],'Khách hàng'!A:D,4,0)</f>
        <v>Food Đức Việt</v>
      </c>
      <c r="I2204" t="str">
        <f>VLOOKUP(Table8[[#This Row],[Mã khách hàng]],'Khách hàng'!A:E,5,0)</f>
        <v>HN0040</v>
      </c>
    </row>
    <row r="2205" spans="1:9">
      <c r="A2205" s="14" t="s">
        <v>670</v>
      </c>
      <c r="B2205" s="15" t="s">
        <v>183</v>
      </c>
      <c r="C2205" s="10" t="s">
        <v>671</v>
      </c>
      <c r="D2205" s="16" t="s">
        <v>7061</v>
      </c>
      <c r="E2205" s="15" t="s">
        <v>11202</v>
      </c>
      <c r="F2205" s="16" t="str">
        <f>VLOOKUP(Table8[[#This Row],[Mã khách hàng]],code_khach_hang[],2,0)</f>
        <v>CHI NHÁNH YÊN BÁI - CÔNG TY CỔ PHẦN DỊCH VỤ THƯƠNG MẠI TỔNG HỢP WINCOMMERCE</v>
      </c>
      <c r="G2205" s="16" t="str">
        <f>VLOOKUP(Table8[[#This Row],[Mã khách hàng]],code_khach_hang[],3,0)</f>
        <v>Miền Bắc đặc biệt 1</v>
      </c>
      <c r="H2205" t="str">
        <f>VLOOKUP(Table8[[#This Row],[Mã khách hàng]],'Khách hàng'!A:D,4,0)</f>
        <v>Food Đức Việt</v>
      </c>
      <c r="I2205" t="str">
        <f>VLOOKUP(Table8[[#This Row],[Mã khách hàng]],'Khách hàng'!A:E,5,0)</f>
        <v>HN0040</v>
      </c>
    </row>
    <row r="2206" spans="1:9">
      <c r="A2206" s="14" t="s">
        <v>6950</v>
      </c>
      <c r="B2206" s="15" t="s">
        <v>5</v>
      </c>
      <c r="C2206" s="10" t="s">
        <v>6951</v>
      </c>
      <c r="D2206" s="16" t="s">
        <v>7064</v>
      </c>
      <c r="E2206" s="15" t="s">
        <v>11199</v>
      </c>
      <c r="F2206" s="16" t="str">
        <f>VLOOKUP(Table8[[#This Row],[Mã khách hàng]],code_khach_hang[],2,0)</f>
        <v>CHI NHÁNH PHÚ THỌ - CÔNG TY CỔ PHẦN DỊCH VỤ THƯƠNG MẠI TỔNG HỢP WINCOMMERCE</v>
      </c>
      <c r="G2206" s="16" t="str">
        <f>VLOOKUP(Table8[[#This Row],[Mã khách hàng]],code_khach_hang[],3,0)</f>
        <v>Miền Bắc đặc biệt 1</v>
      </c>
      <c r="H2206" t="str">
        <f>VLOOKUP(Table8[[#This Row],[Mã khách hàng]],'Khách hàng'!A:D,4,0)</f>
        <v>Food Đức Việt</v>
      </c>
      <c r="I2206" t="str">
        <f>VLOOKUP(Table8[[#This Row],[Mã khách hàng]],'Khách hàng'!A:E,5,0)</f>
        <v>HN0040</v>
      </c>
    </row>
    <row r="2207" spans="1:9">
      <c r="A2207" s="14" t="s">
        <v>7251</v>
      </c>
      <c r="B2207" s="15" t="s">
        <v>5</v>
      </c>
      <c r="C2207" s="10" t="e">
        <v>#N/A</v>
      </c>
      <c r="D2207" s="16" t="s">
        <v>7067</v>
      </c>
      <c r="E2207" s="15" t="s">
        <v>11199</v>
      </c>
      <c r="F2207" s="16" t="str">
        <f>VLOOKUP(Table8[[#This Row],[Mã khách hàng]],code_khach_hang[],2,0)</f>
        <v>CHI NHÁNH PHÚ THỌ - CÔNG TY CỔ PHẦN DỊCH VỤ THƯƠNG MẠI TỔNG HỢP WINCOMMERCE</v>
      </c>
      <c r="G2207" s="16" t="str">
        <f>VLOOKUP(Table8[[#This Row],[Mã khách hàng]],code_khach_hang[],3,0)</f>
        <v>Miền Bắc đặc biệt 1</v>
      </c>
      <c r="H2207" t="str">
        <f>VLOOKUP(Table8[[#This Row],[Mã khách hàng]],'Khách hàng'!A:D,4,0)</f>
        <v>Food Đức Việt</v>
      </c>
      <c r="I2207" t="str">
        <f>VLOOKUP(Table8[[#This Row],[Mã khách hàng]],'Khách hàng'!A:E,5,0)</f>
        <v>HN0040</v>
      </c>
    </row>
    <row r="2208" spans="1:9">
      <c r="A2208" s="14" t="s">
        <v>7188</v>
      </c>
      <c r="B2208" s="15" t="s">
        <v>5</v>
      </c>
      <c r="C2208" s="10" t="e">
        <v>#N/A</v>
      </c>
      <c r="D2208" s="16" t="s">
        <v>7070</v>
      </c>
      <c r="E2208" s="15" t="s">
        <v>11199</v>
      </c>
      <c r="F2208" s="16" t="str">
        <f>VLOOKUP(Table8[[#This Row],[Mã khách hàng]],code_khach_hang[],2,0)</f>
        <v>CHI NHÁNH PHÚ THỌ - CÔNG TY CỔ PHẦN DỊCH VỤ THƯƠNG MẠI TỔNG HỢP WINCOMMERCE</v>
      </c>
      <c r="G2208" s="16" t="str">
        <f>VLOOKUP(Table8[[#This Row],[Mã khách hàng]],code_khach_hang[],3,0)</f>
        <v>Miền Bắc đặc biệt 1</v>
      </c>
      <c r="H2208" t="str">
        <f>VLOOKUP(Table8[[#This Row],[Mã khách hàng]],'Khách hàng'!A:D,4,0)</f>
        <v>Food Đức Việt</v>
      </c>
      <c r="I2208" t="str">
        <f>VLOOKUP(Table8[[#This Row],[Mã khách hàng]],'Khách hàng'!A:E,5,0)</f>
        <v>HN0040</v>
      </c>
    </row>
    <row r="2209" spans="1:9">
      <c r="A2209" s="14" t="s">
        <v>7384</v>
      </c>
      <c r="B2209" s="15" t="s">
        <v>5</v>
      </c>
      <c r="C2209" s="10" t="s">
        <v>7385</v>
      </c>
      <c r="D2209" s="16" t="s">
        <v>7073</v>
      </c>
      <c r="E2209" s="15" t="s">
        <v>11199</v>
      </c>
      <c r="F2209" s="16" t="str">
        <f>VLOOKUP(Table8[[#This Row],[Mã khách hàng]],code_khach_hang[],2,0)</f>
        <v>CHI NHÁNH PHÚ THỌ - CÔNG TY CỔ PHẦN DỊCH VỤ THƯƠNG MẠI TỔNG HỢP WINCOMMERCE</v>
      </c>
      <c r="G2209" s="16" t="str">
        <f>VLOOKUP(Table8[[#This Row],[Mã khách hàng]],code_khach_hang[],3,0)</f>
        <v>Miền Bắc đặc biệt 1</v>
      </c>
      <c r="H2209" t="str">
        <f>VLOOKUP(Table8[[#This Row],[Mã khách hàng]],'Khách hàng'!A:D,4,0)</f>
        <v>Food Đức Việt</v>
      </c>
      <c r="I2209" t="str">
        <f>VLOOKUP(Table8[[#This Row],[Mã khách hàng]],'Khách hàng'!A:E,5,0)</f>
        <v>HN0040</v>
      </c>
    </row>
    <row r="2210" spans="1:9">
      <c r="A2210" s="14" t="s">
        <v>7475</v>
      </c>
      <c r="B2210" s="15" t="s">
        <v>5</v>
      </c>
      <c r="C2210" s="10" t="s">
        <v>7476</v>
      </c>
      <c r="D2210" s="16" t="s">
        <v>7076</v>
      </c>
      <c r="E2210" s="15" t="s">
        <v>11199</v>
      </c>
      <c r="F2210" s="16" t="str">
        <f>VLOOKUP(Table8[[#This Row],[Mã khách hàng]],code_khach_hang[],2,0)</f>
        <v>CHI NHÁNH PHÚ THỌ - CÔNG TY CỔ PHẦN DỊCH VỤ THƯƠNG MẠI TỔNG HỢP WINCOMMERCE</v>
      </c>
      <c r="G2210" s="16" t="str">
        <f>VLOOKUP(Table8[[#This Row],[Mã khách hàng]],code_khach_hang[],3,0)</f>
        <v>Miền Bắc đặc biệt 1</v>
      </c>
      <c r="H2210" t="str">
        <f>VLOOKUP(Table8[[#This Row],[Mã khách hàng]],'Khách hàng'!A:D,4,0)</f>
        <v>Food Đức Việt</v>
      </c>
      <c r="I2210" t="str">
        <f>VLOOKUP(Table8[[#This Row],[Mã khách hàng]],'Khách hàng'!A:E,5,0)</f>
        <v>HN0040</v>
      </c>
    </row>
    <row r="2211" spans="1:9">
      <c r="A2211" s="14" t="s">
        <v>7249</v>
      </c>
      <c r="B2211" s="15" t="s">
        <v>5</v>
      </c>
      <c r="C2211" s="10" t="e">
        <v>#N/A</v>
      </c>
      <c r="D2211" s="16" t="s">
        <v>7079</v>
      </c>
      <c r="E2211" s="15" t="s">
        <v>11199</v>
      </c>
      <c r="F2211" s="16" t="str">
        <f>VLOOKUP(Table8[[#This Row],[Mã khách hàng]],code_khach_hang[],2,0)</f>
        <v>CHI NHÁNH PHÚ THỌ - CÔNG TY CỔ PHẦN DỊCH VỤ THƯƠNG MẠI TỔNG HỢP WINCOMMERCE</v>
      </c>
      <c r="G2211" s="16" t="str">
        <f>VLOOKUP(Table8[[#This Row],[Mã khách hàng]],code_khach_hang[],3,0)</f>
        <v>Miền Bắc đặc biệt 1</v>
      </c>
      <c r="H2211" t="str">
        <f>VLOOKUP(Table8[[#This Row],[Mã khách hàng]],'Khách hàng'!A:D,4,0)</f>
        <v>Food Đức Việt</v>
      </c>
      <c r="I2211" t="str">
        <f>VLOOKUP(Table8[[#This Row],[Mã khách hàng]],'Khách hàng'!A:E,5,0)</f>
        <v>HN0040</v>
      </c>
    </row>
    <row r="2212" spans="1:9">
      <c r="A2212" s="14" t="s">
        <v>4377</v>
      </c>
      <c r="B2212" s="15" t="s">
        <v>5</v>
      </c>
      <c r="C2212" s="10" t="s">
        <v>4378</v>
      </c>
      <c r="D2212" s="16" t="s">
        <v>7082</v>
      </c>
      <c r="E2212" s="15" t="s">
        <v>11199</v>
      </c>
      <c r="F2212" s="16" t="str">
        <f>VLOOKUP(Table8[[#This Row],[Mã khách hàng]],code_khach_hang[],2,0)</f>
        <v>CHI NHÁNH PHÚ THỌ - CÔNG TY CỔ PHẦN DỊCH VỤ THƯƠNG MẠI TỔNG HỢP WINCOMMERCE</v>
      </c>
      <c r="G2212" s="16" t="str">
        <f>VLOOKUP(Table8[[#This Row],[Mã khách hàng]],code_khach_hang[],3,0)</f>
        <v>Miền Bắc đặc biệt 1</v>
      </c>
      <c r="H2212" t="str">
        <f>VLOOKUP(Table8[[#This Row],[Mã khách hàng]],'Khách hàng'!A:D,4,0)</f>
        <v>Food Đức Việt</v>
      </c>
      <c r="I2212" t="str">
        <f>VLOOKUP(Table8[[#This Row],[Mã khách hàng]],'Khách hàng'!A:E,5,0)</f>
        <v>HN0040</v>
      </c>
    </row>
    <row r="2213" spans="1:9">
      <c r="A2213" s="14" t="s">
        <v>4401</v>
      </c>
      <c r="B2213" s="15" t="s">
        <v>5</v>
      </c>
      <c r="C2213" s="10" t="s">
        <v>4402</v>
      </c>
      <c r="D2213" s="16" t="s">
        <v>7085</v>
      </c>
      <c r="E2213" s="15" t="s">
        <v>11199</v>
      </c>
      <c r="F2213" s="16" t="str">
        <f>VLOOKUP(Table8[[#This Row],[Mã khách hàng]],code_khach_hang[],2,0)</f>
        <v>CHI NHÁNH PHÚ THỌ - CÔNG TY CỔ PHẦN DỊCH VỤ THƯƠNG MẠI TỔNG HỢP WINCOMMERCE</v>
      </c>
      <c r="G2213" s="16" t="str">
        <f>VLOOKUP(Table8[[#This Row],[Mã khách hàng]],code_khach_hang[],3,0)</f>
        <v>Miền Bắc đặc biệt 1</v>
      </c>
      <c r="H2213" t="str">
        <f>VLOOKUP(Table8[[#This Row],[Mã khách hàng]],'Khách hàng'!A:D,4,0)</f>
        <v>Food Đức Việt</v>
      </c>
      <c r="I2213" t="str">
        <f>VLOOKUP(Table8[[#This Row],[Mã khách hàng]],'Khách hàng'!A:E,5,0)</f>
        <v>HN0040</v>
      </c>
    </row>
    <row r="2214" spans="1:9">
      <c r="A2214" s="14" t="s">
        <v>4404</v>
      </c>
      <c r="B2214" s="15" t="s">
        <v>5</v>
      </c>
      <c r="C2214" s="10" t="s">
        <v>4405</v>
      </c>
      <c r="D2214" s="16" t="s">
        <v>7088</v>
      </c>
      <c r="E2214" s="15" t="s">
        <v>11199</v>
      </c>
      <c r="F2214" s="16" t="str">
        <f>VLOOKUP(Table8[[#This Row],[Mã khách hàng]],code_khach_hang[],2,0)</f>
        <v>CHI NHÁNH PHÚ THỌ - CÔNG TY CỔ PHẦN DỊCH VỤ THƯƠNG MẠI TỔNG HỢP WINCOMMERCE</v>
      </c>
      <c r="G2214" s="16" t="str">
        <f>VLOOKUP(Table8[[#This Row],[Mã khách hàng]],code_khach_hang[],3,0)</f>
        <v>Miền Bắc đặc biệt 1</v>
      </c>
      <c r="H2214" t="str">
        <f>VLOOKUP(Table8[[#This Row],[Mã khách hàng]],'Khách hàng'!A:D,4,0)</f>
        <v>Food Đức Việt</v>
      </c>
      <c r="I2214" t="str">
        <f>VLOOKUP(Table8[[#This Row],[Mã khách hàng]],'Khách hàng'!A:E,5,0)</f>
        <v>HN0040</v>
      </c>
    </row>
    <row r="2215" spans="1:9">
      <c r="A2215" s="14" t="s">
        <v>4449</v>
      </c>
      <c r="B2215" s="15" t="s">
        <v>5</v>
      </c>
      <c r="C2215" s="10" t="s">
        <v>4450</v>
      </c>
      <c r="D2215" s="16" t="s">
        <v>7091</v>
      </c>
      <c r="E2215" s="15" t="s">
        <v>11199</v>
      </c>
      <c r="F2215" s="16" t="str">
        <f>VLOOKUP(Table8[[#This Row],[Mã khách hàng]],code_khach_hang[],2,0)</f>
        <v>CHI NHÁNH PHÚ THỌ - CÔNG TY CỔ PHẦN DỊCH VỤ THƯƠNG MẠI TỔNG HỢP WINCOMMERCE</v>
      </c>
      <c r="G2215" s="16" t="str">
        <f>VLOOKUP(Table8[[#This Row],[Mã khách hàng]],code_khach_hang[],3,0)</f>
        <v>Miền Bắc đặc biệt 1</v>
      </c>
      <c r="H2215" t="str">
        <f>VLOOKUP(Table8[[#This Row],[Mã khách hàng]],'Khách hàng'!A:D,4,0)</f>
        <v>Food Đức Việt</v>
      </c>
      <c r="I2215" t="str">
        <f>VLOOKUP(Table8[[#This Row],[Mã khách hàng]],'Khách hàng'!A:E,5,0)</f>
        <v>HN0040</v>
      </c>
    </row>
    <row r="2216" spans="1:9">
      <c r="A2216" s="14" t="s">
        <v>4461</v>
      </c>
      <c r="B2216" s="15" t="s">
        <v>5</v>
      </c>
      <c r="C2216" s="10" t="s">
        <v>4462</v>
      </c>
      <c r="D2216" s="16" t="s">
        <v>7094</v>
      </c>
      <c r="E2216" s="15" t="s">
        <v>11199</v>
      </c>
      <c r="F2216" s="16" t="str">
        <f>VLOOKUP(Table8[[#This Row],[Mã khách hàng]],code_khach_hang[],2,0)</f>
        <v>CHI NHÁNH PHÚ THỌ - CÔNG TY CỔ PHẦN DỊCH VỤ THƯƠNG MẠI TỔNG HỢP WINCOMMERCE</v>
      </c>
      <c r="G2216" s="16" t="str">
        <f>VLOOKUP(Table8[[#This Row],[Mã khách hàng]],code_khach_hang[],3,0)</f>
        <v>Miền Bắc đặc biệt 1</v>
      </c>
      <c r="H2216" t="str">
        <f>VLOOKUP(Table8[[#This Row],[Mã khách hàng]],'Khách hàng'!A:D,4,0)</f>
        <v>Food Đức Việt</v>
      </c>
      <c r="I2216" t="str">
        <f>VLOOKUP(Table8[[#This Row],[Mã khách hàng]],'Khách hàng'!A:E,5,0)</f>
        <v>HN0040</v>
      </c>
    </row>
    <row r="2217" spans="1:9">
      <c r="A2217" s="14" t="s">
        <v>4494</v>
      </c>
      <c r="B2217" s="15" t="s">
        <v>5</v>
      </c>
      <c r="C2217" s="10" t="s">
        <v>4495</v>
      </c>
      <c r="D2217" s="16" t="s">
        <v>7097</v>
      </c>
      <c r="E2217" s="15" t="s">
        <v>11199</v>
      </c>
      <c r="F2217" s="16" t="str">
        <f>VLOOKUP(Table8[[#This Row],[Mã khách hàng]],code_khach_hang[],2,0)</f>
        <v>CHI NHÁNH PHÚ THỌ - CÔNG TY CỔ PHẦN DỊCH VỤ THƯƠNG MẠI TỔNG HỢP WINCOMMERCE</v>
      </c>
      <c r="G2217" s="16" t="str">
        <f>VLOOKUP(Table8[[#This Row],[Mã khách hàng]],code_khach_hang[],3,0)</f>
        <v>Miền Bắc đặc biệt 1</v>
      </c>
      <c r="H2217" t="str">
        <f>VLOOKUP(Table8[[#This Row],[Mã khách hàng]],'Khách hàng'!A:D,4,0)</f>
        <v>Food Đức Việt</v>
      </c>
      <c r="I2217" t="str">
        <f>VLOOKUP(Table8[[#This Row],[Mã khách hàng]],'Khách hàng'!A:E,5,0)</f>
        <v>HN0040</v>
      </c>
    </row>
    <row r="2218" spans="1:9">
      <c r="A2218" s="14" t="s">
        <v>4542</v>
      </c>
      <c r="B2218" s="15" t="s">
        <v>5</v>
      </c>
      <c r="C2218" s="10" t="s">
        <v>4543</v>
      </c>
      <c r="D2218" s="16" t="s">
        <v>7100</v>
      </c>
      <c r="E2218" s="15" t="s">
        <v>11199</v>
      </c>
      <c r="F2218" s="16" t="str">
        <f>VLOOKUP(Table8[[#This Row],[Mã khách hàng]],code_khach_hang[],2,0)</f>
        <v>CHI NHÁNH PHÚ THỌ - CÔNG TY CỔ PHẦN DỊCH VỤ THƯƠNG MẠI TỔNG HỢP WINCOMMERCE</v>
      </c>
      <c r="G2218" s="16" t="str">
        <f>VLOOKUP(Table8[[#This Row],[Mã khách hàng]],code_khach_hang[],3,0)</f>
        <v>Miền Bắc đặc biệt 1</v>
      </c>
      <c r="H2218" t="str">
        <f>VLOOKUP(Table8[[#This Row],[Mã khách hàng]],'Khách hàng'!A:D,4,0)</f>
        <v>Food Đức Việt</v>
      </c>
      <c r="I2218" t="str">
        <f>VLOOKUP(Table8[[#This Row],[Mã khách hàng]],'Khách hàng'!A:E,5,0)</f>
        <v>HN0040</v>
      </c>
    </row>
    <row r="2219" spans="1:9">
      <c r="A2219" s="14" t="s">
        <v>4572</v>
      </c>
      <c r="B2219" s="15" t="s">
        <v>5</v>
      </c>
      <c r="C2219" s="10" t="s">
        <v>4573</v>
      </c>
      <c r="D2219" s="16" t="s">
        <v>7103</v>
      </c>
      <c r="E2219" s="15" t="s">
        <v>11199</v>
      </c>
      <c r="F2219" s="16" t="str">
        <f>VLOOKUP(Table8[[#This Row],[Mã khách hàng]],code_khach_hang[],2,0)</f>
        <v>CHI NHÁNH PHÚ THỌ - CÔNG TY CỔ PHẦN DỊCH VỤ THƯƠNG MẠI TỔNG HỢP WINCOMMERCE</v>
      </c>
      <c r="G2219" s="16" t="str">
        <f>VLOOKUP(Table8[[#This Row],[Mã khách hàng]],code_khach_hang[],3,0)</f>
        <v>Miền Bắc đặc biệt 1</v>
      </c>
      <c r="H2219" t="str">
        <f>VLOOKUP(Table8[[#This Row],[Mã khách hàng]],'Khách hàng'!A:D,4,0)</f>
        <v>Food Đức Việt</v>
      </c>
      <c r="I2219" t="str">
        <f>VLOOKUP(Table8[[#This Row],[Mã khách hàng]],'Khách hàng'!A:E,5,0)</f>
        <v>HN0040</v>
      </c>
    </row>
    <row r="2220" spans="1:9">
      <c r="A2220" s="14" t="s">
        <v>4608</v>
      </c>
      <c r="B2220" s="15" t="s">
        <v>5</v>
      </c>
      <c r="C2220" s="10" t="s">
        <v>4609</v>
      </c>
      <c r="D2220" s="16" t="s">
        <v>7106</v>
      </c>
      <c r="E2220" s="15" t="s">
        <v>11199</v>
      </c>
      <c r="F2220" s="16" t="str">
        <f>VLOOKUP(Table8[[#This Row],[Mã khách hàng]],code_khach_hang[],2,0)</f>
        <v>CHI NHÁNH PHÚ THỌ - CÔNG TY CỔ PHẦN DỊCH VỤ THƯƠNG MẠI TỔNG HỢP WINCOMMERCE</v>
      </c>
      <c r="G2220" s="16" t="str">
        <f>VLOOKUP(Table8[[#This Row],[Mã khách hàng]],code_khach_hang[],3,0)</f>
        <v>Miền Bắc đặc biệt 1</v>
      </c>
      <c r="H2220" t="str">
        <f>VLOOKUP(Table8[[#This Row],[Mã khách hàng]],'Khách hàng'!A:D,4,0)</f>
        <v>Food Đức Việt</v>
      </c>
      <c r="I2220" t="str">
        <f>VLOOKUP(Table8[[#This Row],[Mã khách hàng]],'Khách hàng'!A:E,5,0)</f>
        <v>HN0040</v>
      </c>
    </row>
    <row r="2221" spans="1:9">
      <c r="A2221" s="14" t="s">
        <v>4662</v>
      </c>
      <c r="B2221" s="15" t="s">
        <v>5</v>
      </c>
      <c r="C2221" s="10" t="s">
        <v>4663</v>
      </c>
      <c r="D2221" s="16" t="s">
        <v>7109</v>
      </c>
      <c r="E2221" s="15" t="s">
        <v>11199</v>
      </c>
      <c r="F2221" s="16" t="str">
        <f>VLOOKUP(Table8[[#This Row],[Mã khách hàng]],code_khach_hang[],2,0)</f>
        <v>CHI NHÁNH PHÚ THỌ - CÔNG TY CỔ PHẦN DỊCH VỤ THƯƠNG MẠI TỔNG HỢP WINCOMMERCE</v>
      </c>
      <c r="G2221" s="16" t="str">
        <f>VLOOKUP(Table8[[#This Row],[Mã khách hàng]],code_khach_hang[],3,0)</f>
        <v>Miền Bắc đặc biệt 1</v>
      </c>
      <c r="H2221" t="str">
        <f>VLOOKUP(Table8[[#This Row],[Mã khách hàng]],'Khách hàng'!A:D,4,0)</f>
        <v>Food Đức Việt</v>
      </c>
      <c r="I2221" t="str">
        <f>VLOOKUP(Table8[[#This Row],[Mã khách hàng]],'Khách hàng'!A:E,5,0)</f>
        <v>HN0040</v>
      </c>
    </row>
    <row r="2222" spans="1:9">
      <c r="A2222" s="14" t="s">
        <v>4686</v>
      </c>
      <c r="B2222" s="15" t="s">
        <v>5</v>
      </c>
      <c r="C2222" s="10" t="s">
        <v>4687</v>
      </c>
      <c r="D2222" s="16" t="s">
        <v>7112</v>
      </c>
      <c r="E2222" s="15" t="s">
        <v>11199</v>
      </c>
      <c r="F2222" s="16" t="str">
        <f>VLOOKUP(Table8[[#This Row],[Mã khách hàng]],code_khach_hang[],2,0)</f>
        <v>CHI NHÁNH PHÚ THỌ - CÔNG TY CỔ PHẦN DỊCH VỤ THƯƠNG MẠI TỔNG HỢP WINCOMMERCE</v>
      </c>
      <c r="G2222" s="16" t="str">
        <f>VLOOKUP(Table8[[#This Row],[Mã khách hàng]],code_khach_hang[],3,0)</f>
        <v>Miền Bắc đặc biệt 1</v>
      </c>
      <c r="H2222" t="str">
        <f>VLOOKUP(Table8[[#This Row],[Mã khách hàng]],'Khách hàng'!A:D,4,0)</f>
        <v>Food Đức Việt</v>
      </c>
      <c r="I2222" t="str">
        <f>VLOOKUP(Table8[[#This Row],[Mã khách hàng]],'Khách hàng'!A:E,5,0)</f>
        <v>HN0040</v>
      </c>
    </row>
    <row r="2223" spans="1:9">
      <c r="A2223" s="14" t="s">
        <v>4689</v>
      </c>
      <c r="B2223" s="15" t="s">
        <v>5</v>
      </c>
      <c r="C2223" s="10" t="s">
        <v>4690</v>
      </c>
      <c r="D2223" s="16" t="s">
        <v>7115</v>
      </c>
      <c r="E2223" s="15" t="s">
        <v>11199</v>
      </c>
      <c r="F2223" s="16" t="str">
        <f>VLOOKUP(Table8[[#This Row],[Mã khách hàng]],code_khach_hang[],2,0)</f>
        <v>CHI NHÁNH PHÚ THỌ - CÔNG TY CỔ PHẦN DỊCH VỤ THƯƠNG MẠI TỔNG HỢP WINCOMMERCE</v>
      </c>
      <c r="G2223" s="16" t="str">
        <f>VLOOKUP(Table8[[#This Row],[Mã khách hàng]],code_khach_hang[],3,0)</f>
        <v>Miền Bắc đặc biệt 1</v>
      </c>
      <c r="H2223" t="str">
        <f>VLOOKUP(Table8[[#This Row],[Mã khách hàng]],'Khách hàng'!A:D,4,0)</f>
        <v>Food Đức Việt</v>
      </c>
      <c r="I2223" t="str">
        <f>VLOOKUP(Table8[[#This Row],[Mã khách hàng]],'Khách hàng'!A:E,5,0)</f>
        <v>HN0040</v>
      </c>
    </row>
    <row r="2224" spans="1:9">
      <c r="A2224" s="14" t="s">
        <v>4710</v>
      </c>
      <c r="B2224" s="15" t="s">
        <v>5</v>
      </c>
      <c r="C2224" s="10" t="s">
        <v>4711</v>
      </c>
      <c r="D2224" s="16" t="s">
        <v>7118</v>
      </c>
      <c r="E2224" s="15" t="s">
        <v>11199</v>
      </c>
      <c r="F2224" s="16" t="str">
        <f>VLOOKUP(Table8[[#This Row],[Mã khách hàng]],code_khach_hang[],2,0)</f>
        <v>CHI NHÁNH PHÚ THỌ - CÔNG TY CỔ PHẦN DỊCH VỤ THƯƠNG MẠI TỔNG HỢP WINCOMMERCE</v>
      </c>
      <c r="G2224" s="16" t="str">
        <f>VLOOKUP(Table8[[#This Row],[Mã khách hàng]],code_khach_hang[],3,0)</f>
        <v>Miền Bắc đặc biệt 1</v>
      </c>
      <c r="H2224" t="str">
        <f>VLOOKUP(Table8[[#This Row],[Mã khách hàng]],'Khách hàng'!A:D,4,0)</f>
        <v>Food Đức Việt</v>
      </c>
      <c r="I2224" t="str">
        <f>VLOOKUP(Table8[[#This Row],[Mã khách hàng]],'Khách hàng'!A:E,5,0)</f>
        <v>HN0040</v>
      </c>
    </row>
    <row r="2225" spans="1:9">
      <c r="A2225" s="14" t="s">
        <v>4728</v>
      </c>
      <c r="B2225" s="15" t="s">
        <v>5</v>
      </c>
      <c r="C2225" s="10" t="s">
        <v>4729</v>
      </c>
      <c r="D2225" s="16" t="s">
        <v>7121</v>
      </c>
      <c r="E2225" s="15" t="s">
        <v>11199</v>
      </c>
      <c r="F2225" s="16" t="str">
        <f>VLOOKUP(Table8[[#This Row],[Mã khách hàng]],code_khach_hang[],2,0)</f>
        <v>CHI NHÁNH PHÚ THỌ - CÔNG TY CỔ PHẦN DỊCH VỤ THƯƠNG MẠI TỔNG HỢP WINCOMMERCE</v>
      </c>
      <c r="G2225" s="16" t="str">
        <f>VLOOKUP(Table8[[#This Row],[Mã khách hàng]],code_khach_hang[],3,0)</f>
        <v>Miền Bắc đặc biệt 1</v>
      </c>
      <c r="H2225" t="str">
        <f>VLOOKUP(Table8[[#This Row],[Mã khách hàng]],'Khách hàng'!A:D,4,0)</f>
        <v>Food Đức Việt</v>
      </c>
      <c r="I2225" t="str">
        <f>VLOOKUP(Table8[[#This Row],[Mã khách hàng]],'Khách hàng'!A:E,5,0)</f>
        <v>HN0040</v>
      </c>
    </row>
    <row r="2226" spans="1:9">
      <c r="A2226" s="14" t="s">
        <v>7351</v>
      </c>
      <c r="B2226" s="15" t="s">
        <v>5</v>
      </c>
      <c r="C2226" s="10" t="s">
        <v>7352</v>
      </c>
      <c r="D2226" s="16" t="s">
        <v>7124</v>
      </c>
      <c r="E2226" s="14" t="s">
        <v>11199</v>
      </c>
      <c r="F2226" s="16" t="str">
        <f>VLOOKUP(Table8[[#This Row],[Mã khách hàng]],code_khach_hang[],2,0)</f>
        <v>CHI NHÁNH PHÚ THỌ - CÔNG TY CỔ PHẦN DỊCH VỤ THƯƠNG MẠI TỔNG HỢP WINCOMMERCE</v>
      </c>
      <c r="G2226" s="16" t="str">
        <f>VLOOKUP(Table8[[#This Row],[Mã khách hàng]],code_khach_hang[],3,0)</f>
        <v>Miền Bắc đặc biệt 1</v>
      </c>
      <c r="H2226" t="str">
        <f>VLOOKUP(Table8[[#This Row],[Mã khách hàng]],'Khách hàng'!A:D,4,0)</f>
        <v>Food Đức Việt</v>
      </c>
      <c r="I2226" t="str">
        <f>VLOOKUP(Table8[[#This Row],[Mã khách hàng]],'Khách hàng'!A:E,5,0)</f>
        <v>HN0040</v>
      </c>
    </row>
    <row r="2227" spans="1:9">
      <c r="A2227" s="14" t="s">
        <v>7478</v>
      </c>
      <c r="B2227" s="15" t="s">
        <v>5</v>
      </c>
      <c r="C2227" s="10" t="s">
        <v>7479</v>
      </c>
      <c r="D2227" s="16" t="s">
        <v>7127</v>
      </c>
      <c r="E2227" s="15" t="s">
        <v>11199</v>
      </c>
      <c r="F2227" s="16" t="str">
        <f>VLOOKUP(Table8[[#This Row],[Mã khách hàng]],code_khach_hang[],2,0)</f>
        <v>CHI NHÁNH PHÚ THỌ - CÔNG TY CỔ PHẦN DỊCH VỤ THƯƠNG MẠI TỔNG HỢP WINCOMMERCE</v>
      </c>
      <c r="G2227" s="16" t="str">
        <f>VLOOKUP(Table8[[#This Row],[Mã khách hàng]],code_khach_hang[],3,0)</f>
        <v>Miền Bắc đặc biệt 1</v>
      </c>
      <c r="H2227" t="str">
        <f>VLOOKUP(Table8[[#This Row],[Mã khách hàng]],'Khách hàng'!A:D,4,0)</f>
        <v>Food Đức Việt</v>
      </c>
      <c r="I2227" t="str">
        <f>VLOOKUP(Table8[[#This Row],[Mã khách hàng]],'Khách hàng'!A:E,5,0)</f>
        <v>HN0040</v>
      </c>
    </row>
    <row r="2228" spans="1:9">
      <c r="A2228" s="14" t="s">
        <v>7484</v>
      </c>
      <c r="B2228" s="15" t="s">
        <v>5</v>
      </c>
      <c r="C2228" s="10" t="s">
        <v>7485</v>
      </c>
      <c r="D2228" s="16" t="s">
        <v>7130</v>
      </c>
      <c r="E2228" s="15" t="s">
        <v>11199</v>
      </c>
      <c r="F2228" s="16" t="str">
        <f>VLOOKUP(Table8[[#This Row],[Mã khách hàng]],code_khach_hang[],2,0)</f>
        <v>CHI NHÁNH PHÚ THỌ - CÔNG TY CỔ PHẦN DỊCH VỤ THƯƠNG MẠI TỔNG HỢP WINCOMMERCE</v>
      </c>
      <c r="G2228" s="16" t="str">
        <f>VLOOKUP(Table8[[#This Row],[Mã khách hàng]],code_khach_hang[],3,0)</f>
        <v>Miền Bắc đặc biệt 1</v>
      </c>
      <c r="H2228" t="str">
        <f>VLOOKUP(Table8[[#This Row],[Mã khách hàng]],'Khách hàng'!A:D,4,0)</f>
        <v>Food Đức Việt</v>
      </c>
      <c r="I2228" t="str">
        <f>VLOOKUP(Table8[[#This Row],[Mã khách hàng]],'Khách hàng'!A:E,5,0)</f>
        <v>HN0040</v>
      </c>
    </row>
    <row r="2229" spans="1:9">
      <c r="A2229" s="14" t="s">
        <v>7727</v>
      </c>
      <c r="B2229" s="15" t="s">
        <v>5</v>
      </c>
      <c r="C2229" s="10" t="s">
        <v>7728</v>
      </c>
      <c r="D2229" s="16" t="s">
        <v>7133</v>
      </c>
      <c r="E2229" s="15" t="s">
        <v>11199</v>
      </c>
      <c r="F2229" s="16" t="str">
        <f>VLOOKUP(Table8[[#This Row],[Mã khách hàng]],code_khach_hang[],2,0)</f>
        <v>CHI NHÁNH PHÚ THỌ - CÔNG TY CỔ PHẦN DỊCH VỤ THƯƠNG MẠI TỔNG HỢP WINCOMMERCE</v>
      </c>
      <c r="G2229" s="16" t="str">
        <f>VLOOKUP(Table8[[#This Row],[Mã khách hàng]],code_khach_hang[],3,0)</f>
        <v>Miền Bắc đặc biệt 1</v>
      </c>
      <c r="H2229" t="str">
        <f>VLOOKUP(Table8[[#This Row],[Mã khách hàng]],'Khách hàng'!A:D,4,0)</f>
        <v>Food Đức Việt</v>
      </c>
      <c r="I2229" t="str">
        <f>VLOOKUP(Table8[[#This Row],[Mã khách hàng]],'Khách hàng'!A:E,5,0)</f>
        <v>HN0040</v>
      </c>
    </row>
    <row r="2230" spans="1:9">
      <c r="A2230" s="14" t="s">
        <v>7765</v>
      </c>
      <c r="B2230" s="15" t="s">
        <v>5</v>
      </c>
      <c r="C2230" s="10" t="s">
        <v>7766</v>
      </c>
      <c r="D2230" s="16" t="s">
        <v>7136</v>
      </c>
      <c r="E2230" s="15" t="s">
        <v>11199</v>
      </c>
      <c r="F2230" s="16" t="str">
        <f>VLOOKUP(Table8[[#This Row],[Mã khách hàng]],code_khach_hang[],2,0)</f>
        <v>CHI NHÁNH PHÚ THỌ - CÔNG TY CỔ PHẦN DỊCH VỤ THƯƠNG MẠI TỔNG HỢP WINCOMMERCE</v>
      </c>
      <c r="G2230" s="16" t="str">
        <f>VLOOKUP(Table8[[#This Row],[Mã khách hàng]],code_khach_hang[],3,0)</f>
        <v>Miền Bắc đặc biệt 1</v>
      </c>
      <c r="H2230" t="str">
        <f>VLOOKUP(Table8[[#This Row],[Mã khách hàng]],'Khách hàng'!A:D,4,0)</f>
        <v>Food Đức Việt</v>
      </c>
      <c r="I2230" t="str">
        <f>VLOOKUP(Table8[[#This Row],[Mã khách hàng]],'Khách hàng'!A:E,5,0)</f>
        <v>HN0040</v>
      </c>
    </row>
    <row r="2231" spans="1:9">
      <c r="A2231" s="14" t="s">
        <v>7658</v>
      </c>
      <c r="B2231" s="15" t="s">
        <v>5</v>
      </c>
      <c r="C2231" s="10" t="s">
        <v>7659</v>
      </c>
      <c r="D2231" s="16" t="s">
        <v>7139</v>
      </c>
      <c r="E2231" s="15" t="s">
        <v>11199</v>
      </c>
      <c r="F2231" s="16" t="str">
        <f>VLOOKUP(Table8[[#This Row],[Mã khách hàng]],code_khach_hang[],2,0)</f>
        <v>CHI NHÁNH PHÚ THỌ - CÔNG TY CỔ PHẦN DỊCH VỤ THƯƠNG MẠI TỔNG HỢP WINCOMMERCE</v>
      </c>
      <c r="G2231" s="16" t="str">
        <f>VLOOKUP(Table8[[#This Row],[Mã khách hàng]],code_khach_hang[],3,0)</f>
        <v>Miền Bắc đặc biệt 1</v>
      </c>
      <c r="H2231" t="str">
        <f>VLOOKUP(Table8[[#This Row],[Mã khách hàng]],'Khách hàng'!A:D,4,0)</f>
        <v>Food Đức Việt</v>
      </c>
      <c r="I2231" t="str">
        <f>VLOOKUP(Table8[[#This Row],[Mã khách hàng]],'Khách hàng'!A:E,5,0)</f>
        <v>HN0040</v>
      </c>
    </row>
    <row r="2232" spans="1:9">
      <c r="A2232" s="14" t="s">
        <v>7948</v>
      </c>
      <c r="B2232" s="15" t="s">
        <v>5</v>
      </c>
      <c r="C2232" s="10" t="s">
        <v>7949</v>
      </c>
      <c r="D2232" s="16" t="s">
        <v>7141</v>
      </c>
      <c r="E2232" s="15" t="s">
        <v>11199</v>
      </c>
      <c r="F2232" s="16" t="str">
        <f>VLOOKUP(Table8[[#This Row],[Mã khách hàng]],code_khach_hang[],2,0)</f>
        <v>CHI NHÁNH PHÚ THỌ - CÔNG TY CỔ PHẦN DỊCH VỤ THƯƠNG MẠI TỔNG HỢP WINCOMMERCE</v>
      </c>
      <c r="G2232" s="16" t="str">
        <f>VLOOKUP(Table8[[#This Row],[Mã khách hàng]],code_khach_hang[],3,0)</f>
        <v>Miền Bắc đặc biệt 1</v>
      </c>
      <c r="H2232" t="str">
        <f>VLOOKUP(Table8[[#This Row],[Mã khách hàng]],'Khách hàng'!A:D,4,0)</f>
        <v>Food Đức Việt</v>
      </c>
      <c r="I2232" t="str">
        <f>VLOOKUP(Table8[[#This Row],[Mã khách hàng]],'Khách hàng'!A:E,5,0)</f>
        <v>HN0040</v>
      </c>
    </row>
    <row r="2233" spans="1:9">
      <c r="A2233" s="14" t="s">
        <v>7998</v>
      </c>
      <c r="B2233" s="15" t="s">
        <v>5</v>
      </c>
      <c r="C2233" s="10" t="s">
        <v>7999</v>
      </c>
      <c r="D2233" s="16" t="s">
        <v>7144</v>
      </c>
      <c r="E2233" s="15" t="s">
        <v>11199</v>
      </c>
      <c r="F2233" s="16" t="str">
        <f>VLOOKUP(Table8[[#This Row],[Mã khách hàng]],code_khach_hang[],2,0)</f>
        <v>CHI NHÁNH PHÚ THỌ - CÔNG TY CỔ PHẦN DỊCH VỤ THƯƠNG MẠI TỔNG HỢP WINCOMMERCE</v>
      </c>
      <c r="G2233" s="16" t="str">
        <f>VLOOKUP(Table8[[#This Row],[Mã khách hàng]],code_khach_hang[],3,0)</f>
        <v>Miền Bắc đặc biệt 1</v>
      </c>
      <c r="H2233" t="str">
        <f>VLOOKUP(Table8[[#This Row],[Mã khách hàng]],'Khách hàng'!A:D,4,0)</f>
        <v>Food Đức Việt</v>
      </c>
      <c r="I2233" t="str">
        <f>VLOOKUP(Table8[[#This Row],[Mã khách hàng]],'Khách hàng'!A:E,5,0)</f>
        <v>HN0040</v>
      </c>
    </row>
    <row r="2234" spans="1:9">
      <c r="A2234" s="14" t="s">
        <v>7419</v>
      </c>
      <c r="B2234" s="15" t="s">
        <v>5</v>
      </c>
      <c r="C2234" s="10" t="s">
        <v>7420</v>
      </c>
      <c r="D2234" s="16" t="s">
        <v>7146</v>
      </c>
      <c r="E2234" s="15" t="s">
        <v>11199</v>
      </c>
      <c r="F2234" s="16" t="str">
        <f>VLOOKUP(Table8[[#This Row],[Mã khách hàng]],code_khach_hang[],2,0)</f>
        <v>CHI NHÁNH PHÚ THỌ - CÔNG TY CỔ PHẦN DỊCH VỤ THƯƠNG MẠI TỔNG HỢP WINCOMMERCE</v>
      </c>
      <c r="G2234" s="16" t="str">
        <f>VLOOKUP(Table8[[#This Row],[Mã khách hàng]],code_khach_hang[],3,0)</f>
        <v>Miền Bắc đặc biệt 1</v>
      </c>
      <c r="H2234" t="str">
        <f>VLOOKUP(Table8[[#This Row],[Mã khách hàng]],'Khách hàng'!A:D,4,0)</f>
        <v>Food Đức Việt</v>
      </c>
      <c r="I2234" t="str">
        <f>VLOOKUP(Table8[[#This Row],[Mã khách hàng]],'Khách hàng'!A:E,5,0)</f>
        <v>HN0040</v>
      </c>
    </row>
    <row r="2235" spans="1:9">
      <c r="A2235" s="14" t="s">
        <v>7670</v>
      </c>
      <c r="B2235" s="15" t="s">
        <v>5</v>
      </c>
      <c r="C2235" s="10" t="s">
        <v>7671</v>
      </c>
      <c r="D2235" s="16" t="s">
        <v>7149</v>
      </c>
      <c r="E2235" s="15" t="s">
        <v>11199</v>
      </c>
      <c r="F2235" s="16" t="str">
        <f>VLOOKUP(Table8[[#This Row],[Mã khách hàng]],code_khach_hang[],2,0)</f>
        <v>CHI NHÁNH PHÚ THỌ - CÔNG TY CỔ PHẦN DỊCH VỤ THƯƠNG MẠI TỔNG HỢP WINCOMMERCE</v>
      </c>
      <c r="G2235" s="16" t="str">
        <f>VLOOKUP(Table8[[#This Row],[Mã khách hàng]],code_khach_hang[],3,0)</f>
        <v>Miền Bắc đặc biệt 1</v>
      </c>
      <c r="H2235" t="str">
        <f>VLOOKUP(Table8[[#This Row],[Mã khách hàng]],'Khách hàng'!A:D,4,0)</f>
        <v>Food Đức Việt</v>
      </c>
      <c r="I2235" t="str">
        <f>VLOOKUP(Table8[[#This Row],[Mã khách hàng]],'Khách hàng'!A:E,5,0)</f>
        <v>HN0040</v>
      </c>
    </row>
    <row r="2236" spans="1:9">
      <c r="A2236" s="14" t="s">
        <v>7869</v>
      </c>
      <c r="B2236" s="15" t="s">
        <v>5</v>
      </c>
      <c r="C2236" s="10" t="s">
        <v>7870</v>
      </c>
      <c r="D2236" s="16" t="s">
        <v>7152</v>
      </c>
      <c r="E2236" s="15" t="s">
        <v>11199</v>
      </c>
      <c r="F2236" s="16" t="str">
        <f>VLOOKUP(Table8[[#This Row],[Mã khách hàng]],code_khach_hang[],2,0)</f>
        <v>CHI NHÁNH PHÚ THỌ - CÔNG TY CỔ PHẦN DỊCH VỤ THƯƠNG MẠI TỔNG HỢP WINCOMMERCE</v>
      </c>
      <c r="G2236" s="16" t="str">
        <f>VLOOKUP(Table8[[#This Row],[Mã khách hàng]],code_khach_hang[],3,0)</f>
        <v>Miền Bắc đặc biệt 1</v>
      </c>
      <c r="H2236" t="str">
        <f>VLOOKUP(Table8[[#This Row],[Mã khách hàng]],'Khách hàng'!A:D,4,0)</f>
        <v>Food Đức Việt</v>
      </c>
      <c r="I2236" t="str">
        <f>VLOOKUP(Table8[[#This Row],[Mã khách hàng]],'Khách hàng'!A:E,5,0)</f>
        <v>HN0040</v>
      </c>
    </row>
    <row r="2237" spans="1:9">
      <c r="A2237" s="14" t="s">
        <v>5250</v>
      </c>
      <c r="B2237" s="15" t="s">
        <v>5</v>
      </c>
      <c r="C2237" s="10" t="s">
        <v>5251</v>
      </c>
      <c r="D2237" s="16" t="s">
        <v>7155</v>
      </c>
      <c r="E2237" s="15" t="s">
        <v>11199</v>
      </c>
      <c r="F2237" s="16" t="str">
        <f>VLOOKUP(Table8[[#This Row],[Mã khách hàng]],code_khach_hang[],2,0)</f>
        <v>CHI NHÁNH PHÚ THỌ - CÔNG TY CỔ PHẦN DỊCH VỤ THƯƠNG MẠI TỔNG HỢP WINCOMMERCE</v>
      </c>
      <c r="G2237" s="16" t="str">
        <f>VLOOKUP(Table8[[#This Row],[Mã khách hàng]],code_khach_hang[],3,0)</f>
        <v>Miền Bắc đặc biệt 1</v>
      </c>
      <c r="H2237" t="str">
        <f>VLOOKUP(Table8[[#This Row],[Mã khách hàng]],'Khách hàng'!A:D,4,0)</f>
        <v>Food Đức Việt</v>
      </c>
      <c r="I2237" t="str">
        <f>VLOOKUP(Table8[[#This Row],[Mã khách hàng]],'Khách hàng'!A:E,5,0)</f>
        <v>HN0040</v>
      </c>
    </row>
    <row r="2238" spans="1:9">
      <c r="A2238" s="14" t="s">
        <v>4992</v>
      </c>
      <c r="B2238" s="15" t="s">
        <v>5</v>
      </c>
      <c r="C2238" s="10" t="s">
        <v>4993</v>
      </c>
      <c r="D2238" s="16" t="s">
        <v>7158</v>
      </c>
      <c r="E2238" s="15" t="s">
        <v>11199</v>
      </c>
      <c r="F2238" s="16" t="str">
        <f>VLOOKUP(Table8[[#This Row],[Mã khách hàng]],code_khach_hang[],2,0)</f>
        <v>CHI NHÁNH PHÚ THỌ - CÔNG TY CỔ PHẦN DỊCH VỤ THƯƠNG MẠI TỔNG HỢP WINCOMMERCE</v>
      </c>
      <c r="G2238" s="16" t="str">
        <f>VLOOKUP(Table8[[#This Row],[Mã khách hàng]],code_khach_hang[],3,0)</f>
        <v>Miền Bắc đặc biệt 1</v>
      </c>
      <c r="H2238" t="str">
        <f>VLOOKUP(Table8[[#This Row],[Mã khách hàng]],'Khách hàng'!A:D,4,0)</f>
        <v>Food Đức Việt</v>
      </c>
      <c r="I2238" t="str">
        <f>VLOOKUP(Table8[[#This Row],[Mã khách hàng]],'Khách hàng'!A:E,5,0)</f>
        <v>HN0040</v>
      </c>
    </row>
    <row r="2239" spans="1:9">
      <c r="A2239" s="14" t="s">
        <v>5178</v>
      </c>
      <c r="B2239" s="15" t="s">
        <v>5</v>
      </c>
      <c r="C2239" s="10" t="s">
        <v>5179</v>
      </c>
      <c r="D2239" s="16" t="s">
        <v>7161</v>
      </c>
      <c r="E2239" s="15" t="s">
        <v>11199</v>
      </c>
      <c r="F2239" s="16" t="str">
        <f>VLOOKUP(Table8[[#This Row],[Mã khách hàng]],code_khach_hang[],2,0)</f>
        <v>CHI NHÁNH PHÚ THỌ - CÔNG TY CỔ PHẦN DỊCH VỤ THƯƠNG MẠI TỔNG HỢP WINCOMMERCE</v>
      </c>
      <c r="G2239" s="16" t="str">
        <f>VLOOKUP(Table8[[#This Row],[Mã khách hàng]],code_khach_hang[],3,0)</f>
        <v>Miền Bắc đặc biệt 1</v>
      </c>
      <c r="H2239" t="str">
        <f>VLOOKUP(Table8[[#This Row],[Mã khách hàng]],'Khách hàng'!A:D,4,0)</f>
        <v>Food Đức Việt</v>
      </c>
      <c r="I2239" t="str">
        <f>VLOOKUP(Table8[[#This Row],[Mã khách hàng]],'Khách hàng'!A:E,5,0)</f>
        <v>HN0040</v>
      </c>
    </row>
    <row r="2240" spans="1:9">
      <c r="A2240" s="14" t="s">
        <v>5124</v>
      </c>
      <c r="B2240" s="15" t="s">
        <v>5</v>
      </c>
      <c r="C2240" s="10" t="s">
        <v>5125</v>
      </c>
      <c r="D2240" s="16" t="s">
        <v>7164</v>
      </c>
      <c r="E2240" s="15" t="s">
        <v>11199</v>
      </c>
      <c r="F2240" s="16" t="str">
        <f>VLOOKUP(Table8[[#This Row],[Mã khách hàng]],code_khach_hang[],2,0)</f>
        <v>CHI NHÁNH PHÚ THỌ - CÔNG TY CỔ PHẦN DỊCH VỤ THƯƠNG MẠI TỔNG HỢP WINCOMMERCE</v>
      </c>
      <c r="G2240" s="16" t="str">
        <f>VLOOKUP(Table8[[#This Row],[Mã khách hàng]],code_khach_hang[],3,0)</f>
        <v>Miền Bắc đặc biệt 1</v>
      </c>
      <c r="H2240" t="str">
        <f>VLOOKUP(Table8[[#This Row],[Mã khách hàng]],'Khách hàng'!A:D,4,0)</f>
        <v>Food Đức Việt</v>
      </c>
      <c r="I2240" t="str">
        <f>VLOOKUP(Table8[[#This Row],[Mã khách hàng]],'Khách hàng'!A:E,5,0)</f>
        <v>HN0040</v>
      </c>
    </row>
    <row r="2241" spans="1:9">
      <c r="A2241" s="14" t="s">
        <v>5109</v>
      </c>
      <c r="B2241" s="15" t="s">
        <v>5</v>
      </c>
      <c r="C2241" s="10" t="s">
        <v>5110</v>
      </c>
      <c r="D2241" s="16" t="s">
        <v>7167</v>
      </c>
      <c r="E2241" s="15" t="s">
        <v>11199</v>
      </c>
      <c r="F2241" s="16" t="str">
        <f>VLOOKUP(Table8[[#This Row],[Mã khách hàng]],code_khach_hang[],2,0)</f>
        <v>CHI NHÁNH PHÚ THỌ - CÔNG TY CỔ PHẦN DỊCH VỤ THƯƠNG MẠI TỔNG HỢP WINCOMMERCE</v>
      </c>
      <c r="G2241" s="16" t="str">
        <f>VLOOKUP(Table8[[#This Row],[Mã khách hàng]],code_khach_hang[],3,0)</f>
        <v>Miền Bắc đặc biệt 1</v>
      </c>
      <c r="H2241" t="str">
        <f>VLOOKUP(Table8[[#This Row],[Mã khách hàng]],'Khách hàng'!A:D,4,0)</f>
        <v>Food Đức Việt</v>
      </c>
      <c r="I2241" t="str">
        <f>VLOOKUP(Table8[[#This Row],[Mã khách hàng]],'Khách hàng'!A:E,5,0)</f>
        <v>HN0040</v>
      </c>
    </row>
    <row r="2242" spans="1:9">
      <c r="A2242" s="14" t="s">
        <v>8118</v>
      </c>
      <c r="B2242" s="15" t="s">
        <v>5</v>
      </c>
      <c r="C2242" s="10" t="s">
        <v>8119</v>
      </c>
      <c r="D2242" s="16" t="s">
        <v>7170</v>
      </c>
      <c r="E2242" s="15" t="s">
        <v>11199</v>
      </c>
      <c r="F2242" s="16" t="str">
        <f>VLOOKUP(Table8[[#This Row],[Mã khách hàng]],code_khach_hang[],2,0)</f>
        <v>CHI NHÁNH PHÚ THỌ - CÔNG TY CỔ PHẦN DỊCH VỤ THƯƠNG MẠI TỔNG HỢP WINCOMMERCE</v>
      </c>
      <c r="G2242" s="16" t="str">
        <f>VLOOKUP(Table8[[#This Row],[Mã khách hàng]],code_khach_hang[],3,0)</f>
        <v>Miền Bắc đặc biệt 1</v>
      </c>
      <c r="H2242" t="str">
        <f>VLOOKUP(Table8[[#This Row],[Mã khách hàng]],'Khách hàng'!A:D,4,0)</f>
        <v>Food Đức Việt</v>
      </c>
      <c r="I2242" t="str">
        <f>VLOOKUP(Table8[[#This Row],[Mã khách hàng]],'Khách hàng'!A:E,5,0)</f>
        <v>HN0040</v>
      </c>
    </row>
    <row r="2243" spans="1:9">
      <c r="A2243" s="14" t="s">
        <v>7989</v>
      </c>
      <c r="B2243" s="15" t="s">
        <v>5</v>
      </c>
      <c r="C2243" s="10" t="s">
        <v>7990</v>
      </c>
      <c r="D2243" s="16" t="s">
        <v>7173</v>
      </c>
      <c r="E2243" s="15" t="s">
        <v>11199</v>
      </c>
      <c r="F2243" s="16" t="str">
        <f>VLOOKUP(Table8[[#This Row],[Mã khách hàng]],code_khach_hang[],2,0)</f>
        <v>CHI NHÁNH PHÚ THỌ - CÔNG TY CỔ PHẦN DỊCH VỤ THƯƠNG MẠI TỔNG HỢP WINCOMMERCE</v>
      </c>
      <c r="G2243" s="16" t="str">
        <f>VLOOKUP(Table8[[#This Row],[Mã khách hàng]],code_khach_hang[],3,0)</f>
        <v>Miền Bắc đặc biệt 1</v>
      </c>
      <c r="H2243" t="str">
        <f>VLOOKUP(Table8[[#This Row],[Mã khách hàng]],'Khách hàng'!A:D,4,0)</f>
        <v>Food Đức Việt</v>
      </c>
      <c r="I2243" t="str">
        <f>VLOOKUP(Table8[[#This Row],[Mã khách hàng]],'Khách hàng'!A:E,5,0)</f>
        <v>HN0040</v>
      </c>
    </row>
    <row r="2244" spans="1:9">
      <c r="A2244" s="14" t="s">
        <v>8022</v>
      </c>
      <c r="B2244" s="15" t="s">
        <v>5</v>
      </c>
      <c r="C2244" s="10" t="s">
        <v>8023</v>
      </c>
      <c r="D2244" s="16" t="s">
        <v>7176</v>
      </c>
      <c r="E2244" s="15" t="s">
        <v>11199</v>
      </c>
      <c r="F2244" s="16" t="str">
        <f>VLOOKUP(Table8[[#This Row],[Mã khách hàng]],code_khach_hang[],2,0)</f>
        <v>CHI NHÁNH PHÚ THỌ - CÔNG TY CỔ PHẦN DỊCH VỤ THƯƠNG MẠI TỔNG HỢP WINCOMMERCE</v>
      </c>
      <c r="G2244" s="16" t="str">
        <f>VLOOKUP(Table8[[#This Row],[Mã khách hàng]],code_khach_hang[],3,0)</f>
        <v>Miền Bắc đặc biệt 1</v>
      </c>
      <c r="H2244" t="str">
        <f>VLOOKUP(Table8[[#This Row],[Mã khách hàng]],'Khách hàng'!A:D,4,0)</f>
        <v>Food Đức Việt</v>
      </c>
      <c r="I2244" t="str">
        <f>VLOOKUP(Table8[[#This Row],[Mã khách hàng]],'Khách hàng'!A:E,5,0)</f>
        <v>HN0040</v>
      </c>
    </row>
    <row r="2245" spans="1:9">
      <c r="A2245" s="14" t="s">
        <v>8218</v>
      </c>
      <c r="B2245" s="15" t="s">
        <v>5</v>
      </c>
      <c r="C2245" s="10" t="s">
        <v>8219</v>
      </c>
      <c r="D2245" s="16" t="s">
        <v>7179</v>
      </c>
      <c r="E2245" s="15" t="s">
        <v>11199</v>
      </c>
      <c r="F2245" s="16" t="str">
        <f>VLOOKUP(Table8[[#This Row],[Mã khách hàng]],code_khach_hang[],2,0)</f>
        <v>CHI NHÁNH PHÚ THỌ - CÔNG TY CỔ PHẦN DỊCH VỤ THƯƠNG MẠI TỔNG HỢP WINCOMMERCE</v>
      </c>
      <c r="G2245" s="16" t="str">
        <f>VLOOKUP(Table8[[#This Row],[Mã khách hàng]],code_khach_hang[],3,0)</f>
        <v>Miền Bắc đặc biệt 1</v>
      </c>
      <c r="H2245" t="str">
        <f>VLOOKUP(Table8[[#This Row],[Mã khách hàng]],'Khách hàng'!A:D,4,0)</f>
        <v>Food Đức Việt</v>
      </c>
      <c r="I2245" t="str">
        <f>VLOOKUP(Table8[[#This Row],[Mã khách hàng]],'Khách hàng'!A:E,5,0)</f>
        <v>HN0040</v>
      </c>
    </row>
    <row r="2246" spans="1:9">
      <c r="A2246" s="14" t="s">
        <v>8313</v>
      </c>
      <c r="B2246" s="15" t="s">
        <v>5</v>
      </c>
      <c r="C2246" s="10" t="s">
        <v>8314</v>
      </c>
      <c r="D2246" s="16" t="s">
        <v>7182</v>
      </c>
      <c r="E2246" s="15" t="s">
        <v>11199</v>
      </c>
      <c r="F2246" s="16" t="str">
        <f>VLOOKUP(Table8[[#This Row],[Mã khách hàng]],code_khach_hang[],2,0)</f>
        <v>CHI NHÁNH PHÚ THỌ - CÔNG TY CỔ PHẦN DỊCH VỤ THƯƠNG MẠI TỔNG HỢP WINCOMMERCE</v>
      </c>
      <c r="G2246" s="16" t="str">
        <f>VLOOKUP(Table8[[#This Row],[Mã khách hàng]],code_khach_hang[],3,0)</f>
        <v>Miền Bắc đặc biệt 1</v>
      </c>
      <c r="H2246" t="str">
        <f>VLOOKUP(Table8[[#This Row],[Mã khách hàng]],'Khách hàng'!A:D,4,0)</f>
        <v>Food Đức Việt</v>
      </c>
      <c r="I2246" t="str">
        <f>VLOOKUP(Table8[[#This Row],[Mã khách hàng]],'Khách hàng'!A:E,5,0)</f>
        <v>HN0040</v>
      </c>
    </row>
    <row r="2247" spans="1:9">
      <c r="A2247" s="14" t="s">
        <v>8142</v>
      </c>
      <c r="B2247" s="15" t="s">
        <v>5</v>
      </c>
      <c r="C2247" s="10" t="s">
        <v>8143</v>
      </c>
      <c r="D2247" s="16" t="s">
        <v>7184</v>
      </c>
      <c r="E2247" s="15" t="s">
        <v>11199</v>
      </c>
      <c r="F2247" s="16" t="str">
        <f>VLOOKUP(Table8[[#This Row],[Mã khách hàng]],code_khach_hang[],2,0)</f>
        <v>CHI NHÁNH PHÚ THỌ - CÔNG TY CỔ PHẦN DỊCH VỤ THƯƠNG MẠI TỔNG HỢP WINCOMMERCE</v>
      </c>
      <c r="G2247" s="16" t="str">
        <f>VLOOKUP(Table8[[#This Row],[Mã khách hàng]],code_khach_hang[],3,0)</f>
        <v>Miền Bắc đặc biệt 1</v>
      </c>
      <c r="H2247" t="str">
        <f>VLOOKUP(Table8[[#This Row],[Mã khách hàng]],'Khách hàng'!A:D,4,0)</f>
        <v>Food Đức Việt</v>
      </c>
      <c r="I2247" t="str">
        <f>VLOOKUP(Table8[[#This Row],[Mã khách hàng]],'Khách hàng'!A:E,5,0)</f>
        <v>HN0040</v>
      </c>
    </row>
    <row r="2248" spans="1:9">
      <c r="A2248" s="14" t="s">
        <v>8257</v>
      </c>
      <c r="B2248" s="15" t="s">
        <v>5</v>
      </c>
      <c r="C2248" s="10" t="s">
        <v>8258</v>
      </c>
      <c r="D2248" s="16" t="s">
        <v>7187</v>
      </c>
      <c r="E2248" s="15" t="s">
        <v>11199</v>
      </c>
      <c r="F2248" s="16" t="str">
        <f>VLOOKUP(Table8[[#This Row],[Mã khách hàng]],code_khach_hang[],2,0)</f>
        <v>CHI NHÁNH PHÚ THỌ - CÔNG TY CỔ PHẦN DỊCH VỤ THƯƠNG MẠI TỔNG HỢP WINCOMMERCE</v>
      </c>
      <c r="G2248" s="16" t="str">
        <f>VLOOKUP(Table8[[#This Row],[Mã khách hàng]],code_khach_hang[],3,0)</f>
        <v>Miền Bắc đặc biệt 1</v>
      </c>
      <c r="H2248" t="str">
        <f>VLOOKUP(Table8[[#This Row],[Mã khách hàng]],'Khách hàng'!A:D,4,0)</f>
        <v>Food Đức Việt</v>
      </c>
      <c r="I2248" t="str">
        <f>VLOOKUP(Table8[[#This Row],[Mã khách hàng]],'Khách hàng'!A:E,5,0)</f>
        <v>HN0040</v>
      </c>
    </row>
    <row r="2249" spans="1:9">
      <c r="A2249" s="14" t="s">
        <v>8263</v>
      </c>
      <c r="B2249" s="15" t="s">
        <v>5</v>
      </c>
      <c r="C2249" s="10" t="s">
        <v>8264</v>
      </c>
      <c r="D2249" s="16" t="s">
        <v>7189</v>
      </c>
      <c r="E2249" s="15" t="s">
        <v>11199</v>
      </c>
      <c r="F2249" s="16" t="str">
        <f>VLOOKUP(Table8[[#This Row],[Mã khách hàng]],code_khach_hang[],2,0)</f>
        <v>CHI NHÁNH PHÚ THỌ - CÔNG TY CỔ PHẦN DỊCH VỤ THƯƠNG MẠI TỔNG HỢP WINCOMMERCE</v>
      </c>
      <c r="G2249" s="16" t="str">
        <f>VLOOKUP(Table8[[#This Row],[Mã khách hàng]],code_khach_hang[],3,0)</f>
        <v>Miền Bắc đặc biệt 1</v>
      </c>
      <c r="H2249" t="str">
        <f>VLOOKUP(Table8[[#This Row],[Mã khách hàng]],'Khách hàng'!A:D,4,0)</f>
        <v>Food Đức Việt</v>
      </c>
      <c r="I2249" t="str">
        <f>VLOOKUP(Table8[[#This Row],[Mã khách hàng]],'Khách hàng'!A:E,5,0)</f>
        <v>HN0040</v>
      </c>
    </row>
    <row r="2250" spans="1:9">
      <c r="A2250" s="14" t="s">
        <v>8393</v>
      </c>
      <c r="B2250" s="15" t="s">
        <v>5</v>
      </c>
      <c r="C2250" s="10" t="s">
        <v>8394</v>
      </c>
      <c r="D2250" s="16" t="s">
        <v>7192</v>
      </c>
      <c r="E2250" s="15" t="s">
        <v>11199</v>
      </c>
      <c r="F2250" s="16" t="str">
        <f>VLOOKUP(Table8[[#This Row],[Mã khách hàng]],code_khach_hang[],2,0)</f>
        <v>CHI NHÁNH PHÚ THỌ - CÔNG TY CỔ PHẦN DỊCH VỤ THƯƠNG MẠI TỔNG HỢP WINCOMMERCE</v>
      </c>
      <c r="G2250" s="16" t="str">
        <f>VLOOKUP(Table8[[#This Row],[Mã khách hàng]],code_khach_hang[],3,0)</f>
        <v>Miền Bắc đặc biệt 1</v>
      </c>
      <c r="H2250" t="str">
        <f>VLOOKUP(Table8[[#This Row],[Mã khách hàng]],'Khách hàng'!A:D,4,0)</f>
        <v>Food Đức Việt</v>
      </c>
      <c r="I2250" t="str">
        <f>VLOOKUP(Table8[[#This Row],[Mã khách hàng]],'Khách hàng'!A:E,5,0)</f>
        <v>HN0040</v>
      </c>
    </row>
    <row r="2251" spans="1:9">
      <c r="A2251" s="14" t="s">
        <v>8422</v>
      </c>
      <c r="B2251" s="15" t="s">
        <v>5</v>
      </c>
      <c r="C2251" s="10" t="s">
        <v>8423</v>
      </c>
      <c r="D2251" s="16" t="s">
        <v>7195</v>
      </c>
      <c r="E2251" s="15" t="s">
        <v>11199</v>
      </c>
      <c r="F2251" s="16" t="str">
        <f>VLOOKUP(Table8[[#This Row],[Mã khách hàng]],code_khach_hang[],2,0)</f>
        <v>CHI NHÁNH PHÚ THỌ - CÔNG TY CỔ PHẦN DỊCH VỤ THƯƠNG MẠI TỔNG HỢP WINCOMMERCE</v>
      </c>
      <c r="G2251" s="16" t="str">
        <f>VLOOKUP(Table8[[#This Row],[Mã khách hàng]],code_khach_hang[],3,0)</f>
        <v>Miền Bắc đặc biệt 1</v>
      </c>
      <c r="H2251" t="str">
        <f>VLOOKUP(Table8[[#This Row],[Mã khách hàng]],'Khách hàng'!A:D,4,0)</f>
        <v>Food Đức Việt</v>
      </c>
      <c r="I2251" t="str">
        <f>VLOOKUP(Table8[[#This Row],[Mã khách hàng]],'Khách hàng'!A:E,5,0)</f>
        <v>HN0040</v>
      </c>
    </row>
    <row r="2252" spans="1:9">
      <c r="A2252" s="14" t="s">
        <v>8007</v>
      </c>
      <c r="B2252" s="15" t="s">
        <v>5</v>
      </c>
      <c r="C2252" s="10" t="s">
        <v>8008</v>
      </c>
      <c r="D2252" s="16" t="s">
        <v>7198</v>
      </c>
      <c r="E2252" s="15" t="s">
        <v>11199</v>
      </c>
      <c r="F2252" s="16" t="str">
        <f>VLOOKUP(Table8[[#This Row],[Mã khách hàng]],code_khach_hang[],2,0)</f>
        <v>CHI NHÁNH PHÚ THỌ - CÔNG TY CỔ PHẦN DỊCH VỤ THƯƠNG MẠI TỔNG HỢP WINCOMMERCE</v>
      </c>
      <c r="G2252" s="16" t="str">
        <f>VLOOKUP(Table8[[#This Row],[Mã khách hàng]],code_khach_hang[],3,0)</f>
        <v>Miền Bắc đặc biệt 1</v>
      </c>
      <c r="H2252" t="str">
        <f>VLOOKUP(Table8[[#This Row],[Mã khách hàng]],'Khách hàng'!A:D,4,0)</f>
        <v>Food Đức Việt</v>
      </c>
      <c r="I2252" t="str">
        <f>VLOOKUP(Table8[[#This Row],[Mã khách hàng]],'Khách hàng'!A:E,5,0)</f>
        <v>HN0040</v>
      </c>
    </row>
    <row r="2253" spans="1:9">
      <c r="A2253" s="14" t="s">
        <v>8437</v>
      </c>
      <c r="B2253" s="15" t="s">
        <v>5</v>
      </c>
      <c r="C2253" s="10" t="e">
        <v>#N/A</v>
      </c>
      <c r="D2253" s="16" t="s">
        <v>7201</v>
      </c>
      <c r="E2253" s="15" t="s">
        <v>11199</v>
      </c>
      <c r="F2253" s="16" t="str">
        <f>VLOOKUP(Table8[[#This Row],[Mã khách hàng]],code_khach_hang[],2,0)</f>
        <v>CHI NHÁNH PHÚ THỌ - CÔNG TY CỔ PHẦN DỊCH VỤ THƯƠNG MẠI TỔNG HỢP WINCOMMERCE</v>
      </c>
      <c r="G2253" s="16" t="str">
        <f>VLOOKUP(Table8[[#This Row],[Mã khách hàng]],code_khach_hang[],3,0)</f>
        <v>Miền Bắc đặc biệt 1</v>
      </c>
      <c r="H2253" t="str">
        <f>VLOOKUP(Table8[[#This Row],[Mã khách hàng]],'Khách hàng'!A:D,4,0)</f>
        <v>Food Đức Việt</v>
      </c>
      <c r="I2253" t="str">
        <f>VLOOKUP(Table8[[#This Row],[Mã khách hàng]],'Khách hàng'!A:E,5,0)</f>
        <v>HN0040</v>
      </c>
    </row>
    <row r="2254" spans="1:9">
      <c r="A2254" s="14" t="s">
        <v>8471</v>
      </c>
      <c r="B2254" s="15" t="s">
        <v>5</v>
      </c>
      <c r="C2254" s="10" t="s">
        <v>8472</v>
      </c>
      <c r="D2254" s="16" t="s">
        <v>7204</v>
      </c>
      <c r="E2254" s="15" t="s">
        <v>11199</v>
      </c>
      <c r="F2254" s="16" t="str">
        <f>VLOOKUP(Table8[[#This Row],[Mã khách hàng]],code_khach_hang[],2,0)</f>
        <v>CHI NHÁNH PHÚ THỌ - CÔNG TY CỔ PHẦN DỊCH VỤ THƯƠNG MẠI TỔNG HỢP WINCOMMERCE</v>
      </c>
      <c r="G2254" s="16" t="str">
        <f>VLOOKUP(Table8[[#This Row],[Mã khách hàng]],code_khach_hang[],3,0)</f>
        <v>Miền Bắc đặc biệt 1</v>
      </c>
      <c r="H2254" t="str">
        <f>VLOOKUP(Table8[[#This Row],[Mã khách hàng]],'Khách hàng'!A:D,4,0)</f>
        <v>Food Đức Việt</v>
      </c>
      <c r="I2254" t="str">
        <f>VLOOKUP(Table8[[#This Row],[Mã khách hàng]],'Khách hàng'!A:E,5,0)</f>
        <v>HN0040</v>
      </c>
    </row>
    <row r="2255" spans="1:9">
      <c r="A2255" s="14" t="s">
        <v>8738</v>
      </c>
      <c r="B2255" s="15" t="s">
        <v>5</v>
      </c>
      <c r="C2255" s="10" t="s">
        <v>8739</v>
      </c>
      <c r="D2255" s="16" t="s">
        <v>7207</v>
      </c>
      <c r="E2255" s="15" t="s">
        <v>11199</v>
      </c>
      <c r="F2255" s="16" t="str">
        <f>VLOOKUP(Table8[[#This Row],[Mã khách hàng]],code_khach_hang[],2,0)</f>
        <v>CHI NHÁNH PHÚ THỌ - CÔNG TY CỔ PHẦN DỊCH VỤ THƯƠNG MẠI TỔNG HỢP WINCOMMERCE</v>
      </c>
      <c r="G2255" s="16" t="str">
        <f>VLOOKUP(Table8[[#This Row],[Mã khách hàng]],code_khach_hang[],3,0)</f>
        <v>Miền Bắc đặc biệt 1</v>
      </c>
      <c r="H2255" t="str">
        <f>VLOOKUP(Table8[[#This Row],[Mã khách hàng]],'Khách hàng'!A:D,4,0)</f>
        <v>Food Đức Việt</v>
      </c>
      <c r="I2255" t="str">
        <f>VLOOKUP(Table8[[#This Row],[Mã khách hàng]],'Khách hàng'!A:E,5,0)</f>
        <v>HN0040</v>
      </c>
    </row>
    <row r="2256" spans="1:9">
      <c r="A2256" s="14" t="s">
        <v>8645</v>
      </c>
      <c r="B2256" s="15" t="s">
        <v>5</v>
      </c>
      <c r="C2256" s="10" t="s">
        <v>8646</v>
      </c>
      <c r="D2256" s="16" t="s">
        <v>7210</v>
      </c>
      <c r="E2256" s="15" t="s">
        <v>11199</v>
      </c>
      <c r="F2256" s="16" t="str">
        <f>VLOOKUP(Table8[[#This Row],[Mã khách hàng]],code_khach_hang[],2,0)</f>
        <v>CHI NHÁNH PHÚ THỌ - CÔNG TY CỔ PHẦN DỊCH VỤ THƯƠNG MẠI TỔNG HỢP WINCOMMERCE</v>
      </c>
      <c r="G2256" s="16" t="str">
        <f>VLOOKUP(Table8[[#This Row],[Mã khách hàng]],code_khach_hang[],3,0)</f>
        <v>Miền Bắc đặc biệt 1</v>
      </c>
      <c r="H2256" t="str">
        <f>VLOOKUP(Table8[[#This Row],[Mã khách hàng]],'Khách hàng'!A:D,4,0)</f>
        <v>Food Đức Việt</v>
      </c>
      <c r="I2256" t="str">
        <f>VLOOKUP(Table8[[#This Row],[Mã khách hàng]],'Khách hàng'!A:E,5,0)</f>
        <v>HN0040</v>
      </c>
    </row>
    <row r="2257" spans="1:9">
      <c r="A2257" s="14" t="s">
        <v>8927</v>
      </c>
      <c r="B2257" s="15" t="s">
        <v>5</v>
      </c>
      <c r="C2257" s="10" t="s">
        <v>8928</v>
      </c>
      <c r="D2257" s="16" t="s">
        <v>7213</v>
      </c>
      <c r="E2257" s="15" t="s">
        <v>11199</v>
      </c>
      <c r="F2257" s="16" t="str">
        <f>VLOOKUP(Table8[[#This Row],[Mã khách hàng]],code_khach_hang[],2,0)</f>
        <v>CHI NHÁNH PHÚ THỌ - CÔNG TY CỔ PHẦN DỊCH VỤ THƯƠNG MẠI TỔNG HỢP WINCOMMERCE</v>
      </c>
      <c r="G2257" s="16" t="str">
        <f>VLOOKUP(Table8[[#This Row],[Mã khách hàng]],code_khach_hang[],3,0)</f>
        <v>Miền Bắc đặc biệt 1</v>
      </c>
      <c r="H2257" t="str">
        <f>VLOOKUP(Table8[[#This Row],[Mã khách hàng]],'Khách hàng'!A:D,4,0)</f>
        <v>Food Đức Việt</v>
      </c>
      <c r="I2257" t="str">
        <f>VLOOKUP(Table8[[#This Row],[Mã khách hàng]],'Khách hàng'!A:E,5,0)</f>
        <v>HN0040</v>
      </c>
    </row>
    <row r="2258" spans="1:9">
      <c r="A2258" s="14" t="s">
        <v>1429</v>
      </c>
      <c r="B2258" s="15" t="s">
        <v>5</v>
      </c>
      <c r="C2258" s="10" t="s">
        <v>1430</v>
      </c>
      <c r="D2258" s="16" t="s">
        <v>7216</v>
      </c>
      <c r="E2258" s="15" t="s">
        <v>11199</v>
      </c>
      <c r="F2258" s="16" t="str">
        <f>VLOOKUP(Table8[[#This Row],[Mã khách hàng]],code_khach_hang[],2,0)</f>
        <v>CHI NHÁNH PHÚ THỌ - CÔNG TY CỔ PHẦN DỊCH VỤ THƯƠNG MẠI TỔNG HỢP WINCOMMERCE</v>
      </c>
      <c r="G2258" s="16" t="str">
        <f>VLOOKUP(Table8[[#This Row],[Mã khách hàng]],code_khach_hang[],3,0)</f>
        <v>Miền Bắc đặc biệt 1</v>
      </c>
      <c r="H2258" t="str">
        <f>VLOOKUP(Table8[[#This Row],[Mã khách hàng]],'Khách hàng'!A:D,4,0)</f>
        <v>Food Đức Việt</v>
      </c>
      <c r="I2258" t="str">
        <f>VLOOKUP(Table8[[#This Row],[Mã khách hàng]],'Khách hàng'!A:E,5,0)</f>
        <v>HN0040</v>
      </c>
    </row>
    <row r="2259" spans="1:9">
      <c r="A2259" s="14" t="s">
        <v>1621</v>
      </c>
      <c r="B2259" s="15" t="s">
        <v>5</v>
      </c>
      <c r="C2259" s="10" t="s">
        <v>1622</v>
      </c>
      <c r="D2259" s="16" t="s">
        <v>7218</v>
      </c>
      <c r="E2259" s="15" t="s">
        <v>11199</v>
      </c>
      <c r="F2259" s="16" t="str">
        <f>VLOOKUP(Table8[[#This Row],[Mã khách hàng]],code_khach_hang[],2,0)</f>
        <v>CHI NHÁNH PHÚ THỌ - CÔNG TY CỔ PHẦN DỊCH VỤ THƯƠNG MẠI TỔNG HỢP WINCOMMERCE</v>
      </c>
      <c r="G2259" s="16" t="str">
        <f>VLOOKUP(Table8[[#This Row],[Mã khách hàng]],code_khach_hang[],3,0)</f>
        <v>Miền Bắc đặc biệt 1</v>
      </c>
      <c r="H2259" t="str">
        <f>VLOOKUP(Table8[[#This Row],[Mã khách hàng]],'Khách hàng'!A:D,4,0)</f>
        <v>Food Đức Việt</v>
      </c>
      <c r="I2259" t="str">
        <f>VLOOKUP(Table8[[#This Row],[Mã khách hàng]],'Khách hàng'!A:E,5,0)</f>
        <v>HN0040</v>
      </c>
    </row>
    <row r="2260" spans="1:9">
      <c r="A2260" s="14" t="s">
        <v>1522</v>
      </c>
      <c r="B2260" s="15" t="s">
        <v>5</v>
      </c>
      <c r="C2260" s="10" t="s">
        <v>1523</v>
      </c>
      <c r="D2260" s="16" t="s">
        <v>7221</v>
      </c>
      <c r="E2260" s="15" t="s">
        <v>11199</v>
      </c>
      <c r="F2260" s="16" t="str">
        <f>VLOOKUP(Table8[[#This Row],[Mã khách hàng]],code_khach_hang[],2,0)</f>
        <v>CHI NHÁNH PHÚ THỌ - CÔNG TY CỔ PHẦN DỊCH VỤ THƯƠNG MẠI TỔNG HỢP WINCOMMERCE</v>
      </c>
      <c r="G2260" s="16" t="str">
        <f>VLOOKUP(Table8[[#This Row],[Mã khách hàng]],code_khach_hang[],3,0)</f>
        <v>Miền Bắc đặc biệt 1</v>
      </c>
      <c r="H2260" t="str">
        <f>VLOOKUP(Table8[[#This Row],[Mã khách hàng]],'Khách hàng'!A:D,4,0)</f>
        <v>Food Đức Việt</v>
      </c>
      <c r="I2260" t="str">
        <f>VLOOKUP(Table8[[#This Row],[Mã khách hàng]],'Khách hàng'!A:E,5,0)</f>
        <v>HN0040</v>
      </c>
    </row>
    <row r="2261" spans="1:9">
      <c r="A2261" s="14" t="s">
        <v>2554</v>
      </c>
      <c r="B2261" s="15" t="s">
        <v>5</v>
      </c>
      <c r="C2261" s="10" t="s">
        <v>2555</v>
      </c>
      <c r="D2261" s="16" t="s">
        <v>7224</v>
      </c>
      <c r="E2261" s="15" t="s">
        <v>11199</v>
      </c>
      <c r="F2261" s="16" t="str">
        <f>VLOOKUP(Table8[[#This Row],[Mã khách hàng]],code_khach_hang[],2,0)</f>
        <v>CHI NHÁNH PHÚ THỌ - CÔNG TY CỔ PHẦN DỊCH VỤ THƯƠNG MẠI TỔNG HỢP WINCOMMERCE</v>
      </c>
      <c r="G2261" s="16" t="str">
        <f>VLOOKUP(Table8[[#This Row],[Mã khách hàng]],code_khach_hang[],3,0)</f>
        <v>Miền Bắc đặc biệt 1</v>
      </c>
      <c r="H2261" t="str">
        <f>VLOOKUP(Table8[[#This Row],[Mã khách hàng]],'Khách hàng'!A:D,4,0)</f>
        <v>Food Đức Việt</v>
      </c>
      <c r="I2261" t="str">
        <f>VLOOKUP(Table8[[#This Row],[Mã khách hàng]],'Khách hàng'!A:E,5,0)</f>
        <v>HN0040</v>
      </c>
    </row>
    <row r="2262" spans="1:9">
      <c r="A2262" s="14" t="s">
        <v>2756</v>
      </c>
      <c r="B2262" s="15" t="s">
        <v>5</v>
      </c>
      <c r="C2262" s="10" t="s">
        <v>2757</v>
      </c>
      <c r="D2262" s="16" t="s">
        <v>7227</v>
      </c>
      <c r="E2262" s="15" t="s">
        <v>11199</v>
      </c>
      <c r="F2262" s="16" t="str">
        <f>VLOOKUP(Table8[[#This Row],[Mã khách hàng]],code_khach_hang[],2,0)</f>
        <v>CHI NHÁNH PHÚ THỌ - CÔNG TY CỔ PHẦN DỊCH VỤ THƯƠNG MẠI TỔNG HỢP WINCOMMERCE</v>
      </c>
      <c r="G2262" s="16" t="str">
        <f>VLOOKUP(Table8[[#This Row],[Mã khách hàng]],code_khach_hang[],3,0)</f>
        <v>Miền Bắc đặc biệt 1</v>
      </c>
      <c r="H2262" t="str">
        <f>VLOOKUP(Table8[[#This Row],[Mã khách hàng]],'Khách hàng'!A:D,4,0)</f>
        <v>Food Đức Việt</v>
      </c>
      <c r="I2262" t="str">
        <f>VLOOKUP(Table8[[#This Row],[Mã khách hàng]],'Khách hàng'!A:E,5,0)</f>
        <v>HN0040</v>
      </c>
    </row>
    <row r="2263" spans="1:9">
      <c r="A2263" s="14" t="s">
        <v>661</v>
      </c>
      <c r="B2263" s="15" t="s">
        <v>183</v>
      </c>
      <c r="C2263" s="10" t="s">
        <v>662</v>
      </c>
      <c r="D2263" s="16" t="s">
        <v>7230</v>
      </c>
      <c r="E2263" s="15" t="s">
        <v>11199</v>
      </c>
      <c r="F2263" s="16" t="str">
        <f>VLOOKUP(Table8[[#This Row],[Mã khách hàng]],code_khach_hang[],2,0)</f>
        <v>CHI NHÁNH PHÚ THỌ - CÔNG TY CỔ PHẦN DỊCH VỤ THƯƠNG MẠI TỔNG HỢP WINCOMMERCE</v>
      </c>
      <c r="G2263" s="16" t="str">
        <f>VLOOKUP(Table8[[#This Row],[Mã khách hàng]],code_khach_hang[],3,0)</f>
        <v>Miền Bắc đặc biệt 1</v>
      </c>
      <c r="H2263" t="str">
        <f>VLOOKUP(Table8[[#This Row],[Mã khách hàng]],'Khách hàng'!A:D,4,0)</f>
        <v>Food Đức Việt</v>
      </c>
      <c r="I2263" t="str">
        <f>VLOOKUP(Table8[[#This Row],[Mã khách hàng]],'Khách hàng'!A:E,5,0)</f>
        <v>HN0040</v>
      </c>
    </row>
    <row r="2264" spans="1:9">
      <c r="A2264" s="14" t="s">
        <v>719</v>
      </c>
      <c r="B2264" s="15" t="s">
        <v>183</v>
      </c>
      <c r="C2264" s="10" t="s">
        <v>720</v>
      </c>
      <c r="D2264" s="16" t="s">
        <v>7233</v>
      </c>
      <c r="E2264" s="15" t="s">
        <v>11199</v>
      </c>
      <c r="F2264" s="16" t="str">
        <f>VLOOKUP(Table8[[#This Row],[Mã khách hàng]],code_khach_hang[],2,0)</f>
        <v>CHI NHÁNH PHÚ THỌ - CÔNG TY CỔ PHẦN DỊCH VỤ THƯƠNG MẠI TỔNG HỢP WINCOMMERCE</v>
      </c>
      <c r="G2264" s="16" t="str">
        <f>VLOOKUP(Table8[[#This Row],[Mã khách hàng]],code_khach_hang[],3,0)</f>
        <v>Miền Bắc đặc biệt 1</v>
      </c>
      <c r="H2264" t="str">
        <f>VLOOKUP(Table8[[#This Row],[Mã khách hàng]],'Khách hàng'!A:D,4,0)</f>
        <v>Food Đức Việt</v>
      </c>
      <c r="I2264" t="str">
        <f>VLOOKUP(Table8[[#This Row],[Mã khách hàng]],'Khách hàng'!A:E,5,0)</f>
        <v>HN0040</v>
      </c>
    </row>
    <row r="2265" spans="1:9">
      <c r="A2265" s="14" t="s">
        <v>1794</v>
      </c>
      <c r="B2265" s="15" t="s">
        <v>5</v>
      </c>
      <c r="C2265" s="10" t="s">
        <v>1795</v>
      </c>
      <c r="D2265" s="16" t="s">
        <v>7236</v>
      </c>
      <c r="E2265" s="15" t="s">
        <v>11217</v>
      </c>
      <c r="F2265" s="16" t="str">
        <f>VLOOKUP(Table8[[#This Row],[Mã khách hàng]],code_khach_hang[],2,0)</f>
        <v>CHI NHÁNH BẮC GIANG - CÔNG TY CỔ PHẦN DỊCH VỤ THƯƠNG MẠI TỔNG HỢP WINCOMMERCE</v>
      </c>
      <c r="G2265" s="16" t="str">
        <f>VLOOKUP(Table8[[#This Row],[Mã khách hàng]],code_khach_hang[],3,0)</f>
        <v>Miền Bắc đặc biệt 2</v>
      </c>
      <c r="H2265" t="str">
        <f>VLOOKUP(Table8[[#This Row],[Mã khách hàng]],'Khách hàng'!A:D,4,0)</f>
        <v>Food Đức Việt</v>
      </c>
      <c r="I2265" t="str">
        <f>VLOOKUP(Table8[[#This Row],[Mã khách hàng]],'Khách hàng'!A:E,5,0)</f>
        <v>HN0040</v>
      </c>
    </row>
    <row r="2266" spans="1:9">
      <c r="A2266" s="14" t="s">
        <v>9255</v>
      </c>
      <c r="B2266" s="15" t="s">
        <v>5</v>
      </c>
      <c r="C2266" s="10" t="s">
        <v>9256</v>
      </c>
      <c r="D2266" s="16" t="s">
        <v>7239</v>
      </c>
      <c r="E2266" s="15" t="s">
        <v>11203</v>
      </c>
      <c r="F2266" s="16" t="str">
        <f>VLOOKUP(Table8[[#This Row],[Mã khách hàng]],code_khach_hang[],2,0)</f>
        <v>CHI NHÁNH THANH HÓA - CÔNG TY CỔ PHẦN DỊCH VỤ THƯƠNG MẠI TỔNG HỢP WINCOMMERCE</v>
      </c>
      <c r="G2266" s="16" t="str">
        <f>VLOOKUP(Table8[[#This Row],[Mã khách hàng]],code_khach_hang[],3,0)</f>
        <v>Miền Trung đặc biệt 1</v>
      </c>
      <c r="H2266" t="str">
        <f>VLOOKUP(Table8[[#This Row],[Mã khách hàng]],'Khách hàng'!A:D,4,0)</f>
        <v>Food Đức Việt</v>
      </c>
      <c r="I2266" t="str">
        <f>VLOOKUP(Table8[[#This Row],[Mã khách hàng]],'Khách hàng'!A:E,5,0)</f>
        <v>HN0040</v>
      </c>
    </row>
    <row r="2267" spans="1:9">
      <c r="A2267" s="14" t="s">
        <v>1823</v>
      </c>
      <c r="B2267" s="15" t="s">
        <v>5</v>
      </c>
      <c r="C2267" s="10" t="s">
        <v>1824</v>
      </c>
      <c r="D2267" s="16" t="s">
        <v>7242</v>
      </c>
      <c r="E2267" s="15" t="s">
        <v>11215</v>
      </c>
      <c r="F2267" s="16" t="str">
        <f>VLOOKUP(Table8[[#This Row],[Mã khách hàng]],code_khach_hang[],2,0)</f>
        <v>CHI NHÁNH HÀ NỘI - CÔNG TY CỔ PHẦN DỊCH VỤ THƯƠNG MẠI TỔNG HỢP WINCOMMERCE</v>
      </c>
      <c r="G2267" s="16" t="str">
        <f>VLOOKUP(Table8[[#This Row],[Mã khách hàng]],code_khach_hang[],3,0)</f>
        <v>Miền Bắc đặc biệt 1</v>
      </c>
      <c r="H2267" t="str">
        <f>VLOOKUP(Table8[[#This Row],[Mã khách hàng]],'Khách hàng'!A:D,4,0)</f>
        <v>Food Đức Việt</v>
      </c>
      <c r="I2267" t="str">
        <f>VLOOKUP(Table8[[#This Row],[Mã khách hàng]],'Khách hàng'!A:E,5,0)</f>
        <v>HN0040</v>
      </c>
    </row>
    <row r="2268" spans="1:9">
      <c r="A2268" s="14" t="s">
        <v>9309</v>
      </c>
      <c r="B2268" s="15" t="s">
        <v>5</v>
      </c>
      <c r="C2268" s="10" t="s">
        <v>9310</v>
      </c>
      <c r="D2268" s="16" t="s">
        <v>7245</v>
      </c>
      <c r="E2268" s="15" t="s">
        <v>11198</v>
      </c>
      <c r="F2268" s="16" t="str">
        <f>VLOOKUP(Table8[[#This Row],[Mã khách hàng]],code_khach_hang[],2,0)</f>
        <v>CHI NHÁNH HẢI PHÒNG - CÔNG TY CỔ PHẦN DỊCH VỤ THƯƠNG MẠI TỔNG HỢP WINCOMMERCE</v>
      </c>
      <c r="G2268" s="16" t="str">
        <f>VLOOKUP(Table8[[#This Row],[Mã khách hàng]],code_khach_hang[],3,0)</f>
        <v>Miền Bắc đặc biệt 3</v>
      </c>
      <c r="H2268" t="str">
        <f>VLOOKUP(Table8[[#This Row],[Mã khách hàng]],'Khách hàng'!A:D,4,0)</f>
        <v>Food Đức Việt</v>
      </c>
      <c r="I2268" t="str">
        <f>VLOOKUP(Table8[[#This Row],[Mã khách hàng]],'Khách hàng'!A:E,5,0)</f>
        <v>HN0040</v>
      </c>
    </row>
    <row r="2269" spans="1:9">
      <c r="A2269" s="14" t="s">
        <v>1671</v>
      </c>
      <c r="B2269" s="15" t="s">
        <v>5</v>
      </c>
      <c r="C2269" s="10" t="s">
        <v>1672</v>
      </c>
      <c r="D2269" s="16" t="s">
        <v>7248</v>
      </c>
      <c r="E2269" s="15" t="s">
        <v>11206</v>
      </c>
      <c r="F2269" s="16" t="str">
        <f>VLOOKUP(Table8[[#This Row],[Mã khách hàng]],code_khach_hang[],2,0)</f>
        <v>CHI NHÁNH SƠN LA - CÔNG TY CỔ PHẦN DỊCH VỤ THƯƠNG MẠI TỔNG HỢP WINCOMMERCE</v>
      </c>
      <c r="G2269" s="16" t="str">
        <f>VLOOKUP(Table8[[#This Row],[Mã khách hàng]],code_khach_hang[],3,0)</f>
        <v>Miền Bắc đặc biệt 1</v>
      </c>
      <c r="H2269" t="str">
        <f>VLOOKUP(Table8[[#This Row],[Mã khách hàng]],'Khách hàng'!A:D,4,0)</f>
        <v>Food Đức Việt</v>
      </c>
      <c r="I2269" t="str">
        <f>VLOOKUP(Table8[[#This Row],[Mã khách hàng]],'Khách hàng'!A:E,5,0)</f>
        <v>HN0040</v>
      </c>
    </row>
    <row r="2270" spans="1:9">
      <c r="A2270" s="14" t="s">
        <v>5439</v>
      </c>
      <c r="B2270" s="15" t="s">
        <v>5</v>
      </c>
      <c r="C2270" s="10" t="s">
        <v>5440</v>
      </c>
      <c r="D2270" s="16" t="s">
        <v>7250</v>
      </c>
      <c r="E2270" s="15" t="s">
        <v>11198</v>
      </c>
      <c r="F2270" s="16" t="str">
        <f>VLOOKUP(Table8[[#This Row],[Mã khách hàng]],code_khach_hang[],2,0)</f>
        <v>CHI NHÁNH HẢI PHÒNG - CÔNG TY CỔ PHẦN DỊCH VỤ THƯƠNG MẠI TỔNG HỢP WINCOMMERCE</v>
      </c>
      <c r="G2270" s="16" t="str">
        <f>VLOOKUP(Table8[[#This Row],[Mã khách hàng]],code_khach_hang[],3,0)</f>
        <v>Miền Bắc đặc biệt 3</v>
      </c>
      <c r="H2270" t="str">
        <f>VLOOKUP(Table8[[#This Row],[Mã khách hàng]],'Khách hàng'!A:D,4,0)</f>
        <v>Food Đức Việt</v>
      </c>
      <c r="I2270" t="str">
        <f>VLOOKUP(Table8[[#This Row],[Mã khách hàng]],'Khách hàng'!A:E,5,0)</f>
        <v>HN0040</v>
      </c>
    </row>
    <row r="2271" spans="1:9">
      <c r="A2271" s="14" t="s">
        <v>1841</v>
      </c>
      <c r="B2271" s="15" t="s">
        <v>5</v>
      </c>
      <c r="C2271" s="10" t="s">
        <v>1842</v>
      </c>
      <c r="D2271" s="16" t="s">
        <v>7252</v>
      </c>
      <c r="E2271" s="15" t="s">
        <v>11215</v>
      </c>
      <c r="F2271" s="16" t="str">
        <f>VLOOKUP(Table8[[#This Row],[Mã khách hàng]],code_khach_hang[],2,0)</f>
        <v>CHI NHÁNH HÀ NỘI - CÔNG TY CỔ PHẦN DỊCH VỤ THƯƠNG MẠI TỔNG HỢP WINCOMMERCE</v>
      </c>
      <c r="G2271" s="16" t="str">
        <f>VLOOKUP(Table8[[#This Row],[Mã khách hàng]],code_khach_hang[],3,0)</f>
        <v>Miền Bắc đặc biệt 1</v>
      </c>
      <c r="H2271" t="str">
        <f>VLOOKUP(Table8[[#This Row],[Mã khách hàng]],'Khách hàng'!A:D,4,0)</f>
        <v>Food Đức Việt</v>
      </c>
      <c r="I2271" t="str">
        <f>VLOOKUP(Table8[[#This Row],[Mã khách hàng]],'Khách hàng'!A:E,5,0)</f>
        <v>HN0040</v>
      </c>
    </row>
    <row r="2272" spans="1:9">
      <c r="A2272" s="14" t="s">
        <v>9130</v>
      </c>
      <c r="B2272" s="15" t="s">
        <v>5</v>
      </c>
      <c r="C2272" s="10" t="s">
        <v>9131</v>
      </c>
      <c r="D2272" s="16" t="s">
        <v>7255</v>
      </c>
      <c r="E2272" s="15" t="s">
        <v>11205</v>
      </c>
      <c r="F2272" s="16" t="str">
        <f>VLOOKUP(Table8[[#This Row],[Mã khách hàng]],code_khach_hang[],2,0)</f>
        <v>CHI NHÁNH HÀ TĨNH - CÔNG TY CỔ PHẦN DỊCH VỤ THƯƠNG MẠI TỔNG HỢP WINCOMMERCE</v>
      </c>
      <c r="G2272" s="16" t="str">
        <f>VLOOKUP(Table8[[#This Row],[Mã khách hàng]],code_khach_hang[],3,0)</f>
        <v>Miền Trung đặc biệt 1</v>
      </c>
      <c r="H2272" t="str">
        <f>VLOOKUP(Table8[[#This Row],[Mã khách hàng]],'Khách hàng'!A:D,4,0)</f>
        <v>Food Đức Việt</v>
      </c>
      <c r="I2272" t="str">
        <f>VLOOKUP(Table8[[#This Row],[Mã khách hàng]],'Khách hàng'!A:E,5,0)</f>
        <v>HN0040</v>
      </c>
    </row>
    <row r="2273" spans="1:9">
      <c r="A2273" s="14" t="s">
        <v>1832</v>
      </c>
      <c r="B2273" s="15" t="s">
        <v>5</v>
      </c>
      <c r="C2273" s="10" t="s">
        <v>1833</v>
      </c>
      <c r="D2273" s="16" t="s">
        <v>7258</v>
      </c>
      <c r="E2273" s="15" t="s">
        <v>11203</v>
      </c>
      <c r="F2273" s="16" t="str">
        <f>VLOOKUP(Table8[[#This Row],[Mã khách hàng]],code_khach_hang[],2,0)</f>
        <v>CHI NHÁNH THANH HÓA - CÔNG TY CỔ PHẦN DỊCH VỤ THƯƠNG MẠI TỔNG HỢP WINCOMMERCE</v>
      </c>
      <c r="G2273" s="16" t="str">
        <f>VLOOKUP(Table8[[#This Row],[Mã khách hàng]],code_khach_hang[],3,0)</f>
        <v>Miền Trung đặc biệt 1</v>
      </c>
      <c r="H2273" t="str">
        <f>VLOOKUP(Table8[[#This Row],[Mã khách hàng]],'Khách hàng'!A:D,4,0)</f>
        <v>Food Đức Việt</v>
      </c>
      <c r="I2273" t="str">
        <f>VLOOKUP(Table8[[#This Row],[Mã khách hàng]],'Khách hàng'!A:E,5,0)</f>
        <v>HN0040</v>
      </c>
    </row>
    <row r="2274" spans="1:9">
      <c r="A2274" s="14" t="s">
        <v>1791</v>
      </c>
      <c r="B2274" s="15" t="s">
        <v>5</v>
      </c>
      <c r="C2274" s="10" t="s">
        <v>1792</v>
      </c>
      <c r="D2274" s="16" t="s">
        <v>7261</v>
      </c>
      <c r="E2274" s="15" t="s">
        <v>11215</v>
      </c>
      <c r="F2274" s="16" t="str">
        <f>VLOOKUP(Table8[[#This Row],[Mã khách hàng]],code_khach_hang[],2,0)</f>
        <v>CHI NHÁNH HÀ NỘI - CÔNG TY CỔ PHẦN DỊCH VỤ THƯƠNG MẠI TỔNG HỢP WINCOMMERCE</v>
      </c>
      <c r="G2274" s="16" t="str">
        <f>VLOOKUP(Table8[[#This Row],[Mã khách hàng]],code_khach_hang[],3,0)</f>
        <v>Miền Bắc đặc biệt 1</v>
      </c>
      <c r="H2274" t="str">
        <f>VLOOKUP(Table8[[#This Row],[Mã khách hàng]],'Khách hàng'!A:D,4,0)</f>
        <v>Food Đức Việt</v>
      </c>
      <c r="I2274" t="str">
        <f>VLOOKUP(Table8[[#This Row],[Mã khách hàng]],'Khách hàng'!A:E,5,0)</f>
        <v>HN0040</v>
      </c>
    </row>
    <row r="2275" spans="1:9">
      <c r="A2275" s="14" t="s">
        <v>1861</v>
      </c>
      <c r="B2275" s="15" t="s">
        <v>5</v>
      </c>
      <c r="C2275" s="10" t="s">
        <v>1862</v>
      </c>
      <c r="D2275" s="16" t="s">
        <v>7264</v>
      </c>
      <c r="E2275" s="15" t="s">
        <v>11217</v>
      </c>
      <c r="F2275" s="16" t="str">
        <f>VLOOKUP(Table8[[#This Row],[Mã khách hàng]],code_khach_hang[],2,0)</f>
        <v>CHI NHÁNH BẮC GIANG - CÔNG TY CỔ PHẦN DỊCH VỤ THƯƠNG MẠI TỔNG HỢP WINCOMMERCE</v>
      </c>
      <c r="G2275" s="16" t="str">
        <f>VLOOKUP(Table8[[#This Row],[Mã khách hàng]],code_khach_hang[],3,0)</f>
        <v>Miền Bắc đặc biệt 2</v>
      </c>
      <c r="H2275" t="str">
        <f>VLOOKUP(Table8[[#This Row],[Mã khách hàng]],'Khách hàng'!A:D,4,0)</f>
        <v>Food Đức Việt</v>
      </c>
      <c r="I2275" t="str">
        <f>VLOOKUP(Table8[[#This Row],[Mã khách hàng]],'Khách hàng'!A:E,5,0)</f>
        <v>HN0040</v>
      </c>
    </row>
    <row r="2276" spans="1:9">
      <c r="A2276" s="14" t="s">
        <v>1870</v>
      </c>
      <c r="B2276" s="15" t="s">
        <v>5</v>
      </c>
      <c r="C2276" s="10" t="s">
        <v>1871</v>
      </c>
      <c r="D2276" s="16" t="s">
        <v>7267</v>
      </c>
      <c r="E2276" s="15" t="s">
        <v>11215</v>
      </c>
      <c r="F2276" s="16" t="str">
        <f>VLOOKUP(Table8[[#This Row],[Mã khách hàng]],code_khach_hang[],2,0)</f>
        <v>CHI NHÁNH HÀ NỘI - CÔNG TY CỔ PHẦN DỊCH VỤ THƯƠNG MẠI TỔNG HỢP WINCOMMERCE</v>
      </c>
      <c r="G2276" s="16" t="str">
        <f>VLOOKUP(Table8[[#This Row],[Mã khách hàng]],code_khach_hang[],3,0)</f>
        <v>Miền Bắc đặc biệt 1</v>
      </c>
      <c r="H2276" t="str">
        <f>VLOOKUP(Table8[[#This Row],[Mã khách hàng]],'Khách hàng'!A:D,4,0)</f>
        <v>Food Đức Việt</v>
      </c>
      <c r="I2276" t="str">
        <f>VLOOKUP(Table8[[#This Row],[Mã khách hàng]],'Khách hàng'!A:E,5,0)</f>
        <v>HN0040</v>
      </c>
    </row>
    <row r="2277" spans="1:9">
      <c r="A2277" s="14" t="s">
        <v>1888</v>
      </c>
      <c r="B2277" s="15" t="s">
        <v>5</v>
      </c>
      <c r="C2277" s="10" t="s">
        <v>1889</v>
      </c>
      <c r="D2277" s="16" t="s">
        <v>7270</v>
      </c>
      <c r="E2277" s="15" t="s">
        <v>11200</v>
      </c>
      <c r="F2277" s="16" t="str">
        <f>VLOOKUP(Table8[[#This Row],[Mã khách hàng]],code_khach_hang[],2,0)</f>
        <v>CHI NHÁNH THÁI BÌNH - CÔNG TY CỔ PHẦN DỊCH VỤ THƯƠNG MẠI TỔNG HỢP WINCOMMERCE</v>
      </c>
      <c r="G2277" s="16" t="str">
        <f>VLOOKUP(Table8[[#This Row],[Mã khách hàng]],code_khach_hang[],3,0)</f>
        <v>Miền Bắc đặc biệt 3</v>
      </c>
      <c r="H2277" t="str">
        <f>VLOOKUP(Table8[[#This Row],[Mã khách hàng]],'Khách hàng'!A:D,4,0)</f>
        <v>Food Đức Việt</v>
      </c>
      <c r="I2277" t="str">
        <f>VLOOKUP(Table8[[#This Row],[Mã khách hàng]],'Khách hàng'!A:E,5,0)</f>
        <v>HN0040</v>
      </c>
    </row>
    <row r="2278" spans="1:9">
      <c r="A2278" s="14" t="s">
        <v>1885</v>
      </c>
      <c r="B2278" s="15" t="s">
        <v>5</v>
      </c>
      <c r="C2278" s="10" t="s">
        <v>1886</v>
      </c>
      <c r="D2278" s="16" t="s">
        <v>7273</v>
      </c>
      <c r="E2278" s="15" t="s">
        <v>11219</v>
      </c>
      <c r="F2278" s="16" t="str">
        <f>VLOOKUP(Table8[[#This Row],[Mã khách hàng]],code_khach_hang[],2,0)</f>
        <v>CHI NHÁNH NAM ĐỊNH - CÔNG TY CỔ PHẦN DỊCH VỤ THƯƠNG MẠI TỔNG HỢP WINCOMMERCE</v>
      </c>
      <c r="G2278" s="16" t="str">
        <f>VLOOKUP(Table8[[#This Row],[Mã khách hàng]],code_khach_hang[],3,0)</f>
        <v>Miền Bắc đặc biệt 3</v>
      </c>
      <c r="H2278" t="str">
        <f>VLOOKUP(Table8[[#This Row],[Mã khách hàng]],'Khách hàng'!A:D,4,0)</f>
        <v>Food Đức Việt</v>
      </c>
      <c r="I2278" t="str">
        <f>VLOOKUP(Table8[[#This Row],[Mã khách hàng]],'Khách hàng'!A:E,5,0)</f>
        <v>HN0040</v>
      </c>
    </row>
    <row r="2279" spans="1:9">
      <c r="A2279" s="14" t="s">
        <v>1891</v>
      </c>
      <c r="B2279" s="15" t="s">
        <v>5</v>
      </c>
      <c r="C2279" s="10" t="s">
        <v>1892</v>
      </c>
      <c r="D2279" s="16" t="s">
        <v>7276</v>
      </c>
      <c r="E2279" s="15" t="s">
        <v>11217</v>
      </c>
      <c r="F2279" s="16" t="str">
        <f>VLOOKUP(Table8[[#This Row],[Mã khách hàng]],code_khach_hang[],2,0)</f>
        <v>CHI NHÁNH BẮC GIANG - CÔNG TY CỔ PHẦN DỊCH VỤ THƯƠNG MẠI TỔNG HỢP WINCOMMERCE</v>
      </c>
      <c r="G2279" s="16" t="str">
        <f>VLOOKUP(Table8[[#This Row],[Mã khách hàng]],code_khach_hang[],3,0)</f>
        <v>Miền Bắc đặc biệt 2</v>
      </c>
      <c r="H2279" t="str">
        <f>VLOOKUP(Table8[[#This Row],[Mã khách hàng]],'Khách hàng'!A:D,4,0)</f>
        <v>Food Đức Việt</v>
      </c>
      <c r="I2279" t="str">
        <f>VLOOKUP(Table8[[#This Row],[Mã khách hàng]],'Khách hàng'!A:E,5,0)</f>
        <v>HN0040</v>
      </c>
    </row>
    <row r="2280" spans="1:9">
      <c r="A2280" s="14" t="s">
        <v>1919</v>
      </c>
      <c r="B2280" s="15" t="s">
        <v>5</v>
      </c>
      <c r="C2280" s="10" t="s">
        <v>1920</v>
      </c>
      <c r="D2280" s="16" t="s">
        <v>7278</v>
      </c>
      <c r="E2280" s="15" t="s">
        <v>11203</v>
      </c>
      <c r="F2280" s="16" t="str">
        <f>VLOOKUP(Table8[[#This Row],[Mã khách hàng]],code_khach_hang[],2,0)</f>
        <v>CHI NHÁNH THANH HÓA - CÔNG TY CỔ PHẦN DỊCH VỤ THƯƠNG MẠI TỔNG HỢP WINCOMMERCE</v>
      </c>
      <c r="G2280" s="16" t="str">
        <f>VLOOKUP(Table8[[#This Row],[Mã khách hàng]],code_khach_hang[],3,0)</f>
        <v>Miền Trung đặc biệt 1</v>
      </c>
      <c r="H2280" t="str">
        <f>VLOOKUP(Table8[[#This Row],[Mã khách hàng]],'Khách hàng'!A:D,4,0)</f>
        <v>Food Đức Việt</v>
      </c>
      <c r="I2280" t="str">
        <f>VLOOKUP(Table8[[#This Row],[Mã khách hàng]],'Khách hàng'!A:E,5,0)</f>
        <v>HN0040</v>
      </c>
    </row>
    <row r="2281" spans="1:9">
      <c r="A2281" s="14" t="s">
        <v>1917</v>
      </c>
      <c r="B2281" s="15" t="s">
        <v>5</v>
      </c>
      <c r="C2281" s="10" t="e">
        <v>#N/A</v>
      </c>
      <c r="D2281" s="16" t="s">
        <v>7281</v>
      </c>
      <c r="E2281" s="15" t="s">
        <v>11203</v>
      </c>
      <c r="F2281" s="16" t="str">
        <f>VLOOKUP(Table8[[#This Row],[Mã khách hàng]],code_khach_hang[],2,0)</f>
        <v>CHI NHÁNH THANH HÓA - CÔNG TY CỔ PHẦN DỊCH VỤ THƯƠNG MẠI TỔNG HỢP WINCOMMERCE</v>
      </c>
      <c r="G2281" s="16" t="str">
        <f>VLOOKUP(Table8[[#This Row],[Mã khách hàng]],code_khach_hang[],3,0)</f>
        <v>Miền Trung đặc biệt 1</v>
      </c>
      <c r="H2281" t="str">
        <f>VLOOKUP(Table8[[#This Row],[Mã khách hàng]],'Khách hàng'!A:D,4,0)</f>
        <v>Food Đức Việt</v>
      </c>
      <c r="I2281" t="str">
        <f>VLOOKUP(Table8[[#This Row],[Mã khách hàng]],'Khách hàng'!A:E,5,0)</f>
        <v>HN0040</v>
      </c>
    </row>
    <row r="2282" spans="1:9">
      <c r="A2282" s="14" t="s">
        <v>1922</v>
      </c>
      <c r="B2282" s="15" t="s">
        <v>5</v>
      </c>
      <c r="C2282" s="10" t="e">
        <v>#N/A</v>
      </c>
      <c r="D2282" s="16" t="s">
        <v>7284</v>
      </c>
      <c r="E2282" s="15" t="s">
        <v>11203</v>
      </c>
      <c r="F2282" s="16" t="str">
        <f>VLOOKUP(Table8[[#This Row],[Mã khách hàng]],code_khach_hang[],2,0)</f>
        <v>CHI NHÁNH THANH HÓA - CÔNG TY CỔ PHẦN DỊCH VỤ THƯƠNG MẠI TỔNG HỢP WINCOMMERCE</v>
      </c>
      <c r="G2282" s="16" t="str">
        <f>VLOOKUP(Table8[[#This Row],[Mã khách hàng]],code_khach_hang[],3,0)</f>
        <v>Miền Trung đặc biệt 1</v>
      </c>
      <c r="H2282" t="str">
        <f>VLOOKUP(Table8[[#This Row],[Mã khách hàng]],'Khách hàng'!A:D,4,0)</f>
        <v>Food Đức Việt</v>
      </c>
      <c r="I2282" t="str">
        <f>VLOOKUP(Table8[[#This Row],[Mã khách hàng]],'Khách hàng'!A:E,5,0)</f>
        <v>HN0040</v>
      </c>
    </row>
    <row r="2283" spans="1:9">
      <c r="A2283" s="14" t="s">
        <v>1927</v>
      </c>
      <c r="B2283" s="15" t="s">
        <v>5</v>
      </c>
      <c r="C2283" s="10" t="s">
        <v>1928</v>
      </c>
      <c r="D2283" s="16" t="s">
        <v>7287</v>
      </c>
      <c r="E2283" s="15" t="s">
        <v>11200</v>
      </c>
      <c r="F2283" s="16" t="str">
        <f>VLOOKUP(Table8[[#This Row],[Mã khách hàng]],code_khach_hang[],2,0)</f>
        <v>CHI NHÁNH THÁI BÌNH - CÔNG TY CỔ PHẦN DỊCH VỤ THƯƠNG MẠI TỔNG HỢP WINCOMMERCE</v>
      </c>
      <c r="G2283" s="16" t="str">
        <f>VLOOKUP(Table8[[#This Row],[Mã khách hàng]],code_khach_hang[],3,0)</f>
        <v>Miền Bắc đặc biệt 3</v>
      </c>
      <c r="H2283" t="str">
        <f>VLOOKUP(Table8[[#This Row],[Mã khách hàng]],'Khách hàng'!A:D,4,0)</f>
        <v>Food Đức Việt</v>
      </c>
      <c r="I2283" t="str">
        <f>VLOOKUP(Table8[[#This Row],[Mã khách hàng]],'Khách hàng'!A:E,5,0)</f>
        <v>HN0040</v>
      </c>
    </row>
    <row r="2284" spans="1:9">
      <c r="A2284" s="14" t="s">
        <v>1924</v>
      </c>
      <c r="B2284" s="15" t="s">
        <v>5</v>
      </c>
      <c r="C2284" s="10" t="s">
        <v>1925</v>
      </c>
      <c r="D2284" s="16" t="s">
        <v>7290</v>
      </c>
      <c r="E2284" s="15" t="s">
        <v>11200</v>
      </c>
      <c r="F2284" s="16" t="str">
        <f>VLOOKUP(Table8[[#This Row],[Mã khách hàng]],code_khach_hang[],2,0)</f>
        <v>CHI NHÁNH THÁI BÌNH - CÔNG TY CỔ PHẦN DỊCH VỤ THƯƠNG MẠI TỔNG HỢP WINCOMMERCE</v>
      </c>
      <c r="G2284" s="16" t="str">
        <f>VLOOKUP(Table8[[#This Row],[Mã khách hàng]],code_khach_hang[],3,0)</f>
        <v>Miền Bắc đặc biệt 3</v>
      </c>
      <c r="H2284" t="str">
        <f>VLOOKUP(Table8[[#This Row],[Mã khách hàng]],'Khách hàng'!A:D,4,0)</f>
        <v>Food Đức Việt</v>
      </c>
      <c r="I2284" t="str">
        <f>VLOOKUP(Table8[[#This Row],[Mã khách hàng]],'Khách hàng'!A:E,5,0)</f>
        <v>HN0040</v>
      </c>
    </row>
    <row r="2285" spans="1:9">
      <c r="A2285" s="14" t="s">
        <v>1939</v>
      </c>
      <c r="B2285" s="15" t="s">
        <v>5</v>
      </c>
      <c r="C2285" s="10" t="s">
        <v>1940</v>
      </c>
      <c r="D2285" s="16" t="s">
        <v>7293</v>
      </c>
      <c r="E2285" s="15" t="s">
        <v>11200</v>
      </c>
      <c r="F2285" s="16" t="str">
        <f>VLOOKUP(Table8[[#This Row],[Mã khách hàng]],code_khach_hang[],2,0)</f>
        <v>CHI NHÁNH THÁI BÌNH - CÔNG TY CỔ PHẦN DỊCH VỤ THƯƠNG MẠI TỔNG HỢP WINCOMMERCE</v>
      </c>
      <c r="G2285" s="16" t="str">
        <f>VLOOKUP(Table8[[#This Row],[Mã khách hàng]],code_khach_hang[],3,0)</f>
        <v>Miền Bắc đặc biệt 3</v>
      </c>
      <c r="H2285" t="str">
        <f>VLOOKUP(Table8[[#This Row],[Mã khách hàng]],'Khách hàng'!A:D,4,0)</f>
        <v>Food Đức Việt</v>
      </c>
      <c r="I2285" t="str">
        <f>VLOOKUP(Table8[[#This Row],[Mã khách hàng]],'Khách hàng'!A:E,5,0)</f>
        <v>HN0040</v>
      </c>
    </row>
    <row r="2286" spans="1:9">
      <c r="A2286" s="14" t="s">
        <v>1960</v>
      </c>
      <c r="B2286" s="15" t="s">
        <v>5</v>
      </c>
      <c r="C2286" s="10" t="s">
        <v>1961</v>
      </c>
      <c r="D2286" s="16" t="s">
        <v>7296</v>
      </c>
      <c r="E2286" s="15" t="s">
        <v>11200</v>
      </c>
      <c r="F2286" s="16" t="str">
        <f>VLOOKUP(Table8[[#This Row],[Mã khách hàng]],code_khach_hang[],2,0)</f>
        <v>CHI NHÁNH THÁI BÌNH - CÔNG TY CỔ PHẦN DỊCH VỤ THƯƠNG MẠI TỔNG HỢP WINCOMMERCE</v>
      </c>
      <c r="G2286" s="16" t="str">
        <f>VLOOKUP(Table8[[#This Row],[Mã khách hàng]],code_khach_hang[],3,0)</f>
        <v>Miền Bắc đặc biệt 3</v>
      </c>
      <c r="H2286" t="str">
        <f>VLOOKUP(Table8[[#This Row],[Mã khách hàng]],'Khách hàng'!A:D,4,0)</f>
        <v>Food Đức Việt</v>
      </c>
      <c r="I2286" t="str">
        <f>VLOOKUP(Table8[[#This Row],[Mã khách hàng]],'Khách hàng'!A:E,5,0)</f>
        <v>HN0040</v>
      </c>
    </row>
    <row r="2287" spans="1:9">
      <c r="A2287" s="14" t="s">
        <v>1936</v>
      </c>
      <c r="B2287" s="15" t="s">
        <v>5</v>
      </c>
      <c r="C2287" s="10" t="s">
        <v>1937</v>
      </c>
      <c r="D2287" s="16" t="s">
        <v>7299</v>
      </c>
      <c r="E2287" s="15" t="s">
        <v>11194</v>
      </c>
      <c r="F2287" s="16" t="str">
        <f>VLOOKUP(Table8[[#This Row],[Mã khách hàng]],code_khach_hang[],2,0)</f>
        <v>CHI NHÁNH VĨNH PHÚC - CÔNG TY CỔ PHẦN DỊCH VỤ THƯƠNG MẠI TỔNG HỢP WINCOMMERCE</v>
      </c>
      <c r="G2287" s="16" t="str">
        <f>VLOOKUP(Table8[[#This Row],[Mã khách hàng]],code_khach_hang[],3,0)</f>
        <v>Miền Bắc đặc biệt 2</v>
      </c>
      <c r="H2287" t="str">
        <f>VLOOKUP(Table8[[#This Row],[Mã khách hàng]],'Khách hàng'!A:D,4,0)</f>
        <v>Food Đức Việt</v>
      </c>
      <c r="I2287" t="str">
        <f>VLOOKUP(Table8[[#This Row],[Mã khách hàng]],'Khách hàng'!A:E,5,0)</f>
        <v>HN0040</v>
      </c>
    </row>
    <row r="2288" spans="1:9">
      <c r="A2288" s="14" t="s">
        <v>1954</v>
      </c>
      <c r="B2288" s="15" t="s">
        <v>5</v>
      </c>
      <c r="C2288" s="10" t="s">
        <v>1955</v>
      </c>
      <c r="D2288" s="16" t="s">
        <v>7302</v>
      </c>
      <c r="E2288" s="15" t="s">
        <v>11198</v>
      </c>
      <c r="F2288" s="16" t="str">
        <f>VLOOKUP(Table8[[#This Row],[Mã khách hàng]],code_khach_hang[],2,0)</f>
        <v>CHI NHÁNH HẢI PHÒNG - CÔNG TY CỔ PHẦN DỊCH VỤ THƯƠNG MẠI TỔNG HỢP WINCOMMERCE</v>
      </c>
      <c r="G2288" s="16" t="str">
        <f>VLOOKUP(Table8[[#This Row],[Mã khách hàng]],code_khach_hang[],3,0)</f>
        <v>Miền Bắc đặc biệt 3</v>
      </c>
      <c r="H2288" t="str">
        <f>VLOOKUP(Table8[[#This Row],[Mã khách hàng]],'Khách hàng'!A:D,4,0)</f>
        <v>Food Đức Việt</v>
      </c>
      <c r="I2288" t="str">
        <f>VLOOKUP(Table8[[#This Row],[Mã khách hàng]],'Khách hàng'!A:E,5,0)</f>
        <v>HN0040</v>
      </c>
    </row>
    <row r="2289" spans="1:9">
      <c r="A2289" s="14" t="s">
        <v>1969</v>
      </c>
      <c r="B2289" s="15" t="s">
        <v>5</v>
      </c>
      <c r="C2289" s="10" t="e">
        <v>#N/A</v>
      </c>
      <c r="D2289" s="16" t="s">
        <v>7305</v>
      </c>
      <c r="E2289" s="15" t="s">
        <v>11211</v>
      </c>
      <c r="F2289" s="16" t="str">
        <f>VLOOKUP(Table8[[#This Row],[Mã khách hàng]],code_khach_hang[],2,0)</f>
        <v>CHI NHÁNH NGHỆ AN - CÔNG TY CỔ PHẦN DỊCH VỤ THƯƠNG MẠI TỔNG HỢP WINCOMMERCE</v>
      </c>
      <c r="G2289" s="16" t="str">
        <f>VLOOKUP(Table8[[#This Row],[Mã khách hàng]],code_khach_hang[],3,0)</f>
        <v>Miền Trung đặc biệt 1</v>
      </c>
      <c r="H2289" t="str">
        <f>VLOOKUP(Table8[[#This Row],[Mã khách hàng]],'Khách hàng'!A:D,4,0)</f>
        <v>Food Đức Việt</v>
      </c>
      <c r="I2289" t="str">
        <f>VLOOKUP(Table8[[#This Row],[Mã khách hàng]],'Khách hàng'!A:E,5,0)</f>
        <v>HN0040</v>
      </c>
    </row>
    <row r="2290" spans="1:9">
      <c r="A2290" s="14" t="s">
        <v>4734</v>
      </c>
      <c r="B2290" s="15" t="s">
        <v>5</v>
      </c>
      <c r="C2290" s="10" t="s">
        <v>4735</v>
      </c>
      <c r="D2290" s="16" t="s">
        <v>7308</v>
      </c>
      <c r="E2290" s="15" t="s">
        <v>11198</v>
      </c>
      <c r="F2290" s="16" t="str">
        <f>VLOOKUP(Table8[[#This Row],[Mã khách hàng]],code_khach_hang[],2,0)</f>
        <v>CHI NHÁNH HẢI PHÒNG - CÔNG TY CỔ PHẦN DỊCH VỤ THƯƠNG MẠI TỔNG HỢP WINCOMMERCE</v>
      </c>
      <c r="G2290" s="16" t="str">
        <f>VLOOKUP(Table8[[#This Row],[Mã khách hàng]],code_khach_hang[],3,0)</f>
        <v>Miền Bắc đặc biệt 3</v>
      </c>
      <c r="H2290" t="str">
        <f>VLOOKUP(Table8[[#This Row],[Mã khách hàng]],'Khách hàng'!A:D,4,0)</f>
        <v>Food Đức Việt</v>
      </c>
      <c r="I2290" t="str">
        <f>VLOOKUP(Table8[[#This Row],[Mã khách hàng]],'Khách hàng'!A:E,5,0)</f>
        <v>HN0040</v>
      </c>
    </row>
    <row r="2291" spans="1:9">
      <c r="A2291" s="14" t="s">
        <v>4758</v>
      </c>
      <c r="B2291" s="15" t="s">
        <v>5</v>
      </c>
      <c r="C2291" s="10" t="s">
        <v>4759</v>
      </c>
      <c r="D2291" s="16" t="s">
        <v>7311</v>
      </c>
      <c r="E2291" s="15" t="s">
        <v>11198</v>
      </c>
      <c r="F2291" s="16" t="str">
        <f>VLOOKUP(Table8[[#This Row],[Mã khách hàng]],code_khach_hang[],2,0)</f>
        <v>CHI NHÁNH HẢI PHÒNG - CÔNG TY CỔ PHẦN DỊCH VỤ THƯƠNG MẠI TỔNG HỢP WINCOMMERCE</v>
      </c>
      <c r="G2291" s="16" t="str">
        <f>VLOOKUP(Table8[[#This Row],[Mã khách hàng]],code_khach_hang[],3,0)</f>
        <v>Miền Bắc đặc biệt 3</v>
      </c>
      <c r="H2291" t="str">
        <f>VLOOKUP(Table8[[#This Row],[Mã khách hàng]],'Khách hàng'!A:D,4,0)</f>
        <v>Food Đức Việt</v>
      </c>
      <c r="I2291" t="str">
        <f>VLOOKUP(Table8[[#This Row],[Mã khách hàng]],'Khách hàng'!A:E,5,0)</f>
        <v>HN0040</v>
      </c>
    </row>
    <row r="2292" spans="1:9">
      <c r="A2292" s="14" t="s">
        <v>1689</v>
      </c>
      <c r="B2292" s="15" t="s">
        <v>5</v>
      </c>
      <c r="C2292" s="10" t="e">
        <v>#N/A</v>
      </c>
      <c r="D2292" s="16" t="s">
        <v>7314</v>
      </c>
      <c r="E2292" s="15" t="s">
        <v>11220</v>
      </c>
      <c r="F2292" s="16" t="str">
        <f>VLOOKUP(Table8[[#This Row],[Mã khách hàng]],code_khach_hang[],2,0)</f>
        <v>CHI NHÁNH HÀ GIANG - CÔNG TY CỔ PHẦN DỊCH VỤ THƯƠNG MẠI TỔNG HỢP WINCOMMERCE</v>
      </c>
      <c r="G2292" s="16" t="str">
        <f>VLOOKUP(Table8[[#This Row],[Mã khách hàng]],code_khach_hang[],3,0)</f>
        <v>Miền Bắc đặc biệt 2</v>
      </c>
      <c r="H2292" t="str">
        <f>VLOOKUP(Table8[[#This Row],[Mã khách hàng]],'Khách hàng'!A:D,4,0)</f>
        <v>Food Đức Việt</v>
      </c>
      <c r="I2292" t="str">
        <f>VLOOKUP(Table8[[#This Row],[Mã khách hàng]],'Khách hàng'!A:E,5,0)</f>
        <v>HN0040</v>
      </c>
    </row>
    <row r="2293" spans="1:9">
      <c r="A2293" s="14" t="s">
        <v>1933</v>
      </c>
      <c r="B2293" s="15" t="s">
        <v>5</v>
      </c>
      <c r="C2293" s="10" t="s">
        <v>1934</v>
      </c>
      <c r="D2293" s="16" t="s">
        <v>7317</v>
      </c>
      <c r="E2293" s="15" t="s">
        <v>11197</v>
      </c>
      <c r="F2293" s="16" t="str">
        <f>VLOOKUP(Table8[[#This Row],[Mã khách hàng]],code_khach_hang[],2,0)</f>
        <v>CHI NHÁNH QUẢNG NINH - CÔNG TY CỔ PHẦN DỊCH VỤ THƯƠNG MẠI TỔNG HỢP WINCOMMERCE</v>
      </c>
      <c r="G2293" s="16" t="str">
        <f>VLOOKUP(Table8[[#This Row],[Mã khách hàng]],code_khach_hang[],3,0)</f>
        <v>Miền Bắc đặc biệt 3</v>
      </c>
      <c r="H2293" t="str">
        <f>VLOOKUP(Table8[[#This Row],[Mã khách hàng]],'Khách hàng'!A:D,4,0)</f>
        <v>Food Đức Việt</v>
      </c>
      <c r="I2293" t="str">
        <f>VLOOKUP(Table8[[#This Row],[Mã khách hàng]],'Khách hàng'!A:E,5,0)</f>
        <v>HN0040</v>
      </c>
    </row>
    <row r="2294" spans="1:9">
      <c r="A2294" s="14" t="s">
        <v>1829</v>
      </c>
      <c r="B2294" s="15" t="s">
        <v>5</v>
      </c>
      <c r="C2294" s="10" t="s">
        <v>1830</v>
      </c>
      <c r="D2294" s="16" t="s">
        <v>7320</v>
      </c>
      <c r="E2294" s="15" t="s">
        <v>11215</v>
      </c>
      <c r="F2294" s="16" t="str">
        <f>VLOOKUP(Table8[[#This Row],[Mã khách hàng]],code_khach_hang[],2,0)</f>
        <v>CHI NHÁNH HÀ NỘI - CÔNG TY CỔ PHẦN DỊCH VỤ THƯƠNG MẠI TỔNG HỢP WINCOMMERCE</v>
      </c>
      <c r="G2294" s="16" t="str">
        <f>VLOOKUP(Table8[[#This Row],[Mã khách hàng]],code_khach_hang[],3,0)</f>
        <v>Miền Bắc đặc biệt 1</v>
      </c>
      <c r="H2294" t="str">
        <f>VLOOKUP(Table8[[#This Row],[Mã khách hàng]],'Khách hàng'!A:D,4,0)</f>
        <v>Food Đức Việt</v>
      </c>
      <c r="I2294" t="str">
        <f>VLOOKUP(Table8[[#This Row],[Mã khách hàng]],'Khách hàng'!A:E,5,0)</f>
        <v>HN0040</v>
      </c>
    </row>
    <row r="2295" spans="1:9">
      <c r="A2295" s="14" t="s">
        <v>1835</v>
      </c>
      <c r="B2295" s="15" t="s">
        <v>5</v>
      </c>
      <c r="C2295" s="10" t="s">
        <v>1836</v>
      </c>
      <c r="D2295" s="16" t="s">
        <v>7323</v>
      </c>
      <c r="E2295" s="15" t="s">
        <v>11215</v>
      </c>
      <c r="F2295" s="16" t="str">
        <f>VLOOKUP(Table8[[#This Row],[Mã khách hàng]],code_khach_hang[],2,0)</f>
        <v>CHI NHÁNH HÀ NỘI - CÔNG TY CỔ PHẦN DỊCH VỤ THƯƠNG MẠI TỔNG HỢP WINCOMMERCE</v>
      </c>
      <c r="G2295" s="16" t="str">
        <f>VLOOKUP(Table8[[#This Row],[Mã khách hàng]],code_khach_hang[],3,0)</f>
        <v>Miền Bắc đặc biệt 1</v>
      </c>
      <c r="H2295" t="str">
        <f>VLOOKUP(Table8[[#This Row],[Mã khách hàng]],'Khách hàng'!A:D,4,0)</f>
        <v>Food Đức Việt</v>
      </c>
      <c r="I2295" t="str">
        <f>VLOOKUP(Table8[[#This Row],[Mã khách hàng]],'Khách hàng'!A:E,5,0)</f>
        <v>HN0040</v>
      </c>
    </row>
    <row r="2296" spans="1:9">
      <c r="A2296" s="14" t="s">
        <v>1760</v>
      </c>
      <c r="B2296" s="15" t="s">
        <v>5</v>
      </c>
      <c r="C2296" s="10" t="s">
        <v>1761</v>
      </c>
      <c r="D2296" s="16" t="s">
        <v>7326</v>
      </c>
      <c r="E2296" s="15" t="s">
        <v>11196</v>
      </c>
      <c r="F2296" s="16" t="str">
        <f>VLOOKUP(Table8[[#This Row],[Mã khách hàng]],code_khach_hang[],2,0)</f>
        <v>CHI NHÁNH NINH BÌNH - CÔNG TY CỔ PHẦN DỊCH VỤ THƯƠNG MẠI TỔNG HỢP WINCOMMERCE</v>
      </c>
      <c r="G2296" s="16" t="str">
        <f>VLOOKUP(Table8[[#This Row],[Mã khách hàng]],code_khach_hang[],3,0)</f>
        <v>Miền Bắc đặc biệt 3</v>
      </c>
      <c r="H2296" t="str">
        <f>VLOOKUP(Table8[[#This Row],[Mã khách hàng]],'Khách hàng'!A:D,4,0)</f>
        <v>Food Đức Việt</v>
      </c>
      <c r="I2296" t="str">
        <f>VLOOKUP(Table8[[#This Row],[Mã khách hàng]],'Khách hàng'!A:E,5,0)</f>
        <v>HN0040</v>
      </c>
    </row>
    <row r="2297" spans="1:9">
      <c r="A2297" s="14" t="s">
        <v>1591</v>
      </c>
      <c r="B2297" s="15" t="s">
        <v>5</v>
      </c>
      <c r="C2297" s="10" t="s">
        <v>1592</v>
      </c>
      <c r="D2297" s="16" t="s">
        <v>7329</v>
      </c>
      <c r="E2297" s="15" t="s">
        <v>11193</v>
      </c>
      <c r="F2297" s="16" t="str">
        <f>VLOOKUP(Table8[[#This Row],[Mã khách hàng]],code_khach_hang[],2,0)</f>
        <v>CHI NHÁNH BẮC NINH - CÔNG TY CỔ PHẦN DỊCH VỤ THƯƠNG MẠI TỔNG HỢP WINCOMMERCE</v>
      </c>
      <c r="G2297" s="16" t="str">
        <f>VLOOKUP(Table8[[#This Row],[Mã khách hàng]],code_khach_hang[],3,0)</f>
        <v>Miền Bắc đặc biệt 2</v>
      </c>
      <c r="H2297" t="str">
        <f>VLOOKUP(Table8[[#This Row],[Mã khách hàng]],'Khách hàng'!A:D,4,0)</f>
        <v>Food Đức Việt</v>
      </c>
      <c r="I2297" t="str">
        <f>VLOOKUP(Table8[[#This Row],[Mã khách hàng]],'Khách hàng'!A:E,5,0)</f>
        <v>HN0040</v>
      </c>
    </row>
    <row r="2298" spans="1:9">
      <c r="A2298" s="14" t="s">
        <v>4647</v>
      </c>
      <c r="B2298" s="15" t="s">
        <v>5</v>
      </c>
      <c r="C2298" s="10" t="s">
        <v>4648</v>
      </c>
      <c r="D2298" s="16" t="s">
        <v>7332</v>
      </c>
      <c r="E2298" s="15" t="s">
        <v>11198</v>
      </c>
      <c r="F2298" s="16" t="str">
        <f>VLOOKUP(Table8[[#This Row],[Mã khách hàng]],code_khach_hang[],2,0)</f>
        <v>CHI NHÁNH HẢI PHÒNG - CÔNG TY CỔ PHẦN DỊCH VỤ THƯƠNG MẠI TỔNG HỢP WINCOMMERCE</v>
      </c>
      <c r="G2298" s="16" t="str">
        <f>VLOOKUP(Table8[[#This Row],[Mã khách hàng]],code_khach_hang[],3,0)</f>
        <v>Miền Bắc đặc biệt 3</v>
      </c>
      <c r="H2298" t="str">
        <f>VLOOKUP(Table8[[#This Row],[Mã khách hàng]],'Khách hàng'!A:D,4,0)</f>
        <v>Food Đức Việt</v>
      </c>
      <c r="I2298" t="str">
        <f>VLOOKUP(Table8[[#This Row],[Mã khách hàng]],'Khách hàng'!A:E,5,0)</f>
        <v>HN0040</v>
      </c>
    </row>
    <row r="2299" spans="1:9">
      <c r="A2299" s="14" t="s">
        <v>4815</v>
      </c>
      <c r="B2299" s="15" t="s">
        <v>5</v>
      </c>
      <c r="C2299" s="10" t="s">
        <v>4816</v>
      </c>
      <c r="D2299" s="16" t="s">
        <v>7335</v>
      </c>
      <c r="E2299" s="15" t="s">
        <v>11198</v>
      </c>
      <c r="F2299" s="16" t="str">
        <f>VLOOKUP(Table8[[#This Row],[Mã khách hàng]],code_khach_hang[],2,0)</f>
        <v>CHI NHÁNH HẢI PHÒNG - CÔNG TY CỔ PHẦN DỊCH VỤ THƯƠNG MẠI TỔNG HỢP WINCOMMERCE</v>
      </c>
      <c r="G2299" s="16" t="str">
        <f>VLOOKUP(Table8[[#This Row],[Mã khách hàng]],code_khach_hang[],3,0)</f>
        <v>Miền Bắc đặc biệt 3</v>
      </c>
      <c r="H2299" t="str">
        <f>VLOOKUP(Table8[[#This Row],[Mã khách hàng]],'Khách hàng'!A:D,4,0)</f>
        <v>Food Đức Việt</v>
      </c>
      <c r="I2299" t="str">
        <f>VLOOKUP(Table8[[#This Row],[Mã khách hàng]],'Khách hàng'!A:E,5,0)</f>
        <v>HN0040</v>
      </c>
    </row>
    <row r="2300" spans="1:9">
      <c r="A2300" s="14" t="s">
        <v>5091</v>
      </c>
      <c r="B2300" s="15" t="s">
        <v>5</v>
      </c>
      <c r="C2300" s="10" t="s">
        <v>5092</v>
      </c>
      <c r="D2300" s="16" t="s">
        <v>7338</v>
      </c>
      <c r="E2300" s="15" t="s">
        <v>11198</v>
      </c>
      <c r="F2300" s="16" t="str">
        <f>VLOOKUP(Table8[[#This Row],[Mã khách hàng]],code_khach_hang[],2,0)</f>
        <v>CHI NHÁNH HẢI PHÒNG - CÔNG TY CỔ PHẦN DỊCH VỤ THƯƠNG MẠI TỔNG HỢP WINCOMMERCE</v>
      </c>
      <c r="G2300" s="16" t="str">
        <f>VLOOKUP(Table8[[#This Row],[Mã khách hàng]],code_khach_hang[],3,0)</f>
        <v>Miền Bắc đặc biệt 3</v>
      </c>
      <c r="H2300" t="str">
        <f>VLOOKUP(Table8[[#This Row],[Mã khách hàng]],'Khách hàng'!A:D,4,0)</f>
        <v>Food Đức Việt</v>
      </c>
      <c r="I2300" t="str">
        <f>VLOOKUP(Table8[[#This Row],[Mã khách hàng]],'Khách hàng'!A:E,5,0)</f>
        <v>HN0040</v>
      </c>
    </row>
    <row r="2301" spans="1:9">
      <c r="A2301" s="14" t="s">
        <v>9322</v>
      </c>
      <c r="B2301" s="15" t="s">
        <v>5</v>
      </c>
      <c r="C2301" s="10" t="s">
        <v>9323</v>
      </c>
      <c r="D2301" s="16" t="s">
        <v>7341</v>
      </c>
      <c r="E2301" s="15" t="s">
        <v>11198</v>
      </c>
      <c r="F2301" s="16" t="str">
        <f>VLOOKUP(Table8[[#This Row],[Mã khách hàng]],code_khach_hang[],2,0)</f>
        <v>CHI NHÁNH HẢI PHÒNG - CÔNG TY CỔ PHẦN DỊCH VỤ THƯƠNG MẠI TỔNG HỢP WINCOMMERCE</v>
      </c>
      <c r="G2301" s="16" t="str">
        <f>VLOOKUP(Table8[[#This Row],[Mã khách hàng]],code_khach_hang[],3,0)</f>
        <v>Miền Bắc đặc biệt 3</v>
      </c>
      <c r="H2301" t="str">
        <f>VLOOKUP(Table8[[#This Row],[Mã khách hàng]],'Khách hàng'!A:D,4,0)</f>
        <v>Food Đức Việt</v>
      </c>
      <c r="I2301" t="str">
        <f>VLOOKUP(Table8[[#This Row],[Mã khách hàng]],'Khách hàng'!A:E,5,0)</f>
        <v>HN0040</v>
      </c>
    </row>
    <row r="2302" spans="1:9">
      <c r="A2302" s="14" t="s">
        <v>1951</v>
      </c>
      <c r="B2302" s="15" t="s">
        <v>5</v>
      </c>
      <c r="C2302" s="10" t="s">
        <v>1952</v>
      </c>
      <c r="D2302" s="16" t="s">
        <v>7344</v>
      </c>
      <c r="E2302" s="15" t="s">
        <v>11203</v>
      </c>
      <c r="F2302" s="16" t="str">
        <f>VLOOKUP(Table8[[#This Row],[Mã khách hàng]],code_khach_hang[],2,0)</f>
        <v>CHI NHÁNH THANH HÓA - CÔNG TY CỔ PHẦN DỊCH VỤ THƯƠNG MẠI TỔNG HỢP WINCOMMERCE</v>
      </c>
      <c r="G2302" s="16" t="str">
        <f>VLOOKUP(Table8[[#This Row],[Mã khách hàng]],code_khach_hang[],3,0)</f>
        <v>Miền Trung đặc biệt 1</v>
      </c>
      <c r="H2302" t="str">
        <f>VLOOKUP(Table8[[#This Row],[Mã khách hàng]],'Khách hàng'!A:D,4,0)</f>
        <v>Food Đức Việt</v>
      </c>
      <c r="I2302" t="str">
        <f>VLOOKUP(Table8[[#This Row],[Mã khách hàng]],'Khách hàng'!A:E,5,0)</f>
        <v>HN0040</v>
      </c>
    </row>
    <row r="2303" spans="1:9">
      <c r="A2303" s="14" t="s">
        <v>1957</v>
      </c>
      <c r="B2303" s="15" t="s">
        <v>5</v>
      </c>
      <c r="C2303" s="10" t="s">
        <v>1958</v>
      </c>
      <c r="D2303" s="16" t="s">
        <v>7347</v>
      </c>
      <c r="E2303" s="15" t="s">
        <v>11216</v>
      </c>
      <c r="F2303" s="16" t="str">
        <f>VLOOKUP(Table8[[#This Row],[Mã khách hàng]],code_khach_hang[],2,0)</f>
        <v>CHI NHÁNH HƯNG YÊN - CÔNG TY CỔ PHẦN DỊCH VỤ THƯƠNG MẠI TỔNG HỢP WINCOMMERCE</v>
      </c>
      <c r="G2303" s="16" t="str">
        <f>VLOOKUP(Table8[[#This Row],[Mã khách hàng]],code_khach_hang[],3,0)</f>
        <v>Miền Bắc đặc biệt 1</v>
      </c>
      <c r="H2303" t="str">
        <f>VLOOKUP(Table8[[#This Row],[Mã khách hàng]],'Khách hàng'!A:D,4,0)</f>
        <v>Food Đức Việt</v>
      </c>
      <c r="I2303" t="str">
        <f>VLOOKUP(Table8[[#This Row],[Mã khách hàng]],'Khách hàng'!A:E,5,0)</f>
        <v>HN0040</v>
      </c>
    </row>
    <row r="2304" spans="1:9">
      <c r="A2304" s="14" t="s">
        <v>1942</v>
      </c>
      <c r="B2304" s="15" t="s">
        <v>5</v>
      </c>
      <c r="C2304" s="10" t="s">
        <v>1943</v>
      </c>
      <c r="D2304" s="16" t="s">
        <v>7350</v>
      </c>
      <c r="E2304" s="15" t="s">
        <v>11199</v>
      </c>
      <c r="F2304" s="16" t="str">
        <f>VLOOKUP(Table8[[#This Row],[Mã khách hàng]],code_khach_hang[],2,0)</f>
        <v>CHI NHÁNH PHÚ THỌ - CÔNG TY CỔ PHẦN DỊCH VỤ THƯƠNG MẠI TỔNG HỢP WINCOMMERCE</v>
      </c>
      <c r="G2304" s="16" t="str">
        <f>VLOOKUP(Table8[[#This Row],[Mã khách hàng]],code_khach_hang[],3,0)</f>
        <v>Miền Bắc đặc biệt 1</v>
      </c>
      <c r="H2304" t="str">
        <f>VLOOKUP(Table8[[#This Row],[Mã khách hàng]],'Khách hàng'!A:D,4,0)</f>
        <v>Food Đức Việt</v>
      </c>
      <c r="I2304" t="str">
        <f>VLOOKUP(Table8[[#This Row],[Mã khách hàng]],'Khách hàng'!A:E,5,0)</f>
        <v>HN0040</v>
      </c>
    </row>
    <row r="2305" spans="1:9">
      <c r="A2305" s="14" t="s">
        <v>1826</v>
      </c>
      <c r="B2305" s="15" t="s">
        <v>5</v>
      </c>
      <c r="C2305" s="10" t="s">
        <v>1827</v>
      </c>
      <c r="D2305" s="16" t="s">
        <v>7353</v>
      </c>
      <c r="E2305" s="15" t="s">
        <v>11193</v>
      </c>
      <c r="F2305" s="16" t="str">
        <f>VLOOKUP(Table8[[#This Row],[Mã khách hàng]],code_khach_hang[],2,0)</f>
        <v>CHI NHÁNH BẮC NINH - CÔNG TY CỔ PHẦN DỊCH VỤ THƯƠNG MẠI TỔNG HỢP WINCOMMERCE</v>
      </c>
      <c r="G2305" s="16" t="str">
        <f>VLOOKUP(Table8[[#This Row],[Mã khách hàng]],code_khach_hang[],3,0)</f>
        <v>Miền Bắc đặc biệt 2</v>
      </c>
      <c r="H2305" t="str">
        <f>VLOOKUP(Table8[[#This Row],[Mã khách hàng]],'Khách hàng'!A:D,4,0)</f>
        <v>Food Đức Việt</v>
      </c>
      <c r="I2305" t="str">
        <f>VLOOKUP(Table8[[#This Row],[Mã khách hàng]],'Khách hàng'!A:E,5,0)</f>
        <v>HN0040</v>
      </c>
    </row>
    <row r="2306" spans="1:9">
      <c r="A2306" s="14" t="s">
        <v>1974</v>
      </c>
      <c r="B2306" s="15" t="s">
        <v>5</v>
      </c>
      <c r="C2306" s="10" t="s">
        <v>1975</v>
      </c>
      <c r="D2306" s="16" t="s">
        <v>7356</v>
      </c>
      <c r="E2306" s="15" t="s">
        <v>11217</v>
      </c>
      <c r="F2306" s="16" t="str">
        <f>VLOOKUP(Table8[[#This Row],[Mã khách hàng]],code_khach_hang[],2,0)</f>
        <v>CHI NHÁNH BẮC GIANG - CÔNG TY CỔ PHẦN DỊCH VỤ THƯƠNG MẠI TỔNG HỢP WINCOMMERCE</v>
      </c>
      <c r="G2306" s="16" t="str">
        <f>VLOOKUP(Table8[[#This Row],[Mã khách hàng]],code_khach_hang[],3,0)</f>
        <v>Miền Bắc đặc biệt 2</v>
      </c>
      <c r="H2306" t="str">
        <f>VLOOKUP(Table8[[#This Row],[Mã khách hàng]],'Khách hàng'!A:D,4,0)</f>
        <v>Food Đức Việt</v>
      </c>
      <c r="I2306" t="str">
        <f>VLOOKUP(Table8[[#This Row],[Mã khách hàng]],'Khách hàng'!A:E,5,0)</f>
        <v>HN0040</v>
      </c>
    </row>
    <row r="2307" spans="1:9">
      <c r="A2307" s="14" t="s">
        <v>1966</v>
      </c>
      <c r="B2307" s="15" t="s">
        <v>5</v>
      </c>
      <c r="C2307" s="10" t="s">
        <v>1967</v>
      </c>
      <c r="D2307" s="16" t="s">
        <v>7359</v>
      </c>
      <c r="E2307" s="15" t="s">
        <v>11215</v>
      </c>
      <c r="F2307" s="16" t="str">
        <f>VLOOKUP(Table8[[#This Row],[Mã khách hàng]],code_khach_hang[],2,0)</f>
        <v>CHI NHÁNH HÀ NỘI - CÔNG TY CỔ PHẦN DỊCH VỤ THƯƠNG MẠI TỔNG HỢP WINCOMMERCE</v>
      </c>
      <c r="G2307" s="16" t="str">
        <f>VLOOKUP(Table8[[#This Row],[Mã khách hàng]],code_khach_hang[],3,0)</f>
        <v>Miền Bắc đặc biệt 1</v>
      </c>
      <c r="H2307" t="str">
        <f>VLOOKUP(Table8[[#This Row],[Mã khách hàng]],'Khách hàng'!A:D,4,0)</f>
        <v>Food Đức Việt</v>
      </c>
      <c r="I2307" t="str">
        <f>VLOOKUP(Table8[[#This Row],[Mã khách hàng]],'Khách hàng'!A:E,5,0)</f>
        <v>HN0040</v>
      </c>
    </row>
    <row r="2308" spans="1:9">
      <c r="A2308" s="14" t="s">
        <v>1977</v>
      </c>
      <c r="B2308" s="15" t="s">
        <v>5</v>
      </c>
      <c r="C2308" s="10" t="s">
        <v>1978</v>
      </c>
      <c r="D2308" s="16" t="s">
        <v>7362</v>
      </c>
      <c r="E2308" s="15" t="s">
        <v>11215</v>
      </c>
      <c r="F2308" s="16" t="str">
        <f>VLOOKUP(Table8[[#This Row],[Mã khách hàng]],code_khach_hang[],2,0)</f>
        <v>CHI NHÁNH HÀ NỘI - CÔNG TY CỔ PHẦN DỊCH VỤ THƯƠNG MẠI TỔNG HỢP WINCOMMERCE</v>
      </c>
      <c r="G2308" s="16" t="str">
        <f>VLOOKUP(Table8[[#This Row],[Mã khách hàng]],code_khach_hang[],3,0)</f>
        <v>Miền Bắc đặc biệt 1</v>
      </c>
      <c r="H2308" t="str">
        <f>VLOOKUP(Table8[[#This Row],[Mã khách hàng]],'Khách hàng'!A:D,4,0)</f>
        <v>Food Đức Việt</v>
      </c>
      <c r="I2308" t="str">
        <f>VLOOKUP(Table8[[#This Row],[Mã khách hàng]],'Khách hàng'!A:E,5,0)</f>
        <v>HN0040</v>
      </c>
    </row>
    <row r="2309" spans="1:9">
      <c r="A2309" s="14" t="s">
        <v>1945</v>
      </c>
      <c r="B2309" s="15" t="s">
        <v>5</v>
      </c>
      <c r="C2309" s="10" t="s">
        <v>1946</v>
      </c>
      <c r="D2309" s="16" t="s">
        <v>7365</v>
      </c>
      <c r="E2309" s="15" t="s">
        <v>11202</v>
      </c>
      <c r="F2309" s="16" t="str">
        <f>VLOOKUP(Table8[[#This Row],[Mã khách hàng]],code_khach_hang[],2,0)</f>
        <v>CHI NHÁNH YÊN BÁI - CÔNG TY CỔ PHẦN DỊCH VỤ THƯƠNG MẠI TỔNG HỢP WINCOMMERCE</v>
      </c>
      <c r="G2309" s="16" t="str">
        <f>VLOOKUP(Table8[[#This Row],[Mã khách hàng]],code_khach_hang[],3,0)</f>
        <v>Miền Bắc đặc biệt 1</v>
      </c>
      <c r="H2309" t="str">
        <f>VLOOKUP(Table8[[#This Row],[Mã khách hàng]],'Khách hàng'!A:D,4,0)</f>
        <v>Food Đức Việt</v>
      </c>
      <c r="I2309" t="str">
        <f>VLOOKUP(Table8[[#This Row],[Mã khách hàng]],'Khách hàng'!A:E,5,0)</f>
        <v>HN0040</v>
      </c>
    </row>
    <row r="2310" spans="1:9">
      <c r="A2310" s="14" t="s">
        <v>1873</v>
      </c>
      <c r="B2310" s="15" t="s">
        <v>5</v>
      </c>
      <c r="C2310" s="10" t="s">
        <v>1874</v>
      </c>
      <c r="D2310" s="16" t="s">
        <v>7368</v>
      </c>
      <c r="E2310" s="15" t="s">
        <v>11215</v>
      </c>
      <c r="F2310" s="16" t="str">
        <f>VLOOKUP(Table8[[#This Row],[Mã khách hàng]],code_khach_hang[],2,0)</f>
        <v>CHI NHÁNH HÀ NỘI - CÔNG TY CỔ PHẦN DỊCH VỤ THƯƠNG MẠI TỔNG HỢP WINCOMMERCE</v>
      </c>
      <c r="G2310" s="16" t="str">
        <f>VLOOKUP(Table8[[#This Row],[Mã khách hàng]],code_khach_hang[],3,0)</f>
        <v>Miền Bắc đặc biệt 1</v>
      </c>
      <c r="H2310" t="str">
        <f>VLOOKUP(Table8[[#This Row],[Mã khách hàng]],'Khách hàng'!A:D,4,0)</f>
        <v>Food Đức Việt</v>
      </c>
      <c r="I2310" t="str">
        <f>VLOOKUP(Table8[[#This Row],[Mã khách hàng]],'Khách hàng'!A:E,5,0)</f>
        <v>HN0040</v>
      </c>
    </row>
    <row r="2311" spans="1:9">
      <c r="A2311" s="14" t="s">
        <v>1844</v>
      </c>
      <c r="B2311" s="15" t="s">
        <v>5</v>
      </c>
      <c r="C2311" s="10" t="s">
        <v>1845</v>
      </c>
      <c r="D2311" s="16" t="s">
        <v>7371</v>
      </c>
      <c r="E2311" s="15" t="s">
        <v>11215</v>
      </c>
      <c r="F2311" s="16" t="str">
        <f>VLOOKUP(Table8[[#This Row],[Mã khách hàng]],code_khach_hang[],2,0)</f>
        <v>CHI NHÁNH HÀ NỘI - CÔNG TY CỔ PHẦN DỊCH VỤ THƯƠNG MẠI TỔNG HỢP WINCOMMERCE</v>
      </c>
      <c r="G2311" s="16" t="str">
        <f>VLOOKUP(Table8[[#This Row],[Mã khách hàng]],code_khach_hang[],3,0)</f>
        <v>Miền Bắc đặc biệt 1</v>
      </c>
      <c r="H2311" t="str">
        <f>VLOOKUP(Table8[[#This Row],[Mã khách hàng]],'Khách hàng'!A:D,4,0)</f>
        <v>Food Đức Việt</v>
      </c>
      <c r="I2311" t="str">
        <f>VLOOKUP(Table8[[#This Row],[Mã khách hàng]],'Khách hàng'!A:E,5,0)</f>
        <v>HN0040</v>
      </c>
    </row>
    <row r="2312" spans="1:9">
      <c r="A2312" s="14" t="s">
        <v>2646</v>
      </c>
      <c r="B2312" s="15" t="s">
        <v>5</v>
      </c>
      <c r="C2312" s="10" t="s">
        <v>2647</v>
      </c>
      <c r="D2312" s="16" t="s">
        <v>7374</v>
      </c>
      <c r="E2312" s="15" t="s">
        <v>11215</v>
      </c>
      <c r="F2312" s="16" t="str">
        <f>VLOOKUP(Table8[[#This Row],[Mã khách hàng]],code_khach_hang[],2,0)</f>
        <v>CHI NHÁNH HÀ NỘI - CÔNG TY CỔ PHẦN DỊCH VỤ THƯƠNG MẠI TỔNG HỢP WINCOMMERCE</v>
      </c>
      <c r="G2312" s="16" t="str">
        <f>VLOOKUP(Table8[[#This Row],[Mã khách hàng]],code_khach_hang[],3,0)</f>
        <v>Miền Bắc đặc biệt 1</v>
      </c>
      <c r="H2312" t="str">
        <f>VLOOKUP(Table8[[#This Row],[Mã khách hàng]],'Khách hàng'!A:D,4,0)</f>
        <v>Food Đức Việt</v>
      </c>
      <c r="I2312" t="str">
        <f>VLOOKUP(Table8[[#This Row],[Mã khách hàng]],'Khách hàng'!A:E,5,0)</f>
        <v>HN0040</v>
      </c>
    </row>
    <row r="2313" spans="1:9">
      <c r="A2313" s="14" t="s">
        <v>1963</v>
      </c>
      <c r="B2313" s="15" t="s">
        <v>5</v>
      </c>
      <c r="C2313" s="10" t="s">
        <v>1964</v>
      </c>
      <c r="D2313" s="16" t="s">
        <v>7377</v>
      </c>
      <c r="E2313" s="15" t="s">
        <v>11220</v>
      </c>
      <c r="F2313" s="16" t="str">
        <f>VLOOKUP(Table8[[#This Row],[Mã khách hàng]],code_khach_hang[],2,0)</f>
        <v>CHI NHÁNH HÀ GIANG - CÔNG TY CỔ PHẦN DỊCH VỤ THƯƠNG MẠI TỔNG HỢP WINCOMMERCE</v>
      </c>
      <c r="G2313" s="16" t="str">
        <f>VLOOKUP(Table8[[#This Row],[Mã khách hàng]],code_khach_hang[],3,0)</f>
        <v>Miền Bắc đặc biệt 2</v>
      </c>
      <c r="H2313" t="str">
        <f>VLOOKUP(Table8[[#This Row],[Mã khách hàng]],'Khách hàng'!A:D,4,0)</f>
        <v>Food Đức Việt</v>
      </c>
      <c r="I2313" t="str">
        <f>VLOOKUP(Table8[[#This Row],[Mã khách hàng]],'Khách hàng'!A:E,5,0)</f>
        <v>HN0040</v>
      </c>
    </row>
    <row r="2314" spans="1:9">
      <c r="A2314" s="14" t="s">
        <v>2539</v>
      </c>
      <c r="B2314" s="15" t="s">
        <v>5</v>
      </c>
      <c r="C2314" s="10" t="s">
        <v>2540</v>
      </c>
      <c r="D2314" s="16" t="s">
        <v>7380</v>
      </c>
      <c r="E2314" s="15" t="s">
        <v>11211</v>
      </c>
      <c r="F2314" s="16" t="str">
        <f>VLOOKUP(Table8[[#This Row],[Mã khách hàng]],code_khach_hang[],2,0)</f>
        <v>CHI NHÁNH NGHỆ AN - CÔNG TY CỔ PHẦN DỊCH VỤ THƯƠNG MẠI TỔNG HỢP WINCOMMERCE</v>
      </c>
      <c r="G2314" s="16" t="str">
        <f>VLOOKUP(Table8[[#This Row],[Mã khách hàng]],code_khach_hang[],3,0)</f>
        <v>Miền Trung đặc biệt 1</v>
      </c>
      <c r="H2314" t="str">
        <f>VLOOKUP(Table8[[#This Row],[Mã khách hàng]],'Khách hàng'!A:D,4,0)</f>
        <v>Food Đức Việt</v>
      </c>
      <c r="I2314" t="str">
        <f>VLOOKUP(Table8[[#This Row],[Mã khách hàng]],'Khách hàng'!A:E,5,0)</f>
        <v>HN0040</v>
      </c>
    </row>
    <row r="2315" spans="1:9">
      <c r="A2315" s="14" t="s">
        <v>1971</v>
      </c>
      <c r="B2315" s="15" t="s">
        <v>5</v>
      </c>
      <c r="C2315" s="10" t="s">
        <v>1972</v>
      </c>
      <c r="D2315" s="16" t="s">
        <v>7383</v>
      </c>
      <c r="E2315" s="15" t="s">
        <v>11214</v>
      </c>
      <c r="F2315" s="16" t="str">
        <f>VLOOKUP(Table8[[#This Row],[Mã khách hàng]],code_khach_hang[],2,0)</f>
        <v>CHI NHÁNH LAI CHÂU - CÔNG TY CỔ PHẦN DỊCH VỤ THƯƠNG MẠI TỔNG HỢP WINCOMMERCE</v>
      </c>
      <c r="G2315" s="16" t="str">
        <f>VLOOKUP(Table8[[#This Row],[Mã khách hàng]],code_khach_hang[],3,0)</f>
        <v>Miền Bắc đặc biệt 1</v>
      </c>
      <c r="H2315" t="str">
        <f>VLOOKUP(Table8[[#This Row],[Mã khách hàng]],'Khách hàng'!A:D,4,0)</f>
        <v>Food Đức Việt</v>
      </c>
      <c r="I2315" t="str">
        <f>VLOOKUP(Table8[[#This Row],[Mã khách hàng]],'Khách hàng'!A:E,5,0)</f>
        <v>HN0040</v>
      </c>
    </row>
    <row r="2316" spans="1:9">
      <c r="A2316" s="14" t="s">
        <v>1748</v>
      </c>
      <c r="B2316" s="15" t="s">
        <v>5</v>
      </c>
      <c r="C2316" s="10" t="s">
        <v>1749</v>
      </c>
      <c r="D2316" s="16" t="s">
        <v>7386</v>
      </c>
      <c r="E2316" s="15" t="s">
        <v>11203</v>
      </c>
      <c r="F2316" s="16" t="str">
        <f>VLOOKUP(Table8[[#This Row],[Mã khách hàng]],code_khach_hang[],2,0)</f>
        <v>CHI NHÁNH THANH HÓA - CÔNG TY CỔ PHẦN DỊCH VỤ THƯƠNG MẠI TỔNG HỢP WINCOMMERCE</v>
      </c>
      <c r="G2316" s="16" t="str">
        <f>VLOOKUP(Table8[[#This Row],[Mã khách hàng]],code_khach_hang[],3,0)</f>
        <v>Miền Trung đặc biệt 1</v>
      </c>
      <c r="H2316" t="str">
        <f>VLOOKUP(Table8[[#This Row],[Mã khách hàng]],'Khách hàng'!A:D,4,0)</f>
        <v>Food Đức Việt</v>
      </c>
      <c r="I2316" t="str">
        <f>VLOOKUP(Table8[[#This Row],[Mã khách hàng]],'Khách hàng'!A:E,5,0)</f>
        <v>HN0040</v>
      </c>
    </row>
    <row r="2317" spans="1:9">
      <c r="A2317" s="14" t="s">
        <v>1879</v>
      </c>
      <c r="B2317" s="15" t="s">
        <v>5</v>
      </c>
      <c r="C2317" s="10" t="s">
        <v>1880</v>
      </c>
      <c r="D2317" s="16" t="s">
        <v>7389</v>
      </c>
      <c r="E2317" s="15" t="s">
        <v>11200</v>
      </c>
      <c r="F2317" s="16" t="str">
        <f>VLOOKUP(Table8[[#This Row],[Mã khách hàng]],code_khach_hang[],2,0)</f>
        <v>CHI NHÁNH THÁI BÌNH - CÔNG TY CỔ PHẦN DỊCH VỤ THƯƠNG MẠI TỔNG HỢP WINCOMMERCE</v>
      </c>
      <c r="G2317" s="16" t="str">
        <f>VLOOKUP(Table8[[#This Row],[Mã khách hàng]],code_khach_hang[],3,0)</f>
        <v>Miền Bắc đặc biệt 3</v>
      </c>
      <c r="H2317" t="str">
        <f>VLOOKUP(Table8[[#This Row],[Mã khách hàng]],'Khách hàng'!A:D,4,0)</f>
        <v>Food Đức Việt</v>
      </c>
      <c r="I2317" t="str">
        <f>VLOOKUP(Table8[[#This Row],[Mã khách hàng]],'Khách hàng'!A:E,5,0)</f>
        <v>HN0040</v>
      </c>
    </row>
    <row r="2318" spans="1:9">
      <c r="A2318" s="14" t="s">
        <v>1993</v>
      </c>
      <c r="B2318" s="15" t="s">
        <v>5</v>
      </c>
      <c r="C2318" s="10" t="e">
        <v>#N/A</v>
      </c>
      <c r="D2318" s="16" t="s">
        <v>7392</v>
      </c>
      <c r="E2318" s="15" t="s">
        <v>11211</v>
      </c>
      <c r="F2318" s="16" t="str">
        <f>VLOOKUP(Table8[[#This Row],[Mã khách hàng]],code_khach_hang[],2,0)</f>
        <v>CHI NHÁNH NGHỆ AN - CÔNG TY CỔ PHẦN DỊCH VỤ THƯƠNG MẠI TỔNG HỢP WINCOMMERCE</v>
      </c>
      <c r="G2318" s="16" t="str">
        <f>VLOOKUP(Table8[[#This Row],[Mã khách hàng]],code_khach_hang[],3,0)</f>
        <v>Miền Trung đặc biệt 1</v>
      </c>
      <c r="H2318" t="str">
        <f>VLOOKUP(Table8[[#This Row],[Mã khách hàng]],'Khách hàng'!A:D,4,0)</f>
        <v>Food Đức Việt</v>
      </c>
      <c r="I2318" t="str">
        <f>VLOOKUP(Table8[[#This Row],[Mã khách hàng]],'Khách hàng'!A:E,5,0)</f>
        <v>HN0040</v>
      </c>
    </row>
    <row r="2319" spans="1:9">
      <c r="A2319" s="14" t="s">
        <v>9233</v>
      </c>
      <c r="B2319" s="15" t="s">
        <v>5</v>
      </c>
      <c r="C2319" s="10" t="s">
        <v>9234</v>
      </c>
      <c r="D2319" s="16" t="s">
        <v>7395</v>
      </c>
      <c r="E2319" s="15" t="s">
        <v>11199</v>
      </c>
      <c r="F2319" s="16" t="str">
        <f>VLOOKUP(Table8[[#This Row],[Mã khách hàng]],code_khach_hang[],2,0)</f>
        <v>CHI NHÁNH PHÚ THỌ - CÔNG TY CỔ PHẦN DỊCH VỤ THƯƠNG MẠI TỔNG HỢP WINCOMMERCE</v>
      </c>
      <c r="G2319" s="16" t="str">
        <f>VLOOKUP(Table8[[#This Row],[Mã khách hàng]],code_khach_hang[],3,0)</f>
        <v>Miền Bắc đặc biệt 1</v>
      </c>
      <c r="H2319" t="str">
        <f>VLOOKUP(Table8[[#This Row],[Mã khách hàng]],'Khách hàng'!A:D,4,0)</f>
        <v>Food Đức Việt</v>
      </c>
      <c r="I2319" t="str">
        <f>VLOOKUP(Table8[[#This Row],[Mã khách hàng]],'Khách hàng'!A:E,5,0)</f>
        <v>HN0040</v>
      </c>
    </row>
    <row r="2320" spans="1:9">
      <c r="A2320" s="14" t="s">
        <v>11139</v>
      </c>
      <c r="B2320" s="15" t="s">
        <v>5</v>
      </c>
      <c r="C2320" s="10" t="e">
        <v>#N/A</v>
      </c>
      <c r="D2320" s="16" t="s">
        <v>7398</v>
      </c>
      <c r="E2320" s="15" t="s">
        <v>11198</v>
      </c>
      <c r="F2320" s="16" t="str">
        <f>VLOOKUP(Table8[[#This Row],[Mã khách hàng]],code_khach_hang[],2,0)</f>
        <v>CHI NHÁNH HẢI PHÒNG - CÔNG TY CỔ PHẦN DỊCH VỤ THƯƠNG MẠI TỔNG HỢP WINCOMMERCE</v>
      </c>
      <c r="G2320" s="16" t="str">
        <f>VLOOKUP(Table8[[#This Row],[Mã khách hàng]],code_khach_hang[],3,0)</f>
        <v>Miền Bắc đặc biệt 3</v>
      </c>
      <c r="H2320" t="str">
        <f>VLOOKUP(Table8[[#This Row],[Mã khách hàng]],'Khách hàng'!A:D,4,0)</f>
        <v>Food Đức Việt</v>
      </c>
      <c r="I2320" t="str">
        <f>VLOOKUP(Table8[[#This Row],[Mã khách hàng]],'Khách hàng'!A:E,5,0)</f>
        <v>HN0040</v>
      </c>
    </row>
    <row r="2321" spans="1:9">
      <c r="A2321" s="14" t="s">
        <v>1727</v>
      </c>
      <c r="B2321" s="15" t="s">
        <v>5</v>
      </c>
      <c r="C2321" s="10" t="s">
        <v>1728</v>
      </c>
      <c r="D2321" s="16" t="s">
        <v>7401</v>
      </c>
      <c r="E2321" s="15" t="s">
        <v>11197</v>
      </c>
      <c r="F2321" s="16" t="str">
        <f>VLOOKUP(Table8[[#This Row],[Mã khách hàng]],code_khach_hang[],2,0)</f>
        <v>CHI NHÁNH QUẢNG NINH - CÔNG TY CỔ PHẦN DỊCH VỤ THƯƠNG MẠI TỔNG HỢP WINCOMMERCE</v>
      </c>
      <c r="G2321" s="16" t="str">
        <f>VLOOKUP(Table8[[#This Row],[Mã khách hàng]],code_khach_hang[],3,0)</f>
        <v>Miền Bắc đặc biệt 3</v>
      </c>
      <c r="H2321" t="str">
        <f>VLOOKUP(Table8[[#This Row],[Mã khách hàng]],'Khách hàng'!A:D,4,0)</f>
        <v>Food Đức Việt</v>
      </c>
      <c r="I2321" t="str">
        <f>VLOOKUP(Table8[[#This Row],[Mã khách hàng]],'Khách hàng'!A:E,5,0)</f>
        <v>HN0040</v>
      </c>
    </row>
    <row r="2322" spans="1:9">
      <c r="A2322" s="14" t="s">
        <v>1785</v>
      </c>
      <c r="B2322" s="15" t="s">
        <v>5</v>
      </c>
      <c r="C2322" s="10" t="s">
        <v>1786</v>
      </c>
      <c r="D2322" s="16" t="s">
        <v>7404</v>
      </c>
      <c r="E2322" s="15" t="s">
        <v>11216</v>
      </c>
      <c r="F2322" s="16" t="str">
        <f>VLOOKUP(Table8[[#This Row],[Mã khách hàng]],code_khach_hang[],2,0)</f>
        <v>CHI NHÁNH HƯNG YÊN - CÔNG TY CỔ PHẦN DỊCH VỤ THƯƠNG MẠI TỔNG HỢP WINCOMMERCE</v>
      </c>
      <c r="G2322" s="16" t="str">
        <f>VLOOKUP(Table8[[#This Row],[Mã khách hàng]],code_khach_hang[],3,0)</f>
        <v>Miền Bắc đặc biệt 1</v>
      </c>
      <c r="H2322" t="str">
        <f>VLOOKUP(Table8[[#This Row],[Mã khách hàng]],'Khách hàng'!A:D,4,0)</f>
        <v>Food Đức Việt</v>
      </c>
      <c r="I2322" t="str">
        <f>VLOOKUP(Table8[[#This Row],[Mã khách hàng]],'Khách hàng'!A:E,5,0)</f>
        <v>HN0040</v>
      </c>
    </row>
    <row r="2323" spans="1:9">
      <c r="A2323" s="14" t="s">
        <v>1788</v>
      </c>
      <c r="B2323" s="15" t="s">
        <v>5</v>
      </c>
      <c r="C2323" s="10" t="s">
        <v>1789</v>
      </c>
      <c r="D2323" s="16" t="s">
        <v>7406</v>
      </c>
      <c r="E2323" s="15" t="s">
        <v>11200</v>
      </c>
      <c r="F2323" s="16" t="str">
        <f>VLOOKUP(Table8[[#This Row],[Mã khách hàng]],code_khach_hang[],2,0)</f>
        <v>CHI NHÁNH THÁI BÌNH - CÔNG TY CỔ PHẦN DỊCH VỤ THƯƠNG MẠI TỔNG HỢP WINCOMMERCE</v>
      </c>
      <c r="G2323" s="16" t="str">
        <f>VLOOKUP(Table8[[#This Row],[Mã khách hàng]],code_khach_hang[],3,0)</f>
        <v>Miền Bắc đặc biệt 3</v>
      </c>
      <c r="H2323" t="str">
        <f>VLOOKUP(Table8[[#This Row],[Mã khách hàng]],'Khách hàng'!A:D,4,0)</f>
        <v>Food Đức Việt</v>
      </c>
      <c r="I2323" t="str">
        <f>VLOOKUP(Table8[[#This Row],[Mã khách hàng]],'Khách hàng'!A:E,5,0)</f>
        <v>HN0040</v>
      </c>
    </row>
    <row r="2324" spans="1:9">
      <c r="A2324" s="14" t="s">
        <v>1838</v>
      </c>
      <c r="B2324" s="15" t="s">
        <v>5</v>
      </c>
      <c r="C2324" s="10" t="s">
        <v>1839</v>
      </c>
      <c r="D2324" s="16" t="s">
        <v>7409</v>
      </c>
      <c r="E2324" s="15" t="s">
        <v>11210</v>
      </c>
      <c r="F2324" s="16" t="str">
        <f>VLOOKUP(Table8[[#This Row],[Mã khách hàng]],code_khach_hang[],2,0)</f>
        <v>CHI NHÁNH HÀ NAM - CÔNG TY CỔ PHẦN DỊCH VỤ THƯƠNG MẠI TỔNG HỢP WINCOMMERCE</v>
      </c>
      <c r="G2324" s="16" t="str">
        <f>VLOOKUP(Table8[[#This Row],[Mã khách hàng]],code_khach_hang[],3,0)</f>
        <v>Miền Bắc đặc biệt 3</v>
      </c>
      <c r="H2324" t="str">
        <f>VLOOKUP(Table8[[#This Row],[Mã khách hàng]],'Khách hàng'!A:D,4,0)</f>
        <v>Food Đức Việt</v>
      </c>
      <c r="I2324" t="str">
        <f>VLOOKUP(Table8[[#This Row],[Mã khách hàng]],'Khách hàng'!A:E,5,0)</f>
        <v>HN0040</v>
      </c>
    </row>
    <row r="2325" spans="1:9">
      <c r="A2325" s="14" t="s">
        <v>1820</v>
      </c>
      <c r="B2325" s="15" t="s">
        <v>5</v>
      </c>
      <c r="C2325" s="10" t="s">
        <v>1821</v>
      </c>
      <c r="D2325" s="16" t="s">
        <v>7412</v>
      </c>
      <c r="E2325" s="15" t="s">
        <v>11210</v>
      </c>
      <c r="F2325" s="16" t="str">
        <f>VLOOKUP(Table8[[#This Row],[Mã khách hàng]],code_khach_hang[],2,0)</f>
        <v>CHI NHÁNH HÀ NAM - CÔNG TY CỔ PHẦN DỊCH VỤ THƯƠNG MẠI TỔNG HỢP WINCOMMERCE</v>
      </c>
      <c r="G2325" s="16" t="str">
        <f>VLOOKUP(Table8[[#This Row],[Mã khách hàng]],code_khach_hang[],3,0)</f>
        <v>Miền Bắc đặc biệt 3</v>
      </c>
      <c r="H2325" t="str">
        <f>VLOOKUP(Table8[[#This Row],[Mã khách hàng]],'Khách hàng'!A:D,4,0)</f>
        <v>Food Đức Việt</v>
      </c>
      <c r="I2325" t="str">
        <f>VLOOKUP(Table8[[#This Row],[Mã khách hàng]],'Khách hàng'!A:E,5,0)</f>
        <v>HN0040</v>
      </c>
    </row>
    <row r="2326" spans="1:9">
      <c r="A2326" s="14" t="s">
        <v>1867</v>
      </c>
      <c r="B2326" s="15" t="s">
        <v>5</v>
      </c>
      <c r="C2326" s="10" t="s">
        <v>1868</v>
      </c>
      <c r="D2326" s="16" t="s">
        <v>7415</v>
      </c>
      <c r="E2326" s="15" t="s">
        <v>11219</v>
      </c>
      <c r="F2326" s="16" t="str">
        <f>VLOOKUP(Table8[[#This Row],[Mã khách hàng]],code_khach_hang[],2,0)</f>
        <v>CHI NHÁNH NAM ĐỊNH - CÔNG TY CỔ PHẦN DỊCH VỤ THƯƠNG MẠI TỔNG HỢP WINCOMMERCE</v>
      </c>
      <c r="G2326" s="16" t="str">
        <f>VLOOKUP(Table8[[#This Row],[Mã khách hàng]],code_khach_hang[],3,0)</f>
        <v>Miền Bắc đặc biệt 3</v>
      </c>
      <c r="H2326" t="str">
        <f>VLOOKUP(Table8[[#This Row],[Mã khách hàng]],'Khách hàng'!A:D,4,0)</f>
        <v>Food Đức Việt</v>
      </c>
      <c r="I2326" t="str">
        <f>VLOOKUP(Table8[[#This Row],[Mã khách hàng]],'Khách hàng'!A:E,5,0)</f>
        <v>HN0040</v>
      </c>
    </row>
    <row r="2327" spans="1:9">
      <c r="A2327" s="14" t="s">
        <v>1864</v>
      </c>
      <c r="B2327" s="15" t="s">
        <v>5</v>
      </c>
      <c r="C2327" s="10" t="s">
        <v>1865</v>
      </c>
      <c r="D2327" s="16" t="s">
        <v>7418</v>
      </c>
      <c r="E2327" s="15" t="s">
        <v>11193</v>
      </c>
      <c r="F2327" s="16" t="str">
        <f>VLOOKUP(Table8[[#This Row],[Mã khách hàng]],code_khach_hang[],2,0)</f>
        <v>CHI NHÁNH BẮC NINH - CÔNG TY CỔ PHẦN DỊCH VỤ THƯƠNG MẠI TỔNG HỢP WINCOMMERCE</v>
      </c>
      <c r="G2327" s="16" t="str">
        <f>VLOOKUP(Table8[[#This Row],[Mã khách hàng]],code_khach_hang[],3,0)</f>
        <v>Miền Bắc đặc biệt 2</v>
      </c>
      <c r="H2327" t="str">
        <f>VLOOKUP(Table8[[#This Row],[Mã khách hàng]],'Khách hàng'!A:D,4,0)</f>
        <v>Food Đức Việt</v>
      </c>
      <c r="I2327" t="str">
        <f>VLOOKUP(Table8[[#This Row],[Mã khách hàng]],'Khách hàng'!A:E,5,0)</f>
        <v>HN0040</v>
      </c>
    </row>
    <row r="2328" spans="1:9">
      <c r="A2328" s="14" t="s">
        <v>1876</v>
      </c>
      <c r="B2328" s="15" t="s">
        <v>5</v>
      </c>
      <c r="C2328" s="10" t="s">
        <v>1877</v>
      </c>
      <c r="D2328" s="16" t="s">
        <v>7421</v>
      </c>
      <c r="E2328" s="15" t="s">
        <v>11200</v>
      </c>
      <c r="F2328" s="16" t="str">
        <f>VLOOKUP(Table8[[#This Row],[Mã khách hàng]],code_khach_hang[],2,0)</f>
        <v>CHI NHÁNH THÁI BÌNH - CÔNG TY CỔ PHẦN DỊCH VỤ THƯƠNG MẠI TỔNG HỢP WINCOMMERCE</v>
      </c>
      <c r="G2328" s="16" t="str">
        <f>VLOOKUP(Table8[[#This Row],[Mã khách hàng]],code_khach_hang[],3,0)</f>
        <v>Miền Bắc đặc biệt 3</v>
      </c>
      <c r="H2328" t="str">
        <f>VLOOKUP(Table8[[#This Row],[Mã khách hàng]],'Khách hàng'!A:D,4,0)</f>
        <v>Food Đức Việt</v>
      </c>
      <c r="I2328" t="str">
        <f>VLOOKUP(Table8[[#This Row],[Mã khách hàng]],'Khách hàng'!A:E,5,0)</f>
        <v>HN0040</v>
      </c>
    </row>
    <row r="2329" spans="1:9">
      <c r="A2329" s="14" t="s">
        <v>2079</v>
      </c>
      <c r="B2329" s="15" t="s">
        <v>5</v>
      </c>
      <c r="C2329" s="10" t="s">
        <v>2080</v>
      </c>
      <c r="D2329" s="16" t="s">
        <v>7424</v>
      </c>
      <c r="E2329" s="15" t="s">
        <v>11200</v>
      </c>
      <c r="F2329" s="16" t="str">
        <f>VLOOKUP(Table8[[#This Row],[Mã khách hàng]],code_khach_hang[],2,0)</f>
        <v>CHI NHÁNH THÁI BÌNH - CÔNG TY CỔ PHẦN DỊCH VỤ THƯƠNG MẠI TỔNG HỢP WINCOMMERCE</v>
      </c>
      <c r="G2329" s="16" t="str">
        <f>VLOOKUP(Table8[[#This Row],[Mã khách hàng]],code_khach_hang[],3,0)</f>
        <v>Miền Bắc đặc biệt 3</v>
      </c>
      <c r="H2329" t="str">
        <f>VLOOKUP(Table8[[#This Row],[Mã khách hàng]],'Khách hàng'!A:D,4,0)</f>
        <v>Food Đức Việt</v>
      </c>
      <c r="I2329" t="str">
        <f>VLOOKUP(Table8[[#This Row],[Mã khách hàng]],'Khách hàng'!A:E,5,0)</f>
        <v>HN0040</v>
      </c>
    </row>
    <row r="2330" spans="1:9">
      <c r="A2330" s="14" t="s">
        <v>1988</v>
      </c>
      <c r="B2330" s="15" t="s">
        <v>5</v>
      </c>
      <c r="C2330" s="10" t="e">
        <v>#N/A</v>
      </c>
      <c r="D2330" s="16" t="s">
        <v>7427</v>
      </c>
      <c r="E2330" s="15" t="s">
        <v>11200</v>
      </c>
      <c r="F2330" s="16" t="str">
        <f>VLOOKUP(Table8[[#This Row],[Mã khách hàng]],code_khach_hang[],2,0)</f>
        <v>CHI NHÁNH THÁI BÌNH - CÔNG TY CỔ PHẦN DỊCH VỤ THƯƠNG MẠI TỔNG HỢP WINCOMMERCE</v>
      </c>
      <c r="G2330" s="16" t="str">
        <f>VLOOKUP(Table8[[#This Row],[Mã khách hàng]],code_khach_hang[],3,0)</f>
        <v>Miền Bắc đặc biệt 3</v>
      </c>
      <c r="H2330" t="str">
        <f>VLOOKUP(Table8[[#This Row],[Mã khách hàng]],'Khách hàng'!A:D,4,0)</f>
        <v>Food Đức Việt</v>
      </c>
      <c r="I2330" t="str">
        <f>VLOOKUP(Table8[[#This Row],[Mã khách hàng]],'Khách hàng'!A:E,5,0)</f>
        <v>HN0040</v>
      </c>
    </row>
    <row r="2331" spans="1:9">
      <c r="A2331" s="14" t="s">
        <v>1983</v>
      </c>
      <c r="B2331" s="15" t="s">
        <v>5</v>
      </c>
      <c r="C2331" s="10" t="s">
        <v>1984</v>
      </c>
      <c r="D2331" s="16" t="s">
        <v>7430</v>
      </c>
      <c r="E2331" s="15" t="s">
        <v>11210</v>
      </c>
      <c r="F2331" s="16" t="str">
        <f>VLOOKUP(Table8[[#This Row],[Mã khách hàng]],code_khach_hang[],2,0)</f>
        <v>CHI NHÁNH HÀ NAM - CÔNG TY CỔ PHẦN DỊCH VỤ THƯƠNG MẠI TỔNG HỢP WINCOMMERCE</v>
      </c>
      <c r="G2331" s="16" t="str">
        <f>VLOOKUP(Table8[[#This Row],[Mã khách hàng]],code_khach_hang[],3,0)</f>
        <v>Miền Bắc đặc biệt 3</v>
      </c>
      <c r="H2331" t="str">
        <f>VLOOKUP(Table8[[#This Row],[Mã khách hàng]],'Khách hàng'!A:D,4,0)</f>
        <v>Food Đức Việt</v>
      </c>
      <c r="I2331" t="str">
        <f>VLOOKUP(Table8[[#This Row],[Mã khách hàng]],'Khách hàng'!A:E,5,0)</f>
        <v>HN0040</v>
      </c>
    </row>
    <row r="2332" spans="1:9">
      <c r="A2332" s="14" t="s">
        <v>1990</v>
      </c>
      <c r="B2332" s="15" t="s">
        <v>5</v>
      </c>
      <c r="C2332" s="10" t="s">
        <v>1991</v>
      </c>
      <c r="D2332" s="16" t="s">
        <v>7433</v>
      </c>
      <c r="E2332" s="15" t="s">
        <v>11194</v>
      </c>
      <c r="F2332" s="16" t="str">
        <f>VLOOKUP(Table8[[#This Row],[Mã khách hàng]],code_khach_hang[],2,0)</f>
        <v>CHI NHÁNH VĨNH PHÚC - CÔNG TY CỔ PHẦN DỊCH VỤ THƯƠNG MẠI TỔNG HỢP WINCOMMERCE</v>
      </c>
      <c r="G2332" s="16" t="str">
        <f>VLOOKUP(Table8[[#This Row],[Mã khách hàng]],code_khach_hang[],3,0)</f>
        <v>Miền Bắc đặc biệt 2</v>
      </c>
      <c r="H2332" t="str">
        <f>VLOOKUP(Table8[[#This Row],[Mã khách hàng]],'Khách hàng'!A:D,4,0)</f>
        <v>Food Đức Việt</v>
      </c>
      <c r="I2332" t="str">
        <f>VLOOKUP(Table8[[#This Row],[Mã khách hàng]],'Khách hàng'!A:E,5,0)</f>
        <v>HN0040</v>
      </c>
    </row>
    <row r="2333" spans="1:9">
      <c r="A2333" s="14" t="s">
        <v>2028</v>
      </c>
      <c r="B2333" s="15" t="s">
        <v>5</v>
      </c>
      <c r="C2333" s="10" t="s">
        <v>2029</v>
      </c>
      <c r="D2333" s="16" t="s">
        <v>7436</v>
      </c>
      <c r="E2333" s="15" t="s">
        <v>11199</v>
      </c>
      <c r="F2333" s="16" t="str">
        <f>VLOOKUP(Table8[[#This Row],[Mã khách hàng]],code_khach_hang[],2,0)</f>
        <v>CHI NHÁNH PHÚ THỌ - CÔNG TY CỔ PHẦN DỊCH VỤ THƯƠNG MẠI TỔNG HỢP WINCOMMERCE</v>
      </c>
      <c r="G2333" s="16" t="str">
        <f>VLOOKUP(Table8[[#This Row],[Mã khách hàng]],code_khach_hang[],3,0)</f>
        <v>Miền Bắc đặc biệt 1</v>
      </c>
      <c r="H2333" t="str">
        <f>VLOOKUP(Table8[[#This Row],[Mã khách hàng]],'Khách hàng'!A:D,4,0)</f>
        <v>Food Đức Việt</v>
      </c>
      <c r="I2333" t="str">
        <f>VLOOKUP(Table8[[#This Row],[Mã khách hàng]],'Khách hàng'!A:E,5,0)</f>
        <v>HN0040</v>
      </c>
    </row>
    <row r="2334" spans="1:9">
      <c r="A2334" s="14" t="s">
        <v>2042</v>
      </c>
      <c r="B2334" s="15" t="s">
        <v>5</v>
      </c>
      <c r="C2334" s="10" t="s">
        <v>2043</v>
      </c>
      <c r="D2334" s="16" t="s">
        <v>7439</v>
      </c>
      <c r="E2334" s="15" t="s">
        <v>11211</v>
      </c>
      <c r="F2334" s="16" t="str">
        <f>VLOOKUP(Table8[[#This Row],[Mã khách hàng]],code_khach_hang[],2,0)</f>
        <v>CHI NHÁNH NGHỆ AN - CÔNG TY CỔ PHẦN DỊCH VỤ THƯƠNG MẠI TỔNG HỢP WINCOMMERCE</v>
      </c>
      <c r="G2334" s="16" t="str">
        <f>VLOOKUP(Table8[[#This Row],[Mã khách hàng]],code_khach_hang[],3,0)</f>
        <v>Miền Trung đặc biệt 1</v>
      </c>
      <c r="H2334" t="str">
        <f>VLOOKUP(Table8[[#This Row],[Mã khách hàng]],'Khách hàng'!A:D,4,0)</f>
        <v>Food Đức Việt</v>
      </c>
      <c r="I2334" t="str">
        <f>VLOOKUP(Table8[[#This Row],[Mã khách hàng]],'Khách hàng'!A:E,5,0)</f>
        <v>HN0040</v>
      </c>
    </row>
    <row r="2335" spans="1:9">
      <c r="A2335" s="14" t="s">
        <v>1817</v>
      </c>
      <c r="B2335" s="15" t="s">
        <v>5</v>
      </c>
      <c r="C2335" s="10" t="s">
        <v>1818</v>
      </c>
      <c r="D2335" s="16" t="s">
        <v>7442</v>
      </c>
      <c r="E2335" s="15" t="s">
        <v>11197</v>
      </c>
      <c r="F2335" s="16" t="str">
        <f>VLOOKUP(Table8[[#This Row],[Mã khách hàng]],code_khach_hang[],2,0)</f>
        <v>CHI NHÁNH QUẢNG NINH - CÔNG TY CỔ PHẦN DỊCH VỤ THƯƠNG MẠI TỔNG HỢP WINCOMMERCE</v>
      </c>
      <c r="G2335" s="16" t="str">
        <f>VLOOKUP(Table8[[#This Row],[Mã khách hàng]],code_khach_hang[],3,0)</f>
        <v>Miền Bắc đặc biệt 3</v>
      </c>
      <c r="H2335" t="str">
        <f>VLOOKUP(Table8[[#This Row],[Mã khách hàng]],'Khách hàng'!A:D,4,0)</f>
        <v>Food Đức Việt</v>
      </c>
      <c r="I2335" t="str">
        <f>VLOOKUP(Table8[[#This Row],[Mã khách hàng]],'Khách hàng'!A:E,5,0)</f>
        <v>HN0040</v>
      </c>
    </row>
    <row r="2336" spans="1:9">
      <c r="A2336" s="14" t="s">
        <v>1814</v>
      </c>
      <c r="B2336" s="15" t="s">
        <v>5</v>
      </c>
      <c r="C2336" s="10" t="s">
        <v>1815</v>
      </c>
      <c r="D2336" s="16" t="s">
        <v>7445</v>
      </c>
      <c r="E2336" s="15" t="s">
        <v>11217</v>
      </c>
      <c r="F2336" s="16" t="str">
        <f>VLOOKUP(Table8[[#This Row],[Mã khách hàng]],code_khach_hang[],2,0)</f>
        <v>CHI NHÁNH BẮC GIANG - CÔNG TY CỔ PHẦN DỊCH VỤ THƯƠNG MẠI TỔNG HỢP WINCOMMERCE</v>
      </c>
      <c r="G2336" s="16" t="str">
        <f>VLOOKUP(Table8[[#This Row],[Mã khách hàng]],code_khach_hang[],3,0)</f>
        <v>Miền Bắc đặc biệt 2</v>
      </c>
      <c r="H2336" t="str">
        <f>VLOOKUP(Table8[[#This Row],[Mã khách hàng]],'Khách hàng'!A:D,4,0)</f>
        <v>Food Đức Việt</v>
      </c>
      <c r="I2336" t="str">
        <f>VLOOKUP(Table8[[#This Row],[Mã khách hàng]],'Khách hàng'!A:E,5,0)</f>
        <v>HN0040</v>
      </c>
    </row>
    <row r="2337" spans="1:9">
      <c r="A2337" s="14" t="s">
        <v>1797</v>
      </c>
      <c r="B2337" s="15" t="s">
        <v>5</v>
      </c>
      <c r="C2337" s="10" t="s">
        <v>1798</v>
      </c>
      <c r="D2337" s="16" t="s">
        <v>7448</v>
      </c>
      <c r="E2337" s="15" t="s">
        <v>11217</v>
      </c>
      <c r="F2337" s="16" t="str">
        <f>VLOOKUP(Table8[[#This Row],[Mã khách hàng]],code_khach_hang[],2,0)</f>
        <v>CHI NHÁNH BẮC GIANG - CÔNG TY CỔ PHẦN DỊCH VỤ THƯƠNG MẠI TỔNG HỢP WINCOMMERCE</v>
      </c>
      <c r="G2337" s="16" t="str">
        <f>VLOOKUP(Table8[[#This Row],[Mã khách hàng]],code_khach_hang[],3,0)</f>
        <v>Miền Bắc đặc biệt 2</v>
      </c>
      <c r="H2337" t="str">
        <f>VLOOKUP(Table8[[#This Row],[Mã khách hàng]],'Khách hàng'!A:D,4,0)</f>
        <v>Food Đức Việt</v>
      </c>
      <c r="I2337" t="str">
        <f>VLOOKUP(Table8[[#This Row],[Mã khách hàng]],'Khách hàng'!A:E,5,0)</f>
        <v>HN0040</v>
      </c>
    </row>
    <row r="2338" spans="1:9">
      <c r="A2338" s="14" t="s">
        <v>2691</v>
      </c>
      <c r="B2338" s="15" t="s">
        <v>5</v>
      </c>
      <c r="C2338" s="10" t="s">
        <v>2692</v>
      </c>
      <c r="D2338" s="16" t="s">
        <v>7451</v>
      </c>
      <c r="E2338" s="15" t="s">
        <v>11217</v>
      </c>
      <c r="F2338" s="16" t="str">
        <f>VLOOKUP(Table8[[#This Row],[Mã khách hàng]],code_khach_hang[],2,0)</f>
        <v>CHI NHÁNH BẮC GIANG - CÔNG TY CỔ PHẦN DỊCH VỤ THƯƠNG MẠI TỔNG HỢP WINCOMMERCE</v>
      </c>
      <c r="G2338" s="16" t="str">
        <f>VLOOKUP(Table8[[#This Row],[Mã khách hàng]],code_khach_hang[],3,0)</f>
        <v>Miền Bắc đặc biệt 2</v>
      </c>
      <c r="H2338" t="str">
        <f>VLOOKUP(Table8[[#This Row],[Mã khách hàng]],'Khách hàng'!A:D,4,0)</f>
        <v>Food Đức Việt</v>
      </c>
      <c r="I2338" t="str">
        <f>VLOOKUP(Table8[[#This Row],[Mã khách hàng]],'Khách hàng'!A:E,5,0)</f>
        <v>HN0040</v>
      </c>
    </row>
    <row r="2339" spans="1:9">
      <c r="A2339" s="14" t="s">
        <v>1980</v>
      </c>
      <c r="B2339" s="15" t="s">
        <v>5</v>
      </c>
      <c r="C2339" s="10" t="s">
        <v>1981</v>
      </c>
      <c r="D2339" s="16" t="s">
        <v>7453</v>
      </c>
      <c r="E2339" s="15" t="s">
        <v>11215</v>
      </c>
      <c r="F2339" s="16" t="str">
        <f>VLOOKUP(Table8[[#This Row],[Mã khách hàng]],code_khach_hang[],2,0)</f>
        <v>CHI NHÁNH HÀ NỘI - CÔNG TY CỔ PHẦN DỊCH VỤ THƯƠNG MẠI TỔNG HỢP WINCOMMERCE</v>
      </c>
      <c r="G2339" s="16" t="str">
        <f>VLOOKUP(Table8[[#This Row],[Mã khách hàng]],code_khach_hang[],3,0)</f>
        <v>Miền Bắc đặc biệt 1</v>
      </c>
      <c r="H2339" t="str">
        <f>VLOOKUP(Table8[[#This Row],[Mã khách hàng]],'Khách hàng'!A:D,4,0)</f>
        <v>Food Đức Việt</v>
      </c>
      <c r="I2339" t="str">
        <f>VLOOKUP(Table8[[#This Row],[Mã khách hàng]],'Khách hàng'!A:E,5,0)</f>
        <v>HN0040</v>
      </c>
    </row>
    <row r="2340" spans="1:9">
      <c r="A2340" s="14" t="s">
        <v>2010</v>
      </c>
      <c r="B2340" s="15" t="s">
        <v>5</v>
      </c>
      <c r="C2340" s="10" t="s">
        <v>2011</v>
      </c>
      <c r="D2340" s="16" t="s">
        <v>7456</v>
      </c>
      <c r="E2340" s="15" t="s">
        <v>11221</v>
      </c>
      <c r="F2340" s="16" t="str">
        <f>VLOOKUP(Table8[[#This Row],[Mã khách hàng]],code_khach_hang[],2,0)</f>
        <v>CHI NHÁNH ĐIỆN BIÊN - CÔNG TY CỔ PHẦN DỊCH VỤ THƯƠNG MẠI TỔNG HỢP WINCOMMERCE</v>
      </c>
      <c r="G2340" s="16" t="str">
        <f>VLOOKUP(Table8[[#This Row],[Mã khách hàng]],code_khach_hang[],3,0)</f>
        <v>Miền Bắc đặc biệt 1</v>
      </c>
      <c r="H2340" t="str">
        <f>VLOOKUP(Table8[[#This Row],[Mã khách hàng]],'Khách hàng'!A:D,4,0)</f>
        <v>Food Đức Việt</v>
      </c>
      <c r="I2340" t="str">
        <f>VLOOKUP(Table8[[#This Row],[Mã khách hàng]],'Khách hàng'!A:E,5,0)</f>
        <v>HN0040</v>
      </c>
    </row>
    <row r="2341" spans="1:9">
      <c r="A2341" s="14" t="s">
        <v>2013</v>
      </c>
      <c r="B2341" s="15" t="s">
        <v>5</v>
      </c>
      <c r="C2341" s="10" t="s">
        <v>2014</v>
      </c>
      <c r="D2341" s="16" t="s">
        <v>7459</v>
      </c>
      <c r="E2341" s="15" t="s">
        <v>11217</v>
      </c>
      <c r="F2341" s="16" t="str">
        <f>VLOOKUP(Table8[[#This Row],[Mã khách hàng]],code_khach_hang[],2,0)</f>
        <v>CHI NHÁNH BẮC GIANG - CÔNG TY CỔ PHẦN DỊCH VỤ THƯƠNG MẠI TỔNG HỢP WINCOMMERCE</v>
      </c>
      <c r="G2341" s="16" t="str">
        <f>VLOOKUP(Table8[[#This Row],[Mã khách hàng]],code_khach_hang[],3,0)</f>
        <v>Miền Bắc đặc biệt 2</v>
      </c>
      <c r="H2341" t="str">
        <f>VLOOKUP(Table8[[#This Row],[Mã khách hàng]],'Khách hàng'!A:D,4,0)</f>
        <v>Food Đức Việt</v>
      </c>
      <c r="I2341" t="str">
        <f>VLOOKUP(Table8[[#This Row],[Mã khách hàng]],'Khách hàng'!A:E,5,0)</f>
        <v>HN0040</v>
      </c>
    </row>
    <row r="2342" spans="1:9">
      <c r="A2342" s="14" t="s">
        <v>2031</v>
      </c>
      <c r="B2342" s="15" t="s">
        <v>5</v>
      </c>
      <c r="C2342" s="10" t="s">
        <v>2032</v>
      </c>
      <c r="D2342" s="16" t="s">
        <v>7462</v>
      </c>
      <c r="E2342" s="15" t="s">
        <v>11194</v>
      </c>
      <c r="F2342" s="16" t="str">
        <f>VLOOKUP(Table8[[#This Row],[Mã khách hàng]],code_khach_hang[],2,0)</f>
        <v>CHI NHÁNH VĨNH PHÚC - CÔNG TY CỔ PHẦN DỊCH VỤ THƯƠNG MẠI TỔNG HỢP WINCOMMERCE</v>
      </c>
      <c r="G2342" s="16" t="str">
        <f>VLOOKUP(Table8[[#This Row],[Mã khách hàng]],code_khach_hang[],3,0)</f>
        <v>Miền Bắc đặc biệt 2</v>
      </c>
      <c r="H2342" t="str">
        <f>VLOOKUP(Table8[[#This Row],[Mã khách hàng]],'Khách hàng'!A:D,4,0)</f>
        <v>Food Đức Việt</v>
      </c>
      <c r="I2342" t="str">
        <f>VLOOKUP(Table8[[#This Row],[Mã khách hàng]],'Khách hàng'!A:E,5,0)</f>
        <v>HN0040</v>
      </c>
    </row>
    <row r="2343" spans="1:9">
      <c r="A2343" s="14" t="s">
        <v>2037</v>
      </c>
      <c r="B2343" s="15" t="s">
        <v>5</v>
      </c>
      <c r="C2343" s="10" t="e">
        <v>#N/A</v>
      </c>
      <c r="D2343" s="16" t="s">
        <v>7465</v>
      </c>
      <c r="E2343" s="15" t="s">
        <v>11203</v>
      </c>
      <c r="F2343" s="16" t="str">
        <f>VLOOKUP(Table8[[#This Row],[Mã khách hàng]],code_khach_hang[],2,0)</f>
        <v>CHI NHÁNH THANH HÓA - CÔNG TY CỔ PHẦN DỊCH VỤ THƯƠNG MẠI TỔNG HỢP WINCOMMERCE</v>
      </c>
      <c r="G2343" s="16" t="str">
        <f>VLOOKUP(Table8[[#This Row],[Mã khách hàng]],code_khach_hang[],3,0)</f>
        <v>Miền Trung đặc biệt 1</v>
      </c>
      <c r="H2343" t="str">
        <f>VLOOKUP(Table8[[#This Row],[Mã khách hàng]],'Khách hàng'!A:D,4,0)</f>
        <v>Food Đức Việt</v>
      </c>
      <c r="I2343" t="str">
        <f>VLOOKUP(Table8[[#This Row],[Mã khách hàng]],'Khách hàng'!A:E,5,0)</f>
        <v>HN0040</v>
      </c>
    </row>
    <row r="2344" spans="1:9">
      <c r="A2344" s="14" t="s">
        <v>2039</v>
      </c>
      <c r="B2344" s="15" t="s">
        <v>5</v>
      </c>
      <c r="C2344" s="10" t="s">
        <v>2040</v>
      </c>
      <c r="D2344" s="16" t="s">
        <v>7468</v>
      </c>
      <c r="E2344" s="15" t="s">
        <v>11194</v>
      </c>
      <c r="F2344" s="16" t="str">
        <f>VLOOKUP(Table8[[#This Row],[Mã khách hàng]],code_khach_hang[],2,0)</f>
        <v>CHI NHÁNH VĨNH PHÚC - CÔNG TY CỔ PHẦN DỊCH VỤ THƯƠNG MẠI TỔNG HỢP WINCOMMERCE</v>
      </c>
      <c r="G2344" s="16" t="str">
        <f>VLOOKUP(Table8[[#This Row],[Mã khách hàng]],code_khach_hang[],3,0)</f>
        <v>Miền Bắc đặc biệt 2</v>
      </c>
      <c r="H2344" t="str">
        <f>VLOOKUP(Table8[[#This Row],[Mã khách hàng]],'Khách hàng'!A:D,4,0)</f>
        <v>Food Đức Việt</v>
      </c>
      <c r="I2344" t="str">
        <f>VLOOKUP(Table8[[#This Row],[Mã khách hàng]],'Khách hàng'!A:E,5,0)</f>
        <v>HN0040</v>
      </c>
    </row>
    <row r="2345" spans="1:9">
      <c r="A2345" s="14" t="s">
        <v>2054</v>
      </c>
      <c r="B2345" s="15" t="s">
        <v>5</v>
      </c>
      <c r="C2345" s="10" t="s">
        <v>2055</v>
      </c>
      <c r="D2345" s="16" t="s">
        <v>7471</v>
      </c>
      <c r="E2345" s="15" t="s">
        <v>11215</v>
      </c>
      <c r="F2345" s="16" t="str">
        <f>VLOOKUP(Table8[[#This Row],[Mã khách hàng]],code_khach_hang[],2,0)</f>
        <v>CHI NHÁNH HÀ NỘI - CÔNG TY CỔ PHẦN DỊCH VỤ THƯƠNG MẠI TỔNG HỢP WINCOMMERCE</v>
      </c>
      <c r="G2345" s="16" t="str">
        <f>VLOOKUP(Table8[[#This Row],[Mã khách hàng]],code_khach_hang[],3,0)</f>
        <v>Miền Bắc đặc biệt 1</v>
      </c>
      <c r="H2345" t="str">
        <f>VLOOKUP(Table8[[#This Row],[Mã khách hàng]],'Khách hàng'!A:D,4,0)</f>
        <v>Food Đức Việt</v>
      </c>
      <c r="I2345" t="str">
        <f>VLOOKUP(Table8[[#This Row],[Mã khách hàng]],'Khách hàng'!A:E,5,0)</f>
        <v>HN0040</v>
      </c>
    </row>
    <row r="2346" spans="1:9">
      <c r="A2346" s="14" t="s">
        <v>2082</v>
      </c>
      <c r="B2346" s="15" t="s">
        <v>5</v>
      </c>
      <c r="C2346" s="10" t="e">
        <v>#N/A</v>
      </c>
      <c r="D2346" s="16" t="s">
        <v>7474</v>
      </c>
      <c r="E2346" s="15" t="s">
        <v>11203</v>
      </c>
      <c r="F2346" s="16" t="str">
        <f>VLOOKUP(Table8[[#This Row],[Mã khách hàng]],code_khach_hang[],2,0)</f>
        <v>CHI NHÁNH THANH HÓA - CÔNG TY CỔ PHẦN DỊCH VỤ THƯƠNG MẠI TỔNG HỢP WINCOMMERCE</v>
      </c>
      <c r="G2346" s="16" t="str">
        <f>VLOOKUP(Table8[[#This Row],[Mã khách hàng]],code_khach_hang[],3,0)</f>
        <v>Miền Trung đặc biệt 1</v>
      </c>
      <c r="H2346" t="str">
        <f>VLOOKUP(Table8[[#This Row],[Mã khách hàng]],'Khách hàng'!A:D,4,0)</f>
        <v>Food Đức Việt</v>
      </c>
      <c r="I2346" t="str">
        <f>VLOOKUP(Table8[[#This Row],[Mã khách hàng]],'Khách hàng'!A:E,5,0)</f>
        <v>HN0040</v>
      </c>
    </row>
    <row r="2347" spans="1:9">
      <c r="A2347" s="14" t="s">
        <v>1894</v>
      </c>
      <c r="B2347" s="15" t="s">
        <v>5</v>
      </c>
      <c r="C2347" s="10" t="s">
        <v>1895</v>
      </c>
      <c r="D2347" s="16" t="s">
        <v>7477</v>
      </c>
      <c r="E2347" s="15" t="s">
        <v>11198</v>
      </c>
      <c r="F2347" s="16" t="str">
        <f>VLOOKUP(Table8[[#This Row],[Mã khách hàng]],code_khach_hang[],2,0)</f>
        <v>CHI NHÁNH HẢI PHÒNG - CÔNG TY CỔ PHẦN DỊCH VỤ THƯƠNG MẠI TỔNG HỢP WINCOMMERCE</v>
      </c>
      <c r="G2347" s="16" t="str">
        <f>VLOOKUP(Table8[[#This Row],[Mã khách hàng]],code_khach_hang[],3,0)</f>
        <v>Miền Bắc đặc biệt 3</v>
      </c>
      <c r="H2347" t="str">
        <f>VLOOKUP(Table8[[#This Row],[Mã khách hàng]],'Khách hàng'!A:D,4,0)</f>
        <v>Food Đức Việt</v>
      </c>
      <c r="I2347" t="str">
        <f>VLOOKUP(Table8[[#This Row],[Mã khách hàng]],'Khách hàng'!A:E,5,0)</f>
        <v>HN0040</v>
      </c>
    </row>
    <row r="2348" spans="1:9">
      <c r="A2348" s="14" t="s">
        <v>1914</v>
      </c>
      <c r="B2348" s="15" t="s">
        <v>5</v>
      </c>
      <c r="C2348" s="10" t="s">
        <v>1915</v>
      </c>
      <c r="D2348" s="16" t="s">
        <v>7480</v>
      </c>
      <c r="E2348" s="15" t="s">
        <v>11193</v>
      </c>
      <c r="F2348" s="16" t="str">
        <f>VLOOKUP(Table8[[#This Row],[Mã khách hàng]],code_khach_hang[],2,0)</f>
        <v>CHI NHÁNH BẮC NINH - CÔNG TY CỔ PHẦN DỊCH VỤ THƯƠNG MẠI TỔNG HỢP WINCOMMERCE</v>
      </c>
      <c r="G2348" s="16" t="str">
        <f>VLOOKUP(Table8[[#This Row],[Mã khách hàng]],code_khach_hang[],3,0)</f>
        <v>Miền Bắc đặc biệt 2</v>
      </c>
      <c r="H2348" t="str">
        <f>VLOOKUP(Table8[[#This Row],[Mã khách hàng]],'Khách hàng'!A:D,4,0)</f>
        <v>Food Đức Việt</v>
      </c>
      <c r="I2348" t="str">
        <f>VLOOKUP(Table8[[#This Row],[Mã khách hàng]],'Khách hàng'!A:E,5,0)</f>
        <v>HN0040</v>
      </c>
    </row>
    <row r="2349" spans="1:9">
      <c r="A2349" s="14" t="s">
        <v>2045</v>
      </c>
      <c r="B2349" s="15" t="s">
        <v>5</v>
      </c>
      <c r="C2349" s="10" t="s">
        <v>2046</v>
      </c>
      <c r="D2349" s="16" t="s">
        <v>7483</v>
      </c>
      <c r="E2349" s="15" t="s">
        <v>11198</v>
      </c>
      <c r="F2349" s="16" t="str">
        <f>VLOOKUP(Table8[[#This Row],[Mã khách hàng]],code_khach_hang[],2,0)</f>
        <v>CHI NHÁNH HẢI PHÒNG - CÔNG TY CỔ PHẦN DỊCH VỤ THƯƠNG MẠI TỔNG HỢP WINCOMMERCE</v>
      </c>
      <c r="G2349" s="16" t="str">
        <f>VLOOKUP(Table8[[#This Row],[Mã khách hàng]],code_khach_hang[],3,0)</f>
        <v>Miền Bắc đặc biệt 3</v>
      </c>
      <c r="H2349" t="str">
        <f>VLOOKUP(Table8[[#This Row],[Mã khách hàng]],'Khách hàng'!A:D,4,0)</f>
        <v>Food Đức Việt</v>
      </c>
      <c r="I2349" t="str">
        <f>VLOOKUP(Table8[[#This Row],[Mã khách hàng]],'Khách hàng'!A:E,5,0)</f>
        <v>HN0040</v>
      </c>
    </row>
    <row r="2350" spans="1:9">
      <c r="A2350" s="14" t="s">
        <v>2019</v>
      </c>
      <c r="B2350" s="15" t="s">
        <v>5</v>
      </c>
      <c r="C2350" s="10" t="s">
        <v>2020</v>
      </c>
      <c r="D2350" s="16" t="s">
        <v>7486</v>
      </c>
      <c r="E2350" s="15" t="s">
        <v>11197</v>
      </c>
      <c r="F2350" s="16" t="str">
        <f>VLOOKUP(Table8[[#This Row],[Mã khách hàng]],code_khach_hang[],2,0)</f>
        <v>CHI NHÁNH QUẢNG NINH - CÔNG TY CỔ PHẦN DỊCH VỤ THƯƠNG MẠI TỔNG HỢP WINCOMMERCE</v>
      </c>
      <c r="G2350" s="16" t="str">
        <f>VLOOKUP(Table8[[#This Row],[Mã khách hàng]],code_khach_hang[],3,0)</f>
        <v>Miền Bắc đặc biệt 3</v>
      </c>
      <c r="H2350" t="str">
        <f>VLOOKUP(Table8[[#This Row],[Mã khách hàng]],'Khách hàng'!A:D,4,0)</f>
        <v>Food Đức Việt</v>
      </c>
      <c r="I2350" t="str">
        <f>VLOOKUP(Table8[[#This Row],[Mã khách hàng]],'Khách hàng'!A:E,5,0)</f>
        <v>HN0040</v>
      </c>
    </row>
    <row r="2351" spans="1:9">
      <c r="A2351" s="14" t="s">
        <v>1986</v>
      </c>
      <c r="B2351" s="15" t="s">
        <v>5</v>
      </c>
      <c r="C2351" s="10" t="e">
        <v>#N/A</v>
      </c>
      <c r="D2351" s="16" t="s">
        <v>7489</v>
      </c>
      <c r="E2351" s="15" t="s">
        <v>11211</v>
      </c>
      <c r="F2351" s="16" t="str">
        <f>VLOOKUP(Table8[[#This Row],[Mã khách hàng]],code_khach_hang[],2,0)</f>
        <v>CHI NHÁNH NGHỆ AN - CÔNG TY CỔ PHẦN DỊCH VỤ THƯƠNG MẠI TỔNG HỢP WINCOMMERCE</v>
      </c>
      <c r="G2351" s="16" t="str">
        <f>VLOOKUP(Table8[[#This Row],[Mã khách hàng]],code_khach_hang[],3,0)</f>
        <v>Miền Trung đặc biệt 1</v>
      </c>
      <c r="H2351" t="str">
        <f>VLOOKUP(Table8[[#This Row],[Mã khách hàng]],'Khách hàng'!A:D,4,0)</f>
        <v>Food Đức Việt</v>
      </c>
      <c r="I2351" t="str">
        <f>VLOOKUP(Table8[[#This Row],[Mã khách hàng]],'Khách hàng'!A:E,5,0)</f>
        <v>HN0040</v>
      </c>
    </row>
    <row r="2352" spans="1:9">
      <c r="A2352" s="14" t="s">
        <v>1882</v>
      </c>
      <c r="B2352" s="15" t="s">
        <v>5</v>
      </c>
      <c r="C2352" s="10" t="s">
        <v>1883</v>
      </c>
      <c r="D2352" s="16" t="s">
        <v>7492</v>
      </c>
      <c r="E2352" s="15" t="s">
        <v>11200</v>
      </c>
      <c r="F2352" s="16" t="str">
        <f>VLOOKUP(Table8[[#This Row],[Mã khách hàng]],code_khach_hang[],2,0)</f>
        <v>CHI NHÁNH THÁI BÌNH - CÔNG TY CỔ PHẦN DỊCH VỤ THƯƠNG MẠI TỔNG HỢP WINCOMMERCE</v>
      </c>
      <c r="G2352" s="16" t="str">
        <f>VLOOKUP(Table8[[#This Row],[Mã khách hàng]],code_khach_hang[],3,0)</f>
        <v>Miền Bắc đặc biệt 3</v>
      </c>
      <c r="H2352" t="str">
        <f>VLOOKUP(Table8[[#This Row],[Mã khách hàng]],'Khách hàng'!A:D,4,0)</f>
        <v>Food Đức Việt</v>
      </c>
      <c r="I2352" t="str">
        <f>VLOOKUP(Table8[[#This Row],[Mã khách hàng]],'Khách hàng'!A:E,5,0)</f>
        <v>HN0040</v>
      </c>
    </row>
    <row r="2353" spans="1:9">
      <c r="A2353" s="14" t="s">
        <v>2022</v>
      </c>
      <c r="B2353" s="15" t="s">
        <v>5</v>
      </c>
      <c r="C2353" s="10" t="s">
        <v>2023</v>
      </c>
      <c r="D2353" s="16" t="s">
        <v>7495</v>
      </c>
      <c r="E2353" s="15" t="s">
        <v>11199</v>
      </c>
      <c r="F2353" s="16" t="str">
        <f>VLOOKUP(Table8[[#This Row],[Mã khách hàng]],code_khach_hang[],2,0)</f>
        <v>CHI NHÁNH PHÚ THỌ - CÔNG TY CỔ PHẦN DỊCH VỤ THƯƠNG MẠI TỔNG HỢP WINCOMMERCE</v>
      </c>
      <c r="G2353" s="16" t="str">
        <f>VLOOKUP(Table8[[#This Row],[Mã khách hàng]],code_khach_hang[],3,0)</f>
        <v>Miền Bắc đặc biệt 1</v>
      </c>
      <c r="H2353" t="str">
        <f>VLOOKUP(Table8[[#This Row],[Mã khách hàng]],'Khách hàng'!A:D,4,0)</f>
        <v>Food Đức Việt</v>
      </c>
      <c r="I2353" t="str">
        <f>VLOOKUP(Table8[[#This Row],[Mã khách hàng]],'Khách hàng'!A:E,5,0)</f>
        <v>HN0040</v>
      </c>
    </row>
    <row r="2354" spans="1:9">
      <c r="A2354" s="14" t="s">
        <v>2034</v>
      </c>
      <c r="B2354" s="15" t="s">
        <v>5</v>
      </c>
      <c r="C2354" s="10" t="s">
        <v>2035</v>
      </c>
      <c r="D2354" s="16" t="s">
        <v>7498</v>
      </c>
      <c r="E2354" s="15" t="s">
        <v>11219</v>
      </c>
      <c r="F2354" s="16" t="str">
        <f>VLOOKUP(Table8[[#This Row],[Mã khách hàng]],code_khach_hang[],2,0)</f>
        <v>CHI NHÁNH NAM ĐỊNH - CÔNG TY CỔ PHẦN DỊCH VỤ THƯƠNG MẠI TỔNG HỢP WINCOMMERCE</v>
      </c>
      <c r="G2354" s="16" t="str">
        <f>VLOOKUP(Table8[[#This Row],[Mã khách hàng]],code_khach_hang[],3,0)</f>
        <v>Miền Bắc đặc biệt 3</v>
      </c>
      <c r="H2354" t="str">
        <f>VLOOKUP(Table8[[#This Row],[Mã khách hàng]],'Khách hàng'!A:D,4,0)</f>
        <v>Food Đức Việt</v>
      </c>
      <c r="I2354" t="str">
        <f>VLOOKUP(Table8[[#This Row],[Mã khách hàng]],'Khách hàng'!A:E,5,0)</f>
        <v>HN0040</v>
      </c>
    </row>
    <row r="2355" spans="1:9">
      <c r="A2355" s="14" t="s">
        <v>2048</v>
      </c>
      <c r="B2355" s="15" t="s">
        <v>5</v>
      </c>
      <c r="C2355" s="10" t="s">
        <v>2049</v>
      </c>
      <c r="D2355" s="16" t="s">
        <v>7501</v>
      </c>
      <c r="E2355" s="15" t="s">
        <v>11215</v>
      </c>
      <c r="F2355" s="16" t="str">
        <f>VLOOKUP(Table8[[#This Row],[Mã khách hàng]],code_khach_hang[],2,0)</f>
        <v>CHI NHÁNH HÀ NỘI - CÔNG TY CỔ PHẦN DỊCH VỤ THƯƠNG MẠI TỔNG HỢP WINCOMMERCE</v>
      </c>
      <c r="G2355" s="16" t="str">
        <f>VLOOKUP(Table8[[#This Row],[Mã khách hàng]],code_khach_hang[],3,0)</f>
        <v>Miền Bắc đặc biệt 1</v>
      </c>
      <c r="H2355" t="str">
        <f>VLOOKUP(Table8[[#This Row],[Mã khách hàng]],'Khách hàng'!A:D,4,0)</f>
        <v>Food Đức Việt</v>
      </c>
      <c r="I2355" t="str">
        <f>VLOOKUP(Table8[[#This Row],[Mã khách hàng]],'Khách hàng'!A:E,5,0)</f>
        <v>HN0040</v>
      </c>
    </row>
    <row r="2356" spans="1:9">
      <c r="A2356" s="14" t="s">
        <v>2077</v>
      </c>
      <c r="B2356" s="15" t="s">
        <v>5</v>
      </c>
      <c r="C2356" s="10" t="e">
        <v>#N/A</v>
      </c>
      <c r="D2356" s="16" t="s">
        <v>7504</v>
      </c>
      <c r="E2356" s="15" t="s">
        <v>11205</v>
      </c>
      <c r="F2356" s="16" t="str">
        <f>VLOOKUP(Table8[[#This Row],[Mã khách hàng]],code_khach_hang[],2,0)</f>
        <v>CHI NHÁNH HÀ TĨNH - CÔNG TY CỔ PHẦN DỊCH VỤ THƯƠNG MẠI TỔNG HỢP WINCOMMERCE</v>
      </c>
      <c r="G2356" s="16" t="str">
        <f>VLOOKUP(Table8[[#This Row],[Mã khách hàng]],code_khach_hang[],3,0)</f>
        <v>Miền Trung đặc biệt 1</v>
      </c>
      <c r="H2356" t="str">
        <f>VLOOKUP(Table8[[#This Row],[Mã khách hàng]],'Khách hàng'!A:D,4,0)</f>
        <v>Food Đức Việt</v>
      </c>
      <c r="I2356" t="str">
        <f>VLOOKUP(Table8[[#This Row],[Mã khách hàng]],'Khách hàng'!A:E,5,0)</f>
        <v>HN0040</v>
      </c>
    </row>
    <row r="2357" spans="1:9">
      <c r="A2357" s="14" t="s">
        <v>2093</v>
      </c>
      <c r="B2357" s="15" t="s">
        <v>5</v>
      </c>
      <c r="C2357" s="10" t="s">
        <v>2094</v>
      </c>
      <c r="D2357" s="16" t="s">
        <v>7507</v>
      </c>
      <c r="E2357" s="15" t="s">
        <v>11199</v>
      </c>
      <c r="F2357" s="16" t="str">
        <f>VLOOKUP(Table8[[#This Row],[Mã khách hàng]],code_khach_hang[],2,0)</f>
        <v>CHI NHÁNH PHÚ THỌ - CÔNG TY CỔ PHẦN DỊCH VỤ THƯƠNG MẠI TỔNG HỢP WINCOMMERCE</v>
      </c>
      <c r="G2357" s="16" t="str">
        <f>VLOOKUP(Table8[[#This Row],[Mã khách hàng]],code_khach_hang[],3,0)</f>
        <v>Miền Bắc đặc biệt 1</v>
      </c>
      <c r="H2357" t="str">
        <f>VLOOKUP(Table8[[#This Row],[Mã khách hàng]],'Khách hàng'!A:D,4,0)</f>
        <v>Food Đức Việt</v>
      </c>
      <c r="I2357" t="str">
        <f>VLOOKUP(Table8[[#This Row],[Mã khách hàng]],'Khách hàng'!A:E,5,0)</f>
        <v>HN0040</v>
      </c>
    </row>
    <row r="2358" spans="1:9">
      <c r="A2358" s="14" t="s">
        <v>2096</v>
      </c>
      <c r="B2358" s="15" t="s">
        <v>5</v>
      </c>
      <c r="C2358" s="10" t="s">
        <v>2097</v>
      </c>
      <c r="D2358" s="16" t="s">
        <v>7510</v>
      </c>
      <c r="E2358" s="15" t="s">
        <v>11200</v>
      </c>
      <c r="F2358" s="16" t="str">
        <f>VLOOKUP(Table8[[#This Row],[Mã khách hàng]],code_khach_hang[],2,0)</f>
        <v>CHI NHÁNH THÁI BÌNH - CÔNG TY CỔ PHẦN DỊCH VỤ THƯƠNG MẠI TỔNG HỢP WINCOMMERCE</v>
      </c>
      <c r="G2358" s="16" t="str">
        <f>VLOOKUP(Table8[[#This Row],[Mã khách hàng]],code_khach_hang[],3,0)</f>
        <v>Miền Bắc đặc biệt 3</v>
      </c>
      <c r="H2358" t="str">
        <f>VLOOKUP(Table8[[#This Row],[Mã khách hàng]],'Khách hàng'!A:D,4,0)</f>
        <v>Food Đức Việt</v>
      </c>
      <c r="I2358" t="str">
        <f>VLOOKUP(Table8[[#This Row],[Mã khách hàng]],'Khách hàng'!A:E,5,0)</f>
        <v>HN0040</v>
      </c>
    </row>
    <row r="2359" spans="1:9">
      <c r="A2359" s="14" t="s">
        <v>2116</v>
      </c>
      <c r="B2359" s="15" t="s">
        <v>5</v>
      </c>
      <c r="C2359" s="10" t="s">
        <v>2117</v>
      </c>
      <c r="D2359" s="16" t="s">
        <v>7513</v>
      </c>
      <c r="E2359" s="15" t="s">
        <v>11198</v>
      </c>
      <c r="F2359" s="16" t="str">
        <f>VLOOKUP(Table8[[#This Row],[Mã khách hàng]],code_khach_hang[],2,0)</f>
        <v>CHI NHÁNH HẢI PHÒNG - CÔNG TY CỔ PHẦN DỊCH VỤ THƯƠNG MẠI TỔNG HỢP WINCOMMERCE</v>
      </c>
      <c r="G2359" s="16" t="str">
        <f>VLOOKUP(Table8[[#This Row],[Mã khách hàng]],code_khach_hang[],3,0)</f>
        <v>Miền Bắc đặc biệt 3</v>
      </c>
      <c r="H2359" t="str">
        <f>VLOOKUP(Table8[[#This Row],[Mã khách hàng]],'Khách hàng'!A:D,4,0)</f>
        <v>Food Đức Việt</v>
      </c>
      <c r="I2359" t="str">
        <f>VLOOKUP(Table8[[#This Row],[Mã khách hàng]],'Khách hàng'!A:E,5,0)</f>
        <v>HN0040</v>
      </c>
    </row>
    <row r="2360" spans="1:9">
      <c r="A2360" s="14" t="s">
        <v>2121</v>
      </c>
      <c r="B2360" s="15" t="s">
        <v>5</v>
      </c>
      <c r="C2360" s="10" t="s">
        <v>2122</v>
      </c>
      <c r="D2360" s="16" t="s">
        <v>7516</v>
      </c>
      <c r="E2360" s="15" t="s">
        <v>11198</v>
      </c>
      <c r="F2360" s="16" t="str">
        <f>VLOOKUP(Table8[[#This Row],[Mã khách hàng]],code_khach_hang[],2,0)</f>
        <v>CHI NHÁNH HẢI PHÒNG - CÔNG TY CỔ PHẦN DỊCH VỤ THƯƠNG MẠI TỔNG HỢP WINCOMMERCE</v>
      </c>
      <c r="G2360" s="16" t="str">
        <f>VLOOKUP(Table8[[#This Row],[Mã khách hàng]],code_khach_hang[],3,0)</f>
        <v>Miền Bắc đặc biệt 3</v>
      </c>
      <c r="H2360" t="str">
        <f>VLOOKUP(Table8[[#This Row],[Mã khách hàng]],'Khách hàng'!A:D,4,0)</f>
        <v>Food Đức Việt</v>
      </c>
      <c r="I2360" t="str">
        <f>VLOOKUP(Table8[[#This Row],[Mã khách hàng]],'Khách hàng'!A:E,5,0)</f>
        <v>HN0040</v>
      </c>
    </row>
    <row r="2361" spans="1:9">
      <c r="A2361" s="14" t="s">
        <v>2127</v>
      </c>
      <c r="B2361" s="15" t="s">
        <v>5</v>
      </c>
      <c r="C2361" s="10" t="e">
        <v>#N/A</v>
      </c>
      <c r="D2361" s="16" t="s">
        <v>7519</v>
      </c>
      <c r="E2361" s="15" t="s">
        <v>11203</v>
      </c>
      <c r="F2361" s="16" t="str">
        <f>VLOOKUP(Table8[[#This Row],[Mã khách hàng]],code_khach_hang[],2,0)</f>
        <v>CHI NHÁNH THANH HÓA - CÔNG TY CỔ PHẦN DỊCH VỤ THƯƠNG MẠI TỔNG HỢP WINCOMMERCE</v>
      </c>
      <c r="G2361" s="16" t="str">
        <f>VLOOKUP(Table8[[#This Row],[Mã khách hàng]],code_khach_hang[],3,0)</f>
        <v>Miền Trung đặc biệt 1</v>
      </c>
      <c r="H2361" t="str">
        <f>VLOOKUP(Table8[[#This Row],[Mã khách hàng]],'Khách hàng'!A:D,4,0)</f>
        <v>Food Đức Việt</v>
      </c>
      <c r="I2361" t="str">
        <f>VLOOKUP(Table8[[#This Row],[Mã khách hàng]],'Khách hàng'!A:E,5,0)</f>
        <v>HN0040</v>
      </c>
    </row>
    <row r="2362" spans="1:9">
      <c r="A2362" s="14" t="s">
        <v>2129</v>
      </c>
      <c r="B2362" s="15" t="s">
        <v>5</v>
      </c>
      <c r="C2362" s="10" t="s">
        <v>2130</v>
      </c>
      <c r="D2362" s="16" t="s">
        <v>7522</v>
      </c>
      <c r="E2362" s="15" t="s">
        <v>11203</v>
      </c>
      <c r="F2362" s="16" t="str">
        <f>VLOOKUP(Table8[[#This Row],[Mã khách hàng]],code_khach_hang[],2,0)</f>
        <v>CHI NHÁNH THANH HÓA - CÔNG TY CỔ PHẦN DỊCH VỤ THƯƠNG MẠI TỔNG HỢP WINCOMMERCE</v>
      </c>
      <c r="G2362" s="16" t="str">
        <f>VLOOKUP(Table8[[#This Row],[Mã khách hàng]],code_khach_hang[],3,0)</f>
        <v>Miền Trung đặc biệt 1</v>
      </c>
      <c r="H2362" t="str">
        <f>VLOOKUP(Table8[[#This Row],[Mã khách hàng]],'Khách hàng'!A:D,4,0)</f>
        <v>Food Đức Việt</v>
      </c>
      <c r="I2362" t="str">
        <f>VLOOKUP(Table8[[#This Row],[Mã khách hàng]],'Khách hàng'!A:E,5,0)</f>
        <v>HN0040</v>
      </c>
    </row>
    <row r="2363" spans="1:9">
      <c r="A2363" s="14" t="s">
        <v>2143</v>
      </c>
      <c r="B2363" s="15" t="s">
        <v>5</v>
      </c>
      <c r="C2363" s="10" t="e">
        <v>#N/A</v>
      </c>
      <c r="D2363" s="16" t="s">
        <v>7525</v>
      </c>
      <c r="E2363" s="15" t="s">
        <v>11211</v>
      </c>
      <c r="F2363" s="16" t="str">
        <f>VLOOKUP(Table8[[#This Row],[Mã khách hàng]],code_khach_hang[],2,0)</f>
        <v>CHI NHÁNH NGHỆ AN - CÔNG TY CỔ PHẦN DỊCH VỤ THƯƠNG MẠI TỔNG HỢP WINCOMMERCE</v>
      </c>
      <c r="G2363" s="16" t="str">
        <f>VLOOKUP(Table8[[#This Row],[Mã khách hàng]],code_khach_hang[],3,0)</f>
        <v>Miền Trung đặc biệt 1</v>
      </c>
      <c r="H2363" t="str">
        <f>VLOOKUP(Table8[[#This Row],[Mã khách hàng]],'Khách hàng'!A:D,4,0)</f>
        <v>Food Đức Việt</v>
      </c>
      <c r="I2363" t="str">
        <f>VLOOKUP(Table8[[#This Row],[Mã khách hàng]],'Khách hàng'!A:E,5,0)</f>
        <v>HN0040</v>
      </c>
    </row>
    <row r="2364" spans="1:9">
      <c r="A2364" s="14" t="s">
        <v>2159</v>
      </c>
      <c r="B2364" s="15" t="s">
        <v>5</v>
      </c>
      <c r="C2364" s="10" t="s">
        <v>2160</v>
      </c>
      <c r="D2364" s="16" t="s">
        <v>7528</v>
      </c>
      <c r="E2364" s="15" t="s">
        <v>11199</v>
      </c>
      <c r="F2364" s="16" t="str">
        <f>VLOOKUP(Table8[[#This Row],[Mã khách hàng]],code_khach_hang[],2,0)</f>
        <v>CHI NHÁNH PHÚ THỌ - CÔNG TY CỔ PHẦN DỊCH VỤ THƯƠNG MẠI TỔNG HỢP WINCOMMERCE</v>
      </c>
      <c r="G2364" s="16" t="str">
        <f>VLOOKUP(Table8[[#This Row],[Mã khách hàng]],code_khach_hang[],3,0)</f>
        <v>Miền Bắc đặc biệt 1</v>
      </c>
      <c r="H2364" t="str">
        <f>VLOOKUP(Table8[[#This Row],[Mã khách hàng]],'Khách hàng'!A:D,4,0)</f>
        <v>Food Đức Việt</v>
      </c>
      <c r="I2364" t="str">
        <f>VLOOKUP(Table8[[#This Row],[Mã khách hàng]],'Khách hàng'!A:E,5,0)</f>
        <v>HN0040</v>
      </c>
    </row>
    <row r="2365" spans="1:9">
      <c r="A2365" s="14" t="s">
        <v>2165</v>
      </c>
      <c r="B2365" s="15" t="s">
        <v>5</v>
      </c>
      <c r="C2365" s="10" t="s">
        <v>2166</v>
      </c>
      <c r="D2365" s="16" t="s">
        <v>7531</v>
      </c>
      <c r="E2365" s="15" t="s">
        <v>11205</v>
      </c>
      <c r="F2365" s="16" t="str">
        <f>VLOOKUP(Table8[[#This Row],[Mã khách hàng]],code_khach_hang[],2,0)</f>
        <v>CHI NHÁNH HÀ TĨNH - CÔNG TY CỔ PHẦN DỊCH VỤ THƯƠNG MẠI TỔNG HỢP WINCOMMERCE</v>
      </c>
      <c r="G2365" s="16" t="str">
        <f>VLOOKUP(Table8[[#This Row],[Mã khách hàng]],code_khach_hang[],3,0)</f>
        <v>Miền Trung đặc biệt 1</v>
      </c>
      <c r="H2365" t="str">
        <f>VLOOKUP(Table8[[#This Row],[Mã khách hàng]],'Khách hàng'!A:D,4,0)</f>
        <v>Food Đức Việt</v>
      </c>
      <c r="I2365" t="str">
        <f>VLOOKUP(Table8[[#This Row],[Mã khách hàng]],'Khách hàng'!A:E,5,0)</f>
        <v>HN0040</v>
      </c>
    </row>
    <row r="2366" spans="1:9">
      <c r="A2366" s="14" t="s">
        <v>2168</v>
      </c>
      <c r="B2366" s="15" t="s">
        <v>5</v>
      </c>
      <c r="C2366" s="10" t="s">
        <v>2169</v>
      </c>
      <c r="D2366" s="16" t="s">
        <v>7534</v>
      </c>
      <c r="E2366" s="15" t="s">
        <v>11207</v>
      </c>
      <c r="F2366" s="16" t="str">
        <f>VLOOKUP(Table8[[#This Row],[Mã khách hàng]],code_khach_hang[],2,0)</f>
        <v>CHI NHÁNH THÁI NGUYÊN - CÔNG TY CỔ PHẦN DỊCH VỤ THƯƠNG MẠI TỔNG HỢP WINCOMMERCE</v>
      </c>
      <c r="G2366" s="16" t="str">
        <f>VLOOKUP(Table8[[#This Row],[Mã khách hàng]],code_khach_hang[],3,0)</f>
        <v>Miền Bắc đặc biệt 2</v>
      </c>
      <c r="H2366" t="str">
        <f>VLOOKUP(Table8[[#This Row],[Mã khách hàng]],'Khách hàng'!A:D,4,0)</f>
        <v>Food Đức Việt</v>
      </c>
      <c r="I2366" t="str">
        <f>VLOOKUP(Table8[[#This Row],[Mã khách hàng]],'Khách hàng'!A:E,5,0)</f>
        <v>HN0040</v>
      </c>
    </row>
    <row r="2367" spans="1:9">
      <c r="A2367" s="14" t="s">
        <v>2025</v>
      </c>
      <c r="B2367" s="15" t="s">
        <v>5</v>
      </c>
      <c r="C2367" s="10" t="s">
        <v>2026</v>
      </c>
      <c r="D2367" s="16" t="s">
        <v>7537</v>
      </c>
      <c r="E2367" s="15" t="s">
        <v>11215</v>
      </c>
      <c r="F2367" s="16" t="str">
        <f>VLOOKUP(Table8[[#This Row],[Mã khách hàng]],code_khach_hang[],2,0)</f>
        <v>CHI NHÁNH HÀ NỘI - CÔNG TY CỔ PHẦN DỊCH VỤ THƯƠNG MẠI TỔNG HỢP WINCOMMERCE</v>
      </c>
      <c r="G2367" s="16" t="str">
        <f>VLOOKUP(Table8[[#This Row],[Mã khách hàng]],code_khach_hang[],3,0)</f>
        <v>Miền Bắc đặc biệt 1</v>
      </c>
      <c r="H2367" t="str">
        <f>VLOOKUP(Table8[[#This Row],[Mã khách hàng]],'Khách hàng'!A:D,4,0)</f>
        <v>Food Đức Việt</v>
      </c>
      <c r="I2367" t="str">
        <f>VLOOKUP(Table8[[#This Row],[Mã khách hàng]],'Khách hàng'!A:E,5,0)</f>
        <v>HN0040</v>
      </c>
    </row>
    <row r="2368" spans="1:9">
      <c r="A2368" s="14" t="s">
        <v>2156</v>
      </c>
      <c r="B2368" s="15" t="s">
        <v>5</v>
      </c>
      <c r="C2368" s="10" t="s">
        <v>2157</v>
      </c>
      <c r="D2368" s="16" t="s">
        <v>7540</v>
      </c>
      <c r="E2368" s="15" t="s">
        <v>11197</v>
      </c>
      <c r="F2368" s="16" t="str">
        <f>VLOOKUP(Table8[[#This Row],[Mã khách hàng]],code_khach_hang[],2,0)</f>
        <v>CHI NHÁNH QUẢNG NINH - CÔNG TY CỔ PHẦN DỊCH VỤ THƯƠNG MẠI TỔNG HỢP WINCOMMERCE</v>
      </c>
      <c r="G2368" s="16" t="str">
        <f>VLOOKUP(Table8[[#This Row],[Mã khách hàng]],code_khach_hang[],3,0)</f>
        <v>Miền Bắc đặc biệt 3</v>
      </c>
      <c r="H2368" t="str">
        <f>VLOOKUP(Table8[[#This Row],[Mã khách hàng]],'Khách hàng'!A:D,4,0)</f>
        <v>Food Đức Việt</v>
      </c>
      <c r="I2368" t="str">
        <f>VLOOKUP(Table8[[#This Row],[Mã khách hàng]],'Khách hàng'!A:E,5,0)</f>
        <v>HN0040</v>
      </c>
    </row>
    <row r="2369" spans="1:9">
      <c r="A2369" s="14" t="s">
        <v>1930</v>
      </c>
      <c r="B2369" s="15" t="s">
        <v>5</v>
      </c>
      <c r="C2369" s="10" t="s">
        <v>1931</v>
      </c>
      <c r="D2369" s="16" t="s">
        <v>7543</v>
      </c>
      <c r="E2369" s="15" t="s">
        <v>11216</v>
      </c>
      <c r="F2369" s="16" t="str">
        <f>VLOOKUP(Table8[[#This Row],[Mã khách hàng]],code_khach_hang[],2,0)</f>
        <v>CHI NHÁNH HƯNG YÊN - CÔNG TY CỔ PHẦN DỊCH VỤ THƯƠNG MẠI TỔNG HỢP WINCOMMERCE</v>
      </c>
      <c r="G2369" s="16" t="str">
        <f>VLOOKUP(Table8[[#This Row],[Mã khách hàng]],code_khach_hang[],3,0)</f>
        <v>Miền Bắc đặc biệt 1</v>
      </c>
      <c r="H2369" t="str">
        <f>VLOOKUP(Table8[[#This Row],[Mã khách hàng]],'Khách hàng'!A:D,4,0)</f>
        <v>Food Đức Việt</v>
      </c>
      <c r="I2369" t="str">
        <f>VLOOKUP(Table8[[#This Row],[Mã khách hàng]],'Khách hàng'!A:E,5,0)</f>
        <v>HN0040</v>
      </c>
    </row>
    <row r="2370" spans="1:9">
      <c r="A2370" s="14" t="s">
        <v>2016</v>
      </c>
      <c r="B2370" s="15" t="s">
        <v>5</v>
      </c>
      <c r="C2370" s="10" t="s">
        <v>2017</v>
      </c>
      <c r="D2370" s="16" t="s">
        <v>7546</v>
      </c>
      <c r="E2370" s="15" t="s">
        <v>11197</v>
      </c>
      <c r="F2370" s="16" t="str">
        <f>VLOOKUP(Table8[[#This Row],[Mã khách hàng]],code_khach_hang[],2,0)</f>
        <v>CHI NHÁNH QUẢNG NINH - CÔNG TY CỔ PHẦN DỊCH VỤ THƯƠNG MẠI TỔNG HỢP WINCOMMERCE</v>
      </c>
      <c r="G2370" s="16" t="str">
        <f>VLOOKUP(Table8[[#This Row],[Mã khách hàng]],code_khach_hang[],3,0)</f>
        <v>Miền Bắc đặc biệt 3</v>
      </c>
      <c r="H2370" t="str">
        <f>VLOOKUP(Table8[[#This Row],[Mã khách hàng]],'Khách hàng'!A:D,4,0)</f>
        <v>Food Đức Việt</v>
      </c>
      <c r="I2370" t="str">
        <f>VLOOKUP(Table8[[#This Row],[Mã khách hàng]],'Khách hàng'!A:E,5,0)</f>
        <v>HN0040</v>
      </c>
    </row>
    <row r="2371" spans="1:9">
      <c r="A2371" s="14" t="s">
        <v>2179</v>
      </c>
      <c r="B2371" s="15" t="s">
        <v>5</v>
      </c>
      <c r="C2371" s="10" t="s">
        <v>2180</v>
      </c>
      <c r="D2371" s="16" t="s">
        <v>7549</v>
      </c>
      <c r="E2371" s="15" t="s">
        <v>11203</v>
      </c>
      <c r="F2371" s="16" t="str">
        <f>VLOOKUP(Table8[[#This Row],[Mã khách hàng]],code_khach_hang[],2,0)</f>
        <v>CHI NHÁNH THANH HÓA - CÔNG TY CỔ PHẦN DỊCH VỤ THƯƠNG MẠI TỔNG HỢP WINCOMMERCE</v>
      </c>
      <c r="G2371" s="16" t="str">
        <f>VLOOKUP(Table8[[#This Row],[Mã khách hàng]],code_khach_hang[],3,0)</f>
        <v>Miền Trung đặc biệt 1</v>
      </c>
      <c r="H2371" t="str">
        <f>VLOOKUP(Table8[[#This Row],[Mã khách hàng]],'Khách hàng'!A:D,4,0)</f>
        <v>Food Đức Việt</v>
      </c>
      <c r="I2371" t="str">
        <f>VLOOKUP(Table8[[#This Row],[Mã khách hàng]],'Khách hàng'!A:E,5,0)</f>
        <v>HN0040</v>
      </c>
    </row>
    <row r="2372" spans="1:9">
      <c r="A2372" s="14" t="s">
        <v>1665</v>
      </c>
      <c r="B2372" s="15" t="s">
        <v>5</v>
      </c>
      <c r="C2372" s="10" t="s">
        <v>1666</v>
      </c>
      <c r="D2372" s="16" t="s">
        <v>7552</v>
      </c>
      <c r="E2372" s="15" t="s">
        <v>11193</v>
      </c>
      <c r="F2372" s="16" t="str">
        <f>VLOOKUP(Table8[[#This Row],[Mã khách hàng]],code_khach_hang[],2,0)</f>
        <v>CHI NHÁNH BẮC NINH - CÔNG TY CỔ PHẦN DỊCH VỤ THƯƠNG MẠI TỔNG HỢP WINCOMMERCE</v>
      </c>
      <c r="G2372" s="16" t="str">
        <f>VLOOKUP(Table8[[#This Row],[Mã khách hàng]],code_khach_hang[],3,0)</f>
        <v>Miền Bắc đặc biệt 2</v>
      </c>
      <c r="H2372" t="str">
        <f>VLOOKUP(Table8[[#This Row],[Mã khách hàng]],'Khách hàng'!A:D,4,0)</f>
        <v>Food Đức Việt</v>
      </c>
      <c r="I2372" t="str">
        <f>VLOOKUP(Table8[[#This Row],[Mã khách hàng]],'Khách hàng'!A:E,5,0)</f>
        <v>HN0040</v>
      </c>
    </row>
    <row r="2373" spans="1:9">
      <c r="A2373" s="14" t="s">
        <v>2400</v>
      </c>
      <c r="B2373" s="15" t="s">
        <v>5</v>
      </c>
      <c r="C2373" s="10" t="s">
        <v>2401</v>
      </c>
      <c r="D2373" s="16" t="s">
        <v>7555</v>
      </c>
      <c r="E2373" s="15" t="s">
        <v>11215</v>
      </c>
      <c r="F2373" s="16" t="str">
        <f>VLOOKUP(Table8[[#This Row],[Mã khách hàng]],code_khach_hang[],2,0)</f>
        <v>CHI NHÁNH HÀ NỘI - CÔNG TY CỔ PHẦN DỊCH VỤ THƯƠNG MẠI TỔNG HỢP WINCOMMERCE</v>
      </c>
      <c r="G2373" s="16" t="str">
        <f>VLOOKUP(Table8[[#This Row],[Mã khách hàng]],code_khach_hang[],3,0)</f>
        <v>Miền Bắc đặc biệt 1</v>
      </c>
      <c r="H2373" t="str">
        <f>VLOOKUP(Table8[[#This Row],[Mã khách hàng]],'Khách hàng'!A:D,4,0)</f>
        <v>Food Đức Việt</v>
      </c>
      <c r="I2373" t="str">
        <f>VLOOKUP(Table8[[#This Row],[Mã khách hàng]],'Khách hàng'!A:E,5,0)</f>
        <v>HN0040</v>
      </c>
    </row>
    <row r="2374" spans="1:9">
      <c r="A2374" s="14" t="s">
        <v>2119</v>
      </c>
      <c r="B2374" s="15" t="s">
        <v>5</v>
      </c>
      <c r="C2374" s="10" t="e">
        <v>#N/A</v>
      </c>
      <c r="D2374" s="16" t="s">
        <v>7558</v>
      </c>
      <c r="E2374" s="15" t="s">
        <v>11203</v>
      </c>
      <c r="F2374" s="16" t="str">
        <f>VLOOKUP(Table8[[#This Row],[Mã khách hàng]],code_khach_hang[],2,0)</f>
        <v>CHI NHÁNH THANH HÓA - CÔNG TY CỔ PHẦN DỊCH VỤ THƯƠNG MẠI TỔNG HỢP WINCOMMERCE</v>
      </c>
      <c r="G2374" s="16" t="str">
        <f>VLOOKUP(Table8[[#This Row],[Mã khách hàng]],code_khach_hang[],3,0)</f>
        <v>Miền Trung đặc biệt 1</v>
      </c>
      <c r="H2374" t="str">
        <f>VLOOKUP(Table8[[#This Row],[Mã khách hàng]],'Khách hàng'!A:D,4,0)</f>
        <v>Food Đức Việt</v>
      </c>
      <c r="I2374" t="str">
        <f>VLOOKUP(Table8[[#This Row],[Mã khách hàng]],'Khách hàng'!A:E,5,0)</f>
        <v>HN0040</v>
      </c>
    </row>
    <row r="2375" spans="1:9">
      <c r="A2375" s="14" t="s">
        <v>2176</v>
      </c>
      <c r="B2375" s="15" t="s">
        <v>5</v>
      </c>
      <c r="C2375" s="10" t="s">
        <v>2177</v>
      </c>
      <c r="D2375" s="16" t="s">
        <v>7561</v>
      </c>
      <c r="E2375" s="15" t="s">
        <v>11215</v>
      </c>
      <c r="F2375" s="16" t="str">
        <f>VLOOKUP(Table8[[#This Row],[Mã khách hàng]],code_khach_hang[],2,0)</f>
        <v>CHI NHÁNH HÀ NỘI - CÔNG TY CỔ PHẦN DỊCH VỤ THƯƠNG MẠI TỔNG HỢP WINCOMMERCE</v>
      </c>
      <c r="G2375" s="16" t="str">
        <f>VLOOKUP(Table8[[#This Row],[Mã khách hàng]],code_khach_hang[],3,0)</f>
        <v>Miền Bắc đặc biệt 1</v>
      </c>
      <c r="H2375" t="str">
        <f>VLOOKUP(Table8[[#This Row],[Mã khách hàng]],'Khách hàng'!A:D,4,0)</f>
        <v>Food Đức Việt</v>
      </c>
      <c r="I2375" t="str">
        <f>VLOOKUP(Table8[[#This Row],[Mã khách hàng]],'Khách hàng'!A:E,5,0)</f>
        <v>HN0040</v>
      </c>
    </row>
    <row r="2376" spans="1:9">
      <c r="A2376" s="14" t="s">
        <v>1716</v>
      </c>
      <c r="B2376" s="15" t="s">
        <v>5</v>
      </c>
      <c r="C2376" s="10" t="e">
        <v>#N/A</v>
      </c>
      <c r="D2376" s="16" t="s">
        <v>7564</v>
      </c>
      <c r="E2376" s="15" t="s">
        <v>11197</v>
      </c>
      <c r="F2376" s="16" t="str">
        <f>VLOOKUP(Table8[[#This Row],[Mã khách hàng]],code_khach_hang[],2,0)</f>
        <v>CHI NHÁNH QUẢNG NINH - CÔNG TY CỔ PHẦN DỊCH VỤ THƯƠNG MẠI TỔNG HỢP WINCOMMERCE</v>
      </c>
      <c r="G2376" s="16" t="str">
        <f>VLOOKUP(Table8[[#This Row],[Mã khách hàng]],code_khach_hang[],3,0)</f>
        <v>Miền Bắc đặc biệt 3</v>
      </c>
      <c r="H2376" t="str">
        <f>VLOOKUP(Table8[[#This Row],[Mã khách hàng]],'Khách hàng'!A:D,4,0)</f>
        <v>Food Đức Việt</v>
      </c>
      <c r="I2376" t="str">
        <f>VLOOKUP(Table8[[#This Row],[Mã khách hàng]],'Khách hàng'!A:E,5,0)</f>
        <v>HN0040</v>
      </c>
    </row>
    <row r="2377" spans="1:9">
      <c r="A2377" s="14" t="s">
        <v>2135</v>
      </c>
      <c r="B2377" s="15" t="s">
        <v>5</v>
      </c>
      <c r="C2377" s="10" t="s">
        <v>2136</v>
      </c>
      <c r="D2377" s="16" t="s">
        <v>7567</v>
      </c>
      <c r="E2377" s="15" t="s">
        <v>11201</v>
      </c>
      <c r="F2377" s="16" t="str">
        <f>VLOOKUP(Table8[[#This Row],[Mã khách hàng]],code_khach_hang[],2,0)</f>
        <v>CHI NHÁNH HẢI DƯƠNG - CÔNG TY CỔ PHẦN DỊCH VỤ THƯƠNG MẠI TỔNG HỢP WINCOMMERCE</v>
      </c>
      <c r="G2377" s="16" t="str">
        <f>VLOOKUP(Table8[[#This Row],[Mã khách hàng]],code_khach_hang[],3,0)</f>
        <v>Miền Bắc đặc biệt 3</v>
      </c>
      <c r="H2377" t="str">
        <f>VLOOKUP(Table8[[#This Row],[Mã khách hàng]],'Khách hàng'!A:D,4,0)</f>
        <v>Food Đức Việt</v>
      </c>
      <c r="I2377" t="str">
        <f>VLOOKUP(Table8[[#This Row],[Mã khách hàng]],'Khách hàng'!A:E,5,0)</f>
        <v>HN0040</v>
      </c>
    </row>
    <row r="2378" spans="1:9">
      <c r="A2378" s="14" t="s">
        <v>2132</v>
      </c>
      <c r="B2378" s="15" t="s">
        <v>5</v>
      </c>
      <c r="C2378" s="10" t="s">
        <v>2133</v>
      </c>
      <c r="D2378" s="16" t="s">
        <v>7570</v>
      </c>
      <c r="E2378" s="15" t="s">
        <v>11197</v>
      </c>
      <c r="F2378" s="16" t="str">
        <f>VLOOKUP(Table8[[#This Row],[Mã khách hàng]],code_khach_hang[],2,0)</f>
        <v>CHI NHÁNH QUẢNG NINH - CÔNG TY CỔ PHẦN DỊCH VỤ THƯƠNG MẠI TỔNG HỢP WINCOMMERCE</v>
      </c>
      <c r="G2378" s="16" t="str">
        <f>VLOOKUP(Table8[[#This Row],[Mã khách hàng]],code_khach_hang[],3,0)</f>
        <v>Miền Bắc đặc biệt 3</v>
      </c>
      <c r="H2378" t="str">
        <f>VLOOKUP(Table8[[#This Row],[Mã khách hàng]],'Khách hàng'!A:D,4,0)</f>
        <v>Food Đức Việt</v>
      </c>
      <c r="I2378" t="str">
        <f>VLOOKUP(Table8[[#This Row],[Mã khách hàng]],'Khách hàng'!A:E,5,0)</f>
        <v>HN0040</v>
      </c>
    </row>
    <row r="2379" spans="1:9">
      <c r="A2379" s="14" t="s">
        <v>2171</v>
      </c>
      <c r="B2379" s="15" t="s">
        <v>5</v>
      </c>
      <c r="C2379" s="10" t="e">
        <v>#N/A</v>
      </c>
      <c r="D2379" s="16" t="s">
        <v>7573</v>
      </c>
      <c r="E2379" s="15" t="s">
        <v>11194</v>
      </c>
      <c r="F2379" s="16" t="str">
        <f>VLOOKUP(Table8[[#This Row],[Mã khách hàng]],code_khach_hang[],2,0)</f>
        <v>CHI NHÁNH VĨNH PHÚC - CÔNG TY CỔ PHẦN DỊCH VỤ THƯƠNG MẠI TỔNG HỢP WINCOMMERCE</v>
      </c>
      <c r="G2379" s="16" t="str">
        <f>VLOOKUP(Table8[[#This Row],[Mã khách hàng]],code_khach_hang[],3,0)</f>
        <v>Miền Bắc đặc biệt 2</v>
      </c>
      <c r="H2379" t="str">
        <f>VLOOKUP(Table8[[#This Row],[Mã khách hàng]],'Khách hàng'!A:D,4,0)</f>
        <v>Food Đức Việt</v>
      </c>
      <c r="I2379" t="str">
        <f>VLOOKUP(Table8[[#This Row],[Mã khách hàng]],'Khách hàng'!A:E,5,0)</f>
        <v>HN0040</v>
      </c>
    </row>
    <row r="2380" spans="1:9">
      <c r="A2380" s="14" t="s">
        <v>9306</v>
      </c>
      <c r="B2380" s="15" t="s">
        <v>5</v>
      </c>
      <c r="C2380" s="10" t="s">
        <v>9307</v>
      </c>
      <c r="D2380" s="16" t="s">
        <v>7576</v>
      </c>
      <c r="E2380" s="15" t="s">
        <v>11198</v>
      </c>
      <c r="F2380" s="16" t="str">
        <f>VLOOKUP(Table8[[#This Row],[Mã khách hàng]],code_khach_hang[],2,0)</f>
        <v>CHI NHÁNH HẢI PHÒNG - CÔNG TY CỔ PHẦN DỊCH VỤ THƯƠNG MẠI TỔNG HỢP WINCOMMERCE</v>
      </c>
      <c r="G2380" s="16" t="str">
        <f>VLOOKUP(Table8[[#This Row],[Mã khách hàng]],code_khach_hang[],3,0)</f>
        <v>Miền Bắc đặc biệt 3</v>
      </c>
      <c r="H2380" t="str">
        <f>VLOOKUP(Table8[[#This Row],[Mã khách hàng]],'Khách hàng'!A:D,4,0)</f>
        <v>Food Đức Việt</v>
      </c>
      <c r="I2380" t="str">
        <f>VLOOKUP(Table8[[#This Row],[Mã khách hàng]],'Khách hàng'!A:E,5,0)</f>
        <v>HN0040</v>
      </c>
    </row>
    <row r="2381" spans="1:9">
      <c r="A2381" s="14" t="s">
        <v>2074</v>
      </c>
      <c r="B2381" s="15" t="s">
        <v>5</v>
      </c>
      <c r="C2381" s="10" t="s">
        <v>2075</v>
      </c>
      <c r="D2381" s="16" t="s">
        <v>7579</v>
      </c>
      <c r="E2381" s="15" t="s">
        <v>11211</v>
      </c>
      <c r="F2381" s="16" t="str">
        <f>VLOOKUP(Table8[[#This Row],[Mã khách hàng]],code_khach_hang[],2,0)</f>
        <v>CHI NHÁNH NGHỆ AN - CÔNG TY CỔ PHẦN DỊCH VỤ THƯƠNG MẠI TỔNG HỢP WINCOMMERCE</v>
      </c>
      <c r="G2381" s="16" t="str">
        <f>VLOOKUP(Table8[[#This Row],[Mã khách hàng]],code_khach_hang[],3,0)</f>
        <v>Miền Trung đặc biệt 1</v>
      </c>
      <c r="H2381" t="str">
        <f>VLOOKUP(Table8[[#This Row],[Mã khách hàng]],'Khách hàng'!A:D,4,0)</f>
        <v>Food Đức Việt</v>
      </c>
      <c r="I2381" t="str">
        <f>VLOOKUP(Table8[[#This Row],[Mã khách hàng]],'Khách hàng'!A:E,5,0)</f>
        <v>HN0040</v>
      </c>
    </row>
    <row r="2382" spans="1:9">
      <c r="A2382" s="14" t="s">
        <v>2141</v>
      </c>
      <c r="B2382" s="15" t="s">
        <v>5</v>
      </c>
      <c r="C2382" s="10" t="e">
        <v>#N/A</v>
      </c>
      <c r="D2382" s="16" t="s">
        <v>7582</v>
      </c>
      <c r="E2382" s="15" t="s">
        <v>11205</v>
      </c>
      <c r="F2382" s="16" t="str">
        <f>VLOOKUP(Table8[[#This Row],[Mã khách hàng]],code_khach_hang[],2,0)</f>
        <v>CHI NHÁNH HÀ TĨNH - CÔNG TY CỔ PHẦN DỊCH VỤ THƯƠNG MẠI TỔNG HỢP WINCOMMERCE</v>
      </c>
      <c r="G2382" s="16" t="str">
        <f>VLOOKUP(Table8[[#This Row],[Mã khách hàng]],code_khach_hang[],3,0)</f>
        <v>Miền Trung đặc biệt 1</v>
      </c>
      <c r="H2382" t="str">
        <f>VLOOKUP(Table8[[#This Row],[Mã khách hàng]],'Khách hàng'!A:D,4,0)</f>
        <v>Food Đức Việt</v>
      </c>
      <c r="I2382" t="str">
        <f>VLOOKUP(Table8[[#This Row],[Mã khách hàng]],'Khách hàng'!A:E,5,0)</f>
        <v>HN0040</v>
      </c>
    </row>
    <row r="2383" spans="1:9">
      <c r="A2383" s="14" t="s">
        <v>2188</v>
      </c>
      <c r="B2383" s="15" t="s">
        <v>5</v>
      </c>
      <c r="C2383" s="10" t="s">
        <v>2189</v>
      </c>
      <c r="D2383" s="16" t="s">
        <v>7585</v>
      </c>
      <c r="E2383" s="15" t="s">
        <v>11201</v>
      </c>
      <c r="F2383" s="16" t="str">
        <f>VLOOKUP(Table8[[#This Row],[Mã khách hàng]],code_khach_hang[],2,0)</f>
        <v>CHI NHÁNH HẢI DƯƠNG - CÔNG TY CỔ PHẦN DỊCH VỤ THƯƠNG MẠI TỔNG HỢP WINCOMMERCE</v>
      </c>
      <c r="G2383" s="16" t="str">
        <f>VLOOKUP(Table8[[#This Row],[Mã khách hàng]],code_khach_hang[],3,0)</f>
        <v>Miền Bắc đặc biệt 3</v>
      </c>
      <c r="H2383" t="str">
        <f>VLOOKUP(Table8[[#This Row],[Mã khách hàng]],'Khách hàng'!A:D,4,0)</f>
        <v>Food Đức Việt</v>
      </c>
      <c r="I2383" t="str">
        <f>VLOOKUP(Table8[[#This Row],[Mã khách hàng]],'Khách hàng'!A:E,5,0)</f>
        <v>HN0040</v>
      </c>
    </row>
    <row r="2384" spans="1:9">
      <c r="A2384" s="14" t="s">
        <v>2114</v>
      </c>
      <c r="B2384" s="15" t="s">
        <v>5</v>
      </c>
      <c r="C2384" s="10" t="e">
        <v>#N/A</v>
      </c>
      <c r="D2384" s="16" t="s">
        <v>7588</v>
      </c>
      <c r="E2384" s="15" t="s">
        <v>11203</v>
      </c>
      <c r="F2384" s="16" t="str">
        <f>VLOOKUP(Table8[[#This Row],[Mã khách hàng]],code_khach_hang[],2,0)</f>
        <v>CHI NHÁNH THANH HÓA - CÔNG TY CỔ PHẦN DỊCH VỤ THƯƠNG MẠI TỔNG HỢP WINCOMMERCE</v>
      </c>
      <c r="G2384" s="16" t="str">
        <f>VLOOKUP(Table8[[#This Row],[Mã khách hàng]],code_khach_hang[],3,0)</f>
        <v>Miền Trung đặc biệt 1</v>
      </c>
      <c r="H2384" t="str">
        <f>VLOOKUP(Table8[[#This Row],[Mã khách hàng]],'Khách hàng'!A:D,4,0)</f>
        <v>Food Đức Việt</v>
      </c>
      <c r="I2384" t="str">
        <f>VLOOKUP(Table8[[#This Row],[Mã khách hàng]],'Khách hàng'!A:E,5,0)</f>
        <v>HN0040</v>
      </c>
    </row>
    <row r="2385" spans="1:9">
      <c r="A2385" s="14" t="s">
        <v>2191</v>
      </c>
      <c r="B2385" s="15" t="s">
        <v>5</v>
      </c>
      <c r="C2385" s="10" t="e">
        <v>#N/A</v>
      </c>
      <c r="D2385" s="16" t="s">
        <v>7591</v>
      </c>
      <c r="E2385" s="15" t="s">
        <v>11203</v>
      </c>
      <c r="F2385" s="16" t="str">
        <f>VLOOKUP(Table8[[#This Row],[Mã khách hàng]],code_khach_hang[],2,0)</f>
        <v>CHI NHÁNH THANH HÓA - CÔNG TY CỔ PHẦN DỊCH VỤ THƯƠNG MẠI TỔNG HỢP WINCOMMERCE</v>
      </c>
      <c r="G2385" s="16" t="str">
        <f>VLOOKUP(Table8[[#This Row],[Mã khách hàng]],code_khach_hang[],3,0)</f>
        <v>Miền Trung đặc biệt 1</v>
      </c>
      <c r="H2385" t="str">
        <f>VLOOKUP(Table8[[#This Row],[Mã khách hàng]],'Khách hàng'!A:D,4,0)</f>
        <v>Food Đức Việt</v>
      </c>
      <c r="I2385" t="str">
        <f>VLOOKUP(Table8[[#This Row],[Mã khách hàng]],'Khách hàng'!A:E,5,0)</f>
        <v>HN0040</v>
      </c>
    </row>
    <row r="2386" spans="1:9">
      <c r="A2386" s="14" t="s">
        <v>2211</v>
      </c>
      <c r="B2386" s="15" t="s">
        <v>5</v>
      </c>
      <c r="C2386" s="10" t="s">
        <v>2212</v>
      </c>
      <c r="D2386" s="16" t="s">
        <v>7594</v>
      </c>
      <c r="E2386" s="15" t="s">
        <v>11215</v>
      </c>
      <c r="F2386" s="16" t="str">
        <f>VLOOKUP(Table8[[#This Row],[Mã khách hàng]],code_khach_hang[],2,0)</f>
        <v>CHI NHÁNH HÀ NỘI - CÔNG TY CỔ PHẦN DỊCH VỤ THƯƠNG MẠI TỔNG HỢP WINCOMMERCE</v>
      </c>
      <c r="G2386" s="16" t="str">
        <f>VLOOKUP(Table8[[#This Row],[Mã khách hàng]],code_khach_hang[],3,0)</f>
        <v>Miền Bắc đặc biệt 1</v>
      </c>
      <c r="H2386" t="str">
        <f>VLOOKUP(Table8[[#This Row],[Mã khách hàng]],'Khách hàng'!A:D,4,0)</f>
        <v>Food Đức Việt</v>
      </c>
      <c r="I2386" t="str">
        <f>VLOOKUP(Table8[[#This Row],[Mã khách hàng]],'Khách hàng'!A:E,5,0)</f>
        <v>HN0040</v>
      </c>
    </row>
    <row r="2387" spans="1:9">
      <c r="A2387" s="14" t="s">
        <v>2217</v>
      </c>
      <c r="B2387" s="15" t="s">
        <v>5</v>
      </c>
      <c r="C2387" s="10" t="s">
        <v>2218</v>
      </c>
      <c r="D2387" s="16" t="s">
        <v>7597</v>
      </c>
      <c r="E2387" s="15" t="s">
        <v>11215</v>
      </c>
      <c r="F2387" s="16" t="str">
        <f>VLOOKUP(Table8[[#This Row],[Mã khách hàng]],code_khach_hang[],2,0)</f>
        <v>CHI NHÁNH HÀ NỘI - CÔNG TY CỔ PHẦN DỊCH VỤ THƯƠNG MẠI TỔNG HỢP WINCOMMERCE</v>
      </c>
      <c r="G2387" s="16" t="str">
        <f>VLOOKUP(Table8[[#This Row],[Mã khách hàng]],code_khach_hang[],3,0)</f>
        <v>Miền Bắc đặc biệt 1</v>
      </c>
      <c r="H2387" t="str">
        <f>VLOOKUP(Table8[[#This Row],[Mã khách hàng]],'Khách hàng'!A:D,4,0)</f>
        <v>Food Đức Việt</v>
      </c>
      <c r="I2387" t="str">
        <f>VLOOKUP(Table8[[#This Row],[Mã khách hàng]],'Khách hàng'!A:E,5,0)</f>
        <v>HN0040</v>
      </c>
    </row>
    <row r="2388" spans="1:9">
      <c r="A2388" s="14" t="s">
        <v>2099</v>
      </c>
      <c r="B2388" s="15" t="s">
        <v>5</v>
      </c>
      <c r="C2388" s="10" t="s">
        <v>2100</v>
      </c>
      <c r="D2388" s="16" t="s">
        <v>7600</v>
      </c>
      <c r="E2388" s="15" t="s">
        <v>11207</v>
      </c>
      <c r="F2388" s="16" t="str">
        <f>VLOOKUP(Table8[[#This Row],[Mã khách hàng]],code_khach_hang[],2,0)</f>
        <v>CHI NHÁNH THÁI NGUYÊN - CÔNG TY CỔ PHẦN DỊCH VỤ THƯƠNG MẠI TỔNG HỢP WINCOMMERCE</v>
      </c>
      <c r="G2388" s="16" t="str">
        <f>VLOOKUP(Table8[[#This Row],[Mã khách hàng]],code_khach_hang[],3,0)</f>
        <v>Miền Bắc đặc biệt 2</v>
      </c>
      <c r="H2388" t="str">
        <f>VLOOKUP(Table8[[#This Row],[Mã khách hàng]],'Khách hàng'!A:D,4,0)</f>
        <v>Food Đức Việt</v>
      </c>
      <c r="I2388" t="str">
        <f>VLOOKUP(Table8[[#This Row],[Mã khách hàng]],'Khách hàng'!A:E,5,0)</f>
        <v>HN0040</v>
      </c>
    </row>
    <row r="2389" spans="1:9">
      <c r="A2389" s="14" t="s">
        <v>2071</v>
      </c>
      <c r="B2389" s="15" t="s">
        <v>5</v>
      </c>
      <c r="C2389" s="10" t="s">
        <v>2072</v>
      </c>
      <c r="D2389" s="16" t="s">
        <v>7603</v>
      </c>
      <c r="E2389" s="15" t="s">
        <v>11199</v>
      </c>
      <c r="F2389" s="16" t="str">
        <f>VLOOKUP(Table8[[#This Row],[Mã khách hàng]],code_khach_hang[],2,0)</f>
        <v>CHI NHÁNH PHÚ THỌ - CÔNG TY CỔ PHẦN DỊCH VỤ THƯƠNG MẠI TỔNG HỢP WINCOMMERCE</v>
      </c>
      <c r="G2389" s="16" t="str">
        <f>VLOOKUP(Table8[[#This Row],[Mã khách hàng]],code_khach_hang[],3,0)</f>
        <v>Miền Bắc đặc biệt 1</v>
      </c>
      <c r="H2389" t="str">
        <f>VLOOKUP(Table8[[#This Row],[Mã khách hàng]],'Khách hàng'!A:D,4,0)</f>
        <v>Food Đức Việt</v>
      </c>
      <c r="I2389" t="str">
        <f>VLOOKUP(Table8[[#This Row],[Mã khách hàng]],'Khách hàng'!A:E,5,0)</f>
        <v>HN0040</v>
      </c>
    </row>
    <row r="2390" spans="1:9">
      <c r="A2390" s="14" t="s">
        <v>2162</v>
      </c>
      <c r="B2390" s="15" t="s">
        <v>5</v>
      </c>
      <c r="C2390" s="10" t="s">
        <v>2163</v>
      </c>
      <c r="D2390" s="16" t="s">
        <v>7606</v>
      </c>
      <c r="E2390" s="15" t="s">
        <v>11199</v>
      </c>
      <c r="F2390" s="16" t="str">
        <f>VLOOKUP(Table8[[#This Row],[Mã khách hàng]],code_khach_hang[],2,0)</f>
        <v>CHI NHÁNH PHÚ THỌ - CÔNG TY CỔ PHẦN DỊCH VỤ THƯƠNG MẠI TỔNG HỢP WINCOMMERCE</v>
      </c>
      <c r="G2390" s="16" t="str">
        <f>VLOOKUP(Table8[[#This Row],[Mã khách hàng]],code_khach_hang[],3,0)</f>
        <v>Miền Bắc đặc biệt 1</v>
      </c>
      <c r="H2390" t="str">
        <f>VLOOKUP(Table8[[#This Row],[Mã khách hàng]],'Khách hàng'!A:D,4,0)</f>
        <v>Food Đức Việt</v>
      </c>
      <c r="I2390" t="str">
        <f>VLOOKUP(Table8[[#This Row],[Mã khách hàng]],'Khách hàng'!A:E,5,0)</f>
        <v>HN0040</v>
      </c>
    </row>
    <row r="2391" spans="1:9">
      <c r="A2391" s="14" t="s">
        <v>2173</v>
      </c>
      <c r="B2391" s="15" t="s">
        <v>5</v>
      </c>
      <c r="C2391" s="10" t="s">
        <v>2174</v>
      </c>
      <c r="D2391" s="16" t="s">
        <v>7609</v>
      </c>
      <c r="E2391" s="15" t="s">
        <v>11216</v>
      </c>
      <c r="F2391" s="16" t="str">
        <f>VLOOKUP(Table8[[#This Row],[Mã khách hàng]],code_khach_hang[],2,0)</f>
        <v>CHI NHÁNH HƯNG YÊN - CÔNG TY CỔ PHẦN DỊCH VỤ THƯƠNG MẠI TỔNG HỢP WINCOMMERCE</v>
      </c>
      <c r="G2391" s="16" t="str">
        <f>VLOOKUP(Table8[[#This Row],[Mã khách hàng]],code_khach_hang[],3,0)</f>
        <v>Miền Bắc đặc biệt 1</v>
      </c>
      <c r="H2391" t="str">
        <f>VLOOKUP(Table8[[#This Row],[Mã khách hàng]],'Khách hàng'!A:D,4,0)</f>
        <v>Food Đức Việt</v>
      </c>
      <c r="I2391" t="str">
        <f>VLOOKUP(Table8[[#This Row],[Mã khách hàng]],'Khách hàng'!A:E,5,0)</f>
        <v>HN0040</v>
      </c>
    </row>
    <row r="2392" spans="1:9">
      <c r="A2392" s="14" t="s">
        <v>2182</v>
      </c>
      <c r="B2392" s="15" t="s">
        <v>5</v>
      </c>
      <c r="C2392" s="10" t="s">
        <v>2183</v>
      </c>
      <c r="D2392" s="16" t="s">
        <v>7612</v>
      </c>
      <c r="E2392" s="15" t="s">
        <v>11211</v>
      </c>
      <c r="F2392" s="16" t="str">
        <f>VLOOKUP(Table8[[#This Row],[Mã khách hàng]],code_khach_hang[],2,0)</f>
        <v>CHI NHÁNH NGHỆ AN - CÔNG TY CỔ PHẦN DỊCH VỤ THƯƠNG MẠI TỔNG HỢP WINCOMMERCE</v>
      </c>
      <c r="G2392" s="16" t="str">
        <f>VLOOKUP(Table8[[#This Row],[Mã khách hàng]],code_khach_hang[],3,0)</f>
        <v>Miền Trung đặc biệt 1</v>
      </c>
      <c r="H2392" t="str">
        <f>VLOOKUP(Table8[[#This Row],[Mã khách hàng]],'Khách hàng'!A:D,4,0)</f>
        <v>Food Đức Việt</v>
      </c>
      <c r="I2392" t="str">
        <f>VLOOKUP(Table8[[#This Row],[Mã khách hàng]],'Khách hàng'!A:E,5,0)</f>
        <v>HN0040</v>
      </c>
    </row>
    <row r="2393" spans="1:9">
      <c r="A2393" s="14" t="s">
        <v>2220</v>
      </c>
      <c r="B2393" s="15" t="s">
        <v>5</v>
      </c>
      <c r="C2393" s="10" t="s">
        <v>2221</v>
      </c>
      <c r="D2393" s="16" t="s">
        <v>7615</v>
      </c>
      <c r="E2393" s="15" t="s">
        <v>11201</v>
      </c>
      <c r="F2393" s="16" t="str">
        <f>VLOOKUP(Table8[[#This Row],[Mã khách hàng]],code_khach_hang[],2,0)</f>
        <v>CHI NHÁNH HẢI DƯƠNG - CÔNG TY CỔ PHẦN DỊCH VỤ THƯƠNG MẠI TỔNG HỢP WINCOMMERCE</v>
      </c>
      <c r="G2393" s="16" t="str">
        <f>VLOOKUP(Table8[[#This Row],[Mã khách hàng]],code_khach_hang[],3,0)</f>
        <v>Miền Bắc đặc biệt 3</v>
      </c>
      <c r="H2393" t="str">
        <f>VLOOKUP(Table8[[#This Row],[Mã khách hàng]],'Khách hàng'!A:D,4,0)</f>
        <v>Food Đức Việt</v>
      </c>
      <c r="I2393" t="str">
        <f>VLOOKUP(Table8[[#This Row],[Mã khách hàng]],'Khách hàng'!A:E,5,0)</f>
        <v>HN0040</v>
      </c>
    </row>
    <row r="2394" spans="1:9">
      <c r="A2394" s="14" t="s">
        <v>2223</v>
      </c>
      <c r="B2394" s="15" t="s">
        <v>5</v>
      </c>
      <c r="C2394" s="10" t="s">
        <v>2224</v>
      </c>
      <c r="D2394" s="16" t="s">
        <v>7618</v>
      </c>
      <c r="E2394" s="15" t="s">
        <v>11207</v>
      </c>
      <c r="F2394" s="16" t="str">
        <f>VLOOKUP(Table8[[#This Row],[Mã khách hàng]],code_khach_hang[],2,0)</f>
        <v>CHI NHÁNH THÁI NGUYÊN - CÔNG TY CỔ PHẦN DỊCH VỤ THƯƠNG MẠI TỔNG HỢP WINCOMMERCE</v>
      </c>
      <c r="G2394" s="16" t="str">
        <f>VLOOKUP(Table8[[#This Row],[Mã khách hàng]],code_khach_hang[],3,0)</f>
        <v>Miền Bắc đặc biệt 2</v>
      </c>
      <c r="H2394" t="str">
        <f>VLOOKUP(Table8[[#This Row],[Mã khách hàng]],'Khách hàng'!A:D,4,0)</f>
        <v>Food Đức Việt</v>
      </c>
      <c r="I2394" t="str">
        <f>VLOOKUP(Table8[[#This Row],[Mã khách hàng]],'Khách hàng'!A:E,5,0)</f>
        <v>HN0040</v>
      </c>
    </row>
    <row r="2395" spans="1:9">
      <c r="A2395" s="14" t="s">
        <v>2229</v>
      </c>
      <c r="B2395" s="15" t="s">
        <v>5</v>
      </c>
      <c r="C2395" s="10" t="s">
        <v>2230</v>
      </c>
      <c r="D2395" s="16" t="s">
        <v>7621</v>
      </c>
      <c r="E2395" s="15" t="s">
        <v>11203</v>
      </c>
      <c r="F2395" s="16" t="str">
        <f>VLOOKUP(Table8[[#This Row],[Mã khách hàng]],code_khach_hang[],2,0)</f>
        <v>CHI NHÁNH THANH HÓA - CÔNG TY CỔ PHẦN DỊCH VỤ THƯƠNG MẠI TỔNG HỢP WINCOMMERCE</v>
      </c>
      <c r="G2395" s="16" t="str">
        <f>VLOOKUP(Table8[[#This Row],[Mã khách hàng]],code_khach_hang[],3,0)</f>
        <v>Miền Trung đặc biệt 1</v>
      </c>
      <c r="H2395" t="str">
        <f>VLOOKUP(Table8[[#This Row],[Mã khách hàng]],'Khách hàng'!A:D,4,0)</f>
        <v>Food Đức Việt</v>
      </c>
      <c r="I2395" t="str">
        <f>VLOOKUP(Table8[[#This Row],[Mã khách hàng]],'Khách hàng'!A:E,5,0)</f>
        <v>HN0040</v>
      </c>
    </row>
    <row r="2396" spans="1:9">
      <c r="A2396" s="14" t="s">
        <v>2246</v>
      </c>
      <c r="B2396" s="15" t="s">
        <v>5</v>
      </c>
      <c r="C2396" s="10" t="s">
        <v>2247</v>
      </c>
      <c r="D2396" s="16" t="s">
        <v>7624</v>
      </c>
      <c r="E2396" s="15" t="s">
        <v>11198</v>
      </c>
      <c r="F2396" s="16" t="str">
        <f>VLOOKUP(Table8[[#This Row],[Mã khách hàng]],code_khach_hang[],2,0)</f>
        <v>CHI NHÁNH HẢI PHÒNG - CÔNG TY CỔ PHẦN DỊCH VỤ THƯƠNG MẠI TỔNG HỢP WINCOMMERCE</v>
      </c>
      <c r="G2396" s="16" t="str">
        <f>VLOOKUP(Table8[[#This Row],[Mã khách hàng]],code_khach_hang[],3,0)</f>
        <v>Miền Bắc đặc biệt 3</v>
      </c>
      <c r="H2396" t="str">
        <f>VLOOKUP(Table8[[#This Row],[Mã khách hàng]],'Khách hàng'!A:D,4,0)</f>
        <v>Food Đức Việt</v>
      </c>
      <c r="I2396" t="str">
        <f>VLOOKUP(Table8[[#This Row],[Mã khách hàng]],'Khách hàng'!A:E,5,0)</f>
        <v>HN0040</v>
      </c>
    </row>
    <row r="2397" spans="1:9">
      <c r="A2397" s="14" t="s">
        <v>2255</v>
      </c>
      <c r="B2397" s="15" t="s">
        <v>5</v>
      </c>
      <c r="C2397" s="10" t="s">
        <v>2256</v>
      </c>
      <c r="D2397" s="16" t="s">
        <v>7627</v>
      </c>
      <c r="E2397" s="15" t="s">
        <v>11207</v>
      </c>
      <c r="F2397" s="16" t="str">
        <f>VLOOKUP(Table8[[#This Row],[Mã khách hàng]],code_khach_hang[],2,0)</f>
        <v>CHI NHÁNH THÁI NGUYÊN - CÔNG TY CỔ PHẦN DỊCH VỤ THƯƠNG MẠI TỔNG HỢP WINCOMMERCE</v>
      </c>
      <c r="G2397" s="16" t="str">
        <f>VLOOKUP(Table8[[#This Row],[Mã khách hàng]],code_khach_hang[],3,0)</f>
        <v>Miền Bắc đặc biệt 2</v>
      </c>
      <c r="H2397" t="str">
        <f>VLOOKUP(Table8[[#This Row],[Mã khách hàng]],'Khách hàng'!A:D,4,0)</f>
        <v>Food Đức Việt</v>
      </c>
      <c r="I2397" t="str">
        <f>VLOOKUP(Table8[[#This Row],[Mã khách hàng]],'Khách hàng'!A:E,5,0)</f>
        <v>HN0040</v>
      </c>
    </row>
    <row r="2398" spans="1:9">
      <c r="A2398" s="14" t="s">
        <v>2287</v>
      </c>
      <c r="B2398" s="15" t="s">
        <v>5</v>
      </c>
      <c r="C2398" s="10" t="s">
        <v>2288</v>
      </c>
      <c r="D2398" s="16" t="s">
        <v>7630</v>
      </c>
      <c r="E2398" s="15" t="s">
        <v>11215</v>
      </c>
      <c r="F2398" s="16" t="str">
        <f>VLOOKUP(Table8[[#This Row],[Mã khách hàng]],code_khach_hang[],2,0)</f>
        <v>CHI NHÁNH HÀ NỘI - CÔNG TY CỔ PHẦN DỊCH VỤ THƯƠNG MẠI TỔNG HỢP WINCOMMERCE</v>
      </c>
      <c r="G2398" s="16" t="str">
        <f>VLOOKUP(Table8[[#This Row],[Mã khách hàng]],code_khach_hang[],3,0)</f>
        <v>Miền Bắc đặc biệt 1</v>
      </c>
      <c r="H2398" t="str">
        <f>VLOOKUP(Table8[[#This Row],[Mã khách hàng]],'Khách hàng'!A:D,4,0)</f>
        <v>Food Đức Việt</v>
      </c>
      <c r="I2398" t="str">
        <f>VLOOKUP(Table8[[#This Row],[Mã khách hàng]],'Khách hàng'!A:E,5,0)</f>
        <v>HN0040</v>
      </c>
    </row>
    <row r="2399" spans="1:9">
      <c r="A2399" s="14" t="s">
        <v>2296</v>
      </c>
      <c r="B2399" s="15" t="s">
        <v>5</v>
      </c>
      <c r="C2399" s="10" t="s">
        <v>2297</v>
      </c>
      <c r="D2399" s="16" t="s">
        <v>7633</v>
      </c>
      <c r="E2399" s="15" t="s">
        <v>11215</v>
      </c>
      <c r="F2399" s="16" t="str">
        <f>VLOOKUP(Table8[[#This Row],[Mã khách hàng]],code_khach_hang[],2,0)</f>
        <v>CHI NHÁNH HÀ NỘI - CÔNG TY CỔ PHẦN DỊCH VỤ THƯƠNG MẠI TỔNG HỢP WINCOMMERCE</v>
      </c>
      <c r="G2399" s="16" t="str">
        <f>VLOOKUP(Table8[[#This Row],[Mã khách hàng]],code_khach_hang[],3,0)</f>
        <v>Miền Bắc đặc biệt 1</v>
      </c>
      <c r="H2399" t="str">
        <f>VLOOKUP(Table8[[#This Row],[Mã khách hàng]],'Khách hàng'!A:D,4,0)</f>
        <v>Food Đức Việt</v>
      </c>
      <c r="I2399" t="str">
        <f>VLOOKUP(Table8[[#This Row],[Mã khách hàng]],'Khách hàng'!A:E,5,0)</f>
        <v>HN0040</v>
      </c>
    </row>
    <row r="2400" spans="1:9">
      <c r="A2400" s="14" t="s">
        <v>2299</v>
      </c>
      <c r="B2400" s="15" t="s">
        <v>5</v>
      </c>
      <c r="C2400" s="10" t="s">
        <v>2300</v>
      </c>
      <c r="D2400" s="16" t="s">
        <v>7636</v>
      </c>
      <c r="E2400" s="15" t="s">
        <v>11198</v>
      </c>
      <c r="F2400" s="16" t="str">
        <f>VLOOKUP(Table8[[#This Row],[Mã khách hàng]],code_khach_hang[],2,0)</f>
        <v>CHI NHÁNH HẢI PHÒNG - CÔNG TY CỔ PHẦN DỊCH VỤ THƯƠNG MẠI TỔNG HỢP WINCOMMERCE</v>
      </c>
      <c r="G2400" s="16" t="str">
        <f>VLOOKUP(Table8[[#This Row],[Mã khách hàng]],code_khach_hang[],3,0)</f>
        <v>Miền Bắc đặc biệt 3</v>
      </c>
      <c r="H2400" t="str">
        <f>VLOOKUP(Table8[[#This Row],[Mã khách hàng]],'Khách hàng'!A:D,4,0)</f>
        <v>Food Đức Việt</v>
      </c>
      <c r="I2400" t="str">
        <f>VLOOKUP(Table8[[#This Row],[Mã khách hàng]],'Khách hàng'!A:E,5,0)</f>
        <v>HN0040</v>
      </c>
    </row>
    <row r="2401" spans="1:9">
      <c r="A2401" s="14" t="s">
        <v>1751</v>
      </c>
      <c r="B2401" s="15" t="s">
        <v>5</v>
      </c>
      <c r="C2401" s="10" t="s">
        <v>1752</v>
      </c>
      <c r="D2401" s="16" t="s">
        <v>7639</v>
      </c>
      <c r="E2401" s="15" t="s">
        <v>11206</v>
      </c>
      <c r="F2401" s="16" t="str">
        <f>VLOOKUP(Table8[[#This Row],[Mã khách hàng]],code_khach_hang[],2,0)</f>
        <v>CHI NHÁNH SƠN LA - CÔNG TY CỔ PHẦN DỊCH VỤ THƯƠNG MẠI TỔNG HỢP WINCOMMERCE</v>
      </c>
      <c r="G2401" s="16" t="str">
        <f>VLOOKUP(Table8[[#This Row],[Mã khách hàng]],code_khach_hang[],3,0)</f>
        <v>Miền Bắc đặc biệt 1</v>
      </c>
      <c r="H2401" t="str">
        <f>VLOOKUP(Table8[[#This Row],[Mã khách hàng]],'Khách hàng'!A:D,4,0)</f>
        <v>Food Đức Việt</v>
      </c>
      <c r="I2401" t="str">
        <f>VLOOKUP(Table8[[#This Row],[Mã khách hàng]],'Khách hàng'!A:E,5,0)</f>
        <v>HN0040</v>
      </c>
    </row>
    <row r="2402" spans="1:9">
      <c r="A2402" s="14" t="s">
        <v>2051</v>
      </c>
      <c r="B2402" s="15" t="s">
        <v>5</v>
      </c>
      <c r="C2402" s="10" t="s">
        <v>2052</v>
      </c>
      <c r="D2402" s="16" t="s">
        <v>7642</v>
      </c>
      <c r="E2402" s="15" t="s">
        <v>11199</v>
      </c>
      <c r="F2402" s="16" t="str">
        <f>VLOOKUP(Table8[[#This Row],[Mã khách hàng]],code_khach_hang[],2,0)</f>
        <v>CHI NHÁNH PHÚ THỌ - CÔNG TY CỔ PHẦN DỊCH VỤ THƯƠNG MẠI TỔNG HỢP WINCOMMERCE</v>
      </c>
      <c r="G2402" s="16" t="str">
        <f>VLOOKUP(Table8[[#This Row],[Mã khách hàng]],code_khach_hang[],3,0)</f>
        <v>Miền Bắc đặc biệt 1</v>
      </c>
      <c r="H2402" t="str">
        <f>VLOOKUP(Table8[[#This Row],[Mã khách hàng]],'Khách hàng'!A:D,4,0)</f>
        <v>Food Đức Việt</v>
      </c>
      <c r="I2402" t="str">
        <f>VLOOKUP(Table8[[#This Row],[Mã khách hàng]],'Khách hàng'!A:E,5,0)</f>
        <v>HN0040</v>
      </c>
    </row>
    <row r="2403" spans="1:9">
      <c r="A2403" s="14" t="s">
        <v>2084</v>
      </c>
      <c r="B2403" s="15" t="s">
        <v>5</v>
      </c>
      <c r="C2403" s="10" t="s">
        <v>2085</v>
      </c>
      <c r="D2403" s="16" t="s">
        <v>7645</v>
      </c>
      <c r="E2403" s="15" t="s">
        <v>11199</v>
      </c>
      <c r="F2403" s="16" t="str">
        <f>VLOOKUP(Table8[[#This Row],[Mã khách hàng]],code_khach_hang[],2,0)</f>
        <v>CHI NHÁNH PHÚ THỌ - CÔNG TY CỔ PHẦN DỊCH VỤ THƯƠNG MẠI TỔNG HỢP WINCOMMERCE</v>
      </c>
      <c r="G2403" s="16" t="str">
        <f>VLOOKUP(Table8[[#This Row],[Mã khách hàng]],code_khach_hang[],3,0)</f>
        <v>Miền Bắc đặc biệt 1</v>
      </c>
      <c r="H2403" t="str">
        <f>VLOOKUP(Table8[[#This Row],[Mã khách hàng]],'Khách hàng'!A:D,4,0)</f>
        <v>Food Đức Việt</v>
      </c>
      <c r="I2403" t="str">
        <f>VLOOKUP(Table8[[#This Row],[Mã khách hàng]],'Khách hàng'!A:E,5,0)</f>
        <v>HN0040</v>
      </c>
    </row>
    <row r="2404" spans="1:9">
      <c r="A2404" s="14" t="s">
        <v>2264</v>
      </c>
      <c r="B2404" s="15" t="s">
        <v>5</v>
      </c>
      <c r="C2404" s="10" t="s">
        <v>2265</v>
      </c>
      <c r="D2404" s="16" t="s">
        <v>7648</v>
      </c>
      <c r="E2404" s="15" t="s">
        <v>11199</v>
      </c>
      <c r="F2404" s="16" t="str">
        <f>VLOOKUP(Table8[[#This Row],[Mã khách hàng]],code_khach_hang[],2,0)</f>
        <v>CHI NHÁNH PHÚ THỌ - CÔNG TY CỔ PHẦN DỊCH VỤ THƯƠNG MẠI TỔNG HỢP WINCOMMERCE</v>
      </c>
      <c r="G2404" s="16" t="str">
        <f>VLOOKUP(Table8[[#This Row],[Mã khách hàng]],code_khach_hang[],3,0)</f>
        <v>Miền Bắc đặc biệt 1</v>
      </c>
      <c r="H2404" t="str">
        <f>VLOOKUP(Table8[[#This Row],[Mã khách hàng]],'Khách hàng'!A:D,4,0)</f>
        <v>Food Đức Việt</v>
      </c>
      <c r="I2404" t="str">
        <f>VLOOKUP(Table8[[#This Row],[Mã khách hàng]],'Khách hàng'!A:E,5,0)</f>
        <v>HN0040</v>
      </c>
    </row>
    <row r="2405" spans="1:9">
      <c r="A2405" s="14" t="s">
        <v>2090</v>
      </c>
      <c r="B2405" s="15" t="s">
        <v>5</v>
      </c>
      <c r="C2405" s="10" t="s">
        <v>2091</v>
      </c>
      <c r="D2405" s="16" t="s">
        <v>7651</v>
      </c>
      <c r="E2405" s="15" t="s">
        <v>11198</v>
      </c>
      <c r="F2405" s="16" t="str">
        <f>VLOOKUP(Table8[[#This Row],[Mã khách hàng]],code_khach_hang[],2,0)</f>
        <v>CHI NHÁNH HẢI PHÒNG - CÔNG TY CỔ PHẦN DỊCH VỤ THƯƠNG MẠI TỔNG HỢP WINCOMMERCE</v>
      </c>
      <c r="G2405" s="16" t="str">
        <f>VLOOKUP(Table8[[#This Row],[Mã khách hàng]],code_khach_hang[],3,0)</f>
        <v>Miền Bắc đặc biệt 3</v>
      </c>
      <c r="H2405" t="str">
        <f>VLOOKUP(Table8[[#This Row],[Mã khách hàng]],'Khách hàng'!A:D,4,0)</f>
        <v>Food Đức Việt</v>
      </c>
      <c r="I2405" t="str">
        <f>VLOOKUP(Table8[[#This Row],[Mã khách hàng]],'Khách hàng'!A:E,5,0)</f>
        <v>HN0040</v>
      </c>
    </row>
    <row r="2406" spans="1:9">
      <c r="A2406" s="14" t="s">
        <v>2185</v>
      </c>
      <c r="B2406" s="15" t="s">
        <v>5</v>
      </c>
      <c r="C2406" s="10" t="s">
        <v>2186</v>
      </c>
      <c r="D2406" s="16" t="s">
        <v>7654</v>
      </c>
      <c r="E2406" s="15" t="s">
        <v>11199</v>
      </c>
      <c r="F2406" s="16" t="str">
        <f>VLOOKUP(Table8[[#This Row],[Mã khách hàng]],code_khach_hang[],2,0)</f>
        <v>CHI NHÁNH PHÚ THỌ - CÔNG TY CỔ PHẦN DỊCH VỤ THƯƠNG MẠI TỔNG HỢP WINCOMMERCE</v>
      </c>
      <c r="G2406" s="16" t="str">
        <f>VLOOKUP(Table8[[#This Row],[Mã khách hàng]],code_khach_hang[],3,0)</f>
        <v>Miền Bắc đặc biệt 1</v>
      </c>
      <c r="H2406" t="str">
        <f>VLOOKUP(Table8[[#This Row],[Mã khách hàng]],'Khách hàng'!A:D,4,0)</f>
        <v>Food Đức Việt</v>
      </c>
      <c r="I2406" t="str">
        <f>VLOOKUP(Table8[[#This Row],[Mã khách hàng]],'Khách hàng'!A:E,5,0)</f>
        <v>HN0040</v>
      </c>
    </row>
    <row r="2407" spans="1:9">
      <c r="A2407" s="14" t="s">
        <v>2193</v>
      </c>
      <c r="B2407" s="15" t="s">
        <v>5</v>
      </c>
      <c r="C2407" s="10" t="e">
        <v>#N/A</v>
      </c>
      <c r="D2407" s="16" t="s">
        <v>7657</v>
      </c>
      <c r="E2407" s="15" t="s">
        <v>11203</v>
      </c>
      <c r="F2407" s="16" t="str">
        <f>VLOOKUP(Table8[[#This Row],[Mã khách hàng]],code_khach_hang[],2,0)</f>
        <v>CHI NHÁNH THANH HÓA - CÔNG TY CỔ PHẦN DỊCH VỤ THƯƠNG MẠI TỔNG HỢP WINCOMMERCE</v>
      </c>
      <c r="G2407" s="16" t="str">
        <f>VLOOKUP(Table8[[#This Row],[Mã khách hàng]],code_khach_hang[],3,0)</f>
        <v>Miền Trung đặc biệt 1</v>
      </c>
      <c r="H2407" t="str">
        <f>VLOOKUP(Table8[[#This Row],[Mã khách hàng]],'Khách hàng'!A:D,4,0)</f>
        <v>Food Đức Việt</v>
      </c>
      <c r="I2407" t="str">
        <f>VLOOKUP(Table8[[#This Row],[Mã khách hàng]],'Khách hàng'!A:E,5,0)</f>
        <v>HN0040</v>
      </c>
    </row>
    <row r="2408" spans="1:9">
      <c r="A2408" s="14" t="s">
        <v>2226</v>
      </c>
      <c r="B2408" s="15" t="s">
        <v>5</v>
      </c>
      <c r="C2408" s="10" t="s">
        <v>2227</v>
      </c>
      <c r="D2408" s="16" t="s">
        <v>7660</v>
      </c>
      <c r="E2408" s="15" t="s">
        <v>11207</v>
      </c>
      <c r="F2408" s="16" t="str">
        <f>VLOOKUP(Table8[[#This Row],[Mã khách hàng]],code_khach_hang[],2,0)</f>
        <v>CHI NHÁNH THÁI NGUYÊN - CÔNG TY CỔ PHẦN DỊCH VỤ THƯƠNG MẠI TỔNG HỢP WINCOMMERCE</v>
      </c>
      <c r="G2408" s="16" t="str">
        <f>VLOOKUP(Table8[[#This Row],[Mã khách hàng]],code_khach_hang[],3,0)</f>
        <v>Miền Bắc đặc biệt 2</v>
      </c>
      <c r="H2408" t="str">
        <f>VLOOKUP(Table8[[#This Row],[Mã khách hàng]],'Khách hàng'!A:D,4,0)</f>
        <v>Food Đức Việt</v>
      </c>
      <c r="I2408" t="str">
        <f>VLOOKUP(Table8[[#This Row],[Mã khách hàng]],'Khách hàng'!A:E,5,0)</f>
        <v>HN0040</v>
      </c>
    </row>
    <row r="2409" spans="1:9">
      <c r="A2409" s="14" t="s">
        <v>2305</v>
      </c>
      <c r="B2409" s="15" t="s">
        <v>5</v>
      </c>
      <c r="C2409" s="10" t="s">
        <v>2306</v>
      </c>
      <c r="D2409" s="16" t="s">
        <v>7663</v>
      </c>
      <c r="E2409" s="15" t="s">
        <v>11203</v>
      </c>
      <c r="F2409" s="16" t="str">
        <f>VLOOKUP(Table8[[#This Row],[Mã khách hàng]],code_khach_hang[],2,0)</f>
        <v>CHI NHÁNH THANH HÓA - CÔNG TY CỔ PHẦN DỊCH VỤ THƯƠNG MẠI TỔNG HỢP WINCOMMERCE</v>
      </c>
      <c r="G2409" s="16" t="str">
        <f>VLOOKUP(Table8[[#This Row],[Mã khách hàng]],code_khach_hang[],3,0)</f>
        <v>Miền Trung đặc biệt 1</v>
      </c>
      <c r="H2409" t="str">
        <f>VLOOKUP(Table8[[#This Row],[Mã khách hàng]],'Khách hàng'!A:D,4,0)</f>
        <v>Food Đức Việt</v>
      </c>
      <c r="I2409" t="str">
        <f>VLOOKUP(Table8[[#This Row],[Mã khách hàng]],'Khách hàng'!A:E,5,0)</f>
        <v>HN0040</v>
      </c>
    </row>
    <row r="2410" spans="1:9">
      <c r="A2410" s="14" t="s">
        <v>2308</v>
      </c>
      <c r="B2410" s="15" t="s">
        <v>5</v>
      </c>
      <c r="C2410" s="10" t="s">
        <v>2309</v>
      </c>
      <c r="D2410" s="16" t="s">
        <v>7666</v>
      </c>
      <c r="E2410" s="15" t="s">
        <v>11215</v>
      </c>
      <c r="F2410" s="16" t="str">
        <f>VLOOKUP(Table8[[#This Row],[Mã khách hàng]],code_khach_hang[],2,0)</f>
        <v>CHI NHÁNH HÀ NỘI - CÔNG TY CỔ PHẦN DỊCH VỤ THƯƠNG MẠI TỔNG HỢP WINCOMMERCE</v>
      </c>
      <c r="G2410" s="16" t="str">
        <f>VLOOKUP(Table8[[#This Row],[Mã khách hàng]],code_khach_hang[],3,0)</f>
        <v>Miền Bắc đặc biệt 1</v>
      </c>
      <c r="H2410" t="str">
        <f>VLOOKUP(Table8[[#This Row],[Mã khách hàng]],'Khách hàng'!A:D,4,0)</f>
        <v>Food Đức Việt</v>
      </c>
      <c r="I2410" t="str">
        <f>VLOOKUP(Table8[[#This Row],[Mã khách hàng]],'Khách hàng'!A:E,5,0)</f>
        <v>HN0040</v>
      </c>
    </row>
    <row r="2411" spans="1:9">
      <c r="A2411" s="14" t="s">
        <v>2336</v>
      </c>
      <c r="B2411" s="15" t="s">
        <v>5</v>
      </c>
      <c r="C2411" s="10" t="e">
        <v>#N/A</v>
      </c>
      <c r="D2411" s="16" t="s">
        <v>7669</v>
      </c>
      <c r="E2411" s="15" t="s">
        <v>11203</v>
      </c>
      <c r="F2411" s="16" t="str">
        <f>VLOOKUP(Table8[[#This Row],[Mã khách hàng]],code_khach_hang[],2,0)</f>
        <v>CHI NHÁNH THANH HÓA - CÔNG TY CỔ PHẦN DỊCH VỤ THƯƠNG MẠI TỔNG HỢP WINCOMMERCE</v>
      </c>
      <c r="G2411" s="16" t="str">
        <f>VLOOKUP(Table8[[#This Row],[Mã khách hàng]],code_khach_hang[],3,0)</f>
        <v>Miền Trung đặc biệt 1</v>
      </c>
      <c r="H2411" t="str">
        <f>VLOOKUP(Table8[[#This Row],[Mã khách hàng]],'Khách hàng'!A:D,4,0)</f>
        <v>Food Đức Việt</v>
      </c>
      <c r="I2411" t="str">
        <f>VLOOKUP(Table8[[#This Row],[Mã khách hàng]],'Khách hàng'!A:E,5,0)</f>
        <v>HN0040</v>
      </c>
    </row>
    <row r="2412" spans="1:9">
      <c r="A2412" s="14" t="s">
        <v>2341</v>
      </c>
      <c r="B2412" s="15" t="s">
        <v>5</v>
      </c>
      <c r="C2412" s="10" t="s">
        <v>2342</v>
      </c>
      <c r="D2412" s="16" t="s">
        <v>7672</v>
      </c>
      <c r="E2412" s="15" t="s">
        <v>11215</v>
      </c>
      <c r="F2412" s="16" t="str">
        <f>VLOOKUP(Table8[[#This Row],[Mã khách hàng]],code_khach_hang[],2,0)</f>
        <v>CHI NHÁNH HÀ NỘI - CÔNG TY CỔ PHẦN DỊCH VỤ THƯƠNG MẠI TỔNG HỢP WINCOMMERCE</v>
      </c>
      <c r="G2412" s="16" t="str">
        <f>VLOOKUP(Table8[[#This Row],[Mã khách hàng]],code_khach_hang[],3,0)</f>
        <v>Miền Bắc đặc biệt 1</v>
      </c>
      <c r="H2412" t="str">
        <f>VLOOKUP(Table8[[#This Row],[Mã khách hàng]],'Khách hàng'!A:D,4,0)</f>
        <v>Food Đức Việt</v>
      </c>
      <c r="I2412" t="str">
        <f>VLOOKUP(Table8[[#This Row],[Mã khách hàng]],'Khách hàng'!A:E,5,0)</f>
        <v>HN0040</v>
      </c>
    </row>
    <row r="2413" spans="1:9">
      <c r="A2413" s="14" t="s">
        <v>2216</v>
      </c>
      <c r="B2413" s="15" t="s">
        <v>5</v>
      </c>
      <c r="C2413" s="10" t="e">
        <v>#N/A</v>
      </c>
      <c r="D2413" s="16" t="s">
        <v>7675</v>
      </c>
      <c r="E2413" s="15" t="s">
        <v>11203</v>
      </c>
      <c r="F2413" s="16" t="str">
        <f>VLOOKUP(Table8[[#This Row],[Mã khách hàng]],code_khach_hang[],2,0)</f>
        <v>CHI NHÁNH THANH HÓA - CÔNG TY CỔ PHẦN DỊCH VỤ THƯƠNG MẠI TỔNG HỢP WINCOMMERCE</v>
      </c>
      <c r="G2413" s="16" t="str">
        <f>VLOOKUP(Table8[[#This Row],[Mã khách hàng]],code_khach_hang[],3,0)</f>
        <v>Miền Trung đặc biệt 1</v>
      </c>
      <c r="H2413" t="str">
        <f>VLOOKUP(Table8[[#This Row],[Mã khách hàng]],'Khách hàng'!A:D,4,0)</f>
        <v>Food Đức Việt</v>
      </c>
      <c r="I2413" t="str">
        <f>VLOOKUP(Table8[[#This Row],[Mã khách hàng]],'Khách hàng'!A:E,5,0)</f>
        <v>HN0040</v>
      </c>
    </row>
    <row r="2414" spans="1:9">
      <c r="A2414" s="14" t="s">
        <v>1948</v>
      </c>
      <c r="B2414" s="15" t="s">
        <v>5</v>
      </c>
      <c r="C2414" s="10" t="s">
        <v>1949</v>
      </c>
      <c r="D2414" s="16" t="s">
        <v>7678</v>
      </c>
      <c r="E2414" s="15" t="s">
        <v>11200</v>
      </c>
      <c r="F2414" s="16" t="str">
        <f>VLOOKUP(Table8[[#This Row],[Mã khách hàng]],code_khach_hang[],2,0)</f>
        <v>CHI NHÁNH THÁI BÌNH - CÔNG TY CỔ PHẦN DỊCH VỤ THƯƠNG MẠI TỔNG HỢP WINCOMMERCE</v>
      </c>
      <c r="G2414" s="16" t="str">
        <f>VLOOKUP(Table8[[#This Row],[Mã khách hàng]],code_khach_hang[],3,0)</f>
        <v>Miền Bắc đặc biệt 3</v>
      </c>
      <c r="H2414" t="str">
        <f>VLOOKUP(Table8[[#This Row],[Mã khách hàng]],'Khách hàng'!A:D,4,0)</f>
        <v>Food Đức Việt</v>
      </c>
      <c r="I2414" t="str">
        <f>VLOOKUP(Table8[[#This Row],[Mã khách hàng]],'Khách hàng'!A:E,5,0)</f>
        <v>HN0040</v>
      </c>
    </row>
    <row r="2415" spans="1:9">
      <c r="A2415" s="14" t="s">
        <v>2087</v>
      </c>
      <c r="B2415" s="15" t="s">
        <v>5</v>
      </c>
      <c r="C2415" s="10" t="s">
        <v>2088</v>
      </c>
      <c r="D2415" s="16" t="s">
        <v>7681</v>
      </c>
      <c r="E2415" s="15" t="s">
        <v>11211</v>
      </c>
      <c r="F2415" s="16" t="str">
        <f>VLOOKUP(Table8[[#This Row],[Mã khách hàng]],code_khach_hang[],2,0)</f>
        <v>CHI NHÁNH NGHỆ AN - CÔNG TY CỔ PHẦN DỊCH VỤ THƯƠNG MẠI TỔNG HỢP WINCOMMERCE</v>
      </c>
      <c r="G2415" s="16" t="str">
        <f>VLOOKUP(Table8[[#This Row],[Mã khách hàng]],code_khach_hang[],3,0)</f>
        <v>Miền Trung đặc biệt 1</v>
      </c>
      <c r="H2415" t="str">
        <f>VLOOKUP(Table8[[#This Row],[Mã khách hàng]],'Khách hàng'!A:D,4,0)</f>
        <v>Food Đức Việt</v>
      </c>
      <c r="I2415" t="str">
        <f>VLOOKUP(Table8[[#This Row],[Mã khách hàng]],'Khách hàng'!A:E,5,0)</f>
        <v>HN0040</v>
      </c>
    </row>
    <row r="2416" spans="1:9">
      <c r="A2416" s="14" t="s">
        <v>2258</v>
      </c>
      <c r="B2416" s="15" t="s">
        <v>5</v>
      </c>
      <c r="C2416" s="10" t="s">
        <v>2259</v>
      </c>
      <c r="D2416" s="16" t="s">
        <v>7684</v>
      </c>
      <c r="E2416" s="15" t="s">
        <v>11203</v>
      </c>
      <c r="F2416" s="16" t="str">
        <f>VLOOKUP(Table8[[#This Row],[Mã khách hàng]],code_khach_hang[],2,0)</f>
        <v>CHI NHÁNH THANH HÓA - CÔNG TY CỔ PHẦN DỊCH VỤ THƯƠNG MẠI TỔNG HỢP WINCOMMERCE</v>
      </c>
      <c r="G2416" s="16" t="str">
        <f>VLOOKUP(Table8[[#This Row],[Mã khách hàng]],code_khach_hang[],3,0)</f>
        <v>Miền Trung đặc biệt 1</v>
      </c>
      <c r="H2416" t="str">
        <f>VLOOKUP(Table8[[#This Row],[Mã khách hàng]],'Khách hàng'!A:D,4,0)</f>
        <v>Food Đức Việt</v>
      </c>
      <c r="I2416" t="str">
        <f>VLOOKUP(Table8[[#This Row],[Mã khách hàng]],'Khách hàng'!A:E,5,0)</f>
        <v>HN0040</v>
      </c>
    </row>
    <row r="2417" spans="1:9">
      <c r="A2417" s="14" t="s">
        <v>2270</v>
      </c>
      <c r="B2417" s="15" t="s">
        <v>5</v>
      </c>
      <c r="C2417" s="10" t="e">
        <v>#N/A</v>
      </c>
      <c r="D2417" s="16" t="s">
        <v>7687</v>
      </c>
      <c r="E2417" s="15" t="s">
        <v>11203</v>
      </c>
      <c r="F2417" s="16" t="str">
        <f>VLOOKUP(Table8[[#This Row],[Mã khách hàng]],code_khach_hang[],2,0)</f>
        <v>CHI NHÁNH THANH HÓA - CÔNG TY CỔ PHẦN DỊCH VỤ THƯƠNG MẠI TỔNG HỢP WINCOMMERCE</v>
      </c>
      <c r="G2417" s="16" t="str">
        <f>VLOOKUP(Table8[[#This Row],[Mã khách hàng]],code_khach_hang[],3,0)</f>
        <v>Miền Trung đặc biệt 1</v>
      </c>
      <c r="H2417" t="str">
        <f>VLOOKUP(Table8[[#This Row],[Mã khách hàng]],'Khách hàng'!A:D,4,0)</f>
        <v>Food Đức Việt</v>
      </c>
      <c r="I2417" t="str">
        <f>VLOOKUP(Table8[[#This Row],[Mã khách hàng]],'Khách hàng'!A:E,5,0)</f>
        <v>HN0040</v>
      </c>
    </row>
    <row r="2418" spans="1:9">
      <c r="A2418" s="14" t="s">
        <v>2284</v>
      </c>
      <c r="B2418" s="15" t="s">
        <v>5</v>
      </c>
      <c r="C2418" s="10" t="s">
        <v>2285</v>
      </c>
      <c r="D2418" s="16" t="s">
        <v>7690</v>
      </c>
      <c r="E2418" s="15" t="s">
        <v>11199</v>
      </c>
      <c r="F2418" s="16" t="str">
        <f>VLOOKUP(Table8[[#This Row],[Mã khách hàng]],code_khach_hang[],2,0)</f>
        <v>CHI NHÁNH PHÚ THỌ - CÔNG TY CỔ PHẦN DỊCH VỤ THƯƠNG MẠI TỔNG HỢP WINCOMMERCE</v>
      </c>
      <c r="G2418" s="16" t="str">
        <f>VLOOKUP(Table8[[#This Row],[Mã khách hàng]],code_khach_hang[],3,0)</f>
        <v>Miền Bắc đặc biệt 1</v>
      </c>
      <c r="H2418" t="str">
        <f>VLOOKUP(Table8[[#This Row],[Mã khách hàng]],'Khách hàng'!A:D,4,0)</f>
        <v>Food Đức Việt</v>
      </c>
      <c r="I2418" t="str">
        <f>VLOOKUP(Table8[[#This Row],[Mã khách hàng]],'Khách hàng'!A:E,5,0)</f>
        <v>HN0040</v>
      </c>
    </row>
    <row r="2419" spans="1:9">
      <c r="A2419" s="14" t="s">
        <v>2317</v>
      </c>
      <c r="B2419" s="15" t="s">
        <v>5</v>
      </c>
      <c r="C2419" s="10" t="s">
        <v>2318</v>
      </c>
      <c r="D2419" s="16" t="s">
        <v>7693</v>
      </c>
      <c r="E2419" s="15" t="s">
        <v>11217</v>
      </c>
      <c r="F2419" s="16" t="str">
        <f>VLOOKUP(Table8[[#This Row],[Mã khách hàng]],code_khach_hang[],2,0)</f>
        <v>CHI NHÁNH BẮC GIANG - CÔNG TY CỔ PHẦN DỊCH VỤ THƯƠNG MẠI TỔNG HỢP WINCOMMERCE</v>
      </c>
      <c r="G2419" s="16" t="str">
        <f>VLOOKUP(Table8[[#This Row],[Mã khách hàng]],code_khach_hang[],3,0)</f>
        <v>Miền Bắc đặc biệt 2</v>
      </c>
      <c r="H2419" t="str">
        <f>VLOOKUP(Table8[[#This Row],[Mã khách hàng]],'Khách hàng'!A:D,4,0)</f>
        <v>Food Đức Việt</v>
      </c>
      <c r="I2419" t="str">
        <f>VLOOKUP(Table8[[#This Row],[Mã khách hàng]],'Khách hàng'!A:E,5,0)</f>
        <v>HN0040</v>
      </c>
    </row>
    <row r="2420" spans="1:9">
      <c r="A2420" s="14" t="s">
        <v>2320</v>
      </c>
      <c r="B2420" s="15" t="s">
        <v>5</v>
      </c>
      <c r="C2420" s="10" t="s">
        <v>2321</v>
      </c>
      <c r="D2420" s="16" t="s">
        <v>7696</v>
      </c>
      <c r="E2420" s="15" t="s">
        <v>11215</v>
      </c>
      <c r="F2420" s="16" t="str">
        <f>VLOOKUP(Table8[[#This Row],[Mã khách hàng]],code_khach_hang[],2,0)</f>
        <v>CHI NHÁNH HÀ NỘI - CÔNG TY CỔ PHẦN DỊCH VỤ THƯƠNG MẠI TỔNG HỢP WINCOMMERCE</v>
      </c>
      <c r="G2420" s="16" t="str">
        <f>VLOOKUP(Table8[[#This Row],[Mã khách hàng]],code_khach_hang[],3,0)</f>
        <v>Miền Bắc đặc biệt 1</v>
      </c>
      <c r="H2420" t="str">
        <f>VLOOKUP(Table8[[#This Row],[Mã khách hàng]],'Khách hàng'!A:D,4,0)</f>
        <v>Food Đức Việt</v>
      </c>
      <c r="I2420" t="str">
        <f>VLOOKUP(Table8[[#This Row],[Mã khách hàng]],'Khách hàng'!A:E,5,0)</f>
        <v>HN0040</v>
      </c>
    </row>
    <row r="2421" spans="1:9">
      <c r="A2421" s="14" t="s">
        <v>2347</v>
      </c>
      <c r="B2421" s="15" t="s">
        <v>5</v>
      </c>
      <c r="C2421" s="10" t="s">
        <v>2348</v>
      </c>
      <c r="D2421" s="16" t="s">
        <v>7699</v>
      </c>
      <c r="E2421" s="15" t="s">
        <v>11215</v>
      </c>
      <c r="F2421" s="16" t="str">
        <f>VLOOKUP(Table8[[#This Row],[Mã khách hàng]],code_khach_hang[],2,0)</f>
        <v>CHI NHÁNH HÀ NỘI - CÔNG TY CỔ PHẦN DỊCH VỤ THƯƠNG MẠI TỔNG HỢP WINCOMMERCE</v>
      </c>
      <c r="G2421" s="16" t="str">
        <f>VLOOKUP(Table8[[#This Row],[Mã khách hàng]],code_khach_hang[],3,0)</f>
        <v>Miền Bắc đặc biệt 1</v>
      </c>
      <c r="H2421" t="str">
        <f>VLOOKUP(Table8[[#This Row],[Mã khách hàng]],'Khách hàng'!A:D,4,0)</f>
        <v>Food Đức Việt</v>
      </c>
      <c r="I2421" t="str">
        <f>VLOOKUP(Table8[[#This Row],[Mã khách hàng]],'Khách hàng'!A:E,5,0)</f>
        <v>HN0040</v>
      </c>
    </row>
    <row r="2422" spans="1:9">
      <c r="A2422" s="14" t="s">
        <v>2350</v>
      </c>
      <c r="B2422" s="15" t="s">
        <v>5</v>
      </c>
      <c r="C2422" s="10" t="e">
        <v>#N/A</v>
      </c>
      <c r="D2422" s="16" t="s">
        <v>7702</v>
      </c>
      <c r="E2422" s="15" t="s">
        <v>11203</v>
      </c>
      <c r="F2422" s="16" t="str">
        <f>VLOOKUP(Table8[[#This Row],[Mã khách hàng]],code_khach_hang[],2,0)</f>
        <v>CHI NHÁNH THANH HÓA - CÔNG TY CỔ PHẦN DỊCH VỤ THƯƠNG MẠI TỔNG HỢP WINCOMMERCE</v>
      </c>
      <c r="G2422" s="16" t="str">
        <f>VLOOKUP(Table8[[#This Row],[Mã khách hàng]],code_khach_hang[],3,0)</f>
        <v>Miền Trung đặc biệt 1</v>
      </c>
      <c r="H2422" t="str">
        <f>VLOOKUP(Table8[[#This Row],[Mã khách hàng]],'Khách hàng'!A:D,4,0)</f>
        <v>Food Đức Việt</v>
      </c>
      <c r="I2422" t="str">
        <f>VLOOKUP(Table8[[#This Row],[Mã khách hàng]],'Khách hàng'!A:E,5,0)</f>
        <v>HN0040</v>
      </c>
    </row>
    <row r="2423" spans="1:9">
      <c r="A2423" s="14" t="s">
        <v>2352</v>
      </c>
      <c r="B2423" s="15" t="s">
        <v>5</v>
      </c>
      <c r="C2423" s="10" t="s">
        <v>2353</v>
      </c>
      <c r="D2423" s="16" t="s">
        <v>7705</v>
      </c>
      <c r="E2423" s="15" t="s">
        <v>11215</v>
      </c>
      <c r="F2423" s="16" t="str">
        <f>VLOOKUP(Table8[[#This Row],[Mã khách hàng]],code_khach_hang[],2,0)</f>
        <v>CHI NHÁNH HÀ NỘI - CÔNG TY CỔ PHẦN DỊCH VỤ THƯƠNG MẠI TỔNG HỢP WINCOMMERCE</v>
      </c>
      <c r="G2423" s="16" t="str">
        <f>VLOOKUP(Table8[[#This Row],[Mã khách hàng]],code_khach_hang[],3,0)</f>
        <v>Miền Bắc đặc biệt 1</v>
      </c>
      <c r="H2423" t="str">
        <f>VLOOKUP(Table8[[#This Row],[Mã khách hàng]],'Khách hàng'!A:D,4,0)</f>
        <v>Food Đức Việt</v>
      </c>
      <c r="I2423" t="str">
        <f>VLOOKUP(Table8[[#This Row],[Mã khách hàng]],'Khách hàng'!A:E,5,0)</f>
        <v>HN0040</v>
      </c>
    </row>
    <row r="2424" spans="1:9">
      <c r="A2424" s="14" t="s">
        <v>2355</v>
      </c>
      <c r="B2424" s="15" t="s">
        <v>5</v>
      </c>
      <c r="C2424" s="10" t="s">
        <v>2356</v>
      </c>
      <c r="D2424" s="16" t="s">
        <v>7708</v>
      </c>
      <c r="E2424" s="15" t="s">
        <v>11215</v>
      </c>
      <c r="F2424" s="16" t="str">
        <f>VLOOKUP(Table8[[#This Row],[Mã khách hàng]],code_khach_hang[],2,0)</f>
        <v>CHI NHÁNH HÀ NỘI - CÔNG TY CỔ PHẦN DỊCH VỤ THƯƠNG MẠI TỔNG HỢP WINCOMMERCE</v>
      </c>
      <c r="G2424" s="16" t="str">
        <f>VLOOKUP(Table8[[#This Row],[Mã khách hàng]],code_khach_hang[],3,0)</f>
        <v>Miền Bắc đặc biệt 1</v>
      </c>
      <c r="H2424" t="str">
        <f>VLOOKUP(Table8[[#This Row],[Mã khách hàng]],'Khách hàng'!A:D,4,0)</f>
        <v>Food Đức Việt</v>
      </c>
      <c r="I2424" t="str">
        <f>VLOOKUP(Table8[[#This Row],[Mã khách hàng]],'Khách hàng'!A:E,5,0)</f>
        <v>HN0040</v>
      </c>
    </row>
    <row r="2425" spans="1:9">
      <c r="A2425" s="14" t="s">
        <v>2358</v>
      </c>
      <c r="B2425" s="15" t="s">
        <v>5</v>
      </c>
      <c r="C2425" s="10" t="s">
        <v>2359</v>
      </c>
      <c r="D2425" s="16" t="s">
        <v>7711</v>
      </c>
      <c r="E2425" s="15" t="s">
        <v>11215</v>
      </c>
      <c r="F2425" s="16" t="str">
        <f>VLOOKUP(Table8[[#This Row],[Mã khách hàng]],code_khach_hang[],2,0)</f>
        <v>CHI NHÁNH HÀ NỘI - CÔNG TY CỔ PHẦN DỊCH VỤ THƯƠNG MẠI TỔNG HỢP WINCOMMERCE</v>
      </c>
      <c r="G2425" s="16" t="str">
        <f>VLOOKUP(Table8[[#This Row],[Mã khách hàng]],code_khach_hang[],3,0)</f>
        <v>Miền Bắc đặc biệt 1</v>
      </c>
      <c r="H2425" t="str">
        <f>VLOOKUP(Table8[[#This Row],[Mã khách hàng]],'Khách hàng'!A:D,4,0)</f>
        <v>Food Đức Việt</v>
      </c>
      <c r="I2425" t="str">
        <f>VLOOKUP(Table8[[#This Row],[Mã khách hàng]],'Khách hàng'!A:E,5,0)</f>
        <v>HN0040</v>
      </c>
    </row>
    <row r="2426" spans="1:9">
      <c r="A2426" s="14" t="s">
        <v>2394</v>
      </c>
      <c r="B2426" s="15" t="s">
        <v>5</v>
      </c>
      <c r="C2426" s="10" t="s">
        <v>2395</v>
      </c>
      <c r="D2426" s="16" t="s">
        <v>7714</v>
      </c>
      <c r="E2426" s="15" t="s">
        <v>11215</v>
      </c>
      <c r="F2426" s="16" t="str">
        <f>VLOOKUP(Table8[[#This Row],[Mã khách hàng]],code_khach_hang[],2,0)</f>
        <v>CHI NHÁNH HÀ NỘI - CÔNG TY CỔ PHẦN DỊCH VỤ THƯƠNG MẠI TỔNG HỢP WINCOMMERCE</v>
      </c>
      <c r="G2426" s="16" t="str">
        <f>VLOOKUP(Table8[[#This Row],[Mã khách hàng]],code_khach_hang[],3,0)</f>
        <v>Miền Bắc đặc biệt 1</v>
      </c>
      <c r="H2426" t="str">
        <f>VLOOKUP(Table8[[#This Row],[Mã khách hàng]],'Khách hàng'!A:D,4,0)</f>
        <v>Food Đức Việt</v>
      </c>
      <c r="I2426" t="str">
        <f>VLOOKUP(Table8[[#This Row],[Mã khách hàng]],'Khách hàng'!A:E,5,0)</f>
        <v>HN0040</v>
      </c>
    </row>
    <row r="2427" spans="1:9">
      <c r="A2427" s="14" t="s">
        <v>2281</v>
      </c>
      <c r="B2427" s="15" t="s">
        <v>5</v>
      </c>
      <c r="C2427" s="10" t="s">
        <v>2282</v>
      </c>
      <c r="D2427" s="16" t="s">
        <v>7717</v>
      </c>
      <c r="E2427" s="15" t="s">
        <v>11211</v>
      </c>
      <c r="F2427" s="16" t="str">
        <f>VLOOKUP(Table8[[#This Row],[Mã khách hàng]],code_khach_hang[],2,0)</f>
        <v>CHI NHÁNH NGHỆ AN - CÔNG TY CỔ PHẦN DỊCH VỤ THƯƠNG MẠI TỔNG HỢP WINCOMMERCE</v>
      </c>
      <c r="G2427" s="16" t="str">
        <f>VLOOKUP(Table8[[#This Row],[Mã khách hàng]],code_khach_hang[],3,0)</f>
        <v>Miền Trung đặc biệt 1</v>
      </c>
      <c r="H2427" t="str">
        <f>VLOOKUP(Table8[[#This Row],[Mã khách hàng]],'Khách hàng'!A:D,4,0)</f>
        <v>Food Đức Việt</v>
      </c>
      <c r="I2427" t="str">
        <f>VLOOKUP(Table8[[#This Row],[Mã khách hàng]],'Khách hàng'!A:E,5,0)</f>
        <v>HN0040</v>
      </c>
    </row>
    <row r="2428" spans="1:9">
      <c r="A2428" s="14" t="s">
        <v>2442</v>
      </c>
      <c r="B2428" s="15" t="s">
        <v>5</v>
      </c>
      <c r="C2428" s="10" t="s">
        <v>2443</v>
      </c>
      <c r="D2428" s="16" t="s">
        <v>7720</v>
      </c>
      <c r="E2428" s="15" t="s">
        <v>11204</v>
      </c>
      <c r="F2428" s="16" t="str">
        <f>VLOOKUP(Table8[[#This Row],[Mã khách hàng]],code_khach_hang[],2,0)</f>
        <v>CHI NHÁNH TUYÊN QUANG - CÔNG TY CỔ PHẦN DỊCH VỤ THƯƠNG MẠI TỔNG HỢP WINCOMMERCE</v>
      </c>
      <c r="G2428" s="16" t="str">
        <f>VLOOKUP(Table8[[#This Row],[Mã khách hàng]],code_khach_hang[],3,0)</f>
        <v>Miền Bắc đặc biệt 2</v>
      </c>
      <c r="H2428" t="str">
        <f>VLOOKUP(Table8[[#This Row],[Mã khách hàng]],'Khách hàng'!A:D,4,0)</f>
        <v>Food Đức Việt</v>
      </c>
      <c r="I2428" t="str">
        <f>VLOOKUP(Table8[[#This Row],[Mã khách hàng]],'Khách hàng'!A:E,5,0)</f>
        <v>HN0040</v>
      </c>
    </row>
    <row r="2429" spans="1:9">
      <c r="A2429" s="14" t="s">
        <v>2323</v>
      </c>
      <c r="B2429" s="15" t="s">
        <v>5</v>
      </c>
      <c r="C2429" s="10" t="s">
        <v>2324</v>
      </c>
      <c r="D2429" s="16" t="s">
        <v>7723</v>
      </c>
      <c r="E2429" s="15" t="s">
        <v>11215</v>
      </c>
      <c r="F2429" s="16" t="str">
        <f>VLOOKUP(Table8[[#This Row],[Mã khách hàng]],code_khach_hang[],2,0)</f>
        <v>CHI NHÁNH HÀ NỘI - CÔNG TY CỔ PHẦN DỊCH VỤ THƯƠNG MẠI TỔNG HỢP WINCOMMERCE</v>
      </c>
      <c r="G2429" s="16" t="str">
        <f>VLOOKUP(Table8[[#This Row],[Mã khách hàng]],code_khach_hang[],3,0)</f>
        <v>Miền Bắc đặc biệt 1</v>
      </c>
      <c r="H2429" t="str">
        <f>VLOOKUP(Table8[[#This Row],[Mã khách hàng]],'Khách hàng'!A:D,4,0)</f>
        <v>Food Đức Việt</v>
      </c>
      <c r="I2429" t="str">
        <f>VLOOKUP(Table8[[#This Row],[Mã khách hàng]],'Khách hàng'!A:E,5,0)</f>
        <v>HN0040</v>
      </c>
    </row>
    <row r="2430" spans="1:9">
      <c r="A2430" s="14" t="s">
        <v>2326</v>
      </c>
      <c r="B2430" s="15" t="s">
        <v>5</v>
      </c>
      <c r="C2430" s="10" t="s">
        <v>2327</v>
      </c>
      <c r="D2430" s="16" t="s">
        <v>7726</v>
      </c>
      <c r="E2430" s="15" t="s">
        <v>11215</v>
      </c>
      <c r="F2430" s="16" t="str">
        <f>VLOOKUP(Table8[[#This Row],[Mã khách hàng]],code_khach_hang[],2,0)</f>
        <v>CHI NHÁNH HÀ NỘI - CÔNG TY CỔ PHẦN DỊCH VỤ THƯƠNG MẠI TỔNG HỢP WINCOMMERCE</v>
      </c>
      <c r="G2430" s="16" t="str">
        <f>VLOOKUP(Table8[[#This Row],[Mã khách hàng]],code_khach_hang[],3,0)</f>
        <v>Miền Bắc đặc biệt 1</v>
      </c>
      <c r="H2430" t="str">
        <f>VLOOKUP(Table8[[#This Row],[Mã khách hàng]],'Khách hàng'!A:D,4,0)</f>
        <v>Food Đức Việt</v>
      </c>
      <c r="I2430" t="str">
        <f>VLOOKUP(Table8[[#This Row],[Mã khách hàng]],'Khách hàng'!A:E,5,0)</f>
        <v>HN0040</v>
      </c>
    </row>
    <row r="2431" spans="1:9">
      <c r="A2431" s="14" t="s">
        <v>2373</v>
      </c>
      <c r="B2431" s="15" t="s">
        <v>5</v>
      </c>
      <c r="C2431" s="10" t="s">
        <v>2374</v>
      </c>
      <c r="D2431" s="16" t="s">
        <v>7729</v>
      </c>
      <c r="E2431" s="15" t="s">
        <v>11215</v>
      </c>
      <c r="F2431" s="16" t="str">
        <f>VLOOKUP(Table8[[#This Row],[Mã khách hàng]],code_khach_hang[],2,0)</f>
        <v>CHI NHÁNH HÀ NỘI - CÔNG TY CỔ PHẦN DỊCH VỤ THƯƠNG MẠI TỔNG HỢP WINCOMMERCE</v>
      </c>
      <c r="G2431" s="16" t="str">
        <f>VLOOKUP(Table8[[#This Row],[Mã khách hàng]],code_khach_hang[],3,0)</f>
        <v>Miền Bắc đặc biệt 1</v>
      </c>
      <c r="H2431" t="str">
        <f>VLOOKUP(Table8[[#This Row],[Mã khách hàng]],'Khách hàng'!A:D,4,0)</f>
        <v>Food Đức Việt</v>
      </c>
      <c r="I2431" t="str">
        <f>VLOOKUP(Table8[[#This Row],[Mã khách hàng]],'Khách hàng'!A:E,5,0)</f>
        <v>HN0040</v>
      </c>
    </row>
    <row r="2432" spans="1:9">
      <c r="A2432" s="14" t="s">
        <v>2379</v>
      </c>
      <c r="B2432" s="15" t="s">
        <v>5</v>
      </c>
      <c r="C2432" s="10" t="s">
        <v>2380</v>
      </c>
      <c r="D2432" s="16" t="s">
        <v>7732</v>
      </c>
      <c r="E2432" s="15" t="s">
        <v>11215</v>
      </c>
      <c r="F2432" s="16" t="str">
        <f>VLOOKUP(Table8[[#This Row],[Mã khách hàng]],code_khach_hang[],2,0)</f>
        <v>CHI NHÁNH HÀ NỘI - CÔNG TY CỔ PHẦN DỊCH VỤ THƯƠNG MẠI TỔNG HỢP WINCOMMERCE</v>
      </c>
      <c r="G2432" s="16" t="str">
        <f>VLOOKUP(Table8[[#This Row],[Mã khách hàng]],code_khach_hang[],3,0)</f>
        <v>Miền Bắc đặc biệt 1</v>
      </c>
      <c r="H2432" t="str">
        <f>VLOOKUP(Table8[[#This Row],[Mã khách hàng]],'Khách hàng'!A:D,4,0)</f>
        <v>Food Đức Việt</v>
      </c>
      <c r="I2432" t="str">
        <f>VLOOKUP(Table8[[#This Row],[Mã khách hàng]],'Khách hàng'!A:E,5,0)</f>
        <v>HN0040</v>
      </c>
    </row>
    <row r="2433" spans="1:9">
      <c r="A2433" s="14" t="s">
        <v>2382</v>
      </c>
      <c r="B2433" s="15" t="s">
        <v>5</v>
      </c>
      <c r="C2433" s="10" t="s">
        <v>2383</v>
      </c>
      <c r="D2433" s="16" t="s">
        <v>7735</v>
      </c>
      <c r="E2433" s="15" t="s">
        <v>11217</v>
      </c>
      <c r="F2433" s="16" t="str">
        <f>VLOOKUP(Table8[[#This Row],[Mã khách hàng]],code_khach_hang[],2,0)</f>
        <v>CHI NHÁNH BẮC GIANG - CÔNG TY CỔ PHẦN DỊCH VỤ THƯƠNG MẠI TỔNG HỢP WINCOMMERCE</v>
      </c>
      <c r="G2433" s="16" t="str">
        <f>VLOOKUP(Table8[[#This Row],[Mã khách hàng]],code_khach_hang[],3,0)</f>
        <v>Miền Bắc đặc biệt 2</v>
      </c>
      <c r="H2433" t="str">
        <f>VLOOKUP(Table8[[#This Row],[Mã khách hàng]],'Khách hàng'!A:D,4,0)</f>
        <v>Food Đức Việt</v>
      </c>
      <c r="I2433" t="str">
        <f>VLOOKUP(Table8[[#This Row],[Mã khách hàng]],'Khách hàng'!A:E,5,0)</f>
        <v>HN0040</v>
      </c>
    </row>
    <row r="2434" spans="1:9">
      <c r="A2434" s="14" t="s">
        <v>2436</v>
      </c>
      <c r="B2434" s="15" t="s">
        <v>5</v>
      </c>
      <c r="C2434" s="10" t="s">
        <v>2437</v>
      </c>
      <c r="D2434" s="16" t="s">
        <v>7738</v>
      </c>
      <c r="E2434" s="15" t="s">
        <v>11209</v>
      </c>
      <c r="F2434" s="16" t="str">
        <f>VLOOKUP(Table8[[#This Row],[Mã khách hàng]],code_khach_hang[],2,0)</f>
        <v>CHI NHÁNH QUẢNG BÌNH - CÔNG TY CỔ PHẦN DỊCH VỤ THƯƠNG MẠI TỔNG HỢP WINCOMMERCE</v>
      </c>
      <c r="G2434" s="16" t="str">
        <f>VLOOKUP(Table8[[#This Row],[Mã khách hàng]],code_khach_hang[],3,0)</f>
        <v>Miền Trung đặc biệt 1</v>
      </c>
      <c r="H2434" t="str">
        <f>VLOOKUP(Table8[[#This Row],[Mã khách hàng]],'Khách hàng'!A:D,4,0)</f>
        <v>Food Đức Việt</v>
      </c>
      <c r="I2434" t="str">
        <f>VLOOKUP(Table8[[#This Row],[Mã khách hàng]],'Khách hàng'!A:E,5,0)</f>
        <v>HN0040</v>
      </c>
    </row>
    <row r="2435" spans="1:9">
      <c r="A2435" s="14" t="s">
        <v>2302</v>
      </c>
      <c r="B2435" s="15" t="s">
        <v>5</v>
      </c>
      <c r="C2435" s="10" t="s">
        <v>2303</v>
      </c>
      <c r="D2435" s="16" t="s">
        <v>7741</v>
      </c>
      <c r="E2435" s="15" t="s">
        <v>11215</v>
      </c>
      <c r="F2435" s="16" t="str">
        <f>VLOOKUP(Table8[[#This Row],[Mã khách hàng]],code_khach_hang[],2,0)</f>
        <v>CHI NHÁNH HÀ NỘI - CÔNG TY CỔ PHẦN DỊCH VỤ THƯƠNG MẠI TỔNG HỢP WINCOMMERCE</v>
      </c>
      <c r="G2435" s="16" t="str">
        <f>VLOOKUP(Table8[[#This Row],[Mã khách hàng]],code_khach_hang[],3,0)</f>
        <v>Miền Bắc đặc biệt 1</v>
      </c>
      <c r="H2435" t="str">
        <f>VLOOKUP(Table8[[#This Row],[Mã khách hàng]],'Khách hàng'!A:D,4,0)</f>
        <v>Food Đức Việt</v>
      </c>
      <c r="I2435" t="str">
        <f>VLOOKUP(Table8[[#This Row],[Mã khách hàng]],'Khách hàng'!A:E,5,0)</f>
        <v>HN0040</v>
      </c>
    </row>
    <row r="2436" spans="1:9">
      <c r="A2436" s="14" t="s">
        <v>2455</v>
      </c>
      <c r="B2436" s="15" t="s">
        <v>5</v>
      </c>
      <c r="C2436" s="10" t="s">
        <v>2456</v>
      </c>
      <c r="D2436" s="16" t="s">
        <v>7744</v>
      </c>
      <c r="E2436" s="15" t="s">
        <v>11215</v>
      </c>
      <c r="F2436" s="16" t="str">
        <f>VLOOKUP(Table8[[#This Row],[Mã khách hàng]],code_khach_hang[],2,0)</f>
        <v>CHI NHÁNH HÀ NỘI - CÔNG TY CỔ PHẦN DỊCH VỤ THƯƠNG MẠI TỔNG HỢP WINCOMMERCE</v>
      </c>
      <c r="G2436" s="16" t="str">
        <f>VLOOKUP(Table8[[#This Row],[Mã khách hàng]],code_khach_hang[],3,0)</f>
        <v>Miền Bắc đặc biệt 1</v>
      </c>
      <c r="H2436" t="str">
        <f>VLOOKUP(Table8[[#This Row],[Mã khách hàng]],'Khách hàng'!A:D,4,0)</f>
        <v>Food Đức Việt</v>
      </c>
      <c r="I2436" t="str">
        <f>VLOOKUP(Table8[[#This Row],[Mã khách hàng]],'Khách hàng'!A:E,5,0)</f>
        <v>HN0040</v>
      </c>
    </row>
    <row r="2437" spans="1:9">
      <c r="A2437" s="14" t="s">
        <v>2483</v>
      </c>
      <c r="B2437" s="15" t="s">
        <v>5</v>
      </c>
      <c r="C2437" s="10" t="s">
        <v>2484</v>
      </c>
      <c r="D2437" s="16" t="s">
        <v>7747</v>
      </c>
      <c r="E2437" s="15" t="s">
        <v>11215</v>
      </c>
      <c r="F2437" s="16" t="str">
        <f>VLOOKUP(Table8[[#This Row],[Mã khách hàng]],code_khach_hang[],2,0)</f>
        <v>CHI NHÁNH HÀ NỘI - CÔNG TY CỔ PHẦN DỊCH VỤ THƯƠNG MẠI TỔNG HỢP WINCOMMERCE</v>
      </c>
      <c r="G2437" s="16" t="str">
        <f>VLOOKUP(Table8[[#This Row],[Mã khách hàng]],code_khach_hang[],3,0)</f>
        <v>Miền Bắc đặc biệt 1</v>
      </c>
      <c r="H2437" t="str">
        <f>VLOOKUP(Table8[[#This Row],[Mã khách hàng]],'Khách hàng'!A:D,4,0)</f>
        <v>Food Đức Việt</v>
      </c>
      <c r="I2437" t="str">
        <f>VLOOKUP(Table8[[#This Row],[Mã khách hàng]],'Khách hàng'!A:E,5,0)</f>
        <v>HN0040</v>
      </c>
    </row>
    <row r="2438" spans="1:9">
      <c r="A2438" s="14" t="s">
        <v>2344</v>
      </c>
      <c r="B2438" s="15" t="s">
        <v>5</v>
      </c>
      <c r="C2438" s="10" t="s">
        <v>2345</v>
      </c>
      <c r="D2438" s="16" t="s">
        <v>7750</v>
      </c>
      <c r="E2438" s="15" t="s">
        <v>11215</v>
      </c>
      <c r="F2438" s="16" t="str">
        <f>VLOOKUP(Table8[[#This Row],[Mã khách hàng]],code_khach_hang[],2,0)</f>
        <v>CHI NHÁNH HÀ NỘI - CÔNG TY CỔ PHẦN DỊCH VỤ THƯƠNG MẠI TỔNG HỢP WINCOMMERCE</v>
      </c>
      <c r="G2438" s="16" t="str">
        <f>VLOOKUP(Table8[[#This Row],[Mã khách hàng]],code_khach_hang[],3,0)</f>
        <v>Miền Bắc đặc biệt 1</v>
      </c>
      <c r="H2438" t="str">
        <f>VLOOKUP(Table8[[#This Row],[Mã khách hàng]],'Khách hàng'!A:D,4,0)</f>
        <v>Food Đức Việt</v>
      </c>
      <c r="I2438" t="str">
        <f>VLOOKUP(Table8[[#This Row],[Mã khách hàng]],'Khách hàng'!A:E,5,0)</f>
        <v>HN0040</v>
      </c>
    </row>
    <row r="2439" spans="1:9">
      <c r="A2439" s="14" t="s">
        <v>2493</v>
      </c>
      <c r="B2439" s="15" t="s">
        <v>5</v>
      </c>
      <c r="C2439" s="10" t="e">
        <v>#N/A</v>
      </c>
      <c r="D2439" s="16" t="s">
        <v>7753</v>
      </c>
      <c r="E2439" s="15" t="s">
        <v>11211</v>
      </c>
      <c r="F2439" s="16" t="str">
        <f>VLOOKUP(Table8[[#This Row],[Mã khách hàng]],code_khach_hang[],2,0)</f>
        <v>CHI NHÁNH NGHỆ AN - CÔNG TY CỔ PHẦN DỊCH VỤ THƯƠNG MẠI TỔNG HỢP WINCOMMERCE</v>
      </c>
      <c r="G2439" s="16" t="str">
        <f>VLOOKUP(Table8[[#This Row],[Mã khách hàng]],code_khach_hang[],3,0)</f>
        <v>Miền Trung đặc biệt 1</v>
      </c>
      <c r="H2439" t="str">
        <f>VLOOKUP(Table8[[#This Row],[Mã khách hàng]],'Khách hàng'!A:D,4,0)</f>
        <v>Food Đức Việt</v>
      </c>
      <c r="I2439" t="str">
        <f>VLOOKUP(Table8[[#This Row],[Mã khách hàng]],'Khách hàng'!A:E,5,0)</f>
        <v>HN0040</v>
      </c>
    </row>
    <row r="2440" spans="1:9">
      <c r="A2440" s="14" t="s">
        <v>2501</v>
      </c>
      <c r="B2440" s="15" t="s">
        <v>5</v>
      </c>
      <c r="C2440" s="10" t="s">
        <v>2502</v>
      </c>
      <c r="D2440" s="16" t="s">
        <v>7756</v>
      </c>
      <c r="E2440" s="15" t="s">
        <v>11215</v>
      </c>
      <c r="F2440" s="16" t="str">
        <f>VLOOKUP(Table8[[#This Row],[Mã khách hàng]],code_khach_hang[],2,0)</f>
        <v>CHI NHÁNH HÀ NỘI - CÔNG TY CỔ PHẦN DỊCH VỤ THƯƠNG MẠI TỔNG HỢP WINCOMMERCE</v>
      </c>
      <c r="G2440" s="16" t="str">
        <f>VLOOKUP(Table8[[#This Row],[Mã khách hàng]],code_khach_hang[],3,0)</f>
        <v>Miền Bắc đặc biệt 1</v>
      </c>
      <c r="H2440" t="str">
        <f>VLOOKUP(Table8[[#This Row],[Mã khách hàng]],'Khách hàng'!A:D,4,0)</f>
        <v>Food Đức Việt</v>
      </c>
      <c r="I2440" t="str">
        <f>VLOOKUP(Table8[[#This Row],[Mã khách hàng]],'Khách hàng'!A:E,5,0)</f>
        <v>HN0040</v>
      </c>
    </row>
    <row r="2441" spans="1:9">
      <c r="A2441" s="14" t="s">
        <v>2364</v>
      </c>
      <c r="B2441" s="15" t="s">
        <v>5</v>
      </c>
      <c r="C2441" s="10" t="s">
        <v>2365</v>
      </c>
      <c r="D2441" s="16" t="s">
        <v>7758</v>
      </c>
      <c r="E2441" s="15" t="s">
        <v>11203</v>
      </c>
      <c r="F2441" s="16" t="str">
        <f>VLOOKUP(Table8[[#This Row],[Mã khách hàng]],code_khach_hang[],2,0)</f>
        <v>CHI NHÁNH THANH HÓA - CÔNG TY CỔ PHẦN DỊCH VỤ THƯƠNG MẠI TỔNG HỢP WINCOMMERCE</v>
      </c>
      <c r="G2441" s="16" t="str">
        <f>VLOOKUP(Table8[[#This Row],[Mã khách hàng]],code_khach_hang[],3,0)</f>
        <v>Miền Trung đặc biệt 1</v>
      </c>
      <c r="H2441" t="str">
        <f>VLOOKUP(Table8[[#This Row],[Mã khách hàng]],'Khách hàng'!A:D,4,0)</f>
        <v>Food Đức Việt</v>
      </c>
      <c r="I2441" t="str">
        <f>VLOOKUP(Table8[[#This Row],[Mã khách hàng]],'Khách hàng'!A:E,5,0)</f>
        <v>HN0040</v>
      </c>
    </row>
    <row r="2442" spans="1:9">
      <c r="A2442" s="14" t="s">
        <v>2504</v>
      </c>
      <c r="B2442" s="15" t="s">
        <v>5</v>
      </c>
      <c r="C2442" s="10" t="s">
        <v>2505</v>
      </c>
      <c r="D2442" s="16" t="s">
        <v>7761</v>
      </c>
      <c r="E2442" s="15" t="s">
        <v>11215</v>
      </c>
      <c r="F2442" s="16" t="str">
        <f>VLOOKUP(Table8[[#This Row],[Mã khách hàng]],code_khach_hang[],2,0)</f>
        <v>CHI NHÁNH HÀ NỘI - CÔNG TY CỔ PHẦN DỊCH VỤ THƯƠNG MẠI TỔNG HỢP WINCOMMERCE</v>
      </c>
      <c r="G2442" s="16" t="str">
        <f>VLOOKUP(Table8[[#This Row],[Mã khách hàng]],code_khach_hang[],3,0)</f>
        <v>Miền Bắc đặc biệt 1</v>
      </c>
      <c r="H2442" t="str">
        <f>VLOOKUP(Table8[[#This Row],[Mã khách hàng]],'Khách hàng'!A:D,4,0)</f>
        <v>Food Đức Việt</v>
      </c>
      <c r="I2442" t="str">
        <f>VLOOKUP(Table8[[#This Row],[Mã khách hàng]],'Khách hàng'!A:E,5,0)</f>
        <v>HN0040</v>
      </c>
    </row>
    <row r="2443" spans="1:9">
      <c r="A2443" s="14" t="s">
        <v>2370</v>
      </c>
      <c r="B2443" s="15" t="s">
        <v>5</v>
      </c>
      <c r="C2443" s="10" t="s">
        <v>2371</v>
      </c>
      <c r="D2443" s="16" t="s">
        <v>7764</v>
      </c>
      <c r="E2443" s="15" t="s">
        <v>11215</v>
      </c>
      <c r="F2443" s="16" t="str">
        <f>VLOOKUP(Table8[[#This Row],[Mã khách hàng]],code_khach_hang[],2,0)</f>
        <v>CHI NHÁNH HÀ NỘI - CÔNG TY CỔ PHẦN DỊCH VỤ THƯƠNG MẠI TỔNG HỢP WINCOMMERCE</v>
      </c>
      <c r="G2443" s="16" t="str">
        <f>VLOOKUP(Table8[[#This Row],[Mã khách hàng]],code_khach_hang[],3,0)</f>
        <v>Miền Bắc đặc biệt 1</v>
      </c>
      <c r="H2443" t="str">
        <f>VLOOKUP(Table8[[#This Row],[Mã khách hàng]],'Khách hàng'!A:D,4,0)</f>
        <v>Food Đức Việt</v>
      </c>
      <c r="I2443" t="str">
        <f>VLOOKUP(Table8[[#This Row],[Mã khách hàng]],'Khách hàng'!A:E,5,0)</f>
        <v>HN0040</v>
      </c>
    </row>
    <row r="2444" spans="1:9">
      <c r="A2444" s="14" t="s">
        <v>2512</v>
      </c>
      <c r="B2444" s="15" t="s">
        <v>5</v>
      </c>
      <c r="C2444" s="10" t="s">
        <v>2513</v>
      </c>
      <c r="D2444" s="16" t="s">
        <v>7767</v>
      </c>
      <c r="E2444" s="15" t="s">
        <v>11215</v>
      </c>
      <c r="F2444" s="16" t="str">
        <f>VLOOKUP(Table8[[#This Row],[Mã khách hàng]],code_khach_hang[],2,0)</f>
        <v>CHI NHÁNH HÀ NỘI - CÔNG TY CỔ PHẦN DỊCH VỤ THƯƠNG MẠI TỔNG HỢP WINCOMMERCE</v>
      </c>
      <c r="G2444" s="16" t="str">
        <f>VLOOKUP(Table8[[#This Row],[Mã khách hàng]],code_khach_hang[],3,0)</f>
        <v>Miền Bắc đặc biệt 1</v>
      </c>
      <c r="H2444" t="str">
        <f>VLOOKUP(Table8[[#This Row],[Mã khách hàng]],'Khách hàng'!A:D,4,0)</f>
        <v>Food Đức Việt</v>
      </c>
      <c r="I2444" t="str">
        <f>VLOOKUP(Table8[[#This Row],[Mã khách hàng]],'Khách hàng'!A:E,5,0)</f>
        <v>HN0040</v>
      </c>
    </row>
    <row r="2445" spans="1:9">
      <c r="A2445" s="14" t="s">
        <v>2515</v>
      </c>
      <c r="B2445" s="15" t="s">
        <v>5</v>
      </c>
      <c r="C2445" s="10" t="s">
        <v>2516</v>
      </c>
      <c r="D2445" s="16" t="s">
        <v>7770</v>
      </c>
      <c r="E2445" s="15" t="s">
        <v>11209</v>
      </c>
      <c r="F2445" s="16" t="str">
        <f>VLOOKUP(Table8[[#This Row],[Mã khách hàng]],code_khach_hang[],2,0)</f>
        <v>CHI NHÁNH QUẢNG BÌNH - CÔNG TY CỔ PHẦN DỊCH VỤ THƯƠNG MẠI TỔNG HỢP WINCOMMERCE</v>
      </c>
      <c r="G2445" s="16" t="str">
        <f>VLOOKUP(Table8[[#This Row],[Mã khách hàng]],code_khach_hang[],3,0)</f>
        <v>Miền Trung đặc biệt 1</v>
      </c>
      <c r="H2445" t="str">
        <f>VLOOKUP(Table8[[#This Row],[Mã khách hàng]],'Khách hàng'!A:D,4,0)</f>
        <v>Food Đức Việt</v>
      </c>
      <c r="I2445" t="str">
        <f>VLOOKUP(Table8[[#This Row],[Mã khách hàng]],'Khách hàng'!A:E,5,0)</f>
        <v>HN0040</v>
      </c>
    </row>
    <row r="2446" spans="1:9">
      <c r="A2446" s="14" t="s">
        <v>2415</v>
      </c>
      <c r="B2446" s="15" t="s">
        <v>5</v>
      </c>
      <c r="C2446" s="10" t="s">
        <v>2416</v>
      </c>
      <c r="D2446" s="16" t="s">
        <v>7773</v>
      </c>
      <c r="E2446" s="15" t="s">
        <v>11215</v>
      </c>
      <c r="F2446" s="16" t="str">
        <f>VLOOKUP(Table8[[#This Row],[Mã khách hàng]],code_khach_hang[],2,0)</f>
        <v>CHI NHÁNH HÀ NỘI - CÔNG TY CỔ PHẦN DỊCH VỤ THƯƠNG MẠI TỔNG HỢP WINCOMMERCE</v>
      </c>
      <c r="G2446" s="16" t="str">
        <f>VLOOKUP(Table8[[#This Row],[Mã khách hàng]],code_khach_hang[],3,0)</f>
        <v>Miền Bắc đặc biệt 1</v>
      </c>
      <c r="H2446" t="str">
        <f>VLOOKUP(Table8[[#This Row],[Mã khách hàng]],'Khách hàng'!A:D,4,0)</f>
        <v>Food Đức Việt</v>
      </c>
      <c r="I2446" t="str">
        <f>VLOOKUP(Table8[[#This Row],[Mã khách hàng]],'Khách hàng'!A:E,5,0)</f>
        <v>HN0040</v>
      </c>
    </row>
    <row r="2447" spans="1:9">
      <c r="A2447" s="14" t="s">
        <v>2418</v>
      </c>
      <c r="B2447" s="15" t="s">
        <v>5</v>
      </c>
      <c r="C2447" s="10" t="s">
        <v>2419</v>
      </c>
      <c r="D2447" s="16" t="s">
        <v>7776</v>
      </c>
      <c r="E2447" s="15" t="s">
        <v>11216</v>
      </c>
      <c r="F2447" s="16" t="str">
        <f>VLOOKUP(Table8[[#This Row],[Mã khách hàng]],code_khach_hang[],2,0)</f>
        <v>CHI NHÁNH HƯNG YÊN - CÔNG TY CỔ PHẦN DỊCH VỤ THƯƠNG MẠI TỔNG HỢP WINCOMMERCE</v>
      </c>
      <c r="G2447" s="16" t="str">
        <f>VLOOKUP(Table8[[#This Row],[Mã khách hàng]],code_khach_hang[],3,0)</f>
        <v>Miền Bắc đặc biệt 1</v>
      </c>
      <c r="H2447" t="str">
        <f>VLOOKUP(Table8[[#This Row],[Mã khách hàng]],'Khách hàng'!A:D,4,0)</f>
        <v>Food Đức Việt</v>
      </c>
      <c r="I2447" t="str">
        <f>VLOOKUP(Table8[[#This Row],[Mã khách hàng]],'Khách hàng'!A:E,5,0)</f>
        <v>HN0040</v>
      </c>
    </row>
    <row r="2448" spans="1:9">
      <c r="A2448" s="14" t="s">
        <v>2533</v>
      </c>
      <c r="B2448" s="15" t="s">
        <v>5</v>
      </c>
      <c r="C2448" s="10" t="s">
        <v>2534</v>
      </c>
      <c r="D2448" s="16" t="s">
        <v>7779</v>
      </c>
      <c r="E2448" s="15" t="s">
        <v>11217</v>
      </c>
      <c r="F2448" s="16" t="str">
        <f>VLOOKUP(Table8[[#This Row],[Mã khách hàng]],code_khach_hang[],2,0)</f>
        <v>CHI NHÁNH BẮC GIANG - CÔNG TY CỔ PHẦN DỊCH VỤ THƯƠNG MẠI TỔNG HỢP WINCOMMERCE</v>
      </c>
      <c r="G2448" s="16" t="str">
        <f>VLOOKUP(Table8[[#This Row],[Mã khách hàng]],code_khach_hang[],3,0)</f>
        <v>Miền Bắc đặc biệt 2</v>
      </c>
      <c r="H2448" t="str">
        <f>VLOOKUP(Table8[[#This Row],[Mã khách hàng]],'Khách hàng'!A:D,4,0)</f>
        <v>Food Đức Việt</v>
      </c>
      <c r="I2448" t="str">
        <f>VLOOKUP(Table8[[#This Row],[Mã khách hàng]],'Khách hàng'!A:E,5,0)</f>
        <v>HN0040</v>
      </c>
    </row>
    <row r="2449" spans="1:9">
      <c r="A2449" s="14" t="s">
        <v>2421</v>
      </c>
      <c r="B2449" s="15" t="s">
        <v>5</v>
      </c>
      <c r="C2449" s="10" t="s">
        <v>2422</v>
      </c>
      <c r="D2449" s="16" t="s">
        <v>7782</v>
      </c>
      <c r="E2449" s="15" t="s">
        <v>11199</v>
      </c>
      <c r="F2449" s="16" t="str">
        <f>VLOOKUP(Table8[[#This Row],[Mã khách hàng]],code_khach_hang[],2,0)</f>
        <v>CHI NHÁNH PHÚ THỌ - CÔNG TY CỔ PHẦN DỊCH VỤ THƯƠNG MẠI TỔNG HỢP WINCOMMERCE</v>
      </c>
      <c r="G2449" s="16" t="str">
        <f>VLOOKUP(Table8[[#This Row],[Mã khách hàng]],code_khach_hang[],3,0)</f>
        <v>Miền Bắc đặc biệt 1</v>
      </c>
      <c r="H2449" t="str">
        <f>VLOOKUP(Table8[[#This Row],[Mã khách hàng]],'Khách hàng'!A:D,4,0)</f>
        <v>Food Đức Việt</v>
      </c>
      <c r="I2449" t="str">
        <f>VLOOKUP(Table8[[#This Row],[Mã khách hàng]],'Khách hàng'!A:E,5,0)</f>
        <v>HN0040</v>
      </c>
    </row>
    <row r="2450" spans="1:9">
      <c r="A2450" s="14" t="s">
        <v>2557</v>
      </c>
      <c r="B2450" s="15" t="s">
        <v>5</v>
      </c>
      <c r="C2450" s="10" t="s">
        <v>2558</v>
      </c>
      <c r="D2450" s="16" t="s">
        <v>7785</v>
      </c>
      <c r="E2450" s="15" t="s">
        <v>11197</v>
      </c>
      <c r="F2450" s="16" t="str">
        <f>VLOOKUP(Table8[[#This Row],[Mã khách hàng]],code_khach_hang[],2,0)</f>
        <v>CHI NHÁNH QUẢNG NINH - CÔNG TY CỔ PHẦN DỊCH VỤ THƯƠNG MẠI TỔNG HỢP WINCOMMERCE</v>
      </c>
      <c r="G2450" s="16" t="str">
        <f>VLOOKUP(Table8[[#This Row],[Mã khách hàng]],code_khach_hang[],3,0)</f>
        <v>Miền Bắc đặc biệt 3</v>
      </c>
      <c r="H2450" t="str">
        <f>VLOOKUP(Table8[[#This Row],[Mã khách hàng]],'Khách hàng'!A:D,4,0)</f>
        <v>Food Đức Việt</v>
      </c>
      <c r="I2450" t="str">
        <f>VLOOKUP(Table8[[#This Row],[Mã khách hàng]],'Khách hàng'!A:E,5,0)</f>
        <v>HN0040</v>
      </c>
    </row>
    <row r="2451" spans="1:9">
      <c r="A2451" s="14" t="s">
        <v>2430</v>
      </c>
      <c r="B2451" s="15" t="s">
        <v>5</v>
      </c>
      <c r="C2451" s="10" t="s">
        <v>2431</v>
      </c>
      <c r="D2451" s="16" t="s">
        <v>7788</v>
      </c>
      <c r="E2451" s="15" t="s">
        <v>11211</v>
      </c>
      <c r="F2451" s="16" t="str">
        <f>VLOOKUP(Table8[[#This Row],[Mã khách hàng]],code_khach_hang[],2,0)</f>
        <v>CHI NHÁNH NGHỆ AN - CÔNG TY CỔ PHẦN DỊCH VỤ THƯƠNG MẠI TỔNG HỢP WINCOMMERCE</v>
      </c>
      <c r="G2451" s="16" t="str">
        <f>VLOOKUP(Table8[[#This Row],[Mã khách hàng]],code_khach_hang[],3,0)</f>
        <v>Miền Trung đặc biệt 1</v>
      </c>
      <c r="H2451" t="str">
        <f>VLOOKUP(Table8[[#This Row],[Mã khách hàng]],'Khách hàng'!A:D,4,0)</f>
        <v>Food Đức Việt</v>
      </c>
      <c r="I2451" t="str">
        <f>VLOOKUP(Table8[[#This Row],[Mã khách hàng]],'Khách hàng'!A:E,5,0)</f>
        <v>HN0040</v>
      </c>
    </row>
    <row r="2452" spans="1:9">
      <c r="A2452" s="14" t="s">
        <v>2111</v>
      </c>
      <c r="B2452" s="15" t="s">
        <v>5</v>
      </c>
      <c r="C2452" s="10" t="s">
        <v>2112</v>
      </c>
      <c r="D2452" s="16" t="s">
        <v>7791</v>
      </c>
      <c r="E2452" s="15" t="s">
        <v>11215</v>
      </c>
      <c r="F2452" s="16" t="str">
        <f>VLOOKUP(Table8[[#This Row],[Mã khách hàng]],code_khach_hang[],2,0)</f>
        <v>CHI NHÁNH HÀ NỘI - CÔNG TY CỔ PHẦN DỊCH VỤ THƯƠNG MẠI TỔNG HỢP WINCOMMERCE</v>
      </c>
      <c r="G2452" s="16" t="str">
        <f>VLOOKUP(Table8[[#This Row],[Mã khách hàng]],code_khach_hang[],3,0)</f>
        <v>Miền Bắc đặc biệt 1</v>
      </c>
      <c r="H2452" t="str">
        <f>VLOOKUP(Table8[[#This Row],[Mã khách hàng]],'Khách hàng'!A:D,4,0)</f>
        <v>Food Đức Việt</v>
      </c>
      <c r="I2452" t="str">
        <f>VLOOKUP(Table8[[#This Row],[Mã khách hàng]],'Khách hàng'!A:E,5,0)</f>
        <v>HN0040</v>
      </c>
    </row>
    <row r="2453" spans="1:9">
      <c r="A2453" s="14" t="s">
        <v>2314</v>
      </c>
      <c r="B2453" s="15" t="s">
        <v>5</v>
      </c>
      <c r="C2453" s="10" t="s">
        <v>2315</v>
      </c>
      <c r="D2453" s="16" t="s">
        <v>7794</v>
      </c>
      <c r="E2453" s="15" t="s">
        <v>11193</v>
      </c>
      <c r="F2453" s="16" t="str">
        <f>VLOOKUP(Table8[[#This Row],[Mã khách hàng]],code_khach_hang[],2,0)</f>
        <v>CHI NHÁNH BẮC NINH - CÔNG TY CỔ PHẦN DỊCH VỤ THƯƠNG MẠI TỔNG HỢP WINCOMMERCE</v>
      </c>
      <c r="G2453" s="16" t="str">
        <f>VLOOKUP(Table8[[#This Row],[Mã khách hàng]],code_khach_hang[],3,0)</f>
        <v>Miền Bắc đặc biệt 2</v>
      </c>
      <c r="H2453" t="str">
        <f>VLOOKUP(Table8[[#This Row],[Mã khách hàng]],'Khách hàng'!A:D,4,0)</f>
        <v>Food Đức Việt</v>
      </c>
      <c r="I2453" t="str">
        <f>VLOOKUP(Table8[[#This Row],[Mã khách hàng]],'Khách hàng'!A:E,5,0)</f>
        <v>HN0040</v>
      </c>
    </row>
    <row r="2454" spans="1:9">
      <c r="A2454" s="14" t="s">
        <v>2261</v>
      </c>
      <c r="B2454" s="15" t="s">
        <v>5</v>
      </c>
      <c r="C2454" s="10" t="s">
        <v>2262</v>
      </c>
      <c r="D2454" s="16" t="s">
        <v>7797</v>
      </c>
      <c r="E2454" s="15" t="s">
        <v>11201</v>
      </c>
      <c r="F2454" s="16" t="str">
        <f>VLOOKUP(Table8[[#This Row],[Mã khách hàng]],code_khach_hang[],2,0)</f>
        <v>CHI NHÁNH HẢI DƯƠNG - CÔNG TY CỔ PHẦN DỊCH VỤ THƯƠNG MẠI TỔNG HỢP WINCOMMERCE</v>
      </c>
      <c r="G2454" s="16" t="str">
        <f>VLOOKUP(Table8[[#This Row],[Mã khách hàng]],code_khach_hang[],3,0)</f>
        <v>Miền Bắc đặc biệt 3</v>
      </c>
      <c r="H2454" t="str">
        <f>VLOOKUP(Table8[[#This Row],[Mã khách hàng]],'Khách hàng'!A:D,4,0)</f>
        <v>Food Đức Việt</v>
      </c>
      <c r="I2454" t="str">
        <f>VLOOKUP(Table8[[#This Row],[Mã khách hàng]],'Khách hàng'!A:E,5,0)</f>
        <v>HN0040</v>
      </c>
    </row>
    <row r="2455" spans="1:9">
      <c r="A2455" s="14" t="s">
        <v>2252</v>
      </c>
      <c r="B2455" s="15" t="s">
        <v>5</v>
      </c>
      <c r="C2455" s="10" t="s">
        <v>2253</v>
      </c>
      <c r="D2455" s="16" t="s">
        <v>7800</v>
      </c>
      <c r="E2455" s="15" t="s">
        <v>11198</v>
      </c>
      <c r="F2455" s="16" t="str">
        <f>VLOOKUP(Table8[[#This Row],[Mã khách hàng]],code_khach_hang[],2,0)</f>
        <v>CHI NHÁNH HẢI PHÒNG - CÔNG TY CỔ PHẦN DỊCH VỤ THƯƠNG MẠI TỔNG HỢP WINCOMMERCE</v>
      </c>
      <c r="G2455" s="16" t="str">
        <f>VLOOKUP(Table8[[#This Row],[Mã khách hàng]],code_khach_hang[],3,0)</f>
        <v>Miền Bắc đặc biệt 3</v>
      </c>
      <c r="H2455" t="str">
        <f>VLOOKUP(Table8[[#This Row],[Mã khách hàng]],'Khách hàng'!A:D,4,0)</f>
        <v>Food Đức Việt</v>
      </c>
      <c r="I2455" t="str">
        <f>VLOOKUP(Table8[[#This Row],[Mã khách hàng]],'Khách hàng'!A:E,5,0)</f>
        <v>HN0040</v>
      </c>
    </row>
    <row r="2456" spans="1:9">
      <c r="A2456" s="14" t="s">
        <v>2449</v>
      </c>
      <c r="B2456" s="15" t="s">
        <v>5</v>
      </c>
      <c r="C2456" s="10" t="s">
        <v>2450</v>
      </c>
      <c r="D2456" s="16" t="s">
        <v>7803</v>
      </c>
      <c r="E2456" s="15" t="s">
        <v>11215</v>
      </c>
      <c r="F2456" s="16" t="str">
        <f>VLOOKUP(Table8[[#This Row],[Mã khách hàng]],code_khach_hang[],2,0)</f>
        <v>CHI NHÁNH HÀ NỘI - CÔNG TY CỔ PHẦN DỊCH VỤ THƯƠNG MẠI TỔNG HỢP WINCOMMERCE</v>
      </c>
      <c r="G2456" s="16" t="str">
        <f>VLOOKUP(Table8[[#This Row],[Mã khách hàng]],code_khach_hang[],3,0)</f>
        <v>Miền Bắc đặc biệt 1</v>
      </c>
      <c r="H2456" t="str">
        <f>VLOOKUP(Table8[[#This Row],[Mã khách hàng]],'Khách hàng'!A:D,4,0)</f>
        <v>Food Đức Việt</v>
      </c>
      <c r="I2456" t="str">
        <f>VLOOKUP(Table8[[#This Row],[Mã khách hàng]],'Khách hàng'!A:E,5,0)</f>
        <v>HN0040</v>
      </c>
    </row>
    <row r="2457" spans="1:9">
      <c r="A2457" s="14" t="s">
        <v>2530</v>
      </c>
      <c r="B2457" s="15" t="s">
        <v>5</v>
      </c>
      <c r="C2457" s="10" t="s">
        <v>2531</v>
      </c>
      <c r="D2457" s="16" t="s">
        <v>7806</v>
      </c>
      <c r="E2457" s="15" t="s">
        <v>11215</v>
      </c>
      <c r="F2457" s="16" t="str">
        <f>VLOOKUP(Table8[[#This Row],[Mã khách hàng]],code_khach_hang[],2,0)</f>
        <v>CHI NHÁNH HÀ NỘI - CÔNG TY CỔ PHẦN DỊCH VỤ THƯƠNG MẠI TỔNG HỢP WINCOMMERCE</v>
      </c>
      <c r="G2457" s="16" t="str">
        <f>VLOOKUP(Table8[[#This Row],[Mã khách hàng]],code_khach_hang[],3,0)</f>
        <v>Miền Bắc đặc biệt 1</v>
      </c>
      <c r="H2457" t="str">
        <f>VLOOKUP(Table8[[#This Row],[Mã khách hàng]],'Khách hàng'!A:D,4,0)</f>
        <v>Food Đức Việt</v>
      </c>
      <c r="I2457" t="str">
        <f>VLOOKUP(Table8[[#This Row],[Mã khách hàng]],'Khách hàng'!A:E,5,0)</f>
        <v>HN0040</v>
      </c>
    </row>
    <row r="2458" spans="1:9">
      <c r="A2458" s="14" t="s">
        <v>2563</v>
      </c>
      <c r="B2458" s="15" t="s">
        <v>5</v>
      </c>
      <c r="C2458" s="10" t="s">
        <v>2564</v>
      </c>
      <c r="D2458" s="16" t="s">
        <v>7809</v>
      </c>
      <c r="E2458" s="15" t="s">
        <v>11215</v>
      </c>
      <c r="F2458" s="16" t="str">
        <f>VLOOKUP(Table8[[#This Row],[Mã khách hàng]],code_khach_hang[],2,0)</f>
        <v>CHI NHÁNH HÀ NỘI - CÔNG TY CỔ PHẦN DỊCH VỤ THƯƠNG MẠI TỔNG HỢP WINCOMMERCE</v>
      </c>
      <c r="G2458" s="16" t="str">
        <f>VLOOKUP(Table8[[#This Row],[Mã khách hàng]],code_khach_hang[],3,0)</f>
        <v>Miền Bắc đặc biệt 1</v>
      </c>
      <c r="H2458" t="str">
        <f>VLOOKUP(Table8[[#This Row],[Mã khách hàng]],'Khách hàng'!A:D,4,0)</f>
        <v>Food Đức Việt</v>
      </c>
      <c r="I2458" t="str">
        <f>VLOOKUP(Table8[[#This Row],[Mã khách hàng]],'Khách hàng'!A:E,5,0)</f>
        <v>HN0040</v>
      </c>
    </row>
    <row r="2459" spans="1:9">
      <c r="A2459" s="14" t="s">
        <v>2376</v>
      </c>
      <c r="B2459" s="15" t="s">
        <v>5</v>
      </c>
      <c r="C2459" s="10" t="s">
        <v>2377</v>
      </c>
      <c r="D2459" s="16" t="s">
        <v>7812</v>
      </c>
      <c r="E2459" s="15" t="s">
        <v>11201</v>
      </c>
      <c r="F2459" s="16" t="str">
        <f>VLOOKUP(Table8[[#This Row],[Mã khách hàng]],code_khach_hang[],2,0)</f>
        <v>CHI NHÁNH HẢI DƯƠNG - CÔNG TY CỔ PHẦN DỊCH VỤ THƯƠNG MẠI TỔNG HỢP WINCOMMERCE</v>
      </c>
      <c r="G2459" s="16" t="str">
        <f>VLOOKUP(Table8[[#This Row],[Mã khách hàng]],code_khach_hang[],3,0)</f>
        <v>Miền Bắc đặc biệt 3</v>
      </c>
      <c r="H2459" t="str">
        <f>VLOOKUP(Table8[[#This Row],[Mã khách hàng]],'Khách hàng'!A:D,4,0)</f>
        <v>Food Đức Việt</v>
      </c>
      <c r="I2459" t="str">
        <f>VLOOKUP(Table8[[#This Row],[Mã khách hàng]],'Khách hàng'!A:E,5,0)</f>
        <v>HN0040</v>
      </c>
    </row>
    <row r="2460" spans="1:9">
      <c r="A2460" s="14" t="s">
        <v>2388</v>
      </c>
      <c r="B2460" s="15" t="s">
        <v>5</v>
      </c>
      <c r="C2460" s="10" t="s">
        <v>2389</v>
      </c>
      <c r="D2460" s="16" t="s">
        <v>7815</v>
      </c>
      <c r="E2460" s="15" t="s">
        <v>11201</v>
      </c>
      <c r="F2460" s="16" t="str">
        <f>VLOOKUP(Table8[[#This Row],[Mã khách hàng]],code_khach_hang[],2,0)</f>
        <v>CHI NHÁNH HẢI DƯƠNG - CÔNG TY CỔ PHẦN DỊCH VỤ THƯƠNG MẠI TỔNG HỢP WINCOMMERCE</v>
      </c>
      <c r="G2460" s="16" t="str">
        <f>VLOOKUP(Table8[[#This Row],[Mã khách hàng]],code_khach_hang[],3,0)</f>
        <v>Miền Bắc đặc biệt 3</v>
      </c>
      <c r="H2460" t="str">
        <f>VLOOKUP(Table8[[#This Row],[Mã khách hàng]],'Khách hàng'!A:D,4,0)</f>
        <v>Food Đức Việt</v>
      </c>
      <c r="I2460" t="str">
        <f>VLOOKUP(Table8[[#This Row],[Mã khách hàng]],'Khách hàng'!A:E,5,0)</f>
        <v>HN0040</v>
      </c>
    </row>
    <row r="2461" spans="1:9">
      <c r="A2461" s="14" t="s">
        <v>2367</v>
      </c>
      <c r="B2461" s="15" t="s">
        <v>5</v>
      </c>
      <c r="C2461" s="10" t="s">
        <v>2368</v>
      </c>
      <c r="D2461" s="16" t="s">
        <v>7818</v>
      </c>
      <c r="E2461" s="15" t="s">
        <v>11200</v>
      </c>
      <c r="F2461" s="16" t="str">
        <f>VLOOKUP(Table8[[#This Row],[Mã khách hàng]],code_khach_hang[],2,0)</f>
        <v>CHI NHÁNH THÁI BÌNH - CÔNG TY CỔ PHẦN DỊCH VỤ THƯƠNG MẠI TỔNG HỢP WINCOMMERCE</v>
      </c>
      <c r="G2461" s="16" t="str">
        <f>VLOOKUP(Table8[[#This Row],[Mã khách hàng]],code_khach_hang[],3,0)</f>
        <v>Miền Bắc đặc biệt 3</v>
      </c>
      <c r="H2461" t="str">
        <f>VLOOKUP(Table8[[#This Row],[Mã khách hàng]],'Khách hàng'!A:D,4,0)</f>
        <v>Food Đức Việt</v>
      </c>
      <c r="I2461" t="str">
        <f>VLOOKUP(Table8[[#This Row],[Mã khách hàng]],'Khách hàng'!A:E,5,0)</f>
        <v>HN0040</v>
      </c>
    </row>
    <row r="2462" spans="1:9">
      <c r="A2462" s="14" t="s">
        <v>2138</v>
      </c>
      <c r="B2462" s="15" t="s">
        <v>5</v>
      </c>
      <c r="C2462" s="10" t="s">
        <v>2139</v>
      </c>
      <c r="D2462" s="16" t="s">
        <v>7821</v>
      </c>
      <c r="E2462" s="15" t="s">
        <v>11199</v>
      </c>
      <c r="F2462" s="16" t="str">
        <f>VLOOKUP(Table8[[#This Row],[Mã khách hàng]],code_khach_hang[],2,0)</f>
        <v>CHI NHÁNH PHÚ THỌ - CÔNG TY CỔ PHẦN DỊCH VỤ THƯƠNG MẠI TỔNG HỢP WINCOMMERCE</v>
      </c>
      <c r="G2462" s="16" t="str">
        <f>VLOOKUP(Table8[[#This Row],[Mã khách hàng]],code_khach_hang[],3,0)</f>
        <v>Miền Bắc đặc biệt 1</v>
      </c>
      <c r="H2462" t="str">
        <f>VLOOKUP(Table8[[#This Row],[Mã khách hàng]],'Khách hàng'!A:D,4,0)</f>
        <v>Food Đức Việt</v>
      </c>
      <c r="I2462" t="str">
        <f>VLOOKUP(Table8[[#This Row],[Mã khách hàng]],'Khách hàng'!A:E,5,0)</f>
        <v>HN0040</v>
      </c>
    </row>
    <row r="2463" spans="1:9">
      <c r="A2463" s="14" t="s">
        <v>2267</v>
      </c>
      <c r="B2463" s="15" t="s">
        <v>5</v>
      </c>
      <c r="C2463" s="10" t="s">
        <v>2268</v>
      </c>
      <c r="D2463" s="16" t="s">
        <v>7824</v>
      </c>
      <c r="E2463" s="15" t="s">
        <v>11215</v>
      </c>
      <c r="F2463" s="16" t="str">
        <f>VLOOKUP(Table8[[#This Row],[Mã khách hàng]],code_khach_hang[],2,0)</f>
        <v>CHI NHÁNH HÀ NỘI - CÔNG TY CỔ PHẦN DỊCH VỤ THƯƠNG MẠI TỔNG HỢP WINCOMMERCE</v>
      </c>
      <c r="G2463" s="16" t="str">
        <f>VLOOKUP(Table8[[#This Row],[Mã khách hàng]],code_khach_hang[],3,0)</f>
        <v>Miền Bắc đặc biệt 1</v>
      </c>
      <c r="H2463" t="str">
        <f>VLOOKUP(Table8[[#This Row],[Mã khách hàng]],'Khách hàng'!A:D,4,0)</f>
        <v>Food Đức Việt</v>
      </c>
      <c r="I2463" t="str">
        <f>VLOOKUP(Table8[[#This Row],[Mã khách hàng]],'Khách hàng'!A:E,5,0)</f>
        <v>HN0040</v>
      </c>
    </row>
    <row r="2464" spans="1:9">
      <c r="A2464" s="14" t="s">
        <v>2361</v>
      </c>
      <c r="B2464" s="15" t="s">
        <v>5</v>
      </c>
      <c r="C2464" s="10" t="s">
        <v>2362</v>
      </c>
      <c r="D2464" s="16" t="s">
        <v>7827</v>
      </c>
      <c r="E2464" s="15" t="s">
        <v>11205</v>
      </c>
      <c r="F2464" s="16" t="str">
        <f>VLOOKUP(Table8[[#This Row],[Mã khách hàng]],code_khach_hang[],2,0)</f>
        <v>CHI NHÁNH HÀ TĨNH - CÔNG TY CỔ PHẦN DỊCH VỤ THƯƠNG MẠI TỔNG HỢP WINCOMMERCE</v>
      </c>
      <c r="G2464" s="16" t="str">
        <f>VLOOKUP(Table8[[#This Row],[Mã khách hàng]],code_khach_hang[],3,0)</f>
        <v>Miền Trung đặc biệt 1</v>
      </c>
      <c r="H2464" t="str">
        <f>VLOOKUP(Table8[[#This Row],[Mã khách hàng]],'Khách hàng'!A:D,4,0)</f>
        <v>Food Đức Việt</v>
      </c>
      <c r="I2464" t="str">
        <f>VLOOKUP(Table8[[#This Row],[Mã khách hàng]],'Khách hàng'!A:E,5,0)</f>
        <v>HN0040</v>
      </c>
    </row>
    <row r="2465" spans="1:9">
      <c r="A2465" s="14" t="s">
        <v>9274</v>
      </c>
      <c r="B2465" s="15" t="s">
        <v>5</v>
      </c>
      <c r="C2465" s="10" t="s">
        <v>9275</v>
      </c>
      <c r="D2465" s="16" t="s">
        <v>7830</v>
      </c>
      <c r="E2465" s="15" t="s">
        <v>11215</v>
      </c>
      <c r="F2465" s="16" t="str">
        <f>VLOOKUP(Table8[[#This Row],[Mã khách hàng]],code_khach_hang[],2,0)</f>
        <v>CHI NHÁNH HÀ NỘI - CÔNG TY CỔ PHẦN DỊCH VỤ THƯƠNG MẠI TỔNG HỢP WINCOMMERCE</v>
      </c>
      <c r="G2465" s="16" t="str">
        <f>VLOOKUP(Table8[[#This Row],[Mã khách hàng]],code_khach_hang[],3,0)</f>
        <v>Miền Bắc đặc biệt 1</v>
      </c>
      <c r="H2465" t="str">
        <f>VLOOKUP(Table8[[#This Row],[Mã khách hàng]],'Khách hàng'!A:D,4,0)</f>
        <v>Food Đức Việt</v>
      </c>
      <c r="I2465" t="str">
        <f>VLOOKUP(Table8[[#This Row],[Mã khách hàng]],'Khách hàng'!A:E,5,0)</f>
        <v>HN0040</v>
      </c>
    </row>
    <row r="2466" spans="1:9">
      <c r="A2466" s="14" t="s">
        <v>2439</v>
      </c>
      <c r="B2466" s="15" t="s">
        <v>5</v>
      </c>
      <c r="C2466" s="10" t="s">
        <v>2440</v>
      </c>
      <c r="D2466" s="16" t="s">
        <v>7833</v>
      </c>
      <c r="E2466" s="15" t="s">
        <v>11201</v>
      </c>
      <c r="F2466" s="16" t="str">
        <f>VLOOKUP(Table8[[#This Row],[Mã khách hàng]],code_khach_hang[],2,0)</f>
        <v>CHI NHÁNH HẢI DƯƠNG - CÔNG TY CỔ PHẦN DỊCH VỤ THƯƠNG MẠI TỔNG HỢP WINCOMMERCE</v>
      </c>
      <c r="G2466" s="16" t="str">
        <f>VLOOKUP(Table8[[#This Row],[Mã khách hàng]],code_khach_hang[],3,0)</f>
        <v>Miền Bắc đặc biệt 3</v>
      </c>
      <c r="H2466" t="str">
        <f>VLOOKUP(Table8[[#This Row],[Mã khách hàng]],'Khách hàng'!A:D,4,0)</f>
        <v>Food Đức Việt</v>
      </c>
      <c r="I2466" t="str">
        <f>VLOOKUP(Table8[[#This Row],[Mã khách hàng]],'Khách hàng'!A:E,5,0)</f>
        <v>HN0040</v>
      </c>
    </row>
    <row r="2467" spans="1:9">
      <c r="A2467" s="14" t="s">
        <v>2452</v>
      </c>
      <c r="B2467" s="15" t="s">
        <v>5</v>
      </c>
      <c r="C2467" s="10" t="s">
        <v>2453</v>
      </c>
      <c r="D2467" s="16" t="s">
        <v>7836</v>
      </c>
      <c r="E2467" s="15" t="s">
        <v>11215</v>
      </c>
      <c r="F2467" s="16" t="str">
        <f>VLOOKUP(Table8[[#This Row],[Mã khách hàng]],code_khach_hang[],2,0)</f>
        <v>CHI NHÁNH HÀ NỘI - CÔNG TY CỔ PHẦN DỊCH VỤ THƯƠNG MẠI TỔNG HỢP WINCOMMERCE</v>
      </c>
      <c r="G2467" s="16" t="str">
        <f>VLOOKUP(Table8[[#This Row],[Mã khách hàng]],code_khach_hang[],3,0)</f>
        <v>Miền Bắc đặc biệt 1</v>
      </c>
      <c r="H2467" t="str">
        <f>VLOOKUP(Table8[[#This Row],[Mã khách hàng]],'Khách hàng'!A:D,4,0)</f>
        <v>Food Đức Việt</v>
      </c>
      <c r="I2467" t="str">
        <f>VLOOKUP(Table8[[#This Row],[Mã khách hàng]],'Khách hàng'!A:E,5,0)</f>
        <v>HN0040</v>
      </c>
    </row>
    <row r="2468" spans="1:9">
      <c r="A2468" s="14" t="s">
        <v>2458</v>
      </c>
      <c r="B2468" s="15" t="s">
        <v>5</v>
      </c>
      <c r="C2468" s="10" t="s">
        <v>2459</v>
      </c>
      <c r="D2468" s="16" t="s">
        <v>7839</v>
      </c>
      <c r="E2468" s="15" t="s">
        <v>11215</v>
      </c>
      <c r="F2468" s="16" t="str">
        <f>VLOOKUP(Table8[[#This Row],[Mã khách hàng]],code_khach_hang[],2,0)</f>
        <v>CHI NHÁNH HÀ NỘI - CÔNG TY CỔ PHẦN DỊCH VỤ THƯƠNG MẠI TỔNG HỢP WINCOMMERCE</v>
      </c>
      <c r="G2468" s="16" t="str">
        <f>VLOOKUP(Table8[[#This Row],[Mã khách hàng]],code_khach_hang[],3,0)</f>
        <v>Miền Bắc đặc biệt 1</v>
      </c>
      <c r="H2468" t="str">
        <f>VLOOKUP(Table8[[#This Row],[Mã khách hàng]],'Khách hàng'!A:D,4,0)</f>
        <v>Food Đức Việt</v>
      </c>
      <c r="I2468" t="str">
        <f>VLOOKUP(Table8[[#This Row],[Mã khách hàng]],'Khách hàng'!A:E,5,0)</f>
        <v>HN0040</v>
      </c>
    </row>
    <row r="2469" spans="1:9">
      <c r="A2469" s="14" t="s">
        <v>2507</v>
      </c>
      <c r="B2469" s="15" t="s">
        <v>5</v>
      </c>
      <c r="C2469" s="10" t="s">
        <v>2508</v>
      </c>
      <c r="D2469" s="16" t="s">
        <v>7842</v>
      </c>
      <c r="E2469" s="15" t="s">
        <v>11209</v>
      </c>
      <c r="F2469" s="16" t="str">
        <f>VLOOKUP(Table8[[#This Row],[Mã khách hàng]],code_khach_hang[],2,0)</f>
        <v>CHI NHÁNH QUẢNG BÌNH - CÔNG TY CỔ PHẦN DỊCH VỤ THƯƠNG MẠI TỔNG HỢP WINCOMMERCE</v>
      </c>
      <c r="G2469" s="16" t="str">
        <f>VLOOKUP(Table8[[#This Row],[Mã khách hàng]],code_khach_hang[],3,0)</f>
        <v>Miền Trung đặc biệt 1</v>
      </c>
      <c r="H2469" t="str">
        <f>VLOOKUP(Table8[[#This Row],[Mã khách hàng]],'Khách hàng'!A:D,4,0)</f>
        <v>Food Đức Việt</v>
      </c>
      <c r="I2469" t="str">
        <f>VLOOKUP(Table8[[#This Row],[Mã khách hàng]],'Khách hàng'!A:E,5,0)</f>
        <v>HN0040</v>
      </c>
    </row>
    <row r="2470" spans="1:9">
      <c r="A2470" s="14" t="s">
        <v>2560</v>
      </c>
      <c r="B2470" s="15" t="s">
        <v>5</v>
      </c>
      <c r="C2470" s="10" t="s">
        <v>2561</v>
      </c>
      <c r="D2470" s="16" t="s">
        <v>7845</v>
      </c>
      <c r="E2470" s="15" t="s">
        <v>11207</v>
      </c>
      <c r="F2470" s="16" t="str">
        <f>VLOOKUP(Table8[[#This Row],[Mã khách hàng]],code_khach_hang[],2,0)</f>
        <v>CHI NHÁNH THÁI NGUYÊN - CÔNG TY CỔ PHẦN DỊCH VỤ THƯƠNG MẠI TỔNG HỢP WINCOMMERCE</v>
      </c>
      <c r="G2470" s="16" t="str">
        <f>VLOOKUP(Table8[[#This Row],[Mã khách hàng]],code_khach_hang[],3,0)</f>
        <v>Miền Bắc đặc biệt 2</v>
      </c>
      <c r="H2470" t="str">
        <f>VLOOKUP(Table8[[#This Row],[Mã khách hàng]],'Khách hàng'!A:D,4,0)</f>
        <v>Food Đức Việt</v>
      </c>
      <c r="I2470" t="str">
        <f>VLOOKUP(Table8[[#This Row],[Mã khách hàng]],'Khách hàng'!A:E,5,0)</f>
        <v>HN0040</v>
      </c>
    </row>
    <row r="2471" spans="1:9">
      <c r="A2471" s="14" t="s">
        <v>2575</v>
      </c>
      <c r="B2471" s="15" t="s">
        <v>5</v>
      </c>
      <c r="C2471" s="10" t="s">
        <v>2576</v>
      </c>
      <c r="D2471" s="16" t="s">
        <v>7848</v>
      </c>
      <c r="E2471" s="15" t="s">
        <v>11215</v>
      </c>
      <c r="F2471" s="16" t="str">
        <f>VLOOKUP(Table8[[#This Row],[Mã khách hàng]],code_khach_hang[],2,0)</f>
        <v>CHI NHÁNH HÀ NỘI - CÔNG TY CỔ PHẦN DỊCH VỤ THƯƠNG MẠI TỔNG HỢP WINCOMMERCE</v>
      </c>
      <c r="G2471" s="16" t="str">
        <f>VLOOKUP(Table8[[#This Row],[Mã khách hàng]],code_khach_hang[],3,0)</f>
        <v>Miền Bắc đặc biệt 1</v>
      </c>
      <c r="H2471" t="str">
        <f>VLOOKUP(Table8[[#This Row],[Mã khách hàng]],'Khách hàng'!A:D,4,0)</f>
        <v>Food Đức Việt</v>
      </c>
      <c r="I2471" t="str">
        <f>VLOOKUP(Table8[[#This Row],[Mã khách hàng]],'Khách hàng'!A:E,5,0)</f>
        <v>HN0040</v>
      </c>
    </row>
    <row r="2472" spans="1:9">
      <c r="A2472" s="14" t="s">
        <v>2584</v>
      </c>
      <c r="B2472" s="15" t="s">
        <v>5</v>
      </c>
      <c r="C2472" s="10" t="s">
        <v>2585</v>
      </c>
      <c r="D2472" s="16" t="s">
        <v>7851</v>
      </c>
      <c r="E2472" s="15" t="s">
        <v>11215</v>
      </c>
      <c r="F2472" s="16" t="str">
        <f>VLOOKUP(Table8[[#This Row],[Mã khách hàng]],code_khach_hang[],2,0)</f>
        <v>CHI NHÁNH HÀ NỘI - CÔNG TY CỔ PHẦN DỊCH VỤ THƯƠNG MẠI TỔNG HỢP WINCOMMERCE</v>
      </c>
      <c r="G2472" s="16" t="str">
        <f>VLOOKUP(Table8[[#This Row],[Mã khách hàng]],code_khach_hang[],3,0)</f>
        <v>Miền Bắc đặc biệt 1</v>
      </c>
      <c r="H2472" t="str">
        <f>VLOOKUP(Table8[[#This Row],[Mã khách hàng]],'Khách hàng'!A:D,4,0)</f>
        <v>Food Đức Việt</v>
      </c>
      <c r="I2472" t="str">
        <f>VLOOKUP(Table8[[#This Row],[Mã khách hàng]],'Khách hàng'!A:E,5,0)</f>
        <v>HN0040</v>
      </c>
    </row>
    <row r="2473" spans="1:9">
      <c r="A2473" s="14" t="s">
        <v>2587</v>
      </c>
      <c r="B2473" s="15" t="s">
        <v>5</v>
      </c>
      <c r="C2473" s="10" t="s">
        <v>2588</v>
      </c>
      <c r="D2473" s="16" t="s">
        <v>7854</v>
      </c>
      <c r="E2473" s="15" t="s">
        <v>11203</v>
      </c>
      <c r="F2473" s="16" t="str">
        <f>VLOOKUP(Table8[[#This Row],[Mã khách hàng]],code_khach_hang[],2,0)</f>
        <v>CHI NHÁNH THANH HÓA - CÔNG TY CỔ PHẦN DỊCH VỤ THƯƠNG MẠI TỔNG HỢP WINCOMMERCE</v>
      </c>
      <c r="G2473" s="16" t="str">
        <f>VLOOKUP(Table8[[#This Row],[Mã khách hàng]],code_khach_hang[],3,0)</f>
        <v>Miền Trung đặc biệt 1</v>
      </c>
      <c r="H2473" t="str">
        <f>VLOOKUP(Table8[[#This Row],[Mã khách hàng]],'Khách hàng'!A:D,4,0)</f>
        <v>Food Đức Việt</v>
      </c>
      <c r="I2473" t="str">
        <f>VLOOKUP(Table8[[#This Row],[Mã khách hàng]],'Khách hàng'!A:E,5,0)</f>
        <v>HN0040</v>
      </c>
    </row>
    <row r="2474" spans="1:9">
      <c r="A2474" s="14" t="s">
        <v>2590</v>
      </c>
      <c r="B2474" s="15" t="s">
        <v>5</v>
      </c>
      <c r="C2474" s="10" t="s">
        <v>2591</v>
      </c>
      <c r="D2474" s="16" t="s">
        <v>7857</v>
      </c>
      <c r="E2474" s="15" t="s">
        <v>11205</v>
      </c>
      <c r="F2474" s="16" t="str">
        <f>VLOOKUP(Table8[[#This Row],[Mã khách hàng]],code_khach_hang[],2,0)</f>
        <v>CHI NHÁNH HÀ TĨNH - CÔNG TY CỔ PHẦN DỊCH VỤ THƯƠNG MẠI TỔNG HỢP WINCOMMERCE</v>
      </c>
      <c r="G2474" s="16" t="str">
        <f>VLOOKUP(Table8[[#This Row],[Mã khách hàng]],code_khach_hang[],3,0)</f>
        <v>Miền Trung đặc biệt 1</v>
      </c>
      <c r="H2474" t="str">
        <f>VLOOKUP(Table8[[#This Row],[Mã khách hàng]],'Khách hàng'!A:D,4,0)</f>
        <v>Food Đức Việt</v>
      </c>
      <c r="I2474" t="str">
        <f>VLOOKUP(Table8[[#This Row],[Mã khách hàng]],'Khách hàng'!A:E,5,0)</f>
        <v>HN0040</v>
      </c>
    </row>
    <row r="2475" spans="1:9">
      <c r="A2475" s="14" t="s">
        <v>2605</v>
      </c>
      <c r="B2475" s="15" t="s">
        <v>5</v>
      </c>
      <c r="C2475" s="10" t="s">
        <v>2606</v>
      </c>
      <c r="D2475" s="16" t="s">
        <v>7860</v>
      </c>
      <c r="E2475" s="15" t="s">
        <v>11211</v>
      </c>
      <c r="F2475" s="16" t="str">
        <f>VLOOKUP(Table8[[#This Row],[Mã khách hàng]],code_khach_hang[],2,0)</f>
        <v>CHI NHÁNH NGHỆ AN - CÔNG TY CỔ PHẦN DỊCH VỤ THƯƠNG MẠI TỔNG HỢP WINCOMMERCE</v>
      </c>
      <c r="G2475" s="16" t="str">
        <f>VLOOKUP(Table8[[#This Row],[Mã khách hàng]],code_khach_hang[],3,0)</f>
        <v>Miền Trung đặc biệt 1</v>
      </c>
      <c r="H2475" t="str">
        <f>VLOOKUP(Table8[[#This Row],[Mã khách hàng]],'Khách hàng'!A:D,4,0)</f>
        <v>Food Đức Việt</v>
      </c>
      <c r="I2475" t="str">
        <f>VLOOKUP(Table8[[#This Row],[Mã khách hàng]],'Khách hàng'!A:E,5,0)</f>
        <v>HN0040</v>
      </c>
    </row>
    <row r="2476" spans="1:9">
      <c r="A2476" s="14" t="s">
        <v>2311</v>
      </c>
      <c r="B2476" s="15" t="s">
        <v>5</v>
      </c>
      <c r="C2476" s="10" t="s">
        <v>2312</v>
      </c>
      <c r="D2476" s="16" t="s">
        <v>7862</v>
      </c>
      <c r="E2476" s="15" t="s">
        <v>11215</v>
      </c>
      <c r="F2476" s="16" t="str">
        <f>VLOOKUP(Table8[[#This Row],[Mã khách hàng]],code_khach_hang[],2,0)</f>
        <v>CHI NHÁNH HÀ NỘI - CÔNG TY CỔ PHẦN DỊCH VỤ THƯƠNG MẠI TỔNG HỢP WINCOMMERCE</v>
      </c>
      <c r="G2476" s="16" t="str">
        <f>VLOOKUP(Table8[[#This Row],[Mã khách hàng]],code_khach_hang[],3,0)</f>
        <v>Miền Bắc đặc biệt 1</v>
      </c>
      <c r="H2476" t="str">
        <f>VLOOKUP(Table8[[#This Row],[Mã khách hàng]],'Khách hàng'!A:D,4,0)</f>
        <v>Food Đức Việt</v>
      </c>
      <c r="I2476" t="str">
        <f>VLOOKUP(Table8[[#This Row],[Mã khách hàng]],'Khách hàng'!A:E,5,0)</f>
        <v>HN0040</v>
      </c>
    </row>
    <row r="2477" spans="1:9">
      <c r="A2477" s="14" t="s">
        <v>2338</v>
      </c>
      <c r="B2477" s="15" t="s">
        <v>5</v>
      </c>
      <c r="C2477" s="10" t="s">
        <v>2339</v>
      </c>
      <c r="D2477" s="16" t="s">
        <v>7865</v>
      </c>
      <c r="E2477" s="15" t="s">
        <v>11215</v>
      </c>
      <c r="F2477" s="16" t="str">
        <f>VLOOKUP(Table8[[#This Row],[Mã khách hàng]],code_khach_hang[],2,0)</f>
        <v>CHI NHÁNH HÀ NỘI - CÔNG TY CỔ PHẦN DỊCH VỤ THƯƠNG MẠI TỔNG HỢP WINCOMMERCE</v>
      </c>
      <c r="G2477" s="16" t="str">
        <f>VLOOKUP(Table8[[#This Row],[Mã khách hàng]],code_khach_hang[],3,0)</f>
        <v>Miền Bắc đặc biệt 1</v>
      </c>
      <c r="H2477" t="str">
        <f>VLOOKUP(Table8[[#This Row],[Mã khách hàng]],'Khách hàng'!A:D,4,0)</f>
        <v>Food Đức Việt</v>
      </c>
      <c r="I2477" t="str">
        <f>VLOOKUP(Table8[[#This Row],[Mã khách hàng]],'Khách hàng'!A:E,5,0)</f>
        <v>HN0040</v>
      </c>
    </row>
    <row r="2478" spans="1:9">
      <c r="A2478" s="14" t="s">
        <v>2385</v>
      </c>
      <c r="B2478" s="15" t="s">
        <v>5</v>
      </c>
      <c r="C2478" s="10" t="s">
        <v>2386</v>
      </c>
      <c r="D2478" s="16" t="s">
        <v>7868</v>
      </c>
      <c r="E2478" s="15" t="s">
        <v>11215</v>
      </c>
      <c r="F2478" s="16" t="str">
        <f>VLOOKUP(Table8[[#This Row],[Mã khách hàng]],code_khach_hang[],2,0)</f>
        <v>CHI NHÁNH HÀ NỘI - CÔNG TY CỔ PHẦN DỊCH VỤ THƯƠNG MẠI TỔNG HỢP WINCOMMERCE</v>
      </c>
      <c r="G2478" s="16" t="str">
        <f>VLOOKUP(Table8[[#This Row],[Mã khách hàng]],code_khach_hang[],3,0)</f>
        <v>Miền Bắc đặc biệt 1</v>
      </c>
      <c r="H2478" t="str">
        <f>VLOOKUP(Table8[[#This Row],[Mã khách hàng]],'Khách hàng'!A:D,4,0)</f>
        <v>Food Đức Việt</v>
      </c>
      <c r="I2478" t="str">
        <f>VLOOKUP(Table8[[#This Row],[Mã khách hàng]],'Khách hàng'!A:E,5,0)</f>
        <v>HN0040</v>
      </c>
    </row>
    <row r="2479" spans="1:9">
      <c r="A2479" s="14" t="s">
        <v>2397</v>
      </c>
      <c r="B2479" s="15" t="s">
        <v>5</v>
      </c>
      <c r="C2479" s="10" t="s">
        <v>2398</v>
      </c>
      <c r="D2479" s="16" t="s">
        <v>7871</v>
      </c>
      <c r="E2479" s="15" t="s">
        <v>11215</v>
      </c>
      <c r="F2479" s="16" t="str">
        <f>VLOOKUP(Table8[[#This Row],[Mã khách hàng]],code_khach_hang[],2,0)</f>
        <v>CHI NHÁNH HÀ NỘI - CÔNG TY CỔ PHẦN DỊCH VỤ THƯƠNG MẠI TỔNG HỢP WINCOMMERCE</v>
      </c>
      <c r="G2479" s="16" t="str">
        <f>VLOOKUP(Table8[[#This Row],[Mã khách hàng]],code_khach_hang[],3,0)</f>
        <v>Miền Bắc đặc biệt 1</v>
      </c>
      <c r="H2479" t="str">
        <f>VLOOKUP(Table8[[#This Row],[Mã khách hàng]],'Khách hàng'!A:D,4,0)</f>
        <v>Food Đức Việt</v>
      </c>
      <c r="I2479" t="str">
        <f>VLOOKUP(Table8[[#This Row],[Mã khách hàng]],'Khách hàng'!A:E,5,0)</f>
        <v>HN0040</v>
      </c>
    </row>
    <row r="2480" spans="1:9">
      <c r="A2480" s="14" t="s">
        <v>2446</v>
      </c>
      <c r="B2480" s="15" t="s">
        <v>5</v>
      </c>
      <c r="C2480" s="10" t="s">
        <v>2447</v>
      </c>
      <c r="D2480" s="16" t="s">
        <v>7874</v>
      </c>
      <c r="E2480" s="15" t="s">
        <v>11215</v>
      </c>
      <c r="F2480" s="16" t="str">
        <f>VLOOKUP(Table8[[#This Row],[Mã khách hàng]],code_khach_hang[],2,0)</f>
        <v>CHI NHÁNH HÀ NỘI - CÔNG TY CỔ PHẦN DỊCH VỤ THƯƠNG MẠI TỔNG HỢP WINCOMMERCE</v>
      </c>
      <c r="G2480" s="16" t="str">
        <f>VLOOKUP(Table8[[#This Row],[Mã khách hàng]],code_khach_hang[],3,0)</f>
        <v>Miền Bắc đặc biệt 1</v>
      </c>
      <c r="H2480" t="str">
        <f>VLOOKUP(Table8[[#This Row],[Mã khách hàng]],'Khách hàng'!A:D,4,0)</f>
        <v>Food Đức Việt</v>
      </c>
      <c r="I2480" t="str">
        <f>VLOOKUP(Table8[[#This Row],[Mã khách hàng]],'Khách hàng'!A:E,5,0)</f>
        <v>HN0040</v>
      </c>
    </row>
    <row r="2481" spans="1:9">
      <c r="A2481" s="14" t="s">
        <v>2486</v>
      </c>
      <c r="B2481" s="15" t="s">
        <v>5</v>
      </c>
      <c r="C2481" s="10" t="e">
        <v>#N/A</v>
      </c>
      <c r="D2481" s="16" t="s">
        <v>7877</v>
      </c>
      <c r="E2481" s="15" t="s">
        <v>11209</v>
      </c>
      <c r="F2481" s="16" t="str">
        <f>VLOOKUP(Table8[[#This Row],[Mã khách hàng]],code_khach_hang[],2,0)</f>
        <v>CHI NHÁNH QUẢNG BÌNH - CÔNG TY CỔ PHẦN DỊCH VỤ THƯƠNG MẠI TỔNG HỢP WINCOMMERCE</v>
      </c>
      <c r="G2481" s="16" t="str">
        <f>VLOOKUP(Table8[[#This Row],[Mã khách hàng]],code_khach_hang[],3,0)</f>
        <v>Miền Trung đặc biệt 1</v>
      </c>
      <c r="H2481" t="str">
        <f>VLOOKUP(Table8[[#This Row],[Mã khách hàng]],'Khách hàng'!A:D,4,0)</f>
        <v>Food Đức Việt</v>
      </c>
      <c r="I2481" t="str">
        <f>VLOOKUP(Table8[[#This Row],[Mã khách hàng]],'Khách hàng'!A:E,5,0)</f>
        <v>HN0040</v>
      </c>
    </row>
    <row r="2482" spans="1:9">
      <c r="A2482" s="14" t="s">
        <v>2524</v>
      </c>
      <c r="B2482" s="15" t="s">
        <v>5</v>
      </c>
      <c r="C2482" s="10" t="s">
        <v>2525</v>
      </c>
      <c r="D2482" s="16" t="s">
        <v>7880</v>
      </c>
      <c r="E2482" s="15" t="s">
        <v>11215</v>
      </c>
      <c r="F2482" s="16" t="str">
        <f>VLOOKUP(Table8[[#This Row],[Mã khách hàng]],code_khach_hang[],2,0)</f>
        <v>CHI NHÁNH HÀ NỘI - CÔNG TY CỔ PHẦN DỊCH VỤ THƯƠNG MẠI TỔNG HỢP WINCOMMERCE</v>
      </c>
      <c r="G2482" s="16" t="str">
        <f>VLOOKUP(Table8[[#This Row],[Mã khách hàng]],code_khach_hang[],3,0)</f>
        <v>Miền Bắc đặc biệt 1</v>
      </c>
      <c r="H2482" t="str">
        <f>VLOOKUP(Table8[[#This Row],[Mã khách hàng]],'Khách hàng'!A:D,4,0)</f>
        <v>Food Đức Việt</v>
      </c>
      <c r="I2482" t="str">
        <f>VLOOKUP(Table8[[#This Row],[Mã khách hàng]],'Khách hàng'!A:E,5,0)</f>
        <v>HN0040</v>
      </c>
    </row>
    <row r="2483" spans="1:9">
      <c r="A2483" s="14" t="s">
        <v>2536</v>
      </c>
      <c r="B2483" s="15" t="s">
        <v>5</v>
      </c>
      <c r="C2483" s="10" t="s">
        <v>2537</v>
      </c>
      <c r="D2483" s="16" t="s">
        <v>7883</v>
      </c>
      <c r="E2483" s="15" t="s">
        <v>11211</v>
      </c>
      <c r="F2483" s="16" t="str">
        <f>VLOOKUP(Table8[[#This Row],[Mã khách hàng]],code_khach_hang[],2,0)</f>
        <v>CHI NHÁNH NGHỆ AN - CÔNG TY CỔ PHẦN DỊCH VỤ THƯƠNG MẠI TỔNG HỢP WINCOMMERCE</v>
      </c>
      <c r="G2483" s="16" t="str">
        <f>VLOOKUP(Table8[[#This Row],[Mã khách hàng]],code_khach_hang[],3,0)</f>
        <v>Miền Trung đặc biệt 1</v>
      </c>
      <c r="H2483" t="str">
        <f>VLOOKUP(Table8[[#This Row],[Mã khách hàng]],'Khách hàng'!A:D,4,0)</f>
        <v>Food Đức Việt</v>
      </c>
      <c r="I2483" t="str">
        <f>VLOOKUP(Table8[[#This Row],[Mã khách hàng]],'Khách hàng'!A:E,5,0)</f>
        <v>HN0040</v>
      </c>
    </row>
    <row r="2484" spans="1:9">
      <c r="A2484" s="14" t="s">
        <v>2569</v>
      </c>
      <c r="B2484" s="15" t="s">
        <v>5</v>
      </c>
      <c r="C2484" s="10" t="s">
        <v>2570</v>
      </c>
      <c r="D2484" s="16" t="s">
        <v>7885</v>
      </c>
      <c r="E2484" s="15" t="s">
        <v>11215</v>
      </c>
      <c r="F2484" s="16" t="str">
        <f>VLOOKUP(Table8[[#This Row],[Mã khách hàng]],code_khach_hang[],2,0)</f>
        <v>CHI NHÁNH HÀ NỘI - CÔNG TY CỔ PHẦN DỊCH VỤ THƯƠNG MẠI TỔNG HỢP WINCOMMERCE</v>
      </c>
      <c r="G2484" s="16" t="str">
        <f>VLOOKUP(Table8[[#This Row],[Mã khách hàng]],code_khach_hang[],3,0)</f>
        <v>Miền Bắc đặc biệt 1</v>
      </c>
      <c r="H2484" t="str">
        <f>VLOOKUP(Table8[[#This Row],[Mã khách hàng]],'Khách hàng'!A:D,4,0)</f>
        <v>Food Đức Việt</v>
      </c>
      <c r="I2484" t="str">
        <f>VLOOKUP(Table8[[#This Row],[Mã khách hàng]],'Khách hàng'!A:E,5,0)</f>
        <v>HN0040</v>
      </c>
    </row>
    <row r="2485" spans="1:9">
      <c r="A2485" s="14" t="s">
        <v>2593</v>
      </c>
      <c r="B2485" s="15" t="s">
        <v>5</v>
      </c>
      <c r="C2485" s="10" t="s">
        <v>2594</v>
      </c>
      <c r="D2485" s="16" t="s">
        <v>7888</v>
      </c>
      <c r="E2485" s="15" t="s">
        <v>11196</v>
      </c>
      <c r="F2485" s="16" t="str">
        <f>VLOOKUP(Table8[[#This Row],[Mã khách hàng]],code_khach_hang[],2,0)</f>
        <v>CHI NHÁNH NINH BÌNH - CÔNG TY CỔ PHẦN DỊCH VỤ THƯƠNG MẠI TỔNG HỢP WINCOMMERCE</v>
      </c>
      <c r="G2485" s="16" t="str">
        <f>VLOOKUP(Table8[[#This Row],[Mã khách hàng]],code_khach_hang[],3,0)</f>
        <v>Miền Bắc đặc biệt 3</v>
      </c>
      <c r="H2485" t="str">
        <f>VLOOKUP(Table8[[#This Row],[Mã khách hàng]],'Khách hàng'!A:D,4,0)</f>
        <v>Food Đức Việt</v>
      </c>
      <c r="I2485" t="str">
        <f>VLOOKUP(Table8[[#This Row],[Mã khách hàng]],'Khách hàng'!A:E,5,0)</f>
        <v>HN0040</v>
      </c>
    </row>
    <row r="2486" spans="1:9">
      <c r="A2486" s="14" t="s">
        <v>2608</v>
      </c>
      <c r="B2486" s="15" t="s">
        <v>5</v>
      </c>
      <c r="C2486" s="10" t="s">
        <v>2609</v>
      </c>
      <c r="D2486" s="16" t="s">
        <v>7891</v>
      </c>
      <c r="E2486" s="15" t="s">
        <v>11215</v>
      </c>
      <c r="F2486" s="16" t="str">
        <f>VLOOKUP(Table8[[#This Row],[Mã khách hàng]],code_khach_hang[],2,0)</f>
        <v>CHI NHÁNH HÀ NỘI - CÔNG TY CỔ PHẦN DỊCH VỤ THƯƠNG MẠI TỔNG HỢP WINCOMMERCE</v>
      </c>
      <c r="G2486" s="16" t="str">
        <f>VLOOKUP(Table8[[#This Row],[Mã khách hàng]],code_khach_hang[],3,0)</f>
        <v>Miền Bắc đặc biệt 1</v>
      </c>
      <c r="H2486" t="str">
        <f>VLOOKUP(Table8[[#This Row],[Mã khách hàng]],'Khách hàng'!A:D,4,0)</f>
        <v>Food Đức Việt</v>
      </c>
      <c r="I2486" t="str">
        <f>VLOOKUP(Table8[[#This Row],[Mã khách hàng]],'Khách hàng'!A:E,5,0)</f>
        <v>HN0040</v>
      </c>
    </row>
    <row r="2487" spans="1:9">
      <c r="A2487" s="14" t="s">
        <v>2630</v>
      </c>
      <c r="B2487" s="15" t="s">
        <v>5</v>
      </c>
      <c r="C2487" s="10" t="e">
        <v>#N/A</v>
      </c>
      <c r="D2487" s="16" t="s">
        <v>7894</v>
      </c>
      <c r="E2487" s="15" t="s">
        <v>11203</v>
      </c>
      <c r="F2487" s="16" t="str">
        <f>VLOOKUP(Table8[[#This Row],[Mã khách hàng]],code_khach_hang[],2,0)</f>
        <v>CHI NHÁNH THANH HÓA - CÔNG TY CỔ PHẦN DỊCH VỤ THƯƠNG MẠI TỔNG HỢP WINCOMMERCE</v>
      </c>
      <c r="G2487" s="16" t="str">
        <f>VLOOKUP(Table8[[#This Row],[Mã khách hàng]],code_khach_hang[],3,0)</f>
        <v>Miền Trung đặc biệt 1</v>
      </c>
      <c r="H2487" t="str">
        <f>VLOOKUP(Table8[[#This Row],[Mã khách hàng]],'Khách hàng'!A:D,4,0)</f>
        <v>Food Đức Việt</v>
      </c>
      <c r="I2487" t="str">
        <f>VLOOKUP(Table8[[#This Row],[Mã khách hàng]],'Khách hàng'!A:E,5,0)</f>
        <v>HN0040</v>
      </c>
    </row>
    <row r="2488" spans="1:9">
      <c r="A2488" s="14" t="s">
        <v>2632</v>
      </c>
      <c r="B2488" s="15" t="s">
        <v>5</v>
      </c>
      <c r="C2488" s="10" t="s">
        <v>2633</v>
      </c>
      <c r="D2488" s="16" t="s">
        <v>7896</v>
      </c>
      <c r="E2488" s="15" t="s">
        <v>11209</v>
      </c>
      <c r="F2488" s="16" t="str">
        <f>VLOOKUP(Table8[[#This Row],[Mã khách hàng]],code_khach_hang[],2,0)</f>
        <v>CHI NHÁNH QUẢNG BÌNH - CÔNG TY CỔ PHẦN DỊCH VỤ THƯƠNG MẠI TỔNG HỢP WINCOMMERCE</v>
      </c>
      <c r="G2488" s="16" t="str">
        <f>VLOOKUP(Table8[[#This Row],[Mã khách hàng]],code_khach_hang[],3,0)</f>
        <v>Miền Trung đặc biệt 1</v>
      </c>
      <c r="H2488" t="str">
        <f>VLOOKUP(Table8[[#This Row],[Mã khách hàng]],'Khách hàng'!A:D,4,0)</f>
        <v>Food Đức Việt</v>
      </c>
      <c r="I2488" t="str">
        <f>VLOOKUP(Table8[[#This Row],[Mã khách hàng]],'Khách hàng'!A:E,5,0)</f>
        <v>HN0040</v>
      </c>
    </row>
    <row r="2489" spans="1:9">
      <c r="A2489" s="14" t="s">
        <v>2637</v>
      </c>
      <c r="B2489" s="15" t="s">
        <v>5</v>
      </c>
      <c r="C2489" s="10" t="s">
        <v>2638</v>
      </c>
      <c r="D2489" s="16" t="s">
        <v>7899</v>
      </c>
      <c r="E2489" s="15" t="s">
        <v>11215</v>
      </c>
      <c r="F2489" s="16" t="str">
        <f>VLOOKUP(Table8[[#This Row],[Mã khách hàng]],code_khach_hang[],2,0)</f>
        <v>CHI NHÁNH HÀ NỘI - CÔNG TY CỔ PHẦN DỊCH VỤ THƯƠNG MẠI TỔNG HỢP WINCOMMERCE</v>
      </c>
      <c r="G2489" s="16" t="str">
        <f>VLOOKUP(Table8[[#This Row],[Mã khách hàng]],code_khach_hang[],3,0)</f>
        <v>Miền Bắc đặc biệt 1</v>
      </c>
      <c r="H2489" t="str">
        <f>VLOOKUP(Table8[[#This Row],[Mã khách hàng]],'Khách hàng'!A:D,4,0)</f>
        <v>Food Đức Việt</v>
      </c>
      <c r="I2489" t="str">
        <f>VLOOKUP(Table8[[#This Row],[Mã khách hàng]],'Khách hàng'!A:E,5,0)</f>
        <v>HN0040</v>
      </c>
    </row>
    <row r="2490" spans="1:9">
      <c r="A2490" s="14" t="s">
        <v>2491</v>
      </c>
      <c r="B2490" s="15" t="s">
        <v>5</v>
      </c>
      <c r="C2490" s="10" t="e">
        <v>#N/A</v>
      </c>
      <c r="D2490" s="16" t="s">
        <v>7902</v>
      </c>
      <c r="E2490" s="15" t="s">
        <v>11203</v>
      </c>
      <c r="F2490" s="16" t="str">
        <f>VLOOKUP(Table8[[#This Row],[Mã khách hàng]],code_khach_hang[],2,0)</f>
        <v>CHI NHÁNH THANH HÓA - CÔNG TY CỔ PHẦN DỊCH VỤ THƯƠNG MẠI TỔNG HỢP WINCOMMERCE</v>
      </c>
      <c r="G2490" s="16" t="str">
        <f>VLOOKUP(Table8[[#This Row],[Mã khách hàng]],code_khach_hang[],3,0)</f>
        <v>Miền Trung đặc biệt 1</v>
      </c>
      <c r="H2490" t="str">
        <f>VLOOKUP(Table8[[#This Row],[Mã khách hàng]],'Khách hàng'!A:D,4,0)</f>
        <v>Food Đức Việt</v>
      </c>
      <c r="I2490" t="str">
        <f>VLOOKUP(Table8[[#This Row],[Mã khách hàng]],'Khách hàng'!A:E,5,0)</f>
        <v>HN0040</v>
      </c>
    </row>
    <row r="2491" spans="1:9">
      <c r="A2491" s="14" t="s">
        <v>2635</v>
      </c>
      <c r="B2491" s="15" t="s">
        <v>5</v>
      </c>
      <c r="C2491" s="10" t="e">
        <v>#N/A</v>
      </c>
      <c r="D2491" s="16" t="s">
        <v>7905</v>
      </c>
      <c r="E2491" s="15" t="s">
        <v>11203</v>
      </c>
      <c r="F2491" s="16" t="str">
        <f>VLOOKUP(Table8[[#This Row],[Mã khách hàng]],code_khach_hang[],2,0)</f>
        <v>CHI NHÁNH THANH HÓA - CÔNG TY CỔ PHẦN DỊCH VỤ THƯƠNG MẠI TỔNG HỢP WINCOMMERCE</v>
      </c>
      <c r="G2491" s="16" t="str">
        <f>VLOOKUP(Table8[[#This Row],[Mã khách hàng]],code_khach_hang[],3,0)</f>
        <v>Miền Trung đặc biệt 1</v>
      </c>
      <c r="H2491" t="str">
        <f>VLOOKUP(Table8[[#This Row],[Mã khách hàng]],'Khách hàng'!A:D,4,0)</f>
        <v>Food Đức Việt</v>
      </c>
      <c r="I2491" t="str">
        <f>VLOOKUP(Table8[[#This Row],[Mã khách hàng]],'Khách hàng'!A:E,5,0)</f>
        <v>HN0040</v>
      </c>
    </row>
    <row r="2492" spans="1:9">
      <c r="A2492" s="14" t="s">
        <v>2652</v>
      </c>
      <c r="B2492" s="15" t="s">
        <v>5</v>
      </c>
      <c r="C2492" s="10" t="s">
        <v>2653</v>
      </c>
      <c r="D2492" s="16" t="s">
        <v>7908</v>
      </c>
      <c r="E2492" s="15" t="s">
        <v>11215</v>
      </c>
      <c r="F2492" s="16" t="str">
        <f>VLOOKUP(Table8[[#This Row],[Mã khách hàng]],code_khach_hang[],2,0)</f>
        <v>CHI NHÁNH HÀ NỘI - CÔNG TY CỔ PHẦN DỊCH VỤ THƯƠNG MẠI TỔNG HỢP WINCOMMERCE</v>
      </c>
      <c r="G2492" s="16" t="str">
        <f>VLOOKUP(Table8[[#This Row],[Mã khách hàng]],code_khach_hang[],3,0)</f>
        <v>Miền Bắc đặc biệt 1</v>
      </c>
      <c r="H2492" t="str">
        <f>VLOOKUP(Table8[[#This Row],[Mã khách hàng]],'Khách hàng'!A:D,4,0)</f>
        <v>Food Đức Việt</v>
      </c>
      <c r="I2492" t="str">
        <f>VLOOKUP(Table8[[#This Row],[Mã khách hàng]],'Khách hàng'!A:E,5,0)</f>
        <v>HN0040</v>
      </c>
    </row>
    <row r="2493" spans="1:9">
      <c r="A2493" s="14" t="s">
        <v>9336</v>
      </c>
      <c r="B2493" s="15" t="s">
        <v>5</v>
      </c>
      <c r="C2493" s="10" t="s">
        <v>9337</v>
      </c>
      <c r="D2493" s="16" t="s">
        <v>7911</v>
      </c>
      <c r="E2493" s="15" t="s">
        <v>11207</v>
      </c>
      <c r="F2493" s="16" t="str">
        <f>VLOOKUP(Table8[[#This Row],[Mã khách hàng]],code_khach_hang[],2,0)</f>
        <v>CHI NHÁNH THÁI NGUYÊN - CÔNG TY CỔ PHẦN DỊCH VỤ THƯƠNG MẠI TỔNG HỢP WINCOMMERCE</v>
      </c>
      <c r="G2493" s="16" t="str">
        <f>VLOOKUP(Table8[[#This Row],[Mã khách hàng]],code_khach_hang[],3,0)</f>
        <v>Miền Bắc đặc biệt 2</v>
      </c>
      <c r="H2493" t="str">
        <f>VLOOKUP(Table8[[#This Row],[Mã khách hàng]],'Khách hàng'!A:D,4,0)</f>
        <v>Food Đức Việt</v>
      </c>
      <c r="I2493" t="str">
        <f>VLOOKUP(Table8[[#This Row],[Mã khách hàng]],'Khách hàng'!A:E,5,0)</f>
        <v>HN0040</v>
      </c>
    </row>
    <row r="2494" spans="1:9">
      <c r="A2494" s="14" t="s">
        <v>2658</v>
      </c>
      <c r="B2494" s="15" t="s">
        <v>5</v>
      </c>
      <c r="C2494" s="10" t="s">
        <v>2659</v>
      </c>
      <c r="D2494" s="16" t="s">
        <v>7914</v>
      </c>
      <c r="E2494" s="15" t="s">
        <v>11215</v>
      </c>
      <c r="F2494" s="16" t="str">
        <f>VLOOKUP(Table8[[#This Row],[Mã khách hàng]],code_khach_hang[],2,0)</f>
        <v>CHI NHÁNH HÀ NỘI - CÔNG TY CỔ PHẦN DỊCH VỤ THƯƠNG MẠI TỔNG HỢP WINCOMMERCE</v>
      </c>
      <c r="G2494" s="16" t="str">
        <f>VLOOKUP(Table8[[#This Row],[Mã khách hàng]],code_khach_hang[],3,0)</f>
        <v>Miền Bắc đặc biệt 1</v>
      </c>
      <c r="H2494" t="str">
        <f>VLOOKUP(Table8[[#This Row],[Mã khách hàng]],'Khách hàng'!A:D,4,0)</f>
        <v>Food Đức Việt</v>
      </c>
      <c r="I2494" t="str">
        <f>VLOOKUP(Table8[[#This Row],[Mã khách hàng]],'Khách hàng'!A:E,5,0)</f>
        <v>HN0040</v>
      </c>
    </row>
    <row r="2495" spans="1:9">
      <c r="A2495" s="14" t="s">
        <v>2670</v>
      </c>
      <c r="B2495" s="15" t="s">
        <v>5</v>
      </c>
      <c r="C2495" s="10" t="s">
        <v>2671</v>
      </c>
      <c r="D2495" s="16" t="s">
        <v>7917</v>
      </c>
      <c r="E2495" s="15" t="s">
        <v>11200</v>
      </c>
      <c r="F2495" s="16" t="str">
        <f>VLOOKUP(Table8[[#This Row],[Mã khách hàng]],code_khach_hang[],2,0)</f>
        <v>CHI NHÁNH THÁI BÌNH - CÔNG TY CỔ PHẦN DỊCH VỤ THƯƠNG MẠI TỔNG HỢP WINCOMMERCE</v>
      </c>
      <c r="G2495" s="16" t="str">
        <f>VLOOKUP(Table8[[#This Row],[Mã khách hàng]],code_khach_hang[],3,0)</f>
        <v>Miền Bắc đặc biệt 3</v>
      </c>
      <c r="H2495" t="str">
        <f>VLOOKUP(Table8[[#This Row],[Mã khách hàng]],'Khách hàng'!A:D,4,0)</f>
        <v>Food Đức Việt</v>
      </c>
      <c r="I2495" t="str">
        <f>VLOOKUP(Table8[[#This Row],[Mã khách hàng]],'Khách hàng'!A:E,5,0)</f>
        <v>HN0040</v>
      </c>
    </row>
    <row r="2496" spans="1:9">
      <c r="A2496" s="14" t="s">
        <v>2676</v>
      </c>
      <c r="B2496" s="15" t="s">
        <v>5</v>
      </c>
      <c r="C2496" s="10" t="s">
        <v>2677</v>
      </c>
      <c r="D2496" s="16" t="s">
        <v>7920</v>
      </c>
      <c r="E2496" s="15" t="s">
        <v>11215</v>
      </c>
      <c r="F2496" s="16" t="str">
        <f>VLOOKUP(Table8[[#This Row],[Mã khách hàng]],code_khach_hang[],2,0)</f>
        <v>CHI NHÁNH HÀ NỘI - CÔNG TY CỔ PHẦN DỊCH VỤ THƯƠNG MẠI TỔNG HỢP WINCOMMERCE</v>
      </c>
      <c r="G2496" s="16" t="str">
        <f>VLOOKUP(Table8[[#This Row],[Mã khách hàng]],code_khach_hang[],3,0)</f>
        <v>Miền Bắc đặc biệt 1</v>
      </c>
      <c r="H2496" t="str">
        <f>VLOOKUP(Table8[[#This Row],[Mã khách hàng]],'Khách hàng'!A:D,4,0)</f>
        <v>Food Đức Việt</v>
      </c>
      <c r="I2496" t="str">
        <f>VLOOKUP(Table8[[#This Row],[Mã khách hàng]],'Khách hàng'!A:E,5,0)</f>
        <v>HN0040</v>
      </c>
    </row>
    <row r="2497" spans="1:9">
      <c r="A2497" s="14" t="s">
        <v>2768</v>
      </c>
      <c r="B2497" s="15" t="s">
        <v>5</v>
      </c>
      <c r="C2497" s="10" t="s">
        <v>2769</v>
      </c>
      <c r="D2497" s="16" t="s">
        <v>7923</v>
      </c>
      <c r="E2497" s="15" t="s">
        <v>11215</v>
      </c>
      <c r="F2497" s="16" t="str">
        <f>VLOOKUP(Table8[[#This Row],[Mã khách hàng]],code_khach_hang[],2,0)</f>
        <v>CHI NHÁNH HÀ NỘI - CÔNG TY CỔ PHẦN DỊCH VỤ THƯƠNG MẠI TỔNG HỢP WINCOMMERCE</v>
      </c>
      <c r="G2497" s="16" t="str">
        <f>VLOOKUP(Table8[[#This Row],[Mã khách hàng]],code_khach_hang[],3,0)</f>
        <v>Miền Bắc đặc biệt 1</v>
      </c>
      <c r="H2497" t="str">
        <f>VLOOKUP(Table8[[#This Row],[Mã khách hàng]],'Khách hàng'!A:D,4,0)</f>
        <v>Food Đức Việt</v>
      </c>
      <c r="I2497" t="str">
        <f>VLOOKUP(Table8[[#This Row],[Mã khách hàng]],'Khách hàng'!A:E,5,0)</f>
        <v>HN0040</v>
      </c>
    </row>
    <row r="2498" spans="1:9">
      <c r="A2498" s="14" t="s">
        <v>2510</v>
      </c>
      <c r="B2498" s="15" t="s">
        <v>5</v>
      </c>
      <c r="C2498" s="10" t="e">
        <v>#N/A</v>
      </c>
      <c r="D2498" s="16" t="s">
        <v>7926</v>
      </c>
      <c r="E2498" s="15" t="s">
        <v>11205</v>
      </c>
      <c r="F2498" s="16" t="str">
        <f>VLOOKUP(Table8[[#This Row],[Mã khách hàng]],code_khach_hang[],2,0)</f>
        <v>CHI NHÁNH HÀ TĨNH - CÔNG TY CỔ PHẦN DỊCH VỤ THƯƠNG MẠI TỔNG HỢP WINCOMMERCE</v>
      </c>
      <c r="G2498" s="16" t="str">
        <f>VLOOKUP(Table8[[#This Row],[Mã khách hàng]],code_khach_hang[],3,0)</f>
        <v>Miền Trung đặc biệt 1</v>
      </c>
      <c r="H2498" t="str">
        <f>VLOOKUP(Table8[[#This Row],[Mã khách hàng]],'Khách hàng'!A:D,4,0)</f>
        <v>Food Đức Việt</v>
      </c>
      <c r="I2498" t="str">
        <f>VLOOKUP(Table8[[#This Row],[Mã khách hàng]],'Khách hàng'!A:E,5,0)</f>
        <v>HN0040</v>
      </c>
    </row>
    <row r="2499" spans="1:9">
      <c r="A2499" s="14" t="s">
        <v>2581</v>
      </c>
      <c r="B2499" s="15" t="s">
        <v>5</v>
      </c>
      <c r="C2499" s="10" t="s">
        <v>2582</v>
      </c>
      <c r="D2499" s="16" t="s">
        <v>7929</v>
      </c>
      <c r="E2499" s="15" t="s">
        <v>11206</v>
      </c>
      <c r="F2499" s="16" t="str">
        <f>VLOOKUP(Table8[[#This Row],[Mã khách hàng]],code_khach_hang[],2,0)</f>
        <v>CHI NHÁNH SƠN LA - CÔNG TY CỔ PHẦN DỊCH VỤ THƯƠNG MẠI TỔNG HỢP WINCOMMERCE</v>
      </c>
      <c r="G2499" s="16" t="str">
        <f>VLOOKUP(Table8[[#This Row],[Mã khách hàng]],code_khach_hang[],3,0)</f>
        <v>Miền Bắc đặc biệt 1</v>
      </c>
      <c r="H2499" t="str">
        <f>VLOOKUP(Table8[[#This Row],[Mã khách hàng]],'Khách hàng'!A:D,4,0)</f>
        <v>Food Đức Việt</v>
      </c>
      <c r="I2499" t="str">
        <f>VLOOKUP(Table8[[#This Row],[Mã khách hàng]],'Khách hàng'!A:E,5,0)</f>
        <v>HN0040</v>
      </c>
    </row>
    <row r="2500" spans="1:9">
      <c r="A2500" s="14" t="s">
        <v>2602</v>
      </c>
      <c r="B2500" s="15" t="s">
        <v>5</v>
      </c>
      <c r="C2500" s="10" t="s">
        <v>2603</v>
      </c>
      <c r="D2500" s="16" t="s">
        <v>7932</v>
      </c>
      <c r="E2500" s="15" t="s">
        <v>11217</v>
      </c>
      <c r="F2500" s="16" t="str">
        <f>VLOOKUP(Table8[[#This Row],[Mã khách hàng]],code_khach_hang[],2,0)</f>
        <v>CHI NHÁNH BẮC GIANG - CÔNG TY CỔ PHẦN DỊCH VỤ THƯƠNG MẠI TỔNG HỢP WINCOMMERCE</v>
      </c>
      <c r="G2500" s="16" t="str">
        <f>VLOOKUP(Table8[[#This Row],[Mã khách hàng]],code_khach_hang[],3,0)</f>
        <v>Miền Bắc đặc biệt 2</v>
      </c>
      <c r="H2500" t="str">
        <f>VLOOKUP(Table8[[#This Row],[Mã khách hàng]],'Khách hàng'!A:D,4,0)</f>
        <v>Food Đức Việt</v>
      </c>
      <c r="I2500" t="str">
        <f>VLOOKUP(Table8[[#This Row],[Mã khách hàng]],'Khách hàng'!A:E,5,0)</f>
        <v>HN0040</v>
      </c>
    </row>
    <row r="2501" spans="1:9">
      <c r="A2501" s="14" t="s">
        <v>2572</v>
      </c>
      <c r="B2501" s="15" t="s">
        <v>5</v>
      </c>
      <c r="C2501" s="10" t="s">
        <v>2573</v>
      </c>
      <c r="D2501" s="16" t="s">
        <v>7935</v>
      </c>
      <c r="E2501" s="15" t="s">
        <v>11215</v>
      </c>
      <c r="F2501" s="16" t="str">
        <f>VLOOKUP(Table8[[#This Row],[Mã khách hàng]],code_khach_hang[],2,0)</f>
        <v>CHI NHÁNH HÀ NỘI - CÔNG TY CỔ PHẦN DỊCH VỤ THƯƠNG MẠI TỔNG HỢP WINCOMMERCE</v>
      </c>
      <c r="G2501" s="16" t="str">
        <f>VLOOKUP(Table8[[#This Row],[Mã khách hàng]],code_khach_hang[],3,0)</f>
        <v>Miền Bắc đặc biệt 1</v>
      </c>
      <c r="H2501" t="str">
        <f>VLOOKUP(Table8[[#This Row],[Mã khách hàng]],'Khách hàng'!A:D,4,0)</f>
        <v>Food Đức Việt</v>
      </c>
      <c r="I2501" t="str">
        <f>VLOOKUP(Table8[[#This Row],[Mã khách hàng]],'Khách hàng'!A:E,5,0)</f>
        <v>HN0040</v>
      </c>
    </row>
    <row r="2502" spans="1:9">
      <c r="A2502" s="14" t="s">
        <v>2214</v>
      </c>
      <c r="B2502" s="15" t="s">
        <v>5</v>
      </c>
      <c r="C2502" s="10" t="e">
        <v>#N/A</v>
      </c>
      <c r="D2502" s="16" t="s">
        <v>7938</v>
      </c>
      <c r="E2502" s="15" t="s">
        <v>11203</v>
      </c>
      <c r="F2502" s="16" t="str">
        <f>VLOOKUP(Table8[[#This Row],[Mã khách hàng]],code_khach_hang[],2,0)</f>
        <v>CHI NHÁNH THANH HÓA - CÔNG TY CỔ PHẦN DỊCH VỤ THƯƠNG MẠI TỔNG HỢP WINCOMMERCE</v>
      </c>
      <c r="G2502" s="16" t="str">
        <f>VLOOKUP(Table8[[#This Row],[Mã khách hàng]],code_khach_hang[],3,0)</f>
        <v>Miền Trung đặc biệt 1</v>
      </c>
      <c r="H2502" t="str">
        <f>VLOOKUP(Table8[[#This Row],[Mã khách hàng]],'Khách hàng'!A:D,4,0)</f>
        <v>Food Đức Việt</v>
      </c>
      <c r="I2502" t="str">
        <f>VLOOKUP(Table8[[#This Row],[Mã khách hàng]],'Khách hàng'!A:E,5,0)</f>
        <v>HN0040</v>
      </c>
    </row>
    <row r="2503" spans="1:9">
      <c r="A2503" s="14" t="s">
        <v>2249</v>
      </c>
      <c r="B2503" s="15" t="s">
        <v>5</v>
      </c>
      <c r="C2503" s="10" t="s">
        <v>2250</v>
      </c>
      <c r="D2503" s="16" t="s">
        <v>7941</v>
      </c>
      <c r="E2503" s="15" t="s">
        <v>11197</v>
      </c>
      <c r="F2503" s="16" t="str">
        <f>VLOOKUP(Table8[[#This Row],[Mã khách hàng]],code_khach_hang[],2,0)</f>
        <v>CHI NHÁNH QUẢNG NINH - CÔNG TY CỔ PHẦN DỊCH VỤ THƯƠNG MẠI TỔNG HỢP WINCOMMERCE</v>
      </c>
      <c r="G2503" s="16" t="str">
        <f>VLOOKUP(Table8[[#This Row],[Mã khách hàng]],code_khach_hang[],3,0)</f>
        <v>Miền Bắc đặc biệt 3</v>
      </c>
      <c r="H2503" t="str">
        <f>VLOOKUP(Table8[[#This Row],[Mã khách hàng]],'Khách hàng'!A:D,4,0)</f>
        <v>Food Đức Việt</v>
      </c>
      <c r="I2503" t="str">
        <f>VLOOKUP(Table8[[#This Row],[Mã khách hàng]],'Khách hàng'!A:E,5,0)</f>
        <v>HN0040</v>
      </c>
    </row>
    <row r="2504" spans="1:9">
      <c r="A2504" s="14" t="s">
        <v>2518</v>
      </c>
      <c r="B2504" s="15" t="s">
        <v>5</v>
      </c>
      <c r="C2504" s="10" t="s">
        <v>2519</v>
      </c>
      <c r="D2504" s="16" t="s">
        <v>7944</v>
      </c>
      <c r="E2504" s="15" t="s">
        <v>11215</v>
      </c>
      <c r="F2504" s="16" t="str">
        <f>VLOOKUP(Table8[[#This Row],[Mã khách hàng]],code_khach_hang[],2,0)</f>
        <v>CHI NHÁNH HÀ NỘI - CÔNG TY CỔ PHẦN DỊCH VỤ THƯƠNG MẠI TỔNG HỢP WINCOMMERCE</v>
      </c>
      <c r="G2504" s="16" t="str">
        <f>VLOOKUP(Table8[[#This Row],[Mã khách hàng]],code_khach_hang[],3,0)</f>
        <v>Miền Bắc đặc biệt 1</v>
      </c>
      <c r="H2504" t="str">
        <f>VLOOKUP(Table8[[#This Row],[Mã khách hàng]],'Khách hàng'!A:D,4,0)</f>
        <v>Food Đức Việt</v>
      </c>
      <c r="I2504" t="str">
        <f>VLOOKUP(Table8[[#This Row],[Mã khách hàng]],'Khách hàng'!A:E,5,0)</f>
        <v>HN0040</v>
      </c>
    </row>
    <row r="2505" spans="1:9">
      <c r="A2505" s="14" t="s">
        <v>2424</v>
      </c>
      <c r="B2505" s="15" t="s">
        <v>5</v>
      </c>
      <c r="C2505" s="10" t="s">
        <v>2425</v>
      </c>
      <c r="D2505" s="16" t="s">
        <v>7947</v>
      </c>
      <c r="E2505" s="15" t="s">
        <v>11205</v>
      </c>
      <c r="F2505" s="16" t="str">
        <f>VLOOKUP(Table8[[#This Row],[Mã khách hàng]],code_khach_hang[],2,0)</f>
        <v>CHI NHÁNH HÀ TĨNH - CÔNG TY CỔ PHẦN DỊCH VỤ THƯƠNG MẠI TỔNG HỢP WINCOMMERCE</v>
      </c>
      <c r="G2505" s="16" t="str">
        <f>VLOOKUP(Table8[[#This Row],[Mã khách hàng]],code_khach_hang[],3,0)</f>
        <v>Miền Trung đặc biệt 1</v>
      </c>
      <c r="H2505" t="str">
        <f>VLOOKUP(Table8[[#This Row],[Mã khách hàng]],'Khách hàng'!A:D,4,0)</f>
        <v>Food Đức Việt</v>
      </c>
      <c r="I2505" t="str">
        <f>VLOOKUP(Table8[[#This Row],[Mã khách hàng]],'Khách hàng'!A:E,5,0)</f>
        <v>HN0040</v>
      </c>
    </row>
    <row r="2506" spans="1:9">
      <c r="A2506" s="14" t="s">
        <v>2427</v>
      </c>
      <c r="B2506" s="15" t="s">
        <v>5</v>
      </c>
      <c r="C2506" s="10" t="s">
        <v>2428</v>
      </c>
      <c r="D2506" s="16" t="s">
        <v>7950</v>
      </c>
      <c r="E2506" s="15" t="s">
        <v>11205</v>
      </c>
      <c r="F2506" s="16" t="str">
        <f>VLOOKUP(Table8[[#This Row],[Mã khách hàng]],code_khach_hang[],2,0)</f>
        <v>CHI NHÁNH HÀ TĨNH - CÔNG TY CỔ PHẦN DỊCH VỤ THƯƠNG MẠI TỔNG HỢP WINCOMMERCE</v>
      </c>
      <c r="G2506" s="16" t="str">
        <f>VLOOKUP(Table8[[#This Row],[Mã khách hàng]],code_khach_hang[],3,0)</f>
        <v>Miền Trung đặc biệt 1</v>
      </c>
      <c r="H2506" t="str">
        <f>VLOOKUP(Table8[[#This Row],[Mã khách hàng]],'Khách hàng'!A:D,4,0)</f>
        <v>Food Đức Việt</v>
      </c>
      <c r="I2506" t="str">
        <f>VLOOKUP(Table8[[#This Row],[Mã khách hàng]],'Khách hàng'!A:E,5,0)</f>
        <v>HN0040</v>
      </c>
    </row>
    <row r="2507" spans="1:9">
      <c r="A2507" s="14" t="s">
        <v>2664</v>
      </c>
      <c r="B2507" s="15" t="s">
        <v>5</v>
      </c>
      <c r="C2507" s="10" t="s">
        <v>2665</v>
      </c>
      <c r="D2507" s="16" t="s">
        <v>7953</v>
      </c>
      <c r="E2507" s="15" t="s">
        <v>11219</v>
      </c>
      <c r="F2507" s="16" t="str">
        <f>VLOOKUP(Table8[[#This Row],[Mã khách hàng]],code_khach_hang[],2,0)</f>
        <v>CHI NHÁNH NAM ĐỊNH - CÔNG TY CỔ PHẦN DỊCH VỤ THƯƠNG MẠI TỔNG HỢP WINCOMMERCE</v>
      </c>
      <c r="G2507" s="16" t="str">
        <f>VLOOKUP(Table8[[#This Row],[Mã khách hàng]],code_khach_hang[],3,0)</f>
        <v>Miền Bắc đặc biệt 3</v>
      </c>
      <c r="H2507" t="str">
        <f>VLOOKUP(Table8[[#This Row],[Mã khách hàng]],'Khách hàng'!A:D,4,0)</f>
        <v>Food Đức Việt</v>
      </c>
      <c r="I2507" t="str">
        <f>VLOOKUP(Table8[[#This Row],[Mã khách hàng]],'Khách hàng'!A:E,5,0)</f>
        <v>HN0040</v>
      </c>
    </row>
    <row r="2508" spans="1:9">
      <c r="A2508" s="14" t="s">
        <v>2673</v>
      </c>
      <c r="B2508" s="15" t="s">
        <v>5</v>
      </c>
      <c r="C2508" s="10" t="s">
        <v>2674</v>
      </c>
      <c r="D2508" s="16" t="s">
        <v>7956</v>
      </c>
      <c r="E2508" s="15" t="s">
        <v>11211</v>
      </c>
      <c r="F2508" s="16" t="str">
        <f>VLOOKUP(Table8[[#This Row],[Mã khách hàng]],code_khach_hang[],2,0)</f>
        <v>CHI NHÁNH NGHỆ AN - CÔNG TY CỔ PHẦN DỊCH VỤ THƯƠNG MẠI TỔNG HỢP WINCOMMERCE</v>
      </c>
      <c r="G2508" s="16" t="str">
        <f>VLOOKUP(Table8[[#This Row],[Mã khách hàng]],code_khach_hang[],3,0)</f>
        <v>Miền Trung đặc biệt 1</v>
      </c>
      <c r="H2508" t="str">
        <f>VLOOKUP(Table8[[#This Row],[Mã khách hàng]],'Khách hàng'!A:D,4,0)</f>
        <v>Food Đức Việt</v>
      </c>
      <c r="I2508" t="str">
        <f>VLOOKUP(Table8[[#This Row],[Mã khách hàng]],'Khách hàng'!A:E,5,0)</f>
        <v>HN0040</v>
      </c>
    </row>
    <row r="2509" spans="1:9">
      <c r="A2509" s="14" t="s">
        <v>2682</v>
      </c>
      <c r="B2509" s="15" t="s">
        <v>5</v>
      </c>
      <c r="C2509" s="10" t="s">
        <v>2683</v>
      </c>
      <c r="D2509" s="16" t="s">
        <v>7959</v>
      </c>
      <c r="E2509" s="15" t="s">
        <v>11215</v>
      </c>
      <c r="F2509" s="16" t="str">
        <f>VLOOKUP(Table8[[#This Row],[Mã khách hàng]],code_khach_hang[],2,0)</f>
        <v>CHI NHÁNH HÀ NỘI - CÔNG TY CỔ PHẦN DỊCH VỤ THƯƠNG MẠI TỔNG HỢP WINCOMMERCE</v>
      </c>
      <c r="G2509" s="16" t="str">
        <f>VLOOKUP(Table8[[#This Row],[Mã khách hàng]],code_khach_hang[],3,0)</f>
        <v>Miền Bắc đặc biệt 1</v>
      </c>
      <c r="H2509" t="str">
        <f>VLOOKUP(Table8[[#This Row],[Mã khách hàng]],'Khách hàng'!A:D,4,0)</f>
        <v>Food Đức Việt</v>
      </c>
      <c r="I2509" t="str">
        <f>VLOOKUP(Table8[[#This Row],[Mã khách hàng]],'Khách hàng'!A:E,5,0)</f>
        <v>HN0040</v>
      </c>
    </row>
    <row r="2510" spans="1:9">
      <c r="A2510" s="14" t="s">
        <v>2685</v>
      </c>
      <c r="B2510" s="15" t="s">
        <v>5</v>
      </c>
      <c r="C2510" s="10" t="s">
        <v>2686</v>
      </c>
      <c r="D2510" s="16" t="s">
        <v>7962</v>
      </c>
      <c r="E2510" s="15" t="s">
        <v>11215</v>
      </c>
      <c r="F2510" s="16" t="str">
        <f>VLOOKUP(Table8[[#This Row],[Mã khách hàng]],code_khach_hang[],2,0)</f>
        <v>CHI NHÁNH HÀ NỘI - CÔNG TY CỔ PHẦN DỊCH VỤ THƯƠNG MẠI TỔNG HỢP WINCOMMERCE</v>
      </c>
      <c r="G2510" s="16" t="str">
        <f>VLOOKUP(Table8[[#This Row],[Mã khách hàng]],code_khach_hang[],3,0)</f>
        <v>Miền Bắc đặc biệt 1</v>
      </c>
      <c r="H2510" t="str">
        <f>VLOOKUP(Table8[[#This Row],[Mã khách hàng]],'Khách hàng'!A:D,4,0)</f>
        <v>Food Đức Việt</v>
      </c>
      <c r="I2510" t="str">
        <f>VLOOKUP(Table8[[#This Row],[Mã khách hàng]],'Khách hàng'!A:E,5,0)</f>
        <v>HN0040</v>
      </c>
    </row>
    <row r="2511" spans="1:9">
      <c r="A2511" s="14" t="s">
        <v>2495</v>
      </c>
      <c r="B2511" s="15" t="s">
        <v>5</v>
      </c>
      <c r="C2511" s="10" t="s">
        <v>2496</v>
      </c>
      <c r="D2511" s="16" t="s">
        <v>7965</v>
      </c>
      <c r="E2511" s="15" t="s">
        <v>11211</v>
      </c>
      <c r="F2511" s="16" t="str">
        <f>VLOOKUP(Table8[[#This Row],[Mã khách hàng]],code_khach_hang[],2,0)</f>
        <v>CHI NHÁNH NGHỆ AN - CÔNG TY CỔ PHẦN DỊCH VỤ THƯƠNG MẠI TỔNG HỢP WINCOMMERCE</v>
      </c>
      <c r="G2511" s="16" t="str">
        <f>VLOOKUP(Table8[[#This Row],[Mã khách hàng]],code_khach_hang[],3,0)</f>
        <v>Miền Trung đặc biệt 1</v>
      </c>
      <c r="H2511" t="str">
        <f>VLOOKUP(Table8[[#This Row],[Mã khách hàng]],'Khách hàng'!A:D,4,0)</f>
        <v>Food Đức Việt</v>
      </c>
      <c r="I2511" t="str">
        <f>VLOOKUP(Table8[[#This Row],[Mã khách hàng]],'Khách hàng'!A:E,5,0)</f>
        <v>HN0040</v>
      </c>
    </row>
    <row r="2512" spans="1:9">
      <c r="A2512" s="14" t="s">
        <v>2566</v>
      </c>
      <c r="B2512" s="15" t="s">
        <v>5</v>
      </c>
      <c r="C2512" s="10" t="s">
        <v>2567</v>
      </c>
      <c r="D2512" s="16" t="s">
        <v>7968</v>
      </c>
      <c r="E2512" s="15" t="s">
        <v>11203</v>
      </c>
      <c r="F2512" s="16" t="str">
        <f>VLOOKUP(Table8[[#This Row],[Mã khách hàng]],code_khach_hang[],2,0)</f>
        <v>CHI NHÁNH THANH HÓA - CÔNG TY CỔ PHẦN DỊCH VỤ THƯƠNG MẠI TỔNG HỢP WINCOMMERCE</v>
      </c>
      <c r="G2512" s="16" t="str">
        <f>VLOOKUP(Table8[[#This Row],[Mã khách hàng]],code_khach_hang[],3,0)</f>
        <v>Miền Trung đặc biệt 1</v>
      </c>
      <c r="H2512" t="str">
        <f>VLOOKUP(Table8[[#This Row],[Mã khách hàng]],'Khách hàng'!A:D,4,0)</f>
        <v>Food Đức Việt</v>
      </c>
      <c r="I2512" t="str">
        <f>VLOOKUP(Table8[[#This Row],[Mã khách hàng]],'Khách hàng'!A:E,5,0)</f>
        <v>HN0040</v>
      </c>
    </row>
    <row r="2513" spans="1:9">
      <c r="A2513" s="14" t="s">
        <v>2640</v>
      </c>
      <c r="B2513" s="15" t="s">
        <v>5</v>
      </c>
      <c r="C2513" s="10" t="s">
        <v>2641</v>
      </c>
      <c r="D2513" s="16" t="s">
        <v>7971</v>
      </c>
      <c r="E2513" s="15" t="s">
        <v>11197</v>
      </c>
      <c r="F2513" s="16" t="str">
        <f>VLOOKUP(Table8[[#This Row],[Mã khách hàng]],code_khach_hang[],2,0)</f>
        <v>CHI NHÁNH QUẢNG NINH - CÔNG TY CỔ PHẦN DỊCH VỤ THƯƠNG MẠI TỔNG HỢP WINCOMMERCE</v>
      </c>
      <c r="G2513" s="16" t="str">
        <f>VLOOKUP(Table8[[#This Row],[Mã khách hàng]],code_khach_hang[],3,0)</f>
        <v>Miền Bắc đặc biệt 3</v>
      </c>
      <c r="H2513" t="str">
        <f>VLOOKUP(Table8[[#This Row],[Mã khách hàng]],'Khách hàng'!A:D,4,0)</f>
        <v>Food Đức Việt</v>
      </c>
      <c r="I2513" t="str">
        <f>VLOOKUP(Table8[[#This Row],[Mã khách hàng]],'Khách hàng'!A:E,5,0)</f>
        <v>HN0040</v>
      </c>
    </row>
    <row r="2514" spans="1:9">
      <c r="A2514" s="14" t="s">
        <v>2679</v>
      </c>
      <c r="B2514" s="15" t="s">
        <v>5</v>
      </c>
      <c r="C2514" s="10" t="s">
        <v>2680</v>
      </c>
      <c r="D2514" s="16" t="s">
        <v>7974</v>
      </c>
      <c r="E2514" s="15" t="s">
        <v>11215</v>
      </c>
      <c r="F2514" s="16" t="str">
        <f>VLOOKUP(Table8[[#This Row],[Mã khách hàng]],code_khach_hang[],2,0)</f>
        <v>CHI NHÁNH HÀ NỘI - CÔNG TY CỔ PHẦN DỊCH VỤ THƯƠNG MẠI TỔNG HỢP WINCOMMERCE</v>
      </c>
      <c r="G2514" s="16" t="str">
        <f>VLOOKUP(Table8[[#This Row],[Mã khách hàng]],code_khach_hang[],3,0)</f>
        <v>Miền Bắc đặc biệt 1</v>
      </c>
      <c r="H2514" t="str">
        <f>VLOOKUP(Table8[[#This Row],[Mã khách hàng]],'Khách hàng'!A:D,4,0)</f>
        <v>Food Đức Việt</v>
      </c>
      <c r="I2514" t="str">
        <f>VLOOKUP(Table8[[#This Row],[Mã khách hàng]],'Khách hàng'!A:E,5,0)</f>
        <v>HN0040</v>
      </c>
    </row>
    <row r="2515" spans="1:9">
      <c r="A2515" s="14" t="s">
        <v>2700</v>
      </c>
      <c r="B2515" s="15" t="s">
        <v>5</v>
      </c>
      <c r="C2515" s="10" t="s">
        <v>2701</v>
      </c>
      <c r="D2515" s="16" t="s">
        <v>7977</v>
      </c>
      <c r="E2515" s="15" t="s">
        <v>11201</v>
      </c>
      <c r="F2515" s="16" t="str">
        <f>VLOOKUP(Table8[[#This Row],[Mã khách hàng]],code_khach_hang[],2,0)</f>
        <v>CHI NHÁNH HẢI DƯƠNG - CÔNG TY CỔ PHẦN DỊCH VỤ THƯƠNG MẠI TỔNG HỢP WINCOMMERCE</v>
      </c>
      <c r="G2515" s="16" t="str">
        <f>VLOOKUP(Table8[[#This Row],[Mã khách hàng]],code_khach_hang[],3,0)</f>
        <v>Miền Bắc đặc biệt 3</v>
      </c>
      <c r="H2515" t="str">
        <f>VLOOKUP(Table8[[#This Row],[Mã khách hàng]],'Khách hàng'!A:D,4,0)</f>
        <v>Food Đức Việt</v>
      </c>
      <c r="I2515" t="str">
        <f>VLOOKUP(Table8[[#This Row],[Mã khách hàng]],'Khách hàng'!A:E,5,0)</f>
        <v>HN0040</v>
      </c>
    </row>
    <row r="2516" spans="1:9">
      <c r="A2516" s="14" t="s">
        <v>2712</v>
      </c>
      <c r="B2516" s="15" t="s">
        <v>5</v>
      </c>
      <c r="C2516" s="10" t="s">
        <v>2713</v>
      </c>
      <c r="D2516" s="16" t="s">
        <v>7979</v>
      </c>
      <c r="E2516" s="15" t="s">
        <v>11201</v>
      </c>
      <c r="F2516" s="16" t="str">
        <f>VLOOKUP(Table8[[#This Row],[Mã khách hàng]],code_khach_hang[],2,0)</f>
        <v>CHI NHÁNH HẢI DƯƠNG - CÔNG TY CỔ PHẦN DỊCH VỤ THƯƠNG MẠI TỔNG HỢP WINCOMMERCE</v>
      </c>
      <c r="G2516" s="16" t="str">
        <f>VLOOKUP(Table8[[#This Row],[Mã khách hàng]],code_khach_hang[],3,0)</f>
        <v>Miền Bắc đặc biệt 3</v>
      </c>
      <c r="H2516" t="str">
        <f>VLOOKUP(Table8[[#This Row],[Mã khách hàng]],'Khách hàng'!A:D,4,0)</f>
        <v>Food Đức Việt</v>
      </c>
      <c r="I2516" t="str">
        <f>VLOOKUP(Table8[[#This Row],[Mã khách hàng]],'Khách hàng'!A:E,5,0)</f>
        <v>HN0040</v>
      </c>
    </row>
    <row r="2517" spans="1:9">
      <c r="A2517" s="14" t="s">
        <v>2433</v>
      </c>
      <c r="B2517" s="15" t="s">
        <v>5</v>
      </c>
      <c r="C2517" s="10" t="s">
        <v>2434</v>
      </c>
      <c r="D2517" s="16" t="s">
        <v>7982</v>
      </c>
      <c r="E2517" s="15" t="s">
        <v>11198</v>
      </c>
      <c r="F2517" s="16" t="str">
        <f>VLOOKUP(Table8[[#This Row],[Mã khách hàng]],code_khach_hang[],2,0)</f>
        <v>CHI NHÁNH HẢI PHÒNG - CÔNG TY CỔ PHẦN DỊCH VỤ THƯƠNG MẠI TỔNG HỢP WINCOMMERCE</v>
      </c>
      <c r="G2517" s="16" t="str">
        <f>VLOOKUP(Table8[[#This Row],[Mã khách hàng]],code_khach_hang[],3,0)</f>
        <v>Miền Bắc đặc biệt 3</v>
      </c>
      <c r="H2517" t="str">
        <f>VLOOKUP(Table8[[#This Row],[Mã khách hàng]],'Khách hàng'!A:D,4,0)</f>
        <v>Food Đức Việt</v>
      </c>
      <c r="I2517" t="str">
        <f>VLOOKUP(Table8[[#This Row],[Mã khách hàng]],'Khách hàng'!A:E,5,0)</f>
        <v>HN0040</v>
      </c>
    </row>
    <row r="2518" spans="1:9">
      <c r="A2518" s="14" t="s">
        <v>2578</v>
      </c>
      <c r="B2518" s="15" t="s">
        <v>5</v>
      </c>
      <c r="C2518" s="10" t="s">
        <v>2579</v>
      </c>
      <c r="D2518" s="16" t="s">
        <v>7985</v>
      </c>
      <c r="E2518" s="15" t="s">
        <v>11215</v>
      </c>
      <c r="F2518" s="16" t="str">
        <f>VLOOKUP(Table8[[#This Row],[Mã khách hàng]],code_khach_hang[],2,0)</f>
        <v>CHI NHÁNH HÀ NỘI - CÔNG TY CỔ PHẦN DỊCH VỤ THƯƠNG MẠI TỔNG HỢP WINCOMMERCE</v>
      </c>
      <c r="G2518" s="16" t="str">
        <f>VLOOKUP(Table8[[#This Row],[Mã khách hàng]],code_khach_hang[],3,0)</f>
        <v>Miền Bắc đặc biệt 1</v>
      </c>
      <c r="H2518" t="str">
        <f>VLOOKUP(Table8[[#This Row],[Mã khách hàng]],'Khách hàng'!A:D,4,0)</f>
        <v>Food Đức Việt</v>
      </c>
      <c r="I2518" t="str">
        <f>VLOOKUP(Table8[[#This Row],[Mã khách hàng]],'Khách hàng'!A:E,5,0)</f>
        <v>HN0040</v>
      </c>
    </row>
    <row r="2519" spans="1:9">
      <c r="A2519" s="14" t="s">
        <v>2599</v>
      </c>
      <c r="B2519" s="15" t="s">
        <v>5</v>
      </c>
      <c r="C2519" s="10" t="s">
        <v>2600</v>
      </c>
      <c r="D2519" s="16" t="s">
        <v>7988</v>
      </c>
      <c r="E2519" s="15" t="s">
        <v>11215</v>
      </c>
      <c r="F2519" s="16" t="str">
        <f>VLOOKUP(Table8[[#This Row],[Mã khách hàng]],code_khach_hang[],2,0)</f>
        <v>CHI NHÁNH HÀ NỘI - CÔNG TY CỔ PHẦN DỊCH VỤ THƯƠNG MẠI TỔNG HỢP WINCOMMERCE</v>
      </c>
      <c r="G2519" s="16" t="str">
        <f>VLOOKUP(Table8[[#This Row],[Mã khách hàng]],code_khach_hang[],3,0)</f>
        <v>Miền Bắc đặc biệt 1</v>
      </c>
      <c r="H2519" t="str">
        <f>VLOOKUP(Table8[[#This Row],[Mã khách hàng]],'Khách hàng'!A:D,4,0)</f>
        <v>Food Đức Việt</v>
      </c>
      <c r="I2519" t="str">
        <f>VLOOKUP(Table8[[#This Row],[Mã khách hàng]],'Khách hàng'!A:E,5,0)</f>
        <v>HN0040</v>
      </c>
    </row>
    <row r="2520" spans="1:9">
      <c r="A2520" s="14" t="s">
        <v>2655</v>
      </c>
      <c r="B2520" s="15" t="s">
        <v>5</v>
      </c>
      <c r="C2520" s="10" t="s">
        <v>2656</v>
      </c>
      <c r="D2520" s="16" t="s">
        <v>7991</v>
      </c>
      <c r="E2520" s="15" t="s">
        <v>11215</v>
      </c>
      <c r="F2520" s="16" t="str">
        <f>VLOOKUP(Table8[[#This Row],[Mã khách hàng]],code_khach_hang[],2,0)</f>
        <v>CHI NHÁNH HÀ NỘI - CÔNG TY CỔ PHẦN DỊCH VỤ THƯƠNG MẠI TỔNG HỢP WINCOMMERCE</v>
      </c>
      <c r="G2520" s="16" t="str">
        <f>VLOOKUP(Table8[[#This Row],[Mã khách hàng]],code_khach_hang[],3,0)</f>
        <v>Miền Bắc đặc biệt 1</v>
      </c>
      <c r="H2520" t="str">
        <f>VLOOKUP(Table8[[#This Row],[Mã khách hàng]],'Khách hàng'!A:D,4,0)</f>
        <v>Food Đức Việt</v>
      </c>
      <c r="I2520" t="str">
        <f>VLOOKUP(Table8[[#This Row],[Mã khách hàng]],'Khách hàng'!A:E,5,0)</f>
        <v>HN0040</v>
      </c>
    </row>
    <row r="2521" spans="1:9">
      <c r="A2521" s="14" t="s">
        <v>2706</v>
      </c>
      <c r="B2521" s="15" t="s">
        <v>5</v>
      </c>
      <c r="C2521" s="10" t="s">
        <v>2707</v>
      </c>
      <c r="D2521" s="16" t="s">
        <v>7994</v>
      </c>
      <c r="E2521" s="15" t="s">
        <v>11203</v>
      </c>
      <c r="F2521" s="16" t="str">
        <f>VLOOKUP(Table8[[#This Row],[Mã khách hàng]],code_khach_hang[],2,0)</f>
        <v>CHI NHÁNH THANH HÓA - CÔNG TY CỔ PHẦN DỊCH VỤ THƯƠNG MẠI TỔNG HỢP WINCOMMERCE</v>
      </c>
      <c r="G2521" s="16" t="str">
        <f>VLOOKUP(Table8[[#This Row],[Mã khách hàng]],code_khach_hang[],3,0)</f>
        <v>Miền Trung đặc biệt 1</v>
      </c>
      <c r="H2521" t="str">
        <f>VLOOKUP(Table8[[#This Row],[Mã khách hàng]],'Khách hàng'!A:D,4,0)</f>
        <v>Food Đức Việt</v>
      </c>
      <c r="I2521" t="str">
        <f>VLOOKUP(Table8[[#This Row],[Mã khách hàng]],'Khách hàng'!A:E,5,0)</f>
        <v>HN0040</v>
      </c>
    </row>
    <row r="2522" spans="1:9">
      <c r="A2522" s="14" t="s">
        <v>2730</v>
      </c>
      <c r="B2522" s="15" t="s">
        <v>5</v>
      </c>
      <c r="C2522" s="10" t="s">
        <v>2731</v>
      </c>
      <c r="D2522" s="16" t="s">
        <v>7997</v>
      </c>
      <c r="E2522" s="15" t="s">
        <v>11215</v>
      </c>
      <c r="F2522" s="16" t="str">
        <f>VLOOKUP(Table8[[#This Row],[Mã khách hàng]],code_khach_hang[],2,0)</f>
        <v>CHI NHÁNH HÀ NỘI - CÔNG TY CỔ PHẦN DỊCH VỤ THƯƠNG MẠI TỔNG HỢP WINCOMMERCE</v>
      </c>
      <c r="G2522" s="16" t="str">
        <f>VLOOKUP(Table8[[#This Row],[Mã khách hàng]],code_khach_hang[],3,0)</f>
        <v>Miền Bắc đặc biệt 1</v>
      </c>
      <c r="H2522" t="str">
        <f>VLOOKUP(Table8[[#This Row],[Mã khách hàng]],'Khách hàng'!A:D,4,0)</f>
        <v>Food Đức Việt</v>
      </c>
      <c r="I2522" t="str">
        <f>VLOOKUP(Table8[[#This Row],[Mã khách hàng]],'Khách hàng'!A:E,5,0)</f>
        <v>HN0040</v>
      </c>
    </row>
    <row r="2523" spans="1:9">
      <c r="A2523" s="14" t="s">
        <v>2391</v>
      </c>
      <c r="B2523" s="15" t="s">
        <v>5</v>
      </c>
      <c r="C2523" s="10" t="s">
        <v>2392</v>
      </c>
      <c r="D2523" s="16" t="s">
        <v>8000</v>
      </c>
      <c r="E2523" s="15" t="s">
        <v>11201</v>
      </c>
      <c r="F2523" s="16" t="str">
        <f>VLOOKUP(Table8[[#This Row],[Mã khách hàng]],code_khach_hang[],2,0)</f>
        <v>CHI NHÁNH HẢI DƯƠNG - CÔNG TY CỔ PHẦN DỊCH VỤ THƯƠNG MẠI TỔNG HỢP WINCOMMERCE</v>
      </c>
      <c r="G2523" s="16" t="str">
        <f>VLOOKUP(Table8[[#This Row],[Mã khách hàng]],code_khach_hang[],3,0)</f>
        <v>Miền Bắc đặc biệt 3</v>
      </c>
      <c r="H2523" t="str">
        <f>VLOOKUP(Table8[[#This Row],[Mã khách hàng]],'Khách hàng'!A:D,4,0)</f>
        <v>Food Đức Việt</v>
      </c>
      <c r="I2523" t="str">
        <f>VLOOKUP(Table8[[#This Row],[Mã khách hàng]],'Khách hàng'!A:E,5,0)</f>
        <v>HN0040</v>
      </c>
    </row>
    <row r="2524" spans="1:9">
      <c r="A2524" s="14" t="s">
        <v>2521</v>
      </c>
      <c r="B2524" s="15" t="s">
        <v>5</v>
      </c>
      <c r="C2524" s="10" t="s">
        <v>2522</v>
      </c>
      <c r="D2524" s="16" t="s">
        <v>8003</v>
      </c>
      <c r="E2524" s="15" t="s">
        <v>11215</v>
      </c>
      <c r="F2524" s="16" t="str">
        <f>VLOOKUP(Table8[[#This Row],[Mã khách hàng]],code_khach_hang[],2,0)</f>
        <v>CHI NHÁNH HÀ NỘI - CÔNG TY CỔ PHẦN DỊCH VỤ THƯƠNG MẠI TỔNG HỢP WINCOMMERCE</v>
      </c>
      <c r="G2524" s="16" t="str">
        <f>VLOOKUP(Table8[[#This Row],[Mã khách hàng]],code_khach_hang[],3,0)</f>
        <v>Miền Bắc đặc biệt 1</v>
      </c>
      <c r="H2524" t="str">
        <f>VLOOKUP(Table8[[#This Row],[Mã khách hàng]],'Khách hàng'!A:D,4,0)</f>
        <v>Food Đức Việt</v>
      </c>
      <c r="I2524" t="str">
        <f>VLOOKUP(Table8[[#This Row],[Mã khách hàng]],'Khách hàng'!A:E,5,0)</f>
        <v>HN0040</v>
      </c>
    </row>
    <row r="2525" spans="1:9">
      <c r="A2525" s="14" t="s">
        <v>2703</v>
      </c>
      <c r="B2525" s="15" t="s">
        <v>5</v>
      </c>
      <c r="C2525" s="10" t="s">
        <v>2704</v>
      </c>
      <c r="D2525" s="16" t="s">
        <v>8006</v>
      </c>
      <c r="E2525" s="15" t="s">
        <v>11215</v>
      </c>
      <c r="F2525" s="16" t="str">
        <f>VLOOKUP(Table8[[#This Row],[Mã khách hàng]],code_khach_hang[],2,0)</f>
        <v>CHI NHÁNH HÀ NỘI - CÔNG TY CỔ PHẦN DỊCH VỤ THƯƠNG MẠI TỔNG HỢP WINCOMMERCE</v>
      </c>
      <c r="G2525" s="16" t="str">
        <f>VLOOKUP(Table8[[#This Row],[Mã khách hàng]],code_khach_hang[],3,0)</f>
        <v>Miền Bắc đặc biệt 1</v>
      </c>
      <c r="H2525" t="str">
        <f>VLOOKUP(Table8[[#This Row],[Mã khách hàng]],'Khách hàng'!A:D,4,0)</f>
        <v>Food Đức Việt</v>
      </c>
      <c r="I2525" t="str">
        <f>VLOOKUP(Table8[[#This Row],[Mã khách hàng]],'Khách hàng'!A:E,5,0)</f>
        <v>HN0040</v>
      </c>
    </row>
    <row r="2526" spans="1:9">
      <c r="A2526" s="14" t="s">
        <v>2715</v>
      </c>
      <c r="B2526" s="15" t="s">
        <v>5</v>
      </c>
      <c r="C2526" s="10" t="s">
        <v>2716</v>
      </c>
      <c r="D2526" s="16" t="s">
        <v>8009</v>
      </c>
      <c r="E2526" s="15" t="s">
        <v>11203</v>
      </c>
      <c r="F2526" s="16" t="str">
        <f>VLOOKUP(Table8[[#This Row],[Mã khách hàng]],code_khach_hang[],2,0)</f>
        <v>CHI NHÁNH THANH HÓA - CÔNG TY CỔ PHẦN DỊCH VỤ THƯƠNG MẠI TỔNG HỢP WINCOMMERCE</v>
      </c>
      <c r="G2526" s="16" t="str">
        <f>VLOOKUP(Table8[[#This Row],[Mã khách hàng]],code_khach_hang[],3,0)</f>
        <v>Miền Trung đặc biệt 1</v>
      </c>
      <c r="H2526" t="str">
        <f>VLOOKUP(Table8[[#This Row],[Mã khách hàng]],'Khách hàng'!A:D,4,0)</f>
        <v>Food Đức Việt</v>
      </c>
      <c r="I2526" t="str">
        <f>VLOOKUP(Table8[[#This Row],[Mã khách hàng]],'Khách hàng'!A:E,5,0)</f>
        <v>HN0040</v>
      </c>
    </row>
    <row r="2527" spans="1:9">
      <c r="A2527" s="14" t="s">
        <v>2718</v>
      </c>
      <c r="B2527" s="15" t="s">
        <v>5</v>
      </c>
      <c r="C2527" s="10" t="s">
        <v>2719</v>
      </c>
      <c r="D2527" s="16" t="s">
        <v>8012</v>
      </c>
      <c r="E2527" s="15" t="s">
        <v>11211</v>
      </c>
      <c r="F2527" s="16" t="str">
        <f>VLOOKUP(Table8[[#This Row],[Mã khách hàng]],code_khach_hang[],2,0)</f>
        <v>CHI NHÁNH NGHỆ AN - CÔNG TY CỔ PHẦN DỊCH VỤ THƯƠNG MẠI TỔNG HỢP WINCOMMERCE</v>
      </c>
      <c r="G2527" s="16" t="str">
        <f>VLOOKUP(Table8[[#This Row],[Mã khách hàng]],code_khach_hang[],3,0)</f>
        <v>Miền Trung đặc biệt 1</v>
      </c>
      <c r="H2527" t="str">
        <f>VLOOKUP(Table8[[#This Row],[Mã khách hàng]],'Khách hàng'!A:D,4,0)</f>
        <v>Food Đức Việt</v>
      </c>
      <c r="I2527" t="str">
        <f>VLOOKUP(Table8[[#This Row],[Mã khách hàng]],'Khách hàng'!A:E,5,0)</f>
        <v>HN0040</v>
      </c>
    </row>
    <row r="2528" spans="1:9">
      <c r="A2528" s="14" t="s">
        <v>2721</v>
      </c>
      <c r="B2528" s="15" t="s">
        <v>5</v>
      </c>
      <c r="C2528" s="10" t="s">
        <v>2722</v>
      </c>
      <c r="D2528" s="16" t="s">
        <v>8015</v>
      </c>
      <c r="E2528" s="15" t="s">
        <v>11215</v>
      </c>
      <c r="F2528" s="16" t="str">
        <f>VLOOKUP(Table8[[#This Row],[Mã khách hàng]],code_khach_hang[],2,0)</f>
        <v>CHI NHÁNH HÀ NỘI - CÔNG TY CỔ PHẦN DỊCH VỤ THƯƠNG MẠI TỔNG HỢP WINCOMMERCE</v>
      </c>
      <c r="G2528" s="16" t="str">
        <f>VLOOKUP(Table8[[#This Row],[Mã khách hàng]],code_khach_hang[],3,0)</f>
        <v>Miền Bắc đặc biệt 1</v>
      </c>
      <c r="H2528" t="str">
        <f>VLOOKUP(Table8[[#This Row],[Mã khách hàng]],'Khách hàng'!A:D,4,0)</f>
        <v>Food Đức Việt</v>
      </c>
      <c r="I2528" t="str">
        <f>VLOOKUP(Table8[[#This Row],[Mã khách hàng]],'Khách hàng'!A:E,5,0)</f>
        <v>HN0040</v>
      </c>
    </row>
    <row r="2529" spans="1:9">
      <c r="A2529" s="14" t="s">
        <v>2727</v>
      </c>
      <c r="B2529" s="15" t="s">
        <v>5</v>
      </c>
      <c r="C2529" s="10" t="s">
        <v>2728</v>
      </c>
      <c r="D2529" s="16" t="s">
        <v>8018</v>
      </c>
      <c r="E2529" s="15" t="s">
        <v>11215</v>
      </c>
      <c r="F2529" s="16" t="str">
        <f>VLOOKUP(Table8[[#This Row],[Mã khách hàng]],code_khach_hang[],2,0)</f>
        <v>CHI NHÁNH HÀ NỘI - CÔNG TY CỔ PHẦN DỊCH VỤ THƯƠNG MẠI TỔNG HỢP WINCOMMERCE</v>
      </c>
      <c r="G2529" s="16" t="str">
        <f>VLOOKUP(Table8[[#This Row],[Mã khách hàng]],code_khach_hang[],3,0)</f>
        <v>Miền Bắc đặc biệt 1</v>
      </c>
      <c r="H2529" t="str">
        <f>VLOOKUP(Table8[[#This Row],[Mã khách hàng]],'Khách hàng'!A:D,4,0)</f>
        <v>Food Đức Việt</v>
      </c>
      <c r="I2529" t="str">
        <f>VLOOKUP(Table8[[#This Row],[Mã khách hàng]],'Khách hàng'!A:E,5,0)</f>
        <v>HN0040</v>
      </c>
    </row>
    <row r="2530" spans="1:9">
      <c r="A2530" s="14" t="s">
        <v>2771</v>
      </c>
      <c r="B2530" s="15" t="s">
        <v>5</v>
      </c>
      <c r="C2530" s="10" t="s">
        <v>2772</v>
      </c>
      <c r="D2530" s="16" t="s">
        <v>8021</v>
      </c>
      <c r="E2530" s="15" t="s">
        <v>11203</v>
      </c>
      <c r="F2530" s="16" t="str">
        <f>VLOOKUP(Table8[[#This Row],[Mã khách hàng]],code_khach_hang[],2,0)</f>
        <v>CHI NHÁNH THANH HÓA - CÔNG TY CỔ PHẦN DỊCH VỤ THƯƠNG MẠI TỔNG HỢP WINCOMMERCE</v>
      </c>
      <c r="G2530" s="16" t="str">
        <f>VLOOKUP(Table8[[#This Row],[Mã khách hàng]],code_khach_hang[],3,0)</f>
        <v>Miền Trung đặc biệt 1</v>
      </c>
      <c r="H2530" t="str">
        <f>VLOOKUP(Table8[[#This Row],[Mã khách hàng]],'Khách hàng'!A:D,4,0)</f>
        <v>Food Đức Việt</v>
      </c>
      <c r="I2530" t="str">
        <f>VLOOKUP(Table8[[#This Row],[Mã khách hàng]],'Khách hàng'!A:E,5,0)</f>
        <v>HN0040</v>
      </c>
    </row>
    <row r="2531" spans="1:9">
      <c r="A2531" s="14" t="s">
        <v>2792</v>
      </c>
      <c r="B2531" s="15" t="s">
        <v>5</v>
      </c>
      <c r="C2531" s="10" t="s">
        <v>2793</v>
      </c>
      <c r="D2531" s="16" t="s">
        <v>8024</v>
      </c>
      <c r="E2531" s="15" t="s">
        <v>11203</v>
      </c>
      <c r="F2531" s="16" t="str">
        <f>VLOOKUP(Table8[[#This Row],[Mã khách hàng]],code_khach_hang[],2,0)</f>
        <v>CHI NHÁNH THANH HÓA - CÔNG TY CỔ PHẦN DỊCH VỤ THƯƠNG MẠI TỔNG HỢP WINCOMMERCE</v>
      </c>
      <c r="G2531" s="16" t="str">
        <f>VLOOKUP(Table8[[#This Row],[Mã khách hàng]],code_khach_hang[],3,0)</f>
        <v>Miền Trung đặc biệt 1</v>
      </c>
      <c r="H2531" t="str">
        <f>VLOOKUP(Table8[[#This Row],[Mã khách hàng]],'Khách hàng'!A:D,4,0)</f>
        <v>Food Đức Việt</v>
      </c>
      <c r="I2531" t="str">
        <f>VLOOKUP(Table8[[#This Row],[Mã khách hàng]],'Khách hàng'!A:E,5,0)</f>
        <v>HN0040</v>
      </c>
    </row>
    <row r="2532" spans="1:9">
      <c r="A2532" s="14" t="s">
        <v>2795</v>
      </c>
      <c r="B2532" s="15" t="s">
        <v>5</v>
      </c>
      <c r="C2532" s="10" t="s">
        <v>2796</v>
      </c>
      <c r="D2532" s="16" t="s">
        <v>8027</v>
      </c>
      <c r="E2532" s="15" t="s">
        <v>11200</v>
      </c>
      <c r="F2532" s="16" t="str">
        <f>VLOOKUP(Table8[[#This Row],[Mã khách hàng]],code_khach_hang[],2,0)</f>
        <v>CHI NHÁNH THÁI BÌNH - CÔNG TY CỔ PHẦN DỊCH VỤ THƯƠNG MẠI TỔNG HỢP WINCOMMERCE</v>
      </c>
      <c r="G2532" s="16" t="str">
        <f>VLOOKUP(Table8[[#This Row],[Mã khách hàng]],code_khach_hang[],3,0)</f>
        <v>Miền Bắc đặc biệt 3</v>
      </c>
      <c r="H2532" t="str">
        <f>VLOOKUP(Table8[[#This Row],[Mã khách hàng]],'Khách hàng'!A:D,4,0)</f>
        <v>Food Đức Việt</v>
      </c>
      <c r="I2532" t="str">
        <f>VLOOKUP(Table8[[#This Row],[Mã khách hàng]],'Khách hàng'!A:E,5,0)</f>
        <v>HN0040</v>
      </c>
    </row>
    <row r="2533" spans="1:9">
      <c r="A2533" s="14" t="s">
        <v>2798</v>
      </c>
      <c r="B2533" s="15" t="s">
        <v>5</v>
      </c>
      <c r="C2533" s="10" t="s">
        <v>2799</v>
      </c>
      <c r="D2533" s="16" t="s">
        <v>8030</v>
      </c>
      <c r="E2533" s="15" t="s">
        <v>11200</v>
      </c>
      <c r="F2533" s="16" t="str">
        <f>VLOOKUP(Table8[[#This Row],[Mã khách hàng]],code_khach_hang[],2,0)</f>
        <v>CHI NHÁNH THÁI BÌNH - CÔNG TY CỔ PHẦN DỊCH VỤ THƯƠNG MẠI TỔNG HỢP WINCOMMERCE</v>
      </c>
      <c r="G2533" s="16" t="str">
        <f>VLOOKUP(Table8[[#This Row],[Mã khách hàng]],code_khach_hang[],3,0)</f>
        <v>Miền Bắc đặc biệt 3</v>
      </c>
      <c r="H2533" t="str">
        <f>VLOOKUP(Table8[[#This Row],[Mã khách hàng]],'Khách hàng'!A:D,4,0)</f>
        <v>Food Đức Việt</v>
      </c>
      <c r="I2533" t="str">
        <f>VLOOKUP(Table8[[#This Row],[Mã khách hàng]],'Khách hàng'!A:E,5,0)</f>
        <v>HN0040</v>
      </c>
    </row>
    <row r="2534" spans="1:9">
      <c r="A2534" s="14" t="s">
        <v>2825</v>
      </c>
      <c r="B2534" s="15" t="s">
        <v>5</v>
      </c>
      <c r="C2534" s="10" t="s">
        <v>2826</v>
      </c>
      <c r="D2534" s="16" t="s">
        <v>8033</v>
      </c>
      <c r="E2534" s="15" t="s">
        <v>11215</v>
      </c>
      <c r="F2534" s="16" t="str">
        <f>VLOOKUP(Table8[[#This Row],[Mã khách hàng]],code_khach_hang[],2,0)</f>
        <v>CHI NHÁNH HÀ NỘI - CÔNG TY CỔ PHẦN DỊCH VỤ THƯƠNG MẠI TỔNG HỢP WINCOMMERCE</v>
      </c>
      <c r="G2534" s="16" t="str">
        <f>VLOOKUP(Table8[[#This Row],[Mã khách hàng]],code_khach_hang[],3,0)</f>
        <v>Miền Bắc đặc biệt 1</v>
      </c>
      <c r="H2534" t="str">
        <f>VLOOKUP(Table8[[#This Row],[Mã khách hàng]],'Khách hàng'!A:D,4,0)</f>
        <v>Food Đức Việt</v>
      </c>
      <c r="I2534" t="str">
        <f>VLOOKUP(Table8[[#This Row],[Mã khách hàng]],'Khách hàng'!A:E,5,0)</f>
        <v>HN0040</v>
      </c>
    </row>
    <row r="2535" spans="1:9">
      <c r="A2535" s="14" t="s">
        <v>2828</v>
      </c>
      <c r="B2535" s="15" t="s">
        <v>5</v>
      </c>
      <c r="C2535" s="10" t="s">
        <v>2829</v>
      </c>
      <c r="D2535" s="16" t="s">
        <v>8036</v>
      </c>
      <c r="E2535" s="15" t="s">
        <v>11200</v>
      </c>
      <c r="F2535" s="16" t="str">
        <f>VLOOKUP(Table8[[#This Row],[Mã khách hàng]],code_khach_hang[],2,0)</f>
        <v>CHI NHÁNH THÁI BÌNH - CÔNG TY CỔ PHẦN DỊCH VỤ THƯƠNG MẠI TỔNG HỢP WINCOMMERCE</v>
      </c>
      <c r="G2535" s="16" t="str">
        <f>VLOOKUP(Table8[[#This Row],[Mã khách hàng]],code_khach_hang[],3,0)</f>
        <v>Miền Bắc đặc biệt 3</v>
      </c>
      <c r="H2535" t="str">
        <f>VLOOKUP(Table8[[#This Row],[Mã khách hàng]],'Khách hàng'!A:D,4,0)</f>
        <v>Food Đức Việt</v>
      </c>
      <c r="I2535" t="str">
        <f>VLOOKUP(Table8[[#This Row],[Mã khách hàng]],'Khách hàng'!A:E,5,0)</f>
        <v>HN0040</v>
      </c>
    </row>
    <row r="2536" spans="1:9">
      <c r="A2536" s="14" t="s">
        <v>2840</v>
      </c>
      <c r="B2536" s="15" t="s">
        <v>5</v>
      </c>
      <c r="C2536" s="10" t="s">
        <v>2841</v>
      </c>
      <c r="D2536" s="16" t="s">
        <v>8039</v>
      </c>
      <c r="E2536" s="15" t="s">
        <v>11215</v>
      </c>
      <c r="F2536" s="16" t="str">
        <f>VLOOKUP(Table8[[#This Row],[Mã khách hàng]],code_khach_hang[],2,0)</f>
        <v>CHI NHÁNH HÀ NỘI - CÔNG TY CỔ PHẦN DỊCH VỤ THƯƠNG MẠI TỔNG HỢP WINCOMMERCE</v>
      </c>
      <c r="G2536" s="16" t="str">
        <f>VLOOKUP(Table8[[#This Row],[Mã khách hàng]],code_khach_hang[],3,0)</f>
        <v>Miền Bắc đặc biệt 1</v>
      </c>
      <c r="H2536" t="str">
        <f>VLOOKUP(Table8[[#This Row],[Mã khách hàng]],'Khách hàng'!A:D,4,0)</f>
        <v>Food Đức Việt</v>
      </c>
      <c r="I2536" t="str">
        <f>VLOOKUP(Table8[[#This Row],[Mã khách hàng]],'Khách hàng'!A:E,5,0)</f>
        <v>HN0040</v>
      </c>
    </row>
    <row r="2537" spans="1:9">
      <c r="A2537" s="14" t="s">
        <v>2851</v>
      </c>
      <c r="B2537" s="15" t="s">
        <v>5</v>
      </c>
      <c r="C2537" s="10" t="s">
        <v>2852</v>
      </c>
      <c r="D2537" s="16" t="s">
        <v>8042</v>
      </c>
      <c r="E2537" s="15" t="s">
        <v>11215</v>
      </c>
      <c r="F2537" s="16" t="str">
        <f>VLOOKUP(Table8[[#This Row],[Mã khách hàng]],code_khach_hang[],2,0)</f>
        <v>CHI NHÁNH HÀ NỘI - CÔNG TY CỔ PHẦN DỊCH VỤ THƯƠNG MẠI TỔNG HỢP WINCOMMERCE</v>
      </c>
      <c r="G2537" s="16" t="str">
        <f>VLOOKUP(Table8[[#This Row],[Mã khách hàng]],code_khach_hang[],3,0)</f>
        <v>Miền Bắc đặc biệt 1</v>
      </c>
      <c r="H2537" t="str">
        <f>VLOOKUP(Table8[[#This Row],[Mã khách hàng]],'Khách hàng'!A:D,4,0)</f>
        <v>Food Đức Việt</v>
      </c>
      <c r="I2537" t="str">
        <f>VLOOKUP(Table8[[#This Row],[Mã khách hàng]],'Khách hàng'!A:E,5,0)</f>
        <v>HN0040</v>
      </c>
    </row>
    <row r="2538" spans="1:9">
      <c r="A2538" s="14" t="s">
        <v>2709</v>
      </c>
      <c r="B2538" s="15" t="s">
        <v>5</v>
      </c>
      <c r="C2538" s="10" t="s">
        <v>2710</v>
      </c>
      <c r="D2538" s="16" t="s">
        <v>8045</v>
      </c>
      <c r="E2538" s="15" t="s">
        <v>11205</v>
      </c>
      <c r="F2538" s="16" t="str">
        <f>VLOOKUP(Table8[[#This Row],[Mã khách hàng]],code_khach_hang[],2,0)</f>
        <v>CHI NHÁNH HÀ TĨNH - CÔNG TY CỔ PHẦN DỊCH VỤ THƯƠNG MẠI TỔNG HỢP WINCOMMERCE</v>
      </c>
      <c r="G2538" s="16" t="str">
        <f>VLOOKUP(Table8[[#This Row],[Mã khách hàng]],code_khach_hang[],3,0)</f>
        <v>Miền Trung đặc biệt 1</v>
      </c>
      <c r="H2538" t="str">
        <f>VLOOKUP(Table8[[#This Row],[Mã khách hàng]],'Khách hàng'!A:D,4,0)</f>
        <v>Food Đức Việt</v>
      </c>
      <c r="I2538" t="str">
        <f>VLOOKUP(Table8[[#This Row],[Mã khách hàng]],'Khách hàng'!A:E,5,0)</f>
        <v>HN0040</v>
      </c>
    </row>
    <row r="2539" spans="1:9">
      <c r="A2539" s="14" t="s">
        <v>2736</v>
      </c>
      <c r="B2539" s="15" t="s">
        <v>5</v>
      </c>
      <c r="C2539" s="10" t="s">
        <v>2737</v>
      </c>
      <c r="D2539" s="16" t="s">
        <v>8048</v>
      </c>
      <c r="E2539" s="15" t="s">
        <v>11205</v>
      </c>
      <c r="F2539" s="16" t="str">
        <f>VLOOKUP(Table8[[#This Row],[Mã khách hàng]],code_khach_hang[],2,0)</f>
        <v>CHI NHÁNH HÀ TĨNH - CÔNG TY CỔ PHẦN DỊCH VỤ THƯƠNG MẠI TỔNG HỢP WINCOMMERCE</v>
      </c>
      <c r="G2539" s="16" t="str">
        <f>VLOOKUP(Table8[[#This Row],[Mã khách hàng]],code_khach_hang[],3,0)</f>
        <v>Miền Trung đặc biệt 1</v>
      </c>
      <c r="H2539" t="str">
        <f>VLOOKUP(Table8[[#This Row],[Mã khách hàng]],'Khách hàng'!A:D,4,0)</f>
        <v>Food Đức Việt</v>
      </c>
      <c r="I2539" t="str">
        <f>VLOOKUP(Table8[[#This Row],[Mã khách hàng]],'Khách hàng'!A:E,5,0)</f>
        <v>HN0040</v>
      </c>
    </row>
    <row r="2540" spans="1:9">
      <c r="A2540" s="14" t="s">
        <v>2846</v>
      </c>
      <c r="B2540" s="15" t="s">
        <v>5</v>
      </c>
      <c r="C2540" s="10">
        <v>0</v>
      </c>
      <c r="D2540" s="16" t="s">
        <v>8051</v>
      </c>
      <c r="E2540" s="15" t="s">
        <v>11198</v>
      </c>
      <c r="F2540" s="16" t="str">
        <f>VLOOKUP(Table8[[#This Row],[Mã khách hàng]],code_khach_hang[],2,0)</f>
        <v>CHI NHÁNH HẢI PHÒNG - CÔNG TY CỔ PHẦN DỊCH VỤ THƯƠNG MẠI TỔNG HỢP WINCOMMERCE</v>
      </c>
      <c r="G2540" s="16" t="str">
        <f>VLOOKUP(Table8[[#This Row],[Mã khách hàng]],code_khach_hang[],3,0)</f>
        <v>Miền Bắc đặc biệt 3</v>
      </c>
      <c r="H2540" t="str">
        <f>VLOOKUP(Table8[[#This Row],[Mã khách hàng]],'Khách hàng'!A:D,4,0)</f>
        <v>Food Đức Việt</v>
      </c>
      <c r="I2540" t="str">
        <f>VLOOKUP(Table8[[#This Row],[Mã khách hàng]],'Khách hàng'!A:E,5,0)</f>
        <v>HN0040</v>
      </c>
    </row>
    <row r="2541" spans="1:9">
      <c r="A2541" s="14" t="s">
        <v>2124</v>
      </c>
      <c r="B2541" s="15" t="s">
        <v>5</v>
      </c>
      <c r="C2541" s="10" t="s">
        <v>2125</v>
      </c>
      <c r="D2541" s="16" t="s">
        <v>8054</v>
      </c>
      <c r="E2541" s="15" t="s">
        <v>11215</v>
      </c>
      <c r="F2541" s="16" t="str">
        <f>VLOOKUP(Table8[[#This Row],[Mã khách hàng]],code_khach_hang[],2,0)</f>
        <v>CHI NHÁNH HÀ NỘI - CÔNG TY CỔ PHẦN DỊCH VỤ THƯƠNG MẠI TỔNG HỢP WINCOMMERCE</v>
      </c>
      <c r="G2541" s="16" t="str">
        <f>VLOOKUP(Table8[[#This Row],[Mã khách hàng]],code_khach_hang[],3,0)</f>
        <v>Miền Bắc đặc biệt 1</v>
      </c>
      <c r="H2541" t="str">
        <f>VLOOKUP(Table8[[#This Row],[Mã khách hàng]],'Khách hàng'!A:D,4,0)</f>
        <v>Food Đức Việt</v>
      </c>
      <c r="I2541" t="str">
        <f>VLOOKUP(Table8[[#This Row],[Mã khách hàng]],'Khách hàng'!A:E,5,0)</f>
        <v>HN0040</v>
      </c>
    </row>
    <row r="2542" spans="1:9">
      <c r="A2542" s="14" t="s">
        <v>2488</v>
      </c>
      <c r="B2542" s="15" t="s">
        <v>5</v>
      </c>
      <c r="C2542" s="10" t="s">
        <v>2489</v>
      </c>
      <c r="D2542" s="16" t="s">
        <v>8057</v>
      </c>
      <c r="E2542" s="15" t="s">
        <v>11215</v>
      </c>
      <c r="F2542" s="16" t="str">
        <f>VLOOKUP(Table8[[#This Row],[Mã khách hàng]],code_khach_hang[],2,0)</f>
        <v>CHI NHÁNH HÀ NỘI - CÔNG TY CỔ PHẦN DỊCH VỤ THƯƠNG MẠI TỔNG HỢP WINCOMMERCE</v>
      </c>
      <c r="G2542" s="16" t="str">
        <f>VLOOKUP(Table8[[#This Row],[Mã khách hàng]],code_khach_hang[],3,0)</f>
        <v>Miền Bắc đặc biệt 1</v>
      </c>
      <c r="H2542" t="str">
        <f>VLOOKUP(Table8[[#This Row],[Mã khách hàng]],'Khách hàng'!A:D,4,0)</f>
        <v>Food Đức Việt</v>
      </c>
      <c r="I2542" t="str">
        <f>VLOOKUP(Table8[[#This Row],[Mã khách hàng]],'Khách hàng'!A:E,5,0)</f>
        <v>HN0040</v>
      </c>
    </row>
    <row r="2543" spans="1:9">
      <c r="A2543" s="14" t="s">
        <v>2801</v>
      </c>
      <c r="B2543" s="15" t="s">
        <v>5</v>
      </c>
      <c r="C2543" s="10" t="s">
        <v>2802</v>
      </c>
      <c r="D2543" s="16" t="s">
        <v>8060</v>
      </c>
      <c r="E2543" s="15" t="s">
        <v>11211</v>
      </c>
      <c r="F2543" s="16" t="str">
        <f>VLOOKUP(Table8[[#This Row],[Mã khách hàng]],code_khach_hang[],2,0)</f>
        <v>CHI NHÁNH NGHỆ AN - CÔNG TY CỔ PHẦN DỊCH VỤ THƯƠNG MẠI TỔNG HỢP WINCOMMERCE</v>
      </c>
      <c r="G2543" s="16" t="str">
        <f>VLOOKUP(Table8[[#This Row],[Mã khách hàng]],code_khach_hang[],3,0)</f>
        <v>Miền Trung đặc biệt 1</v>
      </c>
      <c r="H2543" t="str">
        <f>VLOOKUP(Table8[[#This Row],[Mã khách hàng]],'Khách hàng'!A:D,4,0)</f>
        <v>Food Đức Việt</v>
      </c>
      <c r="I2543" t="str">
        <f>VLOOKUP(Table8[[#This Row],[Mã khách hàng]],'Khách hàng'!A:E,5,0)</f>
        <v>HN0040</v>
      </c>
    </row>
    <row r="2544" spans="1:9">
      <c r="A2544" s="14" t="s">
        <v>2848</v>
      </c>
      <c r="B2544" s="15" t="s">
        <v>5</v>
      </c>
      <c r="C2544" s="10" t="s">
        <v>2849</v>
      </c>
      <c r="D2544" s="16" t="s">
        <v>8063</v>
      </c>
      <c r="E2544" s="15" t="s">
        <v>11215</v>
      </c>
      <c r="F2544" s="16" t="str">
        <f>VLOOKUP(Table8[[#This Row],[Mã khách hàng]],code_khach_hang[],2,0)</f>
        <v>CHI NHÁNH HÀ NỘI - CÔNG TY CỔ PHẦN DỊCH VỤ THƯƠNG MẠI TỔNG HỢP WINCOMMERCE</v>
      </c>
      <c r="G2544" s="16" t="str">
        <f>VLOOKUP(Table8[[#This Row],[Mã khách hàng]],code_khach_hang[],3,0)</f>
        <v>Miền Bắc đặc biệt 1</v>
      </c>
      <c r="H2544" t="str">
        <f>VLOOKUP(Table8[[#This Row],[Mã khách hàng]],'Khách hàng'!A:D,4,0)</f>
        <v>Food Đức Việt</v>
      </c>
      <c r="I2544" t="str">
        <f>VLOOKUP(Table8[[#This Row],[Mã khách hàng]],'Khách hàng'!A:E,5,0)</f>
        <v>HN0040</v>
      </c>
    </row>
    <row r="2545" spans="1:9">
      <c r="A2545" s="14" t="s">
        <v>2854</v>
      </c>
      <c r="B2545" s="15" t="s">
        <v>5</v>
      </c>
      <c r="C2545" s="10" t="s">
        <v>2855</v>
      </c>
      <c r="D2545" s="16" t="s">
        <v>8066</v>
      </c>
      <c r="E2545" s="15" t="s">
        <v>11201</v>
      </c>
      <c r="F2545" s="16" t="str">
        <f>VLOOKUP(Table8[[#This Row],[Mã khách hàng]],code_khach_hang[],2,0)</f>
        <v>CHI NHÁNH HẢI DƯƠNG - CÔNG TY CỔ PHẦN DỊCH VỤ THƯƠNG MẠI TỔNG HỢP WINCOMMERCE</v>
      </c>
      <c r="G2545" s="16" t="str">
        <f>VLOOKUP(Table8[[#This Row],[Mã khách hàng]],code_khach_hang[],3,0)</f>
        <v>Miền Bắc đặc biệt 3</v>
      </c>
      <c r="H2545" t="str">
        <f>VLOOKUP(Table8[[#This Row],[Mã khách hàng]],'Khách hàng'!A:D,4,0)</f>
        <v>Food Đức Việt</v>
      </c>
      <c r="I2545" t="str">
        <f>VLOOKUP(Table8[[#This Row],[Mã khách hàng]],'Khách hàng'!A:E,5,0)</f>
        <v>HN0040</v>
      </c>
    </row>
    <row r="2546" spans="1:9">
      <c r="A2546" s="14" t="s">
        <v>2863</v>
      </c>
      <c r="B2546" s="15" t="s">
        <v>5</v>
      </c>
      <c r="C2546" s="10" t="s">
        <v>2864</v>
      </c>
      <c r="D2546" s="16" t="s">
        <v>8069</v>
      </c>
      <c r="E2546" s="15" t="s">
        <v>11203</v>
      </c>
      <c r="F2546" s="16" t="str">
        <f>VLOOKUP(Table8[[#This Row],[Mã khách hàng]],code_khach_hang[],2,0)</f>
        <v>CHI NHÁNH THANH HÓA - CÔNG TY CỔ PHẦN DỊCH VỤ THƯƠNG MẠI TỔNG HỢP WINCOMMERCE</v>
      </c>
      <c r="G2546" s="16" t="str">
        <f>VLOOKUP(Table8[[#This Row],[Mã khách hàng]],code_khach_hang[],3,0)</f>
        <v>Miền Trung đặc biệt 1</v>
      </c>
      <c r="H2546" t="str">
        <f>VLOOKUP(Table8[[#This Row],[Mã khách hàng]],'Khách hàng'!A:D,4,0)</f>
        <v>Food Đức Việt</v>
      </c>
      <c r="I2546" t="str">
        <f>VLOOKUP(Table8[[#This Row],[Mã khách hàng]],'Khách hàng'!A:E,5,0)</f>
        <v>HN0040</v>
      </c>
    </row>
    <row r="2547" spans="1:9">
      <c r="A2547" s="14" t="s">
        <v>2843</v>
      </c>
      <c r="B2547" s="15" t="s">
        <v>5</v>
      </c>
      <c r="C2547" s="10" t="s">
        <v>2844</v>
      </c>
      <c r="D2547" s="16" t="s">
        <v>8072</v>
      </c>
      <c r="E2547" s="15" t="s">
        <v>11197</v>
      </c>
      <c r="F2547" s="16" t="str">
        <f>VLOOKUP(Table8[[#This Row],[Mã khách hàng]],code_khach_hang[],2,0)</f>
        <v>CHI NHÁNH QUẢNG NINH - CÔNG TY CỔ PHẦN DỊCH VỤ THƯƠNG MẠI TỔNG HỢP WINCOMMERCE</v>
      </c>
      <c r="G2547" s="16" t="str">
        <f>VLOOKUP(Table8[[#This Row],[Mã khách hàng]],code_khach_hang[],3,0)</f>
        <v>Miền Bắc đặc biệt 3</v>
      </c>
      <c r="H2547" t="str">
        <f>VLOOKUP(Table8[[#This Row],[Mã khách hàng]],'Khách hàng'!A:D,4,0)</f>
        <v>Food Đức Việt</v>
      </c>
      <c r="I2547" t="str">
        <f>VLOOKUP(Table8[[#This Row],[Mã khách hàng]],'Khách hàng'!A:E,5,0)</f>
        <v>HN0040</v>
      </c>
    </row>
    <row r="2548" spans="1:9">
      <c r="A2548" s="14" t="s">
        <v>2789</v>
      </c>
      <c r="B2548" s="15" t="s">
        <v>5</v>
      </c>
      <c r="C2548" s="10" t="s">
        <v>2790</v>
      </c>
      <c r="D2548" s="16" t="s">
        <v>8075</v>
      </c>
      <c r="E2548" s="15" t="s">
        <v>11215</v>
      </c>
      <c r="F2548" s="16" t="str">
        <f>VLOOKUP(Table8[[#This Row],[Mã khách hàng]],code_khach_hang[],2,0)</f>
        <v>CHI NHÁNH HÀ NỘI - CÔNG TY CỔ PHẦN DỊCH VỤ THƯƠNG MẠI TỔNG HỢP WINCOMMERCE</v>
      </c>
      <c r="G2548" s="16" t="str">
        <f>VLOOKUP(Table8[[#This Row],[Mã khách hàng]],code_khach_hang[],3,0)</f>
        <v>Miền Bắc đặc biệt 1</v>
      </c>
      <c r="H2548" t="str">
        <f>VLOOKUP(Table8[[#This Row],[Mã khách hàng]],'Khách hàng'!A:D,4,0)</f>
        <v>Food Đức Việt</v>
      </c>
      <c r="I2548" t="str">
        <f>VLOOKUP(Table8[[#This Row],[Mã khách hàng]],'Khách hàng'!A:E,5,0)</f>
        <v>HN0040</v>
      </c>
    </row>
    <row r="2549" spans="1:9">
      <c r="A2549" s="14" t="s">
        <v>2628</v>
      </c>
      <c r="B2549" s="15" t="s">
        <v>5</v>
      </c>
      <c r="C2549" s="10">
        <v>0</v>
      </c>
      <c r="D2549" s="16" t="s">
        <v>8078</v>
      </c>
      <c r="E2549" s="15" t="s">
        <v>11217</v>
      </c>
      <c r="F2549" s="16" t="str">
        <f>VLOOKUP(Table8[[#This Row],[Mã khách hàng]],code_khach_hang[],2,0)</f>
        <v>CHI NHÁNH BẮC GIANG - CÔNG TY CỔ PHẦN DỊCH VỤ THƯƠNG MẠI TỔNG HỢP WINCOMMERCE</v>
      </c>
      <c r="G2549" s="16" t="str">
        <f>VLOOKUP(Table8[[#This Row],[Mã khách hàng]],code_khach_hang[],3,0)</f>
        <v>Miền Bắc đặc biệt 2</v>
      </c>
      <c r="H2549" t="str">
        <f>VLOOKUP(Table8[[#This Row],[Mã khách hàng]],'Khách hàng'!A:D,4,0)</f>
        <v>Food Đức Việt</v>
      </c>
      <c r="I2549" t="str">
        <f>VLOOKUP(Table8[[#This Row],[Mã khách hàng]],'Khách hàng'!A:E,5,0)</f>
        <v>HN0040</v>
      </c>
    </row>
    <row r="2550" spans="1:9">
      <c r="A2550" s="14" t="s">
        <v>2498</v>
      </c>
      <c r="B2550" s="15" t="s">
        <v>5</v>
      </c>
      <c r="C2550" s="10" t="s">
        <v>2499</v>
      </c>
      <c r="D2550" s="16" t="s">
        <v>8081</v>
      </c>
      <c r="E2550" s="15" t="s">
        <v>11198</v>
      </c>
      <c r="F2550" s="16" t="str">
        <f>VLOOKUP(Table8[[#This Row],[Mã khách hàng]],code_khach_hang[],2,0)</f>
        <v>CHI NHÁNH HẢI PHÒNG - CÔNG TY CỔ PHẦN DỊCH VỤ THƯƠNG MẠI TỔNG HỢP WINCOMMERCE</v>
      </c>
      <c r="G2550" s="16" t="str">
        <f>VLOOKUP(Table8[[#This Row],[Mã khách hàng]],code_khach_hang[],3,0)</f>
        <v>Miền Bắc đặc biệt 3</v>
      </c>
      <c r="H2550" t="str">
        <f>VLOOKUP(Table8[[#This Row],[Mã khách hàng]],'Khách hàng'!A:D,4,0)</f>
        <v>Food Đức Việt</v>
      </c>
      <c r="I2550" t="str">
        <f>VLOOKUP(Table8[[#This Row],[Mã khách hàng]],'Khách hàng'!A:E,5,0)</f>
        <v>HN0040</v>
      </c>
    </row>
    <row r="2551" spans="1:9">
      <c r="A2551" s="14" t="s">
        <v>2869</v>
      </c>
      <c r="B2551" s="15" t="s">
        <v>5</v>
      </c>
      <c r="C2551" s="10" t="s">
        <v>2870</v>
      </c>
      <c r="D2551" s="16" t="s">
        <v>8084</v>
      </c>
      <c r="E2551" s="15" t="s">
        <v>11194</v>
      </c>
      <c r="F2551" s="16" t="str">
        <f>VLOOKUP(Table8[[#This Row],[Mã khách hàng]],code_khach_hang[],2,0)</f>
        <v>CHI NHÁNH VĨNH PHÚC - CÔNG TY CỔ PHẦN DỊCH VỤ THƯƠNG MẠI TỔNG HỢP WINCOMMERCE</v>
      </c>
      <c r="G2551" s="16" t="str">
        <f>VLOOKUP(Table8[[#This Row],[Mã khách hàng]],code_khach_hang[],3,0)</f>
        <v>Miền Bắc đặc biệt 2</v>
      </c>
      <c r="H2551" t="str">
        <f>VLOOKUP(Table8[[#This Row],[Mã khách hàng]],'Khách hàng'!A:D,4,0)</f>
        <v>Food Đức Việt</v>
      </c>
      <c r="I2551" t="str">
        <f>VLOOKUP(Table8[[#This Row],[Mã khách hàng]],'Khách hàng'!A:E,5,0)</f>
        <v>HN0040</v>
      </c>
    </row>
    <row r="2552" spans="1:9">
      <c r="A2552" s="14" t="s">
        <v>2857</v>
      </c>
      <c r="B2552" s="15" t="s">
        <v>5</v>
      </c>
      <c r="C2552" s="10" t="s">
        <v>2858</v>
      </c>
      <c r="D2552" s="16" t="s">
        <v>8087</v>
      </c>
      <c r="E2552" s="15" t="s">
        <v>11215</v>
      </c>
      <c r="F2552" s="16" t="str">
        <f>VLOOKUP(Table8[[#This Row],[Mã khách hàng]],code_khach_hang[],2,0)</f>
        <v>CHI NHÁNH HÀ NỘI - CÔNG TY CỔ PHẦN DỊCH VỤ THƯƠNG MẠI TỔNG HỢP WINCOMMERCE</v>
      </c>
      <c r="G2552" s="16" t="str">
        <f>VLOOKUP(Table8[[#This Row],[Mã khách hàng]],code_khach_hang[],3,0)</f>
        <v>Miền Bắc đặc biệt 1</v>
      </c>
      <c r="H2552" t="str">
        <f>VLOOKUP(Table8[[#This Row],[Mã khách hàng]],'Khách hàng'!A:D,4,0)</f>
        <v>Food Đức Việt</v>
      </c>
      <c r="I2552" t="str">
        <f>VLOOKUP(Table8[[#This Row],[Mã khách hàng]],'Khách hàng'!A:E,5,0)</f>
        <v>HN0040</v>
      </c>
    </row>
    <row r="2553" spans="1:9">
      <c r="A2553" s="14" t="s">
        <v>2661</v>
      </c>
      <c r="B2553" s="15" t="s">
        <v>5</v>
      </c>
      <c r="C2553" s="10" t="s">
        <v>2662</v>
      </c>
      <c r="D2553" s="16" t="s">
        <v>8090</v>
      </c>
      <c r="E2553" s="15" t="s">
        <v>11215</v>
      </c>
      <c r="F2553" s="16" t="str">
        <f>VLOOKUP(Table8[[#This Row],[Mã khách hàng]],code_khach_hang[],2,0)</f>
        <v>CHI NHÁNH HÀ NỘI - CÔNG TY CỔ PHẦN DỊCH VỤ THƯƠNG MẠI TỔNG HỢP WINCOMMERCE</v>
      </c>
      <c r="G2553" s="16" t="str">
        <f>VLOOKUP(Table8[[#This Row],[Mã khách hàng]],code_khach_hang[],3,0)</f>
        <v>Miền Bắc đặc biệt 1</v>
      </c>
      <c r="H2553" t="str">
        <f>VLOOKUP(Table8[[#This Row],[Mã khách hàng]],'Khách hàng'!A:D,4,0)</f>
        <v>Food Đức Việt</v>
      </c>
      <c r="I2553" t="str">
        <f>VLOOKUP(Table8[[#This Row],[Mã khách hàng]],'Khách hàng'!A:E,5,0)</f>
        <v>HN0040</v>
      </c>
    </row>
    <row r="2554" spans="1:9">
      <c r="A2554" s="14" t="s">
        <v>2875</v>
      </c>
      <c r="B2554" s="15" t="s">
        <v>5</v>
      </c>
      <c r="C2554" s="10" t="s">
        <v>2876</v>
      </c>
      <c r="D2554" s="16" t="s">
        <v>8093</v>
      </c>
      <c r="E2554" s="15" t="s">
        <v>11215</v>
      </c>
      <c r="F2554" s="16" t="str">
        <f>VLOOKUP(Table8[[#This Row],[Mã khách hàng]],code_khach_hang[],2,0)</f>
        <v>CHI NHÁNH HÀ NỘI - CÔNG TY CỔ PHẦN DỊCH VỤ THƯƠNG MẠI TỔNG HỢP WINCOMMERCE</v>
      </c>
      <c r="G2554" s="16" t="str">
        <f>VLOOKUP(Table8[[#This Row],[Mã khách hàng]],code_khach_hang[],3,0)</f>
        <v>Miền Bắc đặc biệt 1</v>
      </c>
      <c r="H2554" t="str">
        <f>VLOOKUP(Table8[[#This Row],[Mã khách hàng]],'Khách hàng'!A:D,4,0)</f>
        <v>Food Đức Việt</v>
      </c>
      <c r="I2554" t="str">
        <f>VLOOKUP(Table8[[#This Row],[Mã khách hàng]],'Khách hàng'!A:E,5,0)</f>
        <v>HN0040</v>
      </c>
    </row>
    <row r="2555" spans="1:9">
      <c r="A2555" s="14" t="s">
        <v>2878</v>
      </c>
      <c r="B2555" s="15" t="s">
        <v>5</v>
      </c>
      <c r="C2555" s="10" t="s">
        <v>2879</v>
      </c>
      <c r="D2555" s="16" t="s">
        <v>8096</v>
      </c>
      <c r="E2555" s="15" t="s">
        <v>11215</v>
      </c>
      <c r="F2555" s="16" t="str">
        <f>VLOOKUP(Table8[[#This Row],[Mã khách hàng]],code_khach_hang[],2,0)</f>
        <v>CHI NHÁNH HÀ NỘI - CÔNG TY CỔ PHẦN DỊCH VỤ THƯƠNG MẠI TỔNG HỢP WINCOMMERCE</v>
      </c>
      <c r="G2555" s="16" t="str">
        <f>VLOOKUP(Table8[[#This Row],[Mã khách hàng]],code_khach_hang[],3,0)</f>
        <v>Miền Bắc đặc biệt 1</v>
      </c>
      <c r="H2555" t="str">
        <f>VLOOKUP(Table8[[#This Row],[Mã khách hàng]],'Khách hàng'!A:D,4,0)</f>
        <v>Food Đức Việt</v>
      </c>
      <c r="I2555" t="str">
        <f>VLOOKUP(Table8[[#This Row],[Mã khách hàng]],'Khách hàng'!A:E,5,0)</f>
        <v>HN0040</v>
      </c>
    </row>
    <row r="2556" spans="1:9">
      <c r="A2556" s="14" t="s">
        <v>2724</v>
      </c>
      <c r="B2556" s="15" t="s">
        <v>5</v>
      </c>
      <c r="C2556" s="10" t="s">
        <v>2725</v>
      </c>
      <c r="D2556" s="16" t="s">
        <v>8099</v>
      </c>
      <c r="E2556" s="15" t="s">
        <v>11215</v>
      </c>
      <c r="F2556" s="16" t="str">
        <f>VLOOKUP(Table8[[#This Row],[Mã khách hàng]],code_khach_hang[],2,0)</f>
        <v>CHI NHÁNH HÀ NỘI - CÔNG TY CỔ PHẦN DỊCH VỤ THƯƠNG MẠI TỔNG HỢP WINCOMMERCE</v>
      </c>
      <c r="G2556" s="16" t="str">
        <f>VLOOKUP(Table8[[#This Row],[Mã khách hàng]],code_khach_hang[],3,0)</f>
        <v>Miền Bắc đặc biệt 1</v>
      </c>
      <c r="H2556" t="str">
        <f>VLOOKUP(Table8[[#This Row],[Mã khách hàng]],'Khách hàng'!A:D,4,0)</f>
        <v>Food Đức Việt</v>
      </c>
      <c r="I2556" t="str">
        <f>VLOOKUP(Table8[[#This Row],[Mã khách hàng]],'Khách hàng'!A:E,5,0)</f>
        <v>HN0040</v>
      </c>
    </row>
    <row r="2557" spans="1:9">
      <c r="A2557" s="14" t="s">
        <v>2881</v>
      </c>
      <c r="B2557" s="15" t="s">
        <v>5</v>
      </c>
      <c r="C2557" s="10" t="s">
        <v>2882</v>
      </c>
      <c r="D2557" s="16" t="s">
        <v>8102</v>
      </c>
      <c r="E2557" s="15" t="s">
        <v>11215</v>
      </c>
      <c r="F2557" s="16" t="str">
        <f>VLOOKUP(Table8[[#This Row],[Mã khách hàng]],code_khach_hang[],2,0)</f>
        <v>CHI NHÁNH HÀ NỘI - CÔNG TY CỔ PHẦN DỊCH VỤ THƯƠNG MẠI TỔNG HỢP WINCOMMERCE</v>
      </c>
      <c r="G2557" s="16" t="str">
        <f>VLOOKUP(Table8[[#This Row],[Mã khách hàng]],code_khach_hang[],3,0)</f>
        <v>Miền Bắc đặc biệt 1</v>
      </c>
      <c r="H2557" t="str">
        <f>VLOOKUP(Table8[[#This Row],[Mã khách hàng]],'Khách hàng'!A:D,4,0)</f>
        <v>Food Đức Việt</v>
      </c>
      <c r="I2557" t="str">
        <f>VLOOKUP(Table8[[#This Row],[Mã khách hàng]],'Khách hàng'!A:E,5,0)</f>
        <v>HN0040</v>
      </c>
    </row>
    <row r="2558" spans="1:9">
      <c r="A2558" s="14" t="s">
        <v>2733</v>
      </c>
      <c r="B2558" s="15" t="s">
        <v>5</v>
      </c>
      <c r="C2558" s="10" t="s">
        <v>2734</v>
      </c>
      <c r="D2558" s="16" t="s">
        <v>8105</v>
      </c>
      <c r="E2558" s="15" t="s">
        <v>11215</v>
      </c>
      <c r="F2558" s="16" t="str">
        <f>VLOOKUP(Table8[[#This Row],[Mã khách hàng]],code_khach_hang[],2,0)</f>
        <v>CHI NHÁNH HÀ NỘI - CÔNG TY CỔ PHẦN DỊCH VỤ THƯƠNG MẠI TỔNG HỢP WINCOMMERCE</v>
      </c>
      <c r="G2558" s="16" t="str">
        <f>VLOOKUP(Table8[[#This Row],[Mã khách hàng]],code_khach_hang[],3,0)</f>
        <v>Miền Bắc đặc biệt 1</v>
      </c>
      <c r="H2558" t="str">
        <f>VLOOKUP(Table8[[#This Row],[Mã khách hàng]],'Khách hàng'!A:D,4,0)</f>
        <v>Food Đức Việt</v>
      </c>
      <c r="I2558" t="str">
        <f>VLOOKUP(Table8[[#This Row],[Mã khách hàng]],'Khách hàng'!A:E,5,0)</f>
        <v>HN0040</v>
      </c>
    </row>
    <row r="2559" spans="1:9">
      <c r="A2559" s="14" t="s">
        <v>2890</v>
      </c>
      <c r="B2559" s="15" t="s">
        <v>5</v>
      </c>
      <c r="C2559" s="10" t="s">
        <v>2891</v>
      </c>
      <c r="D2559" s="16" t="s">
        <v>8108</v>
      </c>
      <c r="E2559" s="15" t="s">
        <v>11215</v>
      </c>
      <c r="F2559" s="16" t="str">
        <f>VLOOKUP(Table8[[#This Row],[Mã khách hàng]],code_khach_hang[],2,0)</f>
        <v>CHI NHÁNH HÀ NỘI - CÔNG TY CỔ PHẦN DỊCH VỤ THƯƠNG MẠI TỔNG HỢP WINCOMMERCE</v>
      </c>
      <c r="G2559" s="16" t="str">
        <f>VLOOKUP(Table8[[#This Row],[Mã khách hàng]],code_khach_hang[],3,0)</f>
        <v>Miền Bắc đặc biệt 1</v>
      </c>
      <c r="H2559" t="str">
        <f>VLOOKUP(Table8[[#This Row],[Mã khách hàng]],'Khách hàng'!A:D,4,0)</f>
        <v>Food Đức Việt</v>
      </c>
      <c r="I2559" t="str">
        <f>VLOOKUP(Table8[[#This Row],[Mã khách hàng]],'Khách hàng'!A:E,5,0)</f>
        <v>HN0040</v>
      </c>
    </row>
    <row r="2560" spans="1:9">
      <c r="A2560" s="14" t="s">
        <v>2739</v>
      </c>
      <c r="B2560" s="15" t="s">
        <v>5</v>
      </c>
      <c r="C2560" s="10" t="s">
        <v>2740</v>
      </c>
      <c r="D2560" s="16" t="s">
        <v>8111</v>
      </c>
      <c r="E2560" s="15" t="s">
        <v>11215</v>
      </c>
      <c r="F2560" s="16" t="str">
        <f>VLOOKUP(Table8[[#This Row],[Mã khách hàng]],code_khach_hang[],2,0)</f>
        <v>CHI NHÁNH HÀ NỘI - CÔNG TY CỔ PHẦN DỊCH VỤ THƯƠNG MẠI TỔNG HỢP WINCOMMERCE</v>
      </c>
      <c r="G2560" s="16" t="str">
        <f>VLOOKUP(Table8[[#This Row],[Mã khách hàng]],code_khach_hang[],3,0)</f>
        <v>Miền Bắc đặc biệt 1</v>
      </c>
      <c r="H2560" t="str">
        <f>VLOOKUP(Table8[[#This Row],[Mã khách hàng]],'Khách hàng'!A:D,4,0)</f>
        <v>Food Đức Việt</v>
      </c>
      <c r="I2560" t="str">
        <f>VLOOKUP(Table8[[#This Row],[Mã khách hàng]],'Khách hàng'!A:E,5,0)</f>
        <v>HN0040</v>
      </c>
    </row>
    <row r="2561" spans="1:9">
      <c r="A2561" s="14" t="s">
        <v>2765</v>
      </c>
      <c r="B2561" s="15" t="s">
        <v>5</v>
      </c>
      <c r="C2561" s="10" t="s">
        <v>2766</v>
      </c>
      <c r="D2561" s="16" t="s">
        <v>8114</v>
      </c>
      <c r="E2561" s="15" t="s">
        <v>11203</v>
      </c>
      <c r="F2561" s="16" t="str">
        <f>VLOOKUP(Table8[[#This Row],[Mã khách hàng]],code_khach_hang[],2,0)</f>
        <v>CHI NHÁNH THANH HÓA - CÔNG TY CỔ PHẦN DỊCH VỤ THƯƠNG MẠI TỔNG HỢP WINCOMMERCE</v>
      </c>
      <c r="G2561" s="16" t="str">
        <f>VLOOKUP(Table8[[#This Row],[Mã khách hàng]],code_khach_hang[],3,0)</f>
        <v>Miền Trung đặc biệt 1</v>
      </c>
      <c r="H2561" t="str">
        <f>VLOOKUP(Table8[[#This Row],[Mã khách hàng]],'Khách hàng'!A:D,4,0)</f>
        <v>Food Đức Việt</v>
      </c>
      <c r="I2561" t="str">
        <f>VLOOKUP(Table8[[#This Row],[Mã khách hàng]],'Khách hàng'!A:E,5,0)</f>
        <v>HN0040</v>
      </c>
    </row>
    <row r="2562" spans="1:9">
      <c r="A2562" s="14" t="s">
        <v>2893</v>
      </c>
      <c r="B2562" s="15" t="s">
        <v>5</v>
      </c>
      <c r="C2562" s="10" t="s">
        <v>2894</v>
      </c>
      <c r="D2562" s="16" t="s">
        <v>8117</v>
      </c>
      <c r="E2562" s="15" t="s">
        <v>11215</v>
      </c>
      <c r="F2562" s="16" t="str">
        <f>VLOOKUP(Table8[[#This Row],[Mã khách hàng]],code_khach_hang[],2,0)</f>
        <v>CHI NHÁNH HÀ NỘI - CÔNG TY CỔ PHẦN DỊCH VỤ THƯƠNG MẠI TỔNG HỢP WINCOMMERCE</v>
      </c>
      <c r="G2562" s="16" t="str">
        <f>VLOOKUP(Table8[[#This Row],[Mã khách hàng]],code_khach_hang[],3,0)</f>
        <v>Miền Bắc đặc biệt 1</v>
      </c>
      <c r="H2562" t="str">
        <f>VLOOKUP(Table8[[#This Row],[Mã khách hàng]],'Khách hàng'!A:D,4,0)</f>
        <v>Food Đức Việt</v>
      </c>
      <c r="I2562" t="str">
        <f>VLOOKUP(Table8[[#This Row],[Mã khách hàng]],'Khách hàng'!A:E,5,0)</f>
        <v>HN0040</v>
      </c>
    </row>
    <row r="2563" spans="1:9">
      <c r="A2563" s="14" t="s">
        <v>2902</v>
      </c>
      <c r="B2563" s="15" t="s">
        <v>5</v>
      </c>
      <c r="C2563" s="10" t="s">
        <v>2903</v>
      </c>
      <c r="D2563" s="16" t="s">
        <v>8120</v>
      </c>
      <c r="E2563" s="15" t="s">
        <v>11211</v>
      </c>
      <c r="F2563" s="16" t="str">
        <f>VLOOKUP(Table8[[#This Row],[Mã khách hàng]],code_khach_hang[],2,0)</f>
        <v>CHI NHÁNH NGHỆ AN - CÔNG TY CỔ PHẦN DỊCH VỤ THƯƠNG MẠI TỔNG HỢP WINCOMMERCE</v>
      </c>
      <c r="G2563" s="16" t="str">
        <f>VLOOKUP(Table8[[#This Row],[Mã khách hàng]],code_khach_hang[],3,0)</f>
        <v>Miền Trung đặc biệt 1</v>
      </c>
      <c r="H2563" t="str">
        <f>VLOOKUP(Table8[[#This Row],[Mã khách hàng]],'Khách hàng'!A:D,4,0)</f>
        <v>Food Đức Việt</v>
      </c>
      <c r="I2563" t="str">
        <f>VLOOKUP(Table8[[#This Row],[Mã khách hàng]],'Khách hàng'!A:E,5,0)</f>
        <v>HN0040</v>
      </c>
    </row>
    <row r="2564" spans="1:9">
      <c r="A2564" s="14" t="s">
        <v>2777</v>
      </c>
      <c r="B2564" s="15" t="s">
        <v>5</v>
      </c>
      <c r="C2564" s="10" t="s">
        <v>2778</v>
      </c>
      <c r="D2564" s="16" t="s">
        <v>8123</v>
      </c>
      <c r="E2564" s="15" t="s">
        <v>11203</v>
      </c>
      <c r="F2564" s="16" t="str">
        <f>VLOOKUP(Table8[[#This Row],[Mã khách hàng]],code_khach_hang[],2,0)</f>
        <v>CHI NHÁNH THANH HÓA - CÔNG TY CỔ PHẦN DỊCH VỤ THƯƠNG MẠI TỔNG HỢP WINCOMMERCE</v>
      </c>
      <c r="G2564" s="16" t="str">
        <f>VLOOKUP(Table8[[#This Row],[Mã khách hàng]],code_khach_hang[],3,0)</f>
        <v>Miền Trung đặc biệt 1</v>
      </c>
      <c r="H2564" t="str">
        <f>VLOOKUP(Table8[[#This Row],[Mã khách hàng]],'Khách hàng'!A:D,4,0)</f>
        <v>Food Đức Việt</v>
      </c>
      <c r="I2564" t="str">
        <f>VLOOKUP(Table8[[#This Row],[Mã khách hàng]],'Khách hàng'!A:E,5,0)</f>
        <v>HN0040</v>
      </c>
    </row>
    <row r="2565" spans="1:9">
      <c r="A2565" s="14" t="s">
        <v>2905</v>
      </c>
      <c r="B2565" s="15" t="s">
        <v>5</v>
      </c>
      <c r="C2565" s="10" t="s">
        <v>2906</v>
      </c>
      <c r="D2565" s="16" t="s">
        <v>8126</v>
      </c>
      <c r="E2565" s="15" t="s">
        <v>11215</v>
      </c>
      <c r="F2565" s="16" t="str">
        <f>VLOOKUP(Table8[[#This Row],[Mã khách hàng]],code_khach_hang[],2,0)</f>
        <v>CHI NHÁNH HÀ NỘI - CÔNG TY CỔ PHẦN DỊCH VỤ THƯƠNG MẠI TỔNG HỢP WINCOMMERCE</v>
      </c>
      <c r="G2565" s="16" t="str">
        <f>VLOOKUP(Table8[[#This Row],[Mã khách hàng]],code_khach_hang[],3,0)</f>
        <v>Miền Bắc đặc biệt 1</v>
      </c>
      <c r="H2565" t="str">
        <f>VLOOKUP(Table8[[#This Row],[Mã khách hàng]],'Khách hàng'!A:D,4,0)</f>
        <v>Food Đức Việt</v>
      </c>
      <c r="I2565" t="str">
        <f>VLOOKUP(Table8[[#This Row],[Mã khách hàng]],'Khách hàng'!A:E,5,0)</f>
        <v>HN0040</v>
      </c>
    </row>
    <row r="2566" spans="1:9">
      <c r="A2566" s="14" t="s">
        <v>2786</v>
      </c>
      <c r="B2566" s="15" t="s">
        <v>5</v>
      </c>
      <c r="C2566" s="10" t="s">
        <v>2787</v>
      </c>
      <c r="D2566" s="16" t="s">
        <v>8129</v>
      </c>
      <c r="E2566" s="15" t="s">
        <v>11215</v>
      </c>
      <c r="F2566" s="16" t="str">
        <f>VLOOKUP(Table8[[#This Row],[Mã khách hàng]],code_khach_hang[],2,0)</f>
        <v>CHI NHÁNH HÀ NỘI - CÔNG TY CỔ PHẦN DỊCH VỤ THƯƠNG MẠI TỔNG HỢP WINCOMMERCE</v>
      </c>
      <c r="G2566" s="16" t="str">
        <f>VLOOKUP(Table8[[#This Row],[Mã khách hàng]],code_khach_hang[],3,0)</f>
        <v>Miền Bắc đặc biệt 1</v>
      </c>
      <c r="H2566" t="str">
        <f>VLOOKUP(Table8[[#This Row],[Mã khách hàng]],'Khách hàng'!A:D,4,0)</f>
        <v>Food Đức Việt</v>
      </c>
      <c r="I2566" t="str">
        <f>VLOOKUP(Table8[[#This Row],[Mã khách hàng]],'Khách hàng'!A:E,5,0)</f>
        <v>HN0040</v>
      </c>
    </row>
    <row r="2567" spans="1:9">
      <c r="A2567" s="14" t="s">
        <v>2914</v>
      </c>
      <c r="B2567" s="15" t="s">
        <v>5</v>
      </c>
      <c r="C2567" s="10" t="s">
        <v>2915</v>
      </c>
      <c r="D2567" s="16" t="s">
        <v>8132</v>
      </c>
      <c r="E2567" s="15" t="s">
        <v>11203</v>
      </c>
      <c r="F2567" s="16" t="str">
        <f>VLOOKUP(Table8[[#This Row],[Mã khách hàng]],code_khach_hang[],2,0)</f>
        <v>CHI NHÁNH THANH HÓA - CÔNG TY CỔ PHẦN DỊCH VỤ THƯƠNG MẠI TỔNG HỢP WINCOMMERCE</v>
      </c>
      <c r="G2567" s="16" t="str">
        <f>VLOOKUP(Table8[[#This Row],[Mã khách hàng]],code_khach_hang[],3,0)</f>
        <v>Miền Trung đặc biệt 1</v>
      </c>
      <c r="H2567" t="str">
        <f>VLOOKUP(Table8[[#This Row],[Mã khách hàng]],'Khách hàng'!A:D,4,0)</f>
        <v>Food Đức Việt</v>
      </c>
      <c r="I2567" t="str">
        <f>VLOOKUP(Table8[[#This Row],[Mã khách hàng]],'Khách hàng'!A:E,5,0)</f>
        <v>HN0040</v>
      </c>
    </row>
    <row r="2568" spans="1:9">
      <c r="A2568" s="14" t="s">
        <v>9263</v>
      </c>
      <c r="B2568" s="15" t="s">
        <v>5</v>
      </c>
      <c r="C2568" s="10" t="s">
        <v>9264</v>
      </c>
      <c r="D2568" s="16" t="s">
        <v>8135</v>
      </c>
      <c r="E2568" s="15" t="s">
        <v>11203</v>
      </c>
      <c r="F2568" s="16" t="str">
        <f>VLOOKUP(Table8[[#This Row],[Mã khách hàng]],code_khach_hang[],2,0)</f>
        <v>CHI NHÁNH THANH HÓA - CÔNG TY CỔ PHẦN DỊCH VỤ THƯƠNG MẠI TỔNG HỢP WINCOMMERCE</v>
      </c>
      <c r="G2568" s="16" t="str">
        <f>VLOOKUP(Table8[[#This Row],[Mã khách hàng]],code_khach_hang[],3,0)</f>
        <v>Miền Trung đặc biệt 1</v>
      </c>
      <c r="H2568" t="str">
        <f>VLOOKUP(Table8[[#This Row],[Mã khách hàng]],'Khách hàng'!A:D,4,0)</f>
        <v>Food Đức Việt</v>
      </c>
      <c r="I2568" t="str">
        <f>VLOOKUP(Table8[[#This Row],[Mã khách hàng]],'Khách hàng'!A:E,5,0)</f>
        <v>HN0040</v>
      </c>
    </row>
    <row r="2569" spans="1:9">
      <c r="A2569" s="14" t="s">
        <v>2917</v>
      </c>
      <c r="B2569" s="15" t="s">
        <v>5</v>
      </c>
      <c r="C2569" s="10" t="s">
        <v>2918</v>
      </c>
      <c r="D2569" s="16" t="s">
        <v>8138</v>
      </c>
      <c r="E2569" s="15" t="s">
        <v>11201</v>
      </c>
      <c r="F2569" s="16" t="str">
        <f>VLOOKUP(Table8[[#This Row],[Mã khách hàng]],code_khach_hang[],2,0)</f>
        <v>CHI NHÁNH HẢI DƯƠNG - CÔNG TY CỔ PHẦN DỊCH VỤ THƯƠNG MẠI TỔNG HỢP WINCOMMERCE</v>
      </c>
      <c r="G2569" s="16" t="str">
        <f>VLOOKUP(Table8[[#This Row],[Mã khách hàng]],code_khach_hang[],3,0)</f>
        <v>Miền Bắc đặc biệt 3</v>
      </c>
      <c r="H2569" t="str">
        <f>VLOOKUP(Table8[[#This Row],[Mã khách hàng]],'Khách hàng'!A:D,4,0)</f>
        <v>Food Đức Việt</v>
      </c>
      <c r="I2569" t="str">
        <f>VLOOKUP(Table8[[#This Row],[Mã khách hàng]],'Khách hàng'!A:E,5,0)</f>
        <v>HN0040</v>
      </c>
    </row>
    <row r="2570" spans="1:9">
      <c r="A2570" s="14" t="s">
        <v>2931</v>
      </c>
      <c r="B2570" s="15" t="s">
        <v>5</v>
      </c>
      <c r="C2570" s="10" t="s">
        <v>2932</v>
      </c>
      <c r="D2570" s="16" t="s">
        <v>8141</v>
      </c>
      <c r="E2570" s="15" t="s">
        <v>11211</v>
      </c>
      <c r="F2570" s="16" t="str">
        <f>VLOOKUP(Table8[[#This Row],[Mã khách hàng]],code_khach_hang[],2,0)</f>
        <v>CHI NHÁNH NGHỆ AN - CÔNG TY CỔ PHẦN DỊCH VỤ THƯƠNG MẠI TỔNG HỢP WINCOMMERCE</v>
      </c>
      <c r="G2570" s="16" t="str">
        <f>VLOOKUP(Table8[[#This Row],[Mã khách hàng]],code_khach_hang[],3,0)</f>
        <v>Miền Trung đặc biệt 1</v>
      </c>
      <c r="H2570" t="str">
        <f>VLOOKUP(Table8[[#This Row],[Mã khách hàng]],'Khách hàng'!A:D,4,0)</f>
        <v>Food Đức Việt</v>
      </c>
      <c r="I2570" t="str">
        <f>VLOOKUP(Table8[[#This Row],[Mã khách hàng]],'Khách hàng'!A:E,5,0)</f>
        <v>HN0040</v>
      </c>
    </row>
    <row r="2571" spans="1:9">
      <c r="A2571" s="14" t="s">
        <v>2837</v>
      </c>
      <c r="B2571" s="15" t="s">
        <v>5</v>
      </c>
      <c r="C2571" s="10" t="s">
        <v>2838</v>
      </c>
      <c r="D2571" s="16" t="s">
        <v>8144</v>
      </c>
      <c r="E2571" s="15" t="s">
        <v>11198</v>
      </c>
      <c r="F2571" s="16" t="str">
        <f>VLOOKUP(Table8[[#This Row],[Mã khách hàng]],code_khach_hang[],2,0)</f>
        <v>CHI NHÁNH HẢI PHÒNG - CÔNG TY CỔ PHẦN DỊCH VỤ THƯƠNG MẠI TỔNG HỢP WINCOMMERCE</v>
      </c>
      <c r="G2571" s="16" t="str">
        <f>VLOOKUP(Table8[[#This Row],[Mã khách hàng]],code_khach_hang[],3,0)</f>
        <v>Miền Bắc đặc biệt 3</v>
      </c>
      <c r="H2571" t="str">
        <f>VLOOKUP(Table8[[#This Row],[Mã khách hàng]],'Khách hàng'!A:D,4,0)</f>
        <v>Food Đức Việt</v>
      </c>
      <c r="I2571" t="str">
        <f>VLOOKUP(Table8[[#This Row],[Mã khách hàng]],'Khách hàng'!A:E,5,0)</f>
        <v>HN0040</v>
      </c>
    </row>
    <row r="2572" spans="1:9">
      <c r="A2572" s="14" t="s">
        <v>2958</v>
      </c>
      <c r="B2572" s="15" t="s">
        <v>5</v>
      </c>
      <c r="C2572" s="10" t="s">
        <v>2959</v>
      </c>
      <c r="D2572" s="16" t="s">
        <v>8147</v>
      </c>
      <c r="E2572" s="15" t="s">
        <v>11215</v>
      </c>
      <c r="F2572" s="16" t="str">
        <f>VLOOKUP(Table8[[#This Row],[Mã khách hàng]],code_khach_hang[],2,0)</f>
        <v>CHI NHÁNH HÀ NỘI - CÔNG TY CỔ PHẦN DỊCH VỤ THƯƠNG MẠI TỔNG HỢP WINCOMMERCE</v>
      </c>
      <c r="G2572" s="16" t="str">
        <f>VLOOKUP(Table8[[#This Row],[Mã khách hàng]],code_khach_hang[],3,0)</f>
        <v>Miền Bắc đặc biệt 1</v>
      </c>
      <c r="H2572" t="str">
        <f>VLOOKUP(Table8[[#This Row],[Mã khách hàng]],'Khách hàng'!A:D,4,0)</f>
        <v>Food Đức Việt</v>
      </c>
      <c r="I2572" t="str">
        <f>VLOOKUP(Table8[[#This Row],[Mã khách hàng]],'Khách hàng'!A:E,5,0)</f>
        <v>HN0040</v>
      </c>
    </row>
    <row r="2573" spans="1:9">
      <c r="A2573" s="14" t="s">
        <v>2774</v>
      </c>
      <c r="B2573" s="15" t="s">
        <v>5</v>
      </c>
      <c r="C2573" s="10" t="s">
        <v>2775</v>
      </c>
      <c r="D2573" s="16" t="s">
        <v>8150</v>
      </c>
      <c r="E2573" s="15" t="s">
        <v>11205</v>
      </c>
      <c r="F2573" s="16" t="str">
        <f>VLOOKUP(Table8[[#This Row],[Mã khách hàng]],code_khach_hang[],2,0)</f>
        <v>CHI NHÁNH HÀ TĨNH - CÔNG TY CỔ PHẦN DỊCH VỤ THƯƠNG MẠI TỔNG HỢP WINCOMMERCE</v>
      </c>
      <c r="G2573" s="16" t="str">
        <f>VLOOKUP(Table8[[#This Row],[Mã khách hàng]],code_khach_hang[],3,0)</f>
        <v>Miền Trung đặc biệt 1</v>
      </c>
      <c r="H2573" t="str">
        <f>VLOOKUP(Table8[[#This Row],[Mã khách hàng]],'Khách hàng'!A:D,4,0)</f>
        <v>Food Đức Việt</v>
      </c>
      <c r="I2573" t="str">
        <f>VLOOKUP(Table8[[#This Row],[Mã khách hàng]],'Khách hàng'!A:E,5,0)</f>
        <v>HN0040</v>
      </c>
    </row>
    <row r="2574" spans="1:9">
      <c r="A2574" s="14" t="s">
        <v>2860</v>
      </c>
      <c r="B2574" s="15" t="s">
        <v>5</v>
      </c>
      <c r="C2574" s="10" t="s">
        <v>2861</v>
      </c>
      <c r="D2574" s="16" t="s">
        <v>8153</v>
      </c>
      <c r="E2574" s="15" t="s">
        <v>11216</v>
      </c>
      <c r="F2574" s="16" t="str">
        <f>VLOOKUP(Table8[[#This Row],[Mã khách hàng]],code_khach_hang[],2,0)</f>
        <v>CHI NHÁNH HƯNG YÊN - CÔNG TY CỔ PHẦN DỊCH VỤ THƯƠNG MẠI TỔNG HỢP WINCOMMERCE</v>
      </c>
      <c r="G2574" s="16" t="str">
        <f>VLOOKUP(Table8[[#This Row],[Mã khách hàng]],code_khach_hang[],3,0)</f>
        <v>Miền Bắc đặc biệt 1</v>
      </c>
      <c r="H2574" t="str">
        <f>VLOOKUP(Table8[[#This Row],[Mã khách hàng]],'Khách hàng'!A:D,4,0)</f>
        <v>Food Đức Việt</v>
      </c>
      <c r="I2574" t="str">
        <f>VLOOKUP(Table8[[#This Row],[Mã khách hàng]],'Khách hàng'!A:E,5,0)</f>
        <v>HN0040</v>
      </c>
    </row>
    <row r="2575" spans="1:9">
      <c r="A2575" s="14" t="s">
        <v>2834</v>
      </c>
      <c r="B2575" s="15" t="s">
        <v>5</v>
      </c>
      <c r="C2575" s="10" t="s">
        <v>2835</v>
      </c>
      <c r="D2575" s="16" t="s">
        <v>8156</v>
      </c>
      <c r="E2575" s="15" t="s">
        <v>11200</v>
      </c>
      <c r="F2575" s="16" t="str">
        <f>VLOOKUP(Table8[[#This Row],[Mã khách hàng]],code_khach_hang[],2,0)</f>
        <v>CHI NHÁNH THÁI BÌNH - CÔNG TY CỔ PHẦN DỊCH VỤ THƯƠNG MẠI TỔNG HỢP WINCOMMERCE</v>
      </c>
      <c r="G2575" s="16" t="str">
        <f>VLOOKUP(Table8[[#This Row],[Mã khách hàng]],code_khach_hang[],3,0)</f>
        <v>Miền Bắc đặc biệt 3</v>
      </c>
      <c r="H2575" t="str">
        <f>VLOOKUP(Table8[[#This Row],[Mã khách hàng]],'Khách hàng'!A:D,4,0)</f>
        <v>Food Đức Việt</v>
      </c>
      <c r="I2575" t="str">
        <f>VLOOKUP(Table8[[#This Row],[Mã khách hàng]],'Khách hàng'!A:E,5,0)</f>
        <v>HN0040</v>
      </c>
    </row>
    <row r="2576" spans="1:9">
      <c r="A2576" s="14" t="s">
        <v>2884</v>
      </c>
      <c r="B2576" s="15" t="s">
        <v>5</v>
      </c>
      <c r="C2576" s="10" t="s">
        <v>2885</v>
      </c>
      <c r="D2576" s="16" t="s">
        <v>8159</v>
      </c>
      <c r="E2576" s="15" t="s">
        <v>11219</v>
      </c>
      <c r="F2576" s="16" t="str">
        <f>VLOOKUP(Table8[[#This Row],[Mã khách hàng]],code_khach_hang[],2,0)</f>
        <v>CHI NHÁNH NAM ĐỊNH - CÔNG TY CỔ PHẦN DỊCH VỤ THƯƠNG MẠI TỔNG HỢP WINCOMMERCE</v>
      </c>
      <c r="G2576" s="16" t="str">
        <f>VLOOKUP(Table8[[#This Row],[Mã khách hàng]],code_khach_hang[],3,0)</f>
        <v>Miền Bắc đặc biệt 3</v>
      </c>
      <c r="H2576" t="str">
        <f>VLOOKUP(Table8[[#This Row],[Mã khách hàng]],'Khách hàng'!A:D,4,0)</f>
        <v>Food Đức Việt</v>
      </c>
      <c r="I2576" t="str">
        <f>VLOOKUP(Table8[[#This Row],[Mã khách hàng]],'Khách hàng'!A:E,5,0)</f>
        <v>HN0040</v>
      </c>
    </row>
    <row r="2577" spans="1:9">
      <c r="A2577" s="14" t="s">
        <v>2920</v>
      </c>
      <c r="B2577" s="15" t="s">
        <v>5</v>
      </c>
      <c r="C2577" s="10" t="s">
        <v>2921</v>
      </c>
      <c r="D2577" s="16" t="s">
        <v>8162</v>
      </c>
      <c r="E2577" s="15" t="s">
        <v>11201</v>
      </c>
      <c r="F2577" s="16" t="str">
        <f>VLOOKUP(Table8[[#This Row],[Mã khách hàng]],code_khach_hang[],2,0)</f>
        <v>CHI NHÁNH HẢI DƯƠNG - CÔNG TY CỔ PHẦN DỊCH VỤ THƯƠNG MẠI TỔNG HỢP WINCOMMERCE</v>
      </c>
      <c r="G2577" s="16" t="str">
        <f>VLOOKUP(Table8[[#This Row],[Mã khách hàng]],code_khach_hang[],3,0)</f>
        <v>Miền Bắc đặc biệt 3</v>
      </c>
      <c r="H2577" t="str">
        <f>VLOOKUP(Table8[[#This Row],[Mã khách hàng]],'Khách hàng'!A:D,4,0)</f>
        <v>Food Đức Việt</v>
      </c>
      <c r="I2577" t="str">
        <f>VLOOKUP(Table8[[#This Row],[Mã khách hàng]],'Khách hàng'!A:E,5,0)</f>
        <v>HN0040</v>
      </c>
    </row>
    <row r="2578" spans="1:9">
      <c r="A2578" s="14" t="s">
        <v>2926</v>
      </c>
      <c r="B2578" s="15" t="s">
        <v>5</v>
      </c>
      <c r="C2578" s="10" t="s">
        <v>13171</v>
      </c>
      <c r="D2578" s="16" t="s">
        <v>8165</v>
      </c>
      <c r="E2578" s="15" t="s">
        <v>11215</v>
      </c>
      <c r="F2578" s="16" t="str">
        <f>VLOOKUP(Table8[[#This Row],[Mã khách hàng]],code_khach_hang[],2,0)</f>
        <v>CHI NHÁNH HÀ NỘI - CÔNG TY CỔ PHẦN DỊCH VỤ THƯƠNG MẠI TỔNG HỢP WINCOMMERCE</v>
      </c>
      <c r="G2578" s="16" t="str">
        <f>VLOOKUP(Table8[[#This Row],[Mã khách hàng]],code_khach_hang[],3,0)</f>
        <v>Miền Bắc đặc biệt 1</v>
      </c>
      <c r="H2578" t="str">
        <f>VLOOKUP(Table8[[#This Row],[Mã khách hàng]],'Khách hàng'!A:D,4,0)</f>
        <v>Food Đức Việt</v>
      </c>
      <c r="I2578" t="str">
        <f>VLOOKUP(Table8[[#This Row],[Mã khách hàng]],'Khách hàng'!A:E,5,0)</f>
        <v>HN0040</v>
      </c>
    </row>
    <row r="2579" spans="1:9">
      <c r="A2579" s="14" t="s">
        <v>2742</v>
      </c>
      <c r="B2579" s="15" t="s">
        <v>5</v>
      </c>
      <c r="C2579" s="10" t="s">
        <v>2743</v>
      </c>
      <c r="D2579" s="16" t="s">
        <v>8168</v>
      </c>
      <c r="E2579" s="15" t="s">
        <v>11198</v>
      </c>
      <c r="F2579" s="16" t="str">
        <f>VLOOKUP(Table8[[#This Row],[Mã khách hàng]],code_khach_hang[],2,0)</f>
        <v>CHI NHÁNH HẢI PHÒNG - CÔNG TY CỔ PHẦN DỊCH VỤ THƯƠNG MẠI TỔNG HỢP WINCOMMERCE</v>
      </c>
      <c r="G2579" s="16" t="str">
        <f>VLOOKUP(Table8[[#This Row],[Mã khách hàng]],code_khach_hang[],3,0)</f>
        <v>Miền Bắc đặc biệt 3</v>
      </c>
      <c r="H2579" t="str">
        <f>VLOOKUP(Table8[[#This Row],[Mã khách hàng]],'Khách hàng'!A:D,4,0)</f>
        <v>Food Đức Việt</v>
      </c>
      <c r="I2579" t="str">
        <f>VLOOKUP(Table8[[#This Row],[Mã khách hàng]],'Khách hàng'!A:E,5,0)</f>
        <v>HN0040</v>
      </c>
    </row>
    <row r="2580" spans="1:9">
      <c r="A2580" s="14" t="s">
        <v>2899</v>
      </c>
      <c r="B2580" s="15" t="s">
        <v>5</v>
      </c>
      <c r="C2580" s="10" t="s">
        <v>2900</v>
      </c>
      <c r="D2580" s="16" t="s">
        <v>8171</v>
      </c>
      <c r="E2580" s="15" t="s">
        <v>11211</v>
      </c>
      <c r="F2580" s="16" t="str">
        <f>VLOOKUP(Table8[[#This Row],[Mã khách hàng]],code_khach_hang[],2,0)</f>
        <v>CHI NHÁNH NGHỆ AN - CÔNG TY CỔ PHẦN DỊCH VỤ THƯƠNG MẠI TỔNG HỢP WINCOMMERCE</v>
      </c>
      <c r="G2580" s="16" t="str">
        <f>VLOOKUP(Table8[[#This Row],[Mã khách hàng]],code_khach_hang[],3,0)</f>
        <v>Miền Trung đặc biệt 1</v>
      </c>
      <c r="H2580" t="str">
        <f>VLOOKUP(Table8[[#This Row],[Mã khách hàng]],'Khách hàng'!A:D,4,0)</f>
        <v>Food Đức Việt</v>
      </c>
      <c r="I2580" t="str">
        <f>VLOOKUP(Table8[[#This Row],[Mã khách hàng]],'Khách hàng'!A:E,5,0)</f>
        <v>HN0040</v>
      </c>
    </row>
    <row r="2581" spans="1:9">
      <c r="A2581" s="14" t="s">
        <v>2943</v>
      </c>
      <c r="B2581" s="15" t="s">
        <v>5</v>
      </c>
      <c r="C2581" s="10" t="s">
        <v>2944</v>
      </c>
      <c r="D2581" s="16" t="s">
        <v>8174</v>
      </c>
      <c r="E2581" s="15" t="s">
        <v>11215</v>
      </c>
      <c r="F2581" s="16" t="str">
        <f>VLOOKUP(Table8[[#This Row],[Mã khách hàng]],code_khach_hang[],2,0)</f>
        <v>CHI NHÁNH HÀ NỘI - CÔNG TY CỔ PHẦN DỊCH VỤ THƯƠNG MẠI TỔNG HỢP WINCOMMERCE</v>
      </c>
      <c r="G2581" s="16" t="str">
        <f>VLOOKUP(Table8[[#This Row],[Mã khách hàng]],code_khach_hang[],3,0)</f>
        <v>Miền Bắc đặc biệt 1</v>
      </c>
      <c r="H2581" t="str">
        <f>VLOOKUP(Table8[[#This Row],[Mã khách hàng]],'Khách hàng'!A:D,4,0)</f>
        <v>Food Đức Việt</v>
      </c>
      <c r="I2581" t="str">
        <f>VLOOKUP(Table8[[#This Row],[Mã khách hàng]],'Khách hàng'!A:E,5,0)</f>
        <v>HN0040</v>
      </c>
    </row>
    <row r="2582" spans="1:9">
      <c r="A2582" s="14" t="s">
        <v>2946</v>
      </c>
      <c r="B2582" s="15" t="s">
        <v>5</v>
      </c>
      <c r="C2582" s="10" t="s">
        <v>2947</v>
      </c>
      <c r="D2582" s="16" t="s">
        <v>8177</v>
      </c>
      <c r="E2582" s="15" t="s">
        <v>11199</v>
      </c>
      <c r="F2582" s="16" t="str">
        <f>VLOOKUP(Table8[[#This Row],[Mã khách hàng]],code_khach_hang[],2,0)</f>
        <v>CHI NHÁNH PHÚ THỌ - CÔNG TY CỔ PHẦN DỊCH VỤ THƯƠNG MẠI TỔNG HỢP WINCOMMERCE</v>
      </c>
      <c r="G2582" s="16" t="str">
        <f>VLOOKUP(Table8[[#This Row],[Mã khách hàng]],code_khach_hang[],3,0)</f>
        <v>Miền Bắc đặc biệt 1</v>
      </c>
      <c r="H2582" t="str">
        <f>VLOOKUP(Table8[[#This Row],[Mã khách hàng]],'Khách hàng'!A:D,4,0)</f>
        <v>Food Đức Việt</v>
      </c>
      <c r="I2582" t="str">
        <f>VLOOKUP(Table8[[#This Row],[Mã khách hàng]],'Khách hàng'!A:E,5,0)</f>
        <v>HN0040</v>
      </c>
    </row>
    <row r="2583" spans="1:9">
      <c r="A2583" s="14" t="s">
        <v>2955</v>
      </c>
      <c r="B2583" s="15" t="s">
        <v>5</v>
      </c>
      <c r="C2583" s="10" t="s">
        <v>2956</v>
      </c>
      <c r="D2583" s="16" t="s">
        <v>8180</v>
      </c>
      <c r="E2583" s="14" t="s">
        <v>11210</v>
      </c>
      <c r="F2583" s="16" t="str">
        <f>VLOOKUP(Table8[[#This Row],[Mã khách hàng]],code_khach_hang[],2,0)</f>
        <v>CHI NHÁNH HÀ NAM - CÔNG TY CỔ PHẦN DỊCH VỤ THƯƠNG MẠI TỔNG HỢP WINCOMMERCE</v>
      </c>
      <c r="G2583" s="16" t="str">
        <f>VLOOKUP(Table8[[#This Row],[Mã khách hàng]],code_khach_hang[],3,0)</f>
        <v>Miền Bắc đặc biệt 3</v>
      </c>
      <c r="H2583" t="str">
        <f>VLOOKUP(Table8[[#This Row],[Mã khách hàng]],'Khách hàng'!A:D,4,0)</f>
        <v>Food Đức Việt</v>
      </c>
      <c r="I2583" t="str">
        <f>VLOOKUP(Table8[[#This Row],[Mã khách hàng]],'Khách hàng'!A:E,5,0)</f>
        <v>HN0040</v>
      </c>
    </row>
    <row r="2584" spans="1:9">
      <c r="A2584" s="14" t="s">
        <v>2961</v>
      </c>
      <c r="B2584" s="15" t="s">
        <v>5</v>
      </c>
      <c r="C2584" s="10" t="s">
        <v>2962</v>
      </c>
      <c r="D2584" s="16" t="s">
        <v>8183</v>
      </c>
      <c r="E2584" s="15" t="s">
        <v>11215</v>
      </c>
      <c r="F2584" s="16" t="str">
        <f>VLOOKUP(Table8[[#This Row],[Mã khách hàng]],code_khach_hang[],2,0)</f>
        <v>CHI NHÁNH HÀ NỘI - CÔNG TY CỔ PHẦN DỊCH VỤ THƯƠNG MẠI TỔNG HỢP WINCOMMERCE</v>
      </c>
      <c r="G2584" s="16" t="str">
        <f>VLOOKUP(Table8[[#This Row],[Mã khách hàng]],code_khach_hang[],3,0)</f>
        <v>Miền Bắc đặc biệt 1</v>
      </c>
      <c r="H2584" t="str">
        <f>VLOOKUP(Table8[[#This Row],[Mã khách hàng]],'Khách hàng'!A:D,4,0)</f>
        <v>Food Đức Việt</v>
      </c>
      <c r="I2584" t="str">
        <f>VLOOKUP(Table8[[#This Row],[Mã khách hàng]],'Khách hàng'!A:E,5,0)</f>
        <v>HN0040</v>
      </c>
    </row>
    <row r="2585" spans="1:9">
      <c r="A2585" s="14" t="s">
        <v>2997</v>
      </c>
      <c r="B2585" s="15" t="s">
        <v>5</v>
      </c>
      <c r="C2585" s="10" t="s">
        <v>2998</v>
      </c>
      <c r="D2585" s="16" t="s">
        <v>8186</v>
      </c>
      <c r="E2585" s="15" t="s">
        <v>11198</v>
      </c>
      <c r="F2585" s="16" t="str">
        <f>VLOOKUP(Table8[[#This Row],[Mã khách hàng]],code_khach_hang[],2,0)</f>
        <v>CHI NHÁNH HẢI PHÒNG - CÔNG TY CỔ PHẦN DỊCH VỤ THƯƠNG MẠI TỔNG HỢP WINCOMMERCE</v>
      </c>
      <c r="G2585" s="16" t="str">
        <f>VLOOKUP(Table8[[#This Row],[Mã khách hàng]],code_khach_hang[],3,0)</f>
        <v>Miền Bắc đặc biệt 3</v>
      </c>
      <c r="H2585" t="str">
        <f>VLOOKUP(Table8[[#This Row],[Mã khách hàng]],'Khách hàng'!A:D,4,0)</f>
        <v>Food Đức Việt</v>
      </c>
      <c r="I2585" t="str">
        <f>VLOOKUP(Table8[[#This Row],[Mã khách hàng]],'Khách hàng'!A:E,5,0)</f>
        <v>HN0040</v>
      </c>
    </row>
    <row r="2586" spans="1:9">
      <c r="A2586" s="14" t="s">
        <v>2940</v>
      </c>
      <c r="B2586" s="15" t="s">
        <v>5</v>
      </c>
      <c r="C2586" s="10" t="s">
        <v>2941</v>
      </c>
      <c r="D2586" s="16" t="s">
        <v>8189</v>
      </c>
      <c r="E2586" s="15" t="s">
        <v>11215</v>
      </c>
      <c r="F2586" s="16" t="str">
        <f>VLOOKUP(Table8[[#This Row],[Mã khách hàng]],code_khach_hang[],2,0)</f>
        <v>CHI NHÁNH HÀ NỘI - CÔNG TY CỔ PHẦN DỊCH VỤ THƯƠNG MẠI TỔNG HỢP WINCOMMERCE</v>
      </c>
      <c r="G2586" s="16" t="str">
        <f>VLOOKUP(Table8[[#This Row],[Mã khách hàng]],code_khach_hang[],3,0)</f>
        <v>Miền Bắc đặc biệt 1</v>
      </c>
      <c r="H2586" t="str">
        <f>VLOOKUP(Table8[[#This Row],[Mã khách hàng]],'Khách hàng'!A:D,4,0)</f>
        <v>Food Đức Việt</v>
      </c>
      <c r="I2586" t="str">
        <f>VLOOKUP(Table8[[#This Row],[Mã khách hàng]],'Khách hàng'!A:E,5,0)</f>
        <v>HN0040</v>
      </c>
    </row>
    <row r="2587" spans="1:9">
      <c r="A2587" s="14" t="s">
        <v>2928</v>
      </c>
      <c r="B2587" s="15" t="s">
        <v>5</v>
      </c>
      <c r="C2587" s="10" t="s">
        <v>2929</v>
      </c>
      <c r="D2587" s="16" t="s">
        <v>8191</v>
      </c>
      <c r="E2587" s="15" t="s">
        <v>11201</v>
      </c>
      <c r="F2587" s="16" t="str">
        <f>VLOOKUP(Table8[[#This Row],[Mã khách hàng]],code_khach_hang[],2,0)</f>
        <v>CHI NHÁNH HẢI DƯƠNG - CÔNG TY CỔ PHẦN DỊCH VỤ THƯƠNG MẠI TỔNG HỢP WINCOMMERCE</v>
      </c>
      <c r="G2587" s="16" t="str">
        <f>VLOOKUP(Table8[[#This Row],[Mã khách hàng]],code_khach_hang[],3,0)</f>
        <v>Miền Bắc đặc biệt 3</v>
      </c>
      <c r="H2587" t="str">
        <f>VLOOKUP(Table8[[#This Row],[Mã khách hàng]],'Khách hàng'!A:D,4,0)</f>
        <v>Food Đức Việt</v>
      </c>
      <c r="I2587" t="str">
        <f>VLOOKUP(Table8[[#This Row],[Mã khách hàng]],'Khách hàng'!A:E,5,0)</f>
        <v>HN0040</v>
      </c>
    </row>
    <row r="2588" spans="1:9">
      <c r="A2588" s="14" t="s">
        <v>2982</v>
      </c>
      <c r="B2588" s="15" t="s">
        <v>5</v>
      </c>
      <c r="C2588" s="10" t="s">
        <v>2983</v>
      </c>
      <c r="D2588" s="16" t="s">
        <v>8194</v>
      </c>
      <c r="E2588" s="15" t="s">
        <v>11196</v>
      </c>
      <c r="F2588" s="16" t="str">
        <f>VLOOKUP(Table8[[#This Row],[Mã khách hàng]],code_khach_hang[],2,0)</f>
        <v>CHI NHÁNH NINH BÌNH - CÔNG TY CỔ PHẦN DỊCH VỤ THƯƠNG MẠI TỔNG HỢP WINCOMMERCE</v>
      </c>
      <c r="G2588" s="16" t="str">
        <f>VLOOKUP(Table8[[#This Row],[Mã khách hàng]],code_khach_hang[],3,0)</f>
        <v>Miền Bắc đặc biệt 3</v>
      </c>
      <c r="H2588" t="str">
        <f>VLOOKUP(Table8[[#This Row],[Mã khách hàng]],'Khách hàng'!A:D,4,0)</f>
        <v>Food Đức Việt</v>
      </c>
      <c r="I2588" t="str">
        <f>VLOOKUP(Table8[[#This Row],[Mã khách hàng]],'Khách hàng'!A:E,5,0)</f>
        <v>HN0040</v>
      </c>
    </row>
    <row r="2589" spans="1:9">
      <c r="A2589" s="14" t="s">
        <v>1585</v>
      </c>
      <c r="B2589" s="15" t="s">
        <v>5</v>
      </c>
      <c r="C2589" s="10" t="s">
        <v>1586</v>
      </c>
      <c r="D2589" s="16" t="s">
        <v>8197</v>
      </c>
      <c r="E2589" s="15" t="s">
        <v>11200</v>
      </c>
      <c r="F2589" s="16" t="str">
        <f>VLOOKUP(Table8[[#This Row],[Mã khách hàng]],code_khach_hang[],2,0)</f>
        <v>CHI NHÁNH THÁI BÌNH - CÔNG TY CỔ PHẦN DỊCH VỤ THƯƠNG MẠI TỔNG HỢP WINCOMMERCE</v>
      </c>
      <c r="G2589" s="16" t="str">
        <f>VLOOKUP(Table8[[#This Row],[Mã khách hàng]],code_khach_hang[],3,0)</f>
        <v>Miền Bắc đặc biệt 3</v>
      </c>
      <c r="H2589" t="str">
        <f>VLOOKUP(Table8[[#This Row],[Mã khách hàng]],'Khách hàng'!A:D,4,0)</f>
        <v>Food Đức Việt</v>
      </c>
      <c r="I2589" t="str">
        <f>VLOOKUP(Table8[[#This Row],[Mã khách hàng]],'Khách hàng'!A:E,5,0)</f>
        <v>HN0040</v>
      </c>
    </row>
    <row r="2590" spans="1:9">
      <c r="A2590" s="14" t="s">
        <v>2911</v>
      </c>
      <c r="B2590" s="15" t="s">
        <v>5</v>
      </c>
      <c r="C2590" s="10" t="s">
        <v>2912</v>
      </c>
      <c r="D2590" s="16" t="s">
        <v>8200</v>
      </c>
      <c r="E2590" s="15" t="s">
        <v>11215</v>
      </c>
      <c r="F2590" s="16" t="str">
        <f>VLOOKUP(Table8[[#This Row],[Mã khách hàng]],code_khach_hang[],2,0)</f>
        <v>CHI NHÁNH HÀ NỘI - CÔNG TY CỔ PHẦN DỊCH VỤ THƯƠNG MẠI TỔNG HỢP WINCOMMERCE</v>
      </c>
      <c r="G2590" s="16" t="str">
        <f>VLOOKUP(Table8[[#This Row],[Mã khách hàng]],code_khach_hang[],3,0)</f>
        <v>Miền Bắc đặc biệt 1</v>
      </c>
      <c r="H2590" t="str">
        <f>VLOOKUP(Table8[[#This Row],[Mã khách hàng]],'Khách hàng'!A:D,4,0)</f>
        <v>Food Đức Việt</v>
      </c>
      <c r="I2590" t="str">
        <f>VLOOKUP(Table8[[#This Row],[Mã khách hàng]],'Khách hàng'!A:E,5,0)</f>
        <v>HN0040</v>
      </c>
    </row>
    <row r="2591" spans="1:9">
      <c r="A2591" s="14" t="s">
        <v>2923</v>
      </c>
      <c r="B2591" s="15" t="s">
        <v>5</v>
      </c>
      <c r="C2591" s="10" t="s">
        <v>2924</v>
      </c>
      <c r="D2591" s="16" t="s">
        <v>8203</v>
      </c>
      <c r="E2591" s="15" t="s">
        <v>11194</v>
      </c>
      <c r="F2591" s="16" t="str">
        <f>VLOOKUP(Table8[[#This Row],[Mã khách hàng]],code_khach_hang[],2,0)</f>
        <v>CHI NHÁNH VĨNH PHÚC - CÔNG TY CỔ PHẦN DỊCH VỤ THƯƠNG MẠI TỔNG HỢP WINCOMMERCE</v>
      </c>
      <c r="G2591" s="16" t="str">
        <f>VLOOKUP(Table8[[#This Row],[Mã khách hàng]],code_khach_hang[],3,0)</f>
        <v>Miền Bắc đặc biệt 2</v>
      </c>
      <c r="H2591" t="str">
        <f>VLOOKUP(Table8[[#This Row],[Mã khách hàng]],'Khách hàng'!A:D,4,0)</f>
        <v>Food Đức Việt</v>
      </c>
      <c r="I2591" t="str">
        <f>VLOOKUP(Table8[[#This Row],[Mã khách hàng]],'Khách hàng'!A:E,5,0)</f>
        <v>HN0040</v>
      </c>
    </row>
    <row r="2592" spans="1:9">
      <c r="A2592" s="14" t="s">
        <v>2934</v>
      </c>
      <c r="B2592" s="15" t="s">
        <v>5</v>
      </c>
      <c r="C2592" s="10" t="s">
        <v>2935</v>
      </c>
      <c r="D2592" s="16" t="s">
        <v>8206</v>
      </c>
      <c r="E2592" s="15" t="s">
        <v>11203</v>
      </c>
      <c r="F2592" s="16" t="str">
        <f>VLOOKUP(Table8[[#This Row],[Mã khách hàng]],code_khach_hang[],2,0)</f>
        <v>CHI NHÁNH THANH HÓA - CÔNG TY CỔ PHẦN DỊCH VỤ THƯƠNG MẠI TỔNG HỢP WINCOMMERCE</v>
      </c>
      <c r="G2592" s="16" t="str">
        <f>VLOOKUP(Table8[[#This Row],[Mã khách hàng]],code_khach_hang[],3,0)</f>
        <v>Miền Trung đặc biệt 1</v>
      </c>
      <c r="H2592" t="str">
        <f>VLOOKUP(Table8[[#This Row],[Mã khách hàng]],'Khách hàng'!A:D,4,0)</f>
        <v>Food Đức Việt</v>
      </c>
      <c r="I2592" t="str">
        <f>VLOOKUP(Table8[[#This Row],[Mã khách hàng]],'Khách hàng'!A:E,5,0)</f>
        <v>HN0040</v>
      </c>
    </row>
    <row r="2593" spans="1:9">
      <c r="A2593" s="14" t="s">
        <v>2949</v>
      </c>
      <c r="B2593" s="15" t="s">
        <v>5</v>
      </c>
      <c r="C2593" s="10" t="s">
        <v>2950</v>
      </c>
      <c r="D2593" s="16" t="s">
        <v>8209</v>
      </c>
      <c r="E2593" s="15" t="s">
        <v>11201</v>
      </c>
      <c r="F2593" s="16" t="str">
        <f>VLOOKUP(Table8[[#This Row],[Mã khách hàng]],code_khach_hang[],2,0)</f>
        <v>CHI NHÁNH HẢI DƯƠNG - CÔNG TY CỔ PHẦN DỊCH VỤ THƯƠNG MẠI TỔNG HỢP WINCOMMERCE</v>
      </c>
      <c r="G2593" s="16" t="str">
        <f>VLOOKUP(Table8[[#This Row],[Mã khách hàng]],code_khach_hang[],3,0)</f>
        <v>Miền Bắc đặc biệt 3</v>
      </c>
      <c r="H2593" t="str">
        <f>VLOOKUP(Table8[[#This Row],[Mã khách hàng]],'Khách hàng'!A:D,4,0)</f>
        <v>Food Đức Việt</v>
      </c>
      <c r="I2593" t="str">
        <f>VLOOKUP(Table8[[#This Row],[Mã khách hàng]],'Khách hàng'!A:E,5,0)</f>
        <v>HN0040</v>
      </c>
    </row>
    <row r="2594" spans="1:9">
      <c r="A2594" s="14" t="s">
        <v>2964</v>
      </c>
      <c r="B2594" s="15" t="s">
        <v>5</v>
      </c>
      <c r="C2594" s="10" t="s">
        <v>2965</v>
      </c>
      <c r="D2594" s="16" t="s">
        <v>8212</v>
      </c>
      <c r="E2594" s="15" t="s">
        <v>11211</v>
      </c>
      <c r="F2594" s="16" t="str">
        <f>VLOOKUP(Table8[[#This Row],[Mã khách hàng]],code_khach_hang[],2,0)</f>
        <v>CHI NHÁNH NGHỆ AN - CÔNG TY CỔ PHẦN DỊCH VỤ THƯƠNG MẠI TỔNG HỢP WINCOMMERCE</v>
      </c>
      <c r="G2594" s="16" t="str">
        <f>VLOOKUP(Table8[[#This Row],[Mã khách hàng]],code_khach_hang[],3,0)</f>
        <v>Miền Trung đặc biệt 1</v>
      </c>
      <c r="H2594" t="str">
        <f>VLOOKUP(Table8[[#This Row],[Mã khách hàng]],'Khách hàng'!A:D,4,0)</f>
        <v>Food Đức Việt</v>
      </c>
      <c r="I2594" t="str">
        <f>VLOOKUP(Table8[[#This Row],[Mã khách hàng]],'Khách hàng'!A:E,5,0)</f>
        <v>HN0040</v>
      </c>
    </row>
    <row r="2595" spans="1:9">
      <c r="A2595" s="14" t="s">
        <v>2970</v>
      </c>
      <c r="B2595" s="15" t="s">
        <v>5</v>
      </c>
      <c r="C2595" s="10" t="s">
        <v>2971</v>
      </c>
      <c r="D2595" s="16" t="s">
        <v>8214</v>
      </c>
      <c r="E2595" s="15" t="s">
        <v>11215</v>
      </c>
      <c r="F2595" s="16" t="str">
        <f>VLOOKUP(Table8[[#This Row],[Mã khách hàng]],code_khach_hang[],2,0)</f>
        <v>CHI NHÁNH HÀ NỘI - CÔNG TY CỔ PHẦN DỊCH VỤ THƯƠNG MẠI TỔNG HỢP WINCOMMERCE</v>
      </c>
      <c r="G2595" s="16" t="str">
        <f>VLOOKUP(Table8[[#This Row],[Mã khách hàng]],code_khach_hang[],3,0)</f>
        <v>Miền Bắc đặc biệt 1</v>
      </c>
      <c r="H2595" t="str">
        <f>VLOOKUP(Table8[[#This Row],[Mã khách hàng]],'Khách hàng'!A:D,4,0)</f>
        <v>Food Đức Việt</v>
      </c>
      <c r="I2595" t="str">
        <f>VLOOKUP(Table8[[#This Row],[Mã khách hàng]],'Khách hàng'!A:E,5,0)</f>
        <v>HN0040</v>
      </c>
    </row>
    <row r="2596" spans="1:9">
      <c r="A2596" s="14" t="s">
        <v>2991</v>
      </c>
      <c r="B2596" s="15" t="s">
        <v>5</v>
      </c>
      <c r="C2596" s="10" t="s">
        <v>2992</v>
      </c>
      <c r="D2596" s="16" t="s">
        <v>8217</v>
      </c>
      <c r="E2596" s="15" t="s">
        <v>11196</v>
      </c>
      <c r="F2596" s="16" t="str">
        <f>VLOOKUP(Table8[[#This Row],[Mã khách hàng]],code_khach_hang[],2,0)</f>
        <v>CHI NHÁNH NINH BÌNH - CÔNG TY CỔ PHẦN DỊCH VỤ THƯƠNG MẠI TỔNG HỢP WINCOMMERCE</v>
      </c>
      <c r="G2596" s="16" t="str">
        <f>VLOOKUP(Table8[[#This Row],[Mã khách hàng]],code_khach_hang[],3,0)</f>
        <v>Miền Bắc đặc biệt 3</v>
      </c>
      <c r="H2596" t="str">
        <f>VLOOKUP(Table8[[#This Row],[Mã khách hàng]],'Khách hàng'!A:D,4,0)</f>
        <v>Food Đức Việt</v>
      </c>
      <c r="I2596" t="str">
        <f>VLOOKUP(Table8[[#This Row],[Mã khách hàng]],'Khách hàng'!A:E,5,0)</f>
        <v>HN0040</v>
      </c>
    </row>
    <row r="2597" spans="1:9">
      <c r="A2597" s="14" t="s">
        <v>3020</v>
      </c>
      <c r="B2597" s="15" t="s">
        <v>5</v>
      </c>
      <c r="C2597" s="10" t="s">
        <v>3021</v>
      </c>
      <c r="D2597" s="16" t="s">
        <v>8220</v>
      </c>
      <c r="E2597" s="15" t="s">
        <v>11194</v>
      </c>
      <c r="F2597" s="16" t="str">
        <f>VLOOKUP(Table8[[#This Row],[Mã khách hàng]],code_khach_hang[],2,0)</f>
        <v>CHI NHÁNH VĨNH PHÚC - CÔNG TY CỔ PHẦN DỊCH VỤ THƯƠNG MẠI TỔNG HỢP WINCOMMERCE</v>
      </c>
      <c r="G2597" s="16" t="str">
        <f>VLOOKUP(Table8[[#This Row],[Mã khách hàng]],code_khach_hang[],3,0)</f>
        <v>Miền Bắc đặc biệt 2</v>
      </c>
      <c r="H2597" t="str">
        <f>VLOOKUP(Table8[[#This Row],[Mã khách hàng]],'Khách hàng'!A:D,4,0)</f>
        <v>Food Đức Việt</v>
      </c>
      <c r="I2597" t="str">
        <f>VLOOKUP(Table8[[#This Row],[Mã khách hàng]],'Khách hàng'!A:E,5,0)</f>
        <v>HN0040</v>
      </c>
    </row>
    <row r="2598" spans="1:9">
      <c r="A2598" s="14" t="s">
        <v>3023</v>
      </c>
      <c r="B2598" s="15" t="s">
        <v>5</v>
      </c>
      <c r="C2598" s="10" t="s">
        <v>3024</v>
      </c>
      <c r="D2598" s="16" t="s">
        <v>8223</v>
      </c>
      <c r="E2598" s="15" t="s">
        <v>11194</v>
      </c>
      <c r="F2598" s="16" t="str">
        <f>VLOOKUP(Table8[[#This Row],[Mã khách hàng]],code_khach_hang[],2,0)</f>
        <v>CHI NHÁNH VĨNH PHÚC - CÔNG TY CỔ PHẦN DỊCH VỤ THƯƠNG MẠI TỔNG HỢP WINCOMMERCE</v>
      </c>
      <c r="G2598" s="16" t="str">
        <f>VLOOKUP(Table8[[#This Row],[Mã khách hàng]],code_khach_hang[],3,0)</f>
        <v>Miền Bắc đặc biệt 2</v>
      </c>
      <c r="H2598" t="str">
        <f>VLOOKUP(Table8[[#This Row],[Mã khách hàng]],'Khách hàng'!A:D,4,0)</f>
        <v>Food Đức Việt</v>
      </c>
      <c r="I2598" t="str">
        <f>VLOOKUP(Table8[[#This Row],[Mã khách hàng]],'Khách hàng'!A:E,5,0)</f>
        <v>HN0040</v>
      </c>
    </row>
    <row r="2599" spans="1:9">
      <c r="A2599" s="14" t="s">
        <v>2667</v>
      </c>
      <c r="B2599" s="15" t="s">
        <v>5</v>
      </c>
      <c r="C2599" s="10" t="s">
        <v>2668</v>
      </c>
      <c r="D2599" s="16" t="s">
        <v>8226</v>
      </c>
      <c r="E2599" s="15" t="s">
        <v>11211</v>
      </c>
      <c r="F2599" s="16" t="str">
        <f>VLOOKUP(Table8[[#This Row],[Mã khách hàng]],code_khach_hang[],2,0)</f>
        <v>CHI NHÁNH NGHỆ AN - CÔNG TY CỔ PHẦN DỊCH VỤ THƯƠNG MẠI TỔNG HỢP WINCOMMERCE</v>
      </c>
      <c r="G2599" s="16" t="str">
        <f>VLOOKUP(Table8[[#This Row],[Mã khách hàng]],code_khach_hang[],3,0)</f>
        <v>Miền Trung đặc biệt 1</v>
      </c>
      <c r="H2599" t="str">
        <f>VLOOKUP(Table8[[#This Row],[Mã khách hàng]],'Khách hàng'!A:D,4,0)</f>
        <v>Food Đức Việt</v>
      </c>
      <c r="I2599" t="str">
        <f>VLOOKUP(Table8[[#This Row],[Mã khách hàng]],'Khách hàng'!A:E,5,0)</f>
        <v>HN0040</v>
      </c>
    </row>
    <row r="2600" spans="1:9">
      <c r="A2600" s="14" t="s">
        <v>2866</v>
      </c>
      <c r="B2600" s="15" t="s">
        <v>5</v>
      </c>
      <c r="C2600" s="10" t="s">
        <v>2867</v>
      </c>
      <c r="D2600" s="16" t="s">
        <v>8229</v>
      </c>
      <c r="E2600" s="15" t="s">
        <v>11215</v>
      </c>
      <c r="F2600" s="16" t="str">
        <f>VLOOKUP(Table8[[#This Row],[Mã khách hàng]],code_khach_hang[],2,0)</f>
        <v>CHI NHÁNH HÀ NỘI - CÔNG TY CỔ PHẦN DỊCH VỤ THƯƠNG MẠI TỔNG HỢP WINCOMMERCE</v>
      </c>
      <c r="G2600" s="16" t="str">
        <f>VLOOKUP(Table8[[#This Row],[Mã khách hàng]],code_khach_hang[],3,0)</f>
        <v>Miền Bắc đặc biệt 1</v>
      </c>
      <c r="H2600" t="str">
        <f>VLOOKUP(Table8[[#This Row],[Mã khách hàng]],'Khách hàng'!A:D,4,0)</f>
        <v>Food Đức Việt</v>
      </c>
      <c r="I2600" t="str">
        <f>VLOOKUP(Table8[[#This Row],[Mã khách hàng]],'Khách hàng'!A:E,5,0)</f>
        <v>HN0040</v>
      </c>
    </row>
    <row r="2601" spans="1:9">
      <c r="A2601" s="14" t="s">
        <v>2988</v>
      </c>
      <c r="B2601" s="15" t="s">
        <v>5</v>
      </c>
      <c r="C2601" s="10" t="s">
        <v>2989</v>
      </c>
      <c r="D2601" s="16" t="s">
        <v>8232</v>
      </c>
      <c r="E2601" s="15" t="s">
        <v>11203</v>
      </c>
      <c r="F2601" s="16" t="str">
        <f>VLOOKUP(Table8[[#This Row],[Mã khách hàng]],code_khach_hang[],2,0)</f>
        <v>CHI NHÁNH THANH HÓA - CÔNG TY CỔ PHẦN DỊCH VỤ THƯƠNG MẠI TỔNG HỢP WINCOMMERCE</v>
      </c>
      <c r="G2601" s="16" t="str">
        <f>VLOOKUP(Table8[[#This Row],[Mã khách hàng]],code_khach_hang[],3,0)</f>
        <v>Miền Trung đặc biệt 1</v>
      </c>
      <c r="H2601" t="str">
        <f>VLOOKUP(Table8[[#This Row],[Mã khách hàng]],'Khách hàng'!A:D,4,0)</f>
        <v>Food Đức Việt</v>
      </c>
      <c r="I2601" t="str">
        <f>VLOOKUP(Table8[[#This Row],[Mã khách hàng]],'Khách hàng'!A:E,5,0)</f>
        <v>HN0040</v>
      </c>
    </row>
    <row r="2602" spans="1:9">
      <c r="A2602" s="14" t="s">
        <v>3017</v>
      </c>
      <c r="B2602" s="15" t="s">
        <v>5</v>
      </c>
      <c r="C2602" s="10" t="s">
        <v>3018</v>
      </c>
      <c r="D2602" s="16" t="s">
        <v>8235</v>
      </c>
      <c r="E2602" s="15" t="s">
        <v>11201</v>
      </c>
      <c r="F2602" s="16" t="str">
        <f>VLOOKUP(Table8[[#This Row],[Mã khách hàng]],code_khach_hang[],2,0)</f>
        <v>CHI NHÁNH HẢI DƯƠNG - CÔNG TY CỔ PHẦN DỊCH VỤ THƯƠNG MẠI TỔNG HỢP WINCOMMERCE</v>
      </c>
      <c r="G2602" s="16" t="str">
        <f>VLOOKUP(Table8[[#This Row],[Mã khách hàng]],code_khach_hang[],3,0)</f>
        <v>Miền Bắc đặc biệt 3</v>
      </c>
      <c r="H2602" t="str">
        <f>VLOOKUP(Table8[[#This Row],[Mã khách hàng]],'Khách hàng'!A:D,4,0)</f>
        <v>Food Đức Việt</v>
      </c>
      <c r="I2602" t="str">
        <f>VLOOKUP(Table8[[#This Row],[Mã khách hàng]],'Khách hàng'!A:E,5,0)</f>
        <v>HN0040</v>
      </c>
    </row>
    <row r="2603" spans="1:9">
      <c r="A2603" s="14" t="s">
        <v>3029</v>
      </c>
      <c r="B2603" s="15" t="s">
        <v>5</v>
      </c>
      <c r="C2603" s="10" t="s">
        <v>3030</v>
      </c>
      <c r="D2603" s="16" t="s">
        <v>8238</v>
      </c>
      <c r="E2603" s="15" t="s">
        <v>11215</v>
      </c>
      <c r="F2603" s="16" t="str">
        <f>VLOOKUP(Table8[[#This Row],[Mã khách hàng]],code_khach_hang[],2,0)</f>
        <v>CHI NHÁNH HÀ NỘI - CÔNG TY CỔ PHẦN DỊCH VỤ THƯƠNG MẠI TỔNG HỢP WINCOMMERCE</v>
      </c>
      <c r="G2603" s="16" t="str">
        <f>VLOOKUP(Table8[[#This Row],[Mã khách hàng]],code_khach_hang[],3,0)</f>
        <v>Miền Bắc đặc biệt 1</v>
      </c>
      <c r="H2603" t="str">
        <f>VLOOKUP(Table8[[#This Row],[Mã khách hàng]],'Khách hàng'!A:D,4,0)</f>
        <v>Food Đức Việt</v>
      </c>
      <c r="I2603" t="str">
        <f>VLOOKUP(Table8[[#This Row],[Mã khách hàng]],'Khách hàng'!A:E,5,0)</f>
        <v>HN0040</v>
      </c>
    </row>
    <row r="2604" spans="1:9">
      <c r="A2604" s="14" t="s">
        <v>3035</v>
      </c>
      <c r="B2604" s="15" t="s">
        <v>5</v>
      </c>
      <c r="C2604" s="10" t="s">
        <v>3036</v>
      </c>
      <c r="D2604" s="16" t="s">
        <v>8241</v>
      </c>
      <c r="E2604" s="15" t="s">
        <v>11211</v>
      </c>
      <c r="F2604" s="16" t="str">
        <f>VLOOKUP(Table8[[#This Row],[Mã khách hàng]],code_khach_hang[],2,0)</f>
        <v>CHI NHÁNH NGHỆ AN - CÔNG TY CỔ PHẦN DỊCH VỤ THƯƠNG MẠI TỔNG HỢP WINCOMMERCE</v>
      </c>
      <c r="G2604" s="16" t="str">
        <f>VLOOKUP(Table8[[#This Row],[Mã khách hàng]],code_khach_hang[],3,0)</f>
        <v>Miền Trung đặc biệt 1</v>
      </c>
      <c r="H2604" t="str">
        <f>VLOOKUP(Table8[[#This Row],[Mã khách hàng]],'Khách hàng'!A:D,4,0)</f>
        <v>Food Đức Việt</v>
      </c>
      <c r="I2604" t="str">
        <f>VLOOKUP(Table8[[#This Row],[Mã khách hàng]],'Khách hàng'!A:E,5,0)</f>
        <v>HN0040</v>
      </c>
    </row>
    <row r="2605" spans="1:9">
      <c r="A2605" s="14" t="s">
        <v>3047</v>
      </c>
      <c r="B2605" s="15" t="s">
        <v>5</v>
      </c>
      <c r="C2605" s="10" t="s">
        <v>3048</v>
      </c>
      <c r="D2605" s="16" t="s">
        <v>8244</v>
      </c>
      <c r="E2605" s="15" t="s">
        <v>11215</v>
      </c>
      <c r="F2605" s="16" t="str">
        <f>VLOOKUP(Table8[[#This Row],[Mã khách hàng]],code_khach_hang[],2,0)</f>
        <v>CHI NHÁNH HÀ NỘI - CÔNG TY CỔ PHẦN DỊCH VỤ THƯƠNG MẠI TỔNG HỢP WINCOMMERCE</v>
      </c>
      <c r="G2605" s="16" t="str">
        <f>VLOOKUP(Table8[[#This Row],[Mã khách hàng]],code_khach_hang[],3,0)</f>
        <v>Miền Bắc đặc biệt 1</v>
      </c>
      <c r="H2605" t="str">
        <f>VLOOKUP(Table8[[#This Row],[Mã khách hàng]],'Khách hàng'!A:D,4,0)</f>
        <v>Food Đức Việt</v>
      </c>
      <c r="I2605" t="str">
        <f>VLOOKUP(Table8[[#This Row],[Mã khách hàng]],'Khách hàng'!A:E,5,0)</f>
        <v>HN0040</v>
      </c>
    </row>
    <row r="2606" spans="1:9">
      <c r="A2606" s="14" t="s">
        <v>2596</v>
      </c>
      <c r="B2606" s="15" t="s">
        <v>5</v>
      </c>
      <c r="C2606" s="10" t="s">
        <v>2597</v>
      </c>
      <c r="D2606" s="16" t="s">
        <v>8247</v>
      </c>
      <c r="E2606" s="15" t="s">
        <v>11194</v>
      </c>
      <c r="F2606" s="16" t="str">
        <f>VLOOKUP(Table8[[#This Row],[Mã khách hàng]],code_khach_hang[],2,0)</f>
        <v>CHI NHÁNH VĨNH PHÚC - CÔNG TY CỔ PHẦN DỊCH VỤ THƯƠNG MẠI TỔNG HỢP WINCOMMERCE</v>
      </c>
      <c r="G2606" s="16" t="str">
        <f>VLOOKUP(Table8[[#This Row],[Mã khách hàng]],code_khach_hang[],3,0)</f>
        <v>Miền Bắc đặc biệt 2</v>
      </c>
      <c r="H2606" t="str">
        <f>VLOOKUP(Table8[[#This Row],[Mã khách hàng]],'Khách hàng'!A:D,4,0)</f>
        <v>Food Đức Việt</v>
      </c>
      <c r="I2606" t="str">
        <f>VLOOKUP(Table8[[#This Row],[Mã khách hàng]],'Khách hàng'!A:E,5,0)</f>
        <v>HN0040</v>
      </c>
    </row>
    <row r="2607" spans="1:9">
      <c r="A2607" s="14" t="s">
        <v>2290</v>
      </c>
      <c r="B2607" s="15" t="s">
        <v>5</v>
      </c>
      <c r="C2607" s="10" t="s">
        <v>2291</v>
      </c>
      <c r="D2607" s="16" t="s">
        <v>8250</v>
      </c>
      <c r="E2607" s="15" t="s">
        <v>11198</v>
      </c>
      <c r="F2607" s="16" t="str">
        <f>VLOOKUP(Table8[[#This Row],[Mã khách hàng]],code_khach_hang[],2,0)</f>
        <v>CHI NHÁNH HẢI PHÒNG - CÔNG TY CỔ PHẦN DỊCH VỤ THƯƠNG MẠI TỔNG HỢP WINCOMMERCE</v>
      </c>
      <c r="G2607" s="16" t="str">
        <f>VLOOKUP(Table8[[#This Row],[Mã khách hàng]],code_khach_hang[],3,0)</f>
        <v>Miền Bắc đặc biệt 3</v>
      </c>
      <c r="H2607" t="str">
        <f>VLOOKUP(Table8[[#This Row],[Mã khách hàng]],'Khách hàng'!A:D,4,0)</f>
        <v>Food Đức Việt</v>
      </c>
      <c r="I2607" t="str">
        <f>VLOOKUP(Table8[[#This Row],[Mã khách hàng]],'Khách hàng'!A:E,5,0)</f>
        <v>HN0040</v>
      </c>
    </row>
    <row r="2608" spans="1:9">
      <c r="A2608" s="14" t="s">
        <v>2831</v>
      </c>
      <c r="B2608" s="15" t="s">
        <v>5</v>
      </c>
      <c r="C2608" s="10" t="s">
        <v>2832</v>
      </c>
      <c r="D2608" s="16" t="s">
        <v>8253</v>
      </c>
      <c r="E2608" s="15" t="s">
        <v>11196</v>
      </c>
      <c r="F2608" s="16" t="str">
        <f>VLOOKUP(Table8[[#This Row],[Mã khách hàng]],code_khach_hang[],2,0)</f>
        <v>CHI NHÁNH NINH BÌNH - CÔNG TY CỔ PHẦN DỊCH VỤ THƯƠNG MẠI TỔNG HỢP WINCOMMERCE</v>
      </c>
      <c r="G2608" s="16" t="str">
        <f>VLOOKUP(Table8[[#This Row],[Mã khách hàng]],code_khach_hang[],3,0)</f>
        <v>Miền Bắc đặc biệt 3</v>
      </c>
      <c r="H2608" t="str">
        <f>VLOOKUP(Table8[[#This Row],[Mã khách hàng]],'Khách hàng'!A:D,4,0)</f>
        <v>Food Đức Việt</v>
      </c>
      <c r="I2608" t="str">
        <f>VLOOKUP(Table8[[#This Row],[Mã khách hàng]],'Khách hàng'!A:E,5,0)</f>
        <v>HN0040</v>
      </c>
    </row>
    <row r="2609" spans="1:9">
      <c r="A2609" s="14" t="s">
        <v>2967</v>
      </c>
      <c r="B2609" s="15" t="s">
        <v>5</v>
      </c>
      <c r="C2609" s="10" t="s">
        <v>2968</v>
      </c>
      <c r="D2609" s="16" t="s">
        <v>8256</v>
      </c>
      <c r="E2609" s="15" t="s">
        <v>11200</v>
      </c>
      <c r="F2609" s="16" t="str">
        <f>VLOOKUP(Table8[[#This Row],[Mã khách hàng]],code_khach_hang[],2,0)</f>
        <v>CHI NHÁNH THÁI BÌNH - CÔNG TY CỔ PHẦN DỊCH VỤ THƯƠNG MẠI TỔNG HỢP WINCOMMERCE</v>
      </c>
      <c r="G2609" s="16" t="str">
        <f>VLOOKUP(Table8[[#This Row],[Mã khách hàng]],code_khach_hang[],3,0)</f>
        <v>Miền Bắc đặc biệt 3</v>
      </c>
      <c r="H2609" t="str">
        <f>VLOOKUP(Table8[[#This Row],[Mã khách hàng]],'Khách hàng'!A:D,4,0)</f>
        <v>Food Đức Việt</v>
      </c>
      <c r="I2609" t="str">
        <f>VLOOKUP(Table8[[#This Row],[Mã khách hàng]],'Khách hàng'!A:E,5,0)</f>
        <v>HN0040</v>
      </c>
    </row>
    <row r="2610" spans="1:9">
      <c r="A2610" s="14" t="s">
        <v>3041</v>
      </c>
      <c r="B2610" s="15" t="s">
        <v>5</v>
      </c>
      <c r="C2610" s="10" t="s">
        <v>3042</v>
      </c>
      <c r="D2610" s="16" t="s">
        <v>8259</v>
      </c>
      <c r="E2610" s="15" t="s">
        <v>11203</v>
      </c>
      <c r="F2610" s="16" t="str">
        <f>VLOOKUP(Table8[[#This Row],[Mã khách hàng]],code_khach_hang[],2,0)</f>
        <v>CHI NHÁNH THANH HÓA - CÔNG TY CỔ PHẦN DỊCH VỤ THƯƠNG MẠI TỔNG HỢP WINCOMMERCE</v>
      </c>
      <c r="G2610" s="16" t="str">
        <f>VLOOKUP(Table8[[#This Row],[Mã khách hàng]],code_khach_hang[],3,0)</f>
        <v>Miền Trung đặc biệt 1</v>
      </c>
      <c r="H2610" t="str">
        <f>VLOOKUP(Table8[[#This Row],[Mã khách hàng]],'Khách hàng'!A:D,4,0)</f>
        <v>Food Đức Việt</v>
      </c>
      <c r="I2610" t="str">
        <f>VLOOKUP(Table8[[#This Row],[Mã khách hàng]],'Khách hàng'!A:E,5,0)</f>
        <v>HN0040</v>
      </c>
    </row>
    <row r="2611" spans="1:9">
      <c r="A2611" s="14" t="s">
        <v>3044</v>
      </c>
      <c r="B2611" s="15" t="s">
        <v>5</v>
      </c>
      <c r="C2611" s="10" t="s">
        <v>3045</v>
      </c>
      <c r="D2611" s="16" t="s">
        <v>8262</v>
      </c>
      <c r="E2611" s="15" t="s">
        <v>11196</v>
      </c>
      <c r="F2611" s="16" t="str">
        <f>VLOOKUP(Table8[[#This Row],[Mã khách hàng]],code_khach_hang[],2,0)</f>
        <v>CHI NHÁNH NINH BÌNH - CÔNG TY CỔ PHẦN DỊCH VỤ THƯƠNG MẠI TỔNG HỢP WINCOMMERCE</v>
      </c>
      <c r="G2611" s="16" t="str">
        <f>VLOOKUP(Table8[[#This Row],[Mã khách hàng]],code_khach_hang[],3,0)</f>
        <v>Miền Bắc đặc biệt 3</v>
      </c>
      <c r="H2611" t="str">
        <f>VLOOKUP(Table8[[#This Row],[Mã khách hàng]],'Khách hàng'!A:D,4,0)</f>
        <v>Food Đức Việt</v>
      </c>
      <c r="I2611" t="str">
        <f>VLOOKUP(Table8[[#This Row],[Mã khách hàng]],'Khách hàng'!A:E,5,0)</f>
        <v>HN0040</v>
      </c>
    </row>
    <row r="2612" spans="1:9">
      <c r="A2612" s="14" t="s">
        <v>3065</v>
      </c>
      <c r="B2612" s="15" t="s">
        <v>5</v>
      </c>
      <c r="C2612" s="10" t="s">
        <v>3066</v>
      </c>
      <c r="D2612" s="16" t="s">
        <v>8265</v>
      </c>
      <c r="E2612" s="15" t="s">
        <v>11203</v>
      </c>
      <c r="F2612" s="16" t="str">
        <f>VLOOKUP(Table8[[#This Row],[Mã khách hàng]],code_khach_hang[],2,0)</f>
        <v>CHI NHÁNH THANH HÓA - CÔNG TY CỔ PHẦN DỊCH VỤ THƯƠNG MẠI TỔNG HỢP WINCOMMERCE</v>
      </c>
      <c r="G2612" s="16" t="str">
        <f>VLOOKUP(Table8[[#This Row],[Mã khách hàng]],code_khach_hang[],3,0)</f>
        <v>Miền Trung đặc biệt 1</v>
      </c>
      <c r="H2612" t="str">
        <f>VLOOKUP(Table8[[#This Row],[Mã khách hàng]],'Khách hàng'!A:D,4,0)</f>
        <v>Food Đức Việt</v>
      </c>
      <c r="I2612" t="str">
        <f>VLOOKUP(Table8[[#This Row],[Mã khách hàng]],'Khách hàng'!A:E,5,0)</f>
        <v>HN0040</v>
      </c>
    </row>
    <row r="2613" spans="1:9">
      <c r="A2613" s="14" t="s">
        <v>3077</v>
      </c>
      <c r="B2613" s="15" t="s">
        <v>5</v>
      </c>
      <c r="C2613" s="10" t="s">
        <v>3078</v>
      </c>
      <c r="D2613" s="16" t="s">
        <v>8268</v>
      </c>
      <c r="E2613" s="15" t="s">
        <v>11203</v>
      </c>
      <c r="F2613" s="16" t="str">
        <f>VLOOKUP(Table8[[#This Row],[Mã khách hàng]],code_khach_hang[],2,0)</f>
        <v>CHI NHÁNH THANH HÓA - CÔNG TY CỔ PHẦN DỊCH VỤ THƯƠNG MẠI TỔNG HỢP WINCOMMERCE</v>
      </c>
      <c r="G2613" s="16" t="str">
        <f>VLOOKUP(Table8[[#This Row],[Mã khách hàng]],code_khach_hang[],3,0)</f>
        <v>Miền Trung đặc biệt 1</v>
      </c>
      <c r="H2613" t="str">
        <f>VLOOKUP(Table8[[#This Row],[Mã khách hàng]],'Khách hàng'!A:D,4,0)</f>
        <v>Food Đức Việt</v>
      </c>
      <c r="I2613" t="str">
        <f>VLOOKUP(Table8[[#This Row],[Mã khách hàng]],'Khách hàng'!A:E,5,0)</f>
        <v>HN0040</v>
      </c>
    </row>
    <row r="2614" spans="1:9">
      <c r="A2614" s="14" t="s">
        <v>3133</v>
      </c>
      <c r="B2614" s="15" t="s">
        <v>5</v>
      </c>
      <c r="C2614" s="10" t="s">
        <v>3134</v>
      </c>
      <c r="D2614" s="16" t="s">
        <v>8271</v>
      </c>
      <c r="E2614" s="15" t="s">
        <v>11203</v>
      </c>
      <c r="F2614" s="16" t="str">
        <f>VLOOKUP(Table8[[#This Row],[Mã khách hàng]],code_khach_hang[],2,0)</f>
        <v>CHI NHÁNH THANH HÓA - CÔNG TY CỔ PHẦN DỊCH VỤ THƯƠNG MẠI TỔNG HỢP WINCOMMERCE</v>
      </c>
      <c r="G2614" s="16" t="str">
        <f>VLOOKUP(Table8[[#This Row],[Mã khách hàng]],code_khach_hang[],3,0)</f>
        <v>Miền Trung đặc biệt 1</v>
      </c>
      <c r="H2614" t="str">
        <f>VLOOKUP(Table8[[#This Row],[Mã khách hàng]],'Khách hàng'!A:D,4,0)</f>
        <v>Food Đức Việt</v>
      </c>
      <c r="I2614" t="str">
        <f>VLOOKUP(Table8[[#This Row],[Mã khách hàng]],'Khách hàng'!A:E,5,0)</f>
        <v>HN0040</v>
      </c>
    </row>
    <row r="2615" spans="1:9">
      <c r="A2615" s="14" t="s">
        <v>2822</v>
      </c>
      <c r="B2615" s="15" t="s">
        <v>5</v>
      </c>
      <c r="C2615" s="10" t="s">
        <v>2823</v>
      </c>
      <c r="D2615" s="16" t="s">
        <v>8274</v>
      </c>
      <c r="E2615" s="15" t="s">
        <v>11211</v>
      </c>
      <c r="F2615" s="16" t="str">
        <f>VLOOKUP(Table8[[#This Row],[Mã khách hàng]],code_khach_hang[],2,0)</f>
        <v>CHI NHÁNH NGHỆ AN - CÔNG TY CỔ PHẦN DỊCH VỤ THƯƠNG MẠI TỔNG HỢP WINCOMMERCE</v>
      </c>
      <c r="G2615" s="16" t="str">
        <f>VLOOKUP(Table8[[#This Row],[Mã khách hàng]],code_khach_hang[],3,0)</f>
        <v>Miền Trung đặc biệt 1</v>
      </c>
      <c r="H2615" t="str">
        <f>VLOOKUP(Table8[[#This Row],[Mã khách hàng]],'Khách hàng'!A:D,4,0)</f>
        <v>Food Đức Việt</v>
      </c>
      <c r="I2615" t="str">
        <f>VLOOKUP(Table8[[#This Row],[Mã khách hàng]],'Khách hàng'!A:E,5,0)</f>
        <v>HN0040</v>
      </c>
    </row>
    <row r="2616" spans="1:9">
      <c r="A2616" s="14" t="s">
        <v>2527</v>
      </c>
      <c r="B2616" s="15" t="s">
        <v>5</v>
      </c>
      <c r="C2616" s="10" t="s">
        <v>2528</v>
      </c>
      <c r="D2616" s="16" t="s">
        <v>8277</v>
      </c>
      <c r="E2616" s="15" t="s">
        <v>11215</v>
      </c>
      <c r="F2616" s="16" t="str">
        <f>VLOOKUP(Table8[[#This Row],[Mã khách hàng]],code_khach_hang[],2,0)</f>
        <v>CHI NHÁNH HÀ NỘI - CÔNG TY CỔ PHẦN DỊCH VỤ THƯƠNG MẠI TỔNG HỢP WINCOMMERCE</v>
      </c>
      <c r="G2616" s="16" t="str">
        <f>VLOOKUP(Table8[[#This Row],[Mã khách hàng]],code_khach_hang[],3,0)</f>
        <v>Miền Bắc đặc biệt 1</v>
      </c>
      <c r="H2616" t="str">
        <f>VLOOKUP(Table8[[#This Row],[Mã khách hàng]],'Khách hàng'!A:D,4,0)</f>
        <v>Food Đức Việt</v>
      </c>
      <c r="I2616" t="str">
        <f>VLOOKUP(Table8[[#This Row],[Mã khách hàng]],'Khách hàng'!A:E,5,0)</f>
        <v>HN0040</v>
      </c>
    </row>
    <row r="2617" spans="1:9">
      <c r="A2617" s="14" t="s">
        <v>3071</v>
      </c>
      <c r="B2617" s="15" t="s">
        <v>5</v>
      </c>
      <c r="C2617" s="10" t="s">
        <v>3072</v>
      </c>
      <c r="D2617" s="16" t="s">
        <v>8280</v>
      </c>
      <c r="E2617" s="15" t="s">
        <v>11203</v>
      </c>
      <c r="F2617" s="16" t="str">
        <f>VLOOKUP(Table8[[#This Row],[Mã khách hàng]],code_khach_hang[],2,0)</f>
        <v>CHI NHÁNH THANH HÓA - CÔNG TY CỔ PHẦN DỊCH VỤ THƯƠNG MẠI TỔNG HỢP WINCOMMERCE</v>
      </c>
      <c r="G2617" s="16" t="str">
        <f>VLOOKUP(Table8[[#This Row],[Mã khách hàng]],code_khach_hang[],3,0)</f>
        <v>Miền Trung đặc biệt 1</v>
      </c>
      <c r="H2617" t="str">
        <f>VLOOKUP(Table8[[#This Row],[Mã khách hàng]],'Khách hàng'!A:D,4,0)</f>
        <v>Food Đức Việt</v>
      </c>
      <c r="I2617" t="str">
        <f>VLOOKUP(Table8[[#This Row],[Mã khách hàng]],'Khách hàng'!A:E,5,0)</f>
        <v>HN0040</v>
      </c>
    </row>
    <row r="2618" spans="1:9">
      <c r="A2618" s="14" t="s">
        <v>3217</v>
      </c>
      <c r="B2618" s="15" t="s">
        <v>5</v>
      </c>
      <c r="C2618" s="10" t="s">
        <v>3218</v>
      </c>
      <c r="D2618" s="16" t="s">
        <v>8283</v>
      </c>
      <c r="E2618" s="15" t="s">
        <v>11198</v>
      </c>
      <c r="F2618" s="16" t="str">
        <f>VLOOKUP(Table8[[#This Row],[Mã khách hàng]],code_khach_hang[],2,0)</f>
        <v>CHI NHÁNH HẢI PHÒNG - CÔNG TY CỔ PHẦN DỊCH VỤ THƯƠNG MẠI TỔNG HỢP WINCOMMERCE</v>
      </c>
      <c r="G2618" s="16" t="str">
        <f>VLOOKUP(Table8[[#This Row],[Mã khách hàng]],code_khach_hang[],3,0)</f>
        <v>Miền Bắc đặc biệt 3</v>
      </c>
      <c r="H2618" t="str">
        <f>VLOOKUP(Table8[[#This Row],[Mã khách hàng]],'Khách hàng'!A:D,4,0)</f>
        <v>Food Đức Việt</v>
      </c>
      <c r="I2618" t="str">
        <f>VLOOKUP(Table8[[#This Row],[Mã khách hàng]],'Khách hàng'!A:E,5,0)</f>
        <v>HN0040</v>
      </c>
    </row>
    <row r="2619" spans="1:9">
      <c r="A2619" s="14" t="s">
        <v>3068</v>
      </c>
      <c r="B2619" s="15" t="s">
        <v>5</v>
      </c>
      <c r="C2619" s="10" t="s">
        <v>3069</v>
      </c>
      <c r="D2619" s="16" t="s">
        <v>8286</v>
      </c>
      <c r="E2619" s="15" t="s">
        <v>11215</v>
      </c>
      <c r="F2619" s="16" t="str">
        <f>VLOOKUP(Table8[[#This Row],[Mã khách hàng]],code_khach_hang[],2,0)</f>
        <v>CHI NHÁNH HÀ NỘI - CÔNG TY CỔ PHẦN DỊCH VỤ THƯƠNG MẠI TỔNG HỢP WINCOMMERCE</v>
      </c>
      <c r="G2619" s="16" t="str">
        <f>VLOOKUP(Table8[[#This Row],[Mã khách hàng]],code_khach_hang[],3,0)</f>
        <v>Miền Bắc đặc biệt 1</v>
      </c>
      <c r="H2619" t="str">
        <f>VLOOKUP(Table8[[#This Row],[Mã khách hàng]],'Khách hàng'!A:D,4,0)</f>
        <v>Food Đức Việt</v>
      </c>
      <c r="I2619" t="str">
        <f>VLOOKUP(Table8[[#This Row],[Mã khách hàng]],'Khách hàng'!A:E,5,0)</f>
        <v>HN0040</v>
      </c>
    </row>
    <row r="2620" spans="1:9">
      <c r="A2620" s="14" t="s">
        <v>3080</v>
      </c>
      <c r="B2620" s="15" t="s">
        <v>5</v>
      </c>
      <c r="C2620" s="10" t="s">
        <v>3081</v>
      </c>
      <c r="D2620" s="16" t="s">
        <v>8288</v>
      </c>
      <c r="E2620" s="15" t="s">
        <v>11215</v>
      </c>
      <c r="F2620" s="16" t="str">
        <f>VLOOKUP(Table8[[#This Row],[Mã khách hàng]],code_khach_hang[],2,0)</f>
        <v>CHI NHÁNH HÀ NỘI - CÔNG TY CỔ PHẦN DỊCH VỤ THƯƠNG MẠI TỔNG HỢP WINCOMMERCE</v>
      </c>
      <c r="G2620" s="16" t="str">
        <f>VLOOKUP(Table8[[#This Row],[Mã khách hàng]],code_khach_hang[],3,0)</f>
        <v>Miền Bắc đặc biệt 1</v>
      </c>
      <c r="H2620" t="str">
        <f>VLOOKUP(Table8[[#This Row],[Mã khách hàng]],'Khách hàng'!A:D,4,0)</f>
        <v>Food Đức Việt</v>
      </c>
      <c r="I2620" t="str">
        <f>VLOOKUP(Table8[[#This Row],[Mã khách hàng]],'Khách hàng'!A:E,5,0)</f>
        <v>HN0040</v>
      </c>
    </row>
    <row r="2621" spans="1:9">
      <c r="A2621" s="14" t="s">
        <v>3223</v>
      </c>
      <c r="B2621" s="15" t="s">
        <v>5</v>
      </c>
      <c r="C2621" s="10" t="s">
        <v>3224</v>
      </c>
      <c r="D2621" s="16" t="s">
        <v>8291</v>
      </c>
      <c r="E2621" s="15" t="s">
        <v>11199</v>
      </c>
      <c r="F2621" s="16" t="str">
        <f>VLOOKUP(Table8[[#This Row],[Mã khách hàng]],code_khach_hang[],2,0)</f>
        <v>CHI NHÁNH PHÚ THỌ - CÔNG TY CỔ PHẦN DỊCH VỤ THƯƠNG MẠI TỔNG HỢP WINCOMMERCE</v>
      </c>
      <c r="G2621" s="16" t="str">
        <f>VLOOKUP(Table8[[#This Row],[Mã khách hàng]],code_khach_hang[],3,0)</f>
        <v>Miền Bắc đặc biệt 1</v>
      </c>
      <c r="H2621" t="str">
        <f>VLOOKUP(Table8[[#This Row],[Mã khách hàng]],'Khách hàng'!A:D,4,0)</f>
        <v>Food Đức Việt</v>
      </c>
      <c r="I2621" t="str">
        <f>VLOOKUP(Table8[[#This Row],[Mã khách hàng]],'Khách hàng'!A:E,5,0)</f>
        <v>HN0040</v>
      </c>
    </row>
    <row r="2622" spans="1:9">
      <c r="A2622" s="14" t="s">
        <v>3148</v>
      </c>
      <c r="B2622" s="15" t="s">
        <v>5</v>
      </c>
      <c r="C2622" s="10" t="s">
        <v>3149</v>
      </c>
      <c r="D2622" s="16" t="s">
        <v>8294</v>
      </c>
      <c r="E2622" s="15" t="s">
        <v>11215</v>
      </c>
      <c r="F2622" s="16" t="str">
        <f>VLOOKUP(Table8[[#This Row],[Mã khách hàng]],code_khach_hang[],2,0)</f>
        <v>CHI NHÁNH HÀ NỘI - CÔNG TY CỔ PHẦN DỊCH VỤ THƯƠNG MẠI TỔNG HỢP WINCOMMERCE</v>
      </c>
      <c r="G2622" s="16" t="str">
        <f>VLOOKUP(Table8[[#This Row],[Mã khách hàng]],code_khach_hang[],3,0)</f>
        <v>Miền Bắc đặc biệt 1</v>
      </c>
      <c r="H2622" t="str">
        <f>VLOOKUP(Table8[[#This Row],[Mã khách hàng]],'Khách hàng'!A:D,4,0)</f>
        <v>Food Đức Việt</v>
      </c>
      <c r="I2622" t="str">
        <f>VLOOKUP(Table8[[#This Row],[Mã khách hàng]],'Khách hàng'!A:E,5,0)</f>
        <v>HN0040</v>
      </c>
    </row>
    <row r="2623" spans="1:9">
      <c r="A2623" s="14" t="s">
        <v>3151</v>
      </c>
      <c r="B2623" s="15" t="s">
        <v>5</v>
      </c>
      <c r="C2623" s="10" t="s">
        <v>3152</v>
      </c>
      <c r="D2623" s="16" t="s">
        <v>8297</v>
      </c>
      <c r="E2623" s="15" t="s">
        <v>11207</v>
      </c>
      <c r="F2623" s="16" t="str">
        <f>VLOOKUP(Table8[[#This Row],[Mã khách hàng]],code_khach_hang[],2,0)</f>
        <v>CHI NHÁNH THÁI NGUYÊN - CÔNG TY CỔ PHẦN DỊCH VỤ THƯƠNG MẠI TỔNG HỢP WINCOMMERCE</v>
      </c>
      <c r="G2623" s="16" t="str">
        <f>VLOOKUP(Table8[[#This Row],[Mã khách hàng]],code_khach_hang[],3,0)</f>
        <v>Miền Bắc đặc biệt 2</v>
      </c>
      <c r="H2623" t="str">
        <f>VLOOKUP(Table8[[#This Row],[Mã khách hàng]],'Khách hàng'!A:D,4,0)</f>
        <v>Food Đức Việt</v>
      </c>
      <c r="I2623" t="str">
        <f>VLOOKUP(Table8[[#This Row],[Mã khách hàng]],'Khách hàng'!A:E,5,0)</f>
        <v>HN0040</v>
      </c>
    </row>
    <row r="2624" spans="1:9">
      <c r="A2624" s="14" t="s">
        <v>2896</v>
      </c>
      <c r="B2624" s="15" t="s">
        <v>5</v>
      </c>
      <c r="C2624" s="10" t="s">
        <v>2897</v>
      </c>
      <c r="D2624" s="16" t="s">
        <v>8300</v>
      </c>
      <c r="E2624" s="15" t="s">
        <v>11203</v>
      </c>
      <c r="F2624" s="16" t="str">
        <f>VLOOKUP(Table8[[#This Row],[Mã khách hàng]],code_khach_hang[],2,0)</f>
        <v>CHI NHÁNH THANH HÓA - CÔNG TY CỔ PHẦN DỊCH VỤ THƯƠNG MẠI TỔNG HỢP WINCOMMERCE</v>
      </c>
      <c r="G2624" s="16" t="str">
        <f>VLOOKUP(Table8[[#This Row],[Mã khách hàng]],code_khach_hang[],3,0)</f>
        <v>Miền Trung đặc biệt 1</v>
      </c>
      <c r="H2624" t="str">
        <f>VLOOKUP(Table8[[#This Row],[Mã khách hàng]],'Khách hàng'!A:D,4,0)</f>
        <v>Food Đức Việt</v>
      </c>
      <c r="I2624" t="str">
        <f>VLOOKUP(Table8[[#This Row],[Mã khách hàng]],'Khách hàng'!A:E,5,0)</f>
        <v>HN0040</v>
      </c>
    </row>
    <row r="2625" spans="1:9">
      <c r="A2625" s="14" t="s">
        <v>2985</v>
      </c>
      <c r="B2625" s="15" t="s">
        <v>5</v>
      </c>
      <c r="C2625" s="10" t="s">
        <v>2986</v>
      </c>
      <c r="D2625" s="16" t="s">
        <v>8303</v>
      </c>
      <c r="E2625" s="15" t="s">
        <v>11215</v>
      </c>
      <c r="F2625" s="16" t="str">
        <f>VLOOKUP(Table8[[#This Row],[Mã khách hàng]],code_khach_hang[],2,0)</f>
        <v>CHI NHÁNH HÀ NỘI - CÔNG TY CỔ PHẦN DỊCH VỤ THƯƠNG MẠI TỔNG HỢP WINCOMMERCE</v>
      </c>
      <c r="G2625" s="16" t="str">
        <f>VLOOKUP(Table8[[#This Row],[Mã khách hàng]],code_khach_hang[],3,0)</f>
        <v>Miền Bắc đặc biệt 1</v>
      </c>
      <c r="H2625" t="str">
        <f>VLOOKUP(Table8[[#This Row],[Mã khách hàng]],'Khách hàng'!A:D,4,0)</f>
        <v>Food Đức Việt</v>
      </c>
      <c r="I2625" t="str">
        <f>VLOOKUP(Table8[[#This Row],[Mã khách hàng]],'Khách hàng'!A:E,5,0)</f>
        <v>HN0040</v>
      </c>
    </row>
    <row r="2626" spans="1:9">
      <c r="A2626" s="14" t="s">
        <v>3003</v>
      </c>
      <c r="B2626" s="15" t="s">
        <v>5</v>
      </c>
      <c r="C2626" s="10" t="s">
        <v>3004</v>
      </c>
      <c r="D2626" s="16" t="s">
        <v>8306</v>
      </c>
      <c r="E2626" s="15" t="s">
        <v>11205</v>
      </c>
      <c r="F2626" s="16" t="str">
        <f>VLOOKUP(Table8[[#This Row],[Mã khách hàng]],code_khach_hang[],2,0)</f>
        <v>CHI NHÁNH HÀ TĨNH - CÔNG TY CỔ PHẦN DỊCH VỤ THƯƠNG MẠI TỔNG HỢP WINCOMMERCE</v>
      </c>
      <c r="G2626" s="16" t="str">
        <f>VLOOKUP(Table8[[#This Row],[Mã khách hàng]],code_khach_hang[],3,0)</f>
        <v>Miền Trung đặc biệt 1</v>
      </c>
      <c r="H2626" t="str">
        <f>VLOOKUP(Table8[[#This Row],[Mã khách hàng]],'Khách hàng'!A:D,4,0)</f>
        <v>Food Đức Việt</v>
      </c>
      <c r="I2626" t="str">
        <f>VLOOKUP(Table8[[#This Row],[Mã khách hàng]],'Khách hàng'!A:E,5,0)</f>
        <v>HN0040</v>
      </c>
    </row>
    <row r="2627" spans="1:9">
      <c r="A2627" s="14" t="s">
        <v>3009</v>
      </c>
      <c r="B2627" s="15" t="s">
        <v>5</v>
      </c>
      <c r="C2627" s="10" t="s">
        <v>3010</v>
      </c>
      <c r="D2627" s="16" t="s">
        <v>8309</v>
      </c>
      <c r="E2627" s="15" t="s">
        <v>11215</v>
      </c>
      <c r="F2627" s="16" t="str">
        <f>VLOOKUP(Table8[[#This Row],[Mã khách hàng]],code_khach_hang[],2,0)</f>
        <v>CHI NHÁNH HÀ NỘI - CÔNG TY CỔ PHẦN DỊCH VỤ THƯƠNG MẠI TỔNG HỢP WINCOMMERCE</v>
      </c>
      <c r="G2627" s="16" t="str">
        <f>VLOOKUP(Table8[[#This Row],[Mã khách hàng]],code_khach_hang[],3,0)</f>
        <v>Miền Bắc đặc biệt 1</v>
      </c>
      <c r="H2627" t="str">
        <f>VLOOKUP(Table8[[#This Row],[Mã khách hàng]],'Khách hàng'!A:D,4,0)</f>
        <v>Food Đức Việt</v>
      </c>
      <c r="I2627" t="str">
        <f>VLOOKUP(Table8[[#This Row],[Mã khách hàng]],'Khách hàng'!A:E,5,0)</f>
        <v>HN0040</v>
      </c>
    </row>
    <row r="2628" spans="1:9">
      <c r="A2628" s="14" t="s">
        <v>3053</v>
      </c>
      <c r="B2628" s="15" t="s">
        <v>5</v>
      </c>
      <c r="C2628" s="10" t="s">
        <v>3054</v>
      </c>
      <c r="D2628" s="16" t="s">
        <v>8312</v>
      </c>
      <c r="E2628" s="15" t="s">
        <v>11215</v>
      </c>
      <c r="F2628" s="16" t="str">
        <f>VLOOKUP(Table8[[#This Row],[Mã khách hàng]],code_khach_hang[],2,0)</f>
        <v>CHI NHÁNH HÀ NỘI - CÔNG TY CỔ PHẦN DỊCH VỤ THƯƠNG MẠI TỔNG HỢP WINCOMMERCE</v>
      </c>
      <c r="G2628" s="16" t="str">
        <f>VLOOKUP(Table8[[#This Row],[Mã khách hàng]],code_khach_hang[],3,0)</f>
        <v>Miền Bắc đặc biệt 1</v>
      </c>
      <c r="H2628" t="str">
        <f>VLOOKUP(Table8[[#This Row],[Mã khách hàng]],'Khách hàng'!A:D,4,0)</f>
        <v>Food Đức Việt</v>
      </c>
      <c r="I2628" t="str">
        <f>VLOOKUP(Table8[[#This Row],[Mã khách hàng]],'Khách hàng'!A:E,5,0)</f>
        <v>HN0040</v>
      </c>
    </row>
    <row r="2629" spans="1:9">
      <c r="A2629" s="14" t="s">
        <v>3226</v>
      </c>
      <c r="B2629" s="15" t="s">
        <v>5</v>
      </c>
      <c r="C2629" s="10" t="s">
        <v>3227</v>
      </c>
      <c r="D2629" s="16" t="s">
        <v>8315</v>
      </c>
      <c r="E2629" s="15" t="s">
        <v>11215</v>
      </c>
      <c r="F2629" s="16" t="str">
        <f>VLOOKUP(Table8[[#This Row],[Mã khách hàng]],code_khach_hang[],2,0)</f>
        <v>CHI NHÁNH HÀ NỘI - CÔNG TY CỔ PHẦN DỊCH VỤ THƯƠNG MẠI TỔNG HỢP WINCOMMERCE</v>
      </c>
      <c r="G2629" s="16" t="str">
        <f>VLOOKUP(Table8[[#This Row],[Mã khách hàng]],code_khach_hang[],3,0)</f>
        <v>Miền Bắc đặc biệt 1</v>
      </c>
      <c r="H2629" t="str">
        <f>VLOOKUP(Table8[[#This Row],[Mã khách hàng]],'Khách hàng'!A:D,4,0)</f>
        <v>Food Đức Việt</v>
      </c>
      <c r="I2629" t="str">
        <f>VLOOKUP(Table8[[#This Row],[Mã khách hàng]],'Khách hàng'!A:E,5,0)</f>
        <v>HN0040</v>
      </c>
    </row>
    <row r="2630" spans="1:9">
      <c r="A2630" s="14" t="s">
        <v>3351</v>
      </c>
      <c r="B2630" s="15" t="s">
        <v>5</v>
      </c>
      <c r="C2630" s="10" t="s">
        <v>3352</v>
      </c>
      <c r="D2630" s="16" t="s">
        <v>8318</v>
      </c>
      <c r="E2630" s="15" t="s">
        <v>11207</v>
      </c>
      <c r="F2630" s="16" t="str">
        <f>VLOOKUP(Table8[[#This Row],[Mã khách hàng]],code_khach_hang[],2,0)</f>
        <v>CHI NHÁNH THÁI NGUYÊN - CÔNG TY CỔ PHẦN DỊCH VỤ THƯƠNG MẠI TỔNG HỢP WINCOMMERCE</v>
      </c>
      <c r="G2630" s="16" t="str">
        <f>VLOOKUP(Table8[[#This Row],[Mã khách hàng]],code_khach_hang[],3,0)</f>
        <v>Miền Bắc đặc biệt 2</v>
      </c>
      <c r="H2630" t="str">
        <f>VLOOKUP(Table8[[#This Row],[Mã khách hàng]],'Khách hàng'!A:D,4,0)</f>
        <v>Food Đức Việt</v>
      </c>
      <c r="I2630" t="str">
        <f>VLOOKUP(Table8[[#This Row],[Mã khách hàng]],'Khách hàng'!A:E,5,0)</f>
        <v>HN0040</v>
      </c>
    </row>
    <row r="2631" spans="1:9">
      <c r="A2631" s="14" t="s">
        <v>2952</v>
      </c>
      <c r="B2631" s="15" t="s">
        <v>5</v>
      </c>
      <c r="C2631" s="10" t="s">
        <v>2953</v>
      </c>
      <c r="D2631" s="16" t="s">
        <v>8321</v>
      </c>
      <c r="E2631" s="15" t="s">
        <v>11198</v>
      </c>
      <c r="F2631" s="16" t="str">
        <f>VLOOKUP(Table8[[#This Row],[Mã khách hàng]],code_khach_hang[],2,0)</f>
        <v>CHI NHÁNH HẢI PHÒNG - CÔNG TY CỔ PHẦN DỊCH VỤ THƯƠNG MẠI TỔNG HỢP WINCOMMERCE</v>
      </c>
      <c r="G2631" s="16" t="str">
        <f>VLOOKUP(Table8[[#This Row],[Mã khách hàng]],code_khach_hang[],3,0)</f>
        <v>Miền Bắc đặc biệt 3</v>
      </c>
      <c r="H2631" t="str">
        <f>VLOOKUP(Table8[[#This Row],[Mã khách hàng]],'Khách hàng'!A:D,4,0)</f>
        <v>Food Đức Việt</v>
      </c>
      <c r="I2631" t="str">
        <f>VLOOKUP(Table8[[#This Row],[Mã khách hàng]],'Khách hàng'!A:E,5,0)</f>
        <v>HN0040</v>
      </c>
    </row>
    <row r="2632" spans="1:9">
      <c r="A2632" s="14" t="s">
        <v>11140</v>
      </c>
      <c r="B2632" s="15" t="s">
        <v>5</v>
      </c>
      <c r="C2632" s="10" t="s">
        <v>13172</v>
      </c>
      <c r="D2632" s="16" t="s">
        <v>8324</v>
      </c>
      <c r="E2632" s="15" t="s">
        <v>11215</v>
      </c>
      <c r="F2632" s="16" t="str">
        <f>VLOOKUP(Table8[[#This Row],[Mã khách hàng]],code_khach_hang[],2,0)</f>
        <v>CHI NHÁNH HÀ NỘI - CÔNG TY CỔ PHẦN DỊCH VỤ THƯƠNG MẠI TỔNG HỢP WINCOMMERCE</v>
      </c>
      <c r="G2632" s="16" t="str">
        <f>VLOOKUP(Table8[[#This Row],[Mã khách hàng]],code_khach_hang[],3,0)</f>
        <v>Miền Bắc đặc biệt 1</v>
      </c>
      <c r="H2632" t="str">
        <f>VLOOKUP(Table8[[#This Row],[Mã khách hàng]],'Khách hàng'!A:D,4,0)</f>
        <v>Food Đức Việt</v>
      </c>
      <c r="I2632" t="str">
        <f>VLOOKUP(Table8[[#This Row],[Mã khách hàng]],'Khách hàng'!A:E,5,0)</f>
        <v>HN0040</v>
      </c>
    </row>
    <row r="2633" spans="1:9">
      <c r="A2633" s="14" t="s">
        <v>2908</v>
      </c>
      <c r="B2633" s="15" t="s">
        <v>5</v>
      </c>
      <c r="C2633" s="10" t="s">
        <v>2909</v>
      </c>
      <c r="D2633" s="16" t="s">
        <v>8327</v>
      </c>
      <c r="E2633" s="15" t="s">
        <v>11215</v>
      </c>
      <c r="F2633" s="16" t="str">
        <f>VLOOKUP(Table8[[#This Row],[Mã khách hàng]],code_khach_hang[],2,0)</f>
        <v>CHI NHÁNH HÀ NỘI - CÔNG TY CỔ PHẦN DỊCH VỤ THƯƠNG MẠI TỔNG HỢP WINCOMMERCE</v>
      </c>
      <c r="G2633" s="16" t="str">
        <f>VLOOKUP(Table8[[#This Row],[Mã khách hàng]],code_khach_hang[],3,0)</f>
        <v>Miền Bắc đặc biệt 1</v>
      </c>
      <c r="H2633" t="str">
        <f>VLOOKUP(Table8[[#This Row],[Mã khách hàng]],'Khách hàng'!A:D,4,0)</f>
        <v>Food Đức Việt</v>
      </c>
      <c r="I2633" t="str">
        <f>VLOOKUP(Table8[[#This Row],[Mã khách hàng]],'Khách hàng'!A:E,5,0)</f>
        <v>HN0040</v>
      </c>
    </row>
    <row r="2634" spans="1:9">
      <c r="A2634" s="14" t="s">
        <v>2976</v>
      </c>
      <c r="B2634" s="15" t="s">
        <v>5</v>
      </c>
      <c r="C2634" s="10" t="s">
        <v>2977</v>
      </c>
      <c r="D2634" s="16" t="s">
        <v>8330</v>
      </c>
      <c r="E2634" s="15" t="s">
        <v>11215</v>
      </c>
      <c r="F2634" s="16" t="str">
        <f>VLOOKUP(Table8[[#This Row],[Mã khách hàng]],code_khach_hang[],2,0)</f>
        <v>CHI NHÁNH HÀ NỘI - CÔNG TY CỔ PHẦN DỊCH VỤ THƯƠNG MẠI TỔNG HỢP WINCOMMERCE</v>
      </c>
      <c r="G2634" s="16" t="str">
        <f>VLOOKUP(Table8[[#This Row],[Mã khách hàng]],code_khach_hang[],3,0)</f>
        <v>Miền Bắc đặc biệt 1</v>
      </c>
      <c r="H2634" t="str">
        <f>VLOOKUP(Table8[[#This Row],[Mã khách hàng]],'Khách hàng'!A:D,4,0)</f>
        <v>Food Đức Việt</v>
      </c>
      <c r="I2634" t="str">
        <f>VLOOKUP(Table8[[#This Row],[Mã khách hàng]],'Khách hàng'!A:E,5,0)</f>
        <v>HN0040</v>
      </c>
    </row>
    <row r="2635" spans="1:9">
      <c r="A2635" s="14" t="s">
        <v>11141</v>
      </c>
      <c r="B2635" s="15" t="s">
        <v>5</v>
      </c>
      <c r="C2635" s="10" t="s">
        <v>13173</v>
      </c>
      <c r="D2635" s="16" t="s">
        <v>8333</v>
      </c>
      <c r="E2635" s="15" t="s">
        <v>11215</v>
      </c>
      <c r="F2635" s="16" t="str">
        <f>VLOOKUP(Table8[[#This Row],[Mã khách hàng]],code_khach_hang[],2,0)</f>
        <v>CHI NHÁNH HÀ NỘI - CÔNG TY CỔ PHẦN DỊCH VỤ THƯƠNG MẠI TỔNG HỢP WINCOMMERCE</v>
      </c>
      <c r="G2635" s="16" t="str">
        <f>VLOOKUP(Table8[[#This Row],[Mã khách hàng]],code_khach_hang[],3,0)</f>
        <v>Miền Bắc đặc biệt 1</v>
      </c>
      <c r="H2635" t="str">
        <f>VLOOKUP(Table8[[#This Row],[Mã khách hàng]],'Khách hàng'!A:D,4,0)</f>
        <v>Food Đức Việt</v>
      </c>
      <c r="I2635" t="str">
        <f>VLOOKUP(Table8[[#This Row],[Mã khách hàng]],'Khách hàng'!A:E,5,0)</f>
        <v>HN0040</v>
      </c>
    </row>
    <row r="2636" spans="1:9">
      <c r="A2636" s="14" t="s">
        <v>3015</v>
      </c>
      <c r="B2636" s="15" t="s">
        <v>5</v>
      </c>
      <c r="C2636" s="10" t="s">
        <v>13174</v>
      </c>
      <c r="D2636" s="16" t="s">
        <v>8336</v>
      </c>
      <c r="E2636" s="15" t="s">
        <v>11215</v>
      </c>
      <c r="F2636" s="16" t="str">
        <f>VLOOKUP(Table8[[#This Row],[Mã khách hàng]],code_khach_hang[],2,0)</f>
        <v>CHI NHÁNH HÀ NỘI - CÔNG TY CỔ PHẦN DỊCH VỤ THƯƠNG MẠI TỔNG HỢP WINCOMMERCE</v>
      </c>
      <c r="G2636" s="16" t="str">
        <f>VLOOKUP(Table8[[#This Row],[Mã khách hàng]],code_khach_hang[],3,0)</f>
        <v>Miền Bắc đặc biệt 1</v>
      </c>
      <c r="H2636" t="str">
        <f>VLOOKUP(Table8[[#This Row],[Mã khách hàng]],'Khách hàng'!A:D,4,0)</f>
        <v>Food Đức Việt</v>
      </c>
      <c r="I2636" t="str">
        <f>VLOOKUP(Table8[[#This Row],[Mã khách hàng]],'Khách hàng'!A:E,5,0)</f>
        <v>HN0040</v>
      </c>
    </row>
    <row r="2637" spans="1:9">
      <c r="A2637" s="14" t="s">
        <v>3056</v>
      </c>
      <c r="B2637" s="15" t="s">
        <v>5</v>
      </c>
      <c r="C2637" s="10" t="s">
        <v>3057</v>
      </c>
      <c r="D2637" s="16" t="s">
        <v>8339</v>
      </c>
      <c r="E2637" s="15" t="s">
        <v>11215</v>
      </c>
      <c r="F2637" s="16" t="str">
        <f>VLOOKUP(Table8[[#This Row],[Mã khách hàng]],code_khach_hang[],2,0)</f>
        <v>CHI NHÁNH HÀ NỘI - CÔNG TY CỔ PHẦN DỊCH VỤ THƯƠNG MẠI TỔNG HỢP WINCOMMERCE</v>
      </c>
      <c r="G2637" s="16" t="str">
        <f>VLOOKUP(Table8[[#This Row],[Mã khách hàng]],code_khach_hang[],3,0)</f>
        <v>Miền Bắc đặc biệt 1</v>
      </c>
      <c r="H2637" t="str">
        <f>VLOOKUP(Table8[[#This Row],[Mã khách hàng]],'Khách hàng'!A:D,4,0)</f>
        <v>Food Đức Việt</v>
      </c>
      <c r="I2637" t="str">
        <f>VLOOKUP(Table8[[#This Row],[Mã khách hàng]],'Khách hàng'!A:E,5,0)</f>
        <v>HN0040</v>
      </c>
    </row>
    <row r="2638" spans="1:9">
      <c r="A2638" s="14" t="s">
        <v>3062</v>
      </c>
      <c r="B2638" s="15" t="s">
        <v>5</v>
      </c>
      <c r="C2638" s="10" t="s">
        <v>3063</v>
      </c>
      <c r="D2638" s="16" t="s">
        <v>8342</v>
      </c>
      <c r="E2638" s="15" t="s">
        <v>11215</v>
      </c>
      <c r="F2638" s="16" t="str">
        <f>VLOOKUP(Table8[[#This Row],[Mã khách hàng]],code_khach_hang[],2,0)</f>
        <v>CHI NHÁNH HÀ NỘI - CÔNG TY CỔ PHẦN DỊCH VỤ THƯƠNG MẠI TỔNG HỢP WINCOMMERCE</v>
      </c>
      <c r="G2638" s="16" t="str">
        <f>VLOOKUP(Table8[[#This Row],[Mã khách hàng]],code_khach_hang[],3,0)</f>
        <v>Miền Bắc đặc biệt 1</v>
      </c>
      <c r="H2638" t="str">
        <f>VLOOKUP(Table8[[#This Row],[Mã khách hàng]],'Khách hàng'!A:D,4,0)</f>
        <v>Food Đức Việt</v>
      </c>
      <c r="I2638" t="str">
        <f>VLOOKUP(Table8[[#This Row],[Mã khách hàng]],'Khách hàng'!A:E,5,0)</f>
        <v>HN0040</v>
      </c>
    </row>
    <row r="2639" spans="1:9">
      <c r="A2639" s="14" t="s">
        <v>11142</v>
      </c>
      <c r="B2639" s="15" t="s">
        <v>5</v>
      </c>
      <c r="C2639" s="10" t="s">
        <v>13175</v>
      </c>
      <c r="D2639" s="16" t="s">
        <v>8345</v>
      </c>
      <c r="E2639" s="15" t="s">
        <v>11215</v>
      </c>
      <c r="F2639" s="16" t="str">
        <f>VLOOKUP(Table8[[#This Row],[Mã khách hàng]],code_khach_hang[],2,0)</f>
        <v>CHI NHÁNH HÀ NỘI - CÔNG TY CỔ PHẦN DỊCH VỤ THƯƠNG MẠI TỔNG HỢP WINCOMMERCE</v>
      </c>
      <c r="G2639" s="16" t="str">
        <f>VLOOKUP(Table8[[#This Row],[Mã khách hàng]],code_khach_hang[],3,0)</f>
        <v>Miền Bắc đặc biệt 1</v>
      </c>
      <c r="H2639" t="str">
        <f>VLOOKUP(Table8[[#This Row],[Mã khách hàng]],'Khách hàng'!A:D,4,0)</f>
        <v>Food Đức Việt</v>
      </c>
      <c r="I2639" t="str">
        <f>VLOOKUP(Table8[[#This Row],[Mã khách hàng]],'Khách hàng'!A:E,5,0)</f>
        <v>HN0040</v>
      </c>
    </row>
    <row r="2640" spans="1:9">
      <c r="A2640" s="14" t="s">
        <v>11143</v>
      </c>
      <c r="B2640" s="15" t="s">
        <v>5</v>
      </c>
      <c r="C2640" s="10" t="s">
        <v>13176</v>
      </c>
      <c r="D2640" s="16" t="s">
        <v>8348</v>
      </c>
      <c r="E2640" s="15" t="s">
        <v>11215</v>
      </c>
      <c r="F2640" s="16" t="str">
        <f>VLOOKUP(Table8[[#This Row],[Mã khách hàng]],code_khach_hang[],2,0)</f>
        <v>CHI NHÁNH HÀ NỘI - CÔNG TY CỔ PHẦN DỊCH VỤ THƯƠNG MẠI TỔNG HỢP WINCOMMERCE</v>
      </c>
      <c r="G2640" s="16" t="str">
        <f>VLOOKUP(Table8[[#This Row],[Mã khách hàng]],code_khach_hang[],3,0)</f>
        <v>Miền Bắc đặc biệt 1</v>
      </c>
      <c r="H2640" t="str">
        <f>VLOOKUP(Table8[[#This Row],[Mã khách hàng]],'Khách hàng'!A:D,4,0)</f>
        <v>Food Đức Việt</v>
      </c>
      <c r="I2640" t="str">
        <f>VLOOKUP(Table8[[#This Row],[Mã khách hàng]],'Khách hàng'!A:E,5,0)</f>
        <v>HN0040</v>
      </c>
    </row>
    <row r="2641" spans="1:9">
      <c r="A2641" s="14" t="s">
        <v>3136</v>
      </c>
      <c r="B2641" s="15" t="s">
        <v>5</v>
      </c>
      <c r="C2641" s="10" t="s">
        <v>3137</v>
      </c>
      <c r="D2641" s="16" t="s">
        <v>8351</v>
      </c>
      <c r="E2641" s="15" t="s">
        <v>11215</v>
      </c>
      <c r="F2641" s="16" t="str">
        <f>VLOOKUP(Table8[[#This Row],[Mã khách hàng]],code_khach_hang[],2,0)</f>
        <v>CHI NHÁNH HÀ NỘI - CÔNG TY CỔ PHẦN DỊCH VỤ THƯƠNG MẠI TỔNG HỢP WINCOMMERCE</v>
      </c>
      <c r="G2641" s="16" t="str">
        <f>VLOOKUP(Table8[[#This Row],[Mã khách hàng]],code_khach_hang[],3,0)</f>
        <v>Miền Bắc đặc biệt 1</v>
      </c>
      <c r="H2641" t="str">
        <f>VLOOKUP(Table8[[#This Row],[Mã khách hàng]],'Khách hàng'!A:D,4,0)</f>
        <v>Food Đức Việt</v>
      </c>
      <c r="I2641" t="str">
        <f>VLOOKUP(Table8[[#This Row],[Mã khách hàng]],'Khách hàng'!A:E,5,0)</f>
        <v>HN0040</v>
      </c>
    </row>
    <row r="2642" spans="1:9">
      <c r="A2642" s="14" t="s">
        <v>3282</v>
      </c>
      <c r="B2642" s="15" t="s">
        <v>5</v>
      </c>
      <c r="C2642" s="10" t="s">
        <v>3283</v>
      </c>
      <c r="D2642" s="16" t="s">
        <v>8354</v>
      </c>
      <c r="E2642" s="15" t="s">
        <v>11215</v>
      </c>
      <c r="F2642" s="16" t="str">
        <f>VLOOKUP(Table8[[#This Row],[Mã khách hàng]],code_khach_hang[],2,0)</f>
        <v>CHI NHÁNH HÀ NỘI - CÔNG TY CỔ PHẦN DỊCH VỤ THƯƠNG MẠI TỔNG HỢP WINCOMMERCE</v>
      </c>
      <c r="G2642" s="16" t="str">
        <f>VLOOKUP(Table8[[#This Row],[Mã khách hàng]],code_khach_hang[],3,0)</f>
        <v>Miền Bắc đặc biệt 1</v>
      </c>
      <c r="H2642" t="str">
        <f>VLOOKUP(Table8[[#This Row],[Mã khách hàng]],'Khách hàng'!A:D,4,0)</f>
        <v>Food Đức Việt</v>
      </c>
      <c r="I2642" t="str">
        <f>VLOOKUP(Table8[[#This Row],[Mã khách hàng]],'Khách hàng'!A:E,5,0)</f>
        <v>HN0040</v>
      </c>
    </row>
    <row r="2643" spans="1:9">
      <c r="A2643" s="14" t="s">
        <v>3006</v>
      </c>
      <c r="B2643" s="15" t="s">
        <v>5</v>
      </c>
      <c r="C2643" s="10" t="s">
        <v>3007</v>
      </c>
      <c r="D2643" s="16" t="s">
        <v>8357</v>
      </c>
      <c r="E2643" s="15" t="s">
        <v>11211</v>
      </c>
      <c r="F2643" s="16" t="str">
        <f>VLOOKUP(Table8[[#This Row],[Mã khách hàng]],code_khach_hang[],2,0)</f>
        <v>CHI NHÁNH NGHỆ AN - CÔNG TY CỔ PHẦN DỊCH VỤ THƯƠNG MẠI TỔNG HỢP WINCOMMERCE</v>
      </c>
      <c r="G2643" s="16" t="str">
        <f>VLOOKUP(Table8[[#This Row],[Mã khách hàng]],code_khach_hang[],3,0)</f>
        <v>Miền Trung đặc biệt 1</v>
      </c>
      <c r="H2643" t="str">
        <f>VLOOKUP(Table8[[#This Row],[Mã khách hàng]],'Khách hàng'!A:D,4,0)</f>
        <v>Food Đức Việt</v>
      </c>
      <c r="I2643" t="str">
        <f>VLOOKUP(Table8[[#This Row],[Mã khách hàng]],'Khách hàng'!A:E,5,0)</f>
        <v>HN0040</v>
      </c>
    </row>
    <row r="2644" spans="1:9">
      <c r="A2644" s="14" t="s">
        <v>3294</v>
      </c>
      <c r="B2644" s="15" t="s">
        <v>5</v>
      </c>
      <c r="C2644" s="10" t="s">
        <v>3295</v>
      </c>
      <c r="D2644" s="16" t="s">
        <v>8360</v>
      </c>
      <c r="E2644" s="15" t="s">
        <v>11203</v>
      </c>
      <c r="F2644" s="16" t="str">
        <f>VLOOKUP(Table8[[#This Row],[Mã khách hàng]],code_khach_hang[],2,0)</f>
        <v>CHI NHÁNH THANH HÓA - CÔNG TY CỔ PHẦN DỊCH VỤ THƯƠNG MẠI TỔNG HỢP WINCOMMERCE</v>
      </c>
      <c r="G2644" s="16" t="str">
        <f>VLOOKUP(Table8[[#This Row],[Mã khách hàng]],code_khach_hang[],3,0)</f>
        <v>Miền Trung đặc biệt 1</v>
      </c>
      <c r="H2644" t="str">
        <f>VLOOKUP(Table8[[#This Row],[Mã khách hàng]],'Khách hàng'!A:D,4,0)</f>
        <v>Food Đức Việt</v>
      </c>
      <c r="I2644" t="str">
        <f>VLOOKUP(Table8[[#This Row],[Mã khách hàng]],'Khách hàng'!A:E,5,0)</f>
        <v>HN0040</v>
      </c>
    </row>
    <row r="2645" spans="1:9">
      <c r="A2645" s="14" t="s">
        <v>2872</v>
      </c>
      <c r="B2645" s="15" t="s">
        <v>5</v>
      </c>
      <c r="C2645" s="10" t="s">
        <v>2873</v>
      </c>
      <c r="D2645" s="16" t="s">
        <v>8363</v>
      </c>
      <c r="E2645" s="15" t="s">
        <v>11199</v>
      </c>
      <c r="F2645" s="16" t="str">
        <f>VLOOKUP(Table8[[#This Row],[Mã khách hàng]],code_khach_hang[],2,0)</f>
        <v>CHI NHÁNH PHÚ THỌ - CÔNG TY CỔ PHẦN DỊCH VỤ THƯƠNG MẠI TỔNG HỢP WINCOMMERCE</v>
      </c>
      <c r="G2645" s="16" t="str">
        <f>VLOOKUP(Table8[[#This Row],[Mã khách hàng]],code_khach_hang[],3,0)</f>
        <v>Miền Bắc đặc biệt 1</v>
      </c>
      <c r="H2645" t="str">
        <f>VLOOKUP(Table8[[#This Row],[Mã khách hàng]],'Khách hàng'!A:D,4,0)</f>
        <v>Food Đức Việt</v>
      </c>
      <c r="I2645" t="str">
        <f>VLOOKUP(Table8[[#This Row],[Mã khách hàng]],'Khách hàng'!A:E,5,0)</f>
        <v>HN0040</v>
      </c>
    </row>
    <row r="2646" spans="1:9">
      <c r="A2646" s="14" t="s">
        <v>3000</v>
      </c>
      <c r="B2646" s="15" t="s">
        <v>5</v>
      </c>
      <c r="C2646" s="10" t="s">
        <v>3001</v>
      </c>
      <c r="D2646" s="16" t="s">
        <v>8366</v>
      </c>
      <c r="E2646" s="15" t="s">
        <v>11199</v>
      </c>
      <c r="F2646" s="16" t="str">
        <f>VLOOKUP(Table8[[#This Row],[Mã khách hàng]],code_khach_hang[],2,0)</f>
        <v>CHI NHÁNH PHÚ THỌ - CÔNG TY CỔ PHẦN DỊCH VỤ THƯƠNG MẠI TỔNG HỢP WINCOMMERCE</v>
      </c>
      <c r="G2646" s="16" t="str">
        <f>VLOOKUP(Table8[[#This Row],[Mã khách hàng]],code_khach_hang[],3,0)</f>
        <v>Miền Bắc đặc biệt 1</v>
      </c>
      <c r="H2646" t="str">
        <f>VLOOKUP(Table8[[#This Row],[Mã khách hàng]],'Khách hàng'!A:D,4,0)</f>
        <v>Food Đức Việt</v>
      </c>
      <c r="I2646" t="str">
        <f>VLOOKUP(Table8[[#This Row],[Mã khách hàng]],'Khách hàng'!A:E,5,0)</f>
        <v>HN0040</v>
      </c>
    </row>
    <row r="2647" spans="1:9">
      <c r="A2647" s="14" t="s">
        <v>3422</v>
      </c>
      <c r="B2647" s="15" t="s">
        <v>5</v>
      </c>
      <c r="C2647" s="10" t="s">
        <v>3423</v>
      </c>
      <c r="D2647" s="16" t="s">
        <v>8369</v>
      </c>
      <c r="E2647" s="15" t="s">
        <v>11199</v>
      </c>
      <c r="F2647" s="16" t="str">
        <f>VLOOKUP(Table8[[#This Row],[Mã khách hàng]],code_khach_hang[],2,0)</f>
        <v>CHI NHÁNH PHÚ THỌ - CÔNG TY CỔ PHẦN DỊCH VỤ THƯƠNG MẠI TỔNG HỢP WINCOMMERCE</v>
      </c>
      <c r="G2647" s="16" t="str">
        <f>VLOOKUP(Table8[[#This Row],[Mã khách hàng]],code_khach_hang[],3,0)</f>
        <v>Miền Bắc đặc biệt 1</v>
      </c>
      <c r="H2647" t="str">
        <f>VLOOKUP(Table8[[#This Row],[Mã khách hàng]],'Khách hàng'!A:D,4,0)</f>
        <v>Food Đức Việt</v>
      </c>
      <c r="I2647" t="str">
        <f>VLOOKUP(Table8[[#This Row],[Mã khách hàng]],'Khách hàng'!A:E,5,0)</f>
        <v>HN0040</v>
      </c>
    </row>
    <row r="2648" spans="1:9">
      <c r="A2648" s="14" t="s">
        <v>2780</v>
      </c>
      <c r="B2648" s="15" t="s">
        <v>5</v>
      </c>
      <c r="C2648" s="10" t="s">
        <v>2781</v>
      </c>
      <c r="D2648" s="16" t="s">
        <v>8372</v>
      </c>
      <c r="E2648" s="15" t="s">
        <v>11215</v>
      </c>
      <c r="F2648" s="16" t="str">
        <f>VLOOKUP(Table8[[#This Row],[Mã khách hàng]],code_khach_hang[],2,0)</f>
        <v>CHI NHÁNH HÀ NỘI - CÔNG TY CỔ PHẦN DỊCH VỤ THƯƠNG MẠI TỔNG HỢP WINCOMMERCE</v>
      </c>
      <c r="G2648" s="16" t="str">
        <f>VLOOKUP(Table8[[#This Row],[Mã khách hàng]],code_khach_hang[],3,0)</f>
        <v>Miền Bắc đặc biệt 1</v>
      </c>
      <c r="H2648" t="str">
        <f>VLOOKUP(Table8[[#This Row],[Mã khách hàng]],'Khách hàng'!A:D,4,0)</f>
        <v>Food Đức Việt</v>
      </c>
      <c r="I2648" t="str">
        <f>VLOOKUP(Table8[[#This Row],[Mã khách hàng]],'Khách hàng'!A:E,5,0)</f>
        <v>HN0040</v>
      </c>
    </row>
    <row r="2649" spans="1:9">
      <c r="A2649" s="14" t="s">
        <v>2937</v>
      </c>
      <c r="B2649" s="15" t="s">
        <v>5</v>
      </c>
      <c r="C2649" s="10" t="s">
        <v>2938</v>
      </c>
      <c r="D2649" s="16" t="s">
        <v>8375</v>
      </c>
      <c r="E2649" s="15" t="s">
        <v>11200</v>
      </c>
      <c r="F2649" s="16" t="str">
        <f>VLOOKUP(Table8[[#This Row],[Mã khách hàng]],code_khach_hang[],2,0)</f>
        <v>CHI NHÁNH THÁI BÌNH - CÔNG TY CỔ PHẦN DỊCH VỤ THƯƠNG MẠI TỔNG HỢP WINCOMMERCE</v>
      </c>
      <c r="G2649" s="16" t="str">
        <f>VLOOKUP(Table8[[#This Row],[Mã khách hàng]],code_khach_hang[],3,0)</f>
        <v>Miền Bắc đặc biệt 3</v>
      </c>
      <c r="H2649" t="str">
        <f>VLOOKUP(Table8[[#This Row],[Mã khách hàng]],'Khách hàng'!A:D,4,0)</f>
        <v>Food Đức Việt</v>
      </c>
      <c r="I2649" t="str">
        <f>VLOOKUP(Table8[[#This Row],[Mã khách hàng]],'Khách hàng'!A:E,5,0)</f>
        <v>HN0040</v>
      </c>
    </row>
    <row r="2650" spans="1:9">
      <c r="A2650" s="14" t="s">
        <v>9328</v>
      </c>
      <c r="B2650" s="15" t="s">
        <v>5</v>
      </c>
      <c r="C2650" s="10" t="s">
        <v>9329</v>
      </c>
      <c r="D2650" s="16" t="s">
        <v>8378</v>
      </c>
      <c r="E2650" s="15" t="s">
        <v>11205</v>
      </c>
      <c r="F2650" s="16" t="str">
        <f>VLOOKUP(Table8[[#This Row],[Mã khách hàng]],code_khach_hang[],2,0)</f>
        <v>CHI NHÁNH HÀ TĨNH - CÔNG TY CỔ PHẦN DỊCH VỤ THƯƠNG MẠI TỔNG HỢP WINCOMMERCE</v>
      </c>
      <c r="G2650" s="16" t="str">
        <f>VLOOKUP(Table8[[#This Row],[Mã khách hàng]],code_khach_hang[],3,0)</f>
        <v>Miền Trung đặc biệt 1</v>
      </c>
      <c r="H2650" t="str">
        <f>VLOOKUP(Table8[[#This Row],[Mã khách hàng]],'Khách hàng'!A:D,4,0)</f>
        <v>Food Đức Việt</v>
      </c>
      <c r="I2650" t="str">
        <f>VLOOKUP(Table8[[#This Row],[Mã khách hàng]],'Khách hàng'!A:E,5,0)</f>
        <v>HN0040</v>
      </c>
    </row>
    <row r="2651" spans="1:9">
      <c r="A2651" s="14" t="s">
        <v>3026</v>
      </c>
      <c r="B2651" s="15" t="s">
        <v>5</v>
      </c>
      <c r="C2651" s="10" t="s">
        <v>3027</v>
      </c>
      <c r="D2651" s="16" t="s">
        <v>8380</v>
      </c>
      <c r="E2651" s="15" t="s">
        <v>11198</v>
      </c>
      <c r="F2651" s="16" t="str">
        <f>VLOOKUP(Table8[[#This Row],[Mã khách hàng]],code_khach_hang[],2,0)</f>
        <v>CHI NHÁNH HẢI PHÒNG - CÔNG TY CỔ PHẦN DỊCH VỤ THƯƠNG MẠI TỔNG HỢP WINCOMMERCE</v>
      </c>
      <c r="G2651" s="16" t="str">
        <f>VLOOKUP(Table8[[#This Row],[Mã khách hàng]],code_khach_hang[],3,0)</f>
        <v>Miền Bắc đặc biệt 3</v>
      </c>
      <c r="H2651" t="str">
        <f>VLOOKUP(Table8[[#This Row],[Mã khách hàng]],'Khách hàng'!A:D,4,0)</f>
        <v>Food Đức Việt</v>
      </c>
      <c r="I2651" t="str">
        <f>VLOOKUP(Table8[[#This Row],[Mã khách hàng]],'Khách hàng'!A:E,5,0)</f>
        <v>HN0040</v>
      </c>
    </row>
    <row r="2652" spans="1:9">
      <c r="A2652" s="14" t="s">
        <v>3059</v>
      </c>
      <c r="B2652" s="15" t="s">
        <v>5</v>
      </c>
      <c r="C2652" s="10" t="s">
        <v>3060</v>
      </c>
      <c r="D2652" s="16" t="s">
        <v>8383</v>
      </c>
      <c r="E2652" s="15" t="s">
        <v>11198</v>
      </c>
      <c r="F2652" s="16" t="str">
        <f>VLOOKUP(Table8[[#This Row],[Mã khách hàng]],code_khach_hang[],2,0)</f>
        <v>CHI NHÁNH HẢI PHÒNG - CÔNG TY CỔ PHẦN DỊCH VỤ THƯƠNG MẠI TỔNG HỢP WINCOMMERCE</v>
      </c>
      <c r="G2652" s="16" t="str">
        <f>VLOOKUP(Table8[[#This Row],[Mã khách hàng]],code_khach_hang[],3,0)</f>
        <v>Miền Bắc đặc biệt 3</v>
      </c>
      <c r="H2652" t="str">
        <f>VLOOKUP(Table8[[#This Row],[Mã khách hàng]],'Khách hàng'!A:D,4,0)</f>
        <v>Food Đức Việt</v>
      </c>
      <c r="I2652" t="str">
        <f>VLOOKUP(Table8[[#This Row],[Mã khách hàng]],'Khách hàng'!A:E,5,0)</f>
        <v>HN0040</v>
      </c>
    </row>
    <row r="2653" spans="1:9">
      <c r="A2653" s="14" t="s">
        <v>3285</v>
      </c>
      <c r="B2653" s="15" t="s">
        <v>5</v>
      </c>
      <c r="C2653" s="10" t="s">
        <v>3286</v>
      </c>
      <c r="D2653" s="16" t="s">
        <v>8386</v>
      </c>
      <c r="E2653" s="15" t="s">
        <v>11211</v>
      </c>
      <c r="F2653" s="16" t="str">
        <f>VLOOKUP(Table8[[#This Row],[Mã khách hàng]],code_khach_hang[],2,0)</f>
        <v>CHI NHÁNH NGHỆ AN - CÔNG TY CỔ PHẦN DỊCH VỤ THƯƠNG MẠI TỔNG HỢP WINCOMMERCE</v>
      </c>
      <c r="G2653" s="16" t="str">
        <f>VLOOKUP(Table8[[#This Row],[Mã khách hàng]],code_khach_hang[],3,0)</f>
        <v>Miền Trung đặc biệt 1</v>
      </c>
      <c r="H2653" t="str">
        <f>VLOOKUP(Table8[[#This Row],[Mã khách hàng]],'Khách hàng'!A:D,4,0)</f>
        <v>Food Đức Việt</v>
      </c>
      <c r="I2653" t="str">
        <f>VLOOKUP(Table8[[#This Row],[Mã khách hàng]],'Khách hàng'!A:E,5,0)</f>
        <v>HN0040</v>
      </c>
    </row>
    <row r="2654" spans="1:9">
      <c r="A2654" s="14" t="s">
        <v>3357</v>
      </c>
      <c r="B2654" s="15" t="s">
        <v>5</v>
      </c>
      <c r="C2654" s="10" t="s">
        <v>3358</v>
      </c>
      <c r="D2654" s="16" t="s">
        <v>8389</v>
      </c>
      <c r="E2654" s="15" t="s">
        <v>11203</v>
      </c>
      <c r="F2654" s="16" t="str">
        <f>VLOOKUP(Table8[[#This Row],[Mã khách hàng]],code_khach_hang[],2,0)</f>
        <v>CHI NHÁNH THANH HÓA - CÔNG TY CỔ PHẦN DỊCH VỤ THƯƠNG MẠI TỔNG HỢP WINCOMMERCE</v>
      </c>
      <c r="G2654" s="16" t="str">
        <f>VLOOKUP(Table8[[#This Row],[Mã khách hàng]],code_khach_hang[],3,0)</f>
        <v>Miền Trung đặc biệt 1</v>
      </c>
      <c r="H2654" t="str">
        <f>VLOOKUP(Table8[[#This Row],[Mã khách hàng]],'Khách hàng'!A:D,4,0)</f>
        <v>Food Đức Việt</v>
      </c>
      <c r="I2654" t="str">
        <f>VLOOKUP(Table8[[#This Row],[Mã khách hàng]],'Khách hàng'!A:E,5,0)</f>
        <v>HN0040</v>
      </c>
    </row>
    <row r="2655" spans="1:9">
      <c r="A2655" s="14" t="s">
        <v>3363</v>
      </c>
      <c r="B2655" s="15" t="s">
        <v>5</v>
      </c>
      <c r="C2655" s="10" t="s">
        <v>3364</v>
      </c>
      <c r="D2655" s="16" t="s">
        <v>8392</v>
      </c>
      <c r="E2655" s="15" t="s">
        <v>11197</v>
      </c>
      <c r="F2655" s="16" t="str">
        <f>VLOOKUP(Table8[[#This Row],[Mã khách hàng]],code_khach_hang[],2,0)</f>
        <v>CHI NHÁNH QUẢNG NINH - CÔNG TY CỔ PHẦN DỊCH VỤ THƯƠNG MẠI TỔNG HỢP WINCOMMERCE</v>
      </c>
      <c r="G2655" s="16" t="str">
        <f>VLOOKUP(Table8[[#This Row],[Mã khách hàng]],code_khach_hang[],3,0)</f>
        <v>Miền Bắc đặc biệt 3</v>
      </c>
      <c r="H2655" t="str">
        <f>VLOOKUP(Table8[[#This Row],[Mã khách hàng]],'Khách hàng'!A:D,4,0)</f>
        <v>Food Đức Việt</v>
      </c>
      <c r="I2655" t="str">
        <f>VLOOKUP(Table8[[#This Row],[Mã khách hàng]],'Khách hàng'!A:E,5,0)</f>
        <v>HN0040</v>
      </c>
    </row>
    <row r="2656" spans="1:9">
      <c r="A2656" s="14" t="s">
        <v>3419</v>
      </c>
      <c r="B2656" s="15" t="s">
        <v>5</v>
      </c>
      <c r="C2656" s="10" t="s">
        <v>3420</v>
      </c>
      <c r="D2656" s="16" t="s">
        <v>8395</v>
      </c>
      <c r="E2656" s="15" t="s">
        <v>11198</v>
      </c>
      <c r="F2656" s="16" t="str">
        <f>VLOOKUP(Table8[[#This Row],[Mã khách hàng]],code_khach_hang[],2,0)</f>
        <v>CHI NHÁNH HẢI PHÒNG - CÔNG TY CỔ PHẦN DỊCH VỤ THƯƠNG MẠI TỔNG HỢP WINCOMMERCE</v>
      </c>
      <c r="G2656" s="16" t="str">
        <f>VLOOKUP(Table8[[#This Row],[Mã khách hàng]],code_khach_hang[],3,0)</f>
        <v>Miền Bắc đặc biệt 3</v>
      </c>
      <c r="H2656" t="str">
        <f>VLOOKUP(Table8[[#This Row],[Mã khách hàng]],'Khách hàng'!A:D,4,0)</f>
        <v>Food Đức Việt</v>
      </c>
      <c r="I2656" t="str">
        <f>VLOOKUP(Table8[[#This Row],[Mã khách hàng]],'Khách hàng'!A:E,5,0)</f>
        <v>HN0040</v>
      </c>
    </row>
    <row r="2657" spans="1:9">
      <c r="A2657" s="14" t="s">
        <v>3434</v>
      </c>
      <c r="B2657" s="15" t="s">
        <v>5</v>
      </c>
      <c r="C2657" s="10" t="s">
        <v>3435</v>
      </c>
      <c r="D2657" s="16" t="s">
        <v>8398</v>
      </c>
      <c r="E2657" s="15" t="s">
        <v>11211</v>
      </c>
      <c r="F2657" s="16" t="str">
        <f>VLOOKUP(Table8[[#This Row],[Mã khách hàng]],code_khach_hang[],2,0)</f>
        <v>CHI NHÁNH NGHỆ AN - CÔNG TY CỔ PHẦN DỊCH VỤ THƯƠNG MẠI TỔNG HỢP WINCOMMERCE</v>
      </c>
      <c r="G2657" s="16" t="str">
        <f>VLOOKUP(Table8[[#This Row],[Mã khách hàng]],code_khach_hang[],3,0)</f>
        <v>Miền Trung đặc biệt 1</v>
      </c>
      <c r="H2657" t="str">
        <f>VLOOKUP(Table8[[#This Row],[Mã khách hàng]],'Khách hàng'!A:D,4,0)</f>
        <v>Food Đức Việt</v>
      </c>
      <c r="I2657" t="str">
        <f>VLOOKUP(Table8[[#This Row],[Mã khách hàng]],'Khách hàng'!A:E,5,0)</f>
        <v>HN0040</v>
      </c>
    </row>
    <row r="2658" spans="1:9">
      <c r="A2658" s="14" t="s">
        <v>3494</v>
      </c>
      <c r="B2658" s="15" t="s">
        <v>5</v>
      </c>
      <c r="C2658" s="10" t="s">
        <v>3495</v>
      </c>
      <c r="D2658" s="16" t="s">
        <v>8401</v>
      </c>
      <c r="E2658" s="15" t="s">
        <v>11203</v>
      </c>
      <c r="F2658" s="16" t="str">
        <f>VLOOKUP(Table8[[#This Row],[Mã khách hàng]],code_khach_hang[],2,0)</f>
        <v>CHI NHÁNH THANH HÓA - CÔNG TY CỔ PHẦN DỊCH VỤ THƯƠNG MẠI TỔNG HỢP WINCOMMERCE</v>
      </c>
      <c r="G2658" s="16" t="str">
        <f>VLOOKUP(Table8[[#This Row],[Mã khách hàng]],code_khach_hang[],3,0)</f>
        <v>Miền Trung đặc biệt 1</v>
      </c>
      <c r="H2658" t="str">
        <f>VLOOKUP(Table8[[#This Row],[Mã khách hàng]],'Khách hàng'!A:D,4,0)</f>
        <v>Food Đức Việt</v>
      </c>
      <c r="I2658" t="str">
        <f>VLOOKUP(Table8[[#This Row],[Mã khách hàng]],'Khách hàng'!A:E,5,0)</f>
        <v>HN0040</v>
      </c>
    </row>
    <row r="2659" spans="1:9">
      <c r="A2659" s="14" t="s">
        <v>3560</v>
      </c>
      <c r="B2659" s="15" t="s">
        <v>5</v>
      </c>
      <c r="C2659" s="10" t="s">
        <v>3561</v>
      </c>
      <c r="D2659" s="16" t="s">
        <v>8403</v>
      </c>
      <c r="E2659" s="15" t="s">
        <v>11211</v>
      </c>
      <c r="F2659" s="16" t="str">
        <f>VLOOKUP(Table8[[#This Row],[Mã khách hàng]],code_khach_hang[],2,0)</f>
        <v>CHI NHÁNH NGHỆ AN - CÔNG TY CỔ PHẦN DỊCH VỤ THƯƠNG MẠI TỔNG HỢP WINCOMMERCE</v>
      </c>
      <c r="G2659" s="16" t="str">
        <f>VLOOKUP(Table8[[#This Row],[Mã khách hàng]],code_khach_hang[],3,0)</f>
        <v>Miền Trung đặc biệt 1</v>
      </c>
      <c r="H2659" t="str">
        <f>VLOOKUP(Table8[[#This Row],[Mã khách hàng]],'Khách hàng'!A:D,4,0)</f>
        <v>Food Đức Việt</v>
      </c>
      <c r="I2659" t="str">
        <f>VLOOKUP(Table8[[#This Row],[Mã khách hàng]],'Khách hàng'!A:E,5,0)</f>
        <v>HN0040</v>
      </c>
    </row>
    <row r="2660" spans="1:9">
      <c r="A2660" s="14" t="s">
        <v>2783</v>
      </c>
      <c r="B2660" s="15" t="s">
        <v>5</v>
      </c>
      <c r="C2660" s="10" t="s">
        <v>2784</v>
      </c>
      <c r="D2660" s="16" t="s">
        <v>8406</v>
      </c>
      <c r="E2660" s="15" t="s">
        <v>11193</v>
      </c>
      <c r="F2660" s="16" t="str">
        <f>VLOOKUP(Table8[[#This Row],[Mã khách hàng]],code_khach_hang[],2,0)</f>
        <v>CHI NHÁNH BẮC NINH - CÔNG TY CỔ PHẦN DỊCH VỤ THƯƠNG MẠI TỔNG HỢP WINCOMMERCE</v>
      </c>
      <c r="G2660" s="16" t="str">
        <f>VLOOKUP(Table8[[#This Row],[Mã khách hàng]],code_khach_hang[],3,0)</f>
        <v>Miền Bắc đặc biệt 2</v>
      </c>
      <c r="H2660" t="str">
        <f>VLOOKUP(Table8[[#This Row],[Mã khách hàng]],'Khách hàng'!A:D,4,0)</f>
        <v>Food Đức Việt</v>
      </c>
      <c r="I2660" t="str">
        <f>VLOOKUP(Table8[[#This Row],[Mã khách hàng]],'Khách hàng'!A:E,5,0)</f>
        <v>HN0040</v>
      </c>
    </row>
    <row r="2661" spans="1:9">
      <c r="A2661" s="14" t="s">
        <v>3297</v>
      </c>
      <c r="B2661" s="15" t="s">
        <v>5</v>
      </c>
      <c r="C2661" s="10" t="s">
        <v>3298</v>
      </c>
      <c r="D2661" s="16" t="s">
        <v>8409</v>
      </c>
      <c r="E2661" s="15" t="s">
        <v>11203</v>
      </c>
      <c r="F2661" s="16" t="str">
        <f>VLOOKUP(Table8[[#This Row],[Mã khách hàng]],code_khach_hang[],2,0)</f>
        <v>CHI NHÁNH THANH HÓA - CÔNG TY CỔ PHẦN DỊCH VỤ THƯƠNG MẠI TỔNG HỢP WINCOMMERCE</v>
      </c>
      <c r="G2661" s="16" t="str">
        <f>VLOOKUP(Table8[[#This Row],[Mã khách hàng]],code_khach_hang[],3,0)</f>
        <v>Miền Trung đặc biệt 1</v>
      </c>
      <c r="H2661" t="str">
        <f>VLOOKUP(Table8[[#This Row],[Mã khách hàng]],'Khách hàng'!A:D,4,0)</f>
        <v>Food Đức Việt</v>
      </c>
      <c r="I2661" t="str">
        <f>VLOOKUP(Table8[[#This Row],[Mã khách hàng]],'Khách hàng'!A:E,5,0)</f>
        <v>HN0040</v>
      </c>
    </row>
    <row r="2662" spans="1:9">
      <c r="A2662" s="14" t="s">
        <v>3669</v>
      </c>
      <c r="B2662" s="15" t="s">
        <v>5</v>
      </c>
      <c r="C2662" s="10" t="s">
        <v>3670</v>
      </c>
      <c r="D2662" s="16" t="s">
        <v>8412</v>
      </c>
      <c r="E2662" s="15" t="s">
        <v>11215</v>
      </c>
      <c r="F2662" s="16" t="str">
        <f>VLOOKUP(Table8[[#This Row],[Mã khách hàng]],code_khach_hang[],2,0)</f>
        <v>CHI NHÁNH HÀ NỘI - CÔNG TY CỔ PHẦN DỊCH VỤ THƯƠNG MẠI TỔNG HỢP WINCOMMERCE</v>
      </c>
      <c r="G2662" s="16" t="str">
        <f>VLOOKUP(Table8[[#This Row],[Mã khách hàng]],code_khach_hang[],3,0)</f>
        <v>Miền Bắc đặc biệt 1</v>
      </c>
      <c r="H2662" t="str">
        <f>VLOOKUP(Table8[[#This Row],[Mã khách hàng]],'Khách hàng'!A:D,4,0)</f>
        <v>Food Đức Việt</v>
      </c>
      <c r="I2662" t="str">
        <f>VLOOKUP(Table8[[#This Row],[Mã khách hàng]],'Khách hàng'!A:E,5,0)</f>
        <v>HN0040</v>
      </c>
    </row>
    <row r="2663" spans="1:9">
      <c r="A2663" s="14" t="s">
        <v>3288</v>
      </c>
      <c r="B2663" s="15" t="s">
        <v>5</v>
      </c>
      <c r="C2663" s="10" t="s">
        <v>3289</v>
      </c>
      <c r="D2663" s="16" t="s">
        <v>8415</v>
      </c>
      <c r="E2663" s="15" t="s">
        <v>11211</v>
      </c>
      <c r="F2663" s="16" t="str">
        <f>VLOOKUP(Table8[[#This Row],[Mã khách hàng]],code_khach_hang[],2,0)</f>
        <v>CHI NHÁNH NGHỆ AN - CÔNG TY CỔ PHẦN DỊCH VỤ THƯƠNG MẠI TỔNG HỢP WINCOMMERCE</v>
      </c>
      <c r="G2663" s="16" t="str">
        <f>VLOOKUP(Table8[[#This Row],[Mã khách hàng]],code_khach_hang[],3,0)</f>
        <v>Miền Trung đặc biệt 1</v>
      </c>
      <c r="H2663" t="str">
        <f>VLOOKUP(Table8[[#This Row],[Mã khách hàng]],'Khách hàng'!A:D,4,0)</f>
        <v>Food Đức Việt</v>
      </c>
      <c r="I2663" t="str">
        <f>VLOOKUP(Table8[[#This Row],[Mã khách hàng]],'Khách hàng'!A:E,5,0)</f>
        <v>HN0040</v>
      </c>
    </row>
    <row r="2664" spans="1:9">
      <c r="A2664" s="14" t="s">
        <v>3038</v>
      </c>
      <c r="B2664" s="15" t="s">
        <v>5</v>
      </c>
      <c r="C2664" s="10" t="s">
        <v>3039</v>
      </c>
      <c r="D2664" s="16" t="s">
        <v>8418</v>
      </c>
      <c r="E2664" s="15" t="s">
        <v>11196</v>
      </c>
      <c r="F2664" s="16" t="str">
        <f>VLOOKUP(Table8[[#This Row],[Mã khách hàng]],code_khach_hang[],2,0)</f>
        <v>CHI NHÁNH NINH BÌNH - CÔNG TY CỔ PHẦN DỊCH VỤ THƯƠNG MẠI TỔNG HỢP WINCOMMERCE</v>
      </c>
      <c r="G2664" s="16" t="str">
        <f>VLOOKUP(Table8[[#This Row],[Mã khách hàng]],code_khach_hang[],3,0)</f>
        <v>Miền Bắc đặc biệt 3</v>
      </c>
      <c r="H2664" t="str">
        <f>VLOOKUP(Table8[[#This Row],[Mã khách hàng]],'Khách hàng'!A:D,4,0)</f>
        <v>Food Đức Việt</v>
      </c>
      <c r="I2664" t="str">
        <f>VLOOKUP(Table8[[#This Row],[Mã khách hàng]],'Khách hàng'!A:E,5,0)</f>
        <v>HN0040</v>
      </c>
    </row>
    <row r="2665" spans="1:9">
      <c r="A2665" s="14" t="s">
        <v>3050</v>
      </c>
      <c r="B2665" s="15" t="s">
        <v>5</v>
      </c>
      <c r="C2665" s="10" t="s">
        <v>3051</v>
      </c>
      <c r="D2665" s="16" t="s">
        <v>8421</v>
      </c>
      <c r="E2665" s="15" t="s">
        <v>11215</v>
      </c>
      <c r="F2665" s="16" t="str">
        <f>VLOOKUP(Table8[[#This Row],[Mã khách hàng]],code_khach_hang[],2,0)</f>
        <v>CHI NHÁNH HÀ NỘI - CÔNG TY CỔ PHẦN DỊCH VỤ THƯƠNG MẠI TỔNG HỢP WINCOMMERCE</v>
      </c>
      <c r="G2665" s="16" t="str">
        <f>VLOOKUP(Table8[[#This Row],[Mã khách hàng]],code_khach_hang[],3,0)</f>
        <v>Miền Bắc đặc biệt 1</v>
      </c>
      <c r="H2665" t="str">
        <f>VLOOKUP(Table8[[#This Row],[Mã khách hàng]],'Khách hàng'!A:D,4,0)</f>
        <v>Food Đức Việt</v>
      </c>
      <c r="I2665" t="str">
        <f>VLOOKUP(Table8[[#This Row],[Mã khách hàng]],'Khách hàng'!A:E,5,0)</f>
        <v>HN0040</v>
      </c>
    </row>
    <row r="2666" spans="1:9">
      <c r="A2666" s="14" t="s">
        <v>3563</v>
      </c>
      <c r="B2666" s="15" t="s">
        <v>5</v>
      </c>
      <c r="C2666" s="10" t="s">
        <v>3564</v>
      </c>
      <c r="D2666" s="16" t="s">
        <v>8424</v>
      </c>
      <c r="E2666" s="15" t="s">
        <v>11203</v>
      </c>
      <c r="F2666" s="16" t="str">
        <f>VLOOKUP(Table8[[#This Row],[Mã khách hàng]],code_khach_hang[],2,0)</f>
        <v>CHI NHÁNH THANH HÓA - CÔNG TY CỔ PHẦN DỊCH VỤ THƯƠNG MẠI TỔNG HỢP WINCOMMERCE</v>
      </c>
      <c r="G2666" s="16" t="str">
        <f>VLOOKUP(Table8[[#This Row],[Mã khách hàng]],code_khach_hang[],3,0)</f>
        <v>Miền Trung đặc biệt 1</v>
      </c>
      <c r="H2666" t="str">
        <f>VLOOKUP(Table8[[#This Row],[Mã khách hàng]],'Khách hàng'!A:D,4,0)</f>
        <v>Food Đức Việt</v>
      </c>
      <c r="I2666" t="str">
        <f>VLOOKUP(Table8[[#This Row],[Mã khách hàng]],'Khách hàng'!A:E,5,0)</f>
        <v>HN0040</v>
      </c>
    </row>
    <row r="2667" spans="1:9">
      <c r="A2667" s="14" t="s">
        <v>3684</v>
      </c>
      <c r="B2667" s="15" t="s">
        <v>5</v>
      </c>
      <c r="C2667" s="10" t="s">
        <v>3685</v>
      </c>
      <c r="D2667" s="16" t="s">
        <v>8427</v>
      </c>
      <c r="E2667" s="15" t="s">
        <v>11215</v>
      </c>
      <c r="F2667" s="16" t="str">
        <f>VLOOKUP(Table8[[#This Row],[Mã khách hàng]],code_khach_hang[],2,0)</f>
        <v>CHI NHÁNH HÀ NỘI - CÔNG TY CỔ PHẦN DỊCH VỤ THƯƠNG MẠI TỔNG HỢP WINCOMMERCE</v>
      </c>
      <c r="G2667" s="16" t="str">
        <f>VLOOKUP(Table8[[#This Row],[Mã khách hàng]],code_khach_hang[],3,0)</f>
        <v>Miền Bắc đặc biệt 1</v>
      </c>
      <c r="H2667" t="str">
        <f>VLOOKUP(Table8[[#This Row],[Mã khách hàng]],'Khách hàng'!A:D,4,0)</f>
        <v>Food Đức Việt</v>
      </c>
      <c r="I2667" t="str">
        <f>VLOOKUP(Table8[[#This Row],[Mã khách hàng]],'Khách hàng'!A:E,5,0)</f>
        <v>HN0040</v>
      </c>
    </row>
    <row r="2668" spans="1:9">
      <c r="A2668" s="14" t="s">
        <v>3142</v>
      </c>
      <c r="B2668" s="15" t="s">
        <v>5</v>
      </c>
      <c r="C2668" s="10" t="s">
        <v>3143</v>
      </c>
      <c r="D2668" s="16" t="s">
        <v>8430</v>
      </c>
      <c r="E2668" s="15" t="s">
        <v>11215</v>
      </c>
      <c r="F2668" s="16" t="str">
        <f>VLOOKUP(Table8[[#This Row],[Mã khách hàng]],code_khach_hang[],2,0)</f>
        <v>CHI NHÁNH HÀ NỘI - CÔNG TY CỔ PHẦN DỊCH VỤ THƯƠNG MẠI TỔNG HỢP WINCOMMERCE</v>
      </c>
      <c r="G2668" s="16" t="str">
        <f>VLOOKUP(Table8[[#This Row],[Mã khách hàng]],code_khach_hang[],3,0)</f>
        <v>Miền Bắc đặc biệt 1</v>
      </c>
      <c r="H2668" t="str">
        <f>VLOOKUP(Table8[[#This Row],[Mã khách hàng]],'Khách hàng'!A:D,4,0)</f>
        <v>Food Đức Việt</v>
      </c>
      <c r="I2668" t="str">
        <f>VLOOKUP(Table8[[#This Row],[Mã khách hàng]],'Khách hàng'!A:E,5,0)</f>
        <v>HN0040</v>
      </c>
    </row>
    <row r="2669" spans="1:9">
      <c r="A2669" s="14" t="s">
        <v>3437</v>
      </c>
      <c r="B2669" s="15" t="s">
        <v>5</v>
      </c>
      <c r="C2669" s="10" t="s">
        <v>3438</v>
      </c>
      <c r="D2669" s="16" t="s">
        <v>8433</v>
      </c>
      <c r="E2669" s="15" t="s">
        <v>11205</v>
      </c>
      <c r="F2669" s="16" t="str">
        <f>VLOOKUP(Table8[[#This Row],[Mã khách hàng]],code_khach_hang[],2,0)</f>
        <v>CHI NHÁNH HÀ TĨNH - CÔNG TY CỔ PHẦN DỊCH VỤ THƯƠNG MẠI TỔNG HỢP WINCOMMERCE</v>
      </c>
      <c r="G2669" s="16" t="str">
        <f>VLOOKUP(Table8[[#This Row],[Mã khách hàng]],code_khach_hang[],3,0)</f>
        <v>Miền Trung đặc biệt 1</v>
      </c>
      <c r="H2669" t="str">
        <f>VLOOKUP(Table8[[#This Row],[Mã khách hàng]],'Khách hàng'!A:D,4,0)</f>
        <v>Food Đức Việt</v>
      </c>
      <c r="I2669" t="str">
        <f>VLOOKUP(Table8[[#This Row],[Mã khách hàng]],'Khách hàng'!A:E,5,0)</f>
        <v>HN0040</v>
      </c>
    </row>
    <row r="2670" spans="1:9">
      <c r="A2670" s="14" t="s">
        <v>3844</v>
      </c>
      <c r="B2670" s="15" t="s">
        <v>5</v>
      </c>
      <c r="C2670" s="10" t="s">
        <v>3845</v>
      </c>
      <c r="D2670" s="16" t="s">
        <v>8436</v>
      </c>
      <c r="E2670" s="15" t="s">
        <v>11211</v>
      </c>
      <c r="F2670" s="16" t="str">
        <f>VLOOKUP(Table8[[#This Row],[Mã khách hàng]],code_khach_hang[],2,0)</f>
        <v>CHI NHÁNH NGHỆ AN - CÔNG TY CỔ PHẦN DỊCH VỤ THƯƠNG MẠI TỔNG HỢP WINCOMMERCE</v>
      </c>
      <c r="G2670" s="16" t="str">
        <f>VLOOKUP(Table8[[#This Row],[Mã khách hàng]],code_khach_hang[],3,0)</f>
        <v>Miền Trung đặc biệt 1</v>
      </c>
      <c r="H2670" t="str">
        <f>VLOOKUP(Table8[[#This Row],[Mã khách hàng]],'Khách hàng'!A:D,4,0)</f>
        <v>Food Đức Việt</v>
      </c>
      <c r="I2670" t="str">
        <f>VLOOKUP(Table8[[#This Row],[Mã khách hàng]],'Khách hàng'!A:E,5,0)</f>
        <v>HN0040</v>
      </c>
    </row>
    <row r="2671" spans="1:9">
      <c r="A2671" s="14" t="s">
        <v>3865</v>
      </c>
      <c r="B2671" s="15" t="s">
        <v>5</v>
      </c>
      <c r="C2671" s="10" t="s">
        <v>3866</v>
      </c>
      <c r="D2671" s="16" t="s">
        <v>8438</v>
      </c>
      <c r="E2671" s="15" t="s">
        <v>11198</v>
      </c>
      <c r="F2671" s="16" t="str">
        <f>VLOOKUP(Table8[[#This Row],[Mã khách hàng]],code_khach_hang[],2,0)</f>
        <v>CHI NHÁNH HẢI PHÒNG - CÔNG TY CỔ PHẦN DỊCH VỤ THƯƠNG MẠI TỔNG HỢP WINCOMMERCE</v>
      </c>
      <c r="G2671" s="16" t="str">
        <f>VLOOKUP(Table8[[#This Row],[Mã khách hàng]],code_khach_hang[],3,0)</f>
        <v>Miền Bắc đặc biệt 3</v>
      </c>
      <c r="H2671" t="str">
        <f>VLOOKUP(Table8[[#This Row],[Mã khách hàng]],'Khách hàng'!A:D,4,0)</f>
        <v>Food Đức Việt</v>
      </c>
      <c r="I2671" t="str">
        <f>VLOOKUP(Table8[[#This Row],[Mã khách hàng]],'Khách hàng'!A:E,5,0)</f>
        <v>HN0040</v>
      </c>
    </row>
    <row r="2672" spans="1:9">
      <c r="A2672" s="14" t="s">
        <v>3612</v>
      </c>
      <c r="B2672" s="15" t="s">
        <v>5</v>
      </c>
      <c r="C2672" s="10" t="s">
        <v>3613</v>
      </c>
      <c r="D2672" s="16" t="s">
        <v>8441</v>
      </c>
      <c r="E2672" s="15" t="s">
        <v>11198</v>
      </c>
      <c r="F2672" s="16" t="str">
        <f>VLOOKUP(Table8[[#This Row],[Mã khách hàng]],code_khach_hang[],2,0)</f>
        <v>CHI NHÁNH HẢI PHÒNG - CÔNG TY CỔ PHẦN DỊCH VỤ THƯƠNG MẠI TỔNG HỢP WINCOMMERCE</v>
      </c>
      <c r="G2672" s="16" t="str">
        <f>VLOOKUP(Table8[[#This Row],[Mã khách hàng]],code_khach_hang[],3,0)</f>
        <v>Miền Bắc đặc biệt 3</v>
      </c>
      <c r="H2672" t="str">
        <f>VLOOKUP(Table8[[#This Row],[Mã khách hàng]],'Khách hàng'!A:D,4,0)</f>
        <v>Food Đức Việt</v>
      </c>
      <c r="I2672" t="str">
        <f>VLOOKUP(Table8[[#This Row],[Mã khách hàng]],'Khách hàng'!A:E,5,0)</f>
        <v>HN0040</v>
      </c>
    </row>
    <row r="2673" spans="1:9">
      <c r="A2673" s="14" t="s">
        <v>3425</v>
      </c>
      <c r="B2673" s="15" t="s">
        <v>5</v>
      </c>
      <c r="C2673" s="10" t="s">
        <v>3426</v>
      </c>
      <c r="D2673" s="16" t="s">
        <v>8444</v>
      </c>
      <c r="E2673" s="15" t="s">
        <v>11198</v>
      </c>
      <c r="F2673" s="16" t="str">
        <f>VLOOKUP(Table8[[#This Row],[Mã khách hàng]],code_khach_hang[],2,0)</f>
        <v>CHI NHÁNH HẢI PHÒNG - CÔNG TY CỔ PHẦN DỊCH VỤ THƯƠNG MẠI TỔNG HỢP WINCOMMERCE</v>
      </c>
      <c r="G2673" s="16" t="str">
        <f>VLOOKUP(Table8[[#This Row],[Mã khách hàng]],code_khach_hang[],3,0)</f>
        <v>Miền Bắc đặc biệt 3</v>
      </c>
      <c r="H2673" t="str">
        <f>VLOOKUP(Table8[[#This Row],[Mã khách hàng]],'Khách hàng'!A:D,4,0)</f>
        <v>Food Đức Việt</v>
      </c>
      <c r="I2673" t="str">
        <f>VLOOKUP(Table8[[#This Row],[Mã khách hàng]],'Khách hàng'!A:E,5,0)</f>
        <v>HN0040</v>
      </c>
    </row>
    <row r="2674" spans="1:9">
      <c r="A2674" s="14" t="s">
        <v>2887</v>
      </c>
      <c r="B2674" s="15" t="s">
        <v>5</v>
      </c>
      <c r="C2674" s="10" t="s">
        <v>2888</v>
      </c>
      <c r="D2674" s="16" t="s">
        <v>8447</v>
      </c>
      <c r="E2674" s="15" t="s">
        <v>11211</v>
      </c>
      <c r="F2674" s="16" t="str">
        <f>VLOOKUP(Table8[[#This Row],[Mã khách hàng]],code_khach_hang[],2,0)</f>
        <v>CHI NHÁNH NGHỆ AN - CÔNG TY CỔ PHẦN DỊCH VỤ THƯƠNG MẠI TỔNG HỢP WINCOMMERCE</v>
      </c>
      <c r="G2674" s="16" t="str">
        <f>VLOOKUP(Table8[[#This Row],[Mã khách hàng]],code_khach_hang[],3,0)</f>
        <v>Miền Trung đặc biệt 1</v>
      </c>
      <c r="H2674" t="str">
        <f>VLOOKUP(Table8[[#This Row],[Mã khách hàng]],'Khách hàng'!A:D,4,0)</f>
        <v>Food Đức Việt</v>
      </c>
      <c r="I2674" t="str">
        <f>VLOOKUP(Table8[[#This Row],[Mã khách hàng]],'Khách hàng'!A:E,5,0)</f>
        <v>HN0040</v>
      </c>
    </row>
    <row r="2675" spans="1:9">
      <c r="A2675" s="14" t="s">
        <v>3032</v>
      </c>
      <c r="B2675" s="15" t="s">
        <v>5</v>
      </c>
      <c r="C2675" s="10" t="s">
        <v>3033</v>
      </c>
      <c r="D2675" s="16" t="s">
        <v>8450</v>
      </c>
      <c r="E2675" s="15" t="s">
        <v>11211</v>
      </c>
      <c r="F2675" s="16" t="str">
        <f>VLOOKUP(Table8[[#This Row],[Mã khách hàng]],code_khach_hang[],2,0)</f>
        <v>CHI NHÁNH NGHỆ AN - CÔNG TY CỔ PHẦN DỊCH VỤ THƯƠNG MẠI TỔNG HỢP WINCOMMERCE</v>
      </c>
      <c r="G2675" s="16" t="str">
        <f>VLOOKUP(Table8[[#This Row],[Mã khách hàng]],code_khach_hang[],3,0)</f>
        <v>Miền Trung đặc biệt 1</v>
      </c>
      <c r="H2675" t="str">
        <f>VLOOKUP(Table8[[#This Row],[Mã khách hàng]],'Khách hàng'!A:D,4,0)</f>
        <v>Food Đức Việt</v>
      </c>
      <c r="I2675" t="str">
        <f>VLOOKUP(Table8[[#This Row],[Mã khách hàng]],'Khách hàng'!A:E,5,0)</f>
        <v>HN0040</v>
      </c>
    </row>
    <row r="2676" spans="1:9">
      <c r="A2676" s="14" t="s">
        <v>3074</v>
      </c>
      <c r="B2676" s="15" t="s">
        <v>5</v>
      </c>
      <c r="C2676" s="10" t="s">
        <v>3075</v>
      </c>
      <c r="D2676" s="16" t="s">
        <v>8453</v>
      </c>
      <c r="E2676" s="15" t="s">
        <v>11211</v>
      </c>
      <c r="F2676" s="16" t="str">
        <f>VLOOKUP(Table8[[#This Row],[Mã khách hàng]],code_khach_hang[],2,0)</f>
        <v>CHI NHÁNH NGHỆ AN - CÔNG TY CỔ PHẦN DỊCH VỤ THƯƠNG MẠI TỔNG HỢP WINCOMMERCE</v>
      </c>
      <c r="G2676" s="16" t="str">
        <f>VLOOKUP(Table8[[#This Row],[Mã khách hàng]],code_khach_hang[],3,0)</f>
        <v>Miền Trung đặc biệt 1</v>
      </c>
      <c r="H2676" t="str">
        <f>VLOOKUP(Table8[[#This Row],[Mã khách hàng]],'Khách hàng'!A:D,4,0)</f>
        <v>Food Đức Việt</v>
      </c>
      <c r="I2676" t="str">
        <f>VLOOKUP(Table8[[#This Row],[Mã khách hàng]],'Khách hàng'!A:E,5,0)</f>
        <v>HN0040</v>
      </c>
    </row>
    <row r="2677" spans="1:9">
      <c r="A2677" s="14" t="s">
        <v>3139</v>
      </c>
      <c r="B2677" s="15" t="s">
        <v>5</v>
      </c>
      <c r="C2677" s="10" t="s">
        <v>3140</v>
      </c>
      <c r="D2677" s="16" t="s">
        <v>8456</v>
      </c>
      <c r="E2677" s="15" t="s">
        <v>11215</v>
      </c>
      <c r="F2677" s="16" t="str">
        <f>VLOOKUP(Table8[[#This Row],[Mã khách hàng]],code_khach_hang[],2,0)</f>
        <v>CHI NHÁNH HÀ NỘI - CÔNG TY CỔ PHẦN DỊCH VỤ THƯƠNG MẠI TỔNG HỢP WINCOMMERCE</v>
      </c>
      <c r="G2677" s="16" t="str">
        <f>VLOOKUP(Table8[[#This Row],[Mã khách hàng]],code_khach_hang[],3,0)</f>
        <v>Miền Bắc đặc biệt 1</v>
      </c>
      <c r="H2677" t="str">
        <f>VLOOKUP(Table8[[#This Row],[Mã khách hàng]],'Khách hàng'!A:D,4,0)</f>
        <v>Food Đức Việt</v>
      </c>
      <c r="I2677" t="str">
        <f>VLOOKUP(Table8[[#This Row],[Mã khách hàng]],'Khách hàng'!A:E,5,0)</f>
        <v>HN0040</v>
      </c>
    </row>
    <row r="2678" spans="1:9">
      <c r="A2678" s="14" t="s">
        <v>3291</v>
      </c>
      <c r="B2678" s="15" t="s">
        <v>5</v>
      </c>
      <c r="C2678" s="10" t="s">
        <v>3292</v>
      </c>
      <c r="D2678" s="16" t="s">
        <v>8459</v>
      </c>
      <c r="E2678" s="15" t="s">
        <v>11203</v>
      </c>
      <c r="F2678" s="16" t="str">
        <f>VLOOKUP(Table8[[#This Row],[Mã khách hàng]],code_khach_hang[],2,0)</f>
        <v>CHI NHÁNH THANH HÓA - CÔNG TY CỔ PHẦN DỊCH VỤ THƯƠNG MẠI TỔNG HỢP WINCOMMERCE</v>
      </c>
      <c r="G2678" s="16" t="str">
        <f>VLOOKUP(Table8[[#This Row],[Mã khách hàng]],code_khach_hang[],3,0)</f>
        <v>Miền Trung đặc biệt 1</v>
      </c>
      <c r="H2678" t="str">
        <f>VLOOKUP(Table8[[#This Row],[Mã khách hàng]],'Khách hàng'!A:D,4,0)</f>
        <v>Food Đức Việt</v>
      </c>
      <c r="I2678" t="str">
        <f>VLOOKUP(Table8[[#This Row],[Mã khách hàng]],'Khách hàng'!A:E,5,0)</f>
        <v>HN0040</v>
      </c>
    </row>
    <row r="2679" spans="1:9">
      <c r="A2679" s="14" t="s">
        <v>3428</v>
      </c>
      <c r="B2679" s="15" t="s">
        <v>5</v>
      </c>
      <c r="C2679" s="10" t="s">
        <v>3429</v>
      </c>
      <c r="D2679" s="16" t="s">
        <v>8462</v>
      </c>
      <c r="E2679" s="15" t="s">
        <v>11215</v>
      </c>
      <c r="F2679" s="16" t="str">
        <f>VLOOKUP(Table8[[#This Row],[Mã khách hàng]],code_khach_hang[],2,0)</f>
        <v>CHI NHÁNH HÀ NỘI - CÔNG TY CỔ PHẦN DỊCH VỤ THƯƠNG MẠI TỔNG HỢP WINCOMMERCE</v>
      </c>
      <c r="G2679" s="16" t="str">
        <f>VLOOKUP(Table8[[#This Row],[Mã khách hàng]],code_khach_hang[],3,0)</f>
        <v>Miền Bắc đặc biệt 1</v>
      </c>
      <c r="H2679" t="str">
        <f>VLOOKUP(Table8[[#This Row],[Mã khách hàng]],'Khách hàng'!A:D,4,0)</f>
        <v>Food Đức Việt</v>
      </c>
      <c r="I2679" t="str">
        <f>VLOOKUP(Table8[[#This Row],[Mã khách hàng]],'Khách hàng'!A:E,5,0)</f>
        <v>HN0040</v>
      </c>
    </row>
    <row r="2680" spans="1:9">
      <c r="A2680" s="14" t="s">
        <v>3497</v>
      </c>
      <c r="B2680" s="15" t="s">
        <v>5</v>
      </c>
      <c r="C2680" s="10" t="s">
        <v>3498</v>
      </c>
      <c r="D2680" s="16" t="s">
        <v>8465</v>
      </c>
      <c r="E2680" s="15" t="s">
        <v>11215</v>
      </c>
      <c r="F2680" s="16" t="str">
        <f>VLOOKUP(Table8[[#This Row],[Mã khách hàng]],code_khach_hang[],2,0)</f>
        <v>CHI NHÁNH HÀ NỘI - CÔNG TY CỔ PHẦN DỊCH VỤ THƯƠNG MẠI TỔNG HỢP WINCOMMERCE</v>
      </c>
      <c r="G2680" s="16" t="str">
        <f>VLOOKUP(Table8[[#This Row],[Mã khách hàng]],code_khach_hang[],3,0)</f>
        <v>Miền Bắc đặc biệt 1</v>
      </c>
      <c r="H2680" t="str">
        <f>VLOOKUP(Table8[[#This Row],[Mã khách hàng]],'Khách hàng'!A:D,4,0)</f>
        <v>Food Đức Việt</v>
      </c>
      <c r="I2680" t="str">
        <f>VLOOKUP(Table8[[#This Row],[Mã khách hàng]],'Khách hàng'!A:E,5,0)</f>
        <v>HN0040</v>
      </c>
    </row>
    <row r="2681" spans="1:9">
      <c r="A2681" s="14" t="s">
        <v>3500</v>
      </c>
      <c r="B2681" s="15" t="s">
        <v>5</v>
      </c>
      <c r="C2681" s="10" t="s">
        <v>3501</v>
      </c>
      <c r="D2681" s="16" t="s">
        <v>8468</v>
      </c>
      <c r="E2681" s="15" t="s">
        <v>11205</v>
      </c>
      <c r="F2681" s="16" t="str">
        <f>VLOOKUP(Table8[[#This Row],[Mã khách hàng]],code_khach_hang[],2,0)</f>
        <v>CHI NHÁNH HÀ TĨNH - CÔNG TY CỔ PHẦN DỊCH VỤ THƯƠNG MẠI TỔNG HỢP WINCOMMERCE</v>
      </c>
      <c r="G2681" s="16" t="str">
        <f>VLOOKUP(Table8[[#This Row],[Mã khách hàng]],code_khach_hang[],3,0)</f>
        <v>Miền Trung đặc biệt 1</v>
      </c>
      <c r="H2681" t="str">
        <f>VLOOKUP(Table8[[#This Row],[Mã khách hàng]],'Khách hàng'!A:D,4,0)</f>
        <v>Food Đức Việt</v>
      </c>
      <c r="I2681" t="str">
        <f>VLOOKUP(Table8[[#This Row],[Mã khách hàng]],'Khách hàng'!A:E,5,0)</f>
        <v>HN0040</v>
      </c>
    </row>
    <row r="2682" spans="1:9">
      <c r="A2682" s="14" t="s">
        <v>3503</v>
      </c>
      <c r="B2682" s="15" t="s">
        <v>5</v>
      </c>
      <c r="C2682" s="10" t="s">
        <v>3504</v>
      </c>
      <c r="D2682" s="16" t="s">
        <v>8470</v>
      </c>
      <c r="E2682" s="15" t="s">
        <v>11203</v>
      </c>
      <c r="F2682" s="16" t="str">
        <f>VLOOKUP(Table8[[#This Row],[Mã khách hàng]],code_khach_hang[],2,0)</f>
        <v>CHI NHÁNH THANH HÓA - CÔNG TY CỔ PHẦN DỊCH VỤ THƯƠNG MẠI TỔNG HỢP WINCOMMERCE</v>
      </c>
      <c r="G2682" s="16" t="str">
        <f>VLOOKUP(Table8[[#This Row],[Mã khách hàng]],code_khach_hang[],3,0)</f>
        <v>Miền Trung đặc biệt 1</v>
      </c>
      <c r="H2682" t="str">
        <f>VLOOKUP(Table8[[#This Row],[Mã khách hàng]],'Khách hàng'!A:D,4,0)</f>
        <v>Food Đức Việt</v>
      </c>
      <c r="I2682" t="str">
        <f>VLOOKUP(Table8[[#This Row],[Mã khách hàng]],'Khách hàng'!A:E,5,0)</f>
        <v>HN0040</v>
      </c>
    </row>
    <row r="2683" spans="1:9">
      <c r="A2683" s="14" t="s">
        <v>3557</v>
      </c>
      <c r="B2683" s="15" t="s">
        <v>5</v>
      </c>
      <c r="C2683" s="10" t="s">
        <v>3558</v>
      </c>
      <c r="D2683" s="16" t="s">
        <v>8473</v>
      </c>
      <c r="E2683" s="15" t="s">
        <v>11215</v>
      </c>
      <c r="F2683" s="16" t="str">
        <f>VLOOKUP(Table8[[#This Row],[Mã khách hàng]],code_khach_hang[],2,0)</f>
        <v>CHI NHÁNH HÀ NỘI - CÔNG TY CỔ PHẦN DỊCH VỤ THƯƠNG MẠI TỔNG HỢP WINCOMMERCE</v>
      </c>
      <c r="G2683" s="16" t="str">
        <f>VLOOKUP(Table8[[#This Row],[Mã khách hàng]],code_khach_hang[],3,0)</f>
        <v>Miền Bắc đặc biệt 1</v>
      </c>
      <c r="H2683" t="str">
        <f>VLOOKUP(Table8[[#This Row],[Mã khách hàng]],'Khách hàng'!A:D,4,0)</f>
        <v>Food Đức Việt</v>
      </c>
      <c r="I2683" t="str">
        <f>VLOOKUP(Table8[[#This Row],[Mã khách hàng]],'Khách hàng'!A:E,5,0)</f>
        <v>HN0040</v>
      </c>
    </row>
    <row r="2684" spans="1:9">
      <c r="A2684" s="14" t="s">
        <v>3621</v>
      </c>
      <c r="B2684" s="15" t="s">
        <v>5</v>
      </c>
      <c r="C2684" s="10" t="s">
        <v>3622</v>
      </c>
      <c r="D2684" s="16" t="s">
        <v>8476</v>
      </c>
      <c r="E2684" s="15" t="s">
        <v>11205</v>
      </c>
      <c r="F2684" s="16" t="str">
        <f>VLOOKUP(Table8[[#This Row],[Mã khách hàng]],code_khach_hang[],2,0)</f>
        <v>CHI NHÁNH HÀ TĨNH - CÔNG TY CỔ PHẦN DỊCH VỤ THƯƠNG MẠI TỔNG HỢP WINCOMMERCE</v>
      </c>
      <c r="G2684" s="16" t="str">
        <f>VLOOKUP(Table8[[#This Row],[Mã khách hàng]],code_khach_hang[],3,0)</f>
        <v>Miền Trung đặc biệt 1</v>
      </c>
      <c r="H2684" t="str">
        <f>VLOOKUP(Table8[[#This Row],[Mã khách hàng]],'Khách hàng'!A:D,4,0)</f>
        <v>Food Đức Việt</v>
      </c>
      <c r="I2684" t="str">
        <f>VLOOKUP(Table8[[#This Row],[Mã khách hàng]],'Khách hàng'!A:E,5,0)</f>
        <v>HN0040</v>
      </c>
    </row>
    <row r="2685" spans="1:9">
      <c r="A2685" s="14" t="s">
        <v>3666</v>
      </c>
      <c r="B2685" s="15" t="s">
        <v>5</v>
      </c>
      <c r="C2685" s="10" t="s">
        <v>3667</v>
      </c>
      <c r="D2685" s="16" t="s">
        <v>8479</v>
      </c>
      <c r="E2685" s="15" t="s">
        <v>11215</v>
      </c>
      <c r="F2685" s="16" t="str">
        <f>VLOOKUP(Table8[[#This Row],[Mã khách hàng]],code_khach_hang[],2,0)</f>
        <v>CHI NHÁNH HÀ NỘI - CÔNG TY CỔ PHẦN DỊCH VỤ THƯƠNG MẠI TỔNG HỢP WINCOMMERCE</v>
      </c>
      <c r="G2685" s="16" t="str">
        <f>VLOOKUP(Table8[[#This Row],[Mã khách hàng]],code_khach_hang[],3,0)</f>
        <v>Miền Bắc đặc biệt 1</v>
      </c>
      <c r="H2685" t="str">
        <f>VLOOKUP(Table8[[#This Row],[Mã khách hàng]],'Khách hàng'!A:D,4,0)</f>
        <v>Food Đức Việt</v>
      </c>
      <c r="I2685" t="str">
        <f>VLOOKUP(Table8[[#This Row],[Mã khách hàng]],'Khách hàng'!A:E,5,0)</f>
        <v>HN0040</v>
      </c>
    </row>
    <row r="2686" spans="1:9">
      <c r="A2686" s="14" t="s">
        <v>3672</v>
      </c>
      <c r="B2686" s="15" t="s">
        <v>5</v>
      </c>
      <c r="C2686" s="10" t="s">
        <v>3673</v>
      </c>
      <c r="D2686" s="16" t="s">
        <v>8482</v>
      </c>
      <c r="E2686" s="15" t="s">
        <v>11203</v>
      </c>
      <c r="F2686" s="16" t="str">
        <f>VLOOKUP(Table8[[#This Row],[Mã khách hàng]],code_khach_hang[],2,0)</f>
        <v>CHI NHÁNH THANH HÓA - CÔNG TY CỔ PHẦN DỊCH VỤ THƯƠNG MẠI TỔNG HỢP WINCOMMERCE</v>
      </c>
      <c r="G2686" s="16" t="str">
        <f>VLOOKUP(Table8[[#This Row],[Mã khách hàng]],code_khach_hang[],3,0)</f>
        <v>Miền Trung đặc biệt 1</v>
      </c>
      <c r="H2686" t="str">
        <f>VLOOKUP(Table8[[#This Row],[Mã khách hàng]],'Khách hàng'!A:D,4,0)</f>
        <v>Food Đức Việt</v>
      </c>
      <c r="I2686" t="str">
        <f>VLOOKUP(Table8[[#This Row],[Mã khách hàng]],'Khách hàng'!A:E,5,0)</f>
        <v>HN0040</v>
      </c>
    </row>
    <row r="2687" spans="1:9">
      <c r="A2687" s="14" t="s">
        <v>3678</v>
      </c>
      <c r="B2687" s="15" t="s">
        <v>5</v>
      </c>
      <c r="C2687" s="10" t="s">
        <v>3679</v>
      </c>
      <c r="D2687" s="16" t="s">
        <v>8485</v>
      </c>
      <c r="E2687" s="15" t="s">
        <v>11216</v>
      </c>
      <c r="F2687" s="16" t="str">
        <f>VLOOKUP(Table8[[#This Row],[Mã khách hàng]],code_khach_hang[],2,0)</f>
        <v>CHI NHÁNH HƯNG YÊN - CÔNG TY CỔ PHẦN DỊCH VỤ THƯƠNG MẠI TỔNG HỢP WINCOMMERCE</v>
      </c>
      <c r="G2687" s="16" t="str">
        <f>VLOOKUP(Table8[[#This Row],[Mã khách hàng]],code_khach_hang[],3,0)</f>
        <v>Miền Bắc đặc biệt 1</v>
      </c>
      <c r="H2687" t="str">
        <f>VLOOKUP(Table8[[#This Row],[Mã khách hàng]],'Khách hàng'!A:D,4,0)</f>
        <v>Food Đức Việt</v>
      </c>
      <c r="I2687" t="str">
        <f>VLOOKUP(Table8[[#This Row],[Mã khách hàng]],'Khách hàng'!A:E,5,0)</f>
        <v>HN0040</v>
      </c>
    </row>
    <row r="2688" spans="1:9">
      <c r="A2688" s="14" t="s">
        <v>3747</v>
      </c>
      <c r="B2688" s="15" t="s">
        <v>5</v>
      </c>
      <c r="C2688" s="10" t="s">
        <v>3748</v>
      </c>
      <c r="D2688" s="16" t="s">
        <v>8488</v>
      </c>
      <c r="E2688" s="15" t="s">
        <v>11211</v>
      </c>
      <c r="F2688" s="16" t="str">
        <f>VLOOKUP(Table8[[#This Row],[Mã khách hàng]],code_khach_hang[],2,0)</f>
        <v>CHI NHÁNH NGHỆ AN - CÔNG TY CỔ PHẦN DỊCH VỤ THƯƠNG MẠI TỔNG HỢP WINCOMMERCE</v>
      </c>
      <c r="G2688" s="16" t="str">
        <f>VLOOKUP(Table8[[#This Row],[Mã khách hàng]],code_khach_hang[],3,0)</f>
        <v>Miền Trung đặc biệt 1</v>
      </c>
      <c r="H2688" t="str">
        <f>VLOOKUP(Table8[[#This Row],[Mã khách hàng]],'Khách hàng'!A:D,4,0)</f>
        <v>Food Đức Việt</v>
      </c>
      <c r="I2688" t="str">
        <f>VLOOKUP(Table8[[#This Row],[Mã khách hàng]],'Khách hàng'!A:E,5,0)</f>
        <v>HN0040</v>
      </c>
    </row>
    <row r="2689" spans="1:9">
      <c r="A2689" s="14" t="s">
        <v>3753</v>
      </c>
      <c r="B2689" s="15" t="s">
        <v>5</v>
      </c>
      <c r="C2689" s="10" t="s">
        <v>3754</v>
      </c>
      <c r="D2689" s="16" t="s">
        <v>8491</v>
      </c>
      <c r="E2689" s="15" t="s">
        <v>11216</v>
      </c>
      <c r="F2689" s="16" t="str">
        <f>VLOOKUP(Table8[[#This Row],[Mã khách hàng]],code_khach_hang[],2,0)</f>
        <v>CHI NHÁNH HƯNG YÊN - CÔNG TY CỔ PHẦN DỊCH VỤ THƯƠNG MẠI TỔNG HỢP WINCOMMERCE</v>
      </c>
      <c r="G2689" s="16" t="str">
        <f>VLOOKUP(Table8[[#This Row],[Mã khách hàng]],code_khach_hang[],3,0)</f>
        <v>Miền Bắc đặc biệt 1</v>
      </c>
      <c r="H2689" t="str">
        <f>VLOOKUP(Table8[[#This Row],[Mã khách hàng]],'Khách hàng'!A:D,4,0)</f>
        <v>Food Đức Việt</v>
      </c>
      <c r="I2689" t="str">
        <f>VLOOKUP(Table8[[#This Row],[Mã khách hàng]],'Khách hàng'!A:E,5,0)</f>
        <v>HN0040</v>
      </c>
    </row>
    <row r="2690" spans="1:9">
      <c r="A2690" s="14" t="s">
        <v>3801</v>
      </c>
      <c r="B2690" s="15" t="s">
        <v>5</v>
      </c>
      <c r="C2690" s="10" t="s">
        <v>3802</v>
      </c>
      <c r="D2690" s="16" t="s">
        <v>8493</v>
      </c>
      <c r="E2690" s="15" t="s">
        <v>11211</v>
      </c>
      <c r="F2690" s="16" t="str">
        <f>VLOOKUP(Table8[[#This Row],[Mã khách hàng]],code_khach_hang[],2,0)</f>
        <v>CHI NHÁNH NGHỆ AN - CÔNG TY CỔ PHẦN DỊCH VỤ THƯƠNG MẠI TỔNG HỢP WINCOMMERCE</v>
      </c>
      <c r="G2690" s="16" t="str">
        <f>VLOOKUP(Table8[[#This Row],[Mã khách hàng]],code_khach_hang[],3,0)</f>
        <v>Miền Trung đặc biệt 1</v>
      </c>
      <c r="H2690" t="str">
        <f>VLOOKUP(Table8[[#This Row],[Mã khách hàng]],'Khách hàng'!A:D,4,0)</f>
        <v>Food Đức Việt</v>
      </c>
      <c r="I2690" t="str">
        <f>VLOOKUP(Table8[[#This Row],[Mã khách hàng]],'Khách hàng'!A:E,5,0)</f>
        <v>HN0040</v>
      </c>
    </row>
    <row r="2691" spans="1:9">
      <c r="A2691" s="14" t="s">
        <v>3835</v>
      </c>
      <c r="B2691" s="15" t="s">
        <v>5</v>
      </c>
      <c r="C2691" s="10" t="s">
        <v>3836</v>
      </c>
      <c r="D2691" s="16" t="s">
        <v>8496</v>
      </c>
      <c r="E2691" s="15" t="s">
        <v>11199</v>
      </c>
      <c r="F2691" s="16" t="str">
        <f>VLOOKUP(Table8[[#This Row],[Mã khách hàng]],code_khach_hang[],2,0)</f>
        <v>CHI NHÁNH PHÚ THỌ - CÔNG TY CỔ PHẦN DỊCH VỤ THƯƠNG MẠI TỔNG HỢP WINCOMMERCE</v>
      </c>
      <c r="G2691" s="16" t="str">
        <f>VLOOKUP(Table8[[#This Row],[Mã khách hàng]],code_khach_hang[],3,0)</f>
        <v>Miền Bắc đặc biệt 1</v>
      </c>
      <c r="H2691" t="str">
        <f>VLOOKUP(Table8[[#This Row],[Mã khách hàng]],'Khách hàng'!A:D,4,0)</f>
        <v>Food Đức Việt</v>
      </c>
      <c r="I2691" t="str">
        <f>VLOOKUP(Table8[[#This Row],[Mã khách hàng]],'Khách hàng'!A:E,5,0)</f>
        <v>HN0040</v>
      </c>
    </row>
    <row r="2692" spans="1:9">
      <c r="A2692" s="14" t="s">
        <v>3862</v>
      </c>
      <c r="B2692" s="15" t="s">
        <v>5</v>
      </c>
      <c r="C2692" s="10" t="s">
        <v>3863</v>
      </c>
      <c r="D2692" s="16" t="s">
        <v>8499</v>
      </c>
      <c r="E2692" s="15" t="s">
        <v>11207</v>
      </c>
      <c r="F2692" s="16" t="str">
        <f>VLOOKUP(Table8[[#This Row],[Mã khách hàng]],code_khach_hang[],2,0)</f>
        <v>CHI NHÁNH THÁI NGUYÊN - CÔNG TY CỔ PHẦN DỊCH VỤ THƯƠNG MẠI TỔNG HỢP WINCOMMERCE</v>
      </c>
      <c r="G2692" s="16" t="str">
        <f>VLOOKUP(Table8[[#This Row],[Mã khách hàng]],code_khach_hang[],3,0)</f>
        <v>Miền Bắc đặc biệt 2</v>
      </c>
      <c r="H2692" t="str">
        <f>VLOOKUP(Table8[[#This Row],[Mã khách hàng]],'Khách hàng'!A:D,4,0)</f>
        <v>Food Đức Việt</v>
      </c>
      <c r="I2692" t="str">
        <f>VLOOKUP(Table8[[#This Row],[Mã khách hàng]],'Khách hàng'!A:E,5,0)</f>
        <v>HN0040</v>
      </c>
    </row>
    <row r="2693" spans="1:9">
      <c r="A2693" s="14" t="s">
        <v>3892</v>
      </c>
      <c r="B2693" s="15" t="s">
        <v>5</v>
      </c>
      <c r="C2693" s="10" t="s">
        <v>3893</v>
      </c>
      <c r="D2693" s="16" t="s">
        <v>8502</v>
      </c>
      <c r="E2693" s="15" t="s">
        <v>11215</v>
      </c>
      <c r="F2693" s="16" t="str">
        <f>VLOOKUP(Table8[[#This Row],[Mã khách hàng]],code_khach_hang[],2,0)</f>
        <v>CHI NHÁNH HÀ NỘI - CÔNG TY CỔ PHẦN DỊCH VỤ THƯƠNG MẠI TỔNG HỢP WINCOMMERCE</v>
      </c>
      <c r="G2693" s="16" t="str">
        <f>VLOOKUP(Table8[[#This Row],[Mã khách hàng]],code_khach_hang[],3,0)</f>
        <v>Miền Bắc đặc biệt 1</v>
      </c>
      <c r="H2693" t="str">
        <f>VLOOKUP(Table8[[#This Row],[Mã khách hàng]],'Khách hàng'!A:D,4,0)</f>
        <v>Food Đức Việt</v>
      </c>
      <c r="I2693" t="str">
        <f>VLOOKUP(Table8[[#This Row],[Mã khách hàng]],'Khách hàng'!A:E,5,0)</f>
        <v>HN0040</v>
      </c>
    </row>
    <row r="2694" spans="1:9">
      <c r="A2694" s="14" t="s">
        <v>2979</v>
      </c>
      <c r="B2694" s="15" t="s">
        <v>5</v>
      </c>
      <c r="C2694" s="10" t="s">
        <v>2980</v>
      </c>
      <c r="D2694" s="16" t="s">
        <v>8505</v>
      </c>
      <c r="E2694" s="15" t="s">
        <v>11199</v>
      </c>
      <c r="F2694" s="16" t="str">
        <f>VLOOKUP(Table8[[#This Row],[Mã khách hàng]],code_khach_hang[],2,0)</f>
        <v>CHI NHÁNH PHÚ THỌ - CÔNG TY CỔ PHẦN DỊCH VỤ THƯƠNG MẠI TỔNG HỢP WINCOMMERCE</v>
      </c>
      <c r="G2694" s="16" t="str">
        <f>VLOOKUP(Table8[[#This Row],[Mã khách hàng]],code_khach_hang[],3,0)</f>
        <v>Miền Bắc đặc biệt 1</v>
      </c>
      <c r="H2694" t="str">
        <f>VLOOKUP(Table8[[#This Row],[Mã khách hàng]],'Khách hàng'!A:D,4,0)</f>
        <v>Food Đức Việt</v>
      </c>
      <c r="I2694" t="str">
        <f>VLOOKUP(Table8[[#This Row],[Mã khách hàng]],'Khách hàng'!A:E,5,0)</f>
        <v>HN0040</v>
      </c>
    </row>
    <row r="2695" spans="1:9">
      <c r="A2695" s="14" t="s">
        <v>2994</v>
      </c>
      <c r="B2695" s="15" t="s">
        <v>5</v>
      </c>
      <c r="C2695" s="10" t="s">
        <v>2995</v>
      </c>
      <c r="D2695" s="16" t="s">
        <v>8508</v>
      </c>
      <c r="E2695" s="15" t="s">
        <v>11203</v>
      </c>
      <c r="F2695" s="16" t="str">
        <f>VLOOKUP(Table8[[#This Row],[Mã khách hàng]],code_khach_hang[],2,0)</f>
        <v>CHI NHÁNH THANH HÓA - CÔNG TY CỔ PHẦN DỊCH VỤ THƯƠNG MẠI TỔNG HỢP WINCOMMERCE</v>
      </c>
      <c r="G2695" s="16" t="str">
        <f>VLOOKUP(Table8[[#This Row],[Mã khách hàng]],code_khach_hang[],3,0)</f>
        <v>Miền Trung đặc biệt 1</v>
      </c>
      <c r="H2695" t="str">
        <f>VLOOKUP(Table8[[#This Row],[Mã khách hàng]],'Khách hàng'!A:D,4,0)</f>
        <v>Food Đức Việt</v>
      </c>
      <c r="I2695" t="str">
        <f>VLOOKUP(Table8[[#This Row],[Mã khách hàng]],'Khách hàng'!A:E,5,0)</f>
        <v>HN0040</v>
      </c>
    </row>
    <row r="2696" spans="1:9">
      <c r="A2696" s="14" t="s">
        <v>3012</v>
      </c>
      <c r="B2696" s="15" t="s">
        <v>5</v>
      </c>
      <c r="C2696" s="10" t="s">
        <v>3013</v>
      </c>
      <c r="D2696" s="16" t="s">
        <v>8511</v>
      </c>
      <c r="E2696" s="15" t="s">
        <v>11215</v>
      </c>
      <c r="F2696" s="16" t="str">
        <f>VLOOKUP(Table8[[#This Row],[Mã khách hàng]],code_khach_hang[],2,0)</f>
        <v>CHI NHÁNH HÀ NỘI - CÔNG TY CỔ PHẦN DỊCH VỤ THƯƠNG MẠI TỔNG HỢP WINCOMMERCE</v>
      </c>
      <c r="G2696" s="16" t="str">
        <f>VLOOKUP(Table8[[#This Row],[Mã khách hàng]],code_khach_hang[],3,0)</f>
        <v>Miền Bắc đặc biệt 1</v>
      </c>
      <c r="H2696" t="str">
        <f>VLOOKUP(Table8[[#This Row],[Mã khách hàng]],'Khách hàng'!A:D,4,0)</f>
        <v>Food Đức Việt</v>
      </c>
      <c r="I2696" t="str">
        <f>VLOOKUP(Table8[[#This Row],[Mã khách hàng]],'Khách hàng'!A:E,5,0)</f>
        <v>HN0040</v>
      </c>
    </row>
    <row r="2697" spans="1:9">
      <c r="A2697" s="14" t="s">
        <v>3083</v>
      </c>
      <c r="B2697" s="15" t="s">
        <v>5</v>
      </c>
      <c r="C2697" s="10" t="s">
        <v>3084</v>
      </c>
      <c r="D2697" s="16" t="s">
        <v>8514</v>
      </c>
      <c r="E2697" s="15" t="s">
        <v>11207</v>
      </c>
      <c r="F2697" s="16" t="str">
        <f>VLOOKUP(Table8[[#This Row],[Mã khách hàng]],code_khach_hang[],2,0)</f>
        <v>CHI NHÁNH THÁI NGUYÊN - CÔNG TY CỔ PHẦN DỊCH VỤ THƯƠNG MẠI TỔNG HỢP WINCOMMERCE</v>
      </c>
      <c r="G2697" s="16" t="str">
        <f>VLOOKUP(Table8[[#This Row],[Mã khách hàng]],code_khach_hang[],3,0)</f>
        <v>Miền Bắc đặc biệt 2</v>
      </c>
      <c r="H2697" t="str">
        <f>VLOOKUP(Table8[[#This Row],[Mã khách hàng]],'Khách hàng'!A:D,4,0)</f>
        <v>Food Đức Việt</v>
      </c>
      <c r="I2697" t="str">
        <f>VLOOKUP(Table8[[#This Row],[Mã khách hàng]],'Khách hàng'!A:E,5,0)</f>
        <v>HN0040</v>
      </c>
    </row>
    <row r="2698" spans="1:9">
      <c r="A2698" s="14" t="s">
        <v>3220</v>
      </c>
      <c r="B2698" s="15" t="s">
        <v>5</v>
      </c>
      <c r="C2698" s="10" t="s">
        <v>3221</v>
      </c>
      <c r="D2698" s="16" t="s">
        <v>8517</v>
      </c>
      <c r="E2698" s="15" t="s">
        <v>11203</v>
      </c>
      <c r="F2698" s="16" t="str">
        <f>VLOOKUP(Table8[[#This Row],[Mã khách hàng]],code_khach_hang[],2,0)</f>
        <v>CHI NHÁNH THANH HÓA - CÔNG TY CỔ PHẦN DỊCH VỤ THƯƠNG MẠI TỔNG HỢP WINCOMMERCE</v>
      </c>
      <c r="G2698" s="16" t="str">
        <f>VLOOKUP(Table8[[#This Row],[Mã khách hàng]],code_khach_hang[],3,0)</f>
        <v>Miền Trung đặc biệt 1</v>
      </c>
      <c r="H2698" t="str">
        <f>VLOOKUP(Table8[[#This Row],[Mã khách hàng]],'Khách hàng'!A:D,4,0)</f>
        <v>Food Đức Việt</v>
      </c>
      <c r="I2698" t="str">
        <f>VLOOKUP(Table8[[#This Row],[Mã khách hàng]],'Khách hàng'!A:E,5,0)</f>
        <v>HN0040</v>
      </c>
    </row>
    <row r="2699" spans="1:9">
      <c r="A2699" s="14" t="s">
        <v>3354</v>
      </c>
      <c r="B2699" s="15" t="s">
        <v>5</v>
      </c>
      <c r="C2699" s="10" t="s">
        <v>3355</v>
      </c>
      <c r="D2699" s="16" t="s">
        <v>8520</v>
      </c>
      <c r="E2699" s="15" t="s">
        <v>11216</v>
      </c>
      <c r="F2699" s="16" t="str">
        <f>VLOOKUP(Table8[[#This Row],[Mã khách hàng]],code_khach_hang[],2,0)</f>
        <v>CHI NHÁNH HƯNG YÊN - CÔNG TY CỔ PHẦN DỊCH VỤ THƯƠNG MẠI TỔNG HỢP WINCOMMERCE</v>
      </c>
      <c r="G2699" s="16" t="str">
        <f>VLOOKUP(Table8[[#This Row],[Mã khách hàng]],code_khach_hang[],3,0)</f>
        <v>Miền Bắc đặc biệt 1</v>
      </c>
      <c r="H2699" t="str">
        <f>VLOOKUP(Table8[[#This Row],[Mã khách hàng]],'Khách hàng'!A:D,4,0)</f>
        <v>Food Đức Việt</v>
      </c>
      <c r="I2699" t="str">
        <f>VLOOKUP(Table8[[#This Row],[Mã khách hàng]],'Khách hàng'!A:E,5,0)</f>
        <v>HN0040</v>
      </c>
    </row>
    <row r="2700" spans="1:9">
      <c r="A2700" s="14" t="s">
        <v>3360</v>
      </c>
      <c r="B2700" s="15" t="s">
        <v>5</v>
      </c>
      <c r="C2700" s="10" t="s">
        <v>3361</v>
      </c>
      <c r="D2700" s="16" t="s">
        <v>8523</v>
      </c>
      <c r="E2700" s="15" t="s">
        <v>11203</v>
      </c>
      <c r="F2700" s="16" t="str">
        <f>VLOOKUP(Table8[[#This Row],[Mã khách hàng]],code_khach_hang[],2,0)</f>
        <v>CHI NHÁNH THANH HÓA - CÔNG TY CỔ PHẦN DỊCH VỤ THƯƠNG MẠI TỔNG HỢP WINCOMMERCE</v>
      </c>
      <c r="G2700" s="16" t="str">
        <f>VLOOKUP(Table8[[#This Row],[Mã khách hàng]],code_khach_hang[],3,0)</f>
        <v>Miền Trung đặc biệt 1</v>
      </c>
      <c r="H2700" t="str">
        <f>VLOOKUP(Table8[[#This Row],[Mã khách hàng]],'Khách hàng'!A:D,4,0)</f>
        <v>Food Đức Việt</v>
      </c>
      <c r="I2700" t="str">
        <f>VLOOKUP(Table8[[#This Row],[Mã khách hàng]],'Khách hàng'!A:E,5,0)</f>
        <v>HN0040</v>
      </c>
    </row>
    <row r="2701" spans="1:9">
      <c r="A2701" s="14" t="s">
        <v>3491</v>
      </c>
      <c r="B2701" s="15" t="s">
        <v>5</v>
      </c>
      <c r="C2701" s="10" t="s">
        <v>3492</v>
      </c>
      <c r="D2701" s="16" t="s">
        <v>8525</v>
      </c>
      <c r="E2701" s="15" t="s">
        <v>11198</v>
      </c>
      <c r="F2701" s="16" t="str">
        <f>VLOOKUP(Table8[[#This Row],[Mã khách hàng]],code_khach_hang[],2,0)</f>
        <v>CHI NHÁNH HẢI PHÒNG - CÔNG TY CỔ PHẦN DỊCH VỤ THƯƠNG MẠI TỔNG HỢP WINCOMMERCE</v>
      </c>
      <c r="G2701" s="16" t="str">
        <f>VLOOKUP(Table8[[#This Row],[Mã khách hàng]],code_khach_hang[],3,0)</f>
        <v>Miền Bắc đặc biệt 3</v>
      </c>
      <c r="H2701" t="str">
        <f>VLOOKUP(Table8[[#This Row],[Mã khách hàng]],'Khách hàng'!A:D,4,0)</f>
        <v>Food Đức Việt</v>
      </c>
      <c r="I2701" t="str">
        <f>VLOOKUP(Table8[[#This Row],[Mã khách hàng]],'Khách hàng'!A:E,5,0)</f>
        <v>HN0040</v>
      </c>
    </row>
    <row r="2702" spans="1:9">
      <c r="A2702" s="14" t="s">
        <v>3675</v>
      </c>
      <c r="B2702" s="15" t="s">
        <v>5</v>
      </c>
      <c r="C2702" s="10" t="s">
        <v>3676</v>
      </c>
      <c r="D2702" s="16" t="s">
        <v>8528</v>
      </c>
      <c r="E2702" s="15" t="s">
        <v>11216</v>
      </c>
      <c r="F2702" s="16" t="str">
        <f>VLOOKUP(Table8[[#This Row],[Mã khách hàng]],code_khach_hang[],2,0)</f>
        <v>CHI NHÁNH HƯNG YÊN - CÔNG TY CỔ PHẦN DỊCH VỤ THƯƠNG MẠI TỔNG HỢP WINCOMMERCE</v>
      </c>
      <c r="G2702" s="16" t="str">
        <f>VLOOKUP(Table8[[#This Row],[Mã khách hàng]],code_khach_hang[],3,0)</f>
        <v>Miền Bắc đặc biệt 1</v>
      </c>
      <c r="H2702" t="str">
        <f>VLOOKUP(Table8[[#This Row],[Mã khách hàng]],'Khách hàng'!A:D,4,0)</f>
        <v>Food Đức Việt</v>
      </c>
      <c r="I2702" t="str">
        <f>VLOOKUP(Table8[[#This Row],[Mã khách hàng]],'Khách hàng'!A:E,5,0)</f>
        <v>HN0040</v>
      </c>
    </row>
    <row r="2703" spans="1:9">
      <c r="A2703" s="14" t="s">
        <v>3741</v>
      </c>
      <c r="B2703" s="15" t="s">
        <v>5</v>
      </c>
      <c r="C2703" s="10" t="s">
        <v>3742</v>
      </c>
      <c r="D2703" s="16" t="s">
        <v>8531</v>
      </c>
      <c r="E2703" s="15" t="s">
        <v>11215</v>
      </c>
      <c r="F2703" s="16" t="str">
        <f>VLOOKUP(Table8[[#This Row],[Mã khách hàng]],code_khach_hang[],2,0)</f>
        <v>CHI NHÁNH HÀ NỘI - CÔNG TY CỔ PHẦN DỊCH VỤ THƯƠNG MẠI TỔNG HỢP WINCOMMERCE</v>
      </c>
      <c r="G2703" s="16" t="str">
        <f>VLOOKUP(Table8[[#This Row],[Mã khách hàng]],code_khach_hang[],3,0)</f>
        <v>Miền Bắc đặc biệt 1</v>
      </c>
      <c r="H2703" t="str">
        <f>VLOOKUP(Table8[[#This Row],[Mã khách hàng]],'Khách hàng'!A:D,4,0)</f>
        <v>Food Đức Việt</v>
      </c>
      <c r="I2703" t="str">
        <f>VLOOKUP(Table8[[#This Row],[Mã khách hàng]],'Khách hàng'!A:E,5,0)</f>
        <v>HN0040</v>
      </c>
    </row>
    <row r="2704" spans="1:9">
      <c r="A2704" s="14" t="s">
        <v>3744</v>
      </c>
      <c r="B2704" s="15" t="s">
        <v>5</v>
      </c>
      <c r="C2704" s="10" t="s">
        <v>3745</v>
      </c>
      <c r="D2704" s="16" t="s">
        <v>8534</v>
      </c>
      <c r="E2704" s="15" t="s">
        <v>11216</v>
      </c>
      <c r="F2704" s="16" t="str">
        <f>VLOOKUP(Table8[[#This Row],[Mã khách hàng]],code_khach_hang[],2,0)</f>
        <v>CHI NHÁNH HƯNG YÊN - CÔNG TY CỔ PHẦN DỊCH VỤ THƯƠNG MẠI TỔNG HỢP WINCOMMERCE</v>
      </c>
      <c r="G2704" s="16" t="str">
        <f>VLOOKUP(Table8[[#This Row],[Mã khách hàng]],code_khach_hang[],3,0)</f>
        <v>Miền Bắc đặc biệt 1</v>
      </c>
      <c r="H2704" t="str">
        <f>VLOOKUP(Table8[[#This Row],[Mã khách hàng]],'Khách hàng'!A:D,4,0)</f>
        <v>Food Đức Việt</v>
      </c>
      <c r="I2704" t="str">
        <f>VLOOKUP(Table8[[#This Row],[Mã khách hàng]],'Khách hàng'!A:E,5,0)</f>
        <v>HN0040</v>
      </c>
    </row>
    <row r="2705" spans="1:9">
      <c r="A2705" s="14" t="s">
        <v>3798</v>
      </c>
      <c r="B2705" s="15" t="s">
        <v>5</v>
      </c>
      <c r="C2705" s="10" t="s">
        <v>3799</v>
      </c>
      <c r="D2705" s="16" t="s">
        <v>8537</v>
      </c>
      <c r="E2705" s="15" t="s">
        <v>11215</v>
      </c>
      <c r="F2705" s="16" t="str">
        <f>VLOOKUP(Table8[[#This Row],[Mã khách hàng]],code_khach_hang[],2,0)</f>
        <v>CHI NHÁNH HÀ NỘI - CÔNG TY CỔ PHẦN DỊCH VỤ THƯƠNG MẠI TỔNG HỢP WINCOMMERCE</v>
      </c>
      <c r="G2705" s="16" t="str">
        <f>VLOOKUP(Table8[[#This Row],[Mã khách hàng]],code_khach_hang[],3,0)</f>
        <v>Miền Bắc đặc biệt 1</v>
      </c>
      <c r="H2705" t="str">
        <f>VLOOKUP(Table8[[#This Row],[Mã khách hàng]],'Khách hàng'!A:D,4,0)</f>
        <v>Food Đức Việt</v>
      </c>
      <c r="I2705" t="str">
        <f>VLOOKUP(Table8[[#This Row],[Mã khách hàng]],'Khách hàng'!A:E,5,0)</f>
        <v>HN0040</v>
      </c>
    </row>
    <row r="2706" spans="1:9">
      <c r="A2706" s="14" t="s">
        <v>3838</v>
      </c>
      <c r="B2706" s="15" t="s">
        <v>5</v>
      </c>
      <c r="C2706" s="10" t="s">
        <v>3839</v>
      </c>
      <c r="D2706" s="16" t="s">
        <v>8540</v>
      </c>
      <c r="E2706" s="15" t="s">
        <v>11193</v>
      </c>
      <c r="F2706" s="16" t="str">
        <f>VLOOKUP(Table8[[#This Row],[Mã khách hàng]],code_khach_hang[],2,0)</f>
        <v>CHI NHÁNH BẮC NINH - CÔNG TY CỔ PHẦN DỊCH VỤ THƯƠNG MẠI TỔNG HỢP WINCOMMERCE</v>
      </c>
      <c r="G2706" s="16" t="str">
        <f>VLOOKUP(Table8[[#This Row],[Mã khách hàng]],code_khach_hang[],3,0)</f>
        <v>Miền Bắc đặc biệt 2</v>
      </c>
      <c r="H2706" t="str">
        <f>VLOOKUP(Table8[[#This Row],[Mã khách hàng]],'Khách hàng'!A:D,4,0)</f>
        <v>Food Đức Việt</v>
      </c>
      <c r="I2706" t="str">
        <f>VLOOKUP(Table8[[#This Row],[Mã khách hàng]],'Khách hàng'!A:E,5,0)</f>
        <v>HN0040</v>
      </c>
    </row>
    <row r="2707" spans="1:9">
      <c r="A2707" s="14" t="s">
        <v>3853</v>
      </c>
      <c r="B2707" s="15" t="s">
        <v>5</v>
      </c>
      <c r="C2707" s="10" t="s">
        <v>3854</v>
      </c>
      <c r="D2707" s="16" t="s">
        <v>8543</v>
      </c>
      <c r="E2707" s="15" t="s">
        <v>11203</v>
      </c>
      <c r="F2707" s="16" t="str">
        <f>VLOOKUP(Table8[[#This Row],[Mã khách hàng]],code_khach_hang[],2,0)</f>
        <v>CHI NHÁNH THANH HÓA - CÔNG TY CỔ PHẦN DỊCH VỤ THƯƠNG MẠI TỔNG HỢP WINCOMMERCE</v>
      </c>
      <c r="G2707" s="16" t="str">
        <f>VLOOKUP(Table8[[#This Row],[Mã khách hàng]],code_khach_hang[],3,0)</f>
        <v>Miền Trung đặc biệt 1</v>
      </c>
      <c r="H2707" t="str">
        <f>VLOOKUP(Table8[[#This Row],[Mã khách hàng]],'Khách hàng'!A:D,4,0)</f>
        <v>Food Đức Việt</v>
      </c>
      <c r="I2707" t="str">
        <f>VLOOKUP(Table8[[#This Row],[Mã khách hàng]],'Khách hàng'!A:E,5,0)</f>
        <v>HN0040</v>
      </c>
    </row>
    <row r="2708" spans="1:9">
      <c r="A2708" s="14" t="s">
        <v>3889</v>
      </c>
      <c r="B2708" s="15" t="s">
        <v>5</v>
      </c>
      <c r="C2708" s="10" t="s">
        <v>3890</v>
      </c>
      <c r="D2708" s="16" t="s">
        <v>8546</v>
      </c>
      <c r="E2708" s="15" t="s">
        <v>11199</v>
      </c>
      <c r="F2708" s="16" t="str">
        <f>VLOOKUP(Table8[[#This Row],[Mã khách hàng]],code_khach_hang[],2,0)</f>
        <v>CHI NHÁNH PHÚ THỌ - CÔNG TY CỔ PHẦN DỊCH VỤ THƯƠNG MẠI TỔNG HỢP WINCOMMERCE</v>
      </c>
      <c r="G2708" s="16" t="str">
        <f>VLOOKUP(Table8[[#This Row],[Mã khách hàng]],code_khach_hang[],3,0)</f>
        <v>Miền Bắc đặc biệt 1</v>
      </c>
      <c r="H2708" t="str">
        <f>VLOOKUP(Table8[[#This Row],[Mã khách hàng]],'Khách hàng'!A:D,4,0)</f>
        <v>Food Đức Việt</v>
      </c>
      <c r="I2708" t="str">
        <f>VLOOKUP(Table8[[#This Row],[Mã khách hàng]],'Khách hàng'!A:E,5,0)</f>
        <v>HN0040</v>
      </c>
    </row>
    <row r="2709" spans="1:9">
      <c r="A2709" s="14" t="s">
        <v>3904</v>
      </c>
      <c r="B2709" s="15" t="s">
        <v>5</v>
      </c>
      <c r="C2709" s="10" t="s">
        <v>3905</v>
      </c>
      <c r="D2709" s="16" t="s">
        <v>8549</v>
      </c>
      <c r="E2709" s="15" t="s">
        <v>11215</v>
      </c>
      <c r="F2709" s="16" t="str">
        <f>VLOOKUP(Table8[[#This Row],[Mã khách hàng]],code_khach_hang[],2,0)</f>
        <v>CHI NHÁNH HÀ NỘI - CÔNG TY CỔ PHẦN DỊCH VỤ THƯƠNG MẠI TỔNG HỢP WINCOMMERCE</v>
      </c>
      <c r="G2709" s="16" t="str">
        <f>VLOOKUP(Table8[[#This Row],[Mã khách hàng]],code_khach_hang[],3,0)</f>
        <v>Miền Bắc đặc biệt 1</v>
      </c>
      <c r="H2709" t="str">
        <f>VLOOKUP(Table8[[#This Row],[Mã khách hàng]],'Khách hàng'!A:D,4,0)</f>
        <v>Food Đức Việt</v>
      </c>
      <c r="I2709" t="str">
        <f>VLOOKUP(Table8[[#This Row],[Mã khách hàng]],'Khách hàng'!A:E,5,0)</f>
        <v>HN0040</v>
      </c>
    </row>
    <row r="2710" spans="1:9">
      <c r="A2710" s="14" t="s">
        <v>3877</v>
      </c>
      <c r="B2710" s="15" t="s">
        <v>5</v>
      </c>
      <c r="C2710" s="10" t="s">
        <v>3878</v>
      </c>
      <c r="D2710" s="16" t="s">
        <v>8552</v>
      </c>
      <c r="E2710" s="15" t="s">
        <v>11215</v>
      </c>
      <c r="F2710" s="16" t="str">
        <f>VLOOKUP(Table8[[#This Row],[Mã khách hàng]],code_khach_hang[],2,0)</f>
        <v>CHI NHÁNH HÀ NỘI - CÔNG TY CỔ PHẦN DỊCH VỤ THƯƠNG MẠI TỔNG HỢP WINCOMMERCE</v>
      </c>
      <c r="G2710" s="16" t="str">
        <f>VLOOKUP(Table8[[#This Row],[Mã khách hàng]],code_khach_hang[],3,0)</f>
        <v>Miền Bắc đặc biệt 1</v>
      </c>
      <c r="H2710" t="str">
        <f>VLOOKUP(Table8[[#This Row],[Mã khách hàng]],'Khách hàng'!A:D,4,0)</f>
        <v>Food Đức Việt</v>
      </c>
      <c r="I2710" t="str">
        <f>VLOOKUP(Table8[[#This Row],[Mã khách hàng]],'Khách hàng'!A:E,5,0)</f>
        <v>HN0040</v>
      </c>
    </row>
    <row r="2711" spans="1:9">
      <c r="A2711" s="14" t="s">
        <v>2293</v>
      </c>
      <c r="B2711" s="15" t="s">
        <v>5</v>
      </c>
      <c r="C2711" s="10" t="s">
        <v>2294</v>
      </c>
      <c r="D2711" s="16" t="s">
        <v>8555</v>
      </c>
      <c r="E2711" s="15" t="s">
        <v>11198</v>
      </c>
      <c r="F2711" s="16" t="str">
        <f>VLOOKUP(Table8[[#This Row],[Mã khách hàng]],code_khach_hang[],2,0)</f>
        <v>CHI NHÁNH HẢI PHÒNG - CÔNG TY CỔ PHẦN DỊCH VỤ THƯƠNG MẠI TỔNG HỢP WINCOMMERCE</v>
      </c>
      <c r="G2711" s="16" t="str">
        <f>VLOOKUP(Table8[[#This Row],[Mã khách hàng]],code_khach_hang[],3,0)</f>
        <v>Miền Bắc đặc biệt 3</v>
      </c>
      <c r="H2711" t="str">
        <f>VLOOKUP(Table8[[#This Row],[Mã khách hàng]],'Khách hàng'!A:D,4,0)</f>
        <v>Food Đức Việt</v>
      </c>
      <c r="I2711" t="str">
        <f>VLOOKUP(Table8[[#This Row],[Mã khách hàng]],'Khách hàng'!A:E,5,0)</f>
        <v>HN0040</v>
      </c>
    </row>
    <row r="2712" spans="1:9">
      <c r="A2712" s="14" t="s">
        <v>3681</v>
      </c>
      <c r="B2712" s="15" t="s">
        <v>5</v>
      </c>
      <c r="C2712" s="10" t="s">
        <v>3682</v>
      </c>
      <c r="D2712" s="16" t="s">
        <v>8558</v>
      </c>
      <c r="E2712" s="15" t="s">
        <v>11203</v>
      </c>
      <c r="F2712" s="16" t="str">
        <f>VLOOKUP(Table8[[#This Row],[Mã khách hàng]],code_khach_hang[],2,0)</f>
        <v>CHI NHÁNH THANH HÓA - CÔNG TY CỔ PHẦN DỊCH VỤ THƯƠNG MẠI TỔNG HỢP WINCOMMERCE</v>
      </c>
      <c r="G2712" s="16" t="str">
        <f>VLOOKUP(Table8[[#This Row],[Mã khách hàng]],code_khach_hang[],3,0)</f>
        <v>Miền Trung đặc biệt 1</v>
      </c>
      <c r="H2712" t="str">
        <f>VLOOKUP(Table8[[#This Row],[Mã khách hàng]],'Khách hàng'!A:D,4,0)</f>
        <v>Food Đức Việt</v>
      </c>
      <c r="I2712" t="str">
        <f>VLOOKUP(Table8[[#This Row],[Mã khách hàng]],'Khách hàng'!A:E,5,0)</f>
        <v>HN0040</v>
      </c>
    </row>
    <row r="2713" spans="1:9">
      <c r="A2713" s="14" t="s">
        <v>3841</v>
      </c>
      <c r="B2713" s="15" t="s">
        <v>5</v>
      </c>
      <c r="C2713" s="10" t="s">
        <v>3842</v>
      </c>
      <c r="D2713" s="16" t="s">
        <v>8561</v>
      </c>
      <c r="E2713" s="15" t="s">
        <v>11207</v>
      </c>
      <c r="F2713" s="16" t="str">
        <f>VLOOKUP(Table8[[#This Row],[Mã khách hàng]],code_khach_hang[],2,0)</f>
        <v>CHI NHÁNH THÁI NGUYÊN - CÔNG TY CỔ PHẦN DỊCH VỤ THƯƠNG MẠI TỔNG HỢP WINCOMMERCE</v>
      </c>
      <c r="G2713" s="16" t="str">
        <f>VLOOKUP(Table8[[#This Row],[Mã khách hàng]],code_khach_hang[],3,0)</f>
        <v>Miền Bắc đặc biệt 2</v>
      </c>
      <c r="H2713" t="str">
        <f>VLOOKUP(Table8[[#This Row],[Mã khách hàng]],'Khách hàng'!A:D,4,0)</f>
        <v>Food Đức Việt</v>
      </c>
      <c r="I2713" t="str">
        <f>VLOOKUP(Table8[[#This Row],[Mã khách hàng]],'Khách hàng'!A:E,5,0)</f>
        <v>HN0040</v>
      </c>
    </row>
    <row r="2714" spans="1:9">
      <c r="A2714" s="14" t="s">
        <v>3850</v>
      </c>
      <c r="B2714" s="15" t="s">
        <v>5</v>
      </c>
      <c r="C2714" s="10" t="s">
        <v>3851</v>
      </c>
      <c r="D2714" s="16" t="s">
        <v>8564</v>
      </c>
      <c r="E2714" s="15" t="s">
        <v>11196</v>
      </c>
      <c r="F2714" s="16" t="str">
        <f>VLOOKUP(Table8[[#This Row],[Mã khách hàng]],code_khach_hang[],2,0)</f>
        <v>CHI NHÁNH NINH BÌNH - CÔNG TY CỔ PHẦN DỊCH VỤ THƯƠNG MẠI TỔNG HỢP WINCOMMERCE</v>
      </c>
      <c r="G2714" s="16" t="str">
        <f>VLOOKUP(Table8[[#This Row],[Mã khách hàng]],code_khach_hang[],3,0)</f>
        <v>Miền Bắc đặc biệt 3</v>
      </c>
      <c r="H2714" t="str">
        <f>VLOOKUP(Table8[[#This Row],[Mã khách hàng]],'Khách hàng'!A:D,4,0)</f>
        <v>Food Đức Việt</v>
      </c>
      <c r="I2714" t="str">
        <f>VLOOKUP(Table8[[#This Row],[Mã khách hàng]],'Khách hàng'!A:E,5,0)</f>
        <v>HN0040</v>
      </c>
    </row>
    <row r="2715" spans="1:9">
      <c r="A2715" s="14" t="s">
        <v>3847</v>
      </c>
      <c r="B2715" s="15" t="s">
        <v>5</v>
      </c>
      <c r="C2715" s="10" t="s">
        <v>3848</v>
      </c>
      <c r="D2715" s="16" t="s">
        <v>8566</v>
      </c>
      <c r="E2715" s="15" t="s">
        <v>11216</v>
      </c>
      <c r="F2715" s="16" t="str">
        <f>VLOOKUP(Table8[[#This Row],[Mã khách hàng]],code_khach_hang[],2,0)</f>
        <v>CHI NHÁNH HƯNG YÊN - CÔNG TY CỔ PHẦN DỊCH VỤ THƯƠNG MẠI TỔNG HỢP WINCOMMERCE</v>
      </c>
      <c r="G2715" s="16" t="str">
        <f>VLOOKUP(Table8[[#This Row],[Mã khách hàng]],code_khach_hang[],3,0)</f>
        <v>Miền Bắc đặc biệt 1</v>
      </c>
      <c r="H2715" t="str">
        <f>VLOOKUP(Table8[[#This Row],[Mã khách hàng]],'Khách hàng'!A:D,4,0)</f>
        <v>Food Đức Việt</v>
      </c>
      <c r="I2715" t="str">
        <f>VLOOKUP(Table8[[#This Row],[Mã khách hàng]],'Khách hàng'!A:E,5,0)</f>
        <v>HN0040</v>
      </c>
    </row>
    <row r="2716" spans="1:9">
      <c r="A2716" s="14" t="s">
        <v>3859</v>
      </c>
      <c r="B2716" s="15" t="s">
        <v>5</v>
      </c>
      <c r="C2716" s="10" t="s">
        <v>3860</v>
      </c>
      <c r="D2716" s="16" t="s">
        <v>8569</v>
      </c>
      <c r="E2716" s="15" t="s">
        <v>11215</v>
      </c>
      <c r="F2716" s="16" t="str">
        <f>VLOOKUP(Table8[[#This Row],[Mã khách hàng]],code_khach_hang[],2,0)</f>
        <v>CHI NHÁNH HÀ NỘI - CÔNG TY CỔ PHẦN DỊCH VỤ THƯƠNG MẠI TỔNG HỢP WINCOMMERCE</v>
      </c>
      <c r="G2716" s="16" t="str">
        <f>VLOOKUP(Table8[[#This Row],[Mã khách hàng]],code_khach_hang[],3,0)</f>
        <v>Miền Bắc đặc biệt 1</v>
      </c>
      <c r="H2716" t="str">
        <f>VLOOKUP(Table8[[#This Row],[Mã khách hàng]],'Khách hàng'!A:D,4,0)</f>
        <v>Food Đức Việt</v>
      </c>
      <c r="I2716" t="str">
        <f>VLOOKUP(Table8[[#This Row],[Mã khách hàng]],'Khách hàng'!A:E,5,0)</f>
        <v>HN0040</v>
      </c>
    </row>
    <row r="2717" spans="1:9">
      <c r="A2717" s="14" t="s">
        <v>3874</v>
      </c>
      <c r="B2717" s="15" t="s">
        <v>5</v>
      </c>
      <c r="C2717" s="10" t="s">
        <v>3875</v>
      </c>
      <c r="D2717" s="16" t="s">
        <v>8572</v>
      </c>
      <c r="E2717" s="15" t="s">
        <v>11211</v>
      </c>
      <c r="F2717" s="16" t="str">
        <f>VLOOKUP(Table8[[#This Row],[Mã khách hàng]],code_khach_hang[],2,0)</f>
        <v>CHI NHÁNH NGHỆ AN - CÔNG TY CỔ PHẦN DỊCH VỤ THƯƠNG MẠI TỔNG HỢP WINCOMMERCE</v>
      </c>
      <c r="G2717" s="16" t="str">
        <f>VLOOKUP(Table8[[#This Row],[Mã khách hàng]],code_khach_hang[],3,0)</f>
        <v>Miền Trung đặc biệt 1</v>
      </c>
      <c r="H2717" t="str">
        <f>VLOOKUP(Table8[[#This Row],[Mã khách hàng]],'Khách hàng'!A:D,4,0)</f>
        <v>Food Đức Việt</v>
      </c>
      <c r="I2717" t="str">
        <f>VLOOKUP(Table8[[#This Row],[Mã khách hàng]],'Khách hàng'!A:E,5,0)</f>
        <v>HN0040</v>
      </c>
    </row>
    <row r="2718" spans="1:9">
      <c r="A2718" s="14" t="s">
        <v>3880</v>
      </c>
      <c r="B2718" s="15" t="s">
        <v>5</v>
      </c>
      <c r="C2718" s="10" t="s">
        <v>3881</v>
      </c>
      <c r="D2718" s="16" t="s">
        <v>8575</v>
      </c>
      <c r="E2718" s="15" t="s">
        <v>11215</v>
      </c>
      <c r="F2718" s="16" t="str">
        <f>VLOOKUP(Table8[[#This Row],[Mã khách hàng]],code_khach_hang[],2,0)</f>
        <v>CHI NHÁNH HÀ NỘI - CÔNG TY CỔ PHẦN DỊCH VỤ THƯƠNG MẠI TỔNG HỢP WINCOMMERCE</v>
      </c>
      <c r="G2718" s="16" t="str">
        <f>VLOOKUP(Table8[[#This Row],[Mã khách hàng]],code_khach_hang[],3,0)</f>
        <v>Miền Bắc đặc biệt 1</v>
      </c>
      <c r="H2718" t="str">
        <f>VLOOKUP(Table8[[#This Row],[Mã khách hàng]],'Khách hàng'!A:D,4,0)</f>
        <v>Food Đức Việt</v>
      </c>
      <c r="I2718" t="str">
        <f>VLOOKUP(Table8[[#This Row],[Mã khách hàng]],'Khách hàng'!A:E,5,0)</f>
        <v>HN0040</v>
      </c>
    </row>
    <row r="2719" spans="1:9">
      <c r="A2719" s="14" t="s">
        <v>3925</v>
      </c>
      <c r="B2719" s="15" t="s">
        <v>5</v>
      </c>
      <c r="C2719" s="10" t="s">
        <v>3926</v>
      </c>
      <c r="D2719" s="16" t="s">
        <v>8578</v>
      </c>
      <c r="E2719" s="15" t="s">
        <v>11215</v>
      </c>
      <c r="F2719" s="16" t="str">
        <f>VLOOKUP(Table8[[#This Row],[Mã khách hàng]],code_khach_hang[],2,0)</f>
        <v>CHI NHÁNH HÀ NỘI - CÔNG TY CỔ PHẦN DỊCH VỤ THƯƠNG MẠI TỔNG HỢP WINCOMMERCE</v>
      </c>
      <c r="G2719" s="16" t="str">
        <f>VLOOKUP(Table8[[#This Row],[Mã khách hàng]],code_khach_hang[],3,0)</f>
        <v>Miền Bắc đặc biệt 1</v>
      </c>
      <c r="H2719" t="str">
        <f>VLOOKUP(Table8[[#This Row],[Mã khách hàng]],'Khách hàng'!A:D,4,0)</f>
        <v>Food Đức Việt</v>
      </c>
      <c r="I2719" t="str">
        <f>VLOOKUP(Table8[[#This Row],[Mã khách hàng]],'Khách hàng'!A:E,5,0)</f>
        <v>HN0040</v>
      </c>
    </row>
    <row r="2720" spans="1:9">
      <c r="A2720" s="14" t="s">
        <v>3868</v>
      </c>
      <c r="B2720" s="15" t="s">
        <v>5</v>
      </c>
      <c r="C2720" s="10" t="s">
        <v>3869</v>
      </c>
      <c r="D2720" s="16" t="s">
        <v>8581</v>
      </c>
      <c r="E2720" s="15" t="s">
        <v>11215</v>
      </c>
      <c r="F2720" s="16" t="str">
        <f>VLOOKUP(Table8[[#This Row],[Mã khách hàng]],code_khach_hang[],2,0)</f>
        <v>CHI NHÁNH HÀ NỘI - CÔNG TY CỔ PHẦN DỊCH VỤ THƯƠNG MẠI TỔNG HỢP WINCOMMERCE</v>
      </c>
      <c r="G2720" s="16" t="str">
        <f>VLOOKUP(Table8[[#This Row],[Mã khách hàng]],code_khach_hang[],3,0)</f>
        <v>Miền Bắc đặc biệt 1</v>
      </c>
      <c r="H2720" t="str">
        <f>VLOOKUP(Table8[[#This Row],[Mã khách hàng]],'Khách hàng'!A:D,4,0)</f>
        <v>Food Đức Việt</v>
      </c>
      <c r="I2720" t="str">
        <f>VLOOKUP(Table8[[#This Row],[Mã khách hàng]],'Khách hàng'!A:E,5,0)</f>
        <v>HN0040</v>
      </c>
    </row>
    <row r="2721" spans="1:9">
      <c r="A2721" s="14" t="s">
        <v>3948</v>
      </c>
      <c r="B2721" s="15" t="s">
        <v>5</v>
      </c>
      <c r="C2721" s="10" t="s">
        <v>3949</v>
      </c>
      <c r="D2721" s="16" t="s">
        <v>8584</v>
      </c>
      <c r="E2721" s="15" t="s">
        <v>11211</v>
      </c>
      <c r="F2721" s="16" t="str">
        <f>VLOOKUP(Table8[[#This Row],[Mã khách hàng]],code_khach_hang[],2,0)</f>
        <v>CHI NHÁNH NGHỆ AN - CÔNG TY CỔ PHẦN DỊCH VỤ THƯƠNG MẠI TỔNG HỢP WINCOMMERCE</v>
      </c>
      <c r="G2721" s="16" t="str">
        <f>VLOOKUP(Table8[[#This Row],[Mã khách hàng]],code_khach_hang[],3,0)</f>
        <v>Miền Trung đặc biệt 1</v>
      </c>
      <c r="H2721" t="str">
        <f>VLOOKUP(Table8[[#This Row],[Mã khách hàng]],'Khách hàng'!A:D,4,0)</f>
        <v>Food Đức Việt</v>
      </c>
      <c r="I2721" t="str">
        <f>VLOOKUP(Table8[[#This Row],[Mã khách hàng]],'Khách hàng'!A:E,5,0)</f>
        <v>HN0040</v>
      </c>
    </row>
    <row r="2722" spans="1:9">
      <c r="A2722" s="14" t="s">
        <v>3957</v>
      </c>
      <c r="B2722" s="15" t="s">
        <v>5</v>
      </c>
      <c r="C2722" s="10" t="s">
        <v>3958</v>
      </c>
      <c r="D2722" s="16" t="s">
        <v>8587</v>
      </c>
      <c r="E2722" s="15" t="s">
        <v>11193</v>
      </c>
      <c r="F2722" s="16" t="str">
        <f>VLOOKUP(Table8[[#This Row],[Mã khách hàng]],code_khach_hang[],2,0)</f>
        <v>CHI NHÁNH BẮC NINH - CÔNG TY CỔ PHẦN DỊCH VỤ THƯƠNG MẠI TỔNG HỢP WINCOMMERCE</v>
      </c>
      <c r="G2722" s="16" t="str">
        <f>VLOOKUP(Table8[[#This Row],[Mã khách hàng]],code_khach_hang[],3,0)</f>
        <v>Miền Bắc đặc biệt 2</v>
      </c>
      <c r="H2722" t="str">
        <f>VLOOKUP(Table8[[#This Row],[Mã khách hàng]],'Khách hàng'!A:D,4,0)</f>
        <v>Food Đức Việt</v>
      </c>
      <c r="I2722" t="str">
        <f>VLOOKUP(Table8[[#This Row],[Mã khách hàng]],'Khách hàng'!A:E,5,0)</f>
        <v>HN0040</v>
      </c>
    </row>
    <row r="2723" spans="1:9">
      <c r="A2723" s="14" t="s">
        <v>3922</v>
      </c>
      <c r="B2723" s="15" t="s">
        <v>5</v>
      </c>
      <c r="C2723" s="10" t="s">
        <v>3923</v>
      </c>
      <c r="D2723" s="16" t="s">
        <v>8590</v>
      </c>
      <c r="E2723" s="15" t="s">
        <v>11198</v>
      </c>
      <c r="F2723" s="16" t="str">
        <f>VLOOKUP(Table8[[#This Row],[Mã khách hàng]],code_khach_hang[],2,0)</f>
        <v>CHI NHÁNH HẢI PHÒNG - CÔNG TY CỔ PHẦN DỊCH VỤ THƯƠNG MẠI TỔNG HỢP WINCOMMERCE</v>
      </c>
      <c r="G2723" s="16" t="str">
        <f>VLOOKUP(Table8[[#This Row],[Mã khách hàng]],code_khach_hang[],3,0)</f>
        <v>Miền Bắc đặc biệt 3</v>
      </c>
      <c r="H2723" t="str">
        <f>VLOOKUP(Table8[[#This Row],[Mã khách hàng]],'Khách hàng'!A:D,4,0)</f>
        <v>Food Đức Việt</v>
      </c>
      <c r="I2723" t="str">
        <f>VLOOKUP(Table8[[#This Row],[Mã khách hàng]],'Khách hàng'!A:E,5,0)</f>
        <v>HN0040</v>
      </c>
    </row>
    <row r="2724" spans="1:9">
      <c r="A2724" s="14" t="s">
        <v>3901</v>
      </c>
      <c r="B2724" s="15" t="s">
        <v>5</v>
      </c>
      <c r="C2724" s="10" t="s">
        <v>3902</v>
      </c>
      <c r="D2724" s="16" t="s">
        <v>8593</v>
      </c>
      <c r="E2724" s="15" t="s">
        <v>11198</v>
      </c>
      <c r="F2724" s="16" t="str">
        <f>VLOOKUP(Table8[[#This Row],[Mã khách hàng]],code_khach_hang[],2,0)</f>
        <v>CHI NHÁNH HẢI PHÒNG - CÔNG TY CỔ PHẦN DỊCH VỤ THƯƠNG MẠI TỔNG HỢP WINCOMMERCE</v>
      </c>
      <c r="G2724" s="16" t="str">
        <f>VLOOKUP(Table8[[#This Row],[Mã khách hàng]],code_khach_hang[],3,0)</f>
        <v>Miền Bắc đặc biệt 3</v>
      </c>
      <c r="H2724" t="str">
        <f>VLOOKUP(Table8[[#This Row],[Mã khách hàng]],'Khách hàng'!A:D,4,0)</f>
        <v>Food Đức Việt</v>
      </c>
      <c r="I2724" t="str">
        <f>VLOOKUP(Table8[[#This Row],[Mã khách hàng]],'Khách hàng'!A:E,5,0)</f>
        <v>HN0040</v>
      </c>
    </row>
    <row r="2725" spans="1:9">
      <c r="A2725" s="14" t="s">
        <v>3913</v>
      </c>
      <c r="B2725" s="15" t="s">
        <v>5</v>
      </c>
      <c r="C2725" s="10" t="s">
        <v>3914</v>
      </c>
      <c r="D2725" s="16" t="s">
        <v>8596</v>
      </c>
      <c r="E2725" s="15" t="s">
        <v>11198</v>
      </c>
      <c r="F2725" s="16" t="str">
        <f>VLOOKUP(Table8[[#This Row],[Mã khách hàng]],code_khach_hang[],2,0)</f>
        <v>CHI NHÁNH HẢI PHÒNG - CÔNG TY CỔ PHẦN DỊCH VỤ THƯƠNG MẠI TỔNG HỢP WINCOMMERCE</v>
      </c>
      <c r="G2725" s="16" t="str">
        <f>VLOOKUP(Table8[[#This Row],[Mã khách hàng]],code_khach_hang[],3,0)</f>
        <v>Miền Bắc đặc biệt 3</v>
      </c>
      <c r="H2725" t="str">
        <f>VLOOKUP(Table8[[#This Row],[Mã khách hàng]],'Khách hàng'!A:D,4,0)</f>
        <v>Food Đức Việt</v>
      </c>
      <c r="I2725" t="str">
        <f>VLOOKUP(Table8[[#This Row],[Mã khách hàng]],'Khách hàng'!A:E,5,0)</f>
        <v>HN0040</v>
      </c>
    </row>
    <row r="2726" spans="1:9">
      <c r="A2726" s="14" t="s">
        <v>3488</v>
      </c>
      <c r="B2726" s="15" t="s">
        <v>5</v>
      </c>
      <c r="C2726" s="10" t="s">
        <v>3489</v>
      </c>
      <c r="D2726" s="16" t="s">
        <v>8599</v>
      </c>
      <c r="E2726" s="15" t="s">
        <v>11215</v>
      </c>
      <c r="F2726" s="16" t="str">
        <f>VLOOKUP(Table8[[#This Row],[Mã khách hàng]],code_khach_hang[],2,0)</f>
        <v>CHI NHÁNH HÀ NỘI - CÔNG TY CỔ PHẦN DỊCH VỤ THƯƠNG MẠI TỔNG HỢP WINCOMMERCE</v>
      </c>
      <c r="G2726" s="16" t="str">
        <f>VLOOKUP(Table8[[#This Row],[Mã khách hàng]],code_khach_hang[],3,0)</f>
        <v>Miền Bắc đặc biệt 1</v>
      </c>
      <c r="H2726" t="str">
        <f>VLOOKUP(Table8[[#This Row],[Mã khách hàng]],'Khách hàng'!A:D,4,0)</f>
        <v>Food Đức Việt</v>
      </c>
      <c r="I2726" t="str">
        <f>VLOOKUP(Table8[[#This Row],[Mã khách hàng]],'Khách hàng'!A:E,5,0)</f>
        <v>HN0040</v>
      </c>
    </row>
    <row r="2727" spans="1:9">
      <c r="A2727" s="14" t="s">
        <v>3618</v>
      </c>
      <c r="B2727" s="15" t="s">
        <v>5</v>
      </c>
      <c r="C2727" s="10" t="s">
        <v>3619</v>
      </c>
      <c r="D2727" s="16" t="s">
        <v>8602</v>
      </c>
      <c r="E2727" s="15" t="s">
        <v>11205</v>
      </c>
      <c r="F2727" s="16" t="str">
        <f>VLOOKUP(Table8[[#This Row],[Mã khách hàng]],code_khach_hang[],2,0)</f>
        <v>CHI NHÁNH HÀ TĨNH - CÔNG TY CỔ PHẦN DỊCH VỤ THƯƠNG MẠI TỔNG HỢP WINCOMMERCE</v>
      </c>
      <c r="G2727" s="16" t="str">
        <f>VLOOKUP(Table8[[#This Row],[Mã khách hàng]],code_khach_hang[],3,0)</f>
        <v>Miền Trung đặc biệt 1</v>
      </c>
      <c r="H2727" t="str">
        <f>VLOOKUP(Table8[[#This Row],[Mã khách hàng]],'Khách hàng'!A:D,4,0)</f>
        <v>Food Đức Việt</v>
      </c>
      <c r="I2727" t="str">
        <f>VLOOKUP(Table8[[#This Row],[Mã khách hàng]],'Khách hàng'!A:E,5,0)</f>
        <v>HN0040</v>
      </c>
    </row>
    <row r="2728" spans="1:9">
      <c r="A2728" s="14" t="s">
        <v>3898</v>
      </c>
      <c r="B2728" s="15" t="s">
        <v>5</v>
      </c>
      <c r="C2728" s="10" t="s">
        <v>3899</v>
      </c>
      <c r="D2728" s="16" t="s">
        <v>8604</v>
      </c>
      <c r="E2728" s="15" t="s">
        <v>11203</v>
      </c>
      <c r="F2728" s="16" t="str">
        <f>VLOOKUP(Table8[[#This Row],[Mã khách hàng]],code_khach_hang[],2,0)</f>
        <v>CHI NHÁNH THANH HÓA - CÔNG TY CỔ PHẦN DỊCH VỤ THƯƠNG MẠI TỔNG HỢP WINCOMMERCE</v>
      </c>
      <c r="G2728" s="16" t="str">
        <f>VLOOKUP(Table8[[#This Row],[Mã khách hàng]],code_khach_hang[],3,0)</f>
        <v>Miền Trung đặc biệt 1</v>
      </c>
      <c r="H2728" t="str">
        <f>VLOOKUP(Table8[[#This Row],[Mã khách hàng]],'Khách hàng'!A:D,4,0)</f>
        <v>Food Đức Việt</v>
      </c>
      <c r="I2728" t="str">
        <f>VLOOKUP(Table8[[#This Row],[Mã khách hàng]],'Khách hàng'!A:E,5,0)</f>
        <v>HN0040</v>
      </c>
    </row>
    <row r="2729" spans="1:9">
      <c r="A2729" s="14" t="s">
        <v>4017</v>
      </c>
      <c r="B2729" s="15" t="s">
        <v>5</v>
      </c>
      <c r="C2729" s="10" t="s">
        <v>4018</v>
      </c>
      <c r="D2729" s="16" t="s">
        <v>8607</v>
      </c>
      <c r="E2729" s="15" t="s">
        <v>11198</v>
      </c>
      <c r="F2729" s="16" t="str">
        <f>VLOOKUP(Table8[[#This Row],[Mã khách hàng]],code_khach_hang[],2,0)</f>
        <v>CHI NHÁNH HẢI PHÒNG - CÔNG TY CỔ PHẦN DỊCH VỤ THƯƠNG MẠI TỔNG HỢP WINCOMMERCE</v>
      </c>
      <c r="G2729" s="16" t="str">
        <f>VLOOKUP(Table8[[#This Row],[Mã khách hàng]],code_khach_hang[],3,0)</f>
        <v>Miền Bắc đặc biệt 3</v>
      </c>
      <c r="H2729" t="str">
        <f>VLOOKUP(Table8[[#This Row],[Mã khách hàng]],'Khách hàng'!A:D,4,0)</f>
        <v>Food Đức Việt</v>
      </c>
      <c r="I2729" t="str">
        <f>VLOOKUP(Table8[[#This Row],[Mã khách hàng]],'Khách hàng'!A:E,5,0)</f>
        <v>HN0040</v>
      </c>
    </row>
    <row r="2730" spans="1:9">
      <c r="A2730" s="14" t="s">
        <v>3939</v>
      </c>
      <c r="B2730" s="15" t="s">
        <v>5</v>
      </c>
      <c r="C2730" s="10" t="s">
        <v>3940</v>
      </c>
      <c r="D2730" s="16" t="s">
        <v>8610</v>
      </c>
      <c r="E2730" s="15" t="s">
        <v>11198</v>
      </c>
      <c r="F2730" s="16" t="str">
        <f>VLOOKUP(Table8[[#This Row],[Mã khách hàng]],code_khach_hang[],2,0)</f>
        <v>CHI NHÁNH HẢI PHÒNG - CÔNG TY CỔ PHẦN DỊCH VỤ THƯƠNG MẠI TỔNG HỢP WINCOMMERCE</v>
      </c>
      <c r="G2730" s="16" t="str">
        <f>VLOOKUP(Table8[[#This Row],[Mã khách hàng]],code_khach_hang[],3,0)</f>
        <v>Miền Bắc đặc biệt 3</v>
      </c>
      <c r="H2730" t="str">
        <f>VLOOKUP(Table8[[#This Row],[Mã khách hàng]],'Khách hàng'!A:D,4,0)</f>
        <v>Food Đức Việt</v>
      </c>
      <c r="I2730" t="str">
        <f>VLOOKUP(Table8[[#This Row],[Mã khách hàng]],'Khách hàng'!A:E,5,0)</f>
        <v>HN0040</v>
      </c>
    </row>
    <row r="2731" spans="1:9">
      <c r="A2731" s="14" t="s">
        <v>4026</v>
      </c>
      <c r="B2731" s="15" t="s">
        <v>5</v>
      </c>
      <c r="C2731" s="10" t="s">
        <v>4027</v>
      </c>
      <c r="D2731" s="16" t="s">
        <v>8613</v>
      </c>
      <c r="E2731" s="15" t="s">
        <v>11198</v>
      </c>
      <c r="F2731" s="16" t="str">
        <f>VLOOKUP(Table8[[#This Row],[Mã khách hàng]],code_khach_hang[],2,0)</f>
        <v>CHI NHÁNH HẢI PHÒNG - CÔNG TY CỔ PHẦN DỊCH VỤ THƯƠNG MẠI TỔNG HỢP WINCOMMERCE</v>
      </c>
      <c r="G2731" s="16" t="str">
        <f>VLOOKUP(Table8[[#This Row],[Mã khách hàng]],code_khach_hang[],3,0)</f>
        <v>Miền Bắc đặc biệt 3</v>
      </c>
      <c r="H2731" t="str">
        <f>VLOOKUP(Table8[[#This Row],[Mã khách hàng]],'Khách hàng'!A:D,4,0)</f>
        <v>Food Đức Việt</v>
      </c>
      <c r="I2731" t="str">
        <f>VLOOKUP(Table8[[#This Row],[Mã khách hàng]],'Khách hàng'!A:E,5,0)</f>
        <v>HN0040</v>
      </c>
    </row>
    <row r="2732" spans="1:9">
      <c r="A2732" s="14" t="s">
        <v>3795</v>
      </c>
      <c r="B2732" s="15" t="s">
        <v>5</v>
      </c>
      <c r="C2732" s="10" t="s">
        <v>3796</v>
      </c>
      <c r="D2732" s="16" t="s">
        <v>8616</v>
      </c>
      <c r="E2732" s="15" t="s">
        <v>11215</v>
      </c>
      <c r="F2732" s="16" t="str">
        <f>VLOOKUP(Table8[[#This Row],[Mã khách hàng]],code_khach_hang[],2,0)</f>
        <v>CHI NHÁNH HÀ NỘI - CÔNG TY CỔ PHẦN DỊCH VỤ THƯƠNG MẠI TỔNG HỢP WINCOMMERCE</v>
      </c>
      <c r="G2732" s="16" t="str">
        <f>VLOOKUP(Table8[[#This Row],[Mã khách hàng]],code_khach_hang[],3,0)</f>
        <v>Miền Bắc đặc biệt 1</v>
      </c>
      <c r="H2732" t="str">
        <f>VLOOKUP(Table8[[#This Row],[Mã khách hàng]],'Khách hàng'!A:D,4,0)</f>
        <v>Food Đức Việt</v>
      </c>
      <c r="I2732" t="str">
        <f>VLOOKUP(Table8[[#This Row],[Mã khách hàng]],'Khách hàng'!A:E,5,0)</f>
        <v>HN0040</v>
      </c>
    </row>
    <row r="2733" spans="1:9">
      <c r="A2733" s="14" t="s">
        <v>3919</v>
      </c>
      <c r="B2733" s="15" t="s">
        <v>5</v>
      </c>
      <c r="C2733" s="10" t="s">
        <v>3920</v>
      </c>
      <c r="D2733" s="16" t="s">
        <v>8619</v>
      </c>
      <c r="E2733" s="15" t="s">
        <v>11199</v>
      </c>
      <c r="F2733" s="16" t="str">
        <f>VLOOKUP(Table8[[#This Row],[Mã khách hàng]],code_khach_hang[],2,0)</f>
        <v>CHI NHÁNH PHÚ THỌ - CÔNG TY CỔ PHẦN DỊCH VỤ THƯƠNG MẠI TỔNG HỢP WINCOMMERCE</v>
      </c>
      <c r="G2733" s="16" t="str">
        <f>VLOOKUP(Table8[[#This Row],[Mã khách hàng]],code_khach_hang[],3,0)</f>
        <v>Miền Bắc đặc biệt 1</v>
      </c>
      <c r="H2733" t="str">
        <f>VLOOKUP(Table8[[#This Row],[Mã khách hàng]],'Khách hàng'!A:D,4,0)</f>
        <v>Food Đức Việt</v>
      </c>
      <c r="I2733" t="str">
        <f>VLOOKUP(Table8[[#This Row],[Mã khách hàng]],'Khách hàng'!A:E,5,0)</f>
        <v>HN0040</v>
      </c>
    </row>
    <row r="2734" spans="1:9">
      <c r="A2734" s="14" t="s">
        <v>3960</v>
      </c>
      <c r="B2734" s="15" t="s">
        <v>5</v>
      </c>
      <c r="C2734" s="10" t="s">
        <v>3961</v>
      </c>
      <c r="D2734" s="16" t="s">
        <v>8622</v>
      </c>
      <c r="E2734" s="15" t="s">
        <v>11215</v>
      </c>
      <c r="F2734" s="16" t="str">
        <f>VLOOKUP(Table8[[#This Row],[Mã khách hàng]],code_khach_hang[],2,0)</f>
        <v>CHI NHÁNH HÀ NỘI - CÔNG TY CỔ PHẦN DỊCH VỤ THƯƠNG MẠI TỔNG HỢP WINCOMMERCE</v>
      </c>
      <c r="G2734" s="16" t="str">
        <f>VLOOKUP(Table8[[#This Row],[Mã khách hàng]],code_khach_hang[],3,0)</f>
        <v>Miền Bắc đặc biệt 1</v>
      </c>
      <c r="H2734" t="str">
        <f>VLOOKUP(Table8[[#This Row],[Mã khách hàng]],'Khách hàng'!A:D,4,0)</f>
        <v>Food Đức Việt</v>
      </c>
      <c r="I2734" t="str">
        <f>VLOOKUP(Table8[[#This Row],[Mã khách hàng]],'Khách hàng'!A:E,5,0)</f>
        <v>HN0040</v>
      </c>
    </row>
    <row r="2735" spans="1:9">
      <c r="A2735" s="14" t="s">
        <v>3145</v>
      </c>
      <c r="B2735" s="15" t="s">
        <v>5</v>
      </c>
      <c r="C2735" s="10" t="s">
        <v>3146</v>
      </c>
      <c r="D2735" s="16" t="s">
        <v>8625</v>
      </c>
      <c r="E2735" s="15" t="s">
        <v>11215</v>
      </c>
      <c r="F2735" s="16" t="str">
        <f>VLOOKUP(Table8[[#This Row],[Mã khách hàng]],code_khach_hang[],2,0)</f>
        <v>CHI NHÁNH HÀ NỘI - CÔNG TY CỔ PHẦN DỊCH VỤ THƯƠNG MẠI TỔNG HỢP WINCOMMERCE</v>
      </c>
      <c r="G2735" s="16" t="str">
        <f>VLOOKUP(Table8[[#This Row],[Mã khách hàng]],code_khach_hang[],3,0)</f>
        <v>Miền Bắc đặc biệt 1</v>
      </c>
      <c r="H2735" t="str">
        <f>VLOOKUP(Table8[[#This Row],[Mã khách hàng]],'Khách hàng'!A:D,4,0)</f>
        <v>Food Đức Việt</v>
      </c>
      <c r="I2735" t="str">
        <f>VLOOKUP(Table8[[#This Row],[Mã khách hàng]],'Khách hàng'!A:E,5,0)</f>
        <v>HN0040</v>
      </c>
    </row>
    <row r="2736" spans="1:9">
      <c r="A2736" s="14" t="s">
        <v>3431</v>
      </c>
      <c r="B2736" s="15" t="s">
        <v>5</v>
      </c>
      <c r="C2736" s="10" t="s">
        <v>3432</v>
      </c>
      <c r="D2736" s="16" t="s">
        <v>8628</v>
      </c>
      <c r="E2736" s="15" t="s">
        <v>11215</v>
      </c>
      <c r="F2736" s="16" t="str">
        <f>VLOOKUP(Table8[[#This Row],[Mã khách hàng]],code_khach_hang[],2,0)</f>
        <v>CHI NHÁNH HÀ NỘI - CÔNG TY CỔ PHẦN DỊCH VỤ THƯƠNG MẠI TỔNG HỢP WINCOMMERCE</v>
      </c>
      <c r="G2736" s="16" t="str">
        <f>VLOOKUP(Table8[[#This Row],[Mã khách hàng]],code_khach_hang[],3,0)</f>
        <v>Miền Bắc đặc biệt 1</v>
      </c>
      <c r="H2736" t="str">
        <f>VLOOKUP(Table8[[#This Row],[Mã khách hàng]],'Khách hàng'!A:D,4,0)</f>
        <v>Food Đức Việt</v>
      </c>
      <c r="I2736" t="str">
        <f>VLOOKUP(Table8[[#This Row],[Mã khách hàng]],'Khách hàng'!A:E,5,0)</f>
        <v>HN0040</v>
      </c>
    </row>
    <row r="2737" spans="1:9">
      <c r="A2737" s="14" t="s">
        <v>3907</v>
      </c>
      <c r="B2737" s="15" t="s">
        <v>5</v>
      </c>
      <c r="C2737" s="10" t="s">
        <v>3908</v>
      </c>
      <c r="D2737" s="16" t="s">
        <v>8630</v>
      </c>
      <c r="E2737" s="15" t="s">
        <v>11204</v>
      </c>
      <c r="F2737" s="16" t="str">
        <f>VLOOKUP(Table8[[#This Row],[Mã khách hàng]],code_khach_hang[],2,0)</f>
        <v>CHI NHÁNH TUYÊN QUANG - CÔNG TY CỔ PHẦN DỊCH VỤ THƯƠNG MẠI TỔNG HỢP WINCOMMERCE</v>
      </c>
      <c r="G2737" s="16" t="str">
        <f>VLOOKUP(Table8[[#This Row],[Mã khách hàng]],code_khach_hang[],3,0)</f>
        <v>Miền Bắc đặc biệt 2</v>
      </c>
      <c r="H2737" t="str">
        <f>VLOOKUP(Table8[[#This Row],[Mã khách hàng]],'Khách hàng'!A:D,4,0)</f>
        <v>Food Đức Việt</v>
      </c>
      <c r="I2737" t="str">
        <f>VLOOKUP(Table8[[#This Row],[Mã khách hàng]],'Khách hàng'!A:E,5,0)</f>
        <v>HN0040</v>
      </c>
    </row>
    <row r="2738" spans="1:9">
      <c r="A2738" s="14" t="s">
        <v>3928</v>
      </c>
      <c r="B2738" s="15" t="s">
        <v>5</v>
      </c>
      <c r="C2738" s="10" t="s">
        <v>3929</v>
      </c>
      <c r="D2738" s="16" t="s">
        <v>8632</v>
      </c>
      <c r="E2738" s="15" t="s">
        <v>11199</v>
      </c>
      <c r="F2738" s="16" t="str">
        <f>VLOOKUP(Table8[[#This Row],[Mã khách hàng]],code_khach_hang[],2,0)</f>
        <v>CHI NHÁNH PHÚ THỌ - CÔNG TY CỔ PHẦN DỊCH VỤ THƯƠNG MẠI TỔNG HỢP WINCOMMERCE</v>
      </c>
      <c r="G2738" s="16" t="str">
        <f>VLOOKUP(Table8[[#This Row],[Mã khách hàng]],code_khach_hang[],3,0)</f>
        <v>Miền Bắc đặc biệt 1</v>
      </c>
      <c r="H2738" t="str">
        <f>VLOOKUP(Table8[[#This Row],[Mã khách hàng]],'Khách hàng'!A:D,4,0)</f>
        <v>Food Đức Việt</v>
      </c>
      <c r="I2738" t="str">
        <f>VLOOKUP(Table8[[#This Row],[Mã khách hàng]],'Khách hàng'!A:E,5,0)</f>
        <v>HN0040</v>
      </c>
    </row>
    <row r="2739" spans="1:9">
      <c r="A2739" s="14" t="s">
        <v>3942</v>
      </c>
      <c r="B2739" s="15" t="s">
        <v>5</v>
      </c>
      <c r="C2739" s="10" t="s">
        <v>3943</v>
      </c>
      <c r="D2739" s="16" t="s">
        <v>8635</v>
      </c>
      <c r="E2739" s="15" t="s">
        <v>11199</v>
      </c>
      <c r="F2739" s="16" t="str">
        <f>VLOOKUP(Table8[[#This Row],[Mã khách hàng]],code_khach_hang[],2,0)</f>
        <v>CHI NHÁNH PHÚ THỌ - CÔNG TY CỔ PHẦN DỊCH VỤ THƯƠNG MẠI TỔNG HỢP WINCOMMERCE</v>
      </c>
      <c r="G2739" s="16" t="str">
        <f>VLOOKUP(Table8[[#This Row],[Mã khách hàng]],code_khach_hang[],3,0)</f>
        <v>Miền Bắc đặc biệt 1</v>
      </c>
      <c r="H2739" t="str">
        <f>VLOOKUP(Table8[[#This Row],[Mã khách hàng]],'Khách hàng'!A:D,4,0)</f>
        <v>Food Đức Việt</v>
      </c>
      <c r="I2739" t="str">
        <f>VLOOKUP(Table8[[#This Row],[Mã khách hàng]],'Khách hàng'!A:E,5,0)</f>
        <v>HN0040</v>
      </c>
    </row>
    <row r="2740" spans="1:9">
      <c r="A2740" s="14" t="s">
        <v>3945</v>
      </c>
      <c r="B2740" s="15" t="s">
        <v>5</v>
      </c>
      <c r="C2740" s="10" t="s">
        <v>3946</v>
      </c>
      <c r="D2740" s="16" t="s">
        <v>8638</v>
      </c>
      <c r="E2740" s="15" t="s">
        <v>11216</v>
      </c>
      <c r="F2740" s="16" t="str">
        <f>VLOOKUP(Table8[[#This Row],[Mã khách hàng]],code_khach_hang[],2,0)</f>
        <v>CHI NHÁNH HƯNG YÊN - CÔNG TY CỔ PHẦN DỊCH VỤ THƯƠNG MẠI TỔNG HỢP WINCOMMERCE</v>
      </c>
      <c r="G2740" s="16" t="str">
        <f>VLOOKUP(Table8[[#This Row],[Mã khách hàng]],code_khach_hang[],3,0)</f>
        <v>Miền Bắc đặc biệt 1</v>
      </c>
      <c r="H2740" t="str">
        <f>VLOOKUP(Table8[[#This Row],[Mã khách hàng]],'Khách hàng'!A:D,4,0)</f>
        <v>Food Đức Việt</v>
      </c>
      <c r="I2740" t="str">
        <f>VLOOKUP(Table8[[#This Row],[Mã khách hàng]],'Khách hàng'!A:E,5,0)</f>
        <v>HN0040</v>
      </c>
    </row>
    <row r="2741" spans="1:9">
      <c r="A2741" s="14" t="s">
        <v>11144</v>
      </c>
      <c r="B2741" s="15" t="s">
        <v>5</v>
      </c>
      <c r="C2741" s="10" t="s">
        <v>13177</v>
      </c>
      <c r="D2741" s="16" t="s">
        <v>8641</v>
      </c>
      <c r="E2741" s="15" t="s">
        <v>11205</v>
      </c>
      <c r="F2741" s="16" t="str">
        <f>VLOOKUP(Table8[[#This Row],[Mã khách hàng]],code_khach_hang[],2,0)</f>
        <v>CHI NHÁNH HÀ TĨNH - CÔNG TY CỔ PHẦN DỊCH VỤ THƯƠNG MẠI TỔNG HỢP WINCOMMERCE</v>
      </c>
      <c r="G2741" s="16" t="str">
        <f>VLOOKUP(Table8[[#This Row],[Mã khách hàng]],code_khach_hang[],3,0)</f>
        <v>Miền Trung đặc biệt 1</v>
      </c>
      <c r="H2741" t="str">
        <f>VLOOKUP(Table8[[#This Row],[Mã khách hàng]],'Khách hàng'!A:D,4,0)</f>
        <v>Food Đức Việt</v>
      </c>
      <c r="I2741" t="str">
        <f>VLOOKUP(Table8[[#This Row],[Mã khách hàng]],'Khách hàng'!A:E,5,0)</f>
        <v>HN0040</v>
      </c>
    </row>
    <row r="2742" spans="1:9">
      <c r="A2742" s="14" t="s">
        <v>3951</v>
      </c>
      <c r="B2742" s="15" t="s">
        <v>5</v>
      </c>
      <c r="C2742" s="10" t="s">
        <v>3952</v>
      </c>
      <c r="D2742" s="16" t="s">
        <v>8644</v>
      </c>
      <c r="E2742" s="15" t="s">
        <v>11193</v>
      </c>
      <c r="F2742" s="16" t="str">
        <f>VLOOKUP(Table8[[#This Row],[Mã khách hàng]],code_khach_hang[],2,0)</f>
        <v>CHI NHÁNH BẮC NINH - CÔNG TY CỔ PHẦN DỊCH VỤ THƯƠNG MẠI TỔNG HỢP WINCOMMERCE</v>
      </c>
      <c r="G2742" s="16" t="str">
        <f>VLOOKUP(Table8[[#This Row],[Mã khách hàng]],code_khach_hang[],3,0)</f>
        <v>Miền Bắc đặc biệt 2</v>
      </c>
      <c r="H2742" t="str">
        <f>VLOOKUP(Table8[[#This Row],[Mã khách hàng]],'Khách hàng'!A:D,4,0)</f>
        <v>Food Đức Việt</v>
      </c>
      <c r="I2742" t="str">
        <f>VLOOKUP(Table8[[#This Row],[Mã khách hàng]],'Khách hàng'!A:E,5,0)</f>
        <v>HN0040</v>
      </c>
    </row>
    <row r="2743" spans="1:9">
      <c r="A2743" s="14" t="s">
        <v>3966</v>
      </c>
      <c r="B2743" s="15" t="s">
        <v>5</v>
      </c>
      <c r="C2743" s="10" t="s">
        <v>3967</v>
      </c>
      <c r="D2743" s="16" t="s">
        <v>8647</v>
      </c>
      <c r="E2743" s="15" t="s">
        <v>11193</v>
      </c>
      <c r="F2743" s="16" t="str">
        <f>VLOOKUP(Table8[[#This Row],[Mã khách hàng]],code_khach_hang[],2,0)</f>
        <v>CHI NHÁNH BẮC NINH - CÔNG TY CỔ PHẦN DỊCH VỤ THƯƠNG MẠI TỔNG HỢP WINCOMMERCE</v>
      </c>
      <c r="G2743" s="16" t="str">
        <f>VLOOKUP(Table8[[#This Row],[Mã khách hàng]],code_khach_hang[],3,0)</f>
        <v>Miền Bắc đặc biệt 2</v>
      </c>
      <c r="H2743" t="str">
        <f>VLOOKUP(Table8[[#This Row],[Mã khách hàng]],'Khách hàng'!A:D,4,0)</f>
        <v>Food Đức Việt</v>
      </c>
      <c r="I2743" t="str">
        <f>VLOOKUP(Table8[[#This Row],[Mã khách hàng]],'Khách hàng'!A:E,5,0)</f>
        <v>HN0040</v>
      </c>
    </row>
    <row r="2744" spans="1:9">
      <c r="A2744" s="14" t="s">
        <v>3975</v>
      </c>
      <c r="B2744" s="15" t="s">
        <v>5</v>
      </c>
      <c r="C2744" s="10" t="s">
        <v>3976</v>
      </c>
      <c r="D2744" s="16" t="s">
        <v>8649</v>
      </c>
      <c r="E2744" s="15" t="s">
        <v>11199</v>
      </c>
      <c r="F2744" s="16" t="str">
        <f>VLOOKUP(Table8[[#This Row],[Mã khách hàng]],code_khach_hang[],2,0)</f>
        <v>CHI NHÁNH PHÚ THỌ - CÔNG TY CỔ PHẦN DỊCH VỤ THƯƠNG MẠI TỔNG HỢP WINCOMMERCE</v>
      </c>
      <c r="G2744" s="16" t="str">
        <f>VLOOKUP(Table8[[#This Row],[Mã khách hàng]],code_khach_hang[],3,0)</f>
        <v>Miền Bắc đặc biệt 1</v>
      </c>
      <c r="H2744" t="str">
        <f>VLOOKUP(Table8[[#This Row],[Mã khách hàng]],'Khách hàng'!A:D,4,0)</f>
        <v>Food Đức Việt</v>
      </c>
      <c r="I2744" t="str">
        <f>VLOOKUP(Table8[[#This Row],[Mã khách hàng]],'Khách hàng'!A:E,5,0)</f>
        <v>HN0040</v>
      </c>
    </row>
    <row r="2745" spans="1:9">
      <c r="A2745" s="14" t="s">
        <v>3978</v>
      </c>
      <c r="B2745" s="15" t="s">
        <v>5</v>
      </c>
      <c r="C2745" s="10" t="s">
        <v>3979</v>
      </c>
      <c r="D2745" s="16" t="s">
        <v>8652</v>
      </c>
      <c r="E2745" s="15" t="s">
        <v>11215</v>
      </c>
      <c r="F2745" s="16" t="str">
        <f>VLOOKUP(Table8[[#This Row],[Mã khách hàng]],code_khach_hang[],2,0)</f>
        <v>CHI NHÁNH HÀ NỘI - CÔNG TY CỔ PHẦN DỊCH VỤ THƯƠNG MẠI TỔNG HỢP WINCOMMERCE</v>
      </c>
      <c r="G2745" s="16" t="str">
        <f>VLOOKUP(Table8[[#This Row],[Mã khách hàng]],code_khach_hang[],3,0)</f>
        <v>Miền Bắc đặc biệt 1</v>
      </c>
      <c r="H2745" t="str">
        <f>VLOOKUP(Table8[[#This Row],[Mã khách hàng]],'Khách hàng'!A:D,4,0)</f>
        <v>Food Đức Việt</v>
      </c>
      <c r="I2745" t="str">
        <f>VLOOKUP(Table8[[#This Row],[Mã khách hàng]],'Khách hàng'!A:E,5,0)</f>
        <v>HN0040</v>
      </c>
    </row>
    <row r="2746" spans="1:9">
      <c r="A2746" s="14" t="s">
        <v>3981</v>
      </c>
      <c r="B2746" s="15" t="s">
        <v>5</v>
      </c>
      <c r="C2746" s="10" t="s">
        <v>3982</v>
      </c>
      <c r="D2746" s="16" t="s">
        <v>8655</v>
      </c>
      <c r="E2746" s="15" t="s">
        <v>11211</v>
      </c>
      <c r="F2746" s="16" t="str">
        <f>VLOOKUP(Table8[[#This Row],[Mã khách hàng]],code_khach_hang[],2,0)</f>
        <v>CHI NHÁNH NGHỆ AN - CÔNG TY CỔ PHẦN DỊCH VỤ THƯƠNG MẠI TỔNG HỢP WINCOMMERCE</v>
      </c>
      <c r="G2746" s="16" t="str">
        <f>VLOOKUP(Table8[[#This Row],[Mã khách hàng]],code_khach_hang[],3,0)</f>
        <v>Miền Trung đặc biệt 1</v>
      </c>
      <c r="H2746" t="str">
        <f>VLOOKUP(Table8[[#This Row],[Mã khách hàng]],'Khách hàng'!A:D,4,0)</f>
        <v>Food Đức Việt</v>
      </c>
      <c r="I2746" t="str">
        <f>VLOOKUP(Table8[[#This Row],[Mã khách hàng]],'Khách hàng'!A:E,5,0)</f>
        <v>HN0040</v>
      </c>
    </row>
    <row r="2747" spans="1:9">
      <c r="A2747" s="14" t="s">
        <v>3987</v>
      </c>
      <c r="B2747" s="15" t="s">
        <v>5</v>
      </c>
      <c r="C2747" s="10" t="s">
        <v>3988</v>
      </c>
      <c r="D2747" s="16" t="s">
        <v>8658</v>
      </c>
      <c r="E2747" s="15" t="s">
        <v>11193</v>
      </c>
      <c r="F2747" s="16" t="str">
        <f>VLOOKUP(Table8[[#This Row],[Mã khách hàng]],code_khach_hang[],2,0)</f>
        <v>CHI NHÁNH BẮC NINH - CÔNG TY CỔ PHẦN DỊCH VỤ THƯƠNG MẠI TỔNG HỢP WINCOMMERCE</v>
      </c>
      <c r="G2747" s="16" t="str">
        <f>VLOOKUP(Table8[[#This Row],[Mã khách hàng]],code_khach_hang[],3,0)</f>
        <v>Miền Bắc đặc biệt 2</v>
      </c>
      <c r="H2747" t="str">
        <f>VLOOKUP(Table8[[#This Row],[Mã khách hàng]],'Khách hàng'!A:D,4,0)</f>
        <v>Food Đức Việt</v>
      </c>
      <c r="I2747" t="str">
        <f>VLOOKUP(Table8[[#This Row],[Mã khách hàng]],'Khách hàng'!A:E,5,0)</f>
        <v>HN0040</v>
      </c>
    </row>
    <row r="2748" spans="1:9">
      <c r="A2748" s="14" t="s">
        <v>3990</v>
      </c>
      <c r="B2748" s="15" t="s">
        <v>5</v>
      </c>
      <c r="C2748" s="10" t="s">
        <v>3991</v>
      </c>
      <c r="D2748" s="16" t="s">
        <v>8661</v>
      </c>
      <c r="E2748" s="15" t="s">
        <v>11211</v>
      </c>
      <c r="F2748" s="16" t="str">
        <f>VLOOKUP(Table8[[#This Row],[Mã khách hàng]],code_khach_hang[],2,0)</f>
        <v>CHI NHÁNH NGHỆ AN - CÔNG TY CỔ PHẦN DỊCH VỤ THƯƠNG MẠI TỔNG HỢP WINCOMMERCE</v>
      </c>
      <c r="G2748" s="16" t="str">
        <f>VLOOKUP(Table8[[#This Row],[Mã khách hàng]],code_khach_hang[],3,0)</f>
        <v>Miền Trung đặc biệt 1</v>
      </c>
      <c r="H2748" t="str">
        <f>VLOOKUP(Table8[[#This Row],[Mã khách hàng]],'Khách hàng'!A:D,4,0)</f>
        <v>Food Đức Việt</v>
      </c>
      <c r="I2748" t="str">
        <f>VLOOKUP(Table8[[#This Row],[Mã khách hàng]],'Khách hàng'!A:E,5,0)</f>
        <v>HN0040</v>
      </c>
    </row>
    <row r="2749" spans="1:9">
      <c r="A2749" s="14" t="s">
        <v>4005</v>
      </c>
      <c r="B2749" s="15" t="s">
        <v>5</v>
      </c>
      <c r="C2749" s="10" t="s">
        <v>4006</v>
      </c>
      <c r="D2749" s="16" t="s">
        <v>8664</v>
      </c>
      <c r="E2749" s="15" t="s">
        <v>11215</v>
      </c>
      <c r="F2749" s="16" t="str">
        <f>VLOOKUP(Table8[[#This Row],[Mã khách hàng]],code_khach_hang[],2,0)</f>
        <v>CHI NHÁNH HÀ NỘI - CÔNG TY CỔ PHẦN DỊCH VỤ THƯƠNG MẠI TỔNG HỢP WINCOMMERCE</v>
      </c>
      <c r="G2749" s="16" t="str">
        <f>VLOOKUP(Table8[[#This Row],[Mã khách hàng]],code_khach_hang[],3,0)</f>
        <v>Miền Bắc đặc biệt 1</v>
      </c>
      <c r="H2749" t="str">
        <f>VLOOKUP(Table8[[#This Row],[Mã khách hàng]],'Khách hàng'!A:D,4,0)</f>
        <v>Food Đức Việt</v>
      </c>
      <c r="I2749" t="str">
        <f>VLOOKUP(Table8[[#This Row],[Mã khách hàng]],'Khách hàng'!A:E,5,0)</f>
        <v>HN0040</v>
      </c>
    </row>
    <row r="2750" spans="1:9">
      <c r="A2750" s="14" t="s">
        <v>4008</v>
      </c>
      <c r="B2750" s="15" t="s">
        <v>5</v>
      </c>
      <c r="C2750" s="10" t="s">
        <v>4009</v>
      </c>
      <c r="D2750" s="16" t="s">
        <v>8667</v>
      </c>
      <c r="E2750" s="15" t="s">
        <v>11216</v>
      </c>
      <c r="F2750" s="16" t="str">
        <f>VLOOKUP(Table8[[#This Row],[Mã khách hàng]],code_khach_hang[],2,0)</f>
        <v>CHI NHÁNH HƯNG YÊN - CÔNG TY CỔ PHẦN DỊCH VỤ THƯƠNG MẠI TỔNG HỢP WINCOMMERCE</v>
      </c>
      <c r="G2750" s="16" t="str">
        <f>VLOOKUP(Table8[[#This Row],[Mã khách hàng]],code_khach_hang[],3,0)</f>
        <v>Miền Bắc đặc biệt 1</v>
      </c>
      <c r="H2750" t="str">
        <f>VLOOKUP(Table8[[#This Row],[Mã khách hàng]],'Khách hàng'!A:D,4,0)</f>
        <v>Food Đức Việt</v>
      </c>
      <c r="I2750" t="str">
        <f>VLOOKUP(Table8[[#This Row],[Mã khách hàng]],'Khách hàng'!A:E,5,0)</f>
        <v>HN0040</v>
      </c>
    </row>
    <row r="2751" spans="1:9">
      <c r="A2751" s="14" t="s">
        <v>4011</v>
      </c>
      <c r="B2751" s="15" t="s">
        <v>5</v>
      </c>
      <c r="C2751" s="10" t="s">
        <v>4012</v>
      </c>
      <c r="D2751" s="16" t="s">
        <v>8670</v>
      </c>
      <c r="E2751" s="15" t="s">
        <v>11199</v>
      </c>
      <c r="F2751" s="16" t="str">
        <f>VLOOKUP(Table8[[#This Row],[Mã khách hàng]],code_khach_hang[],2,0)</f>
        <v>CHI NHÁNH PHÚ THỌ - CÔNG TY CỔ PHẦN DỊCH VỤ THƯƠNG MẠI TỔNG HỢP WINCOMMERCE</v>
      </c>
      <c r="G2751" s="16" t="str">
        <f>VLOOKUP(Table8[[#This Row],[Mã khách hàng]],code_khach_hang[],3,0)</f>
        <v>Miền Bắc đặc biệt 1</v>
      </c>
      <c r="H2751" t="str">
        <f>VLOOKUP(Table8[[#This Row],[Mã khách hàng]],'Khách hàng'!A:D,4,0)</f>
        <v>Food Đức Việt</v>
      </c>
      <c r="I2751" t="str">
        <f>VLOOKUP(Table8[[#This Row],[Mã khách hàng]],'Khách hàng'!A:E,5,0)</f>
        <v>HN0040</v>
      </c>
    </row>
    <row r="2752" spans="1:9">
      <c r="A2752" s="14" t="s">
        <v>4020</v>
      </c>
      <c r="B2752" s="15" t="s">
        <v>5</v>
      </c>
      <c r="C2752" s="10" t="s">
        <v>4021</v>
      </c>
      <c r="D2752" s="16" t="s">
        <v>8673</v>
      </c>
      <c r="E2752" s="15" t="s">
        <v>11199</v>
      </c>
      <c r="F2752" s="16" t="str">
        <f>VLOOKUP(Table8[[#This Row],[Mã khách hàng]],code_khach_hang[],2,0)</f>
        <v>CHI NHÁNH PHÚ THỌ - CÔNG TY CỔ PHẦN DỊCH VỤ THƯƠNG MẠI TỔNG HỢP WINCOMMERCE</v>
      </c>
      <c r="G2752" s="16" t="str">
        <f>VLOOKUP(Table8[[#This Row],[Mã khách hàng]],code_khach_hang[],3,0)</f>
        <v>Miền Bắc đặc biệt 1</v>
      </c>
      <c r="H2752" t="str">
        <f>VLOOKUP(Table8[[#This Row],[Mã khách hàng]],'Khách hàng'!A:D,4,0)</f>
        <v>Food Đức Việt</v>
      </c>
      <c r="I2752" t="str">
        <f>VLOOKUP(Table8[[#This Row],[Mã khách hàng]],'Khách hàng'!A:E,5,0)</f>
        <v>HN0040</v>
      </c>
    </row>
    <row r="2753" spans="1:9">
      <c r="A2753" s="14" t="s">
        <v>4041</v>
      </c>
      <c r="B2753" s="15" t="s">
        <v>5</v>
      </c>
      <c r="C2753" s="10" t="s">
        <v>4042</v>
      </c>
      <c r="D2753" s="16" t="s">
        <v>8676</v>
      </c>
      <c r="E2753" s="15" t="s">
        <v>11199</v>
      </c>
      <c r="F2753" s="16" t="str">
        <f>VLOOKUP(Table8[[#This Row],[Mã khách hàng]],code_khach_hang[],2,0)</f>
        <v>CHI NHÁNH PHÚ THỌ - CÔNG TY CỔ PHẦN DỊCH VỤ THƯƠNG MẠI TỔNG HỢP WINCOMMERCE</v>
      </c>
      <c r="G2753" s="16" t="str">
        <f>VLOOKUP(Table8[[#This Row],[Mã khách hàng]],code_khach_hang[],3,0)</f>
        <v>Miền Bắc đặc biệt 1</v>
      </c>
      <c r="H2753" t="str">
        <f>VLOOKUP(Table8[[#This Row],[Mã khách hàng]],'Khách hàng'!A:D,4,0)</f>
        <v>Food Đức Việt</v>
      </c>
      <c r="I2753" t="str">
        <f>VLOOKUP(Table8[[#This Row],[Mã khách hàng]],'Khách hàng'!A:E,5,0)</f>
        <v>HN0040</v>
      </c>
    </row>
    <row r="2754" spans="1:9">
      <c r="A2754" s="14" t="s">
        <v>4068</v>
      </c>
      <c r="B2754" s="15" t="s">
        <v>5</v>
      </c>
      <c r="C2754" s="10" t="s">
        <v>4069</v>
      </c>
      <c r="D2754" s="16" t="s">
        <v>8679</v>
      </c>
      <c r="E2754" s="15" t="s">
        <v>11216</v>
      </c>
      <c r="F2754" s="16" t="str">
        <f>VLOOKUP(Table8[[#This Row],[Mã khách hàng]],code_khach_hang[],2,0)</f>
        <v>CHI NHÁNH HƯNG YÊN - CÔNG TY CỔ PHẦN DỊCH VỤ THƯƠNG MẠI TỔNG HỢP WINCOMMERCE</v>
      </c>
      <c r="G2754" s="16" t="str">
        <f>VLOOKUP(Table8[[#This Row],[Mã khách hàng]],code_khach_hang[],3,0)</f>
        <v>Miền Bắc đặc biệt 1</v>
      </c>
      <c r="H2754" t="str">
        <f>VLOOKUP(Table8[[#This Row],[Mã khách hàng]],'Khách hàng'!A:D,4,0)</f>
        <v>Food Đức Việt</v>
      </c>
      <c r="I2754" t="str">
        <f>VLOOKUP(Table8[[#This Row],[Mã khách hàng]],'Khách hàng'!A:E,5,0)</f>
        <v>HN0040</v>
      </c>
    </row>
    <row r="2755" spans="1:9">
      <c r="A2755" s="14" t="s">
        <v>3804</v>
      </c>
      <c r="B2755" s="15" t="s">
        <v>5</v>
      </c>
      <c r="C2755" s="10" t="s">
        <v>3805</v>
      </c>
      <c r="D2755" s="16" t="s">
        <v>8682</v>
      </c>
      <c r="E2755" s="15" t="s">
        <v>11203</v>
      </c>
      <c r="F2755" s="16" t="str">
        <f>VLOOKUP(Table8[[#This Row],[Mã khách hàng]],code_khach_hang[],2,0)</f>
        <v>CHI NHÁNH THANH HÓA - CÔNG TY CỔ PHẦN DỊCH VỤ THƯƠNG MẠI TỔNG HỢP WINCOMMERCE</v>
      </c>
      <c r="G2755" s="16" t="str">
        <f>VLOOKUP(Table8[[#This Row],[Mã khách hàng]],code_khach_hang[],3,0)</f>
        <v>Miền Trung đặc biệt 1</v>
      </c>
      <c r="H2755" t="str">
        <f>VLOOKUP(Table8[[#This Row],[Mã khách hàng]],'Khách hàng'!A:D,4,0)</f>
        <v>Food Đức Việt</v>
      </c>
      <c r="I2755" t="str">
        <f>VLOOKUP(Table8[[#This Row],[Mã khách hàng]],'Khách hàng'!A:E,5,0)</f>
        <v>HN0040</v>
      </c>
    </row>
    <row r="2756" spans="1:9">
      <c r="A2756" s="14" t="s">
        <v>3936</v>
      </c>
      <c r="B2756" s="15" t="s">
        <v>5</v>
      </c>
      <c r="C2756" s="10" t="s">
        <v>3937</v>
      </c>
      <c r="D2756" s="16" t="s">
        <v>8684</v>
      </c>
      <c r="E2756" s="15" t="s">
        <v>11199</v>
      </c>
      <c r="F2756" s="16" t="str">
        <f>VLOOKUP(Table8[[#This Row],[Mã khách hàng]],code_khach_hang[],2,0)</f>
        <v>CHI NHÁNH PHÚ THỌ - CÔNG TY CỔ PHẦN DỊCH VỤ THƯƠNG MẠI TỔNG HỢP WINCOMMERCE</v>
      </c>
      <c r="G2756" s="16" t="str">
        <f>VLOOKUP(Table8[[#This Row],[Mã khách hàng]],code_khach_hang[],3,0)</f>
        <v>Miền Bắc đặc biệt 1</v>
      </c>
      <c r="H2756" t="str">
        <f>VLOOKUP(Table8[[#This Row],[Mã khách hàng]],'Khách hàng'!A:D,4,0)</f>
        <v>Food Đức Việt</v>
      </c>
      <c r="I2756" t="str">
        <f>VLOOKUP(Table8[[#This Row],[Mã khách hàng]],'Khách hàng'!A:E,5,0)</f>
        <v>HN0040</v>
      </c>
    </row>
    <row r="2757" spans="1:9">
      <c r="A2757" s="14" t="s">
        <v>3883</v>
      </c>
      <c r="B2757" s="15" t="s">
        <v>5</v>
      </c>
      <c r="C2757" s="10" t="s">
        <v>3884</v>
      </c>
      <c r="D2757" s="16" t="s">
        <v>8687</v>
      </c>
      <c r="E2757" s="14" t="s">
        <v>11215</v>
      </c>
      <c r="F2757" s="16" t="str">
        <f>VLOOKUP(Table8[[#This Row],[Mã khách hàng]],code_khach_hang[],2,0)</f>
        <v>CHI NHÁNH HÀ NỘI - CÔNG TY CỔ PHẦN DỊCH VỤ THƯƠNG MẠI TỔNG HỢP WINCOMMERCE</v>
      </c>
      <c r="G2757" s="16" t="str">
        <f>VLOOKUP(Table8[[#This Row],[Mã khách hàng]],code_khach_hang[],3,0)</f>
        <v>Miền Bắc đặc biệt 1</v>
      </c>
      <c r="H2757" t="str">
        <f>VLOOKUP(Table8[[#This Row],[Mã khách hàng]],'Khách hàng'!A:D,4,0)</f>
        <v>Food Đức Việt</v>
      </c>
      <c r="I2757" t="str">
        <f>VLOOKUP(Table8[[#This Row],[Mã khách hàng]],'Khách hàng'!A:E,5,0)</f>
        <v>HN0040</v>
      </c>
    </row>
    <row r="2758" spans="1:9">
      <c r="A2758" s="14" t="s">
        <v>3931</v>
      </c>
      <c r="B2758" s="15" t="s">
        <v>5</v>
      </c>
      <c r="C2758" s="10" t="s">
        <v>13178</v>
      </c>
      <c r="D2758" s="16" t="s">
        <v>8690</v>
      </c>
      <c r="E2758" s="15" t="s">
        <v>11193</v>
      </c>
      <c r="F2758" s="16" t="str">
        <f>VLOOKUP(Table8[[#This Row],[Mã khách hàng]],code_khach_hang[],2,0)</f>
        <v>CHI NHÁNH BẮC NINH - CÔNG TY CỔ PHẦN DỊCH VỤ THƯƠNG MẠI TỔNG HỢP WINCOMMERCE</v>
      </c>
      <c r="G2758" s="16" t="str">
        <f>VLOOKUP(Table8[[#This Row],[Mã khách hàng]],code_khach_hang[],3,0)</f>
        <v>Miền Bắc đặc biệt 2</v>
      </c>
      <c r="H2758" t="str">
        <f>VLOOKUP(Table8[[#This Row],[Mã khách hàng]],'Khách hàng'!A:D,4,0)</f>
        <v>Food Đức Việt</v>
      </c>
      <c r="I2758" t="str">
        <f>VLOOKUP(Table8[[#This Row],[Mã khách hàng]],'Khách hàng'!A:E,5,0)</f>
        <v>HN0040</v>
      </c>
    </row>
    <row r="2759" spans="1:9">
      <c r="A2759" s="14" t="s">
        <v>4002</v>
      </c>
      <c r="B2759" s="15" t="s">
        <v>5</v>
      </c>
      <c r="C2759" s="10" t="s">
        <v>4003</v>
      </c>
      <c r="D2759" s="16" t="s">
        <v>8693</v>
      </c>
      <c r="E2759" s="15" t="s">
        <v>11215</v>
      </c>
      <c r="F2759" s="16" t="str">
        <f>VLOOKUP(Table8[[#This Row],[Mã khách hàng]],code_khach_hang[],2,0)</f>
        <v>CHI NHÁNH HÀ NỘI - CÔNG TY CỔ PHẦN DỊCH VỤ THƯƠNG MẠI TỔNG HỢP WINCOMMERCE</v>
      </c>
      <c r="G2759" s="16" t="str">
        <f>VLOOKUP(Table8[[#This Row],[Mã khách hàng]],code_khach_hang[],3,0)</f>
        <v>Miền Bắc đặc biệt 1</v>
      </c>
      <c r="H2759" t="str">
        <f>VLOOKUP(Table8[[#This Row],[Mã khách hàng]],'Khách hàng'!A:D,4,0)</f>
        <v>Food Đức Việt</v>
      </c>
      <c r="I2759" t="str">
        <f>VLOOKUP(Table8[[#This Row],[Mã khách hàng]],'Khách hàng'!A:E,5,0)</f>
        <v>HN0040</v>
      </c>
    </row>
    <row r="2760" spans="1:9">
      <c r="A2760" s="14" t="s">
        <v>4038</v>
      </c>
      <c r="B2760" s="15" t="s">
        <v>5</v>
      </c>
      <c r="C2760" s="10" t="s">
        <v>4039</v>
      </c>
      <c r="D2760" s="16" t="s">
        <v>8696</v>
      </c>
      <c r="E2760" s="15" t="s">
        <v>11211</v>
      </c>
      <c r="F2760" s="16" t="str">
        <f>VLOOKUP(Table8[[#This Row],[Mã khách hàng]],code_khach_hang[],2,0)</f>
        <v>CHI NHÁNH NGHỆ AN - CÔNG TY CỔ PHẦN DỊCH VỤ THƯƠNG MẠI TỔNG HỢP WINCOMMERCE</v>
      </c>
      <c r="G2760" s="16" t="str">
        <f>VLOOKUP(Table8[[#This Row],[Mã khách hàng]],code_khach_hang[],3,0)</f>
        <v>Miền Trung đặc biệt 1</v>
      </c>
      <c r="H2760" t="str">
        <f>VLOOKUP(Table8[[#This Row],[Mã khách hàng]],'Khách hàng'!A:D,4,0)</f>
        <v>Food Đức Việt</v>
      </c>
      <c r="I2760" t="str">
        <f>VLOOKUP(Table8[[#This Row],[Mã khách hàng]],'Khách hàng'!A:E,5,0)</f>
        <v>HN0040</v>
      </c>
    </row>
    <row r="2761" spans="1:9">
      <c r="A2761" s="14" t="s">
        <v>4050</v>
      </c>
      <c r="B2761" s="15" t="s">
        <v>5</v>
      </c>
      <c r="C2761" s="10" t="s">
        <v>4051</v>
      </c>
      <c r="D2761" s="16" t="s">
        <v>8699</v>
      </c>
      <c r="E2761" s="15" t="s">
        <v>11215</v>
      </c>
      <c r="F2761" s="16" t="str">
        <f>VLOOKUP(Table8[[#This Row],[Mã khách hàng]],code_khach_hang[],2,0)</f>
        <v>CHI NHÁNH HÀ NỘI - CÔNG TY CỔ PHẦN DỊCH VỤ THƯƠNG MẠI TỔNG HỢP WINCOMMERCE</v>
      </c>
      <c r="G2761" s="16" t="str">
        <f>VLOOKUP(Table8[[#This Row],[Mã khách hàng]],code_khach_hang[],3,0)</f>
        <v>Miền Bắc đặc biệt 1</v>
      </c>
      <c r="H2761" t="str">
        <f>VLOOKUP(Table8[[#This Row],[Mã khách hàng]],'Khách hàng'!A:D,4,0)</f>
        <v>Food Đức Việt</v>
      </c>
      <c r="I2761" t="str">
        <f>VLOOKUP(Table8[[#This Row],[Mã khách hàng]],'Khách hàng'!A:E,5,0)</f>
        <v>HN0040</v>
      </c>
    </row>
    <row r="2762" spans="1:9">
      <c r="A2762" s="14" t="s">
        <v>4056</v>
      </c>
      <c r="B2762" s="15" t="s">
        <v>5</v>
      </c>
      <c r="C2762" s="10" t="s">
        <v>4057</v>
      </c>
      <c r="D2762" s="16" t="s">
        <v>8702</v>
      </c>
      <c r="E2762" s="15" t="s">
        <v>11199</v>
      </c>
      <c r="F2762" s="16" t="str">
        <f>VLOOKUP(Table8[[#This Row],[Mã khách hàng]],code_khach_hang[],2,0)</f>
        <v>CHI NHÁNH PHÚ THỌ - CÔNG TY CỔ PHẦN DỊCH VỤ THƯƠNG MẠI TỔNG HỢP WINCOMMERCE</v>
      </c>
      <c r="G2762" s="16" t="str">
        <f>VLOOKUP(Table8[[#This Row],[Mã khách hàng]],code_khach_hang[],3,0)</f>
        <v>Miền Bắc đặc biệt 1</v>
      </c>
      <c r="H2762" t="str">
        <f>VLOOKUP(Table8[[#This Row],[Mã khách hàng]],'Khách hàng'!A:D,4,0)</f>
        <v>Food Đức Việt</v>
      </c>
      <c r="I2762" t="str">
        <f>VLOOKUP(Table8[[#This Row],[Mã khách hàng]],'Khách hàng'!A:E,5,0)</f>
        <v>HN0040</v>
      </c>
    </row>
    <row r="2763" spans="1:9">
      <c r="A2763" s="14" t="s">
        <v>4059</v>
      </c>
      <c r="B2763" s="15" t="s">
        <v>5</v>
      </c>
      <c r="C2763" s="10" t="s">
        <v>4060</v>
      </c>
      <c r="D2763" s="16" t="s">
        <v>8705</v>
      </c>
      <c r="E2763" s="15" t="s">
        <v>11203</v>
      </c>
      <c r="F2763" s="16" t="str">
        <f>VLOOKUP(Table8[[#This Row],[Mã khách hàng]],code_khach_hang[],2,0)</f>
        <v>CHI NHÁNH THANH HÓA - CÔNG TY CỔ PHẦN DỊCH VỤ THƯƠNG MẠI TỔNG HỢP WINCOMMERCE</v>
      </c>
      <c r="G2763" s="16" t="str">
        <f>VLOOKUP(Table8[[#This Row],[Mã khách hàng]],code_khach_hang[],3,0)</f>
        <v>Miền Trung đặc biệt 1</v>
      </c>
      <c r="H2763" t="str">
        <f>VLOOKUP(Table8[[#This Row],[Mã khách hàng]],'Khách hàng'!A:D,4,0)</f>
        <v>Food Đức Việt</v>
      </c>
      <c r="I2763" t="str">
        <f>VLOOKUP(Table8[[#This Row],[Mã khách hàng]],'Khách hàng'!A:E,5,0)</f>
        <v>HN0040</v>
      </c>
    </row>
    <row r="2764" spans="1:9">
      <c r="A2764" s="14" t="s">
        <v>4071</v>
      </c>
      <c r="B2764" s="15" t="s">
        <v>5</v>
      </c>
      <c r="C2764" s="10" t="s">
        <v>4072</v>
      </c>
      <c r="D2764" s="16" t="s">
        <v>8707</v>
      </c>
      <c r="E2764" s="15" t="s">
        <v>11205</v>
      </c>
      <c r="F2764" s="16" t="str">
        <f>VLOOKUP(Table8[[#This Row],[Mã khách hàng]],code_khach_hang[],2,0)</f>
        <v>CHI NHÁNH HÀ TĨNH - CÔNG TY CỔ PHẦN DỊCH VỤ THƯƠNG MẠI TỔNG HỢP WINCOMMERCE</v>
      </c>
      <c r="G2764" s="16" t="str">
        <f>VLOOKUP(Table8[[#This Row],[Mã khách hàng]],code_khach_hang[],3,0)</f>
        <v>Miền Trung đặc biệt 1</v>
      </c>
      <c r="H2764" t="str">
        <f>VLOOKUP(Table8[[#This Row],[Mã khách hàng]],'Khách hàng'!A:D,4,0)</f>
        <v>Food Đức Việt</v>
      </c>
      <c r="I2764" t="str">
        <f>VLOOKUP(Table8[[#This Row],[Mã khách hàng]],'Khách hàng'!A:E,5,0)</f>
        <v>HN0040</v>
      </c>
    </row>
    <row r="2765" spans="1:9">
      <c r="A2765" s="14" t="s">
        <v>3963</v>
      </c>
      <c r="B2765" s="15" t="s">
        <v>5</v>
      </c>
      <c r="C2765" s="10" t="s">
        <v>3964</v>
      </c>
      <c r="D2765" s="16" t="s">
        <v>8710</v>
      </c>
      <c r="E2765" s="15" t="s">
        <v>11215</v>
      </c>
      <c r="F2765" s="16" t="str">
        <f>VLOOKUP(Table8[[#This Row],[Mã khách hàng]],code_khach_hang[],2,0)</f>
        <v>CHI NHÁNH HÀ NỘI - CÔNG TY CỔ PHẦN DỊCH VỤ THƯƠNG MẠI TỔNG HỢP WINCOMMERCE</v>
      </c>
      <c r="G2765" s="16" t="str">
        <f>VLOOKUP(Table8[[#This Row],[Mã khách hàng]],code_khach_hang[],3,0)</f>
        <v>Miền Bắc đặc biệt 1</v>
      </c>
      <c r="H2765" t="str">
        <f>VLOOKUP(Table8[[#This Row],[Mã khách hàng]],'Khách hàng'!A:D,4,0)</f>
        <v>Food Đức Việt</v>
      </c>
      <c r="I2765" t="str">
        <f>VLOOKUP(Table8[[#This Row],[Mã khách hàng]],'Khách hàng'!A:E,5,0)</f>
        <v>HN0040</v>
      </c>
    </row>
    <row r="2766" spans="1:9">
      <c r="A2766" s="14" t="s">
        <v>4023</v>
      </c>
      <c r="B2766" s="15" t="s">
        <v>5</v>
      </c>
      <c r="C2766" s="10" t="s">
        <v>4024</v>
      </c>
      <c r="D2766" s="16" t="s">
        <v>8713</v>
      </c>
      <c r="E2766" s="15" t="s">
        <v>11198</v>
      </c>
      <c r="F2766" s="16" t="str">
        <f>VLOOKUP(Table8[[#This Row],[Mã khách hàng]],code_khach_hang[],2,0)</f>
        <v>CHI NHÁNH HẢI PHÒNG - CÔNG TY CỔ PHẦN DỊCH VỤ THƯƠNG MẠI TỔNG HỢP WINCOMMERCE</v>
      </c>
      <c r="G2766" s="16" t="str">
        <f>VLOOKUP(Table8[[#This Row],[Mã khách hàng]],code_khach_hang[],3,0)</f>
        <v>Miền Bắc đặc biệt 3</v>
      </c>
      <c r="H2766" t="str">
        <f>VLOOKUP(Table8[[#This Row],[Mã khách hàng]],'Khách hàng'!A:D,4,0)</f>
        <v>Food Đức Việt</v>
      </c>
      <c r="I2766" t="str">
        <f>VLOOKUP(Table8[[#This Row],[Mã khách hàng]],'Khách hàng'!A:E,5,0)</f>
        <v>HN0040</v>
      </c>
    </row>
    <row r="2767" spans="1:9">
      <c r="A2767" s="14" t="s">
        <v>4053</v>
      </c>
      <c r="B2767" s="15" t="s">
        <v>5</v>
      </c>
      <c r="C2767" s="10" t="s">
        <v>4054</v>
      </c>
      <c r="D2767" s="16" t="s">
        <v>8716</v>
      </c>
      <c r="E2767" s="15" t="s">
        <v>11211</v>
      </c>
      <c r="F2767" s="16" t="str">
        <f>VLOOKUP(Table8[[#This Row],[Mã khách hàng]],code_khach_hang[],2,0)</f>
        <v>CHI NHÁNH NGHỆ AN - CÔNG TY CỔ PHẦN DỊCH VỤ THƯƠNG MẠI TỔNG HỢP WINCOMMERCE</v>
      </c>
      <c r="G2767" s="16" t="str">
        <f>VLOOKUP(Table8[[#This Row],[Mã khách hàng]],code_khach_hang[],3,0)</f>
        <v>Miền Trung đặc biệt 1</v>
      </c>
      <c r="H2767" t="str">
        <f>VLOOKUP(Table8[[#This Row],[Mã khách hàng]],'Khách hàng'!A:D,4,0)</f>
        <v>Food Đức Việt</v>
      </c>
      <c r="I2767" t="str">
        <f>VLOOKUP(Table8[[#This Row],[Mã khách hàng]],'Khách hàng'!A:E,5,0)</f>
        <v>HN0040</v>
      </c>
    </row>
    <row r="2768" spans="1:9">
      <c r="A2768" s="14" t="s">
        <v>3091</v>
      </c>
      <c r="B2768" s="15" t="s">
        <v>5</v>
      </c>
      <c r="C2768" s="10" t="s">
        <v>3092</v>
      </c>
      <c r="D2768" s="16" t="s">
        <v>8719</v>
      </c>
      <c r="E2768" s="15" t="s">
        <v>11203</v>
      </c>
      <c r="F2768" s="16" t="str">
        <f>VLOOKUP(Table8[[#This Row],[Mã khách hàng]],code_khach_hang[],2,0)</f>
        <v>CHI NHÁNH THANH HÓA - CÔNG TY CỔ PHẦN DỊCH VỤ THƯƠNG MẠI TỔNG HỢP WINCOMMERCE</v>
      </c>
      <c r="G2768" s="16" t="str">
        <f>VLOOKUP(Table8[[#This Row],[Mã khách hàng]],code_khach_hang[],3,0)</f>
        <v>Miền Trung đặc biệt 1</v>
      </c>
      <c r="H2768" t="str">
        <f>VLOOKUP(Table8[[#This Row],[Mã khách hàng]],'Khách hàng'!A:D,4,0)</f>
        <v>Food Đức Việt</v>
      </c>
      <c r="I2768" t="str">
        <f>VLOOKUP(Table8[[#This Row],[Mã khách hàng]],'Khách hàng'!A:E,5,0)</f>
        <v>HN0040</v>
      </c>
    </row>
    <row r="2769" spans="1:9">
      <c r="A2769" s="14" t="s">
        <v>3933</v>
      </c>
      <c r="B2769" s="15" t="s">
        <v>5</v>
      </c>
      <c r="C2769" s="10" t="s">
        <v>3934</v>
      </c>
      <c r="D2769" s="16" t="s">
        <v>8722</v>
      </c>
      <c r="E2769" s="15" t="s">
        <v>11203</v>
      </c>
      <c r="F2769" s="16" t="str">
        <f>VLOOKUP(Table8[[#This Row],[Mã khách hàng]],code_khach_hang[],2,0)</f>
        <v>CHI NHÁNH THANH HÓA - CÔNG TY CỔ PHẦN DỊCH VỤ THƯƠNG MẠI TỔNG HỢP WINCOMMERCE</v>
      </c>
      <c r="G2769" s="16" t="str">
        <f>VLOOKUP(Table8[[#This Row],[Mã khách hàng]],code_khach_hang[],3,0)</f>
        <v>Miền Trung đặc biệt 1</v>
      </c>
      <c r="H2769" t="str">
        <f>VLOOKUP(Table8[[#This Row],[Mã khách hàng]],'Khách hàng'!A:D,4,0)</f>
        <v>Food Đức Việt</v>
      </c>
      <c r="I2769" t="str">
        <f>VLOOKUP(Table8[[#This Row],[Mã khách hàng]],'Khách hàng'!A:E,5,0)</f>
        <v>HN0040</v>
      </c>
    </row>
    <row r="2770" spans="1:9">
      <c r="A2770" s="14" t="s">
        <v>3954</v>
      </c>
      <c r="B2770" s="15" t="s">
        <v>5</v>
      </c>
      <c r="C2770" s="10" t="s">
        <v>3955</v>
      </c>
      <c r="D2770" s="16" t="s">
        <v>8725</v>
      </c>
      <c r="E2770" s="15" t="s">
        <v>11193</v>
      </c>
      <c r="F2770" s="16" t="str">
        <f>VLOOKUP(Table8[[#This Row],[Mã khách hàng]],code_khach_hang[],2,0)</f>
        <v>CHI NHÁNH BẮC NINH - CÔNG TY CỔ PHẦN DỊCH VỤ THƯƠNG MẠI TỔNG HỢP WINCOMMERCE</v>
      </c>
      <c r="G2770" s="16" t="str">
        <f>VLOOKUP(Table8[[#This Row],[Mã khách hàng]],code_khach_hang[],3,0)</f>
        <v>Miền Bắc đặc biệt 2</v>
      </c>
      <c r="H2770" t="str">
        <f>VLOOKUP(Table8[[#This Row],[Mã khách hàng]],'Khách hàng'!A:D,4,0)</f>
        <v>Food Đức Việt</v>
      </c>
      <c r="I2770" t="str">
        <f>VLOOKUP(Table8[[#This Row],[Mã khách hàng]],'Khách hàng'!A:E,5,0)</f>
        <v>HN0040</v>
      </c>
    </row>
    <row r="2771" spans="1:9">
      <c r="A2771" s="14" t="s">
        <v>521</v>
      </c>
      <c r="B2771" s="15" t="s">
        <v>5</v>
      </c>
      <c r="C2771" s="10" t="s">
        <v>522</v>
      </c>
      <c r="D2771" s="16" t="s">
        <v>8728</v>
      </c>
      <c r="E2771" s="15" t="s">
        <v>11193</v>
      </c>
      <c r="F2771" s="16" t="str">
        <f>VLOOKUP(Table8[[#This Row],[Mã khách hàng]],code_khach_hang[],2,0)</f>
        <v>CHI NHÁNH BẮC NINH - CÔNG TY CỔ PHẦN DỊCH VỤ THƯƠNG MẠI TỔNG HỢP WINCOMMERCE</v>
      </c>
      <c r="G2771" s="16" t="str">
        <f>VLOOKUP(Table8[[#This Row],[Mã khách hàng]],code_khach_hang[],3,0)</f>
        <v>Miền Bắc đặc biệt 2</v>
      </c>
      <c r="H2771" t="str">
        <f>VLOOKUP(Table8[[#This Row],[Mã khách hàng]],'Khách hàng'!A:D,4,0)</f>
        <v>Food Đức Việt</v>
      </c>
      <c r="I2771" t="str">
        <f>VLOOKUP(Table8[[#This Row],[Mã khách hàng]],'Khách hàng'!A:E,5,0)</f>
        <v>HN0040</v>
      </c>
    </row>
    <row r="2772" spans="1:9">
      <c r="A2772" s="14" t="s">
        <v>3993</v>
      </c>
      <c r="B2772" s="15" t="s">
        <v>5</v>
      </c>
      <c r="C2772" s="10" t="s">
        <v>3994</v>
      </c>
      <c r="D2772" s="16" t="s">
        <v>8731</v>
      </c>
      <c r="E2772" s="15" t="s">
        <v>11196</v>
      </c>
      <c r="F2772" s="16" t="str">
        <f>VLOOKUP(Table8[[#This Row],[Mã khách hàng]],code_khach_hang[],2,0)</f>
        <v>CHI NHÁNH NINH BÌNH - CÔNG TY CỔ PHẦN DỊCH VỤ THƯƠNG MẠI TỔNG HỢP WINCOMMERCE</v>
      </c>
      <c r="G2772" s="16" t="str">
        <f>VLOOKUP(Table8[[#This Row],[Mã khách hàng]],code_khach_hang[],3,0)</f>
        <v>Miền Bắc đặc biệt 3</v>
      </c>
      <c r="H2772" t="str">
        <f>VLOOKUP(Table8[[#This Row],[Mã khách hàng]],'Khách hàng'!A:D,4,0)</f>
        <v>Food Đức Việt</v>
      </c>
      <c r="I2772" t="str">
        <f>VLOOKUP(Table8[[#This Row],[Mã khách hàng]],'Khách hàng'!A:E,5,0)</f>
        <v>HN0040</v>
      </c>
    </row>
    <row r="2773" spans="1:9">
      <c r="A2773" s="14" t="s">
        <v>3999</v>
      </c>
      <c r="B2773" s="15" t="s">
        <v>5</v>
      </c>
      <c r="C2773" s="10" t="s">
        <v>4000</v>
      </c>
      <c r="D2773" s="16" t="s">
        <v>8734</v>
      </c>
      <c r="E2773" s="14" t="s">
        <v>11215</v>
      </c>
      <c r="F2773" s="16" t="str">
        <f>VLOOKUP(Table8[[#This Row],[Mã khách hàng]],code_khach_hang[],2,0)</f>
        <v>CHI NHÁNH HÀ NỘI - CÔNG TY CỔ PHẦN DỊCH VỤ THƯƠNG MẠI TỔNG HỢP WINCOMMERCE</v>
      </c>
      <c r="G2773" s="16" t="str">
        <f>VLOOKUP(Table8[[#This Row],[Mã khách hàng]],code_khach_hang[],3,0)</f>
        <v>Miền Bắc đặc biệt 1</v>
      </c>
      <c r="H2773" t="str">
        <f>VLOOKUP(Table8[[#This Row],[Mã khách hàng]],'Khách hàng'!A:D,4,0)</f>
        <v>Food Đức Việt</v>
      </c>
      <c r="I2773" t="str">
        <f>VLOOKUP(Table8[[#This Row],[Mã khách hàng]],'Khách hàng'!A:E,5,0)</f>
        <v>HN0040</v>
      </c>
    </row>
    <row r="2774" spans="1:9">
      <c r="A2774" s="14" t="s">
        <v>4077</v>
      </c>
      <c r="B2774" s="15" t="s">
        <v>5</v>
      </c>
      <c r="C2774" s="10" t="s">
        <v>4078</v>
      </c>
      <c r="D2774" s="16" t="s">
        <v>8737</v>
      </c>
      <c r="E2774" s="15" t="s">
        <v>11215</v>
      </c>
      <c r="F2774" s="16" t="str">
        <f>VLOOKUP(Table8[[#This Row],[Mã khách hàng]],code_khach_hang[],2,0)</f>
        <v>CHI NHÁNH HÀ NỘI - CÔNG TY CỔ PHẦN DỊCH VỤ THƯƠNG MẠI TỔNG HỢP WINCOMMERCE</v>
      </c>
      <c r="G2774" s="16" t="str">
        <f>VLOOKUP(Table8[[#This Row],[Mã khách hàng]],code_khach_hang[],3,0)</f>
        <v>Miền Bắc đặc biệt 1</v>
      </c>
      <c r="H2774" t="str">
        <f>VLOOKUP(Table8[[#This Row],[Mã khách hàng]],'Khách hàng'!A:D,4,0)</f>
        <v>Food Đức Việt</v>
      </c>
      <c r="I2774" t="str">
        <f>VLOOKUP(Table8[[#This Row],[Mã khách hàng]],'Khách hàng'!A:E,5,0)</f>
        <v>HN0040</v>
      </c>
    </row>
    <row r="2775" spans="1:9">
      <c r="A2775" s="14" t="s">
        <v>4080</v>
      </c>
      <c r="B2775" s="15" t="s">
        <v>5</v>
      </c>
      <c r="C2775" s="10" t="s">
        <v>4081</v>
      </c>
      <c r="D2775" s="16" t="s">
        <v>8740</v>
      </c>
      <c r="E2775" s="15" t="s">
        <v>11199</v>
      </c>
      <c r="F2775" s="16" t="str">
        <f>VLOOKUP(Table8[[#This Row],[Mã khách hàng]],code_khach_hang[],2,0)</f>
        <v>CHI NHÁNH PHÚ THỌ - CÔNG TY CỔ PHẦN DỊCH VỤ THƯƠNG MẠI TỔNG HỢP WINCOMMERCE</v>
      </c>
      <c r="G2775" s="16" t="str">
        <f>VLOOKUP(Table8[[#This Row],[Mã khách hàng]],code_khach_hang[],3,0)</f>
        <v>Miền Bắc đặc biệt 1</v>
      </c>
      <c r="H2775" t="str">
        <f>VLOOKUP(Table8[[#This Row],[Mã khách hàng]],'Khách hàng'!A:D,4,0)</f>
        <v>Food Đức Việt</v>
      </c>
      <c r="I2775" t="str">
        <f>VLOOKUP(Table8[[#This Row],[Mã khách hàng]],'Khách hàng'!A:E,5,0)</f>
        <v>HN0040</v>
      </c>
    </row>
    <row r="2776" spans="1:9">
      <c r="A2776" s="14" t="s">
        <v>3910</v>
      </c>
      <c r="B2776" s="15" t="s">
        <v>5</v>
      </c>
      <c r="C2776" s="10" t="s">
        <v>3911</v>
      </c>
      <c r="D2776" s="16" t="s">
        <v>8743</v>
      </c>
      <c r="E2776" s="15" t="s">
        <v>11215</v>
      </c>
      <c r="F2776" s="16" t="str">
        <f>VLOOKUP(Table8[[#This Row],[Mã khách hàng]],code_khach_hang[],2,0)</f>
        <v>CHI NHÁNH HÀ NỘI - CÔNG TY CỔ PHẦN DỊCH VỤ THƯƠNG MẠI TỔNG HỢP WINCOMMERCE</v>
      </c>
      <c r="G2776" s="16" t="str">
        <f>VLOOKUP(Table8[[#This Row],[Mã khách hàng]],code_khach_hang[],3,0)</f>
        <v>Miền Bắc đặc biệt 1</v>
      </c>
      <c r="H2776" t="str">
        <f>VLOOKUP(Table8[[#This Row],[Mã khách hàng]],'Khách hàng'!A:D,4,0)</f>
        <v>Food Đức Việt</v>
      </c>
      <c r="I2776" t="str">
        <f>VLOOKUP(Table8[[#This Row],[Mã khách hàng]],'Khách hàng'!A:E,5,0)</f>
        <v>HN0040</v>
      </c>
    </row>
    <row r="2777" spans="1:9">
      <c r="A2777" s="14" t="s">
        <v>3127</v>
      </c>
      <c r="B2777" s="15" t="s">
        <v>5</v>
      </c>
      <c r="C2777" s="10" t="s">
        <v>3128</v>
      </c>
      <c r="D2777" s="16" t="s">
        <v>8746</v>
      </c>
      <c r="E2777" s="15" t="s">
        <v>11198</v>
      </c>
      <c r="F2777" s="16" t="str">
        <f>VLOOKUP(Table8[[#This Row],[Mã khách hàng]],code_khach_hang[],2,0)</f>
        <v>CHI NHÁNH HẢI PHÒNG - CÔNG TY CỔ PHẦN DỊCH VỤ THƯƠNG MẠI TỔNG HỢP WINCOMMERCE</v>
      </c>
      <c r="G2777" s="16" t="str">
        <f>VLOOKUP(Table8[[#This Row],[Mã khách hàng]],code_khach_hang[],3,0)</f>
        <v>Miền Bắc đặc biệt 3</v>
      </c>
      <c r="H2777" t="str">
        <f>VLOOKUP(Table8[[#This Row],[Mã khách hàng]],'Khách hàng'!A:D,4,0)</f>
        <v>Food Đức Việt</v>
      </c>
      <c r="I2777" t="str">
        <f>VLOOKUP(Table8[[#This Row],[Mã khách hàng]],'Khách hàng'!A:E,5,0)</f>
        <v>HN0040</v>
      </c>
    </row>
    <row r="2778" spans="1:9">
      <c r="A2778" s="14" t="s">
        <v>3984</v>
      </c>
      <c r="B2778" s="15" t="s">
        <v>5</v>
      </c>
      <c r="C2778" s="10" t="s">
        <v>3985</v>
      </c>
      <c r="D2778" s="16" t="s">
        <v>8749</v>
      </c>
      <c r="E2778" s="15" t="s">
        <v>11207</v>
      </c>
      <c r="F2778" s="16" t="str">
        <f>VLOOKUP(Table8[[#This Row],[Mã khách hàng]],code_khach_hang[],2,0)</f>
        <v>CHI NHÁNH THÁI NGUYÊN - CÔNG TY CỔ PHẦN DỊCH VỤ THƯƠNG MẠI TỔNG HỢP WINCOMMERCE</v>
      </c>
      <c r="G2778" s="16" t="str">
        <f>VLOOKUP(Table8[[#This Row],[Mã khách hàng]],code_khach_hang[],3,0)</f>
        <v>Miền Bắc đặc biệt 2</v>
      </c>
      <c r="H2778" t="str">
        <f>VLOOKUP(Table8[[#This Row],[Mã khách hàng]],'Khách hàng'!A:D,4,0)</f>
        <v>Food Đức Việt</v>
      </c>
      <c r="I2778" t="str">
        <f>VLOOKUP(Table8[[#This Row],[Mã khách hàng]],'Khách hàng'!A:E,5,0)</f>
        <v>HN0040</v>
      </c>
    </row>
    <row r="2779" spans="1:9">
      <c r="A2779" s="14" t="s">
        <v>4029</v>
      </c>
      <c r="B2779" s="15" t="s">
        <v>5</v>
      </c>
      <c r="C2779" s="10" t="s">
        <v>4030</v>
      </c>
      <c r="D2779" s="16" t="s">
        <v>8752</v>
      </c>
      <c r="E2779" s="14" t="s">
        <v>11215</v>
      </c>
      <c r="F2779" s="16" t="str">
        <f>VLOOKUP(Table8[[#This Row],[Mã khách hàng]],code_khach_hang[],2,0)</f>
        <v>CHI NHÁNH HÀ NỘI - CÔNG TY CỔ PHẦN DỊCH VỤ THƯƠNG MẠI TỔNG HỢP WINCOMMERCE</v>
      </c>
      <c r="G2779" s="16" t="str">
        <f>VLOOKUP(Table8[[#This Row],[Mã khách hàng]],code_khach_hang[],3,0)</f>
        <v>Miền Bắc đặc biệt 1</v>
      </c>
      <c r="H2779" t="str">
        <f>VLOOKUP(Table8[[#This Row],[Mã khách hàng]],'Khách hàng'!A:D,4,0)</f>
        <v>Food Đức Việt</v>
      </c>
      <c r="I2779" t="str">
        <f>VLOOKUP(Table8[[#This Row],[Mã khách hàng]],'Khách hàng'!A:E,5,0)</f>
        <v>HN0040</v>
      </c>
    </row>
    <row r="2780" spans="1:9">
      <c r="A2780" s="14" t="s">
        <v>4086</v>
      </c>
      <c r="B2780" s="15" t="s">
        <v>5</v>
      </c>
      <c r="C2780" s="10" t="s">
        <v>4087</v>
      </c>
      <c r="D2780" s="16" t="s">
        <v>8755</v>
      </c>
      <c r="E2780" s="15" t="s">
        <v>11207</v>
      </c>
      <c r="F2780" s="16" t="str">
        <f>VLOOKUP(Table8[[#This Row],[Mã khách hàng]],code_khach_hang[],2,0)</f>
        <v>CHI NHÁNH THÁI NGUYÊN - CÔNG TY CỔ PHẦN DỊCH VỤ THƯƠNG MẠI TỔNG HỢP WINCOMMERCE</v>
      </c>
      <c r="G2780" s="16" t="str">
        <f>VLOOKUP(Table8[[#This Row],[Mã khách hàng]],code_khach_hang[],3,0)</f>
        <v>Miền Bắc đặc biệt 2</v>
      </c>
      <c r="H2780" t="str">
        <f>VLOOKUP(Table8[[#This Row],[Mã khách hàng]],'Khách hàng'!A:D,4,0)</f>
        <v>Food Đức Việt</v>
      </c>
      <c r="I2780" t="str">
        <f>VLOOKUP(Table8[[#This Row],[Mã khách hàng]],'Khách hàng'!A:E,5,0)</f>
        <v>HN0040</v>
      </c>
    </row>
    <row r="2781" spans="1:9">
      <c r="A2781" s="14" t="s">
        <v>4092</v>
      </c>
      <c r="B2781" s="15" t="s">
        <v>5</v>
      </c>
      <c r="C2781" s="10" t="s">
        <v>4093</v>
      </c>
      <c r="D2781" s="16" t="s">
        <v>8758</v>
      </c>
      <c r="E2781" s="15" t="s">
        <v>11203</v>
      </c>
      <c r="F2781" s="16" t="str">
        <f>VLOOKUP(Table8[[#This Row],[Mã khách hàng]],code_khach_hang[],2,0)</f>
        <v>CHI NHÁNH THANH HÓA - CÔNG TY CỔ PHẦN DỊCH VỤ THƯƠNG MẠI TỔNG HỢP WINCOMMERCE</v>
      </c>
      <c r="G2781" s="16" t="str">
        <f>VLOOKUP(Table8[[#This Row],[Mã khách hàng]],code_khach_hang[],3,0)</f>
        <v>Miền Trung đặc biệt 1</v>
      </c>
      <c r="H2781" t="str">
        <f>VLOOKUP(Table8[[#This Row],[Mã khách hàng]],'Khách hàng'!A:D,4,0)</f>
        <v>Food Đức Việt</v>
      </c>
      <c r="I2781" t="str">
        <f>VLOOKUP(Table8[[#This Row],[Mã khách hàng]],'Khách hàng'!A:E,5,0)</f>
        <v>HN0040</v>
      </c>
    </row>
    <row r="2782" spans="1:9">
      <c r="A2782" s="14" t="s">
        <v>4098</v>
      </c>
      <c r="B2782" s="15" t="s">
        <v>5</v>
      </c>
      <c r="C2782" s="10" t="s">
        <v>4099</v>
      </c>
      <c r="D2782" s="16" t="s">
        <v>8761</v>
      </c>
      <c r="E2782" s="15" t="s">
        <v>11198</v>
      </c>
      <c r="F2782" s="16" t="str">
        <f>VLOOKUP(Table8[[#This Row],[Mã khách hàng]],code_khach_hang[],2,0)</f>
        <v>CHI NHÁNH HẢI PHÒNG - CÔNG TY CỔ PHẦN DỊCH VỤ THƯƠNG MẠI TỔNG HỢP WINCOMMERCE</v>
      </c>
      <c r="G2782" s="16" t="str">
        <f>VLOOKUP(Table8[[#This Row],[Mã khách hàng]],code_khach_hang[],3,0)</f>
        <v>Miền Bắc đặc biệt 3</v>
      </c>
      <c r="H2782" t="str">
        <f>VLOOKUP(Table8[[#This Row],[Mã khách hàng]],'Khách hàng'!A:D,4,0)</f>
        <v>Food Đức Việt</v>
      </c>
      <c r="I2782" t="str">
        <f>VLOOKUP(Table8[[#This Row],[Mã khách hàng]],'Khách hàng'!A:E,5,0)</f>
        <v>HN0040</v>
      </c>
    </row>
    <row r="2783" spans="1:9">
      <c r="A2783" s="14" t="s">
        <v>4101</v>
      </c>
      <c r="B2783" s="15" t="s">
        <v>5</v>
      </c>
      <c r="C2783" s="10" t="s">
        <v>4102</v>
      </c>
      <c r="D2783" s="16" t="s">
        <v>8764</v>
      </c>
      <c r="E2783" s="15" t="s">
        <v>11203</v>
      </c>
      <c r="F2783" s="16" t="str">
        <f>VLOOKUP(Table8[[#This Row],[Mã khách hàng]],code_khach_hang[],2,0)</f>
        <v>CHI NHÁNH THANH HÓA - CÔNG TY CỔ PHẦN DỊCH VỤ THƯƠNG MẠI TỔNG HỢP WINCOMMERCE</v>
      </c>
      <c r="G2783" s="16" t="str">
        <f>VLOOKUP(Table8[[#This Row],[Mã khách hàng]],code_khach_hang[],3,0)</f>
        <v>Miền Trung đặc biệt 1</v>
      </c>
      <c r="H2783" t="str">
        <f>VLOOKUP(Table8[[#This Row],[Mã khách hàng]],'Khách hàng'!A:D,4,0)</f>
        <v>Food Đức Việt</v>
      </c>
      <c r="I2783" t="str">
        <f>VLOOKUP(Table8[[#This Row],[Mã khách hàng]],'Khách hàng'!A:E,5,0)</f>
        <v>HN0040</v>
      </c>
    </row>
    <row r="2784" spans="1:9">
      <c r="A2784" s="14" t="s">
        <v>4095</v>
      </c>
      <c r="B2784" s="15" t="s">
        <v>5</v>
      </c>
      <c r="C2784" s="10" t="s">
        <v>4096</v>
      </c>
      <c r="D2784" s="16" t="s">
        <v>8767</v>
      </c>
      <c r="E2784" s="15" t="s">
        <v>11193</v>
      </c>
      <c r="F2784" s="16" t="str">
        <f>VLOOKUP(Table8[[#This Row],[Mã khách hàng]],code_khach_hang[],2,0)</f>
        <v>CHI NHÁNH BẮC NINH - CÔNG TY CỔ PHẦN DỊCH VỤ THƯƠNG MẠI TỔNG HỢP WINCOMMERCE</v>
      </c>
      <c r="G2784" s="16" t="str">
        <f>VLOOKUP(Table8[[#This Row],[Mã khách hàng]],code_khach_hang[],3,0)</f>
        <v>Miền Bắc đặc biệt 2</v>
      </c>
      <c r="H2784" t="str">
        <f>VLOOKUP(Table8[[#This Row],[Mã khách hàng]],'Khách hàng'!A:D,4,0)</f>
        <v>Food Đức Việt</v>
      </c>
      <c r="I2784" t="str">
        <f>VLOOKUP(Table8[[#This Row],[Mã khách hàng]],'Khách hàng'!A:E,5,0)</f>
        <v>HN0040</v>
      </c>
    </row>
    <row r="2785" spans="1:9">
      <c r="A2785" s="14" t="s">
        <v>4014</v>
      </c>
      <c r="B2785" s="15" t="s">
        <v>5</v>
      </c>
      <c r="C2785" s="10" t="s">
        <v>4015</v>
      </c>
      <c r="D2785" s="16" t="s">
        <v>8770</v>
      </c>
      <c r="E2785" s="15" t="s">
        <v>11207</v>
      </c>
      <c r="F2785" s="16" t="str">
        <f>VLOOKUP(Table8[[#This Row],[Mã khách hàng]],code_khach_hang[],2,0)</f>
        <v>CHI NHÁNH THÁI NGUYÊN - CÔNG TY CỔ PHẦN DỊCH VỤ THƯƠNG MẠI TỔNG HỢP WINCOMMERCE</v>
      </c>
      <c r="G2785" s="16" t="str">
        <f>VLOOKUP(Table8[[#This Row],[Mã khách hàng]],code_khach_hang[],3,0)</f>
        <v>Miền Bắc đặc biệt 2</v>
      </c>
      <c r="H2785" t="str">
        <f>VLOOKUP(Table8[[#This Row],[Mã khách hàng]],'Khách hàng'!A:D,4,0)</f>
        <v>Food Đức Việt</v>
      </c>
      <c r="I2785" t="str">
        <f>VLOOKUP(Table8[[#This Row],[Mã khách hàng]],'Khách hàng'!A:E,5,0)</f>
        <v>HN0040</v>
      </c>
    </row>
    <row r="2786" spans="1:9">
      <c r="A2786" s="14" t="s">
        <v>3115</v>
      </c>
      <c r="B2786" s="15" t="s">
        <v>5</v>
      </c>
      <c r="C2786" s="10" t="s">
        <v>3116</v>
      </c>
      <c r="D2786" s="16" t="s">
        <v>8773</v>
      </c>
      <c r="E2786" s="15" t="s">
        <v>11203</v>
      </c>
      <c r="F2786" s="16" t="str">
        <f>VLOOKUP(Table8[[#This Row],[Mã khách hàng]],code_khach_hang[],2,0)</f>
        <v>CHI NHÁNH THANH HÓA - CÔNG TY CỔ PHẦN DỊCH VỤ THƯƠNG MẠI TỔNG HỢP WINCOMMERCE</v>
      </c>
      <c r="G2786" s="16" t="str">
        <f>VLOOKUP(Table8[[#This Row],[Mã khách hàng]],code_khach_hang[],3,0)</f>
        <v>Miền Trung đặc biệt 1</v>
      </c>
      <c r="H2786" t="str">
        <f>VLOOKUP(Table8[[#This Row],[Mã khách hàng]],'Khách hàng'!A:D,4,0)</f>
        <v>Food Đức Việt</v>
      </c>
      <c r="I2786" t="str">
        <f>VLOOKUP(Table8[[#This Row],[Mã khách hàng]],'Khách hàng'!A:E,5,0)</f>
        <v>HN0040</v>
      </c>
    </row>
    <row r="2787" spans="1:9">
      <c r="A2787" s="14" t="s">
        <v>4032</v>
      </c>
      <c r="B2787" s="15" t="s">
        <v>5</v>
      </c>
      <c r="C2787" s="10" t="s">
        <v>4033</v>
      </c>
      <c r="D2787" s="16" t="s">
        <v>8776</v>
      </c>
      <c r="E2787" s="15" t="s">
        <v>11199</v>
      </c>
      <c r="F2787" s="16" t="str">
        <f>VLOOKUP(Table8[[#This Row],[Mã khách hàng]],code_khach_hang[],2,0)</f>
        <v>CHI NHÁNH PHÚ THỌ - CÔNG TY CỔ PHẦN DỊCH VỤ THƯƠNG MẠI TỔNG HỢP WINCOMMERCE</v>
      </c>
      <c r="G2787" s="16" t="str">
        <f>VLOOKUP(Table8[[#This Row],[Mã khách hàng]],code_khach_hang[],3,0)</f>
        <v>Miền Bắc đặc biệt 1</v>
      </c>
      <c r="H2787" t="str">
        <f>VLOOKUP(Table8[[#This Row],[Mã khách hàng]],'Khách hàng'!A:D,4,0)</f>
        <v>Food Đức Việt</v>
      </c>
      <c r="I2787" t="str">
        <f>VLOOKUP(Table8[[#This Row],[Mã khách hàng]],'Khách hàng'!A:E,5,0)</f>
        <v>HN0040</v>
      </c>
    </row>
    <row r="2788" spans="1:9">
      <c r="A2788" s="14" t="s">
        <v>3972</v>
      </c>
      <c r="B2788" s="15" t="s">
        <v>5</v>
      </c>
      <c r="C2788" s="10" t="s">
        <v>3973</v>
      </c>
      <c r="D2788" s="16" t="s">
        <v>8779</v>
      </c>
      <c r="E2788" s="15" t="s">
        <v>11199</v>
      </c>
      <c r="F2788" s="16" t="str">
        <f>VLOOKUP(Table8[[#This Row],[Mã khách hàng]],code_khach_hang[],2,0)</f>
        <v>CHI NHÁNH PHÚ THỌ - CÔNG TY CỔ PHẦN DỊCH VỤ THƯƠNG MẠI TỔNG HỢP WINCOMMERCE</v>
      </c>
      <c r="G2788" s="16" t="str">
        <f>VLOOKUP(Table8[[#This Row],[Mã khách hàng]],code_khach_hang[],3,0)</f>
        <v>Miền Bắc đặc biệt 1</v>
      </c>
      <c r="H2788" t="str">
        <f>VLOOKUP(Table8[[#This Row],[Mã khách hàng]],'Khách hàng'!A:D,4,0)</f>
        <v>Food Đức Việt</v>
      </c>
      <c r="I2788" t="str">
        <f>VLOOKUP(Table8[[#This Row],[Mã khách hàng]],'Khách hàng'!A:E,5,0)</f>
        <v>HN0040</v>
      </c>
    </row>
    <row r="2789" spans="1:9">
      <c r="A2789" s="14" t="s">
        <v>2973</v>
      </c>
      <c r="B2789" s="15" t="s">
        <v>5</v>
      </c>
      <c r="C2789" s="10" t="s">
        <v>2974</v>
      </c>
      <c r="D2789" s="16" t="s">
        <v>8782</v>
      </c>
      <c r="E2789" s="15" t="s">
        <v>11215</v>
      </c>
      <c r="F2789" s="16" t="str">
        <f>VLOOKUP(Table8[[#This Row],[Mã khách hàng]],code_khach_hang[],2,0)</f>
        <v>CHI NHÁNH HÀ NỘI - CÔNG TY CỔ PHẦN DỊCH VỤ THƯƠNG MẠI TỔNG HỢP WINCOMMERCE</v>
      </c>
      <c r="G2789" s="16" t="str">
        <f>VLOOKUP(Table8[[#This Row],[Mã khách hàng]],code_khach_hang[],3,0)</f>
        <v>Miền Bắc đặc biệt 1</v>
      </c>
      <c r="H2789" t="str">
        <f>VLOOKUP(Table8[[#This Row],[Mã khách hàng]],'Khách hàng'!A:D,4,0)</f>
        <v>Food Đức Việt</v>
      </c>
      <c r="I2789" t="str">
        <f>VLOOKUP(Table8[[#This Row],[Mã khách hàng]],'Khách hàng'!A:E,5,0)</f>
        <v>HN0040</v>
      </c>
    </row>
    <row r="2790" spans="1:9">
      <c r="A2790" s="14" t="s">
        <v>3106</v>
      </c>
      <c r="B2790" s="15" t="s">
        <v>5</v>
      </c>
      <c r="C2790" s="10" t="s">
        <v>3107</v>
      </c>
      <c r="D2790" s="16" t="s">
        <v>8784</v>
      </c>
      <c r="E2790" s="15" t="s">
        <v>11215</v>
      </c>
      <c r="F2790" s="16" t="str">
        <f>VLOOKUP(Table8[[#This Row],[Mã khách hàng]],code_khach_hang[],2,0)</f>
        <v>CHI NHÁNH HÀ NỘI - CÔNG TY CỔ PHẦN DỊCH VỤ THƯƠNG MẠI TỔNG HỢP WINCOMMERCE</v>
      </c>
      <c r="G2790" s="16" t="str">
        <f>VLOOKUP(Table8[[#This Row],[Mã khách hàng]],code_khach_hang[],3,0)</f>
        <v>Miền Bắc đặc biệt 1</v>
      </c>
      <c r="H2790" t="str">
        <f>VLOOKUP(Table8[[#This Row],[Mã khách hàng]],'Khách hàng'!A:D,4,0)</f>
        <v>Food Đức Việt</v>
      </c>
      <c r="I2790" t="str">
        <f>VLOOKUP(Table8[[#This Row],[Mã khách hàng]],'Khách hàng'!A:E,5,0)</f>
        <v>HN0040</v>
      </c>
    </row>
    <row r="2791" spans="1:9">
      <c r="A2791" s="14" t="s">
        <v>3109</v>
      </c>
      <c r="B2791" s="15" t="s">
        <v>5</v>
      </c>
      <c r="C2791" s="10" t="s">
        <v>3110</v>
      </c>
      <c r="D2791" s="16" t="s">
        <v>8787</v>
      </c>
      <c r="E2791" s="15" t="s">
        <v>11196</v>
      </c>
      <c r="F2791" s="16" t="str">
        <f>VLOOKUP(Table8[[#This Row],[Mã khách hàng]],code_khach_hang[],2,0)</f>
        <v>CHI NHÁNH NINH BÌNH - CÔNG TY CỔ PHẦN DỊCH VỤ THƯƠNG MẠI TỔNG HỢP WINCOMMERCE</v>
      </c>
      <c r="G2791" s="16" t="str">
        <f>VLOOKUP(Table8[[#This Row],[Mã khách hàng]],code_khach_hang[],3,0)</f>
        <v>Miền Bắc đặc biệt 3</v>
      </c>
      <c r="H2791" t="str">
        <f>VLOOKUP(Table8[[#This Row],[Mã khách hàng]],'Khách hàng'!A:D,4,0)</f>
        <v>Food Đức Việt</v>
      </c>
      <c r="I2791" t="str">
        <f>VLOOKUP(Table8[[#This Row],[Mã khách hàng]],'Khách hàng'!A:E,5,0)</f>
        <v>HN0040</v>
      </c>
    </row>
    <row r="2792" spans="1:9">
      <c r="A2792" s="14" t="s">
        <v>3118</v>
      </c>
      <c r="B2792" s="15" t="s">
        <v>5</v>
      </c>
      <c r="C2792" s="10" t="s">
        <v>3119</v>
      </c>
      <c r="D2792" s="16" t="s">
        <v>8790</v>
      </c>
      <c r="E2792" s="15" t="s">
        <v>11193</v>
      </c>
      <c r="F2792" s="16" t="str">
        <f>VLOOKUP(Table8[[#This Row],[Mã khách hàng]],code_khach_hang[],2,0)</f>
        <v>CHI NHÁNH BẮC NINH - CÔNG TY CỔ PHẦN DỊCH VỤ THƯƠNG MẠI TỔNG HỢP WINCOMMERCE</v>
      </c>
      <c r="G2792" s="16" t="str">
        <f>VLOOKUP(Table8[[#This Row],[Mã khách hàng]],code_khach_hang[],3,0)</f>
        <v>Miền Bắc đặc biệt 2</v>
      </c>
      <c r="H2792" t="str">
        <f>VLOOKUP(Table8[[#This Row],[Mã khách hàng]],'Khách hàng'!A:D,4,0)</f>
        <v>Food Đức Việt</v>
      </c>
      <c r="I2792" t="str">
        <f>VLOOKUP(Table8[[#This Row],[Mã khách hàng]],'Khách hàng'!A:E,5,0)</f>
        <v>HN0040</v>
      </c>
    </row>
    <row r="2793" spans="1:9">
      <c r="A2793" s="14" t="s">
        <v>3121</v>
      </c>
      <c r="B2793" s="15" t="s">
        <v>5</v>
      </c>
      <c r="C2793" s="10" t="s">
        <v>3122</v>
      </c>
      <c r="D2793" s="16" t="s">
        <v>8793</v>
      </c>
      <c r="E2793" s="15" t="s">
        <v>11218</v>
      </c>
      <c r="F2793" s="16" t="str">
        <f>VLOOKUP(Table8[[#This Row],[Mã khách hàng]],code_khach_hang[],2,0)</f>
        <v>CHI NHÁNH LÀO CAI - CÔNG TY CỔ PHẦN DỊCH VỤ THƯƠNG MẠI TỔNG HỢP WINCOMMERCE</v>
      </c>
      <c r="G2793" s="16" t="str">
        <f>VLOOKUP(Table8[[#This Row],[Mã khách hàng]],code_khach_hang[],3,0)</f>
        <v>Miền Bắc đặc biệt 1</v>
      </c>
      <c r="H2793" t="str">
        <f>VLOOKUP(Table8[[#This Row],[Mã khách hàng]],'Khách hàng'!A:D,4,0)</f>
        <v>Food Đức Việt</v>
      </c>
      <c r="I2793" t="str">
        <f>VLOOKUP(Table8[[#This Row],[Mã khách hàng]],'Khách hàng'!A:E,5,0)</f>
        <v>HN0040</v>
      </c>
    </row>
    <row r="2794" spans="1:9">
      <c r="A2794" s="14" t="s">
        <v>3124</v>
      </c>
      <c r="B2794" s="15" t="s">
        <v>5</v>
      </c>
      <c r="C2794" s="10" t="s">
        <v>3125</v>
      </c>
      <c r="D2794" s="16" t="s">
        <v>8796</v>
      </c>
      <c r="E2794" s="15" t="s">
        <v>11199</v>
      </c>
      <c r="F2794" s="16" t="str">
        <f>VLOOKUP(Table8[[#This Row],[Mã khách hàng]],code_khach_hang[],2,0)</f>
        <v>CHI NHÁNH PHÚ THỌ - CÔNG TY CỔ PHẦN DỊCH VỤ THƯƠNG MẠI TỔNG HỢP WINCOMMERCE</v>
      </c>
      <c r="G2794" s="16" t="str">
        <f>VLOOKUP(Table8[[#This Row],[Mã khách hàng]],code_khach_hang[],3,0)</f>
        <v>Miền Bắc đặc biệt 1</v>
      </c>
      <c r="H2794" t="str">
        <f>VLOOKUP(Table8[[#This Row],[Mã khách hàng]],'Khách hàng'!A:D,4,0)</f>
        <v>Food Đức Việt</v>
      </c>
      <c r="I2794" t="str">
        <f>VLOOKUP(Table8[[#This Row],[Mã khách hàng]],'Khách hàng'!A:E,5,0)</f>
        <v>HN0040</v>
      </c>
    </row>
    <row r="2795" spans="1:9">
      <c r="A2795" s="14" t="s">
        <v>3163</v>
      </c>
      <c r="B2795" s="15" t="s">
        <v>5</v>
      </c>
      <c r="C2795" s="10" t="s">
        <v>3164</v>
      </c>
      <c r="D2795" s="16" t="s">
        <v>8799</v>
      </c>
      <c r="E2795" s="15" t="s">
        <v>11203</v>
      </c>
      <c r="F2795" s="16" t="str">
        <f>VLOOKUP(Table8[[#This Row],[Mã khách hàng]],code_khach_hang[],2,0)</f>
        <v>CHI NHÁNH THANH HÓA - CÔNG TY CỔ PHẦN DỊCH VỤ THƯƠNG MẠI TỔNG HỢP WINCOMMERCE</v>
      </c>
      <c r="G2795" s="16" t="str">
        <f>VLOOKUP(Table8[[#This Row],[Mã khách hàng]],code_khach_hang[],3,0)</f>
        <v>Miền Trung đặc biệt 1</v>
      </c>
      <c r="H2795" t="str">
        <f>VLOOKUP(Table8[[#This Row],[Mã khách hàng]],'Khách hàng'!A:D,4,0)</f>
        <v>Food Đức Việt</v>
      </c>
      <c r="I2795" t="str">
        <f>VLOOKUP(Table8[[#This Row],[Mã khách hàng]],'Khách hàng'!A:E,5,0)</f>
        <v>HN0040</v>
      </c>
    </row>
    <row r="2796" spans="1:9">
      <c r="A2796" s="14" t="s">
        <v>3169</v>
      </c>
      <c r="B2796" s="15" t="s">
        <v>5</v>
      </c>
      <c r="C2796" s="10" t="s">
        <v>3170</v>
      </c>
      <c r="D2796" s="16" t="s">
        <v>8802</v>
      </c>
      <c r="E2796" s="15" t="s">
        <v>11198</v>
      </c>
      <c r="F2796" s="16" t="str">
        <f>VLOOKUP(Table8[[#This Row],[Mã khách hàng]],code_khach_hang[],2,0)</f>
        <v>CHI NHÁNH HẢI PHÒNG - CÔNG TY CỔ PHẦN DỊCH VỤ THƯƠNG MẠI TỔNG HỢP WINCOMMERCE</v>
      </c>
      <c r="G2796" s="16" t="str">
        <f>VLOOKUP(Table8[[#This Row],[Mã khách hàng]],code_khach_hang[],3,0)</f>
        <v>Miền Bắc đặc biệt 3</v>
      </c>
      <c r="H2796" t="str">
        <f>VLOOKUP(Table8[[#This Row],[Mã khách hàng]],'Khách hàng'!A:D,4,0)</f>
        <v>Food Đức Việt</v>
      </c>
      <c r="I2796" t="str">
        <f>VLOOKUP(Table8[[#This Row],[Mã khách hàng]],'Khách hàng'!A:E,5,0)</f>
        <v>HN0040</v>
      </c>
    </row>
    <row r="2797" spans="1:9">
      <c r="A2797" s="14" t="s">
        <v>3178</v>
      </c>
      <c r="B2797" s="15" t="s">
        <v>5</v>
      </c>
      <c r="C2797" s="10" t="s">
        <v>3179</v>
      </c>
      <c r="D2797" s="16" t="s">
        <v>8805</v>
      </c>
      <c r="E2797" s="15" t="s">
        <v>11193</v>
      </c>
      <c r="F2797" s="16" t="str">
        <f>VLOOKUP(Table8[[#This Row],[Mã khách hàng]],code_khach_hang[],2,0)</f>
        <v>CHI NHÁNH BẮC NINH - CÔNG TY CỔ PHẦN DỊCH VỤ THƯƠNG MẠI TỔNG HỢP WINCOMMERCE</v>
      </c>
      <c r="G2797" s="16" t="str">
        <f>VLOOKUP(Table8[[#This Row],[Mã khách hàng]],code_khach_hang[],3,0)</f>
        <v>Miền Bắc đặc biệt 2</v>
      </c>
      <c r="H2797" t="str">
        <f>VLOOKUP(Table8[[#This Row],[Mã khách hàng]],'Khách hàng'!A:D,4,0)</f>
        <v>Food Đức Việt</v>
      </c>
      <c r="I2797" t="str">
        <f>VLOOKUP(Table8[[#This Row],[Mã khách hàng]],'Khách hàng'!A:E,5,0)</f>
        <v>HN0040</v>
      </c>
    </row>
    <row r="2798" spans="1:9">
      <c r="A2798" s="14" t="s">
        <v>3181</v>
      </c>
      <c r="B2798" s="15" t="s">
        <v>5</v>
      </c>
      <c r="C2798" s="10" t="s">
        <v>3182</v>
      </c>
      <c r="D2798" s="16" t="s">
        <v>8808</v>
      </c>
      <c r="E2798" s="15" t="s">
        <v>11216</v>
      </c>
      <c r="F2798" s="16" t="str">
        <f>VLOOKUP(Table8[[#This Row],[Mã khách hàng]],code_khach_hang[],2,0)</f>
        <v>CHI NHÁNH HƯNG YÊN - CÔNG TY CỔ PHẦN DỊCH VỤ THƯƠNG MẠI TỔNG HỢP WINCOMMERCE</v>
      </c>
      <c r="G2798" s="16" t="str">
        <f>VLOOKUP(Table8[[#This Row],[Mã khách hàng]],code_khach_hang[],3,0)</f>
        <v>Miền Bắc đặc biệt 1</v>
      </c>
      <c r="H2798" t="str">
        <f>VLOOKUP(Table8[[#This Row],[Mã khách hàng]],'Khách hàng'!A:D,4,0)</f>
        <v>Food Đức Việt</v>
      </c>
      <c r="I2798" t="str">
        <f>VLOOKUP(Table8[[#This Row],[Mã khách hàng]],'Khách hàng'!A:E,5,0)</f>
        <v>HN0040</v>
      </c>
    </row>
    <row r="2799" spans="1:9">
      <c r="A2799" s="14" t="s">
        <v>3190</v>
      </c>
      <c r="B2799" s="15" t="s">
        <v>5</v>
      </c>
      <c r="C2799" s="10" t="s">
        <v>3191</v>
      </c>
      <c r="D2799" s="16" t="s">
        <v>8811</v>
      </c>
      <c r="E2799" s="15" t="s">
        <v>11193</v>
      </c>
      <c r="F2799" s="16" t="str">
        <f>VLOOKUP(Table8[[#This Row],[Mã khách hàng]],code_khach_hang[],2,0)</f>
        <v>CHI NHÁNH BẮC NINH - CÔNG TY CỔ PHẦN DỊCH VỤ THƯƠNG MẠI TỔNG HỢP WINCOMMERCE</v>
      </c>
      <c r="G2799" s="16" t="str">
        <f>VLOOKUP(Table8[[#This Row],[Mã khách hàng]],code_khach_hang[],3,0)</f>
        <v>Miền Bắc đặc biệt 2</v>
      </c>
      <c r="H2799" t="str">
        <f>VLOOKUP(Table8[[#This Row],[Mã khách hàng]],'Khách hàng'!A:D,4,0)</f>
        <v>Food Đức Việt</v>
      </c>
      <c r="I2799" t="str">
        <f>VLOOKUP(Table8[[#This Row],[Mã khách hàng]],'Khách hàng'!A:E,5,0)</f>
        <v>HN0040</v>
      </c>
    </row>
    <row r="2800" spans="1:9">
      <c r="A2800" s="14" t="s">
        <v>3193</v>
      </c>
      <c r="B2800" s="15" t="s">
        <v>5</v>
      </c>
      <c r="C2800" s="10" t="s">
        <v>3194</v>
      </c>
      <c r="D2800" s="16" t="s">
        <v>8814</v>
      </c>
      <c r="E2800" s="15" t="s">
        <v>11193</v>
      </c>
      <c r="F2800" s="16" t="str">
        <f>VLOOKUP(Table8[[#This Row],[Mã khách hàng]],code_khach_hang[],2,0)</f>
        <v>CHI NHÁNH BẮC NINH - CÔNG TY CỔ PHẦN DỊCH VỤ THƯƠNG MẠI TỔNG HỢP WINCOMMERCE</v>
      </c>
      <c r="G2800" s="16" t="str">
        <f>VLOOKUP(Table8[[#This Row],[Mã khách hàng]],code_khach_hang[],3,0)</f>
        <v>Miền Bắc đặc biệt 2</v>
      </c>
      <c r="H2800" t="str">
        <f>VLOOKUP(Table8[[#This Row],[Mã khách hàng]],'Khách hàng'!A:D,4,0)</f>
        <v>Food Đức Việt</v>
      </c>
      <c r="I2800" t="str">
        <f>VLOOKUP(Table8[[#This Row],[Mã khách hàng]],'Khách hàng'!A:E,5,0)</f>
        <v>HN0040</v>
      </c>
    </row>
    <row r="2801" spans="1:9">
      <c r="A2801" s="14" t="s">
        <v>3196</v>
      </c>
      <c r="B2801" s="15" t="s">
        <v>5</v>
      </c>
      <c r="C2801" s="10" t="s">
        <v>3197</v>
      </c>
      <c r="D2801" s="16" t="s">
        <v>8817</v>
      </c>
      <c r="E2801" s="15" t="s">
        <v>11215</v>
      </c>
      <c r="F2801" s="16" t="str">
        <f>VLOOKUP(Table8[[#This Row],[Mã khách hàng]],code_khach_hang[],2,0)</f>
        <v>CHI NHÁNH HÀ NỘI - CÔNG TY CỔ PHẦN DỊCH VỤ THƯƠNG MẠI TỔNG HỢP WINCOMMERCE</v>
      </c>
      <c r="G2801" s="16" t="str">
        <f>VLOOKUP(Table8[[#This Row],[Mã khách hàng]],code_khach_hang[],3,0)</f>
        <v>Miền Bắc đặc biệt 1</v>
      </c>
      <c r="H2801" t="str">
        <f>VLOOKUP(Table8[[#This Row],[Mã khách hàng]],'Khách hàng'!A:D,4,0)</f>
        <v>Food Đức Việt</v>
      </c>
      <c r="I2801" t="str">
        <f>VLOOKUP(Table8[[#This Row],[Mã khách hàng]],'Khách hàng'!A:E,5,0)</f>
        <v>HN0040</v>
      </c>
    </row>
    <row r="2802" spans="1:9">
      <c r="A2802" s="14" t="s">
        <v>3205</v>
      </c>
      <c r="B2802" s="15" t="s">
        <v>5</v>
      </c>
      <c r="C2802" s="10" t="s">
        <v>3206</v>
      </c>
      <c r="D2802" s="16" t="s">
        <v>8820</v>
      </c>
      <c r="E2802" s="15" t="s">
        <v>11198</v>
      </c>
      <c r="F2802" s="16" t="str">
        <f>VLOOKUP(Table8[[#This Row],[Mã khách hàng]],code_khach_hang[],2,0)</f>
        <v>CHI NHÁNH HẢI PHÒNG - CÔNG TY CỔ PHẦN DỊCH VỤ THƯƠNG MẠI TỔNG HỢP WINCOMMERCE</v>
      </c>
      <c r="G2802" s="16" t="str">
        <f>VLOOKUP(Table8[[#This Row],[Mã khách hàng]],code_khach_hang[],3,0)</f>
        <v>Miền Bắc đặc biệt 3</v>
      </c>
      <c r="H2802" t="str">
        <f>VLOOKUP(Table8[[#This Row],[Mã khách hàng]],'Khách hàng'!A:D,4,0)</f>
        <v>Food Đức Việt</v>
      </c>
      <c r="I2802" t="str">
        <f>VLOOKUP(Table8[[#This Row],[Mã khách hàng]],'Khách hàng'!A:E,5,0)</f>
        <v>HN0040</v>
      </c>
    </row>
    <row r="2803" spans="1:9">
      <c r="A2803" s="14" t="s">
        <v>3208</v>
      </c>
      <c r="B2803" s="15" t="s">
        <v>5</v>
      </c>
      <c r="C2803" s="10" t="s">
        <v>3209</v>
      </c>
      <c r="D2803" s="16" t="s">
        <v>8823</v>
      </c>
      <c r="E2803" s="15" t="s">
        <v>11193</v>
      </c>
      <c r="F2803" s="16" t="str">
        <f>VLOOKUP(Table8[[#This Row],[Mã khách hàng]],code_khach_hang[],2,0)</f>
        <v>CHI NHÁNH BẮC NINH - CÔNG TY CỔ PHẦN DỊCH VỤ THƯƠNG MẠI TỔNG HỢP WINCOMMERCE</v>
      </c>
      <c r="G2803" s="16" t="str">
        <f>VLOOKUP(Table8[[#This Row],[Mã khách hàng]],code_khach_hang[],3,0)</f>
        <v>Miền Bắc đặc biệt 2</v>
      </c>
      <c r="H2803" t="str">
        <f>VLOOKUP(Table8[[#This Row],[Mã khách hàng]],'Khách hàng'!A:D,4,0)</f>
        <v>Food Đức Việt</v>
      </c>
      <c r="I2803" t="str">
        <f>VLOOKUP(Table8[[#This Row],[Mã khách hàng]],'Khách hàng'!A:E,5,0)</f>
        <v>HN0040</v>
      </c>
    </row>
    <row r="2804" spans="1:9">
      <c r="A2804" s="14" t="s">
        <v>11145</v>
      </c>
      <c r="B2804" s="15" t="s">
        <v>5</v>
      </c>
      <c r="C2804" s="10" t="s">
        <v>13179</v>
      </c>
      <c r="D2804" s="16" t="s">
        <v>8826</v>
      </c>
      <c r="E2804" s="15" t="s">
        <v>11198</v>
      </c>
      <c r="F2804" s="16" t="str">
        <f>VLOOKUP(Table8[[#This Row],[Mã khách hàng]],code_khach_hang[],2,0)</f>
        <v>CHI NHÁNH HẢI PHÒNG - CÔNG TY CỔ PHẦN DỊCH VỤ THƯƠNG MẠI TỔNG HỢP WINCOMMERCE</v>
      </c>
      <c r="G2804" s="16" t="str">
        <f>VLOOKUP(Table8[[#This Row],[Mã khách hàng]],code_khach_hang[],3,0)</f>
        <v>Miền Bắc đặc biệt 3</v>
      </c>
      <c r="H2804" t="str">
        <f>VLOOKUP(Table8[[#This Row],[Mã khách hàng]],'Khách hàng'!A:D,4,0)</f>
        <v>Food Đức Việt</v>
      </c>
      <c r="I2804" t="str">
        <f>VLOOKUP(Table8[[#This Row],[Mã khách hàng]],'Khách hàng'!A:E,5,0)</f>
        <v>HN0040</v>
      </c>
    </row>
    <row r="2805" spans="1:9">
      <c r="A2805" s="14" t="s">
        <v>3229</v>
      </c>
      <c r="B2805" s="15" t="s">
        <v>5</v>
      </c>
      <c r="C2805" s="10" t="s">
        <v>3230</v>
      </c>
      <c r="D2805" s="16" t="s">
        <v>8829</v>
      </c>
      <c r="E2805" s="15" t="s">
        <v>11203</v>
      </c>
      <c r="F2805" s="16" t="str">
        <f>VLOOKUP(Table8[[#This Row],[Mã khách hàng]],code_khach_hang[],2,0)</f>
        <v>CHI NHÁNH THANH HÓA - CÔNG TY CỔ PHẦN DỊCH VỤ THƯƠNG MẠI TỔNG HỢP WINCOMMERCE</v>
      </c>
      <c r="G2805" s="16" t="str">
        <f>VLOOKUP(Table8[[#This Row],[Mã khách hàng]],code_khach_hang[],3,0)</f>
        <v>Miền Trung đặc biệt 1</v>
      </c>
      <c r="H2805" t="str">
        <f>VLOOKUP(Table8[[#This Row],[Mã khách hàng]],'Khách hàng'!A:D,4,0)</f>
        <v>Food Đức Việt</v>
      </c>
      <c r="I2805" t="str">
        <f>VLOOKUP(Table8[[#This Row],[Mã khách hàng]],'Khách hàng'!A:E,5,0)</f>
        <v>HN0040</v>
      </c>
    </row>
    <row r="2806" spans="1:9">
      <c r="A2806" s="14" t="s">
        <v>3232</v>
      </c>
      <c r="B2806" s="15" t="s">
        <v>5</v>
      </c>
      <c r="C2806" s="10" t="s">
        <v>3233</v>
      </c>
      <c r="D2806" s="16" t="s">
        <v>8832</v>
      </c>
      <c r="E2806" s="15" t="s">
        <v>11193</v>
      </c>
      <c r="F2806" s="16" t="str">
        <f>VLOOKUP(Table8[[#This Row],[Mã khách hàng]],code_khach_hang[],2,0)</f>
        <v>CHI NHÁNH BẮC NINH - CÔNG TY CỔ PHẦN DỊCH VỤ THƯƠNG MẠI TỔNG HỢP WINCOMMERCE</v>
      </c>
      <c r="G2806" s="16" t="str">
        <f>VLOOKUP(Table8[[#This Row],[Mã khách hàng]],code_khach_hang[],3,0)</f>
        <v>Miền Bắc đặc biệt 2</v>
      </c>
      <c r="H2806" t="str">
        <f>VLOOKUP(Table8[[#This Row],[Mã khách hàng]],'Khách hàng'!A:D,4,0)</f>
        <v>Food Đức Việt</v>
      </c>
      <c r="I2806" t="str">
        <f>VLOOKUP(Table8[[#This Row],[Mã khách hàng]],'Khách hàng'!A:E,5,0)</f>
        <v>HN0040</v>
      </c>
    </row>
    <row r="2807" spans="1:9">
      <c r="A2807" s="14" t="s">
        <v>3241</v>
      </c>
      <c r="B2807" s="15" t="s">
        <v>5</v>
      </c>
      <c r="C2807" s="10" t="s">
        <v>3242</v>
      </c>
      <c r="D2807" s="16" t="s">
        <v>8834</v>
      </c>
      <c r="E2807" s="15" t="s">
        <v>11203</v>
      </c>
      <c r="F2807" s="16" t="str">
        <f>VLOOKUP(Table8[[#This Row],[Mã khách hàng]],code_khach_hang[],2,0)</f>
        <v>CHI NHÁNH THANH HÓA - CÔNG TY CỔ PHẦN DỊCH VỤ THƯƠNG MẠI TỔNG HỢP WINCOMMERCE</v>
      </c>
      <c r="G2807" s="16" t="str">
        <f>VLOOKUP(Table8[[#This Row],[Mã khách hàng]],code_khach_hang[],3,0)</f>
        <v>Miền Trung đặc biệt 1</v>
      </c>
      <c r="H2807" t="str">
        <f>VLOOKUP(Table8[[#This Row],[Mã khách hàng]],'Khách hàng'!A:D,4,0)</f>
        <v>Food Đức Việt</v>
      </c>
      <c r="I2807" t="str">
        <f>VLOOKUP(Table8[[#This Row],[Mã khách hàng]],'Khách hàng'!A:E,5,0)</f>
        <v>HN0040</v>
      </c>
    </row>
    <row r="2808" spans="1:9">
      <c r="A2808" s="14" t="s">
        <v>3246</v>
      </c>
      <c r="B2808" s="15" t="s">
        <v>5</v>
      </c>
      <c r="C2808" s="10" t="s">
        <v>3247</v>
      </c>
      <c r="D2808" s="16" t="s">
        <v>8837</v>
      </c>
      <c r="E2808" s="15" t="s">
        <v>11215</v>
      </c>
      <c r="F2808" s="16" t="str">
        <f>VLOOKUP(Table8[[#This Row],[Mã khách hàng]],code_khach_hang[],2,0)</f>
        <v>CHI NHÁNH HÀ NỘI - CÔNG TY CỔ PHẦN DỊCH VỤ THƯƠNG MẠI TỔNG HỢP WINCOMMERCE</v>
      </c>
      <c r="G2808" s="16" t="str">
        <f>VLOOKUP(Table8[[#This Row],[Mã khách hàng]],code_khach_hang[],3,0)</f>
        <v>Miền Bắc đặc biệt 1</v>
      </c>
      <c r="H2808" t="str">
        <f>VLOOKUP(Table8[[#This Row],[Mã khách hàng]],'Khách hàng'!A:D,4,0)</f>
        <v>Food Đức Việt</v>
      </c>
      <c r="I2808" t="str">
        <f>VLOOKUP(Table8[[#This Row],[Mã khách hàng]],'Khách hàng'!A:E,5,0)</f>
        <v>HN0040</v>
      </c>
    </row>
    <row r="2809" spans="1:9">
      <c r="A2809" s="14" t="s">
        <v>3249</v>
      </c>
      <c r="B2809" s="15" t="s">
        <v>5</v>
      </c>
      <c r="C2809" s="10" t="s">
        <v>3250</v>
      </c>
      <c r="D2809" s="16" t="s">
        <v>8840</v>
      </c>
      <c r="E2809" s="15" t="s">
        <v>11216</v>
      </c>
      <c r="F2809" s="16" t="str">
        <f>VLOOKUP(Table8[[#This Row],[Mã khách hàng]],code_khach_hang[],2,0)</f>
        <v>CHI NHÁNH HƯNG YÊN - CÔNG TY CỔ PHẦN DỊCH VỤ THƯƠNG MẠI TỔNG HỢP WINCOMMERCE</v>
      </c>
      <c r="G2809" s="16" t="str">
        <f>VLOOKUP(Table8[[#This Row],[Mã khách hàng]],code_khach_hang[],3,0)</f>
        <v>Miền Bắc đặc biệt 1</v>
      </c>
      <c r="H2809" t="str">
        <f>VLOOKUP(Table8[[#This Row],[Mã khách hàng]],'Khách hàng'!A:D,4,0)</f>
        <v>Food Đức Việt</v>
      </c>
      <c r="I2809" t="str">
        <f>VLOOKUP(Table8[[#This Row],[Mã khách hàng]],'Khách hàng'!A:E,5,0)</f>
        <v>HN0040</v>
      </c>
    </row>
    <row r="2810" spans="1:9">
      <c r="A2810" s="14" t="s">
        <v>3255</v>
      </c>
      <c r="B2810" s="15" t="s">
        <v>5</v>
      </c>
      <c r="C2810" s="10" t="s">
        <v>3256</v>
      </c>
      <c r="D2810" s="16" t="s">
        <v>8843</v>
      </c>
      <c r="E2810" s="15" t="s">
        <v>11198</v>
      </c>
      <c r="F2810" s="16" t="str">
        <f>VLOOKUP(Table8[[#This Row],[Mã khách hàng]],code_khach_hang[],2,0)</f>
        <v>CHI NHÁNH HẢI PHÒNG - CÔNG TY CỔ PHẦN DỊCH VỤ THƯƠNG MẠI TỔNG HỢP WINCOMMERCE</v>
      </c>
      <c r="G2810" s="16" t="str">
        <f>VLOOKUP(Table8[[#This Row],[Mã khách hàng]],code_khach_hang[],3,0)</f>
        <v>Miền Bắc đặc biệt 3</v>
      </c>
      <c r="H2810" t="str">
        <f>VLOOKUP(Table8[[#This Row],[Mã khách hàng]],'Khách hàng'!A:D,4,0)</f>
        <v>Food Đức Việt</v>
      </c>
      <c r="I2810" t="str">
        <f>VLOOKUP(Table8[[#This Row],[Mã khách hàng]],'Khách hàng'!A:E,5,0)</f>
        <v>HN0040</v>
      </c>
    </row>
    <row r="2811" spans="1:9">
      <c r="A2811" s="14" t="s">
        <v>3258</v>
      </c>
      <c r="B2811" s="15" t="s">
        <v>5</v>
      </c>
      <c r="C2811" s="10" t="s">
        <v>3259</v>
      </c>
      <c r="D2811" s="16" t="s">
        <v>8846</v>
      </c>
      <c r="E2811" s="15" t="s">
        <v>11193</v>
      </c>
      <c r="F2811" s="16" t="str">
        <f>VLOOKUP(Table8[[#This Row],[Mã khách hàng]],code_khach_hang[],2,0)</f>
        <v>CHI NHÁNH BẮC NINH - CÔNG TY CỔ PHẦN DỊCH VỤ THƯƠNG MẠI TỔNG HỢP WINCOMMERCE</v>
      </c>
      <c r="G2811" s="16" t="str">
        <f>VLOOKUP(Table8[[#This Row],[Mã khách hàng]],code_khach_hang[],3,0)</f>
        <v>Miền Bắc đặc biệt 2</v>
      </c>
      <c r="H2811" t="str">
        <f>VLOOKUP(Table8[[#This Row],[Mã khách hàng]],'Khách hàng'!A:D,4,0)</f>
        <v>Food Đức Việt</v>
      </c>
      <c r="I2811" t="str">
        <f>VLOOKUP(Table8[[#This Row],[Mã khách hàng]],'Khách hàng'!A:E,5,0)</f>
        <v>HN0040</v>
      </c>
    </row>
    <row r="2812" spans="1:9">
      <c r="A2812" s="14" t="s">
        <v>11146</v>
      </c>
      <c r="B2812" s="15" t="s">
        <v>5</v>
      </c>
      <c r="C2812" s="10" t="s">
        <v>13180</v>
      </c>
      <c r="D2812" s="16" t="s">
        <v>8849</v>
      </c>
      <c r="E2812" s="15" t="s">
        <v>11215</v>
      </c>
      <c r="F2812" s="16" t="str">
        <f>VLOOKUP(Table8[[#This Row],[Mã khách hàng]],code_khach_hang[],2,0)</f>
        <v>CHI NHÁNH HÀ NỘI - CÔNG TY CỔ PHẦN DỊCH VỤ THƯƠNG MẠI TỔNG HỢP WINCOMMERCE</v>
      </c>
      <c r="G2812" s="16" t="str">
        <f>VLOOKUP(Table8[[#This Row],[Mã khách hàng]],code_khach_hang[],3,0)</f>
        <v>Miền Bắc đặc biệt 1</v>
      </c>
      <c r="H2812" t="str">
        <f>VLOOKUP(Table8[[#This Row],[Mã khách hàng]],'Khách hàng'!A:D,4,0)</f>
        <v>Food Đức Việt</v>
      </c>
      <c r="I2812" t="str">
        <f>VLOOKUP(Table8[[#This Row],[Mã khách hàng]],'Khách hàng'!A:E,5,0)</f>
        <v>HN0040</v>
      </c>
    </row>
    <row r="2813" spans="1:9">
      <c r="A2813" s="14" t="s">
        <v>3261</v>
      </c>
      <c r="B2813" s="15" t="s">
        <v>5</v>
      </c>
      <c r="C2813" s="10" t="s">
        <v>3262</v>
      </c>
      <c r="D2813" s="16" t="s">
        <v>8852</v>
      </c>
      <c r="E2813" s="15" t="s">
        <v>11193</v>
      </c>
      <c r="F2813" s="16" t="str">
        <f>VLOOKUP(Table8[[#This Row],[Mã khách hàng]],code_khach_hang[],2,0)</f>
        <v>CHI NHÁNH BẮC NINH - CÔNG TY CỔ PHẦN DỊCH VỤ THƯƠNG MẠI TỔNG HỢP WINCOMMERCE</v>
      </c>
      <c r="G2813" s="16" t="str">
        <f>VLOOKUP(Table8[[#This Row],[Mã khách hàng]],code_khach_hang[],3,0)</f>
        <v>Miền Bắc đặc biệt 2</v>
      </c>
      <c r="H2813" t="str">
        <f>VLOOKUP(Table8[[#This Row],[Mã khách hàng]],'Khách hàng'!A:D,4,0)</f>
        <v>Food Đức Việt</v>
      </c>
      <c r="I2813" t="str">
        <f>VLOOKUP(Table8[[#This Row],[Mã khách hàng]],'Khách hàng'!A:E,5,0)</f>
        <v>HN0040</v>
      </c>
    </row>
    <row r="2814" spans="1:9">
      <c r="A2814" s="14" t="s">
        <v>3264</v>
      </c>
      <c r="B2814" s="15" t="s">
        <v>5</v>
      </c>
      <c r="C2814" s="10" t="s">
        <v>3265</v>
      </c>
      <c r="D2814" s="16" t="s">
        <v>8855</v>
      </c>
      <c r="E2814" s="15" t="s">
        <v>11197</v>
      </c>
      <c r="F2814" s="16" t="str">
        <f>VLOOKUP(Table8[[#This Row],[Mã khách hàng]],code_khach_hang[],2,0)</f>
        <v>CHI NHÁNH QUẢNG NINH - CÔNG TY CỔ PHẦN DỊCH VỤ THƯƠNG MẠI TỔNG HỢP WINCOMMERCE</v>
      </c>
      <c r="G2814" s="16" t="str">
        <f>VLOOKUP(Table8[[#This Row],[Mã khách hàng]],code_khach_hang[],3,0)</f>
        <v>Miền Bắc đặc biệt 3</v>
      </c>
      <c r="H2814" t="str">
        <f>VLOOKUP(Table8[[#This Row],[Mã khách hàng]],'Khách hàng'!A:D,4,0)</f>
        <v>Food Đức Việt</v>
      </c>
      <c r="I2814" t="str">
        <f>VLOOKUP(Table8[[#This Row],[Mã khách hàng]],'Khách hàng'!A:E,5,0)</f>
        <v>HN0040</v>
      </c>
    </row>
    <row r="2815" spans="1:9">
      <c r="A2815" s="14" t="s">
        <v>3750</v>
      </c>
      <c r="B2815" s="15" t="s">
        <v>5</v>
      </c>
      <c r="C2815" s="10" t="s">
        <v>3751</v>
      </c>
      <c r="D2815" s="16" t="s">
        <v>8858</v>
      </c>
      <c r="E2815" s="15" t="s">
        <v>11215</v>
      </c>
      <c r="F2815" s="16" t="str">
        <f>VLOOKUP(Table8[[#This Row],[Mã khách hàng]],code_khach_hang[],2,0)</f>
        <v>CHI NHÁNH HÀ NỘI - CÔNG TY CỔ PHẦN DỊCH VỤ THƯƠNG MẠI TỔNG HỢP WINCOMMERCE</v>
      </c>
      <c r="G2815" s="16" t="str">
        <f>VLOOKUP(Table8[[#This Row],[Mã khách hàng]],code_khach_hang[],3,0)</f>
        <v>Miền Bắc đặc biệt 1</v>
      </c>
      <c r="H2815" t="str">
        <f>VLOOKUP(Table8[[#This Row],[Mã khách hàng]],'Khách hàng'!A:D,4,0)</f>
        <v>Food Đức Việt</v>
      </c>
      <c r="I2815" t="str">
        <f>VLOOKUP(Table8[[#This Row],[Mã khách hàng]],'Khách hàng'!A:E,5,0)</f>
        <v>HN0040</v>
      </c>
    </row>
    <row r="2816" spans="1:9">
      <c r="A2816" s="14" t="s">
        <v>4044</v>
      </c>
      <c r="B2816" s="15" t="s">
        <v>5</v>
      </c>
      <c r="C2816" s="10" t="s">
        <v>4045</v>
      </c>
      <c r="D2816" s="16" t="s">
        <v>8861</v>
      </c>
      <c r="E2816" s="15" t="s">
        <v>11199</v>
      </c>
      <c r="F2816" s="16" t="str">
        <f>VLOOKUP(Table8[[#This Row],[Mã khách hàng]],code_khach_hang[],2,0)</f>
        <v>CHI NHÁNH PHÚ THỌ - CÔNG TY CỔ PHẦN DỊCH VỤ THƯƠNG MẠI TỔNG HỢP WINCOMMERCE</v>
      </c>
      <c r="G2816" s="16" t="str">
        <f>VLOOKUP(Table8[[#This Row],[Mã khách hàng]],code_khach_hang[],3,0)</f>
        <v>Miền Bắc đặc biệt 1</v>
      </c>
      <c r="H2816" t="str">
        <f>VLOOKUP(Table8[[#This Row],[Mã khách hàng]],'Khách hàng'!A:D,4,0)</f>
        <v>Food Đức Việt</v>
      </c>
      <c r="I2816" t="str">
        <f>VLOOKUP(Table8[[#This Row],[Mã khách hàng]],'Khách hàng'!A:E,5,0)</f>
        <v>HN0040</v>
      </c>
    </row>
    <row r="2817" spans="1:9">
      <c r="A2817" s="14" t="s">
        <v>4047</v>
      </c>
      <c r="B2817" s="15" t="s">
        <v>5</v>
      </c>
      <c r="C2817" s="10" t="s">
        <v>4048</v>
      </c>
      <c r="D2817" s="16" t="s">
        <v>8864</v>
      </c>
      <c r="E2817" s="15" t="s">
        <v>11215</v>
      </c>
      <c r="F2817" s="16" t="str">
        <f>VLOOKUP(Table8[[#This Row],[Mã khách hàng]],code_khach_hang[],2,0)</f>
        <v>CHI NHÁNH HÀ NỘI - CÔNG TY CỔ PHẦN DỊCH VỤ THƯƠNG MẠI TỔNG HỢP WINCOMMERCE</v>
      </c>
      <c r="G2817" s="16" t="str">
        <f>VLOOKUP(Table8[[#This Row],[Mã khách hàng]],code_khach_hang[],3,0)</f>
        <v>Miền Bắc đặc biệt 1</v>
      </c>
      <c r="H2817" t="str">
        <f>VLOOKUP(Table8[[#This Row],[Mã khách hàng]],'Khách hàng'!A:D,4,0)</f>
        <v>Food Đức Việt</v>
      </c>
      <c r="I2817" t="str">
        <f>VLOOKUP(Table8[[#This Row],[Mã khách hàng]],'Khách hàng'!A:E,5,0)</f>
        <v>HN0040</v>
      </c>
    </row>
    <row r="2818" spans="1:9">
      <c r="A2818" s="14" t="s">
        <v>4062</v>
      </c>
      <c r="B2818" s="15" t="s">
        <v>5</v>
      </c>
      <c r="C2818" s="10" t="s">
        <v>4063</v>
      </c>
      <c r="D2818" s="16" t="s">
        <v>8867</v>
      </c>
      <c r="E2818" s="15" t="s">
        <v>11215</v>
      </c>
      <c r="F2818" s="16" t="str">
        <f>VLOOKUP(Table8[[#This Row],[Mã khách hàng]],code_khach_hang[],2,0)</f>
        <v>CHI NHÁNH HÀ NỘI - CÔNG TY CỔ PHẦN DỊCH VỤ THƯƠNG MẠI TỔNG HỢP WINCOMMERCE</v>
      </c>
      <c r="G2818" s="16" t="str">
        <f>VLOOKUP(Table8[[#This Row],[Mã khách hàng]],code_khach_hang[],3,0)</f>
        <v>Miền Bắc đặc biệt 1</v>
      </c>
      <c r="H2818" t="str">
        <f>VLOOKUP(Table8[[#This Row],[Mã khách hàng]],'Khách hàng'!A:D,4,0)</f>
        <v>Food Đức Việt</v>
      </c>
      <c r="I2818" t="str">
        <f>VLOOKUP(Table8[[#This Row],[Mã khách hàng]],'Khách hàng'!A:E,5,0)</f>
        <v>HN0040</v>
      </c>
    </row>
    <row r="2819" spans="1:9">
      <c r="A2819" s="14" t="s">
        <v>4074</v>
      </c>
      <c r="B2819" s="15" t="s">
        <v>5</v>
      </c>
      <c r="C2819" s="10" t="s">
        <v>4075</v>
      </c>
      <c r="D2819" s="16" t="s">
        <v>8870</v>
      </c>
      <c r="E2819" s="15" t="s">
        <v>11199</v>
      </c>
      <c r="F2819" s="16" t="str">
        <f>VLOOKUP(Table8[[#This Row],[Mã khách hàng]],code_khach_hang[],2,0)</f>
        <v>CHI NHÁNH PHÚ THỌ - CÔNG TY CỔ PHẦN DỊCH VỤ THƯƠNG MẠI TỔNG HỢP WINCOMMERCE</v>
      </c>
      <c r="G2819" s="16" t="str">
        <f>VLOOKUP(Table8[[#This Row],[Mã khách hàng]],code_khach_hang[],3,0)</f>
        <v>Miền Bắc đặc biệt 1</v>
      </c>
      <c r="H2819" t="str">
        <f>VLOOKUP(Table8[[#This Row],[Mã khách hàng]],'Khách hàng'!A:D,4,0)</f>
        <v>Food Đức Việt</v>
      </c>
      <c r="I2819" t="str">
        <f>VLOOKUP(Table8[[#This Row],[Mã khách hàng]],'Khách hàng'!A:E,5,0)</f>
        <v>HN0040</v>
      </c>
    </row>
    <row r="2820" spans="1:9">
      <c r="A2820" s="14" t="s">
        <v>4083</v>
      </c>
      <c r="B2820" s="15" t="s">
        <v>5</v>
      </c>
      <c r="C2820" s="10" t="s">
        <v>4084</v>
      </c>
      <c r="D2820" s="16" t="s">
        <v>8873</v>
      </c>
      <c r="E2820" s="15" t="s">
        <v>11211</v>
      </c>
      <c r="F2820" s="16" t="str">
        <f>VLOOKUP(Table8[[#This Row],[Mã khách hàng]],code_khach_hang[],2,0)</f>
        <v>CHI NHÁNH NGHỆ AN - CÔNG TY CỔ PHẦN DỊCH VỤ THƯƠNG MẠI TỔNG HỢP WINCOMMERCE</v>
      </c>
      <c r="G2820" s="16" t="str">
        <f>VLOOKUP(Table8[[#This Row],[Mã khách hàng]],code_khach_hang[],3,0)</f>
        <v>Miền Trung đặc biệt 1</v>
      </c>
      <c r="H2820" t="str">
        <f>VLOOKUP(Table8[[#This Row],[Mã khách hàng]],'Khách hàng'!A:D,4,0)</f>
        <v>Food Đức Việt</v>
      </c>
      <c r="I2820" t="str">
        <f>VLOOKUP(Table8[[#This Row],[Mã khách hàng]],'Khách hàng'!A:E,5,0)</f>
        <v>HN0040</v>
      </c>
    </row>
    <row r="2821" spans="1:9">
      <c r="A2821" s="14" t="s">
        <v>4089</v>
      </c>
      <c r="B2821" s="15" t="s">
        <v>5</v>
      </c>
      <c r="C2821" s="10" t="s">
        <v>4090</v>
      </c>
      <c r="D2821" s="16" t="s">
        <v>8876</v>
      </c>
      <c r="E2821" s="15" t="s">
        <v>11215</v>
      </c>
      <c r="F2821" s="16" t="str">
        <f>VLOOKUP(Table8[[#This Row],[Mã khách hàng]],code_khach_hang[],2,0)</f>
        <v>CHI NHÁNH HÀ NỘI - CÔNG TY CỔ PHẦN DỊCH VỤ THƯƠNG MẠI TỔNG HỢP WINCOMMERCE</v>
      </c>
      <c r="G2821" s="16" t="str">
        <f>VLOOKUP(Table8[[#This Row],[Mã khách hàng]],code_khach_hang[],3,0)</f>
        <v>Miền Bắc đặc biệt 1</v>
      </c>
      <c r="H2821" t="str">
        <f>VLOOKUP(Table8[[#This Row],[Mã khách hàng]],'Khách hàng'!A:D,4,0)</f>
        <v>Food Đức Việt</v>
      </c>
      <c r="I2821" t="str">
        <f>VLOOKUP(Table8[[#This Row],[Mã khách hàng]],'Khách hàng'!A:E,5,0)</f>
        <v>HN0040</v>
      </c>
    </row>
    <row r="2822" spans="1:9">
      <c r="A2822" s="14" t="s">
        <v>3112</v>
      </c>
      <c r="B2822" s="15" t="s">
        <v>5</v>
      </c>
      <c r="C2822" s="10" t="s">
        <v>3113</v>
      </c>
      <c r="D2822" s="16" t="s">
        <v>8879</v>
      </c>
      <c r="E2822" s="15" t="s">
        <v>11199</v>
      </c>
      <c r="F2822" s="16" t="str">
        <f>VLOOKUP(Table8[[#This Row],[Mã khách hàng]],code_khach_hang[],2,0)</f>
        <v>CHI NHÁNH PHÚ THỌ - CÔNG TY CỔ PHẦN DỊCH VỤ THƯƠNG MẠI TỔNG HỢP WINCOMMERCE</v>
      </c>
      <c r="G2822" s="16" t="str">
        <f>VLOOKUP(Table8[[#This Row],[Mã khách hàng]],code_khach_hang[],3,0)</f>
        <v>Miền Bắc đặc biệt 1</v>
      </c>
      <c r="H2822" t="str">
        <f>VLOOKUP(Table8[[#This Row],[Mã khách hàng]],'Khách hàng'!A:D,4,0)</f>
        <v>Food Đức Việt</v>
      </c>
      <c r="I2822" t="str">
        <f>VLOOKUP(Table8[[#This Row],[Mã khách hàng]],'Khách hàng'!A:E,5,0)</f>
        <v>HN0040</v>
      </c>
    </row>
    <row r="2823" spans="1:9">
      <c r="A2823" s="14" t="s">
        <v>3267</v>
      </c>
      <c r="B2823" s="15" t="s">
        <v>5</v>
      </c>
      <c r="C2823" s="10" t="s">
        <v>3268</v>
      </c>
      <c r="D2823" s="16" t="s">
        <v>8882</v>
      </c>
      <c r="E2823" s="15" t="s">
        <v>11193</v>
      </c>
      <c r="F2823" s="16" t="str">
        <f>VLOOKUP(Table8[[#This Row],[Mã khách hàng]],code_khach_hang[],2,0)</f>
        <v>CHI NHÁNH BẮC NINH - CÔNG TY CỔ PHẦN DỊCH VỤ THƯƠNG MẠI TỔNG HỢP WINCOMMERCE</v>
      </c>
      <c r="G2823" s="16" t="str">
        <f>VLOOKUP(Table8[[#This Row],[Mã khách hàng]],code_khach_hang[],3,0)</f>
        <v>Miền Bắc đặc biệt 2</v>
      </c>
      <c r="H2823" t="str">
        <f>VLOOKUP(Table8[[#This Row],[Mã khách hàng]],'Khách hàng'!A:D,4,0)</f>
        <v>Food Đức Việt</v>
      </c>
      <c r="I2823" t="str">
        <f>VLOOKUP(Table8[[#This Row],[Mã khách hàng]],'Khách hàng'!A:E,5,0)</f>
        <v>HN0040</v>
      </c>
    </row>
    <row r="2824" spans="1:9">
      <c r="A2824" s="14" t="s">
        <v>3252</v>
      </c>
      <c r="B2824" s="15" t="s">
        <v>5</v>
      </c>
      <c r="C2824" s="10" t="s">
        <v>3253</v>
      </c>
      <c r="D2824" s="16" t="s">
        <v>8885</v>
      </c>
      <c r="E2824" s="15" t="s">
        <v>11193</v>
      </c>
      <c r="F2824" s="16" t="str">
        <f>VLOOKUP(Table8[[#This Row],[Mã khách hàng]],code_khach_hang[],2,0)</f>
        <v>CHI NHÁNH BẮC NINH - CÔNG TY CỔ PHẦN DỊCH VỤ THƯƠNG MẠI TỔNG HỢP WINCOMMERCE</v>
      </c>
      <c r="G2824" s="16" t="str">
        <f>VLOOKUP(Table8[[#This Row],[Mã khách hàng]],code_khach_hang[],3,0)</f>
        <v>Miền Bắc đặc biệt 2</v>
      </c>
      <c r="H2824" t="str">
        <f>VLOOKUP(Table8[[#This Row],[Mã khách hàng]],'Khách hàng'!A:D,4,0)</f>
        <v>Food Đức Việt</v>
      </c>
      <c r="I2824" t="str">
        <f>VLOOKUP(Table8[[#This Row],[Mã khách hàng]],'Khách hàng'!A:E,5,0)</f>
        <v>HN0040</v>
      </c>
    </row>
    <row r="2825" spans="1:9">
      <c r="A2825" s="14" t="s">
        <v>3154</v>
      </c>
      <c r="B2825" s="15" t="s">
        <v>5</v>
      </c>
      <c r="C2825" s="10" t="s">
        <v>3155</v>
      </c>
      <c r="D2825" s="16" t="s">
        <v>8888</v>
      </c>
      <c r="E2825" s="15" t="s">
        <v>11215</v>
      </c>
      <c r="F2825" s="16" t="str">
        <f>VLOOKUP(Table8[[#This Row],[Mã khách hàng]],code_khach_hang[],2,0)</f>
        <v>CHI NHÁNH HÀ NỘI - CÔNG TY CỔ PHẦN DỊCH VỤ THƯƠNG MẠI TỔNG HỢP WINCOMMERCE</v>
      </c>
      <c r="G2825" s="16" t="str">
        <f>VLOOKUP(Table8[[#This Row],[Mã khách hàng]],code_khach_hang[],3,0)</f>
        <v>Miền Bắc đặc biệt 1</v>
      </c>
      <c r="H2825" t="str">
        <f>VLOOKUP(Table8[[#This Row],[Mã khách hàng]],'Khách hàng'!A:D,4,0)</f>
        <v>Food Đức Việt</v>
      </c>
      <c r="I2825" t="str">
        <f>VLOOKUP(Table8[[#This Row],[Mã khách hàng]],'Khách hàng'!A:E,5,0)</f>
        <v>HN0040</v>
      </c>
    </row>
    <row r="2826" spans="1:9">
      <c r="A2826" s="14" t="s">
        <v>3300</v>
      </c>
      <c r="B2826" s="15" t="s">
        <v>5</v>
      </c>
      <c r="C2826" s="10" t="s">
        <v>3301</v>
      </c>
      <c r="D2826" s="16" t="s">
        <v>8891</v>
      </c>
      <c r="E2826" s="15" t="s">
        <v>11199</v>
      </c>
      <c r="F2826" s="16" t="str">
        <f>VLOOKUP(Table8[[#This Row],[Mã khách hàng]],code_khach_hang[],2,0)</f>
        <v>CHI NHÁNH PHÚ THỌ - CÔNG TY CỔ PHẦN DỊCH VỤ THƯƠNG MẠI TỔNG HỢP WINCOMMERCE</v>
      </c>
      <c r="G2826" s="16" t="str">
        <f>VLOOKUP(Table8[[#This Row],[Mã khách hàng]],code_khach_hang[],3,0)</f>
        <v>Miền Bắc đặc biệt 1</v>
      </c>
      <c r="H2826" t="str">
        <f>VLOOKUP(Table8[[#This Row],[Mã khách hàng]],'Khách hàng'!A:D,4,0)</f>
        <v>Food Đức Việt</v>
      </c>
      <c r="I2826" t="str">
        <f>VLOOKUP(Table8[[#This Row],[Mã khách hàng]],'Khách hàng'!A:E,5,0)</f>
        <v>HN0040</v>
      </c>
    </row>
    <row r="2827" spans="1:9">
      <c r="A2827" s="14" t="s">
        <v>3279</v>
      </c>
      <c r="B2827" s="15" t="s">
        <v>5</v>
      </c>
      <c r="C2827" s="10" t="s">
        <v>3280</v>
      </c>
      <c r="D2827" s="16" t="s">
        <v>8894</v>
      </c>
      <c r="E2827" s="15" t="s">
        <v>11193</v>
      </c>
      <c r="F2827" s="16" t="str">
        <f>VLOOKUP(Table8[[#This Row],[Mã khách hàng]],code_khach_hang[],2,0)</f>
        <v>CHI NHÁNH BẮC NINH - CÔNG TY CỔ PHẦN DỊCH VỤ THƯƠNG MẠI TỔNG HỢP WINCOMMERCE</v>
      </c>
      <c r="G2827" s="16" t="str">
        <f>VLOOKUP(Table8[[#This Row],[Mã khách hàng]],code_khach_hang[],3,0)</f>
        <v>Miền Bắc đặc biệt 2</v>
      </c>
      <c r="H2827" t="str">
        <f>VLOOKUP(Table8[[#This Row],[Mã khách hàng]],'Khách hàng'!A:D,4,0)</f>
        <v>Food Đức Việt</v>
      </c>
      <c r="I2827" t="str">
        <f>VLOOKUP(Table8[[#This Row],[Mã khách hàng]],'Khách hàng'!A:E,5,0)</f>
        <v>HN0040</v>
      </c>
    </row>
    <row r="2828" spans="1:9">
      <c r="A2828" s="14" t="s">
        <v>3886</v>
      </c>
      <c r="B2828" s="15" t="s">
        <v>5</v>
      </c>
      <c r="C2828" s="10" t="s">
        <v>3887</v>
      </c>
      <c r="D2828" s="16" t="s">
        <v>8897</v>
      </c>
      <c r="E2828" s="15" t="s">
        <v>11215</v>
      </c>
      <c r="F2828" s="16" t="str">
        <f>VLOOKUP(Table8[[#This Row],[Mã khách hàng]],code_khach_hang[],2,0)</f>
        <v>CHI NHÁNH HÀ NỘI - CÔNG TY CỔ PHẦN DỊCH VỤ THƯƠNG MẠI TỔNG HỢP WINCOMMERCE</v>
      </c>
      <c r="G2828" s="16" t="str">
        <f>VLOOKUP(Table8[[#This Row],[Mã khách hàng]],code_khach_hang[],3,0)</f>
        <v>Miền Bắc đặc biệt 1</v>
      </c>
      <c r="H2828" t="str">
        <f>VLOOKUP(Table8[[#This Row],[Mã khách hàng]],'Khách hàng'!A:D,4,0)</f>
        <v>Food Đức Việt</v>
      </c>
      <c r="I2828" t="str">
        <f>VLOOKUP(Table8[[#This Row],[Mã khách hàng]],'Khách hàng'!A:E,5,0)</f>
        <v>HN0040</v>
      </c>
    </row>
    <row r="2829" spans="1:9">
      <c r="A2829" s="14" t="s">
        <v>3166</v>
      </c>
      <c r="B2829" s="15" t="s">
        <v>5</v>
      </c>
      <c r="C2829" s="10" t="s">
        <v>3167</v>
      </c>
      <c r="D2829" s="16" t="s">
        <v>8900</v>
      </c>
      <c r="E2829" s="15" t="s">
        <v>11215</v>
      </c>
      <c r="F2829" s="16" t="str">
        <f>VLOOKUP(Table8[[#This Row],[Mã khách hàng]],code_khach_hang[],2,0)</f>
        <v>CHI NHÁNH HÀ NỘI - CÔNG TY CỔ PHẦN DỊCH VỤ THƯƠNG MẠI TỔNG HỢP WINCOMMERCE</v>
      </c>
      <c r="G2829" s="16" t="str">
        <f>VLOOKUP(Table8[[#This Row],[Mã khách hàng]],code_khach_hang[],3,0)</f>
        <v>Miền Bắc đặc biệt 1</v>
      </c>
      <c r="H2829" t="str">
        <f>VLOOKUP(Table8[[#This Row],[Mã khách hàng]],'Khách hàng'!A:D,4,0)</f>
        <v>Food Đức Việt</v>
      </c>
      <c r="I2829" t="str">
        <f>VLOOKUP(Table8[[#This Row],[Mã khách hàng]],'Khách hàng'!A:E,5,0)</f>
        <v>HN0040</v>
      </c>
    </row>
    <row r="2830" spans="1:9">
      <c r="A2830" s="14" t="s">
        <v>3184</v>
      </c>
      <c r="B2830" s="15" t="s">
        <v>5</v>
      </c>
      <c r="C2830" s="10" t="s">
        <v>3185</v>
      </c>
      <c r="D2830" s="16" t="s">
        <v>8903</v>
      </c>
      <c r="E2830" s="15" t="s">
        <v>11203</v>
      </c>
      <c r="F2830" s="16" t="str">
        <f>VLOOKUP(Table8[[#This Row],[Mã khách hàng]],code_khach_hang[],2,0)</f>
        <v>CHI NHÁNH THANH HÓA - CÔNG TY CỔ PHẦN DỊCH VỤ THƯƠNG MẠI TỔNG HỢP WINCOMMERCE</v>
      </c>
      <c r="G2830" s="16" t="str">
        <f>VLOOKUP(Table8[[#This Row],[Mã khách hàng]],code_khach_hang[],3,0)</f>
        <v>Miền Trung đặc biệt 1</v>
      </c>
      <c r="H2830" t="str">
        <f>VLOOKUP(Table8[[#This Row],[Mã khách hàng]],'Khách hàng'!A:D,4,0)</f>
        <v>Food Đức Việt</v>
      </c>
      <c r="I2830" t="str">
        <f>VLOOKUP(Table8[[#This Row],[Mã khách hàng]],'Khách hàng'!A:E,5,0)</f>
        <v>HN0040</v>
      </c>
    </row>
    <row r="2831" spans="1:9">
      <c r="A2831" s="14" t="s">
        <v>3238</v>
      </c>
      <c r="B2831" s="15" t="s">
        <v>5</v>
      </c>
      <c r="C2831" s="10" t="s">
        <v>3239</v>
      </c>
      <c r="D2831" s="16" t="s">
        <v>8906</v>
      </c>
      <c r="E2831" s="15" t="s">
        <v>11203</v>
      </c>
      <c r="F2831" s="16" t="str">
        <f>VLOOKUP(Table8[[#This Row],[Mã khách hàng]],code_khach_hang[],2,0)</f>
        <v>CHI NHÁNH THANH HÓA - CÔNG TY CỔ PHẦN DỊCH VỤ THƯƠNG MẠI TỔNG HỢP WINCOMMERCE</v>
      </c>
      <c r="G2831" s="16" t="str">
        <f>VLOOKUP(Table8[[#This Row],[Mã khách hàng]],code_khach_hang[],3,0)</f>
        <v>Miền Trung đặc biệt 1</v>
      </c>
      <c r="H2831" t="str">
        <f>VLOOKUP(Table8[[#This Row],[Mã khách hàng]],'Khách hàng'!A:D,4,0)</f>
        <v>Food Đức Việt</v>
      </c>
      <c r="I2831" t="str">
        <f>VLOOKUP(Table8[[#This Row],[Mã khách hàng]],'Khách hàng'!A:E,5,0)</f>
        <v>HN0040</v>
      </c>
    </row>
    <row r="2832" spans="1:9">
      <c r="A2832" s="14" t="s">
        <v>3103</v>
      </c>
      <c r="B2832" s="15" t="s">
        <v>5</v>
      </c>
      <c r="C2832" s="10" t="s">
        <v>3104</v>
      </c>
      <c r="D2832" s="16" t="s">
        <v>8909</v>
      </c>
      <c r="E2832" s="15" t="s">
        <v>11215</v>
      </c>
      <c r="F2832" s="16" t="str">
        <f>VLOOKUP(Table8[[#This Row],[Mã khách hàng]],code_khach_hang[],2,0)</f>
        <v>CHI NHÁNH HÀ NỘI - CÔNG TY CỔ PHẦN DỊCH VỤ THƯƠNG MẠI TỔNG HỢP WINCOMMERCE</v>
      </c>
      <c r="G2832" s="16" t="str">
        <f>VLOOKUP(Table8[[#This Row],[Mã khách hàng]],code_khach_hang[],3,0)</f>
        <v>Miền Bắc đặc biệt 1</v>
      </c>
      <c r="H2832" t="str">
        <f>VLOOKUP(Table8[[#This Row],[Mã khách hàng]],'Khách hàng'!A:D,4,0)</f>
        <v>Food Đức Việt</v>
      </c>
      <c r="I2832" t="str">
        <f>VLOOKUP(Table8[[#This Row],[Mã khách hàng]],'Khách hàng'!A:E,5,0)</f>
        <v>HN0040</v>
      </c>
    </row>
    <row r="2833" spans="1:9">
      <c r="A2833" s="14" t="s">
        <v>3270</v>
      </c>
      <c r="B2833" s="15" t="s">
        <v>5</v>
      </c>
      <c r="C2833" s="10" t="s">
        <v>3271</v>
      </c>
      <c r="D2833" s="16" t="s">
        <v>8912</v>
      </c>
      <c r="E2833" s="15" t="s">
        <v>11215</v>
      </c>
      <c r="F2833" s="16" t="str">
        <f>VLOOKUP(Table8[[#This Row],[Mã khách hàng]],code_khach_hang[],2,0)</f>
        <v>CHI NHÁNH HÀ NỘI - CÔNG TY CỔ PHẦN DỊCH VỤ THƯƠNG MẠI TỔNG HỢP WINCOMMERCE</v>
      </c>
      <c r="G2833" s="16" t="str">
        <f>VLOOKUP(Table8[[#This Row],[Mã khách hàng]],code_khach_hang[],3,0)</f>
        <v>Miền Bắc đặc biệt 1</v>
      </c>
      <c r="H2833" t="str">
        <f>VLOOKUP(Table8[[#This Row],[Mã khách hàng]],'Khách hàng'!A:D,4,0)</f>
        <v>Food Đức Việt</v>
      </c>
      <c r="I2833" t="str">
        <f>VLOOKUP(Table8[[#This Row],[Mã khách hàng]],'Khách hàng'!A:E,5,0)</f>
        <v>HN0040</v>
      </c>
    </row>
    <row r="2834" spans="1:9">
      <c r="A2834" s="14" t="s">
        <v>3235</v>
      </c>
      <c r="B2834" s="15" t="s">
        <v>5</v>
      </c>
      <c r="C2834" s="10" t="s">
        <v>3236</v>
      </c>
      <c r="D2834" s="16" t="s">
        <v>8915</v>
      </c>
      <c r="E2834" s="15" t="s">
        <v>11199</v>
      </c>
      <c r="F2834" s="16" t="str">
        <f>VLOOKUP(Table8[[#This Row],[Mã khách hàng]],code_khach_hang[],2,0)</f>
        <v>CHI NHÁNH PHÚ THỌ - CÔNG TY CỔ PHẦN DỊCH VỤ THƯƠNG MẠI TỔNG HỢP WINCOMMERCE</v>
      </c>
      <c r="G2834" s="16" t="str">
        <f>VLOOKUP(Table8[[#This Row],[Mã khách hàng]],code_khach_hang[],3,0)</f>
        <v>Miền Bắc đặc biệt 1</v>
      </c>
      <c r="H2834" t="str">
        <f>VLOOKUP(Table8[[#This Row],[Mã khách hàng]],'Khách hàng'!A:D,4,0)</f>
        <v>Food Đức Việt</v>
      </c>
      <c r="I2834" t="str">
        <f>VLOOKUP(Table8[[#This Row],[Mã khách hàng]],'Khách hàng'!A:E,5,0)</f>
        <v>HN0040</v>
      </c>
    </row>
    <row r="2835" spans="1:9">
      <c r="A2835" s="14" t="s">
        <v>3160</v>
      </c>
      <c r="B2835" s="15" t="s">
        <v>5</v>
      </c>
      <c r="C2835" s="10" t="s">
        <v>3161</v>
      </c>
      <c r="D2835" s="16" t="s">
        <v>8918</v>
      </c>
      <c r="E2835" s="15" t="s">
        <v>11205</v>
      </c>
      <c r="F2835" s="16" t="str">
        <f>VLOOKUP(Table8[[#This Row],[Mã khách hàng]],code_khach_hang[],2,0)</f>
        <v>CHI NHÁNH HÀ TĨNH - CÔNG TY CỔ PHẦN DỊCH VỤ THƯƠNG MẠI TỔNG HỢP WINCOMMERCE</v>
      </c>
      <c r="G2835" s="16" t="str">
        <f>VLOOKUP(Table8[[#This Row],[Mã khách hàng]],code_khach_hang[],3,0)</f>
        <v>Miền Trung đặc biệt 1</v>
      </c>
      <c r="H2835" t="str">
        <f>VLOOKUP(Table8[[#This Row],[Mã khách hàng]],'Khách hàng'!A:D,4,0)</f>
        <v>Food Đức Việt</v>
      </c>
      <c r="I2835" t="str">
        <f>VLOOKUP(Table8[[#This Row],[Mã khách hàng]],'Khách hàng'!A:E,5,0)</f>
        <v>HN0040</v>
      </c>
    </row>
    <row r="2836" spans="1:9">
      <c r="A2836" s="14" t="s">
        <v>3202</v>
      </c>
      <c r="B2836" s="15" t="s">
        <v>5</v>
      </c>
      <c r="C2836" s="10" t="s">
        <v>3203</v>
      </c>
      <c r="D2836" s="16" t="s">
        <v>8921</v>
      </c>
      <c r="E2836" s="15" t="s">
        <v>11211</v>
      </c>
      <c r="F2836" s="16" t="str">
        <f>VLOOKUP(Table8[[#This Row],[Mã khách hàng]],code_khach_hang[],2,0)</f>
        <v>CHI NHÁNH NGHỆ AN - CÔNG TY CỔ PHẦN DỊCH VỤ THƯƠNG MẠI TỔNG HỢP WINCOMMERCE</v>
      </c>
      <c r="G2836" s="16" t="str">
        <f>VLOOKUP(Table8[[#This Row],[Mã khách hàng]],code_khach_hang[],3,0)</f>
        <v>Miền Trung đặc biệt 1</v>
      </c>
      <c r="H2836" t="str">
        <f>VLOOKUP(Table8[[#This Row],[Mã khách hàng]],'Khách hàng'!A:D,4,0)</f>
        <v>Food Đức Việt</v>
      </c>
      <c r="I2836" t="str">
        <f>VLOOKUP(Table8[[#This Row],[Mã khách hàng]],'Khách hàng'!A:E,5,0)</f>
        <v>HN0040</v>
      </c>
    </row>
    <row r="2837" spans="1:9">
      <c r="A2837" s="14" t="s">
        <v>9139</v>
      </c>
      <c r="B2837" s="15" t="s">
        <v>5</v>
      </c>
      <c r="C2837" s="10" t="s">
        <v>9140</v>
      </c>
      <c r="D2837" s="16" t="s">
        <v>8923</v>
      </c>
      <c r="E2837" s="15" t="s">
        <v>11205</v>
      </c>
      <c r="F2837" s="16" t="str">
        <f>VLOOKUP(Table8[[#This Row],[Mã khách hàng]],code_khach_hang[],2,0)</f>
        <v>CHI NHÁNH HÀ TĨNH - CÔNG TY CỔ PHẦN DỊCH VỤ THƯƠNG MẠI TỔNG HỢP WINCOMMERCE</v>
      </c>
      <c r="G2837" s="16" t="str">
        <f>VLOOKUP(Table8[[#This Row],[Mã khách hàng]],code_khach_hang[],3,0)</f>
        <v>Miền Trung đặc biệt 1</v>
      </c>
      <c r="H2837" t="str">
        <f>VLOOKUP(Table8[[#This Row],[Mã khách hàng]],'Khách hàng'!A:D,4,0)</f>
        <v>Food Đức Việt</v>
      </c>
      <c r="I2837" t="str">
        <f>VLOOKUP(Table8[[#This Row],[Mã khách hàng]],'Khách hàng'!A:E,5,0)</f>
        <v>HN0040</v>
      </c>
    </row>
    <row r="2838" spans="1:9">
      <c r="A2838" s="14" t="s">
        <v>3969</v>
      </c>
      <c r="B2838" s="15" t="s">
        <v>5</v>
      </c>
      <c r="C2838" s="10" t="s">
        <v>3970</v>
      </c>
      <c r="D2838" s="16" t="s">
        <v>8926</v>
      </c>
      <c r="E2838" s="15" t="s">
        <v>11215</v>
      </c>
      <c r="F2838" s="16" t="str">
        <f>VLOOKUP(Table8[[#This Row],[Mã khách hàng]],code_khach_hang[],2,0)</f>
        <v>CHI NHÁNH HÀ NỘI - CÔNG TY CỔ PHẦN DỊCH VỤ THƯƠNG MẠI TỔNG HỢP WINCOMMERCE</v>
      </c>
      <c r="G2838" s="16" t="str">
        <f>VLOOKUP(Table8[[#This Row],[Mã khách hàng]],code_khach_hang[],3,0)</f>
        <v>Miền Bắc đặc biệt 1</v>
      </c>
      <c r="H2838" t="str">
        <f>VLOOKUP(Table8[[#This Row],[Mã khách hàng]],'Khách hàng'!A:D,4,0)</f>
        <v>Food Đức Việt</v>
      </c>
      <c r="I2838" t="str">
        <f>VLOOKUP(Table8[[#This Row],[Mã khách hàng]],'Khách hàng'!A:E,5,0)</f>
        <v>HN0040</v>
      </c>
    </row>
    <row r="2839" spans="1:9">
      <c r="A2839" s="14" t="s">
        <v>3318</v>
      </c>
      <c r="B2839" s="15" t="s">
        <v>5</v>
      </c>
      <c r="C2839" s="10" t="s">
        <v>3319</v>
      </c>
      <c r="D2839" s="16" t="s">
        <v>8929</v>
      </c>
      <c r="E2839" s="15" t="s">
        <v>11216</v>
      </c>
      <c r="F2839" s="16" t="str">
        <f>VLOOKUP(Table8[[#This Row],[Mã khách hàng]],code_khach_hang[],2,0)</f>
        <v>CHI NHÁNH HƯNG YÊN - CÔNG TY CỔ PHẦN DỊCH VỤ THƯƠNG MẠI TỔNG HỢP WINCOMMERCE</v>
      </c>
      <c r="G2839" s="16" t="str">
        <f>VLOOKUP(Table8[[#This Row],[Mã khách hàng]],code_khach_hang[],3,0)</f>
        <v>Miền Bắc đặc biệt 1</v>
      </c>
      <c r="H2839" t="str">
        <f>VLOOKUP(Table8[[#This Row],[Mã khách hàng]],'Khách hàng'!A:D,4,0)</f>
        <v>Food Đức Việt</v>
      </c>
      <c r="I2839" t="str">
        <f>VLOOKUP(Table8[[#This Row],[Mã khách hàng]],'Khách hàng'!A:E,5,0)</f>
        <v>HN0040</v>
      </c>
    </row>
    <row r="2840" spans="1:9">
      <c r="A2840" s="14" t="s">
        <v>3336</v>
      </c>
      <c r="B2840" s="15" t="s">
        <v>5</v>
      </c>
      <c r="C2840" s="10" t="s">
        <v>3337</v>
      </c>
      <c r="D2840" s="16" t="s">
        <v>8932</v>
      </c>
      <c r="E2840" s="15" t="s">
        <v>11216</v>
      </c>
      <c r="F2840" s="16" t="str">
        <f>VLOOKUP(Table8[[#This Row],[Mã khách hàng]],code_khach_hang[],2,0)</f>
        <v>CHI NHÁNH HƯNG YÊN - CÔNG TY CỔ PHẦN DỊCH VỤ THƯƠNG MẠI TỔNG HỢP WINCOMMERCE</v>
      </c>
      <c r="G2840" s="16" t="str">
        <f>VLOOKUP(Table8[[#This Row],[Mã khách hàng]],code_khach_hang[],3,0)</f>
        <v>Miền Bắc đặc biệt 1</v>
      </c>
      <c r="H2840" t="str">
        <f>VLOOKUP(Table8[[#This Row],[Mã khách hàng]],'Khách hàng'!A:D,4,0)</f>
        <v>Food Đức Việt</v>
      </c>
      <c r="I2840" t="str">
        <f>VLOOKUP(Table8[[#This Row],[Mã khách hàng]],'Khách hàng'!A:E,5,0)</f>
        <v>HN0040</v>
      </c>
    </row>
    <row r="2841" spans="1:9">
      <c r="A2841" s="14" t="s">
        <v>3330</v>
      </c>
      <c r="B2841" s="15" t="s">
        <v>5</v>
      </c>
      <c r="C2841" s="10" t="s">
        <v>3331</v>
      </c>
      <c r="D2841" s="16" t="s">
        <v>8935</v>
      </c>
      <c r="E2841" s="14" t="s">
        <v>11193</v>
      </c>
      <c r="F2841" s="16" t="str">
        <f>VLOOKUP(Table8[[#This Row],[Mã khách hàng]],code_khach_hang[],2,0)</f>
        <v>CHI NHÁNH BẮC NINH - CÔNG TY CỔ PHẦN DỊCH VỤ THƯƠNG MẠI TỔNG HỢP WINCOMMERCE</v>
      </c>
      <c r="G2841" s="16" t="str">
        <f>VLOOKUP(Table8[[#This Row],[Mã khách hàng]],code_khach_hang[],3,0)</f>
        <v>Miền Bắc đặc biệt 2</v>
      </c>
      <c r="H2841" t="str">
        <f>VLOOKUP(Table8[[#This Row],[Mã khách hàng]],'Khách hàng'!A:D,4,0)</f>
        <v>Food Đức Việt</v>
      </c>
      <c r="I2841" t="str">
        <f>VLOOKUP(Table8[[#This Row],[Mã khách hàng]],'Khách hàng'!A:E,5,0)</f>
        <v>HN0040</v>
      </c>
    </row>
    <row r="2842" spans="1:9">
      <c r="A2842" s="14" t="s">
        <v>3130</v>
      </c>
      <c r="B2842" s="15" t="s">
        <v>5</v>
      </c>
      <c r="C2842" s="10" t="s">
        <v>3131</v>
      </c>
      <c r="D2842" s="16" t="s">
        <v>8938</v>
      </c>
      <c r="E2842" s="15" t="s">
        <v>11199</v>
      </c>
      <c r="F2842" s="16" t="str">
        <f>VLOOKUP(Table8[[#This Row],[Mã khách hàng]],code_khach_hang[],2,0)</f>
        <v>CHI NHÁNH PHÚ THỌ - CÔNG TY CỔ PHẦN DỊCH VỤ THƯƠNG MẠI TỔNG HỢP WINCOMMERCE</v>
      </c>
      <c r="G2842" s="16" t="str">
        <f>VLOOKUP(Table8[[#This Row],[Mã khách hàng]],code_khach_hang[],3,0)</f>
        <v>Miền Bắc đặc biệt 1</v>
      </c>
      <c r="H2842" t="str">
        <f>VLOOKUP(Table8[[#This Row],[Mã khách hàng]],'Khách hàng'!A:D,4,0)</f>
        <v>Food Đức Việt</v>
      </c>
      <c r="I2842" t="str">
        <f>VLOOKUP(Table8[[#This Row],[Mã khách hàng]],'Khách hàng'!A:E,5,0)</f>
        <v>HN0040</v>
      </c>
    </row>
    <row r="2843" spans="1:9">
      <c r="A2843" s="14" t="s">
        <v>3211</v>
      </c>
      <c r="B2843" s="15" t="s">
        <v>5</v>
      </c>
      <c r="C2843" s="10" t="s">
        <v>3212</v>
      </c>
      <c r="D2843" s="16" t="s">
        <v>8940</v>
      </c>
      <c r="E2843" s="15" t="s">
        <v>11193</v>
      </c>
      <c r="F2843" s="16" t="str">
        <f>VLOOKUP(Table8[[#This Row],[Mã khách hàng]],code_khach_hang[],2,0)</f>
        <v>CHI NHÁNH BẮC NINH - CÔNG TY CỔ PHẦN DỊCH VỤ THƯƠNG MẠI TỔNG HỢP WINCOMMERCE</v>
      </c>
      <c r="G2843" s="16" t="str">
        <f>VLOOKUP(Table8[[#This Row],[Mã khách hàng]],code_khach_hang[],3,0)</f>
        <v>Miền Bắc đặc biệt 2</v>
      </c>
      <c r="H2843" t="str">
        <f>VLOOKUP(Table8[[#This Row],[Mã khách hàng]],'Khách hàng'!A:D,4,0)</f>
        <v>Food Đức Việt</v>
      </c>
      <c r="I2843" t="str">
        <f>VLOOKUP(Table8[[#This Row],[Mã khách hàng]],'Khách hàng'!A:E,5,0)</f>
        <v>HN0040</v>
      </c>
    </row>
    <row r="2844" spans="1:9">
      <c r="A2844" s="14" t="s">
        <v>3187</v>
      </c>
      <c r="B2844" s="15" t="s">
        <v>5</v>
      </c>
      <c r="C2844" s="10" t="s">
        <v>3188</v>
      </c>
      <c r="D2844" s="16" t="s">
        <v>8943</v>
      </c>
      <c r="E2844" s="15" t="s">
        <v>11199</v>
      </c>
      <c r="F2844" s="16" t="str">
        <f>VLOOKUP(Table8[[#This Row],[Mã khách hàng]],code_khach_hang[],2,0)</f>
        <v>CHI NHÁNH PHÚ THỌ - CÔNG TY CỔ PHẦN DỊCH VỤ THƯƠNG MẠI TỔNG HỢP WINCOMMERCE</v>
      </c>
      <c r="G2844" s="16" t="str">
        <f>VLOOKUP(Table8[[#This Row],[Mã khách hàng]],code_khach_hang[],3,0)</f>
        <v>Miền Bắc đặc biệt 1</v>
      </c>
      <c r="H2844" t="str">
        <f>VLOOKUP(Table8[[#This Row],[Mã khách hàng]],'Khách hàng'!A:D,4,0)</f>
        <v>Food Đức Việt</v>
      </c>
      <c r="I2844" t="str">
        <f>VLOOKUP(Table8[[#This Row],[Mã khách hàng]],'Khách hàng'!A:E,5,0)</f>
        <v>HN0040</v>
      </c>
    </row>
    <row r="2845" spans="1:9">
      <c r="A2845" s="14" t="s">
        <v>3333</v>
      </c>
      <c r="B2845" s="15" t="s">
        <v>5</v>
      </c>
      <c r="C2845" s="10" t="s">
        <v>3334</v>
      </c>
      <c r="D2845" s="16" t="s">
        <v>8946</v>
      </c>
      <c r="E2845" s="15" t="s">
        <v>11193</v>
      </c>
      <c r="F2845" s="16" t="str">
        <f>VLOOKUP(Table8[[#This Row],[Mã khách hàng]],code_khach_hang[],2,0)</f>
        <v>CHI NHÁNH BẮC NINH - CÔNG TY CỔ PHẦN DỊCH VỤ THƯƠNG MẠI TỔNG HỢP WINCOMMERCE</v>
      </c>
      <c r="G2845" s="16" t="str">
        <f>VLOOKUP(Table8[[#This Row],[Mã khách hàng]],code_khach_hang[],3,0)</f>
        <v>Miền Bắc đặc biệt 2</v>
      </c>
      <c r="H2845" t="str">
        <f>VLOOKUP(Table8[[#This Row],[Mã khách hàng]],'Khách hàng'!A:D,4,0)</f>
        <v>Food Đức Việt</v>
      </c>
      <c r="I2845" t="str">
        <f>VLOOKUP(Table8[[#This Row],[Mã khách hàng]],'Khách hàng'!A:E,5,0)</f>
        <v>HN0040</v>
      </c>
    </row>
    <row r="2846" spans="1:9">
      <c r="A2846" s="14" t="s">
        <v>3342</v>
      </c>
      <c r="B2846" s="15" t="s">
        <v>5</v>
      </c>
      <c r="C2846" s="10" t="s">
        <v>3343</v>
      </c>
      <c r="D2846" s="16" t="s">
        <v>8949</v>
      </c>
      <c r="E2846" s="15" t="s">
        <v>11215</v>
      </c>
      <c r="F2846" s="16" t="str">
        <f>VLOOKUP(Table8[[#This Row],[Mã khách hàng]],code_khach_hang[],2,0)</f>
        <v>CHI NHÁNH HÀ NỘI - CÔNG TY CỔ PHẦN DỊCH VỤ THƯƠNG MẠI TỔNG HỢP WINCOMMERCE</v>
      </c>
      <c r="G2846" s="16" t="str">
        <f>VLOOKUP(Table8[[#This Row],[Mã khách hàng]],code_khach_hang[],3,0)</f>
        <v>Miền Bắc đặc biệt 1</v>
      </c>
      <c r="H2846" t="str">
        <f>VLOOKUP(Table8[[#This Row],[Mã khách hàng]],'Khách hàng'!A:D,4,0)</f>
        <v>Food Đức Việt</v>
      </c>
      <c r="I2846" t="str">
        <f>VLOOKUP(Table8[[#This Row],[Mã khách hàng]],'Khách hàng'!A:E,5,0)</f>
        <v>HN0040</v>
      </c>
    </row>
    <row r="2847" spans="1:9">
      <c r="A2847" s="14" t="s">
        <v>3393</v>
      </c>
      <c r="B2847" s="15" t="s">
        <v>5</v>
      </c>
      <c r="C2847" s="10" t="s">
        <v>3394</v>
      </c>
      <c r="D2847" s="16" t="s">
        <v>8952</v>
      </c>
      <c r="E2847" s="15" t="s">
        <v>11215</v>
      </c>
      <c r="F2847" s="16" t="str">
        <f>VLOOKUP(Table8[[#This Row],[Mã khách hàng]],code_khach_hang[],2,0)</f>
        <v>CHI NHÁNH HÀ NỘI - CÔNG TY CỔ PHẦN DỊCH VỤ THƯƠNG MẠI TỔNG HỢP WINCOMMERCE</v>
      </c>
      <c r="G2847" s="16" t="str">
        <f>VLOOKUP(Table8[[#This Row],[Mã khách hàng]],code_khach_hang[],3,0)</f>
        <v>Miền Bắc đặc biệt 1</v>
      </c>
      <c r="H2847" t="str">
        <f>VLOOKUP(Table8[[#This Row],[Mã khách hàng]],'Khách hàng'!A:D,4,0)</f>
        <v>Food Đức Việt</v>
      </c>
      <c r="I2847" t="str">
        <f>VLOOKUP(Table8[[#This Row],[Mã khách hàng]],'Khách hàng'!A:E,5,0)</f>
        <v>HN0040</v>
      </c>
    </row>
    <row r="2848" spans="1:9">
      <c r="A2848" s="14" t="s">
        <v>3315</v>
      </c>
      <c r="B2848" s="15" t="s">
        <v>5</v>
      </c>
      <c r="C2848" s="10" t="s">
        <v>3316</v>
      </c>
      <c r="D2848" s="16" t="s">
        <v>8955</v>
      </c>
      <c r="E2848" s="15" t="s">
        <v>11196</v>
      </c>
      <c r="F2848" s="16" t="str">
        <f>VLOOKUP(Table8[[#This Row],[Mã khách hàng]],code_khach_hang[],2,0)</f>
        <v>CHI NHÁNH NINH BÌNH - CÔNG TY CỔ PHẦN DỊCH VỤ THƯƠNG MẠI TỔNG HỢP WINCOMMERCE</v>
      </c>
      <c r="G2848" s="16" t="str">
        <f>VLOOKUP(Table8[[#This Row],[Mã khách hàng]],code_khach_hang[],3,0)</f>
        <v>Miền Bắc đặc biệt 3</v>
      </c>
      <c r="H2848" t="str">
        <f>VLOOKUP(Table8[[#This Row],[Mã khách hàng]],'Khách hàng'!A:D,4,0)</f>
        <v>Food Đức Việt</v>
      </c>
      <c r="I2848" t="str">
        <f>VLOOKUP(Table8[[#This Row],[Mã khách hàng]],'Khách hàng'!A:E,5,0)</f>
        <v>HN0040</v>
      </c>
    </row>
    <row r="2849" spans="1:9">
      <c r="A2849" s="14" t="s">
        <v>3273</v>
      </c>
      <c r="B2849" s="15" t="s">
        <v>5</v>
      </c>
      <c r="C2849" s="10" t="s">
        <v>3274</v>
      </c>
      <c r="D2849" s="16" t="s">
        <v>8958</v>
      </c>
      <c r="E2849" s="15" t="s">
        <v>11215</v>
      </c>
      <c r="F2849" s="16" t="str">
        <f>VLOOKUP(Table8[[#This Row],[Mã khách hàng]],code_khach_hang[],2,0)</f>
        <v>CHI NHÁNH HÀ NỘI - CÔNG TY CỔ PHẦN DỊCH VỤ THƯƠNG MẠI TỔNG HỢP WINCOMMERCE</v>
      </c>
      <c r="G2849" s="16" t="str">
        <f>VLOOKUP(Table8[[#This Row],[Mã khách hàng]],code_khach_hang[],3,0)</f>
        <v>Miền Bắc đặc biệt 1</v>
      </c>
      <c r="H2849" t="str">
        <f>VLOOKUP(Table8[[#This Row],[Mã khách hàng]],'Khách hàng'!A:D,4,0)</f>
        <v>Food Đức Việt</v>
      </c>
      <c r="I2849" t="str">
        <f>VLOOKUP(Table8[[#This Row],[Mã khách hàng]],'Khách hàng'!A:E,5,0)</f>
        <v>HN0040</v>
      </c>
    </row>
    <row r="2850" spans="1:9">
      <c r="A2850" s="14" t="s">
        <v>3088</v>
      </c>
      <c r="B2850" s="15" t="s">
        <v>5</v>
      </c>
      <c r="C2850" s="10" t="s">
        <v>3089</v>
      </c>
      <c r="D2850" s="16" t="s">
        <v>8961</v>
      </c>
      <c r="E2850" s="15" t="s">
        <v>11196</v>
      </c>
      <c r="F2850" s="16" t="str">
        <f>VLOOKUP(Table8[[#This Row],[Mã khách hàng]],code_khach_hang[],2,0)</f>
        <v>CHI NHÁNH NINH BÌNH - CÔNG TY CỔ PHẦN DỊCH VỤ THƯƠNG MẠI TỔNG HỢP WINCOMMERCE</v>
      </c>
      <c r="G2850" s="16" t="str">
        <f>VLOOKUP(Table8[[#This Row],[Mã khách hàng]],code_khach_hang[],3,0)</f>
        <v>Miền Bắc đặc biệt 3</v>
      </c>
      <c r="H2850" t="str">
        <f>VLOOKUP(Table8[[#This Row],[Mã khách hàng]],'Khách hàng'!A:D,4,0)</f>
        <v>Food Đức Việt</v>
      </c>
      <c r="I2850" t="str">
        <f>VLOOKUP(Table8[[#This Row],[Mã khách hàng]],'Khách hàng'!A:E,5,0)</f>
        <v>HN0040</v>
      </c>
    </row>
    <row r="2851" spans="1:9">
      <c r="A2851" s="14" t="s">
        <v>3321</v>
      </c>
      <c r="B2851" s="15" t="s">
        <v>5</v>
      </c>
      <c r="C2851" s="10" t="s">
        <v>3322</v>
      </c>
      <c r="D2851" s="16" t="s">
        <v>8964</v>
      </c>
      <c r="E2851" s="15" t="s">
        <v>11215</v>
      </c>
      <c r="F2851" s="16" t="str">
        <f>VLOOKUP(Table8[[#This Row],[Mã khách hàng]],code_khach_hang[],2,0)</f>
        <v>CHI NHÁNH HÀ NỘI - CÔNG TY CỔ PHẦN DỊCH VỤ THƯƠNG MẠI TỔNG HỢP WINCOMMERCE</v>
      </c>
      <c r="G2851" s="16" t="str">
        <f>VLOOKUP(Table8[[#This Row],[Mã khách hàng]],code_khach_hang[],3,0)</f>
        <v>Miền Bắc đặc biệt 1</v>
      </c>
      <c r="H2851" t="str">
        <f>VLOOKUP(Table8[[#This Row],[Mã khách hàng]],'Khách hàng'!A:D,4,0)</f>
        <v>Food Đức Việt</v>
      </c>
      <c r="I2851" t="str">
        <f>VLOOKUP(Table8[[#This Row],[Mã khách hàng]],'Khách hàng'!A:E,5,0)</f>
        <v>HN0040</v>
      </c>
    </row>
    <row r="2852" spans="1:9">
      <c r="A2852" s="14" t="s">
        <v>3312</v>
      </c>
      <c r="B2852" s="15" t="s">
        <v>5</v>
      </c>
      <c r="C2852" s="10" t="s">
        <v>3313</v>
      </c>
      <c r="D2852" s="16" t="s">
        <v>8967</v>
      </c>
      <c r="E2852" s="15" t="s">
        <v>11199</v>
      </c>
      <c r="F2852" s="16" t="str">
        <f>VLOOKUP(Table8[[#This Row],[Mã khách hàng]],code_khach_hang[],2,0)</f>
        <v>CHI NHÁNH PHÚ THỌ - CÔNG TY CỔ PHẦN DỊCH VỤ THƯƠNG MẠI TỔNG HỢP WINCOMMERCE</v>
      </c>
      <c r="G2852" s="16" t="str">
        <f>VLOOKUP(Table8[[#This Row],[Mã khách hàng]],code_khach_hang[],3,0)</f>
        <v>Miền Bắc đặc biệt 1</v>
      </c>
      <c r="H2852" t="str">
        <f>VLOOKUP(Table8[[#This Row],[Mã khách hàng]],'Khách hàng'!A:D,4,0)</f>
        <v>Food Đức Việt</v>
      </c>
      <c r="I2852" t="str">
        <f>VLOOKUP(Table8[[#This Row],[Mã khách hàng]],'Khách hàng'!A:E,5,0)</f>
        <v>HN0040</v>
      </c>
    </row>
    <row r="2853" spans="1:9">
      <c r="A2853" s="14" t="s">
        <v>516</v>
      </c>
      <c r="B2853" s="15" t="s">
        <v>183</v>
      </c>
      <c r="C2853" s="10" t="s">
        <v>517</v>
      </c>
      <c r="D2853" s="16" t="s">
        <v>8970</v>
      </c>
      <c r="E2853" s="15" t="s">
        <v>11193</v>
      </c>
      <c r="F2853" s="16" t="str">
        <f>VLOOKUP(Table8[[#This Row],[Mã khách hàng]],code_khach_hang[],2,0)</f>
        <v>CHI NHÁNH BẮC NINH - CÔNG TY CỔ PHẦN DỊCH VỤ THƯƠNG MẠI TỔNG HỢP WINCOMMERCE</v>
      </c>
      <c r="G2853" s="16" t="str">
        <f>VLOOKUP(Table8[[#This Row],[Mã khách hàng]],code_khach_hang[],3,0)</f>
        <v>Miền Bắc đặc biệt 2</v>
      </c>
      <c r="H2853" t="str">
        <f>VLOOKUP(Table8[[#This Row],[Mã khách hàng]],'Khách hàng'!A:D,4,0)</f>
        <v>Food Đức Việt</v>
      </c>
      <c r="I2853" t="str">
        <f>VLOOKUP(Table8[[#This Row],[Mã khách hàng]],'Khách hàng'!A:E,5,0)</f>
        <v>HN0040</v>
      </c>
    </row>
    <row r="2854" spans="1:9">
      <c r="A2854" s="14" t="s">
        <v>739</v>
      </c>
      <c r="B2854" s="15" t="s">
        <v>183</v>
      </c>
      <c r="C2854" s="10" t="s">
        <v>13181</v>
      </c>
      <c r="D2854" s="16" t="s">
        <v>8973</v>
      </c>
      <c r="E2854" s="15" t="s">
        <v>11211</v>
      </c>
      <c r="F2854" s="16" t="str">
        <f>VLOOKUP(Table8[[#This Row],[Mã khách hàng]],code_khach_hang[],2,0)</f>
        <v>CHI NHÁNH NGHỆ AN - CÔNG TY CỔ PHẦN DỊCH VỤ THƯƠNG MẠI TỔNG HỢP WINCOMMERCE</v>
      </c>
      <c r="G2854" s="16" t="str">
        <f>VLOOKUP(Table8[[#This Row],[Mã khách hàng]],code_khach_hang[],3,0)</f>
        <v>Miền Trung đặc biệt 1</v>
      </c>
      <c r="H2854" t="str">
        <f>VLOOKUP(Table8[[#This Row],[Mã khách hàng]],'Khách hàng'!A:D,4,0)</f>
        <v>Food Đức Việt</v>
      </c>
      <c r="I2854" t="str">
        <f>VLOOKUP(Table8[[#This Row],[Mã khách hàng]],'Khách hàng'!A:E,5,0)</f>
        <v>HN0040</v>
      </c>
    </row>
    <row r="2855" spans="1:9">
      <c r="A2855" s="14" t="s">
        <v>3100</v>
      </c>
      <c r="B2855" s="15" t="s">
        <v>5</v>
      </c>
      <c r="C2855" s="10" t="s">
        <v>3101</v>
      </c>
      <c r="D2855" s="16" t="s">
        <v>8976</v>
      </c>
      <c r="E2855" s="15" t="s">
        <v>11199</v>
      </c>
      <c r="F2855" s="16" t="str">
        <f>VLOOKUP(Table8[[#This Row],[Mã khách hàng]],code_khach_hang[],2,0)</f>
        <v>CHI NHÁNH PHÚ THỌ - CÔNG TY CỔ PHẦN DỊCH VỤ THƯƠNG MẠI TỔNG HỢP WINCOMMERCE</v>
      </c>
      <c r="G2855" s="16" t="str">
        <f>VLOOKUP(Table8[[#This Row],[Mã khách hàng]],code_khach_hang[],3,0)</f>
        <v>Miền Bắc đặc biệt 1</v>
      </c>
      <c r="H2855" t="str">
        <f>VLOOKUP(Table8[[#This Row],[Mã khách hàng]],'Khách hàng'!A:D,4,0)</f>
        <v>Food Đức Việt</v>
      </c>
      <c r="I2855" t="str">
        <f>VLOOKUP(Table8[[#This Row],[Mã khách hàng]],'Khách hàng'!A:E,5,0)</f>
        <v>HN0040</v>
      </c>
    </row>
    <row r="2856" spans="1:9">
      <c r="A2856" s="14" t="s">
        <v>3276</v>
      </c>
      <c r="B2856" s="15" t="s">
        <v>5</v>
      </c>
      <c r="C2856" s="10" t="s">
        <v>3277</v>
      </c>
      <c r="D2856" s="16" t="s">
        <v>8979</v>
      </c>
      <c r="E2856" s="15" t="s">
        <v>11215</v>
      </c>
      <c r="F2856" s="16" t="str">
        <f>VLOOKUP(Table8[[#This Row],[Mã khách hàng]],code_khach_hang[],2,0)</f>
        <v>CHI NHÁNH HÀ NỘI - CÔNG TY CỔ PHẦN DỊCH VỤ THƯƠNG MẠI TỔNG HỢP WINCOMMERCE</v>
      </c>
      <c r="G2856" s="16" t="str">
        <f>VLOOKUP(Table8[[#This Row],[Mã khách hàng]],code_khach_hang[],3,0)</f>
        <v>Miền Bắc đặc biệt 1</v>
      </c>
      <c r="H2856" t="str">
        <f>VLOOKUP(Table8[[#This Row],[Mã khách hàng]],'Khách hàng'!A:D,4,0)</f>
        <v>Food Đức Việt</v>
      </c>
      <c r="I2856" t="str">
        <f>VLOOKUP(Table8[[#This Row],[Mã khách hàng]],'Khách hàng'!A:E,5,0)</f>
        <v>HN0040</v>
      </c>
    </row>
    <row r="2857" spans="1:9">
      <c r="A2857" s="14" t="s">
        <v>1668</v>
      </c>
      <c r="B2857" s="15" t="s">
        <v>5</v>
      </c>
      <c r="C2857" s="10" t="s">
        <v>1669</v>
      </c>
      <c r="D2857" s="16" t="s">
        <v>8982</v>
      </c>
      <c r="E2857" s="15" t="s">
        <v>11206</v>
      </c>
      <c r="F2857" s="16" t="str">
        <f>VLOOKUP(Table8[[#This Row],[Mã khách hàng]],code_khach_hang[],2,0)</f>
        <v>CHI NHÁNH SƠN LA - CÔNG TY CỔ PHẦN DỊCH VỤ THƯƠNG MẠI TỔNG HỢP WINCOMMERCE</v>
      </c>
      <c r="G2857" s="16" t="str">
        <f>VLOOKUP(Table8[[#This Row],[Mã khách hàng]],code_khach_hang[],3,0)</f>
        <v>Miền Bắc đặc biệt 1</v>
      </c>
      <c r="H2857" t="str">
        <f>VLOOKUP(Table8[[#This Row],[Mã khách hàng]],'Khách hàng'!A:D,4,0)</f>
        <v>Food Đức Việt</v>
      </c>
      <c r="I2857" t="str">
        <f>VLOOKUP(Table8[[#This Row],[Mã khách hàng]],'Khách hàng'!A:E,5,0)</f>
        <v>HN0040</v>
      </c>
    </row>
    <row r="2858" spans="1:9">
      <c r="A2858" s="14" t="s">
        <v>3401</v>
      </c>
      <c r="B2858" s="15" t="s">
        <v>5</v>
      </c>
      <c r="C2858" s="10" t="s">
        <v>3402</v>
      </c>
      <c r="D2858" s="16" t="s">
        <v>8985</v>
      </c>
      <c r="E2858" s="15" t="s">
        <v>11199</v>
      </c>
      <c r="F2858" s="16" t="str">
        <f>VLOOKUP(Table8[[#This Row],[Mã khách hàng]],code_khach_hang[],2,0)</f>
        <v>CHI NHÁNH PHÚ THỌ - CÔNG TY CỔ PHẦN DỊCH VỤ THƯƠNG MẠI TỔNG HỢP WINCOMMERCE</v>
      </c>
      <c r="G2858" s="16" t="str">
        <f>VLOOKUP(Table8[[#This Row],[Mã khách hàng]],code_khach_hang[],3,0)</f>
        <v>Miền Bắc đặc biệt 1</v>
      </c>
      <c r="H2858" t="str">
        <f>VLOOKUP(Table8[[#This Row],[Mã khách hàng]],'Khách hàng'!A:D,4,0)</f>
        <v>Food Đức Việt</v>
      </c>
      <c r="I2858" t="str">
        <f>VLOOKUP(Table8[[#This Row],[Mã khách hàng]],'Khách hàng'!A:E,5,0)</f>
        <v>HN0040</v>
      </c>
    </row>
    <row r="2859" spans="1:9">
      <c r="A2859" s="14" t="s">
        <v>3327</v>
      </c>
      <c r="B2859" s="15" t="s">
        <v>5</v>
      </c>
      <c r="C2859" s="10" t="s">
        <v>3328</v>
      </c>
      <c r="D2859" s="16" t="s">
        <v>8988</v>
      </c>
      <c r="E2859" s="15" t="s">
        <v>11199</v>
      </c>
      <c r="F2859" s="16" t="str">
        <f>VLOOKUP(Table8[[#This Row],[Mã khách hàng]],code_khach_hang[],2,0)</f>
        <v>CHI NHÁNH PHÚ THỌ - CÔNG TY CỔ PHẦN DỊCH VỤ THƯƠNG MẠI TỔNG HỢP WINCOMMERCE</v>
      </c>
      <c r="G2859" s="16" t="str">
        <f>VLOOKUP(Table8[[#This Row],[Mã khách hàng]],code_khach_hang[],3,0)</f>
        <v>Miền Bắc đặc biệt 1</v>
      </c>
      <c r="H2859" t="str">
        <f>VLOOKUP(Table8[[#This Row],[Mã khách hàng]],'Khách hàng'!A:D,4,0)</f>
        <v>Food Đức Việt</v>
      </c>
      <c r="I2859" t="str">
        <f>VLOOKUP(Table8[[#This Row],[Mã khách hàng]],'Khách hàng'!A:E,5,0)</f>
        <v>HN0040</v>
      </c>
    </row>
    <row r="2860" spans="1:9">
      <c r="A2860" s="14" t="s">
        <v>3086</v>
      </c>
      <c r="B2860" s="15" t="s">
        <v>5</v>
      </c>
      <c r="C2860" s="10" t="s">
        <v>13182</v>
      </c>
      <c r="D2860" s="16" t="s">
        <v>8991</v>
      </c>
      <c r="E2860" s="15" t="s">
        <v>11215</v>
      </c>
      <c r="F2860" s="16" t="str">
        <f>VLOOKUP(Table8[[#This Row],[Mã khách hàng]],code_khach_hang[],2,0)</f>
        <v>CHI NHÁNH HÀ NỘI - CÔNG TY CỔ PHẦN DỊCH VỤ THƯƠNG MẠI TỔNG HỢP WINCOMMERCE</v>
      </c>
      <c r="G2860" s="16" t="str">
        <f>VLOOKUP(Table8[[#This Row],[Mã khách hàng]],code_khach_hang[],3,0)</f>
        <v>Miền Bắc đặc biệt 1</v>
      </c>
      <c r="H2860" t="str">
        <f>VLOOKUP(Table8[[#This Row],[Mã khách hàng]],'Khách hàng'!A:D,4,0)</f>
        <v>Food Đức Việt</v>
      </c>
      <c r="I2860" t="str">
        <f>VLOOKUP(Table8[[#This Row],[Mã khách hàng]],'Khách hàng'!A:E,5,0)</f>
        <v>HN0040</v>
      </c>
    </row>
    <row r="2861" spans="1:9">
      <c r="A2861" s="14" t="s">
        <v>3446</v>
      </c>
      <c r="B2861" s="15" t="s">
        <v>5</v>
      </c>
      <c r="C2861" s="10" t="s">
        <v>3447</v>
      </c>
      <c r="D2861" s="16" t="s">
        <v>8994</v>
      </c>
      <c r="E2861" s="15" t="s">
        <v>11215</v>
      </c>
      <c r="F2861" s="16" t="str">
        <f>VLOOKUP(Table8[[#This Row],[Mã khách hàng]],code_khach_hang[],2,0)</f>
        <v>CHI NHÁNH HÀ NỘI - CÔNG TY CỔ PHẦN DỊCH VỤ THƯƠNG MẠI TỔNG HỢP WINCOMMERCE</v>
      </c>
      <c r="G2861" s="16" t="str">
        <f>VLOOKUP(Table8[[#This Row],[Mã khách hàng]],code_khach_hang[],3,0)</f>
        <v>Miền Bắc đặc biệt 1</v>
      </c>
      <c r="H2861" t="str">
        <f>VLOOKUP(Table8[[#This Row],[Mã khách hàng]],'Khách hàng'!A:D,4,0)</f>
        <v>Food Đức Việt</v>
      </c>
      <c r="I2861" t="str">
        <f>VLOOKUP(Table8[[#This Row],[Mã khách hàng]],'Khách hàng'!A:E,5,0)</f>
        <v>HN0040</v>
      </c>
    </row>
    <row r="2862" spans="1:9">
      <c r="A2862" s="14" t="s">
        <v>3410</v>
      </c>
      <c r="B2862" s="15" t="s">
        <v>5</v>
      </c>
      <c r="C2862" s="10" t="s">
        <v>3411</v>
      </c>
      <c r="D2862" s="16" t="s">
        <v>8997</v>
      </c>
      <c r="E2862" s="15" t="s">
        <v>11203</v>
      </c>
      <c r="F2862" s="16" t="str">
        <f>VLOOKUP(Table8[[#This Row],[Mã khách hàng]],code_khach_hang[],2,0)</f>
        <v>CHI NHÁNH THANH HÓA - CÔNG TY CỔ PHẦN DỊCH VỤ THƯƠNG MẠI TỔNG HỢP WINCOMMERCE</v>
      </c>
      <c r="G2862" s="16" t="str">
        <f>VLOOKUP(Table8[[#This Row],[Mã khách hàng]],code_khach_hang[],3,0)</f>
        <v>Miền Trung đặc biệt 1</v>
      </c>
      <c r="H2862" t="str">
        <f>VLOOKUP(Table8[[#This Row],[Mã khách hàng]],'Khách hàng'!A:D,4,0)</f>
        <v>Food Đức Việt</v>
      </c>
      <c r="I2862" t="str">
        <f>VLOOKUP(Table8[[#This Row],[Mã khách hàng]],'Khách hàng'!A:E,5,0)</f>
        <v>HN0040</v>
      </c>
    </row>
    <row r="2863" spans="1:9">
      <c r="A2863" s="14" t="s">
        <v>3345</v>
      </c>
      <c r="B2863" s="15" t="s">
        <v>5</v>
      </c>
      <c r="C2863" s="10" t="s">
        <v>3346</v>
      </c>
      <c r="D2863" s="16" t="s">
        <v>9000</v>
      </c>
      <c r="E2863" s="15" t="s">
        <v>11211</v>
      </c>
      <c r="F2863" s="16" t="str">
        <f>VLOOKUP(Table8[[#This Row],[Mã khách hàng]],code_khach_hang[],2,0)</f>
        <v>CHI NHÁNH NGHỆ AN - CÔNG TY CỔ PHẦN DỊCH VỤ THƯƠNG MẠI TỔNG HỢP WINCOMMERCE</v>
      </c>
      <c r="G2863" s="16" t="str">
        <f>VLOOKUP(Table8[[#This Row],[Mã khách hàng]],code_khach_hang[],3,0)</f>
        <v>Miền Trung đặc biệt 1</v>
      </c>
      <c r="H2863" t="str">
        <f>VLOOKUP(Table8[[#This Row],[Mã khách hàng]],'Khách hàng'!A:D,4,0)</f>
        <v>Food Đức Việt</v>
      </c>
      <c r="I2863" t="str">
        <f>VLOOKUP(Table8[[#This Row],[Mã khách hàng]],'Khách hàng'!A:E,5,0)</f>
        <v>HN0040</v>
      </c>
    </row>
    <row r="2864" spans="1:9">
      <c r="A2864" s="14" t="s">
        <v>3461</v>
      </c>
      <c r="B2864" s="15" t="s">
        <v>5</v>
      </c>
      <c r="C2864" s="10" t="s">
        <v>3462</v>
      </c>
      <c r="D2864" s="16" t="s">
        <v>9003</v>
      </c>
      <c r="E2864" s="15" t="s">
        <v>11203</v>
      </c>
      <c r="F2864" s="16" t="str">
        <f>VLOOKUP(Table8[[#This Row],[Mã khách hàng]],code_khach_hang[],2,0)</f>
        <v>CHI NHÁNH THANH HÓA - CÔNG TY CỔ PHẦN DỊCH VỤ THƯƠNG MẠI TỔNG HỢP WINCOMMERCE</v>
      </c>
      <c r="G2864" s="16" t="str">
        <f>VLOOKUP(Table8[[#This Row],[Mã khách hàng]],code_khach_hang[],3,0)</f>
        <v>Miền Trung đặc biệt 1</v>
      </c>
      <c r="H2864" t="str">
        <f>VLOOKUP(Table8[[#This Row],[Mã khách hàng]],'Khách hàng'!A:D,4,0)</f>
        <v>Food Đức Việt</v>
      </c>
      <c r="I2864" t="str">
        <f>VLOOKUP(Table8[[#This Row],[Mã khách hàng]],'Khách hàng'!A:E,5,0)</f>
        <v>HN0040</v>
      </c>
    </row>
    <row r="2865" spans="1:9">
      <c r="A2865" s="14" t="s">
        <v>3097</v>
      </c>
      <c r="B2865" s="15" t="s">
        <v>5</v>
      </c>
      <c r="C2865" s="10" t="s">
        <v>3098</v>
      </c>
      <c r="D2865" s="16" t="s">
        <v>9006</v>
      </c>
      <c r="E2865" s="15" t="s">
        <v>11198</v>
      </c>
      <c r="F2865" s="16" t="str">
        <f>VLOOKUP(Table8[[#This Row],[Mã khách hàng]],code_khach_hang[],2,0)</f>
        <v>CHI NHÁNH HẢI PHÒNG - CÔNG TY CỔ PHẦN DỊCH VỤ THƯƠNG MẠI TỔNG HỢP WINCOMMERCE</v>
      </c>
      <c r="G2865" s="16" t="str">
        <f>VLOOKUP(Table8[[#This Row],[Mã khách hàng]],code_khach_hang[],3,0)</f>
        <v>Miền Bắc đặc biệt 3</v>
      </c>
      <c r="H2865" t="str">
        <f>VLOOKUP(Table8[[#This Row],[Mã khách hàng]],'Khách hàng'!A:D,4,0)</f>
        <v>Food Đức Việt</v>
      </c>
      <c r="I2865" t="str">
        <f>VLOOKUP(Table8[[#This Row],[Mã khách hàng]],'Khách hàng'!A:E,5,0)</f>
        <v>HN0040</v>
      </c>
    </row>
    <row r="2866" spans="1:9">
      <c r="A2866" s="14" t="s">
        <v>3399</v>
      </c>
      <c r="B2866" s="15" t="s">
        <v>5</v>
      </c>
      <c r="C2866" s="10" t="s">
        <v>13183</v>
      </c>
      <c r="D2866" s="16" t="s">
        <v>9009</v>
      </c>
      <c r="E2866" s="15" t="s">
        <v>11211</v>
      </c>
      <c r="F2866" s="16" t="str">
        <f>VLOOKUP(Table8[[#This Row],[Mã khách hàng]],code_khach_hang[],2,0)</f>
        <v>CHI NHÁNH NGHỆ AN - CÔNG TY CỔ PHẦN DỊCH VỤ THƯƠNG MẠI TỔNG HỢP WINCOMMERCE</v>
      </c>
      <c r="G2866" s="16" t="str">
        <f>VLOOKUP(Table8[[#This Row],[Mã khách hàng]],code_khach_hang[],3,0)</f>
        <v>Miền Trung đặc biệt 1</v>
      </c>
      <c r="H2866" t="str">
        <f>VLOOKUP(Table8[[#This Row],[Mã khách hàng]],'Khách hàng'!A:D,4,0)</f>
        <v>Food Đức Việt</v>
      </c>
      <c r="I2866" t="str">
        <f>VLOOKUP(Table8[[#This Row],[Mã khách hàng]],'Khách hàng'!A:E,5,0)</f>
        <v>HN0040</v>
      </c>
    </row>
    <row r="2867" spans="1:9">
      <c r="A2867" s="14" t="s">
        <v>4065</v>
      </c>
      <c r="B2867" s="15" t="s">
        <v>5</v>
      </c>
      <c r="C2867" s="10" t="s">
        <v>4066</v>
      </c>
      <c r="D2867" s="16" t="s">
        <v>9012</v>
      </c>
      <c r="E2867" s="15" t="s">
        <v>11198</v>
      </c>
      <c r="F2867" s="16" t="str">
        <f>VLOOKUP(Table8[[#This Row],[Mã khách hàng]],code_khach_hang[],2,0)</f>
        <v>CHI NHÁNH HẢI PHÒNG - CÔNG TY CỔ PHẦN DỊCH VỤ THƯƠNG MẠI TỔNG HỢP WINCOMMERCE</v>
      </c>
      <c r="G2867" s="16" t="str">
        <f>VLOOKUP(Table8[[#This Row],[Mã khách hàng]],code_khach_hang[],3,0)</f>
        <v>Miền Bắc đặc biệt 3</v>
      </c>
      <c r="H2867" t="str">
        <f>VLOOKUP(Table8[[#This Row],[Mã khách hàng]],'Khách hàng'!A:D,4,0)</f>
        <v>Food Đức Việt</v>
      </c>
      <c r="I2867" t="str">
        <f>VLOOKUP(Table8[[#This Row],[Mã khách hàng]],'Khách hàng'!A:E,5,0)</f>
        <v>HN0040</v>
      </c>
    </row>
    <row r="2868" spans="1:9">
      <c r="A2868" s="14" t="s">
        <v>3157</v>
      </c>
      <c r="B2868" s="15" t="s">
        <v>5</v>
      </c>
      <c r="C2868" s="10" t="s">
        <v>3158</v>
      </c>
      <c r="D2868" s="16" t="s">
        <v>9015</v>
      </c>
      <c r="E2868" s="15" t="s">
        <v>11205</v>
      </c>
      <c r="F2868" s="16" t="str">
        <f>VLOOKUP(Table8[[#This Row],[Mã khách hàng]],code_khach_hang[],2,0)</f>
        <v>CHI NHÁNH HÀ TĨNH - CÔNG TY CỔ PHẦN DỊCH VỤ THƯƠNG MẠI TỔNG HỢP WINCOMMERCE</v>
      </c>
      <c r="G2868" s="16" t="str">
        <f>VLOOKUP(Table8[[#This Row],[Mã khách hàng]],code_khach_hang[],3,0)</f>
        <v>Miền Trung đặc biệt 1</v>
      </c>
      <c r="H2868" t="str">
        <f>VLOOKUP(Table8[[#This Row],[Mã khách hàng]],'Khách hàng'!A:D,4,0)</f>
        <v>Food Đức Việt</v>
      </c>
      <c r="I2868" t="str">
        <f>VLOOKUP(Table8[[#This Row],[Mã khách hàng]],'Khách hàng'!A:E,5,0)</f>
        <v>HN0040</v>
      </c>
    </row>
    <row r="2869" spans="1:9">
      <c r="A2869" s="14" t="s">
        <v>3324</v>
      </c>
      <c r="B2869" s="15" t="s">
        <v>5</v>
      </c>
      <c r="C2869" s="10" t="s">
        <v>3325</v>
      </c>
      <c r="D2869" s="16" t="s">
        <v>9018</v>
      </c>
      <c r="E2869" s="15" t="s">
        <v>11216</v>
      </c>
      <c r="F2869" s="16" t="str">
        <f>VLOOKUP(Table8[[#This Row],[Mã khách hàng]],code_khach_hang[],2,0)</f>
        <v>CHI NHÁNH HƯNG YÊN - CÔNG TY CỔ PHẦN DỊCH VỤ THƯƠNG MẠI TỔNG HỢP WINCOMMERCE</v>
      </c>
      <c r="G2869" s="16" t="str">
        <f>VLOOKUP(Table8[[#This Row],[Mã khách hàng]],code_khach_hang[],3,0)</f>
        <v>Miền Bắc đặc biệt 1</v>
      </c>
      <c r="H2869" t="str">
        <f>VLOOKUP(Table8[[#This Row],[Mã khách hàng]],'Khách hàng'!A:D,4,0)</f>
        <v>Food Đức Việt</v>
      </c>
      <c r="I2869" t="str">
        <f>VLOOKUP(Table8[[#This Row],[Mã khách hàng]],'Khách hàng'!A:E,5,0)</f>
        <v>HN0040</v>
      </c>
    </row>
    <row r="2870" spans="1:9">
      <c r="A2870" s="14" t="s">
        <v>3996</v>
      </c>
      <c r="B2870" s="15" t="s">
        <v>5</v>
      </c>
      <c r="C2870" s="10" t="s">
        <v>3997</v>
      </c>
      <c r="D2870" s="16" t="s">
        <v>9021</v>
      </c>
      <c r="E2870" s="15" t="s">
        <v>11198</v>
      </c>
      <c r="F2870" s="16" t="str">
        <f>VLOOKUP(Table8[[#This Row],[Mã khách hàng]],code_khach_hang[],2,0)</f>
        <v>CHI NHÁNH HẢI PHÒNG - CÔNG TY CỔ PHẦN DỊCH VỤ THƯƠNG MẠI TỔNG HỢP WINCOMMERCE</v>
      </c>
      <c r="G2870" s="16" t="str">
        <f>VLOOKUP(Table8[[#This Row],[Mã khách hàng]],code_khach_hang[],3,0)</f>
        <v>Miền Bắc đặc biệt 3</v>
      </c>
      <c r="H2870" t="str">
        <f>VLOOKUP(Table8[[#This Row],[Mã khách hàng]],'Khách hàng'!A:D,4,0)</f>
        <v>Food Đức Việt</v>
      </c>
      <c r="I2870" t="str">
        <f>VLOOKUP(Table8[[#This Row],[Mã khách hàng]],'Khách hàng'!A:E,5,0)</f>
        <v>HN0040</v>
      </c>
    </row>
    <row r="2871" spans="1:9">
      <c r="A2871" s="14" t="s">
        <v>3381</v>
      </c>
      <c r="B2871" s="15" t="s">
        <v>5</v>
      </c>
      <c r="C2871" s="10" t="s">
        <v>3382</v>
      </c>
      <c r="D2871" s="16" t="s">
        <v>9024</v>
      </c>
      <c r="E2871" s="15" t="s">
        <v>11199</v>
      </c>
      <c r="F2871" s="16" t="str">
        <f>VLOOKUP(Table8[[#This Row],[Mã khách hàng]],code_khach_hang[],2,0)</f>
        <v>CHI NHÁNH PHÚ THỌ - CÔNG TY CỔ PHẦN DỊCH VỤ THƯƠNG MẠI TỔNG HỢP WINCOMMERCE</v>
      </c>
      <c r="G2871" s="16" t="str">
        <f>VLOOKUP(Table8[[#This Row],[Mã khách hàng]],code_khach_hang[],3,0)</f>
        <v>Miền Bắc đặc biệt 1</v>
      </c>
      <c r="H2871" t="str">
        <f>VLOOKUP(Table8[[#This Row],[Mã khách hàng]],'Khách hàng'!A:D,4,0)</f>
        <v>Food Đức Việt</v>
      </c>
      <c r="I2871" t="str">
        <f>VLOOKUP(Table8[[#This Row],[Mã khách hàng]],'Khách hàng'!A:E,5,0)</f>
        <v>HN0040</v>
      </c>
    </row>
    <row r="2872" spans="1:9">
      <c r="A2872" s="14" t="s">
        <v>3348</v>
      </c>
      <c r="B2872" s="15" t="s">
        <v>5</v>
      </c>
      <c r="C2872" s="10" t="s">
        <v>3349</v>
      </c>
      <c r="D2872" s="16" t="s">
        <v>9027</v>
      </c>
      <c r="E2872" s="15" t="s">
        <v>11211</v>
      </c>
      <c r="F2872" s="16" t="str">
        <f>VLOOKUP(Table8[[#This Row],[Mã khách hàng]],code_khach_hang[],2,0)</f>
        <v>CHI NHÁNH NGHỆ AN - CÔNG TY CỔ PHẦN DỊCH VỤ THƯƠNG MẠI TỔNG HỢP WINCOMMERCE</v>
      </c>
      <c r="G2872" s="16" t="str">
        <f>VLOOKUP(Table8[[#This Row],[Mã khách hàng]],code_khach_hang[],3,0)</f>
        <v>Miền Trung đặc biệt 1</v>
      </c>
      <c r="H2872" t="str">
        <f>VLOOKUP(Table8[[#This Row],[Mã khách hàng]],'Khách hàng'!A:D,4,0)</f>
        <v>Food Đức Việt</v>
      </c>
      <c r="I2872" t="str">
        <f>VLOOKUP(Table8[[#This Row],[Mã khách hàng]],'Khách hàng'!A:E,5,0)</f>
        <v>HN0040</v>
      </c>
    </row>
    <row r="2873" spans="1:9">
      <c r="A2873" s="14" t="s">
        <v>3387</v>
      </c>
      <c r="B2873" s="15" t="s">
        <v>5</v>
      </c>
      <c r="C2873" s="10" t="s">
        <v>3388</v>
      </c>
      <c r="D2873" s="16" t="s">
        <v>9030</v>
      </c>
      <c r="E2873" s="15" t="s">
        <v>11196</v>
      </c>
      <c r="F2873" s="16" t="str">
        <f>VLOOKUP(Table8[[#This Row],[Mã khách hàng]],code_khach_hang[],2,0)</f>
        <v>CHI NHÁNH NINH BÌNH - CÔNG TY CỔ PHẦN DỊCH VỤ THƯƠNG MẠI TỔNG HỢP WINCOMMERCE</v>
      </c>
      <c r="G2873" s="16" t="str">
        <f>VLOOKUP(Table8[[#This Row],[Mã khách hàng]],code_khach_hang[],3,0)</f>
        <v>Miền Bắc đặc biệt 3</v>
      </c>
      <c r="H2873" t="str">
        <f>VLOOKUP(Table8[[#This Row],[Mã khách hàng]],'Khách hàng'!A:D,4,0)</f>
        <v>Food Đức Việt</v>
      </c>
      <c r="I2873" t="str">
        <f>VLOOKUP(Table8[[#This Row],[Mã khách hàng]],'Khách hàng'!A:E,5,0)</f>
        <v>HN0040</v>
      </c>
    </row>
    <row r="2874" spans="1:9">
      <c r="A2874" s="14" t="s">
        <v>3537</v>
      </c>
      <c r="B2874" s="15" t="s">
        <v>5</v>
      </c>
      <c r="C2874" s="10" t="s">
        <v>3538</v>
      </c>
      <c r="D2874" s="16" t="s">
        <v>9033</v>
      </c>
      <c r="E2874" s="15" t="s">
        <v>11216</v>
      </c>
      <c r="F2874" s="16" t="str">
        <f>VLOOKUP(Table8[[#This Row],[Mã khách hàng]],code_khach_hang[],2,0)</f>
        <v>CHI NHÁNH HƯNG YÊN - CÔNG TY CỔ PHẦN DỊCH VỤ THƯƠNG MẠI TỔNG HỢP WINCOMMERCE</v>
      </c>
      <c r="G2874" s="16" t="str">
        <f>VLOOKUP(Table8[[#This Row],[Mã khách hàng]],code_khach_hang[],3,0)</f>
        <v>Miền Bắc đặc biệt 1</v>
      </c>
      <c r="H2874" t="str">
        <f>VLOOKUP(Table8[[#This Row],[Mã khách hàng]],'Khách hàng'!A:D,4,0)</f>
        <v>Food Đức Việt</v>
      </c>
      <c r="I2874" t="str">
        <f>VLOOKUP(Table8[[#This Row],[Mã khách hàng]],'Khách hàng'!A:E,5,0)</f>
        <v>HN0040</v>
      </c>
    </row>
    <row r="2875" spans="1:9">
      <c r="A2875" s="14" t="s">
        <v>3540</v>
      </c>
      <c r="B2875" s="15" t="s">
        <v>5</v>
      </c>
      <c r="C2875" s="10" t="s">
        <v>3541</v>
      </c>
      <c r="D2875" s="16" t="s">
        <v>9036</v>
      </c>
      <c r="E2875" s="15" t="s">
        <v>11203</v>
      </c>
      <c r="F2875" s="16" t="str">
        <f>VLOOKUP(Table8[[#This Row],[Mã khách hàng]],code_khach_hang[],2,0)</f>
        <v>CHI NHÁNH THANH HÓA - CÔNG TY CỔ PHẦN DỊCH VỤ THƯƠNG MẠI TỔNG HỢP WINCOMMERCE</v>
      </c>
      <c r="G2875" s="16" t="str">
        <f>VLOOKUP(Table8[[#This Row],[Mã khách hàng]],code_khach_hang[],3,0)</f>
        <v>Miền Trung đặc biệt 1</v>
      </c>
      <c r="H2875" t="str">
        <f>VLOOKUP(Table8[[#This Row],[Mã khách hàng]],'Khách hàng'!A:D,4,0)</f>
        <v>Food Đức Việt</v>
      </c>
      <c r="I2875" t="str">
        <f>VLOOKUP(Table8[[#This Row],[Mã khách hàng]],'Khách hàng'!A:E,5,0)</f>
        <v>HN0040</v>
      </c>
    </row>
    <row r="2876" spans="1:9">
      <c r="A2876" s="14" t="s">
        <v>4035</v>
      </c>
      <c r="B2876" s="15" t="s">
        <v>5</v>
      </c>
      <c r="C2876" s="10" t="s">
        <v>4036</v>
      </c>
      <c r="D2876" s="16" t="s">
        <v>9039</v>
      </c>
      <c r="E2876" s="15" t="s">
        <v>11203</v>
      </c>
      <c r="F2876" s="16" t="str">
        <f>VLOOKUP(Table8[[#This Row],[Mã khách hàng]],code_khach_hang[],2,0)</f>
        <v>CHI NHÁNH THANH HÓA - CÔNG TY CỔ PHẦN DỊCH VỤ THƯƠNG MẠI TỔNG HỢP WINCOMMERCE</v>
      </c>
      <c r="G2876" s="16" t="str">
        <f>VLOOKUP(Table8[[#This Row],[Mã khách hàng]],code_khach_hang[],3,0)</f>
        <v>Miền Trung đặc biệt 1</v>
      </c>
      <c r="H2876" t="str">
        <f>VLOOKUP(Table8[[#This Row],[Mã khách hàng]],'Khách hàng'!A:D,4,0)</f>
        <v>Food Đức Việt</v>
      </c>
      <c r="I2876" t="str">
        <f>VLOOKUP(Table8[[#This Row],[Mã khách hàng]],'Khách hàng'!A:E,5,0)</f>
        <v>HN0040</v>
      </c>
    </row>
    <row r="2877" spans="1:9">
      <c r="A2877" s="14" t="s">
        <v>3458</v>
      </c>
      <c r="B2877" s="15" t="s">
        <v>5</v>
      </c>
      <c r="C2877" s="10" t="s">
        <v>3459</v>
      </c>
      <c r="D2877" s="16" t="s">
        <v>9042</v>
      </c>
      <c r="E2877" s="15" t="s">
        <v>11203</v>
      </c>
      <c r="F2877" s="16" t="str">
        <f>VLOOKUP(Table8[[#This Row],[Mã khách hàng]],code_khach_hang[],2,0)</f>
        <v>CHI NHÁNH THANH HÓA - CÔNG TY CỔ PHẦN DỊCH VỤ THƯƠNG MẠI TỔNG HỢP WINCOMMERCE</v>
      </c>
      <c r="G2877" s="16" t="str">
        <f>VLOOKUP(Table8[[#This Row],[Mã khách hàng]],code_khach_hang[],3,0)</f>
        <v>Miền Trung đặc biệt 1</v>
      </c>
      <c r="H2877" t="str">
        <f>VLOOKUP(Table8[[#This Row],[Mã khách hàng]],'Khách hàng'!A:D,4,0)</f>
        <v>Food Đức Việt</v>
      </c>
      <c r="I2877" t="str">
        <f>VLOOKUP(Table8[[#This Row],[Mã khách hàng]],'Khách hàng'!A:E,5,0)</f>
        <v>HN0040</v>
      </c>
    </row>
    <row r="2878" spans="1:9">
      <c r="A2878" s="14" t="s">
        <v>3366</v>
      </c>
      <c r="B2878" s="15" t="s">
        <v>5</v>
      </c>
      <c r="C2878" s="10" t="s">
        <v>3367</v>
      </c>
      <c r="D2878" s="16" t="s">
        <v>9045</v>
      </c>
      <c r="E2878" s="15" t="s">
        <v>11215</v>
      </c>
      <c r="F2878" s="16" t="str">
        <f>VLOOKUP(Table8[[#This Row],[Mã khách hàng]],code_khach_hang[],2,0)</f>
        <v>CHI NHÁNH HÀ NỘI - CÔNG TY CỔ PHẦN DỊCH VỤ THƯƠNG MẠI TỔNG HỢP WINCOMMERCE</v>
      </c>
      <c r="G2878" s="16" t="str">
        <f>VLOOKUP(Table8[[#This Row],[Mã khách hàng]],code_khach_hang[],3,0)</f>
        <v>Miền Bắc đặc biệt 1</v>
      </c>
      <c r="H2878" t="str">
        <f>VLOOKUP(Table8[[#This Row],[Mã khách hàng]],'Khách hàng'!A:D,4,0)</f>
        <v>Food Đức Việt</v>
      </c>
      <c r="I2878" t="str">
        <f>VLOOKUP(Table8[[#This Row],[Mã khách hàng]],'Khách hàng'!A:E,5,0)</f>
        <v>HN0040</v>
      </c>
    </row>
    <row r="2879" spans="1:9">
      <c r="A2879" s="14" t="s">
        <v>3372</v>
      </c>
      <c r="B2879" s="15" t="s">
        <v>5</v>
      </c>
      <c r="C2879" s="10" t="s">
        <v>3373</v>
      </c>
      <c r="D2879" s="16" t="s">
        <v>9048</v>
      </c>
      <c r="E2879" s="15" t="s">
        <v>11215</v>
      </c>
      <c r="F2879" s="16" t="str">
        <f>VLOOKUP(Table8[[#This Row],[Mã khách hàng]],code_khach_hang[],2,0)</f>
        <v>CHI NHÁNH HÀ NỘI - CÔNG TY CỔ PHẦN DỊCH VỤ THƯƠNG MẠI TỔNG HỢP WINCOMMERCE</v>
      </c>
      <c r="G2879" s="16" t="str">
        <f>VLOOKUP(Table8[[#This Row],[Mã khách hàng]],code_khach_hang[],3,0)</f>
        <v>Miền Bắc đặc biệt 1</v>
      </c>
      <c r="H2879" t="str">
        <f>VLOOKUP(Table8[[#This Row],[Mã khách hàng]],'Khách hàng'!A:D,4,0)</f>
        <v>Food Đức Việt</v>
      </c>
      <c r="I2879" t="str">
        <f>VLOOKUP(Table8[[#This Row],[Mã khách hàng]],'Khách hàng'!A:E,5,0)</f>
        <v>HN0040</v>
      </c>
    </row>
    <row r="2880" spans="1:9">
      <c r="A2880" s="14" t="s">
        <v>3449</v>
      </c>
      <c r="B2880" s="15" t="s">
        <v>5</v>
      </c>
      <c r="C2880" s="10" t="s">
        <v>3450</v>
      </c>
      <c r="D2880" s="16" t="s">
        <v>9051</v>
      </c>
      <c r="E2880" s="15" t="s">
        <v>11198</v>
      </c>
      <c r="F2880" s="16" t="str">
        <f>VLOOKUP(Table8[[#This Row],[Mã khách hàng]],code_khach_hang[],2,0)</f>
        <v>CHI NHÁNH HẢI PHÒNG - CÔNG TY CỔ PHẦN DỊCH VỤ THƯƠNG MẠI TỔNG HỢP WINCOMMERCE</v>
      </c>
      <c r="G2880" s="16" t="str">
        <f>VLOOKUP(Table8[[#This Row],[Mã khách hàng]],code_khach_hang[],3,0)</f>
        <v>Miền Bắc đặc biệt 3</v>
      </c>
      <c r="H2880" t="str">
        <f>VLOOKUP(Table8[[#This Row],[Mã khách hàng]],'Khách hàng'!A:D,4,0)</f>
        <v>Food Đức Việt</v>
      </c>
      <c r="I2880" t="str">
        <f>VLOOKUP(Table8[[#This Row],[Mã khách hàng]],'Khách hàng'!A:E,5,0)</f>
        <v>HN0040</v>
      </c>
    </row>
    <row r="2881" spans="1:9">
      <c r="A2881" s="14" t="s">
        <v>3630</v>
      </c>
      <c r="B2881" s="15" t="s">
        <v>5</v>
      </c>
      <c r="C2881" s="10" t="s">
        <v>3631</v>
      </c>
      <c r="D2881" s="16" t="s">
        <v>9054</v>
      </c>
      <c r="E2881" s="15" t="s">
        <v>11211</v>
      </c>
      <c r="F2881" s="16" t="str">
        <f>VLOOKUP(Table8[[#This Row],[Mã khách hàng]],code_khach_hang[],2,0)</f>
        <v>CHI NHÁNH NGHỆ AN - CÔNG TY CỔ PHẦN DỊCH VỤ THƯƠNG MẠI TỔNG HỢP WINCOMMERCE</v>
      </c>
      <c r="G2881" s="16" t="str">
        <f>VLOOKUP(Table8[[#This Row],[Mã khách hàng]],code_khach_hang[],3,0)</f>
        <v>Miền Trung đặc biệt 1</v>
      </c>
      <c r="H2881" t="str">
        <f>VLOOKUP(Table8[[#This Row],[Mã khách hàng]],'Khách hàng'!A:D,4,0)</f>
        <v>Food Đức Việt</v>
      </c>
      <c r="I2881" t="str">
        <f>VLOOKUP(Table8[[#This Row],[Mã khách hàng]],'Khách hàng'!A:E,5,0)</f>
        <v>HN0040</v>
      </c>
    </row>
    <row r="2882" spans="1:9">
      <c r="A2882" s="14" t="s">
        <v>3566</v>
      </c>
      <c r="B2882" s="15" t="s">
        <v>5</v>
      </c>
      <c r="C2882" s="10" t="s">
        <v>13184</v>
      </c>
      <c r="D2882" s="16" t="s">
        <v>9057</v>
      </c>
      <c r="E2882" s="15" t="s">
        <v>11198</v>
      </c>
      <c r="F2882" s="16" t="str">
        <f>VLOOKUP(Table8[[#This Row],[Mã khách hàng]],code_khach_hang[],2,0)</f>
        <v>CHI NHÁNH HẢI PHÒNG - CÔNG TY CỔ PHẦN DỊCH VỤ THƯƠNG MẠI TỔNG HỢP WINCOMMERCE</v>
      </c>
      <c r="G2882" s="16" t="str">
        <f>VLOOKUP(Table8[[#This Row],[Mã khách hàng]],code_khach_hang[],3,0)</f>
        <v>Miền Bắc đặc biệt 3</v>
      </c>
      <c r="H2882" t="str">
        <f>VLOOKUP(Table8[[#This Row],[Mã khách hàng]],'Khách hàng'!A:D,4,0)</f>
        <v>Food Đức Việt</v>
      </c>
      <c r="I2882" t="str">
        <f>VLOOKUP(Table8[[#This Row],[Mã khách hàng]],'Khách hàng'!A:E,5,0)</f>
        <v>HN0040</v>
      </c>
    </row>
    <row r="2883" spans="1:9">
      <c r="A2883" s="14" t="s">
        <v>3649</v>
      </c>
      <c r="B2883" s="15" t="s">
        <v>5</v>
      </c>
      <c r="C2883" s="10" t="s">
        <v>3650</v>
      </c>
      <c r="D2883" s="16" t="s">
        <v>9060</v>
      </c>
      <c r="E2883" s="15" t="s">
        <v>11198</v>
      </c>
      <c r="F2883" s="16" t="str">
        <f>VLOOKUP(Table8[[#This Row],[Mã khách hàng]],code_khach_hang[],2,0)</f>
        <v>CHI NHÁNH HẢI PHÒNG - CÔNG TY CỔ PHẦN DỊCH VỤ THƯƠNG MẠI TỔNG HỢP WINCOMMERCE</v>
      </c>
      <c r="G2883" s="16" t="str">
        <f>VLOOKUP(Table8[[#This Row],[Mã khách hàng]],code_khach_hang[],3,0)</f>
        <v>Miền Bắc đặc biệt 3</v>
      </c>
      <c r="H2883" t="str">
        <f>VLOOKUP(Table8[[#This Row],[Mã khách hàng]],'Khách hàng'!A:D,4,0)</f>
        <v>Food Đức Việt</v>
      </c>
      <c r="I2883" t="str">
        <f>VLOOKUP(Table8[[#This Row],[Mã khách hàng]],'Khách hàng'!A:E,5,0)</f>
        <v>HN0040</v>
      </c>
    </row>
    <row r="2884" spans="1:9">
      <c r="A2884" s="14" t="s">
        <v>3895</v>
      </c>
      <c r="B2884" s="15" t="s">
        <v>5</v>
      </c>
      <c r="C2884" s="10" t="s">
        <v>3896</v>
      </c>
      <c r="D2884" s="16" t="s">
        <v>9063</v>
      </c>
      <c r="E2884" s="15" t="s">
        <v>11211</v>
      </c>
      <c r="F2884" s="16" t="str">
        <f>VLOOKUP(Table8[[#This Row],[Mã khách hàng]],code_khach_hang[],2,0)</f>
        <v>CHI NHÁNH NGHỆ AN - CÔNG TY CỔ PHẦN DỊCH VỤ THƯƠNG MẠI TỔNG HỢP WINCOMMERCE</v>
      </c>
      <c r="G2884" s="16" t="str">
        <f>VLOOKUP(Table8[[#This Row],[Mã khách hàng]],code_khach_hang[],3,0)</f>
        <v>Miền Trung đặc biệt 1</v>
      </c>
      <c r="H2884" t="str">
        <f>VLOOKUP(Table8[[#This Row],[Mã khách hàng]],'Khách hàng'!A:D,4,0)</f>
        <v>Food Đức Việt</v>
      </c>
      <c r="I2884" t="str">
        <f>VLOOKUP(Table8[[#This Row],[Mã khách hàng]],'Khách hàng'!A:E,5,0)</f>
        <v>HN0040</v>
      </c>
    </row>
    <row r="2885" spans="1:9">
      <c r="A2885" s="14" t="s">
        <v>3396</v>
      </c>
      <c r="B2885" s="15" t="s">
        <v>5</v>
      </c>
      <c r="C2885" s="10" t="s">
        <v>3397</v>
      </c>
      <c r="D2885" s="16" t="s">
        <v>9066</v>
      </c>
      <c r="E2885" s="15" t="s">
        <v>11211</v>
      </c>
      <c r="F2885" s="16" t="str">
        <f>VLOOKUP(Table8[[#This Row],[Mã khách hàng]],code_khach_hang[],2,0)</f>
        <v>CHI NHÁNH NGHỆ AN - CÔNG TY CỔ PHẦN DỊCH VỤ THƯƠNG MẠI TỔNG HỢP WINCOMMERCE</v>
      </c>
      <c r="G2885" s="16" t="str">
        <f>VLOOKUP(Table8[[#This Row],[Mã khách hàng]],code_khach_hang[],3,0)</f>
        <v>Miền Trung đặc biệt 1</v>
      </c>
      <c r="H2885" t="str">
        <f>VLOOKUP(Table8[[#This Row],[Mã khách hàng]],'Khách hàng'!A:D,4,0)</f>
        <v>Food Đức Việt</v>
      </c>
      <c r="I2885" t="str">
        <f>VLOOKUP(Table8[[#This Row],[Mã khách hàng]],'Khách hàng'!A:E,5,0)</f>
        <v>HN0040</v>
      </c>
    </row>
    <row r="2886" spans="1:9">
      <c r="A2886" s="14" t="s">
        <v>3641</v>
      </c>
      <c r="B2886" s="15" t="s">
        <v>5</v>
      </c>
      <c r="C2886" s="10" t="s">
        <v>3642</v>
      </c>
      <c r="D2886" s="16" t="s">
        <v>9069</v>
      </c>
      <c r="E2886" s="15" t="s">
        <v>11193</v>
      </c>
      <c r="F2886" s="16" t="str">
        <f>VLOOKUP(Table8[[#This Row],[Mã khách hàng]],code_khach_hang[],2,0)</f>
        <v>CHI NHÁNH BẮC NINH - CÔNG TY CỔ PHẦN DỊCH VỤ THƯƠNG MẠI TỔNG HỢP WINCOMMERCE</v>
      </c>
      <c r="G2886" s="16" t="str">
        <f>VLOOKUP(Table8[[#This Row],[Mã khách hàng]],code_khach_hang[],3,0)</f>
        <v>Miền Bắc đặc biệt 2</v>
      </c>
      <c r="H2886" t="str">
        <f>VLOOKUP(Table8[[#This Row],[Mã khách hàng]],'Khách hàng'!A:D,4,0)</f>
        <v>Food Đức Việt</v>
      </c>
      <c r="I2886" t="str">
        <f>VLOOKUP(Table8[[#This Row],[Mã khách hàng]],'Khách hàng'!A:E,5,0)</f>
        <v>HN0040</v>
      </c>
    </row>
    <row r="2887" spans="1:9">
      <c r="A2887" s="14" t="s">
        <v>3199</v>
      </c>
      <c r="B2887" s="15" t="s">
        <v>5</v>
      </c>
      <c r="C2887" s="10" t="s">
        <v>3200</v>
      </c>
      <c r="D2887" s="16" t="s">
        <v>9072</v>
      </c>
      <c r="E2887" s="15" t="s">
        <v>11203</v>
      </c>
      <c r="F2887" s="16" t="str">
        <f>VLOOKUP(Table8[[#This Row],[Mã khách hàng]],code_khach_hang[],2,0)</f>
        <v>CHI NHÁNH THANH HÓA - CÔNG TY CỔ PHẦN DỊCH VỤ THƯƠNG MẠI TỔNG HỢP WINCOMMERCE</v>
      </c>
      <c r="G2887" s="16" t="str">
        <f>VLOOKUP(Table8[[#This Row],[Mã khách hàng]],code_khach_hang[],3,0)</f>
        <v>Miền Trung đặc biệt 1</v>
      </c>
      <c r="H2887" t="str">
        <f>VLOOKUP(Table8[[#This Row],[Mã khách hàng]],'Khách hàng'!A:D,4,0)</f>
        <v>Food Đức Việt</v>
      </c>
      <c r="I2887" t="str">
        <f>VLOOKUP(Table8[[#This Row],[Mã khách hàng]],'Khách hàng'!A:E,5,0)</f>
        <v>HN0040</v>
      </c>
    </row>
    <row r="2888" spans="1:9">
      <c r="A2888" s="14" t="s">
        <v>3244</v>
      </c>
      <c r="B2888" s="15" t="s">
        <v>5</v>
      </c>
      <c r="C2888" s="10" t="s">
        <v>13185</v>
      </c>
      <c r="D2888" s="16" t="s">
        <v>9075</v>
      </c>
      <c r="E2888" s="15" t="s">
        <v>11198</v>
      </c>
      <c r="F2888" s="16" t="str">
        <f>VLOOKUP(Table8[[#This Row],[Mã khách hàng]],code_khach_hang[],2,0)</f>
        <v>CHI NHÁNH HẢI PHÒNG - CÔNG TY CỔ PHẦN DỊCH VỤ THƯƠNG MẠI TỔNG HỢP WINCOMMERCE</v>
      </c>
      <c r="G2888" s="16" t="str">
        <f>VLOOKUP(Table8[[#This Row],[Mã khách hàng]],code_khach_hang[],3,0)</f>
        <v>Miền Bắc đặc biệt 3</v>
      </c>
      <c r="H2888" t="str">
        <f>VLOOKUP(Table8[[#This Row],[Mã khách hàng]],'Khách hàng'!A:D,4,0)</f>
        <v>Food Đức Việt</v>
      </c>
      <c r="I2888" t="str">
        <f>VLOOKUP(Table8[[#This Row],[Mã khách hàng]],'Khách hàng'!A:E,5,0)</f>
        <v>HN0040</v>
      </c>
    </row>
    <row r="2889" spans="1:9">
      <c r="A2889" s="14" t="s">
        <v>3531</v>
      </c>
      <c r="B2889" s="15" t="s">
        <v>5</v>
      </c>
      <c r="C2889" s="10" t="s">
        <v>3532</v>
      </c>
      <c r="D2889" s="16" t="s">
        <v>9078</v>
      </c>
      <c r="E2889" s="15" t="s">
        <v>11215</v>
      </c>
      <c r="F2889" s="16" t="str">
        <f>VLOOKUP(Table8[[#This Row],[Mã khách hàng]],code_khach_hang[],2,0)</f>
        <v>CHI NHÁNH HÀ NỘI - CÔNG TY CỔ PHẦN DỊCH VỤ THƯƠNG MẠI TỔNG HỢP WINCOMMERCE</v>
      </c>
      <c r="G2889" s="16" t="str">
        <f>VLOOKUP(Table8[[#This Row],[Mã khách hàng]],code_khach_hang[],3,0)</f>
        <v>Miền Bắc đặc biệt 1</v>
      </c>
      <c r="H2889" t="str">
        <f>VLOOKUP(Table8[[#This Row],[Mã khách hàng]],'Khách hàng'!A:D,4,0)</f>
        <v>Food Đức Việt</v>
      </c>
      <c r="I2889" t="str">
        <f>VLOOKUP(Table8[[#This Row],[Mã khách hàng]],'Khách hàng'!A:E,5,0)</f>
        <v>HN0040</v>
      </c>
    </row>
    <row r="2890" spans="1:9">
      <c r="A2890" s="14" t="s">
        <v>3483</v>
      </c>
      <c r="B2890" s="15" t="s">
        <v>5</v>
      </c>
      <c r="C2890" s="10" t="s">
        <v>13186</v>
      </c>
      <c r="D2890" s="16" t="s">
        <v>9081</v>
      </c>
      <c r="E2890" s="15" t="s">
        <v>11215</v>
      </c>
      <c r="F2890" s="16" t="str">
        <f>VLOOKUP(Table8[[#This Row],[Mã khách hàng]],code_khach_hang[],2,0)</f>
        <v>CHI NHÁNH HÀ NỘI - CÔNG TY CỔ PHẦN DỊCH VỤ THƯƠNG MẠI TỔNG HỢP WINCOMMERCE</v>
      </c>
      <c r="G2890" s="16" t="str">
        <f>VLOOKUP(Table8[[#This Row],[Mã khách hàng]],code_khach_hang[],3,0)</f>
        <v>Miền Bắc đặc biệt 1</v>
      </c>
      <c r="H2890" t="str">
        <f>VLOOKUP(Table8[[#This Row],[Mã khách hàng]],'Khách hàng'!A:D,4,0)</f>
        <v>Food Đức Việt</v>
      </c>
      <c r="I2890" t="str">
        <f>VLOOKUP(Table8[[#This Row],[Mã khách hàng]],'Khách hàng'!A:E,5,0)</f>
        <v>HN0040</v>
      </c>
    </row>
    <row r="2891" spans="1:9">
      <c r="A2891" s="14" t="s">
        <v>3580</v>
      </c>
      <c r="B2891" s="15" t="s">
        <v>5</v>
      </c>
      <c r="C2891" s="10" t="s">
        <v>3581</v>
      </c>
      <c r="D2891" s="16" t="s">
        <v>9084</v>
      </c>
      <c r="E2891" s="15" t="s">
        <v>11215</v>
      </c>
      <c r="F2891" s="16" t="str">
        <f>VLOOKUP(Table8[[#This Row],[Mã khách hàng]],code_khach_hang[],2,0)</f>
        <v>CHI NHÁNH HÀ NỘI - CÔNG TY CỔ PHẦN DỊCH VỤ THƯƠNG MẠI TỔNG HỢP WINCOMMERCE</v>
      </c>
      <c r="G2891" s="16" t="str">
        <f>VLOOKUP(Table8[[#This Row],[Mã khách hàng]],code_khach_hang[],3,0)</f>
        <v>Miền Bắc đặc biệt 1</v>
      </c>
      <c r="H2891" t="str">
        <f>VLOOKUP(Table8[[#This Row],[Mã khách hàng]],'Khách hàng'!A:D,4,0)</f>
        <v>Food Đức Việt</v>
      </c>
      <c r="I2891" t="str">
        <f>VLOOKUP(Table8[[#This Row],[Mã khách hàng]],'Khách hàng'!A:E,5,0)</f>
        <v>HN0040</v>
      </c>
    </row>
    <row r="2892" spans="1:9">
      <c r="A2892" s="14" t="s">
        <v>3378</v>
      </c>
      <c r="B2892" s="15" t="s">
        <v>5</v>
      </c>
      <c r="C2892" s="10" t="s">
        <v>3379</v>
      </c>
      <c r="D2892" s="16" t="s">
        <v>9087</v>
      </c>
      <c r="E2892" s="15" t="s">
        <v>11205</v>
      </c>
      <c r="F2892" s="16" t="str">
        <f>VLOOKUP(Table8[[#This Row],[Mã khách hàng]],code_khach_hang[],2,0)</f>
        <v>CHI NHÁNH HÀ TĨNH - CÔNG TY CỔ PHẦN DỊCH VỤ THƯƠNG MẠI TỔNG HỢP WINCOMMERCE</v>
      </c>
      <c r="G2892" s="16" t="str">
        <f>VLOOKUP(Table8[[#This Row],[Mã khách hàng]],code_khach_hang[],3,0)</f>
        <v>Miền Trung đặc biệt 1</v>
      </c>
      <c r="H2892" t="str">
        <f>VLOOKUP(Table8[[#This Row],[Mã khách hàng]],'Khách hàng'!A:D,4,0)</f>
        <v>Food Đức Việt</v>
      </c>
      <c r="I2892" t="str">
        <f>VLOOKUP(Table8[[#This Row],[Mã khách hàng]],'Khách hàng'!A:E,5,0)</f>
        <v>HN0040</v>
      </c>
    </row>
    <row r="2893" spans="1:9">
      <c r="A2893" s="14" t="s">
        <v>3404</v>
      </c>
      <c r="B2893" s="15" t="s">
        <v>5</v>
      </c>
      <c r="C2893" s="10" t="s">
        <v>3405</v>
      </c>
      <c r="D2893" s="16" t="s">
        <v>9090</v>
      </c>
      <c r="E2893" s="15" t="s">
        <v>11198</v>
      </c>
      <c r="F2893" s="16" t="str">
        <f>VLOOKUP(Table8[[#This Row],[Mã khách hàng]],code_khach_hang[],2,0)</f>
        <v>CHI NHÁNH HẢI PHÒNG - CÔNG TY CỔ PHẦN DỊCH VỤ THƯƠNG MẠI TỔNG HỢP WINCOMMERCE</v>
      </c>
      <c r="G2893" s="16" t="str">
        <f>VLOOKUP(Table8[[#This Row],[Mã khách hàng]],code_khach_hang[],3,0)</f>
        <v>Miền Bắc đặc biệt 3</v>
      </c>
      <c r="H2893" t="str">
        <f>VLOOKUP(Table8[[#This Row],[Mã khách hàng]],'Khách hàng'!A:D,4,0)</f>
        <v>Food Đức Việt</v>
      </c>
      <c r="I2893" t="str">
        <f>VLOOKUP(Table8[[#This Row],[Mã khách hàng]],'Khách hàng'!A:E,5,0)</f>
        <v>HN0040</v>
      </c>
    </row>
    <row r="2894" spans="1:9">
      <c r="A2894" s="14" t="s">
        <v>3369</v>
      </c>
      <c r="B2894" s="15" t="s">
        <v>5</v>
      </c>
      <c r="C2894" s="10" t="s">
        <v>3370</v>
      </c>
      <c r="D2894" s="16" t="s">
        <v>9093</v>
      </c>
      <c r="E2894" s="15" t="s">
        <v>11215</v>
      </c>
      <c r="F2894" s="16" t="str">
        <f>VLOOKUP(Table8[[#This Row],[Mã khách hàng]],code_khach_hang[],2,0)</f>
        <v>CHI NHÁNH HÀ NỘI - CÔNG TY CỔ PHẦN DỊCH VỤ THƯƠNG MẠI TỔNG HỢP WINCOMMERCE</v>
      </c>
      <c r="G2894" s="16" t="str">
        <f>VLOOKUP(Table8[[#This Row],[Mã khách hàng]],code_khach_hang[],3,0)</f>
        <v>Miền Bắc đặc biệt 1</v>
      </c>
      <c r="H2894" t="str">
        <f>VLOOKUP(Table8[[#This Row],[Mã khách hàng]],'Khách hàng'!A:D,4,0)</f>
        <v>Food Đức Việt</v>
      </c>
      <c r="I2894" t="str">
        <f>VLOOKUP(Table8[[#This Row],[Mã khách hàng]],'Khách hàng'!A:E,5,0)</f>
        <v>HN0040</v>
      </c>
    </row>
    <row r="2895" spans="1:9">
      <c r="A2895" s="14" t="s">
        <v>3303</v>
      </c>
      <c r="B2895" s="15" t="s">
        <v>5</v>
      </c>
      <c r="C2895" s="10" t="s">
        <v>3304</v>
      </c>
      <c r="D2895" s="16" t="s">
        <v>9095</v>
      </c>
      <c r="E2895" s="15" t="s">
        <v>11203</v>
      </c>
      <c r="F2895" s="16" t="str">
        <f>VLOOKUP(Table8[[#This Row],[Mã khách hàng]],code_khach_hang[],2,0)</f>
        <v>CHI NHÁNH THANH HÓA - CÔNG TY CỔ PHẦN DỊCH VỤ THƯƠNG MẠI TỔNG HỢP WINCOMMERCE</v>
      </c>
      <c r="G2895" s="16" t="str">
        <f>VLOOKUP(Table8[[#This Row],[Mã khách hàng]],code_khach_hang[],3,0)</f>
        <v>Miền Trung đặc biệt 1</v>
      </c>
      <c r="H2895" t="str">
        <f>VLOOKUP(Table8[[#This Row],[Mã khách hàng]],'Khách hàng'!A:D,4,0)</f>
        <v>Food Đức Việt</v>
      </c>
      <c r="I2895" t="str">
        <f>VLOOKUP(Table8[[#This Row],[Mã khách hàng]],'Khách hàng'!A:E,5,0)</f>
        <v>HN0040</v>
      </c>
    </row>
    <row r="2896" spans="1:9">
      <c r="A2896" s="14" t="s">
        <v>3309</v>
      </c>
      <c r="B2896" s="15" t="s">
        <v>5</v>
      </c>
      <c r="C2896" s="10" t="s">
        <v>3310</v>
      </c>
      <c r="D2896" s="16" t="s">
        <v>9098</v>
      </c>
      <c r="E2896" s="15" t="s">
        <v>11199</v>
      </c>
      <c r="F2896" s="16" t="str">
        <f>VLOOKUP(Table8[[#This Row],[Mã khách hàng]],code_khach_hang[],2,0)</f>
        <v>CHI NHÁNH PHÚ THỌ - CÔNG TY CỔ PHẦN DỊCH VỤ THƯƠNG MẠI TỔNG HỢP WINCOMMERCE</v>
      </c>
      <c r="G2896" s="16" t="str">
        <f>VLOOKUP(Table8[[#This Row],[Mã khách hàng]],code_khach_hang[],3,0)</f>
        <v>Miền Bắc đặc biệt 1</v>
      </c>
      <c r="H2896" t="str">
        <f>VLOOKUP(Table8[[#This Row],[Mã khách hàng]],'Khách hàng'!A:D,4,0)</f>
        <v>Food Đức Việt</v>
      </c>
      <c r="I2896" t="str">
        <f>VLOOKUP(Table8[[#This Row],[Mã khách hàng]],'Khách hàng'!A:E,5,0)</f>
        <v>HN0040</v>
      </c>
    </row>
    <row r="2897" spans="1:9">
      <c r="A2897" s="14" t="s">
        <v>3477</v>
      </c>
      <c r="B2897" s="15" t="s">
        <v>5</v>
      </c>
      <c r="C2897" s="10" t="s">
        <v>3478</v>
      </c>
      <c r="D2897" s="16" t="s">
        <v>9101</v>
      </c>
      <c r="E2897" s="15" t="s">
        <v>11198</v>
      </c>
      <c r="F2897" s="16" t="str">
        <f>VLOOKUP(Table8[[#This Row],[Mã khách hàng]],code_khach_hang[],2,0)</f>
        <v>CHI NHÁNH HẢI PHÒNG - CÔNG TY CỔ PHẦN DỊCH VỤ THƯƠNG MẠI TỔNG HỢP WINCOMMERCE</v>
      </c>
      <c r="G2897" s="16" t="str">
        <f>VLOOKUP(Table8[[#This Row],[Mã khách hàng]],code_khach_hang[],3,0)</f>
        <v>Miền Bắc đặc biệt 3</v>
      </c>
      <c r="H2897" t="str">
        <f>VLOOKUP(Table8[[#This Row],[Mã khách hàng]],'Khách hàng'!A:D,4,0)</f>
        <v>Food Đức Việt</v>
      </c>
      <c r="I2897" t="str">
        <f>VLOOKUP(Table8[[#This Row],[Mã khách hàng]],'Khách hàng'!A:E,5,0)</f>
        <v>HN0040</v>
      </c>
    </row>
    <row r="2898" spans="1:9">
      <c r="A2898" s="14" t="s">
        <v>3467</v>
      </c>
      <c r="B2898" s="15" t="s">
        <v>5</v>
      </c>
      <c r="C2898" s="10" t="s">
        <v>3468</v>
      </c>
      <c r="D2898" s="16" t="s">
        <v>9104</v>
      </c>
      <c r="E2898" s="15" t="s">
        <v>11211</v>
      </c>
      <c r="F2898" s="16" t="str">
        <f>VLOOKUP(Table8[[#This Row],[Mã khách hàng]],code_khach_hang[],2,0)</f>
        <v>CHI NHÁNH NGHỆ AN - CÔNG TY CỔ PHẦN DỊCH VỤ THƯƠNG MẠI TỔNG HỢP WINCOMMERCE</v>
      </c>
      <c r="G2898" s="16" t="str">
        <f>VLOOKUP(Table8[[#This Row],[Mã khách hàng]],code_khach_hang[],3,0)</f>
        <v>Miền Trung đặc biệt 1</v>
      </c>
      <c r="H2898" t="str">
        <f>VLOOKUP(Table8[[#This Row],[Mã khách hàng]],'Khách hàng'!A:D,4,0)</f>
        <v>Food Đức Việt</v>
      </c>
      <c r="I2898" t="str">
        <f>VLOOKUP(Table8[[#This Row],[Mã khách hàng]],'Khách hàng'!A:E,5,0)</f>
        <v>HN0040</v>
      </c>
    </row>
    <row r="2899" spans="1:9">
      <c r="A2899" s="14" t="s">
        <v>3518</v>
      </c>
      <c r="B2899" s="15" t="s">
        <v>5</v>
      </c>
      <c r="C2899" s="10" t="s">
        <v>13187</v>
      </c>
      <c r="D2899" s="16" t="s">
        <v>9107</v>
      </c>
      <c r="E2899" s="15" t="s">
        <v>11215</v>
      </c>
      <c r="F2899" s="16" t="str">
        <f>VLOOKUP(Table8[[#This Row],[Mã khách hàng]],code_khach_hang[],2,0)</f>
        <v>CHI NHÁNH HÀ NỘI - CÔNG TY CỔ PHẦN DỊCH VỤ THƯƠNG MẠI TỔNG HỢP WINCOMMERCE</v>
      </c>
      <c r="G2899" s="16" t="str">
        <f>VLOOKUP(Table8[[#This Row],[Mã khách hàng]],code_khach_hang[],3,0)</f>
        <v>Miền Bắc đặc biệt 1</v>
      </c>
      <c r="H2899" t="str">
        <f>VLOOKUP(Table8[[#This Row],[Mã khách hàng]],'Khách hàng'!A:D,4,0)</f>
        <v>Food Đức Việt</v>
      </c>
      <c r="I2899" t="str">
        <f>VLOOKUP(Table8[[#This Row],[Mã khách hàng]],'Khách hàng'!A:E,5,0)</f>
        <v>HN0040</v>
      </c>
    </row>
    <row r="2900" spans="1:9">
      <c r="A2900" s="14" t="s">
        <v>3175</v>
      </c>
      <c r="B2900" s="15" t="s">
        <v>5</v>
      </c>
      <c r="C2900" s="10" t="s">
        <v>3176</v>
      </c>
      <c r="D2900" s="16" t="s">
        <v>9110</v>
      </c>
      <c r="E2900" s="15" t="s">
        <v>11199</v>
      </c>
      <c r="F2900" s="16" t="str">
        <f>VLOOKUP(Table8[[#This Row],[Mã khách hàng]],code_khach_hang[],2,0)</f>
        <v>CHI NHÁNH PHÚ THỌ - CÔNG TY CỔ PHẦN DỊCH VỤ THƯƠNG MẠI TỔNG HỢP WINCOMMERCE</v>
      </c>
      <c r="G2900" s="16" t="str">
        <f>VLOOKUP(Table8[[#This Row],[Mã khách hàng]],code_khach_hang[],3,0)</f>
        <v>Miền Bắc đặc biệt 1</v>
      </c>
      <c r="H2900" t="str">
        <f>VLOOKUP(Table8[[#This Row],[Mã khách hàng]],'Khách hàng'!A:D,4,0)</f>
        <v>Food Đức Việt</v>
      </c>
      <c r="I2900" t="str">
        <f>VLOOKUP(Table8[[#This Row],[Mã khách hàng]],'Khách hàng'!A:E,5,0)</f>
        <v>HN0040</v>
      </c>
    </row>
    <row r="2901" spans="1:9">
      <c r="A2901" s="14" t="s">
        <v>3515</v>
      </c>
      <c r="B2901" s="15" t="s">
        <v>5</v>
      </c>
      <c r="C2901" s="10" t="s">
        <v>3516</v>
      </c>
      <c r="D2901" s="16" t="s">
        <v>9113</v>
      </c>
      <c r="E2901" s="15" t="s">
        <v>11203</v>
      </c>
      <c r="F2901" s="16" t="str">
        <f>VLOOKUP(Table8[[#This Row],[Mã khách hàng]],code_khach_hang[],2,0)</f>
        <v>CHI NHÁNH THANH HÓA - CÔNG TY CỔ PHẦN DỊCH VỤ THƯƠNG MẠI TỔNG HỢP WINCOMMERCE</v>
      </c>
      <c r="G2901" s="16" t="str">
        <f>VLOOKUP(Table8[[#This Row],[Mã khách hàng]],code_khach_hang[],3,0)</f>
        <v>Miền Trung đặc biệt 1</v>
      </c>
      <c r="H2901" t="str">
        <f>VLOOKUP(Table8[[#This Row],[Mã khách hàng]],'Khách hàng'!A:D,4,0)</f>
        <v>Food Đức Việt</v>
      </c>
      <c r="I2901" t="str">
        <f>VLOOKUP(Table8[[#This Row],[Mã khách hàng]],'Khách hàng'!A:E,5,0)</f>
        <v>HN0040</v>
      </c>
    </row>
    <row r="2902" spans="1:9">
      <c r="A2902" s="14" t="s">
        <v>3528</v>
      </c>
      <c r="B2902" s="15" t="s">
        <v>5</v>
      </c>
      <c r="C2902" s="10" t="s">
        <v>3529</v>
      </c>
      <c r="D2902" s="16" t="s">
        <v>9116</v>
      </c>
      <c r="E2902" s="15" t="s">
        <v>11198</v>
      </c>
      <c r="F2902" s="16" t="str">
        <f>VLOOKUP(Table8[[#This Row],[Mã khách hàng]],code_khach_hang[],2,0)</f>
        <v>CHI NHÁNH HẢI PHÒNG - CÔNG TY CỔ PHẦN DỊCH VỤ THƯƠNG MẠI TỔNG HỢP WINCOMMERCE</v>
      </c>
      <c r="G2902" s="16" t="str">
        <f>VLOOKUP(Table8[[#This Row],[Mã khách hàng]],code_khach_hang[],3,0)</f>
        <v>Miền Bắc đặc biệt 3</v>
      </c>
      <c r="H2902" t="str">
        <f>VLOOKUP(Table8[[#This Row],[Mã khách hàng]],'Khách hàng'!A:D,4,0)</f>
        <v>Food Đức Việt</v>
      </c>
      <c r="I2902" t="str">
        <f>VLOOKUP(Table8[[#This Row],[Mã khách hàng]],'Khách hàng'!A:E,5,0)</f>
        <v>HN0040</v>
      </c>
    </row>
    <row r="2903" spans="1:9">
      <c r="A2903" s="14" t="s">
        <v>3464</v>
      </c>
      <c r="B2903" s="15" t="s">
        <v>5</v>
      </c>
      <c r="C2903" s="10" t="s">
        <v>3465</v>
      </c>
      <c r="D2903" s="16" t="s">
        <v>9118</v>
      </c>
      <c r="E2903" s="15" t="s">
        <v>11211</v>
      </c>
      <c r="F2903" s="16" t="str">
        <f>VLOOKUP(Table8[[#This Row],[Mã khách hàng]],code_khach_hang[],2,0)</f>
        <v>CHI NHÁNH NGHỆ AN - CÔNG TY CỔ PHẦN DỊCH VỤ THƯƠNG MẠI TỔNG HỢP WINCOMMERCE</v>
      </c>
      <c r="G2903" s="16" t="str">
        <f>VLOOKUP(Table8[[#This Row],[Mã khách hàng]],code_khach_hang[],3,0)</f>
        <v>Miền Trung đặc biệt 1</v>
      </c>
      <c r="H2903" t="str">
        <f>VLOOKUP(Table8[[#This Row],[Mã khách hàng]],'Khách hàng'!A:D,4,0)</f>
        <v>Food Đức Việt</v>
      </c>
      <c r="I2903" t="str">
        <f>VLOOKUP(Table8[[#This Row],[Mã khách hàng]],'Khách hàng'!A:E,5,0)</f>
        <v>HN0040</v>
      </c>
    </row>
    <row r="2904" spans="1:9">
      <c r="A2904" s="14" t="s">
        <v>3485</v>
      </c>
      <c r="B2904" s="15" t="s">
        <v>5</v>
      </c>
      <c r="C2904" s="10" t="s">
        <v>3486</v>
      </c>
      <c r="D2904" s="16" t="s">
        <v>9120</v>
      </c>
      <c r="E2904" s="15" t="s">
        <v>11216</v>
      </c>
      <c r="F2904" s="16" t="str">
        <f>VLOOKUP(Table8[[#This Row],[Mã khách hàng]],code_khach_hang[],2,0)</f>
        <v>CHI NHÁNH HƯNG YÊN - CÔNG TY CỔ PHẦN DỊCH VỤ THƯƠNG MẠI TỔNG HỢP WINCOMMERCE</v>
      </c>
      <c r="G2904" s="16" t="str">
        <f>VLOOKUP(Table8[[#This Row],[Mã khách hàng]],code_khach_hang[],3,0)</f>
        <v>Miền Bắc đặc biệt 1</v>
      </c>
      <c r="H2904" t="str">
        <f>VLOOKUP(Table8[[#This Row],[Mã khách hàng]],'Khách hàng'!A:D,4,0)</f>
        <v>Food Đức Việt</v>
      </c>
      <c r="I2904" t="str">
        <f>VLOOKUP(Table8[[#This Row],[Mã khách hàng]],'Khách hàng'!A:E,5,0)</f>
        <v>HN0040</v>
      </c>
    </row>
    <row r="2905" spans="1:9">
      <c r="A2905" s="14" t="s">
        <v>3586</v>
      </c>
      <c r="B2905" s="15" t="s">
        <v>5</v>
      </c>
      <c r="C2905" s="10" t="s">
        <v>13188</v>
      </c>
      <c r="D2905" s="16" t="s">
        <v>9122</v>
      </c>
      <c r="E2905" s="15" t="s">
        <v>11207</v>
      </c>
      <c r="F2905" s="16" t="str">
        <f>VLOOKUP(Table8[[#This Row],[Mã khách hàng]],code_khach_hang[],2,0)</f>
        <v>CHI NHÁNH THÁI NGUYÊN - CÔNG TY CỔ PHẦN DỊCH VỤ THƯƠNG MẠI TỔNG HỢP WINCOMMERCE</v>
      </c>
      <c r="G2905" s="16" t="str">
        <f>VLOOKUP(Table8[[#This Row],[Mã khách hàng]],code_khach_hang[],3,0)</f>
        <v>Miền Bắc đặc biệt 2</v>
      </c>
      <c r="H2905" t="str">
        <f>VLOOKUP(Table8[[#This Row],[Mã khách hàng]],'Khách hàng'!A:D,4,0)</f>
        <v>Food Đức Việt</v>
      </c>
      <c r="I2905" t="str">
        <f>VLOOKUP(Table8[[#This Row],[Mã khách hàng]],'Khách hàng'!A:E,5,0)</f>
        <v>HN0040</v>
      </c>
    </row>
    <row r="2906" spans="1:9">
      <c r="A2906" s="14" t="s">
        <v>3609</v>
      </c>
      <c r="B2906" s="15" t="s">
        <v>5</v>
      </c>
      <c r="C2906" s="10" t="s">
        <v>3610</v>
      </c>
      <c r="D2906" s="16" t="s">
        <v>9124</v>
      </c>
      <c r="E2906" s="15" t="s">
        <v>11199</v>
      </c>
      <c r="F2906" s="16" t="str">
        <f>VLOOKUP(Table8[[#This Row],[Mã khách hàng]],code_khach_hang[],2,0)</f>
        <v>CHI NHÁNH PHÚ THỌ - CÔNG TY CỔ PHẦN DỊCH VỤ THƯƠNG MẠI TỔNG HỢP WINCOMMERCE</v>
      </c>
      <c r="G2906" s="16" t="str">
        <f>VLOOKUP(Table8[[#This Row],[Mã khách hàng]],code_khach_hang[],3,0)</f>
        <v>Miền Bắc đặc biệt 1</v>
      </c>
      <c r="H2906" t="str">
        <f>VLOOKUP(Table8[[#This Row],[Mã khách hàng]],'Khách hàng'!A:D,4,0)</f>
        <v>Food Đức Việt</v>
      </c>
      <c r="I2906" t="str">
        <f>VLOOKUP(Table8[[#This Row],[Mã khách hàng]],'Khách hàng'!A:E,5,0)</f>
        <v>HN0040</v>
      </c>
    </row>
    <row r="2907" spans="1:9">
      <c r="A2907" s="14" t="s">
        <v>3480</v>
      </c>
      <c r="B2907" s="15" t="s">
        <v>5</v>
      </c>
      <c r="C2907" s="10" t="s">
        <v>3481</v>
      </c>
      <c r="D2907" s="16" t="s">
        <v>9127</v>
      </c>
      <c r="E2907" s="15" t="s">
        <v>11193</v>
      </c>
      <c r="F2907" s="16" t="str">
        <f>VLOOKUP(Table8[[#This Row],[Mã khách hàng]],code_khach_hang[],2,0)</f>
        <v>CHI NHÁNH BẮC NINH - CÔNG TY CỔ PHẦN DỊCH VỤ THƯƠNG MẠI TỔNG HỢP WINCOMMERCE</v>
      </c>
      <c r="G2907" s="16" t="str">
        <f>VLOOKUP(Table8[[#This Row],[Mã khách hàng]],code_khach_hang[],3,0)</f>
        <v>Miền Bắc đặc biệt 2</v>
      </c>
      <c r="H2907" t="str">
        <f>VLOOKUP(Table8[[#This Row],[Mã khách hàng]],'Khách hàng'!A:D,4,0)</f>
        <v>Food Đức Việt</v>
      </c>
      <c r="I2907" t="str">
        <f>VLOOKUP(Table8[[#This Row],[Mã khách hàng]],'Khách hàng'!A:E,5,0)</f>
        <v>HN0040</v>
      </c>
    </row>
    <row r="2908" spans="1:9">
      <c r="A2908" s="14" t="s">
        <v>3506</v>
      </c>
      <c r="B2908" s="15" t="s">
        <v>5</v>
      </c>
      <c r="C2908" s="10" t="s">
        <v>3507</v>
      </c>
      <c r="D2908" s="16" t="s">
        <v>9129</v>
      </c>
      <c r="E2908" s="15" t="s">
        <v>11215</v>
      </c>
      <c r="F2908" s="16" t="str">
        <f>VLOOKUP(Table8[[#This Row],[Mã khách hàng]],code_khach_hang[],2,0)</f>
        <v>CHI NHÁNH HÀ NỘI - CÔNG TY CỔ PHẦN DỊCH VỤ THƯƠNG MẠI TỔNG HỢP WINCOMMERCE</v>
      </c>
      <c r="G2908" s="16" t="str">
        <f>VLOOKUP(Table8[[#This Row],[Mã khách hàng]],code_khach_hang[],3,0)</f>
        <v>Miền Bắc đặc biệt 1</v>
      </c>
      <c r="H2908" t="str">
        <f>VLOOKUP(Table8[[#This Row],[Mã khách hàng]],'Khách hàng'!A:D,4,0)</f>
        <v>Food Đức Việt</v>
      </c>
      <c r="I2908" t="str">
        <f>VLOOKUP(Table8[[#This Row],[Mã khách hàng]],'Khách hàng'!A:E,5,0)</f>
        <v>HN0040</v>
      </c>
    </row>
    <row r="2909" spans="1:9">
      <c r="A2909" s="14" t="s">
        <v>3375</v>
      </c>
      <c r="B2909" s="15" t="s">
        <v>5</v>
      </c>
      <c r="C2909" s="10" t="s">
        <v>3376</v>
      </c>
      <c r="D2909" s="16" t="s">
        <v>9132</v>
      </c>
      <c r="E2909" s="15" t="s">
        <v>11205</v>
      </c>
      <c r="F2909" s="16" t="str">
        <f>VLOOKUP(Table8[[#This Row],[Mã khách hàng]],code_khach_hang[],2,0)</f>
        <v>CHI NHÁNH HÀ TĨNH - CÔNG TY CỔ PHẦN DỊCH VỤ THƯƠNG MẠI TỔNG HỢP WINCOMMERCE</v>
      </c>
      <c r="G2909" s="16" t="str">
        <f>VLOOKUP(Table8[[#This Row],[Mã khách hàng]],code_khach_hang[],3,0)</f>
        <v>Miền Trung đặc biệt 1</v>
      </c>
      <c r="H2909" t="str">
        <f>VLOOKUP(Table8[[#This Row],[Mã khách hàng]],'Khách hàng'!A:D,4,0)</f>
        <v>Food Đức Việt</v>
      </c>
      <c r="I2909" t="str">
        <f>VLOOKUP(Table8[[#This Row],[Mã khách hàng]],'Khách hàng'!A:E,5,0)</f>
        <v>HN0040</v>
      </c>
    </row>
    <row r="2910" spans="1:9">
      <c r="A2910" s="14" t="s">
        <v>3525</v>
      </c>
      <c r="B2910" s="15" t="s">
        <v>5</v>
      </c>
      <c r="C2910" s="10" t="s">
        <v>3526</v>
      </c>
      <c r="D2910" s="16" t="s">
        <v>9135</v>
      </c>
      <c r="E2910" s="15" t="s">
        <v>11215</v>
      </c>
      <c r="F2910" s="16" t="str">
        <f>VLOOKUP(Table8[[#This Row],[Mã khách hàng]],code_khach_hang[],2,0)</f>
        <v>CHI NHÁNH HÀ NỘI - CÔNG TY CỔ PHẦN DỊCH VỤ THƯƠNG MẠI TỔNG HỢP WINCOMMERCE</v>
      </c>
      <c r="G2910" s="16" t="str">
        <f>VLOOKUP(Table8[[#This Row],[Mã khách hàng]],code_khach_hang[],3,0)</f>
        <v>Miền Bắc đặc biệt 1</v>
      </c>
      <c r="H2910" t="str">
        <f>VLOOKUP(Table8[[#This Row],[Mã khách hàng]],'Khách hàng'!A:D,4,0)</f>
        <v>Food Đức Việt</v>
      </c>
      <c r="I2910" t="str">
        <f>VLOOKUP(Table8[[#This Row],[Mã khách hàng]],'Khách hàng'!A:E,5,0)</f>
        <v>HN0040</v>
      </c>
    </row>
    <row r="2911" spans="1:9">
      <c r="A2911" s="14" t="s">
        <v>3548</v>
      </c>
      <c r="B2911" s="15" t="s">
        <v>5</v>
      </c>
      <c r="C2911" s="10" t="s">
        <v>3549</v>
      </c>
      <c r="D2911" s="16" t="s">
        <v>9138</v>
      </c>
      <c r="E2911" s="15" t="s">
        <v>11211</v>
      </c>
      <c r="F2911" s="16" t="str">
        <f>VLOOKUP(Table8[[#This Row],[Mã khách hàng]],code_khach_hang[],2,0)</f>
        <v>CHI NHÁNH NGHỆ AN - CÔNG TY CỔ PHẦN DỊCH VỤ THƯƠNG MẠI TỔNG HỢP WINCOMMERCE</v>
      </c>
      <c r="G2911" s="16" t="str">
        <f>VLOOKUP(Table8[[#This Row],[Mã khách hàng]],code_khach_hang[],3,0)</f>
        <v>Miền Trung đặc biệt 1</v>
      </c>
      <c r="H2911" t="str">
        <f>VLOOKUP(Table8[[#This Row],[Mã khách hàng]],'Khách hàng'!A:D,4,0)</f>
        <v>Food Đức Việt</v>
      </c>
      <c r="I2911" t="str">
        <f>VLOOKUP(Table8[[#This Row],[Mã khách hàng]],'Khách hàng'!A:E,5,0)</f>
        <v>HN0040</v>
      </c>
    </row>
    <row r="2912" spans="1:9">
      <c r="A2912" s="14" t="s">
        <v>3606</v>
      </c>
      <c r="B2912" s="15" t="s">
        <v>5</v>
      </c>
      <c r="C2912" s="10" t="s">
        <v>3607</v>
      </c>
      <c r="D2912" s="16" t="s">
        <v>9141</v>
      </c>
      <c r="E2912" s="15" t="s">
        <v>11199</v>
      </c>
      <c r="F2912" s="16" t="str">
        <f>VLOOKUP(Table8[[#This Row],[Mã khách hàng]],code_khach_hang[],2,0)</f>
        <v>CHI NHÁNH PHÚ THỌ - CÔNG TY CỔ PHẦN DỊCH VỤ THƯƠNG MẠI TỔNG HỢP WINCOMMERCE</v>
      </c>
      <c r="G2912" s="16" t="str">
        <f>VLOOKUP(Table8[[#This Row],[Mã khách hàng]],code_khach_hang[],3,0)</f>
        <v>Miền Bắc đặc biệt 1</v>
      </c>
      <c r="H2912" t="str">
        <f>VLOOKUP(Table8[[#This Row],[Mã khách hàng]],'Khách hàng'!A:D,4,0)</f>
        <v>Food Đức Việt</v>
      </c>
      <c r="I2912" t="str">
        <f>VLOOKUP(Table8[[#This Row],[Mã khách hàng]],'Khách hàng'!A:E,5,0)</f>
        <v>HN0040</v>
      </c>
    </row>
    <row r="2913" spans="1:9">
      <c r="A2913" s="14" t="s">
        <v>3707</v>
      </c>
      <c r="B2913" s="15" t="s">
        <v>5</v>
      </c>
      <c r="C2913" s="10" t="s">
        <v>3708</v>
      </c>
      <c r="D2913" s="16" t="s">
        <v>9143</v>
      </c>
      <c r="E2913" s="15" t="s">
        <v>11196</v>
      </c>
      <c r="F2913" s="16" t="str">
        <f>VLOOKUP(Table8[[#This Row],[Mã khách hàng]],code_khach_hang[],2,0)</f>
        <v>CHI NHÁNH NINH BÌNH - CÔNG TY CỔ PHẦN DỊCH VỤ THƯƠNG MẠI TỔNG HỢP WINCOMMERCE</v>
      </c>
      <c r="G2913" s="16" t="str">
        <f>VLOOKUP(Table8[[#This Row],[Mã khách hàng]],code_khach_hang[],3,0)</f>
        <v>Miền Bắc đặc biệt 3</v>
      </c>
      <c r="H2913" t="str">
        <f>VLOOKUP(Table8[[#This Row],[Mã khách hàng]],'Khách hàng'!A:D,4,0)</f>
        <v>Food Đức Việt</v>
      </c>
      <c r="I2913" t="str">
        <f>VLOOKUP(Table8[[#This Row],[Mã khách hàng]],'Khách hàng'!A:E,5,0)</f>
        <v>HN0040</v>
      </c>
    </row>
    <row r="2914" spans="1:9">
      <c r="A2914" s="14" t="s">
        <v>3512</v>
      </c>
      <c r="B2914" s="15" t="s">
        <v>5</v>
      </c>
      <c r="C2914" s="10" t="s">
        <v>3513</v>
      </c>
      <c r="D2914" s="16" t="s">
        <v>9146</v>
      </c>
      <c r="E2914" s="15" t="s">
        <v>11203</v>
      </c>
      <c r="F2914" s="16" t="str">
        <f>VLOOKUP(Table8[[#This Row],[Mã khách hàng]],code_khach_hang[],2,0)</f>
        <v>CHI NHÁNH THANH HÓA - CÔNG TY CỔ PHẦN DỊCH VỤ THƯƠNG MẠI TỔNG HỢP WINCOMMERCE</v>
      </c>
      <c r="G2914" s="16" t="str">
        <f>VLOOKUP(Table8[[#This Row],[Mã khách hàng]],code_khach_hang[],3,0)</f>
        <v>Miền Trung đặc biệt 1</v>
      </c>
      <c r="H2914" t="str">
        <f>VLOOKUP(Table8[[#This Row],[Mã khách hàng]],'Khách hàng'!A:D,4,0)</f>
        <v>Food Đức Việt</v>
      </c>
      <c r="I2914" t="str">
        <f>VLOOKUP(Table8[[#This Row],[Mã khách hàng]],'Khách hàng'!A:E,5,0)</f>
        <v>HN0040</v>
      </c>
    </row>
    <row r="2915" spans="1:9">
      <c r="A2915" s="14" t="s">
        <v>3443</v>
      </c>
      <c r="B2915" s="15" t="s">
        <v>5</v>
      </c>
      <c r="C2915" s="10" t="s">
        <v>3444</v>
      </c>
      <c r="D2915" s="16" t="s">
        <v>9149</v>
      </c>
      <c r="E2915" s="15" t="s">
        <v>11203</v>
      </c>
      <c r="F2915" s="16" t="str">
        <f>VLOOKUP(Table8[[#This Row],[Mã khách hàng]],code_khach_hang[],2,0)</f>
        <v>CHI NHÁNH THANH HÓA - CÔNG TY CỔ PHẦN DỊCH VỤ THƯƠNG MẠI TỔNG HỢP WINCOMMERCE</v>
      </c>
      <c r="G2915" s="16" t="str">
        <f>VLOOKUP(Table8[[#This Row],[Mã khách hàng]],code_khach_hang[],3,0)</f>
        <v>Miền Trung đặc biệt 1</v>
      </c>
      <c r="H2915" t="str">
        <f>VLOOKUP(Table8[[#This Row],[Mã khách hàng]],'Khách hàng'!A:D,4,0)</f>
        <v>Food Đức Việt</v>
      </c>
      <c r="I2915" t="str">
        <f>VLOOKUP(Table8[[#This Row],[Mã khách hàng]],'Khách hàng'!A:E,5,0)</f>
        <v>HN0040</v>
      </c>
    </row>
    <row r="2916" spans="1:9">
      <c r="A2916" s="14" t="s">
        <v>3554</v>
      </c>
      <c r="B2916" s="15" t="s">
        <v>5</v>
      </c>
      <c r="C2916" s="10" t="s">
        <v>3555</v>
      </c>
      <c r="D2916" s="16" t="s">
        <v>9152</v>
      </c>
      <c r="E2916" s="15" t="s">
        <v>11206</v>
      </c>
      <c r="F2916" s="16" t="str">
        <f>VLOOKUP(Table8[[#This Row],[Mã khách hàng]],code_khach_hang[],2,0)</f>
        <v>CHI NHÁNH SƠN LA - CÔNG TY CỔ PHẦN DỊCH VỤ THƯƠNG MẠI TỔNG HỢP WINCOMMERCE</v>
      </c>
      <c r="G2916" s="16" t="str">
        <f>VLOOKUP(Table8[[#This Row],[Mã khách hàng]],code_khach_hang[],3,0)</f>
        <v>Miền Bắc đặc biệt 1</v>
      </c>
      <c r="H2916" t="str">
        <f>VLOOKUP(Table8[[#This Row],[Mã khách hàng]],'Khách hàng'!A:D,4,0)</f>
        <v>Food Đức Việt</v>
      </c>
      <c r="I2916" t="str">
        <f>VLOOKUP(Table8[[#This Row],[Mã khách hàng]],'Khách hàng'!A:E,5,0)</f>
        <v>HN0040</v>
      </c>
    </row>
    <row r="2917" spans="1:9">
      <c r="A2917" s="14" t="s">
        <v>3652</v>
      </c>
      <c r="B2917" s="15" t="s">
        <v>5</v>
      </c>
      <c r="C2917" s="10" t="s">
        <v>3653</v>
      </c>
      <c r="D2917" s="16" t="s">
        <v>9155</v>
      </c>
      <c r="E2917" s="15" t="s">
        <v>11193</v>
      </c>
      <c r="F2917" s="16" t="str">
        <f>VLOOKUP(Table8[[#This Row],[Mã khách hàng]],code_khach_hang[],2,0)</f>
        <v>CHI NHÁNH BẮC NINH - CÔNG TY CỔ PHẦN DỊCH VỤ THƯƠNG MẠI TỔNG HỢP WINCOMMERCE</v>
      </c>
      <c r="G2917" s="16" t="str">
        <f>VLOOKUP(Table8[[#This Row],[Mã khách hàng]],code_khach_hang[],3,0)</f>
        <v>Miền Bắc đặc biệt 2</v>
      </c>
      <c r="H2917" t="str">
        <f>VLOOKUP(Table8[[#This Row],[Mã khách hàng]],'Khách hàng'!A:D,4,0)</f>
        <v>Food Đức Việt</v>
      </c>
      <c r="I2917" t="str">
        <f>VLOOKUP(Table8[[#This Row],[Mã khách hàng]],'Khách hàng'!A:E,5,0)</f>
        <v>HN0040</v>
      </c>
    </row>
    <row r="2918" spans="1:9">
      <c r="A2918" s="14" t="s">
        <v>3574</v>
      </c>
      <c r="B2918" s="15" t="s">
        <v>5</v>
      </c>
      <c r="C2918" s="10" t="s">
        <v>3575</v>
      </c>
      <c r="D2918" s="16" t="s">
        <v>9158</v>
      </c>
      <c r="E2918" s="15" t="s">
        <v>11198</v>
      </c>
      <c r="F2918" s="16" t="str">
        <f>VLOOKUP(Table8[[#This Row],[Mã khách hàng]],code_khach_hang[],2,0)</f>
        <v>CHI NHÁNH HẢI PHÒNG - CÔNG TY CỔ PHẦN DỊCH VỤ THƯƠNG MẠI TỔNG HỢP WINCOMMERCE</v>
      </c>
      <c r="G2918" s="16" t="str">
        <f>VLOOKUP(Table8[[#This Row],[Mã khách hàng]],code_khach_hang[],3,0)</f>
        <v>Miền Bắc đặc biệt 3</v>
      </c>
      <c r="H2918" t="str">
        <f>VLOOKUP(Table8[[#This Row],[Mã khách hàng]],'Khách hàng'!A:D,4,0)</f>
        <v>Food Đức Việt</v>
      </c>
      <c r="I2918" t="str">
        <f>VLOOKUP(Table8[[#This Row],[Mã khách hàng]],'Khách hàng'!A:E,5,0)</f>
        <v>HN0040</v>
      </c>
    </row>
    <row r="2919" spans="1:9">
      <c r="A2919" s="14" t="s">
        <v>3568</v>
      </c>
      <c r="B2919" s="15" t="s">
        <v>5</v>
      </c>
      <c r="C2919" s="10" t="s">
        <v>3569</v>
      </c>
      <c r="D2919" s="16" t="s">
        <v>9161</v>
      </c>
      <c r="E2919" s="15" t="s">
        <v>11198</v>
      </c>
      <c r="F2919" s="16" t="str">
        <f>VLOOKUP(Table8[[#This Row],[Mã khách hàng]],code_khach_hang[],2,0)</f>
        <v>CHI NHÁNH HẢI PHÒNG - CÔNG TY CỔ PHẦN DỊCH VỤ THƯƠNG MẠI TỔNG HỢP WINCOMMERCE</v>
      </c>
      <c r="G2919" s="16" t="str">
        <f>VLOOKUP(Table8[[#This Row],[Mã khách hàng]],code_khach_hang[],3,0)</f>
        <v>Miền Bắc đặc biệt 3</v>
      </c>
      <c r="H2919" t="str">
        <f>VLOOKUP(Table8[[#This Row],[Mã khách hàng]],'Khách hàng'!A:D,4,0)</f>
        <v>Food Đức Việt</v>
      </c>
      <c r="I2919" t="str">
        <f>VLOOKUP(Table8[[#This Row],[Mã khách hàng]],'Khách hàng'!A:E,5,0)</f>
        <v>HN0040</v>
      </c>
    </row>
    <row r="2920" spans="1:9">
      <c r="A2920" s="14" t="s">
        <v>3452</v>
      </c>
      <c r="B2920" s="15" t="s">
        <v>5</v>
      </c>
      <c r="C2920" s="10" t="s">
        <v>3453</v>
      </c>
      <c r="D2920" s="16" t="s">
        <v>9164</v>
      </c>
      <c r="E2920" s="15" t="s">
        <v>11193</v>
      </c>
      <c r="F2920" s="16" t="str">
        <f>VLOOKUP(Table8[[#This Row],[Mã khách hàng]],code_khach_hang[],2,0)</f>
        <v>CHI NHÁNH BẮC NINH - CÔNG TY CỔ PHẦN DỊCH VỤ THƯƠNG MẠI TỔNG HỢP WINCOMMERCE</v>
      </c>
      <c r="G2920" s="16" t="str">
        <f>VLOOKUP(Table8[[#This Row],[Mã khách hàng]],code_khach_hang[],3,0)</f>
        <v>Miền Bắc đặc biệt 2</v>
      </c>
      <c r="H2920" t="str">
        <f>VLOOKUP(Table8[[#This Row],[Mã khách hàng]],'Khách hàng'!A:D,4,0)</f>
        <v>Food Đức Việt</v>
      </c>
      <c r="I2920" t="str">
        <f>VLOOKUP(Table8[[#This Row],[Mã khách hàng]],'Khách hàng'!A:E,5,0)</f>
        <v>HN0040</v>
      </c>
    </row>
    <row r="2921" spans="1:9">
      <c r="A2921" s="14" t="s">
        <v>3701</v>
      </c>
      <c r="B2921" s="15" t="s">
        <v>5</v>
      </c>
      <c r="C2921" s="10" t="s">
        <v>3702</v>
      </c>
      <c r="D2921" s="16" t="s">
        <v>9167</v>
      </c>
      <c r="E2921" s="15" t="s">
        <v>11193</v>
      </c>
      <c r="F2921" s="16" t="str">
        <f>VLOOKUP(Table8[[#This Row],[Mã khách hàng]],code_khach_hang[],2,0)</f>
        <v>CHI NHÁNH BẮC NINH - CÔNG TY CỔ PHẦN DỊCH VỤ THƯƠNG MẠI TỔNG HỢP WINCOMMERCE</v>
      </c>
      <c r="G2921" s="16" t="str">
        <f>VLOOKUP(Table8[[#This Row],[Mã khách hàng]],code_khach_hang[],3,0)</f>
        <v>Miền Bắc đặc biệt 2</v>
      </c>
      <c r="H2921" t="str">
        <f>VLOOKUP(Table8[[#This Row],[Mã khách hàng]],'Khách hàng'!A:D,4,0)</f>
        <v>Food Đức Việt</v>
      </c>
      <c r="I2921" t="str">
        <f>VLOOKUP(Table8[[#This Row],[Mã khách hàng]],'Khách hàng'!A:E,5,0)</f>
        <v>HN0040</v>
      </c>
    </row>
    <row r="2922" spans="1:9">
      <c r="A2922" s="14" t="s">
        <v>3413</v>
      </c>
      <c r="B2922" s="15" t="s">
        <v>5</v>
      </c>
      <c r="C2922" s="10" t="s">
        <v>3414</v>
      </c>
      <c r="D2922" s="16" t="s">
        <v>9170</v>
      </c>
      <c r="E2922" s="15" t="s">
        <v>11211</v>
      </c>
      <c r="F2922" s="16" t="str">
        <f>VLOOKUP(Table8[[#This Row],[Mã khách hàng]],code_khach_hang[],2,0)</f>
        <v>CHI NHÁNH NGHỆ AN - CÔNG TY CỔ PHẦN DỊCH VỤ THƯƠNG MẠI TỔNG HỢP WINCOMMERCE</v>
      </c>
      <c r="G2922" s="16" t="str">
        <f>VLOOKUP(Table8[[#This Row],[Mã khách hàng]],code_khach_hang[],3,0)</f>
        <v>Miền Trung đặc biệt 1</v>
      </c>
      <c r="H2922" t="str">
        <f>VLOOKUP(Table8[[#This Row],[Mã khách hàng]],'Khách hàng'!A:D,4,0)</f>
        <v>Food Đức Việt</v>
      </c>
      <c r="I2922" t="str">
        <f>VLOOKUP(Table8[[#This Row],[Mã khách hàng]],'Khách hàng'!A:E,5,0)</f>
        <v>HN0040</v>
      </c>
    </row>
    <row r="2923" spans="1:9">
      <c r="A2923" s="14" t="s">
        <v>3916</v>
      </c>
      <c r="B2923" s="15" t="s">
        <v>5</v>
      </c>
      <c r="C2923" s="10" t="s">
        <v>3917</v>
      </c>
      <c r="D2923" s="16" t="s">
        <v>9173</v>
      </c>
      <c r="E2923" s="15" t="s">
        <v>11215</v>
      </c>
      <c r="F2923" s="16" t="str">
        <f>VLOOKUP(Table8[[#This Row],[Mã khách hàng]],code_khach_hang[],2,0)</f>
        <v>CHI NHÁNH HÀ NỘI - CÔNG TY CỔ PHẦN DỊCH VỤ THƯƠNG MẠI TỔNG HỢP WINCOMMERCE</v>
      </c>
      <c r="G2923" s="16" t="str">
        <f>VLOOKUP(Table8[[#This Row],[Mã khách hàng]],code_khach_hang[],3,0)</f>
        <v>Miền Bắc đặc biệt 1</v>
      </c>
      <c r="H2923" t="str">
        <f>VLOOKUP(Table8[[#This Row],[Mã khách hàng]],'Khách hàng'!A:D,4,0)</f>
        <v>Food Đức Việt</v>
      </c>
      <c r="I2923" t="str">
        <f>VLOOKUP(Table8[[#This Row],[Mã khách hàng]],'Khách hàng'!A:E,5,0)</f>
        <v>HN0040</v>
      </c>
    </row>
    <row r="2924" spans="1:9">
      <c r="A2924" s="14" t="s">
        <v>3543</v>
      </c>
      <c r="B2924" s="15" t="s">
        <v>5</v>
      </c>
      <c r="C2924" s="10" t="s">
        <v>3544</v>
      </c>
      <c r="D2924" s="16" t="s">
        <v>9176</v>
      </c>
      <c r="E2924" s="15" t="s">
        <v>11203</v>
      </c>
      <c r="F2924" s="16" t="str">
        <f>VLOOKUP(Table8[[#This Row],[Mã khách hàng]],code_khach_hang[],2,0)</f>
        <v>CHI NHÁNH THANH HÓA - CÔNG TY CỔ PHẦN DỊCH VỤ THƯƠNG MẠI TỔNG HỢP WINCOMMERCE</v>
      </c>
      <c r="G2924" s="16" t="str">
        <f>VLOOKUP(Table8[[#This Row],[Mã khách hàng]],code_khach_hang[],3,0)</f>
        <v>Miền Trung đặc biệt 1</v>
      </c>
      <c r="H2924" t="str">
        <f>VLOOKUP(Table8[[#This Row],[Mã khách hàng]],'Khách hàng'!A:D,4,0)</f>
        <v>Food Đức Việt</v>
      </c>
      <c r="I2924" t="str">
        <f>VLOOKUP(Table8[[#This Row],[Mã khách hàng]],'Khách hàng'!A:E,5,0)</f>
        <v>HN0040</v>
      </c>
    </row>
    <row r="2925" spans="1:9">
      <c r="A2925" s="14" t="s">
        <v>3588</v>
      </c>
      <c r="B2925" s="15" t="s">
        <v>5</v>
      </c>
      <c r="C2925" s="10" t="s">
        <v>3589</v>
      </c>
      <c r="D2925" s="16" t="s">
        <v>9179</v>
      </c>
      <c r="E2925" s="15" t="s">
        <v>11203</v>
      </c>
      <c r="F2925" s="16" t="str">
        <f>VLOOKUP(Table8[[#This Row],[Mã khách hàng]],code_khach_hang[],2,0)</f>
        <v>CHI NHÁNH THANH HÓA - CÔNG TY CỔ PHẦN DỊCH VỤ THƯƠNG MẠI TỔNG HỢP WINCOMMERCE</v>
      </c>
      <c r="G2925" s="16" t="str">
        <f>VLOOKUP(Table8[[#This Row],[Mã khách hàng]],code_khach_hang[],3,0)</f>
        <v>Miền Trung đặc biệt 1</v>
      </c>
      <c r="H2925" t="str">
        <f>VLOOKUP(Table8[[#This Row],[Mã khách hàng]],'Khách hàng'!A:D,4,0)</f>
        <v>Food Đức Việt</v>
      </c>
      <c r="I2925" t="str">
        <f>VLOOKUP(Table8[[#This Row],[Mã khách hàng]],'Khách hàng'!A:E,5,0)</f>
        <v>HN0040</v>
      </c>
    </row>
    <row r="2926" spans="1:9">
      <c r="A2926" s="14" t="s">
        <v>3719</v>
      </c>
      <c r="B2926" s="15" t="s">
        <v>5</v>
      </c>
      <c r="C2926" s="10" t="s">
        <v>13189</v>
      </c>
      <c r="D2926" s="16" t="s">
        <v>9182</v>
      </c>
      <c r="E2926" s="15" t="s">
        <v>11203</v>
      </c>
      <c r="F2926" s="16" t="str">
        <f>VLOOKUP(Table8[[#This Row],[Mã khách hàng]],code_khach_hang[],2,0)</f>
        <v>CHI NHÁNH THANH HÓA - CÔNG TY CỔ PHẦN DỊCH VỤ THƯƠNG MẠI TỔNG HỢP WINCOMMERCE</v>
      </c>
      <c r="G2926" s="16" t="str">
        <f>VLOOKUP(Table8[[#This Row],[Mã khách hàng]],code_khach_hang[],3,0)</f>
        <v>Miền Trung đặc biệt 1</v>
      </c>
      <c r="H2926" t="str">
        <f>VLOOKUP(Table8[[#This Row],[Mã khách hàng]],'Khách hàng'!A:D,4,0)</f>
        <v>Food Đức Việt</v>
      </c>
      <c r="I2926" t="str">
        <f>VLOOKUP(Table8[[#This Row],[Mã khách hàng]],'Khách hàng'!A:E,5,0)</f>
        <v>HN0040</v>
      </c>
    </row>
    <row r="2927" spans="1:9">
      <c r="A2927" s="14" t="s">
        <v>3591</v>
      </c>
      <c r="B2927" s="15" t="s">
        <v>5</v>
      </c>
      <c r="C2927" s="10" t="s">
        <v>3592</v>
      </c>
      <c r="D2927" s="16" t="s">
        <v>9185</v>
      </c>
      <c r="E2927" s="15" t="s">
        <v>11203</v>
      </c>
      <c r="F2927" s="16" t="str">
        <f>VLOOKUP(Table8[[#This Row],[Mã khách hàng]],code_khach_hang[],2,0)</f>
        <v>CHI NHÁNH THANH HÓA - CÔNG TY CỔ PHẦN DỊCH VỤ THƯƠNG MẠI TỔNG HỢP WINCOMMERCE</v>
      </c>
      <c r="G2927" s="16" t="str">
        <f>VLOOKUP(Table8[[#This Row],[Mã khách hàng]],code_khach_hang[],3,0)</f>
        <v>Miền Trung đặc biệt 1</v>
      </c>
      <c r="H2927" t="str">
        <f>VLOOKUP(Table8[[#This Row],[Mã khách hàng]],'Khách hàng'!A:D,4,0)</f>
        <v>Food Đức Việt</v>
      </c>
      <c r="I2927" t="str">
        <f>VLOOKUP(Table8[[#This Row],[Mã khách hàng]],'Khách hàng'!A:E,5,0)</f>
        <v>HN0040</v>
      </c>
    </row>
    <row r="2928" spans="1:9">
      <c r="A2928" s="14" t="s">
        <v>3455</v>
      </c>
      <c r="B2928" s="15" t="s">
        <v>5</v>
      </c>
      <c r="C2928" s="10" t="s">
        <v>3456</v>
      </c>
      <c r="D2928" s="16" t="s">
        <v>9188</v>
      </c>
      <c r="E2928" s="15" t="s">
        <v>11215</v>
      </c>
      <c r="F2928" s="16" t="str">
        <f>VLOOKUP(Table8[[#This Row],[Mã khách hàng]],code_khach_hang[],2,0)</f>
        <v>CHI NHÁNH HÀ NỘI - CÔNG TY CỔ PHẦN DỊCH VỤ THƯƠNG MẠI TỔNG HỢP WINCOMMERCE</v>
      </c>
      <c r="G2928" s="16" t="str">
        <f>VLOOKUP(Table8[[#This Row],[Mã khách hàng]],code_khach_hang[],3,0)</f>
        <v>Miền Bắc đặc biệt 1</v>
      </c>
      <c r="H2928" t="str">
        <f>VLOOKUP(Table8[[#This Row],[Mã khách hàng]],'Khách hàng'!A:D,4,0)</f>
        <v>Food Đức Việt</v>
      </c>
      <c r="I2928" t="str">
        <f>VLOOKUP(Table8[[#This Row],[Mã khách hàng]],'Khách hàng'!A:E,5,0)</f>
        <v>HN0040</v>
      </c>
    </row>
    <row r="2929" spans="1:9">
      <c r="A2929" s="14" t="s">
        <v>3440</v>
      </c>
      <c r="B2929" s="15" t="s">
        <v>5</v>
      </c>
      <c r="C2929" s="10" t="s">
        <v>3441</v>
      </c>
      <c r="D2929" s="16" t="s">
        <v>9190</v>
      </c>
      <c r="E2929" s="15" t="s">
        <v>11205</v>
      </c>
      <c r="F2929" s="16" t="str">
        <f>VLOOKUP(Table8[[#This Row],[Mã khách hàng]],code_khach_hang[],2,0)</f>
        <v>CHI NHÁNH HÀ TĨNH - CÔNG TY CỔ PHẦN DỊCH VỤ THƯƠNG MẠI TỔNG HỢP WINCOMMERCE</v>
      </c>
      <c r="G2929" s="16" t="str">
        <f>VLOOKUP(Table8[[#This Row],[Mã khách hàng]],code_khach_hang[],3,0)</f>
        <v>Miền Trung đặc biệt 1</v>
      </c>
      <c r="H2929" t="str">
        <f>VLOOKUP(Table8[[#This Row],[Mã khách hàng]],'Khách hàng'!A:D,4,0)</f>
        <v>Food Đức Việt</v>
      </c>
      <c r="I2929" t="str">
        <f>VLOOKUP(Table8[[#This Row],[Mã khách hàng]],'Khách hàng'!A:E,5,0)</f>
        <v>HN0040</v>
      </c>
    </row>
    <row r="2930" spans="1:9">
      <c r="A2930" s="14" t="s">
        <v>3551</v>
      </c>
      <c r="B2930" s="15" t="s">
        <v>5</v>
      </c>
      <c r="C2930" s="10" t="s">
        <v>3552</v>
      </c>
      <c r="D2930" s="16" t="s">
        <v>9192</v>
      </c>
      <c r="E2930" s="15" t="s">
        <v>11205</v>
      </c>
      <c r="F2930" s="16" t="str">
        <f>VLOOKUP(Table8[[#This Row],[Mã khách hàng]],code_khach_hang[],2,0)</f>
        <v>CHI NHÁNH HÀ TĨNH - CÔNG TY CỔ PHẦN DỊCH VỤ THƯƠNG MẠI TỔNG HỢP WINCOMMERCE</v>
      </c>
      <c r="G2930" s="16" t="str">
        <f>VLOOKUP(Table8[[#This Row],[Mã khách hàng]],code_khach_hang[],3,0)</f>
        <v>Miền Trung đặc biệt 1</v>
      </c>
      <c r="H2930" t="str">
        <f>VLOOKUP(Table8[[#This Row],[Mã khách hàng]],'Khách hàng'!A:D,4,0)</f>
        <v>Food Đức Việt</v>
      </c>
      <c r="I2930" t="str">
        <f>VLOOKUP(Table8[[#This Row],[Mã khách hàng]],'Khách hàng'!A:E,5,0)</f>
        <v>HN0040</v>
      </c>
    </row>
    <row r="2931" spans="1:9">
      <c r="A2931" s="14" t="s">
        <v>3390</v>
      </c>
      <c r="B2931" s="15" t="s">
        <v>5</v>
      </c>
      <c r="C2931" s="10" t="s">
        <v>3391</v>
      </c>
      <c r="D2931" s="16" t="s">
        <v>9194</v>
      </c>
      <c r="E2931" s="15" t="s">
        <v>11215</v>
      </c>
      <c r="F2931" s="16" t="str">
        <f>VLOOKUP(Table8[[#This Row],[Mã khách hàng]],code_khach_hang[],2,0)</f>
        <v>CHI NHÁNH HÀ NỘI - CÔNG TY CỔ PHẦN DỊCH VỤ THƯƠNG MẠI TỔNG HỢP WINCOMMERCE</v>
      </c>
      <c r="G2931" s="16" t="str">
        <f>VLOOKUP(Table8[[#This Row],[Mã khách hàng]],code_khach_hang[],3,0)</f>
        <v>Miền Bắc đặc biệt 1</v>
      </c>
      <c r="H2931" t="str">
        <f>VLOOKUP(Table8[[#This Row],[Mã khách hàng]],'Khách hàng'!A:D,4,0)</f>
        <v>Food Đức Việt</v>
      </c>
      <c r="I2931" t="str">
        <f>VLOOKUP(Table8[[#This Row],[Mã khách hàng]],'Khách hàng'!A:E,5,0)</f>
        <v>HN0040</v>
      </c>
    </row>
    <row r="2932" spans="1:9">
      <c r="A2932" s="14" t="s">
        <v>3627</v>
      </c>
      <c r="B2932" s="15" t="s">
        <v>5</v>
      </c>
      <c r="C2932" s="10" t="s">
        <v>3628</v>
      </c>
      <c r="D2932" s="16" t="s">
        <v>9196</v>
      </c>
      <c r="E2932" s="15" t="s">
        <v>11215</v>
      </c>
      <c r="F2932" s="16" t="str">
        <f>VLOOKUP(Table8[[#This Row],[Mã khách hàng]],code_khach_hang[],2,0)</f>
        <v>CHI NHÁNH HÀ NỘI - CÔNG TY CỔ PHẦN DỊCH VỤ THƯƠNG MẠI TỔNG HỢP WINCOMMERCE</v>
      </c>
      <c r="G2932" s="16" t="str">
        <f>VLOOKUP(Table8[[#This Row],[Mã khách hàng]],code_khach_hang[],3,0)</f>
        <v>Miền Bắc đặc biệt 1</v>
      </c>
      <c r="H2932" t="str">
        <f>VLOOKUP(Table8[[#This Row],[Mã khách hàng]],'Khách hàng'!A:D,4,0)</f>
        <v>Food Đức Việt</v>
      </c>
      <c r="I2932" t="str">
        <f>VLOOKUP(Table8[[#This Row],[Mã khách hàng]],'Khách hàng'!A:E,5,0)</f>
        <v>HN0040</v>
      </c>
    </row>
    <row r="2933" spans="1:9">
      <c r="A2933" s="14" t="s">
        <v>3658</v>
      </c>
      <c r="B2933" s="15" t="s">
        <v>5</v>
      </c>
      <c r="C2933" s="10" t="s">
        <v>3659</v>
      </c>
      <c r="D2933" s="16" t="s">
        <v>9198</v>
      </c>
      <c r="E2933" s="15" t="s">
        <v>11199</v>
      </c>
      <c r="F2933" s="16" t="str">
        <f>VLOOKUP(Table8[[#This Row],[Mã khách hàng]],code_khach_hang[],2,0)</f>
        <v>CHI NHÁNH PHÚ THỌ - CÔNG TY CỔ PHẦN DỊCH VỤ THƯƠNG MẠI TỔNG HỢP WINCOMMERCE</v>
      </c>
      <c r="G2933" s="16" t="str">
        <f>VLOOKUP(Table8[[#This Row],[Mã khách hàng]],code_khach_hang[],3,0)</f>
        <v>Miền Bắc đặc biệt 1</v>
      </c>
      <c r="H2933" t="str">
        <f>VLOOKUP(Table8[[#This Row],[Mã khách hàng]],'Khách hàng'!A:D,4,0)</f>
        <v>Food Đức Việt</v>
      </c>
      <c r="I2933" t="str">
        <f>VLOOKUP(Table8[[#This Row],[Mã khách hàng]],'Khách hàng'!A:E,5,0)</f>
        <v>HN0040</v>
      </c>
    </row>
    <row r="2934" spans="1:9">
      <c r="A2934" s="14" t="s">
        <v>3384</v>
      </c>
      <c r="B2934" s="15" t="s">
        <v>5</v>
      </c>
      <c r="C2934" s="10" t="s">
        <v>3385</v>
      </c>
      <c r="D2934" s="16" t="s">
        <v>9200</v>
      </c>
      <c r="E2934" s="15" t="s">
        <v>11204</v>
      </c>
      <c r="F2934" s="16" t="str">
        <f>VLOOKUP(Table8[[#This Row],[Mã khách hàng]],code_khach_hang[],2,0)</f>
        <v>CHI NHÁNH TUYÊN QUANG - CÔNG TY CỔ PHẦN DỊCH VỤ THƯƠNG MẠI TỔNG HỢP WINCOMMERCE</v>
      </c>
      <c r="G2934" s="16" t="str">
        <f>VLOOKUP(Table8[[#This Row],[Mã khách hàng]],code_khach_hang[],3,0)</f>
        <v>Miền Bắc đặc biệt 2</v>
      </c>
      <c r="H2934" t="str">
        <f>VLOOKUP(Table8[[#This Row],[Mã khách hàng]],'Khách hàng'!A:D,4,0)</f>
        <v>Food Đức Việt</v>
      </c>
      <c r="I2934" t="str">
        <f>VLOOKUP(Table8[[#This Row],[Mã khách hàng]],'Khách hàng'!A:E,5,0)</f>
        <v>HN0040</v>
      </c>
    </row>
    <row r="2935" spans="1:9">
      <c r="A2935" s="14" t="s">
        <v>3172</v>
      </c>
      <c r="B2935" s="15" t="s">
        <v>5</v>
      </c>
      <c r="C2935" s="10" t="s">
        <v>3173</v>
      </c>
      <c r="D2935" s="16" t="s">
        <v>9202</v>
      </c>
      <c r="E2935" s="15" t="s">
        <v>11193</v>
      </c>
      <c r="F2935" s="16" t="str">
        <f>VLOOKUP(Table8[[#This Row],[Mã khách hàng]],code_khach_hang[],2,0)</f>
        <v>CHI NHÁNH BẮC NINH - CÔNG TY CỔ PHẦN DỊCH VỤ THƯƠNG MẠI TỔNG HỢP WINCOMMERCE</v>
      </c>
      <c r="G2935" s="16" t="str">
        <f>VLOOKUP(Table8[[#This Row],[Mã khách hàng]],code_khach_hang[],3,0)</f>
        <v>Miền Bắc đặc biệt 2</v>
      </c>
      <c r="H2935" t="str">
        <f>VLOOKUP(Table8[[#This Row],[Mã khách hàng]],'Khách hàng'!A:D,4,0)</f>
        <v>Food Đức Việt</v>
      </c>
      <c r="I2935" t="str">
        <f>VLOOKUP(Table8[[#This Row],[Mã khách hàng]],'Khách hàng'!A:E,5,0)</f>
        <v>HN0040</v>
      </c>
    </row>
    <row r="2936" spans="1:9">
      <c r="A2936" s="14" t="s">
        <v>3633</v>
      </c>
      <c r="B2936" s="15" t="s">
        <v>5</v>
      </c>
      <c r="C2936" s="10" t="s">
        <v>3634</v>
      </c>
      <c r="D2936" s="16" t="s">
        <v>9204</v>
      </c>
      <c r="E2936" s="15" t="s">
        <v>11215</v>
      </c>
      <c r="F2936" s="16" t="str">
        <f>VLOOKUP(Table8[[#This Row],[Mã khách hàng]],code_khach_hang[],2,0)</f>
        <v>CHI NHÁNH HÀ NỘI - CÔNG TY CỔ PHẦN DỊCH VỤ THƯƠNG MẠI TỔNG HỢP WINCOMMERCE</v>
      </c>
      <c r="G2936" s="16" t="str">
        <f>VLOOKUP(Table8[[#This Row],[Mã khách hàng]],code_khach_hang[],3,0)</f>
        <v>Miền Bắc đặc biệt 1</v>
      </c>
      <c r="H2936" t="str">
        <f>VLOOKUP(Table8[[#This Row],[Mã khách hàng]],'Khách hàng'!A:D,4,0)</f>
        <v>Food Đức Việt</v>
      </c>
      <c r="I2936" t="str">
        <f>VLOOKUP(Table8[[#This Row],[Mã khách hàng]],'Khách hàng'!A:E,5,0)</f>
        <v>HN0040</v>
      </c>
    </row>
    <row r="2937" spans="1:9">
      <c r="A2937" s="14" t="s">
        <v>3655</v>
      </c>
      <c r="B2937" s="15" t="s">
        <v>5</v>
      </c>
      <c r="C2937" s="10" t="s">
        <v>3656</v>
      </c>
      <c r="D2937" s="16" t="s">
        <v>9205</v>
      </c>
      <c r="E2937" s="14" t="s">
        <v>11193</v>
      </c>
      <c r="F2937" s="16" t="str">
        <f>VLOOKUP(Table8[[#This Row],[Mã khách hàng]],code_khach_hang[],2,0)</f>
        <v>CHI NHÁNH BẮC NINH - CÔNG TY CỔ PHẦN DỊCH VỤ THƯƠNG MẠI TỔNG HỢP WINCOMMERCE</v>
      </c>
      <c r="G2937" s="16" t="str">
        <f>VLOOKUP(Table8[[#This Row],[Mã khách hàng]],code_khach_hang[],3,0)</f>
        <v>Miền Bắc đặc biệt 2</v>
      </c>
      <c r="H2937" t="str">
        <f>VLOOKUP(Table8[[#This Row],[Mã khách hàng]],'Khách hàng'!A:D,4,0)</f>
        <v>Food Đức Việt</v>
      </c>
      <c r="I2937" t="str">
        <f>VLOOKUP(Table8[[#This Row],[Mã khách hàng]],'Khách hàng'!A:E,5,0)</f>
        <v>HN0040</v>
      </c>
    </row>
    <row r="2938" spans="1:9">
      <c r="A2938" s="14" t="s">
        <v>3624</v>
      </c>
      <c r="B2938" s="15" t="s">
        <v>5</v>
      </c>
      <c r="C2938" s="10" t="s">
        <v>3625</v>
      </c>
      <c r="D2938" s="16" t="s">
        <v>9207</v>
      </c>
      <c r="E2938" s="15" t="s">
        <v>11193</v>
      </c>
      <c r="F2938" s="16" t="str">
        <f>VLOOKUP(Table8[[#This Row],[Mã khách hàng]],code_khach_hang[],2,0)</f>
        <v>CHI NHÁNH BẮC NINH - CÔNG TY CỔ PHẦN DỊCH VỤ THƯƠNG MẠI TỔNG HỢP WINCOMMERCE</v>
      </c>
      <c r="G2938" s="16" t="str">
        <f>VLOOKUP(Table8[[#This Row],[Mã khách hàng]],code_khach_hang[],3,0)</f>
        <v>Miền Bắc đặc biệt 2</v>
      </c>
      <c r="H2938" t="str">
        <f>VLOOKUP(Table8[[#This Row],[Mã khách hàng]],'Khách hàng'!A:D,4,0)</f>
        <v>Food Đức Việt</v>
      </c>
      <c r="I2938" t="str">
        <f>VLOOKUP(Table8[[#This Row],[Mã khách hàng]],'Khách hàng'!A:E,5,0)</f>
        <v>HN0040</v>
      </c>
    </row>
    <row r="2939" spans="1:9">
      <c r="A2939" s="14" t="s">
        <v>3597</v>
      </c>
      <c r="B2939" s="15" t="s">
        <v>5</v>
      </c>
      <c r="C2939" s="10" t="s">
        <v>3598</v>
      </c>
      <c r="D2939" s="16" t="s">
        <v>9209</v>
      </c>
      <c r="E2939" s="15" t="s">
        <v>11193</v>
      </c>
      <c r="F2939" s="16" t="str">
        <f>VLOOKUP(Table8[[#This Row],[Mã khách hàng]],code_khach_hang[],2,0)</f>
        <v>CHI NHÁNH BẮC NINH - CÔNG TY CỔ PHẦN DỊCH VỤ THƯƠNG MẠI TỔNG HỢP WINCOMMERCE</v>
      </c>
      <c r="G2939" s="16" t="str">
        <f>VLOOKUP(Table8[[#This Row],[Mã khách hàng]],code_khach_hang[],3,0)</f>
        <v>Miền Bắc đặc biệt 2</v>
      </c>
      <c r="H2939" t="str">
        <f>VLOOKUP(Table8[[#This Row],[Mã khách hàng]],'Khách hàng'!A:D,4,0)</f>
        <v>Food Đức Việt</v>
      </c>
      <c r="I2939" t="str">
        <f>VLOOKUP(Table8[[#This Row],[Mã khách hàng]],'Khách hàng'!A:E,5,0)</f>
        <v>HN0040</v>
      </c>
    </row>
    <row r="2940" spans="1:9">
      <c r="A2940" s="14" t="s">
        <v>3762</v>
      </c>
      <c r="B2940" s="15" t="s">
        <v>5</v>
      </c>
      <c r="C2940" s="10" t="s">
        <v>13190</v>
      </c>
      <c r="D2940" s="16" t="s">
        <v>9211</v>
      </c>
      <c r="E2940" s="15" t="s">
        <v>11215</v>
      </c>
      <c r="F2940" s="16" t="str">
        <f>VLOOKUP(Table8[[#This Row],[Mã khách hàng]],code_khach_hang[],2,0)</f>
        <v>CHI NHÁNH HÀ NỘI - CÔNG TY CỔ PHẦN DỊCH VỤ THƯƠNG MẠI TỔNG HỢP WINCOMMERCE</v>
      </c>
      <c r="G2940" s="16" t="str">
        <f>VLOOKUP(Table8[[#This Row],[Mã khách hàng]],code_khach_hang[],3,0)</f>
        <v>Miền Bắc đặc biệt 1</v>
      </c>
      <c r="H2940" t="str">
        <f>VLOOKUP(Table8[[#This Row],[Mã khách hàng]],'Khách hàng'!A:D,4,0)</f>
        <v>Food Đức Việt</v>
      </c>
      <c r="I2940" t="str">
        <f>VLOOKUP(Table8[[#This Row],[Mã khách hàng]],'Khách hàng'!A:E,5,0)</f>
        <v>HN0040</v>
      </c>
    </row>
    <row r="2941" spans="1:9">
      <c r="A2941" s="14" t="s">
        <v>3787</v>
      </c>
      <c r="B2941" s="15" t="s">
        <v>5</v>
      </c>
      <c r="C2941" s="10" t="s">
        <v>3788</v>
      </c>
      <c r="D2941" s="16" t="s">
        <v>9213</v>
      </c>
      <c r="E2941" s="15" t="s">
        <v>11197</v>
      </c>
      <c r="F2941" s="16" t="str">
        <f>VLOOKUP(Table8[[#This Row],[Mã khách hàng]],code_khach_hang[],2,0)</f>
        <v>CHI NHÁNH QUẢNG NINH - CÔNG TY CỔ PHẦN DỊCH VỤ THƯƠNG MẠI TỔNG HỢP WINCOMMERCE</v>
      </c>
      <c r="G2941" s="16" t="str">
        <f>VLOOKUP(Table8[[#This Row],[Mã khách hàng]],code_khach_hang[],3,0)</f>
        <v>Miền Bắc đặc biệt 3</v>
      </c>
      <c r="H2941" t="str">
        <f>VLOOKUP(Table8[[#This Row],[Mã khách hàng]],'Khách hàng'!A:D,4,0)</f>
        <v>Food Đức Việt</v>
      </c>
      <c r="I2941" t="str">
        <f>VLOOKUP(Table8[[#This Row],[Mã khách hàng]],'Khách hàng'!A:E,5,0)</f>
        <v>HN0040</v>
      </c>
    </row>
    <row r="2942" spans="1:9">
      <c r="A2942" s="14" t="s">
        <v>3781</v>
      </c>
      <c r="B2942" s="15" t="s">
        <v>5</v>
      </c>
      <c r="C2942" s="10" t="s">
        <v>3782</v>
      </c>
      <c r="D2942" s="16" t="s">
        <v>9215</v>
      </c>
      <c r="E2942" s="15" t="s">
        <v>11197</v>
      </c>
      <c r="F2942" s="16" t="str">
        <f>VLOOKUP(Table8[[#This Row],[Mã khách hàng]],code_khach_hang[],2,0)</f>
        <v>CHI NHÁNH QUẢNG NINH - CÔNG TY CỔ PHẦN DỊCH VỤ THƯƠNG MẠI TỔNG HỢP WINCOMMERCE</v>
      </c>
      <c r="G2942" s="16" t="str">
        <f>VLOOKUP(Table8[[#This Row],[Mã khách hàng]],code_khach_hang[],3,0)</f>
        <v>Miền Bắc đặc biệt 3</v>
      </c>
      <c r="H2942" t="str">
        <f>VLOOKUP(Table8[[#This Row],[Mã khách hàng]],'Khách hàng'!A:D,4,0)</f>
        <v>Food Đức Việt</v>
      </c>
      <c r="I2942" t="str">
        <f>VLOOKUP(Table8[[#This Row],[Mã khách hàng]],'Khách hàng'!A:E,5,0)</f>
        <v>HN0040</v>
      </c>
    </row>
    <row r="2943" spans="1:9">
      <c r="A2943" s="14" t="s">
        <v>3696</v>
      </c>
      <c r="B2943" s="15" t="s">
        <v>5</v>
      </c>
      <c r="C2943" s="10" t="s">
        <v>13191</v>
      </c>
      <c r="D2943" s="16" t="s">
        <v>9217</v>
      </c>
      <c r="E2943" s="15" t="s">
        <v>11215</v>
      </c>
      <c r="F2943" s="16" t="str">
        <f>VLOOKUP(Table8[[#This Row],[Mã khách hàng]],code_khach_hang[],2,0)</f>
        <v>CHI NHÁNH HÀ NỘI - CÔNG TY CỔ PHẦN DỊCH VỤ THƯƠNG MẠI TỔNG HỢP WINCOMMERCE</v>
      </c>
      <c r="G2943" s="16" t="str">
        <f>VLOOKUP(Table8[[#This Row],[Mã khách hàng]],code_khach_hang[],3,0)</f>
        <v>Miền Bắc đặc biệt 1</v>
      </c>
      <c r="H2943" t="str">
        <f>VLOOKUP(Table8[[#This Row],[Mã khách hàng]],'Khách hàng'!A:D,4,0)</f>
        <v>Food Đức Việt</v>
      </c>
      <c r="I2943" t="str">
        <f>VLOOKUP(Table8[[#This Row],[Mã khách hàng]],'Khách hàng'!A:E,5,0)</f>
        <v>HN0040</v>
      </c>
    </row>
    <row r="2944" spans="1:9">
      <c r="A2944" s="14" t="s">
        <v>3636</v>
      </c>
      <c r="B2944" s="15" t="s">
        <v>5</v>
      </c>
      <c r="C2944" s="10" t="s">
        <v>3637</v>
      </c>
      <c r="D2944" s="16" t="s">
        <v>9219</v>
      </c>
      <c r="E2944" s="15" t="s">
        <v>11216</v>
      </c>
      <c r="F2944" s="16" t="str">
        <f>VLOOKUP(Table8[[#This Row],[Mã khách hàng]],code_khach_hang[],2,0)</f>
        <v>CHI NHÁNH HƯNG YÊN - CÔNG TY CỔ PHẦN DỊCH VỤ THƯƠNG MẠI TỔNG HỢP WINCOMMERCE</v>
      </c>
      <c r="G2944" s="16" t="str">
        <f>VLOOKUP(Table8[[#This Row],[Mã khách hàng]],code_khach_hang[],3,0)</f>
        <v>Miền Bắc đặc biệt 1</v>
      </c>
      <c r="H2944" t="str">
        <f>VLOOKUP(Table8[[#This Row],[Mã khách hàng]],'Khách hàng'!A:D,4,0)</f>
        <v>Food Đức Việt</v>
      </c>
      <c r="I2944" t="str">
        <f>VLOOKUP(Table8[[#This Row],[Mã khách hàng]],'Khách hàng'!A:E,5,0)</f>
        <v>HN0040</v>
      </c>
    </row>
    <row r="2945" spans="1:9">
      <c r="A2945" s="14" t="s">
        <v>3704</v>
      </c>
      <c r="B2945" s="15" t="s">
        <v>5</v>
      </c>
      <c r="C2945" s="10" t="s">
        <v>3705</v>
      </c>
      <c r="D2945" s="16" t="s">
        <v>9221</v>
      </c>
      <c r="E2945" s="15" t="s">
        <v>11198</v>
      </c>
      <c r="F2945" s="16" t="str">
        <f>VLOOKUP(Table8[[#This Row],[Mã khách hàng]],code_khach_hang[],2,0)</f>
        <v>CHI NHÁNH HẢI PHÒNG - CÔNG TY CỔ PHẦN DỊCH VỤ THƯƠNG MẠI TỔNG HỢP WINCOMMERCE</v>
      </c>
      <c r="G2945" s="16" t="str">
        <f>VLOOKUP(Table8[[#This Row],[Mã khách hàng]],code_khach_hang[],3,0)</f>
        <v>Miền Bắc đặc biệt 3</v>
      </c>
      <c r="H2945" t="str">
        <f>VLOOKUP(Table8[[#This Row],[Mã khách hàng]],'Khách hàng'!A:D,4,0)</f>
        <v>Food Đức Việt</v>
      </c>
      <c r="I2945" t="str">
        <f>VLOOKUP(Table8[[#This Row],[Mã khách hàng]],'Khách hàng'!A:E,5,0)</f>
        <v>HN0040</v>
      </c>
    </row>
    <row r="2946" spans="1:9">
      <c r="A2946" s="14" t="s">
        <v>3726</v>
      </c>
      <c r="B2946" s="15" t="s">
        <v>5</v>
      </c>
      <c r="C2946" s="10" t="s">
        <v>3727</v>
      </c>
      <c r="D2946" s="16" t="s">
        <v>9223</v>
      </c>
      <c r="E2946" s="15" t="s">
        <v>11198</v>
      </c>
      <c r="F2946" s="16" t="str">
        <f>VLOOKUP(Table8[[#This Row],[Mã khách hàng]],code_khach_hang[],2,0)</f>
        <v>CHI NHÁNH HẢI PHÒNG - CÔNG TY CỔ PHẦN DỊCH VỤ THƯƠNG MẠI TỔNG HỢP WINCOMMERCE</v>
      </c>
      <c r="G2946" s="16" t="str">
        <f>VLOOKUP(Table8[[#This Row],[Mã khách hàng]],code_khach_hang[],3,0)</f>
        <v>Miền Bắc đặc biệt 3</v>
      </c>
      <c r="H2946" t="str">
        <f>VLOOKUP(Table8[[#This Row],[Mã khách hàng]],'Khách hàng'!A:D,4,0)</f>
        <v>Food Đức Việt</v>
      </c>
      <c r="I2946" t="str">
        <f>VLOOKUP(Table8[[#This Row],[Mã khách hàng]],'Khách hàng'!A:E,5,0)</f>
        <v>HN0040</v>
      </c>
    </row>
    <row r="2947" spans="1:9">
      <c r="A2947" s="14" t="s">
        <v>3759</v>
      </c>
      <c r="B2947" s="15" t="s">
        <v>5</v>
      </c>
      <c r="C2947" s="10" t="s">
        <v>3760</v>
      </c>
      <c r="D2947" s="16" t="s">
        <v>9225</v>
      </c>
      <c r="E2947" s="15" t="s">
        <v>11216</v>
      </c>
      <c r="F2947" s="16" t="str">
        <f>VLOOKUP(Table8[[#This Row],[Mã khách hàng]],code_khach_hang[],2,0)</f>
        <v>CHI NHÁNH HƯNG YÊN - CÔNG TY CỔ PHẦN DỊCH VỤ THƯƠNG MẠI TỔNG HỢP WINCOMMERCE</v>
      </c>
      <c r="G2947" s="16" t="str">
        <f>VLOOKUP(Table8[[#This Row],[Mã khách hàng]],code_khach_hang[],3,0)</f>
        <v>Miền Bắc đặc biệt 1</v>
      </c>
      <c r="H2947" t="str">
        <f>VLOOKUP(Table8[[#This Row],[Mã khách hàng]],'Khách hàng'!A:D,4,0)</f>
        <v>Food Đức Việt</v>
      </c>
      <c r="I2947" t="str">
        <f>VLOOKUP(Table8[[#This Row],[Mã khách hàng]],'Khách hàng'!A:E,5,0)</f>
        <v>HN0040</v>
      </c>
    </row>
    <row r="2948" spans="1:9">
      <c r="A2948" s="14" t="s">
        <v>3735</v>
      </c>
      <c r="B2948" s="15" t="s">
        <v>5</v>
      </c>
      <c r="C2948" s="10" t="s">
        <v>3736</v>
      </c>
      <c r="D2948" s="16" t="s">
        <v>9227</v>
      </c>
      <c r="E2948" s="15" t="s">
        <v>11198</v>
      </c>
      <c r="F2948" s="16" t="str">
        <f>VLOOKUP(Table8[[#This Row],[Mã khách hàng]],code_khach_hang[],2,0)</f>
        <v>CHI NHÁNH HẢI PHÒNG - CÔNG TY CỔ PHẦN DỊCH VỤ THƯƠNG MẠI TỔNG HỢP WINCOMMERCE</v>
      </c>
      <c r="G2948" s="16" t="str">
        <f>VLOOKUP(Table8[[#This Row],[Mã khách hàng]],code_khach_hang[],3,0)</f>
        <v>Miền Bắc đặc biệt 3</v>
      </c>
      <c r="H2948" t="str">
        <f>VLOOKUP(Table8[[#This Row],[Mã khách hàng]],'Khách hàng'!A:D,4,0)</f>
        <v>Food Đức Việt</v>
      </c>
      <c r="I2948" t="str">
        <f>VLOOKUP(Table8[[#This Row],[Mã khách hàng]],'Khách hàng'!A:E,5,0)</f>
        <v>HN0040</v>
      </c>
    </row>
    <row r="2949" spans="1:9">
      <c r="A2949" s="14" t="s">
        <v>3470</v>
      </c>
      <c r="B2949" s="15" t="s">
        <v>5</v>
      </c>
      <c r="C2949" s="10" t="s">
        <v>3471</v>
      </c>
      <c r="D2949" s="16" t="s">
        <v>9229</v>
      </c>
      <c r="E2949" s="15" t="s">
        <v>11211</v>
      </c>
      <c r="F2949" s="16" t="str">
        <f>VLOOKUP(Table8[[#This Row],[Mã khách hàng]],code_khach_hang[],2,0)</f>
        <v>CHI NHÁNH NGHỆ AN - CÔNG TY CỔ PHẦN DỊCH VỤ THƯƠNG MẠI TỔNG HỢP WINCOMMERCE</v>
      </c>
      <c r="G2949" s="16" t="str">
        <f>VLOOKUP(Table8[[#This Row],[Mã khách hàng]],code_khach_hang[],3,0)</f>
        <v>Miền Trung đặc biệt 1</v>
      </c>
      <c r="H2949" t="str">
        <f>VLOOKUP(Table8[[#This Row],[Mã khách hàng]],'Khách hàng'!A:D,4,0)</f>
        <v>Food Đức Việt</v>
      </c>
      <c r="I2949" t="str">
        <f>VLOOKUP(Table8[[#This Row],[Mã khách hàng]],'Khách hàng'!A:E,5,0)</f>
        <v>HN0040</v>
      </c>
    </row>
    <row r="2950" spans="1:9">
      <c r="A2950" s="14" t="s">
        <v>3416</v>
      </c>
      <c r="B2950" s="15" t="s">
        <v>5</v>
      </c>
      <c r="C2950" s="10" t="s">
        <v>3417</v>
      </c>
      <c r="D2950" s="16" t="s">
        <v>9231</v>
      </c>
      <c r="E2950" s="15" t="s">
        <v>11211</v>
      </c>
      <c r="F2950" s="16" t="str">
        <f>VLOOKUP(Table8[[#This Row],[Mã khách hàng]],code_khach_hang[],2,0)</f>
        <v>CHI NHÁNH NGHỆ AN - CÔNG TY CỔ PHẦN DỊCH VỤ THƯƠNG MẠI TỔNG HỢP WINCOMMERCE</v>
      </c>
      <c r="G2950" s="16" t="str">
        <f>VLOOKUP(Table8[[#This Row],[Mã khách hàng]],code_khach_hang[],3,0)</f>
        <v>Miền Trung đặc biệt 1</v>
      </c>
      <c r="H2950" t="str">
        <f>VLOOKUP(Table8[[#This Row],[Mã khách hàng]],'Khách hàng'!A:D,4,0)</f>
        <v>Food Đức Việt</v>
      </c>
      <c r="I2950" t="str">
        <f>VLOOKUP(Table8[[#This Row],[Mã khách hàng]],'Khách hàng'!A:E,5,0)</f>
        <v>HN0040</v>
      </c>
    </row>
    <row r="2951" spans="1:9">
      <c r="A2951" s="14" t="s">
        <v>3647</v>
      </c>
      <c r="B2951" s="15" t="s">
        <v>5</v>
      </c>
      <c r="C2951" s="10" t="s">
        <v>13192</v>
      </c>
      <c r="D2951" s="16" t="s">
        <v>9232</v>
      </c>
      <c r="E2951" s="14" t="s">
        <v>11211</v>
      </c>
      <c r="F2951" s="16" t="str">
        <f>VLOOKUP(Table8[[#This Row],[Mã khách hàng]],code_khach_hang[],2,0)</f>
        <v>CHI NHÁNH NGHỆ AN - CÔNG TY CỔ PHẦN DỊCH VỤ THƯƠNG MẠI TỔNG HỢP WINCOMMERCE</v>
      </c>
      <c r="G2951" s="16" t="str">
        <f>VLOOKUP(Table8[[#This Row],[Mã khách hàng]],code_khach_hang[],3,0)</f>
        <v>Miền Trung đặc biệt 1</v>
      </c>
      <c r="H2951" t="str">
        <f>VLOOKUP(Table8[[#This Row],[Mã khách hàng]],'Khách hàng'!A:D,4,0)</f>
        <v>Food Đức Việt</v>
      </c>
      <c r="I2951" t="str">
        <f>VLOOKUP(Table8[[#This Row],[Mã khách hàng]],'Khách hàng'!A:E,5,0)</f>
        <v>HN0040</v>
      </c>
    </row>
    <row r="2952" spans="1:9">
      <c r="A2952" s="14" t="s">
        <v>3724</v>
      </c>
      <c r="B2952" s="15" t="s">
        <v>5</v>
      </c>
      <c r="C2952" s="10" t="s">
        <v>13193</v>
      </c>
      <c r="D2952" s="16" t="s">
        <v>9235</v>
      </c>
      <c r="E2952" s="15" t="s">
        <v>11211</v>
      </c>
      <c r="F2952" s="16" t="str">
        <f>VLOOKUP(Table8[[#This Row],[Mã khách hàng]],code_khach_hang[],2,0)</f>
        <v>CHI NHÁNH NGHỆ AN - CÔNG TY CỔ PHẦN DỊCH VỤ THƯƠNG MẠI TỔNG HỢP WINCOMMERCE</v>
      </c>
      <c r="G2952" s="16" t="str">
        <f>VLOOKUP(Table8[[#This Row],[Mã khách hàng]],code_khach_hang[],3,0)</f>
        <v>Miền Trung đặc biệt 1</v>
      </c>
      <c r="H2952" t="str">
        <f>VLOOKUP(Table8[[#This Row],[Mã khách hàng]],'Khách hàng'!A:D,4,0)</f>
        <v>Food Đức Việt</v>
      </c>
      <c r="I2952" t="str">
        <f>VLOOKUP(Table8[[#This Row],[Mã khách hàng]],'Khách hàng'!A:E,5,0)</f>
        <v>HN0040</v>
      </c>
    </row>
    <row r="2953" spans="1:9">
      <c r="A2953" s="14" t="s">
        <v>3710</v>
      </c>
      <c r="B2953" s="15" t="s">
        <v>5</v>
      </c>
      <c r="C2953" s="10" t="s">
        <v>3711</v>
      </c>
      <c r="D2953" s="16" t="s">
        <v>9237</v>
      </c>
      <c r="E2953" s="15" t="s">
        <v>11211</v>
      </c>
      <c r="F2953" s="16" t="str">
        <f>VLOOKUP(Table8[[#This Row],[Mã khách hàng]],code_khach_hang[],2,0)</f>
        <v>CHI NHÁNH NGHỆ AN - CÔNG TY CỔ PHẦN DỊCH VỤ THƯƠNG MẠI TỔNG HỢP WINCOMMERCE</v>
      </c>
      <c r="G2953" s="16" t="str">
        <f>VLOOKUP(Table8[[#This Row],[Mã khách hàng]],code_khach_hang[],3,0)</f>
        <v>Miền Trung đặc biệt 1</v>
      </c>
      <c r="H2953" t="str">
        <f>VLOOKUP(Table8[[#This Row],[Mã khách hàng]],'Khách hàng'!A:D,4,0)</f>
        <v>Food Đức Việt</v>
      </c>
      <c r="I2953" t="str">
        <f>VLOOKUP(Table8[[#This Row],[Mã khách hàng]],'Khách hàng'!A:E,5,0)</f>
        <v>HN0040</v>
      </c>
    </row>
    <row r="2954" spans="1:9">
      <c r="A2954" s="14" t="s">
        <v>3603</v>
      </c>
      <c r="B2954" s="15" t="s">
        <v>5</v>
      </c>
      <c r="C2954" s="10" t="s">
        <v>3604</v>
      </c>
      <c r="D2954" s="16" t="s">
        <v>9239</v>
      </c>
      <c r="E2954" s="15" t="s">
        <v>11199</v>
      </c>
      <c r="F2954" s="16" t="str">
        <f>VLOOKUP(Table8[[#This Row],[Mã khách hàng]],code_khach_hang[],2,0)</f>
        <v>CHI NHÁNH PHÚ THỌ - CÔNG TY CỔ PHẦN DỊCH VỤ THƯƠNG MẠI TỔNG HỢP WINCOMMERCE</v>
      </c>
      <c r="G2954" s="16" t="str">
        <f>VLOOKUP(Table8[[#This Row],[Mã khách hàng]],code_khach_hang[],3,0)</f>
        <v>Miền Bắc đặc biệt 1</v>
      </c>
      <c r="H2954" t="str">
        <f>VLOOKUP(Table8[[#This Row],[Mã khách hàng]],'Khách hàng'!A:D,4,0)</f>
        <v>Food Đức Việt</v>
      </c>
      <c r="I2954" t="str">
        <f>VLOOKUP(Table8[[#This Row],[Mã khách hàng]],'Khách hàng'!A:E,5,0)</f>
        <v>HN0040</v>
      </c>
    </row>
    <row r="2955" spans="1:9">
      <c r="A2955" s="14" t="s">
        <v>3520</v>
      </c>
      <c r="B2955" s="15" t="s">
        <v>5</v>
      </c>
      <c r="C2955" s="10" t="s">
        <v>3521</v>
      </c>
      <c r="D2955" s="16" t="s">
        <v>9241</v>
      </c>
      <c r="E2955" s="15" t="s">
        <v>11199</v>
      </c>
      <c r="F2955" s="16" t="str">
        <f>VLOOKUP(Table8[[#This Row],[Mã khách hàng]],code_khach_hang[],2,0)</f>
        <v>CHI NHÁNH PHÚ THỌ - CÔNG TY CỔ PHẦN DỊCH VỤ THƯƠNG MẠI TỔNG HỢP WINCOMMERCE</v>
      </c>
      <c r="G2955" s="16" t="str">
        <f>VLOOKUP(Table8[[#This Row],[Mã khách hàng]],code_khach_hang[],3,0)</f>
        <v>Miền Bắc đặc biệt 1</v>
      </c>
      <c r="H2955" t="str">
        <f>VLOOKUP(Table8[[#This Row],[Mã khách hàng]],'Khách hàng'!A:D,4,0)</f>
        <v>Food Đức Việt</v>
      </c>
      <c r="I2955" t="str">
        <f>VLOOKUP(Table8[[#This Row],[Mã khách hàng]],'Khách hàng'!A:E,5,0)</f>
        <v>HN0040</v>
      </c>
    </row>
    <row r="2956" spans="1:9">
      <c r="A2956" s="14" t="s">
        <v>3407</v>
      </c>
      <c r="B2956" s="15" t="s">
        <v>5</v>
      </c>
      <c r="C2956" s="10" t="s">
        <v>3408</v>
      </c>
      <c r="D2956" s="16" t="s">
        <v>9243</v>
      </c>
      <c r="E2956" s="15" t="s">
        <v>11199</v>
      </c>
      <c r="F2956" s="16" t="str">
        <f>VLOOKUP(Table8[[#This Row],[Mã khách hàng]],code_khach_hang[],2,0)</f>
        <v>CHI NHÁNH PHÚ THỌ - CÔNG TY CỔ PHẦN DỊCH VỤ THƯƠNG MẠI TỔNG HỢP WINCOMMERCE</v>
      </c>
      <c r="G2956" s="16" t="str">
        <f>VLOOKUP(Table8[[#This Row],[Mã khách hàng]],code_khach_hang[],3,0)</f>
        <v>Miền Bắc đặc biệt 1</v>
      </c>
      <c r="H2956" t="str">
        <f>VLOOKUP(Table8[[#This Row],[Mã khách hàng]],'Khách hàng'!A:D,4,0)</f>
        <v>Food Đức Việt</v>
      </c>
      <c r="I2956" t="str">
        <f>VLOOKUP(Table8[[#This Row],[Mã khách hàng]],'Khách hàng'!A:E,5,0)</f>
        <v>HN0040</v>
      </c>
    </row>
    <row r="2957" spans="1:9">
      <c r="A2957" s="14" t="s">
        <v>3764</v>
      </c>
      <c r="B2957" s="15" t="s">
        <v>5</v>
      </c>
      <c r="C2957" s="10" t="s">
        <v>3765</v>
      </c>
      <c r="D2957" s="16" t="s">
        <v>9245</v>
      </c>
      <c r="E2957" s="15" t="s">
        <v>11197</v>
      </c>
      <c r="F2957" s="16" t="str">
        <f>VLOOKUP(Table8[[#This Row],[Mã khách hàng]],code_khach_hang[],2,0)</f>
        <v>CHI NHÁNH QUẢNG NINH - CÔNG TY CỔ PHẦN DỊCH VỤ THƯƠNG MẠI TỔNG HỢP WINCOMMERCE</v>
      </c>
      <c r="G2957" s="16" t="str">
        <f>VLOOKUP(Table8[[#This Row],[Mã khách hàng]],code_khach_hang[],3,0)</f>
        <v>Miền Bắc đặc biệt 3</v>
      </c>
      <c r="H2957" t="str">
        <f>VLOOKUP(Table8[[#This Row],[Mã khách hàng]],'Khách hàng'!A:D,4,0)</f>
        <v>Food Đức Việt</v>
      </c>
      <c r="I2957" t="str">
        <f>VLOOKUP(Table8[[#This Row],[Mã khách hàng]],'Khách hàng'!A:E,5,0)</f>
        <v>HN0040</v>
      </c>
    </row>
    <row r="2958" spans="1:9">
      <c r="A2958" s="14" t="s">
        <v>3698</v>
      </c>
      <c r="B2958" s="15" t="s">
        <v>5</v>
      </c>
      <c r="C2958" s="10" t="s">
        <v>3699</v>
      </c>
      <c r="D2958" s="16" t="s">
        <v>9247</v>
      </c>
      <c r="E2958" s="15" t="s">
        <v>11197</v>
      </c>
      <c r="F2958" s="16" t="str">
        <f>VLOOKUP(Table8[[#This Row],[Mã khách hàng]],code_khach_hang[],2,0)</f>
        <v>CHI NHÁNH QUẢNG NINH - CÔNG TY CỔ PHẦN DỊCH VỤ THƯƠNG MẠI TỔNG HỢP WINCOMMERCE</v>
      </c>
      <c r="G2958" s="16" t="str">
        <f>VLOOKUP(Table8[[#This Row],[Mã khách hàng]],code_khach_hang[],3,0)</f>
        <v>Miền Bắc đặc biệt 3</v>
      </c>
      <c r="H2958" t="str">
        <f>VLOOKUP(Table8[[#This Row],[Mã khách hàng]],'Khách hàng'!A:D,4,0)</f>
        <v>Food Đức Việt</v>
      </c>
      <c r="I2958" t="str">
        <f>VLOOKUP(Table8[[#This Row],[Mã khách hàng]],'Khách hàng'!A:E,5,0)</f>
        <v>HN0040</v>
      </c>
    </row>
    <row r="2959" spans="1:9">
      <c r="A2959" s="14" t="s">
        <v>3509</v>
      </c>
      <c r="B2959" s="15" t="s">
        <v>5</v>
      </c>
      <c r="C2959" s="10" t="s">
        <v>3510</v>
      </c>
      <c r="D2959" s="16" t="s">
        <v>9249</v>
      </c>
      <c r="E2959" s="15" t="s">
        <v>11199</v>
      </c>
      <c r="F2959" s="16" t="str">
        <f>VLOOKUP(Table8[[#This Row],[Mã khách hàng]],code_khach_hang[],2,0)</f>
        <v>CHI NHÁNH PHÚ THỌ - CÔNG TY CỔ PHẦN DỊCH VỤ THƯƠNG MẠI TỔNG HỢP WINCOMMERCE</v>
      </c>
      <c r="G2959" s="16" t="str">
        <f>VLOOKUP(Table8[[#This Row],[Mã khách hàng]],code_khach_hang[],3,0)</f>
        <v>Miền Bắc đặc biệt 1</v>
      </c>
      <c r="H2959" t="str">
        <f>VLOOKUP(Table8[[#This Row],[Mã khách hàng]],'Khách hàng'!A:D,4,0)</f>
        <v>Food Đức Việt</v>
      </c>
      <c r="I2959" t="str">
        <f>VLOOKUP(Table8[[#This Row],[Mã khách hàng]],'Khách hàng'!A:E,5,0)</f>
        <v>HN0040</v>
      </c>
    </row>
    <row r="2960" spans="1:9">
      <c r="A2960" s="14" t="s">
        <v>3214</v>
      </c>
      <c r="B2960" s="15" t="s">
        <v>5</v>
      </c>
      <c r="C2960" s="10" t="s">
        <v>3215</v>
      </c>
      <c r="D2960" s="16" t="s">
        <v>9251</v>
      </c>
      <c r="E2960" s="15" t="s">
        <v>11215</v>
      </c>
      <c r="F2960" s="16" t="str">
        <f>VLOOKUP(Table8[[#This Row],[Mã khách hàng]],code_khach_hang[],2,0)</f>
        <v>CHI NHÁNH HÀ NỘI - CÔNG TY CỔ PHẦN DỊCH VỤ THƯƠNG MẠI TỔNG HỢP WINCOMMERCE</v>
      </c>
      <c r="G2960" s="16" t="str">
        <f>VLOOKUP(Table8[[#This Row],[Mã khách hàng]],code_khach_hang[],3,0)</f>
        <v>Miền Bắc đặc biệt 1</v>
      </c>
      <c r="H2960" t="str">
        <f>VLOOKUP(Table8[[#This Row],[Mã khách hàng]],'Khách hàng'!A:D,4,0)</f>
        <v>Food Đức Việt</v>
      </c>
      <c r="I2960" t="str">
        <f>VLOOKUP(Table8[[#This Row],[Mã khách hàng]],'Khách hàng'!A:E,5,0)</f>
        <v>HN0040</v>
      </c>
    </row>
    <row r="2961" spans="1:9">
      <c r="A2961" s="14" t="s">
        <v>3773</v>
      </c>
      <c r="B2961" s="15" t="s">
        <v>5</v>
      </c>
      <c r="C2961" s="10" t="s">
        <v>3774</v>
      </c>
      <c r="D2961" s="16" t="s">
        <v>9254</v>
      </c>
      <c r="E2961" s="15" t="s">
        <v>11197</v>
      </c>
      <c r="F2961" s="16" t="str">
        <f>VLOOKUP(Table8[[#This Row],[Mã khách hàng]],code_khach_hang[],2,0)</f>
        <v>CHI NHÁNH QUẢNG NINH - CÔNG TY CỔ PHẦN DỊCH VỤ THƯƠNG MẠI TỔNG HỢP WINCOMMERCE</v>
      </c>
      <c r="G2961" s="16" t="str">
        <f>VLOOKUP(Table8[[#This Row],[Mã khách hàng]],code_khach_hang[],3,0)</f>
        <v>Miền Bắc đặc biệt 3</v>
      </c>
      <c r="H2961" t="str">
        <f>VLOOKUP(Table8[[#This Row],[Mã khách hàng]],'Khách hàng'!A:D,4,0)</f>
        <v>Food Đức Việt</v>
      </c>
      <c r="I2961" t="str">
        <f>VLOOKUP(Table8[[#This Row],[Mã khách hàng]],'Khách hàng'!A:E,5,0)</f>
        <v>HN0040</v>
      </c>
    </row>
    <row r="2962" spans="1:9">
      <c r="A2962" s="14" t="s">
        <v>3784</v>
      </c>
      <c r="B2962" s="15" t="s">
        <v>5</v>
      </c>
      <c r="C2962" s="10" t="s">
        <v>3785</v>
      </c>
      <c r="D2962" s="16" t="s">
        <v>9257</v>
      </c>
      <c r="E2962" s="15" t="s">
        <v>11197</v>
      </c>
      <c r="F2962" s="16" t="str">
        <f>VLOOKUP(Table8[[#This Row],[Mã khách hàng]],code_khach_hang[],2,0)</f>
        <v>CHI NHÁNH QUẢNG NINH - CÔNG TY CỔ PHẦN DỊCH VỤ THƯƠNG MẠI TỔNG HỢP WINCOMMERCE</v>
      </c>
      <c r="G2962" s="16" t="str">
        <f>VLOOKUP(Table8[[#This Row],[Mã khách hàng]],code_khach_hang[],3,0)</f>
        <v>Miền Bắc đặc biệt 3</v>
      </c>
      <c r="H2962" t="str">
        <f>VLOOKUP(Table8[[#This Row],[Mã khách hàng]],'Khách hàng'!A:D,4,0)</f>
        <v>Food Đức Việt</v>
      </c>
      <c r="I2962" t="str">
        <f>VLOOKUP(Table8[[#This Row],[Mã khách hàng]],'Khách hàng'!A:E,5,0)</f>
        <v>HN0040</v>
      </c>
    </row>
    <row r="2963" spans="1:9">
      <c r="A2963" s="14" t="s">
        <v>3729</v>
      </c>
      <c r="B2963" s="15" t="s">
        <v>5</v>
      </c>
      <c r="C2963" s="10" t="s">
        <v>3730</v>
      </c>
      <c r="D2963" s="16" t="s">
        <v>9260</v>
      </c>
      <c r="E2963" s="15" t="s">
        <v>11215</v>
      </c>
      <c r="F2963" s="16" t="str">
        <f>VLOOKUP(Table8[[#This Row],[Mã khách hàng]],code_khach_hang[],2,0)</f>
        <v>CHI NHÁNH HÀ NỘI - CÔNG TY CỔ PHẦN DỊCH VỤ THƯƠNG MẠI TỔNG HỢP WINCOMMERCE</v>
      </c>
      <c r="G2963" s="16" t="str">
        <f>VLOOKUP(Table8[[#This Row],[Mã khách hàng]],code_khach_hang[],3,0)</f>
        <v>Miền Bắc đặc biệt 1</v>
      </c>
      <c r="H2963" t="str">
        <f>VLOOKUP(Table8[[#This Row],[Mã khách hàng]],'Khách hàng'!A:D,4,0)</f>
        <v>Food Đức Việt</v>
      </c>
      <c r="I2963" t="str">
        <f>VLOOKUP(Table8[[#This Row],[Mã khách hàng]],'Khách hàng'!A:E,5,0)</f>
        <v>HN0040</v>
      </c>
    </row>
    <row r="2964" spans="1:9">
      <c r="A2964" s="14" t="s">
        <v>3339</v>
      </c>
      <c r="B2964" s="15" t="s">
        <v>5</v>
      </c>
      <c r="C2964" s="10" t="s">
        <v>3340</v>
      </c>
      <c r="D2964" s="16" t="s">
        <v>9262</v>
      </c>
      <c r="E2964" s="15" t="s">
        <v>11196</v>
      </c>
      <c r="F2964" s="16" t="str">
        <f>VLOOKUP(Table8[[#This Row],[Mã khách hàng]],code_khach_hang[],2,0)</f>
        <v>CHI NHÁNH NINH BÌNH - CÔNG TY CỔ PHẦN DỊCH VỤ THƯƠNG MẠI TỔNG HỢP WINCOMMERCE</v>
      </c>
      <c r="G2964" s="16" t="str">
        <f>VLOOKUP(Table8[[#This Row],[Mã khách hàng]],code_khach_hang[],3,0)</f>
        <v>Miền Bắc đặc biệt 3</v>
      </c>
      <c r="H2964" t="str">
        <f>VLOOKUP(Table8[[#This Row],[Mã khách hàng]],'Khách hàng'!A:D,4,0)</f>
        <v>Food Đức Việt</v>
      </c>
      <c r="I2964" t="str">
        <f>VLOOKUP(Table8[[#This Row],[Mã khách hàng]],'Khách hàng'!A:E,5,0)</f>
        <v>HN0040</v>
      </c>
    </row>
    <row r="2965" spans="1:9">
      <c r="A2965" s="14" t="s">
        <v>3306</v>
      </c>
      <c r="B2965" s="15" t="s">
        <v>5</v>
      </c>
      <c r="C2965" s="10" t="s">
        <v>3307</v>
      </c>
      <c r="D2965" s="16" t="s">
        <v>9265</v>
      </c>
      <c r="E2965" s="15" t="s">
        <v>11196</v>
      </c>
      <c r="F2965" s="16" t="str">
        <f>VLOOKUP(Table8[[#This Row],[Mã khách hàng]],code_khach_hang[],2,0)</f>
        <v>CHI NHÁNH NINH BÌNH - CÔNG TY CỔ PHẦN DỊCH VỤ THƯƠNG MẠI TỔNG HỢP WINCOMMERCE</v>
      </c>
      <c r="G2965" s="16" t="str">
        <f>VLOOKUP(Table8[[#This Row],[Mã khách hàng]],code_khach_hang[],3,0)</f>
        <v>Miền Bắc đặc biệt 3</v>
      </c>
      <c r="H2965" t="str">
        <f>VLOOKUP(Table8[[#This Row],[Mã khách hàng]],'Khách hàng'!A:D,4,0)</f>
        <v>Food Đức Việt</v>
      </c>
      <c r="I2965" t="str">
        <f>VLOOKUP(Table8[[#This Row],[Mã khách hàng]],'Khách hàng'!A:E,5,0)</f>
        <v>HN0040</v>
      </c>
    </row>
    <row r="2966" spans="1:9">
      <c r="A2966" s="14" t="s">
        <v>3583</v>
      </c>
      <c r="B2966" s="15" t="s">
        <v>5</v>
      </c>
      <c r="C2966" s="10" t="s">
        <v>3584</v>
      </c>
      <c r="D2966" s="16" t="s">
        <v>9267</v>
      </c>
      <c r="E2966" s="15" t="s">
        <v>11222</v>
      </c>
      <c r="F2966" s="16" t="str">
        <f>VLOOKUP(Table8[[#This Row],[Mã khách hàng]],code_khach_hang[],2,0)</f>
        <v>CHI NHÁNH CAO BẰNG - CÔNG TY CỔ PHẦN DỊCH VỤ THƯƠNG MẠI TỔNG HỢP WINCOMMERCE</v>
      </c>
      <c r="G2966" s="16" t="str">
        <f>VLOOKUP(Table8[[#This Row],[Mã khách hàng]],code_khach_hang[],3,0)</f>
        <v>Miền Bắc đặc biệt 2</v>
      </c>
      <c r="H2966" t="str">
        <f>VLOOKUP(Table8[[#This Row],[Mã khách hàng]],'Khách hàng'!A:D,4,0)</f>
        <v>Food Đức Việt</v>
      </c>
      <c r="I2966" t="str">
        <f>VLOOKUP(Table8[[#This Row],[Mã khách hàng]],'Khách hàng'!A:E,5,0)</f>
        <v>HN0040</v>
      </c>
    </row>
    <row r="2967" spans="1:9">
      <c r="A2967" s="14" t="s">
        <v>3534</v>
      </c>
      <c r="B2967" s="15" t="s">
        <v>5</v>
      </c>
      <c r="C2967" s="10" t="s">
        <v>3535</v>
      </c>
      <c r="D2967" s="16" t="s">
        <v>9269</v>
      </c>
      <c r="E2967" s="15" t="s">
        <v>11196</v>
      </c>
      <c r="F2967" s="16" t="str">
        <f>VLOOKUP(Table8[[#This Row],[Mã khách hàng]],code_khach_hang[],2,0)</f>
        <v>CHI NHÁNH NINH BÌNH - CÔNG TY CỔ PHẦN DỊCH VỤ THƯƠNG MẠI TỔNG HỢP WINCOMMERCE</v>
      </c>
      <c r="G2967" s="16" t="str">
        <f>VLOOKUP(Table8[[#This Row],[Mã khách hàng]],code_khach_hang[],3,0)</f>
        <v>Miền Bắc đặc biệt 3</v>
      </c>
      <c r="H2967" t="str">
        <f>VLOOKUP(Table8[[#This Row],[Mã khách hàng]],'Khách hàng'!A:D,4,0)</f>
        <v>Food Đức Việt</v>
      </c>
      <c r="I2967" t="str">
        <f>VLOOKUP(Table8[[#This Row],[Mã khách hàng]],'Khách hàng'!A:E,5,0)</f>
        <v>HN0040</v>
      </c>
    </row>
    <row r="2968" spans="1:9">
      <c r="A2968" s="14" t="s">
        <v>3690</v>
      </c>
      <c r="B2968" s="15" t="s">
        <v>5</v>
      </c>
      <c r="C2968" s="10" t="s">
        <v>3691</v>
      </c>
      <c r="D2968" s="16" t="s">
        <v>9271</v>
      </c>
      <c r="E2968" s="15" t="s">
        <v>11196</v>
      </c>
      <c r="F2968" s="16" t="str">
        <f>VLOOKUP(Table8[[#This Row],[Mã khách hàng]],code_khach_hang[],2,0)</f>
        <v>CHI NHÁNH NINH BÌNH - CÔNG TY CỔ PHẦN DỊCH VỤ THƯƠNG MẠI TỔNG HỢP WINCOMMERCE</v>
      </c>
      <c r="G2968" s="16" t="str">
        <f>VLOOKUP(Table8[[#This Row],[Mã khách hàng]],code_khach_hang[],3,0)</f>
        <v>Miền Bắc đặc biệt 3</v>
      </c>
      <c r="H2968" t="str">
        <f>VLOOKUP(Table8[[#This Row],[Mã khách hàng]],'Khách hàng'!A:D,4,0)</f>
        <v>Food Đức Việt</v>
      </c>
      <c r="I2968" t="str">
        <f>VLOOKUP(Table8[[#This Row],[Mã khách hàng]],'Khách hàng'!A:E,5,0)</f>
        <v>HN0040</v>
      </c>
    </row>
    <row r="2969" spans="1:9">
      <c r="A2969" s="14" t="s">
        <v>3094</v>
      </c>
      <c r="B2969" s="15" t="s">
        <v>5</v>
      </c>
      <c r="C2969" s="10" t="s">
        <v>3095</v>
      </c>
      <c r="D2969" s="16" t="s">
        <v>9273</v>
      </c>
      <c r="E2969" s="15" t="s">
        <v>11216</v>
      </c>
      <c r="F2969" s="16" t="str">
        <f>VLOOKUP(Table8[[#This Row],[Mã khách hàng]],code_khach_hang[],2,0)</f>
        <v>CHI NHÁNH HƯNG YÊN - CÔNG TY CỔ PHẦN DỊCH VỤ THƯƠNG MẠI TỔNG HỢP WINCOMMERCE</v>
      </c>
      <c r="G2969" s="16" t="str">
        <f>VLOOKUP(Table8[[#This Row],[Mã khách hàng]],code_khach_hang[],3,0)</f>
        <v>Miền Bắc đặc biệt 1</v>
      </c>
      <c r="H2969" t="str">
        <f>VLOOKUP(Table8[[#This Row],[Mã khách hàng]],'Khách hàng'!A:D,4,0)</f>
        <v>Food Đức Việt</v>
      </c>
      <c r="I2969" t="str">
        <f>VLOOKUP(Table8[[#This Row],[Mã khách hàng]],'Khách hàng'!A:E,5,0)</f>
        <v>HN0040</v>
      </c>
    </row>
    <row r="2970" spans="1:9">
      <c r="A2970" s="14" t="s">
        <v>3871</v>
      </c>
      <c r="B2970" s="15" t="s">
        <v>5</v>
      </c>
      <c r="C2970" s="10" t="s">
        <v>3872</v>
      </c>
      <c r="D2970" s="16" t="s">
        <v>9276</v>
      </c>
      <c r="E2970" s="15" t="s">
        <v>11211</v>
      </c>
      <c r="F2970" s="16" t="str">
        <f>VLOOKUP(Table8[[#This Row],[Mã khách hàng]],code_khach_hang[],2,0)</f>
        <v>CHI NHÁNH NGHỆ AN - CÔNG TY CỔ PHẦN DỊCH VỤ THƯƠNG MẠI TỔNG HỢP WINCOMMERCE</v>
      </c>
      <c r="G2970" s="16" t="str">
        <f>VLOOKUP(Table8[[#This Row],[Mã khách hàng]],code_khach_hang[],3,0)</f>
        <v>Miền Trung đặc biệt 1</v>
      </c>
      <c r="H2970" t="str">
        <f>VLOOKUP(Table8[[#This Row],[Mã khách hàng]],'Khách hàng'!A:D,4,0)</f>
        <v>Food Đức Việt</v>
      </c>
      <c r="I2970" t="str">
        <f>VLOOKUP(Table8[[#This Row],[Mã khách hàng]],'Khách hàng'!A:E,5,0)</f>
        <v>HN0040</v>
      </c>
    </row>
    <row r="2971" spans="1:9">
      <c r="A2971" s="14" t="s">
        <v>3721</v>
      </c>
      <c r="B2971" s="15" t="s">
        <v>5</v>
      </c>
      <c r="C2971" s="10" t="s">
        <v>3722</v>
      </c>
      <c r="D2971" s="16" t="s">
        <v>9278</v>
      </c>
      <c r="E2971" s="15" t="s">
        <v>11196</v>
      </c>
      <c r="F2971" s="16" t="str">
        <f>VLOOKUP(Table8[[#This Row],[Mã khách hàng]],code_khach_hang[],2,0)</f>
        <v>CHI NHÁNH NINH BÌNH - CÔNG TY CỔ PHẦN DỊCH VỤ THƯƠNG MẠI TỔNG HỢP WINCOMMERCE</v>
      </c>
      <c r="G2971" s="16" t="str">
        <f>VLOOKUP(Table8[[#This Row],[Mã khách hàng]],code_khach_hang[],3,0)</f>
        <v>Miền Bắc đặc biệt 3</v>
      </c>
      <c r="H2971" t="str">
        <f>VLOOKUP(Table8[[#This Row],[Mã khách hàng]],'Khách hàng'!A:D,4,0)</f>
        <v>Food Đức Việt</v>
      </c>
      <c r="I2971" t="str">
        <f>VLOOKUP(Table8[[#This Row],[Mã khách hàng]],'Khách hàng'!A:E,5,0)</f>
        <v>HN0040</v>
      </c>
    </row>
    <row r="2972" spans="1:9">
      <c r="A2972" s="14" t="s">
        <v>3832</v>
      </c>
      <c r="B2972" s="15" t="s">
        <v>5</v>
      </c>
      <c r="C2972" s="10" t="s">
        <v>3833</v>
      </c>
      <c r="D2972" s="16" t="s">
        <v>9280</v>
      </c>
      <c r="E2972" s="15" t="s">
        <v>11216</v>
      </c>
      <c r="F2972" s="16" t="str">
        <f>VLOOKUP(Table8[[#This Row],[Mã khách hàng]],code_khach_hang[],2,0)</f>
        <v>CHI NHÁNH HƯNG YÊN - CÔNG TY CỔ PHẦN DỊCH VỤ THƯƠNG MẠI TỔNG HỢP WINCOMMERCE</v>
      </c>
      <c r="G2972" s="16" t="str">
        <f>VLOOKUP(Table8[[#This Row],[Mã khách hàng]],code_khach_hang[],3,0)</f>
        <v>Miền Bắc đặc biệt 1</v>
      </c>
      <c r="H2972" t="str">
        <f>VLOOKUP(Table8[[#This Row],[Mã khách hàng]],'Khách hàng'!A:D,4,0)</f>
        <v>Food Đức Việt</v>
      </c>
      <c r="I2972" t="str">
        <f>VLOOKUP(Table8[[#This Row],[Mã khách hàng]],'Khách hàng'!A:E,5,0)</f>
        <v>HN0040</v>
      </c>
    </row>
    <row r="2973" spans="1:9">
      <c r="A2973" s="14" t="s">
        <v>3810</v>
      </c>
      <c r="B2973" s="15" t="s">
        <v>5</v>
      </c>
      <c r="C2973" s="10" t="s">
        <v>3811</v>
      </c>
      <c r="D2973" s="16" t="s">
        <v>9282</v>
      </c>
      <c r="E2973" s="15" t="s">
        <v>11198</v>
      </c>
      <c r="F2973" s="16" t="str">
        <f>VLOOKUP(Table8[[#This Row],[Mã khách hàng]],code_khach_hang[],2,0)</f>
        <v>CHI NHÁNH HẢI PHÒNG - CÔNG TY CỔ PHẦN DỊCH VỤ THƯƠNG MẠI TỔNG HỢP WINCOMMERCE</v>
      </c>
      <c r="G2973" s="16" t="str">
        <f>VLOOKUP(Table8[[#This Row],[Mã khách hàng]],code_khach_hang[],3,0)</f>
        <v>Miền Bắc đặc biệt 3</v>
      </c>
      <c r="H2973" t="str">
        <f>VLOOKUP(Table8[[#This Row],[Mã khách hàng]],'Khách hàng'!A:D,4,0)</f>
        <v>Food Đức Việt</v>
      </c>
      <c r="I2973" t="str">
        <f>VLOOKUP(Table8[[#This Row],[Mã khách hàng]],'Khách hàng'!A:E,5,0)</f>
        <v>HN0040</v>
      </c>
    </row>
    <row r="2974" spans="1:9">
      <c r="A2974" s="14" t="s">
        <v>3693</v>
      </c>
      <c r="B2974" s="15" t="s">
        <v>5</v>
      </c>
      <c r="C2974" s="10" t="s">
        <v>3694</v>
      </c>
      <c r="D2974" s="16" t="s">
        <v>9284</v>
      </c>
      <c r="E2974" s="15" t="s">
        <v>11196</v>
      </c>
      <c r="F2974" s="16" t="str">
        <f>VLOOKUP(Table8[[#This Row],[Mã khách hàng]],code_khach_hang[],2,0)</f>
        <v>CHI NHÁNH NINH BÌNH - CÔNG TY CỔ PHẦN DỊCH VỤ THƯƠNG MẠI TỔNG HỢP WINCOMMERCE</v>
      </c>
      <c r="G2974" s="16" t="str">
        <f>VLOOKUP(Table8[[#This Row],[Mã khách hàng]],code_khach_hang[],3,0)</f>
        <v>Miền Bắc đặc biệt 3</v>
      </c>
      <c r="H2974" t="str">
        <f>VLOOKUP(Table8[[#This Row],[Mã khách hàng]],'Khách hàng'!A:D,4,0)</f>
        <v>Food Đức Việt</v>
      </c>
      <c r="I2974" t="str">
        <f>VLOOKUP(Table8[[#This Row],[Mã khách hàng]],'Khách hàng'!A:E,5,0)</f>
        <v>HN0040</v>
      </c>
    </row>
    <row r="2975" spans="1:9">
      <c r="A2975" s="14" t="s">
        <v>3473</v>
      </c>
      <c r="B2975" s="15" t="s">
        <v>5</v>
      </c>
      <c r="C2975" s="10" t="s">
        <v>3474</v>
      </c>
      <c r="D2975" s="16" t="s">
        <v>9286</v>
      </c>
      <c r="E2975" s="15" t="s">
        <v>11222</v>
      </c>
      <c r="F2975" s="16" t="str">
        <f>VLOOKUP(Table8[[#This Row],[Mã khách hàng]],code_khach_hang[],2,0)</f>
        <v>CHI NHÁNH CAO BẰNG - CÔNG TY CỔ PHẦN DỊCH VỤ THƯƠNG MẠI TỔNG HỢP WINCOMMERCE</v>
      </c>
      <c r="G2975" s="16" t="str">
        <f>VLOOKUP(Table8[[#This Row],[Mã khách hàng]],code_khach_hang[],3,0)</f>
        <v>Miền Bắc đặc biệt 2</v>
      </c>
      <c r="H2975" t="str">
        <f>VLOOKUP(Table8[[#This Row],[Mã khách hàng]],'Khách hàng'!A:D,4,0)</f>
        <v>Food Đức Việt</v>
      </c>
      <c r="I2975" t="str">
        <f>VLOOKUP(Table8[[#This Row],[Mã khách hàng]],'Khách hàng'!A:E,5,0)</f>
        <v>HN0040</v>
      </c>
    </row>
    <row r="2976" spans="1:9">
      <c r="A2976" s="14" t="s">
        <v>3644</v>
      </c>
      <c r="B2976" s="15" t="s">
        <v>5</v>
      </c>
      <c r="C2976" s="10" t="s">
        <v>3645</v>
      </c>
      <c r="D2976" s="16" t="s">
        <v>9288</v>
      </c>
      <c r="E2976" s="15" t="s">
        <v>11193</v>
      </c>
      <c r="F2976" s="16" t="str">
        <f>VLOOKUP(Table8[[#This Row],[Mã khách hàng]],code_khach_hang[],2,0)</f>
        <v>CHI NHÁNH BẮC NINH - CÔNG TY CỔ PHẦN DỊCH VỤ THƯƠNG MẠI TỔNG HỢP WINCOMMERCE</v>
      </c>
      <c r="G2976" s="16" t="str">
        <f>VLOOKUP(Table8[[#This Row],[Mã khách hàng]],code_khach_hang[],3,0)</f>
        <v>Miền Bắc đặc biệt 2</v>
      </c>
      <c r="H2976" t="str">
        <f>VLOOKUP(Table8[[#This Row],[Mã khách hàng]],'Khách hàng'!A:D,4,0)</f>
        <v>Food Đức Việt</v>
      </c>
      <c r="I2976" t="str">
        <f>VLOOKUP(Table8[[#This Row],[Mã khách hàng]],'Khách hàng'!A:E,5,0)</f>
        <v>HN0040</v>
      </c>
    </row>
    <row r="2977" spans="1:9">
      <c r="A2977" s="14" t="s">
        <v>3756</v>
      </c>
      <c r="B2977" s="15" t="s">
        <v>5</v>
      </c>
      <c r="C2977" s="10" t="s">
        <v>3757</v>
      </c>
      <c r="D2977" s="16" t="s">
        <v>9290</v>
      </c>
      <c r="E2977" s="15" t="s">
        <v>11193</v>
      </c>
      <c r="F2977" s="16" t="str">
        <f>VLOOKUP(Table8[[#This Row],[Mã khách hàng]],code_khach_hang[],2,0)</f>
        <v>CHI NHÁNH BẮC NINH - CÔNG TY CỔ PHẦN DỊCH VỤ THƯƠNG MẠI TỔNG HỢP WINCOMMERCE</v>
      </c>
      <c r="G2977" s="16" t="str">
        <f>VLOOKUP(Table8[[#This Row],[Mã khách hàng]],code_khach_hang[],3,0)</f>
        <v>Miền Bắc đặc biệt 2</v>
      </c>
      <c r="H2977" t="str">
        <f>VLOOKUP(Table8[[#This Row],[Mã khách hàng]],'Khách hàng'!A:D,4,0)</f>
        <v>Food Đức Việt</v>
      </c>
      <c r="I2977" t="str">
        <f>VLOOKUP(Table8[[#This Row],[Mã khách hàng]],'Khách hàng'!A:E,5,0)</f>
        <v>HN0040</v>
      </c>
    </row>
    <row r="2978" spans="1:9">
      <c r="A2978" s="14" t="s">
        <v>3790</v>
      </c>
      <c r="B2978" s="15" t="s">
        <v>5</v>
      </c>
      <c r="C2978" s="10" t="s">
        <v>3791</v>
      </c>
      <c r="D2978" s="16" t="s">
        <v>9292</v>
      </c>
      <c r="E2978" s="15" t="s">
        <v>11196</v>
      </c>
      <c r="F2978" s="16" t="str">
        <f>VLOOKUP(Table8[[#This Row],[Mã khách hàng]],code_khach_hang[],2,0)</f>
        <v>CHI NHÁNH NINH BÌNH - CÔNG TY CỔ PHẦN DỊCH VỤ THƯƠNG MẠI TỔNG HỢP WINCOMMERCE</v>
      </c>
      <c r="G2978" s="16" t="str">
        <f>VLOOKUP(Table8[[#This Row],[Mã khách hàng]],code_khach_hang[],3,0)</f>
        <v>Miền Bắc đặc biệt 3</v>
      </c>
      <c r="H2978" t="str">
        <f>VLOOKUP(Table8[[#This Row],[Mã khách hàng]],'Khách hàng'!A:D,4,0)</f>
        <v>Food Đức Việt</v>
      </c>
      <c r="I2978" t="str">
        <f>VLOOKUP(Table8[[#This Row],[Mã khách hàng]],'Khách hàng'!A:E,5,0)</f>
        <v>HN0040</v>
      </c>
    </row>
    <row r="2979" spans="1:9">
      <c r="A2979" s="14" t="s">
        <v>3661</v>
      </c>
      <c r="B2979" s="15" t="s">
        <v>5</v>
      </c>
      <c r="C2979" s="10" t="s">
        <v>13194</v>
      </c>
      <c r="D2979" s="16" t="s">
        <v>9294</v>
      </c>
      <c r="E2979" s="15" t="s">
        <v>11199</v>
      </c>
      <c r="F2979" s="16" t="str">
        <f>VLOOKUP(Table8[[#This Row],[Mã khách hàng]],code_khach_hang[],2,0)</f>
        <v>CHI NHÁNH PHÚ THỌ - CÔNG TY CỔ PHẦN DỊCH VỤ THƯƠNG MẠI TỔNG HỢP WINCOMMERCE</v>
      </c>
      <c r="G2979" s="16" t="str">
        <f>VLOOKUP(Table8[[#This Row],[Mã khách hàng]],code_khach_hang[],3,0)</f>
        <v>Miền Bắc đặc biệt 1</v>
      </c>
      <c r="H2979" t="str">
        <f>VLOOKUP(Table8[[#This Row],[Mã khách hàng]],'Khách hàng'!A:D,4,0)</f>
        <v>Food Đức Việt</v>
      </c>
      <c r="I2979" t="str">
        <f>VLOOKUP(Table8[[#This Row],[Mã khách hàng]],'Khách hàng'!A:E,5,0)</f>
        <v>HN0040</v>
      </c>
    </row>
    <row r="2980" spans="1:9">
      <c r="A2980" s="14" t="s">
        <v>3770</v>
      </c>
      <c r="B2980" s="15" t="s">
        <v>5</v>
      </c>
      <c r="C2980" s="10" t="s">
        <v>3771</v>
      </c>
      <c r="D2980" s="16" t="s">
        <v>9296</v>
      </c>
      <c r="E2980" s="15" t="s">
        <v>11204</v>
      </c>
      <c r="F2980" s="16" t="str">
        <f>VLOOKUP(Table8[[#This Row],[Mã khách hàng]],code_khach_hang[],2,0)</f>
        <v>CHI NHÁNH TUYÊN QUANG - CÔNG TY CỔ PHẦN DỊCH VỤ THƯƠNG MẠI TỔNG HỢP WINCOMMERCE</v>
      </c>
      <c r="G2980" s="16" t="str">
        <f>VLOOKUP(Table8[[#This Row],[Mã khách hàng]],code_khach_hang[],3,0)</f>
        <v>Miền Bắc đặc biệt 2</v>
      </c>
      <c r="H2980" t="str">
        <f>VLOOKUP(Table8[[#This Row],[Mã khách hàng]],'Khách hàng'!A:D,4,0)</f>
        <v>Food Đức Việt</v>
      </c>
      <c r="I2980" t="str">
        <f>VLOOKUP(Table8[[#This Row],[Mã khách hàng]],'Khách hàng'!A:E,5,0)</f>
        <v>HN0040</v>
      </c>
    </row>
    <row r="2981" spans="1:9">
      <c r="A2981" s="14" t="s">
        <v>3813</v>
      </c>
      <c r="B2981" s="15" t="s">
        <v>5</v>
      </c>
      <c r="C2981" s="10" t="s">
        <v>3814</v>
      </c>
      <c r="D2981" s="16" t="s">
        <v>9298</v>
      </c>
      <c r="E2981" s="14" t="s">
        <v>11211</v>
      </c>
      <c r="F2981" s="16" t="str">
        <f>VLOOKUP(Table8[[#This Row],[Mã khách hàng]],code_khach_hang[],2,0)</f>
        <v>CHI NHÁNH NGHỆ AN - CÔNG TY CỔ PHẦN DỊCH VỤ THƯƠNG MẠI TỔNG HỢP WINCOMMERCE</v>
      </c>
      <c r="G2981" s="16" t="str">
        <f>VLOOKUP(Table8[[#This Row],[Mã khách hàng]],code_khach_hang[],3,0)</f>
        <v>Miền Trung đặc biệt 1</v>
      </c>
      <c r="H2981" t="str">
        <f>VLOOKUP(Table8[[#This Row],[Mã khách hàng]],'Khách hàng'!A:D,4,0)</f>
        <v>Food Đức Việt</v>
      </c>
      <c r="I2981" t="str">
        <f>VLOOKUP(Table8[[#This Row],[Mã khách hàng]],'Khách hàng'!A:E,5,0)</f>
        <v>HN0040</v>
      </c>
    </row>
    <row r="2982" spans="1:9">
      <c r="A2982" s="14" t="s">
        <v>3732</v>
      </c>
      <c r="B2982" s="15" t="s">
        <v>5</v>
      </c>
      <c r="C2982" s="10" t="s">
        <v>3733</v>
      </c>
      <c r="D2982" s="16" t="s">
        <v>9299</v>
      </c>
      <c r="E2982" s="14" t="s">
        <v>11197</v>
      </c>
      <c r="F2982" s="16" t="str">
        <f>VLOOKUP(Table8[[#This Row],[Mã khách hàng]],code_khach_hang[],2,0)</f>
        <v>CHI NHÁNH QUẢNG NINH - CÔNG TY CỔ PHẦN DỊCH VỤ THƯƠNG MẠI TỔNG HỢP WINCOMMERCE</v>
      </c>
      <c r="G2982" s="16" t="str">
        <f>VLOOKUP(Table8[[#This Row],[Mã khách hàng]],code_khach_hang[],3,0)</f>
        <v>Miền Bắc đặc biệt 3</v>
      </c>
      <c r="H2982" t="str">
        <f>VLOOKUP(Table8[[#This Row],[Mã khách hàng]],'Khách hàng'!A:D,4,0)</f>
        <v>Food Đức Việt</v>
      </c>
      <c r="I2982" t="str">
        <f>VLOOKUP(Table8[[#This Row],[Mã khách hàng]],'Khách hàng'!A:E,5,0)</f>
        <v>HN0040</v>
      </c>
    </row>
    <row r="2983" spans="1:9">
      <c r="A2983" s="14" t="s">
        <v>3615</v>
      </c>
      <c r="B2983" s="15" t="s">
        <v>5</v>
      </c>
      <c r="C2983" s="10" t="s">
        <v>3616</v>
      </c>
      <c r="D2983" s="16" t="s">
        <v>9302</v>
      </c>
      <c r="E2983" s="15" t="s">
        <v>11215</v>
      </c>
      <c r="F2983" s="16" t="str">
        <f>VLOOKUP(Table8[[#This Row],[Mã khách hàng]],code_khach_hang[],2,0)</f>
        <v>CHI NHÁNH HÀ NỘI - CÔNG TY CỔ PHẦN DỊCH VỤ THƯƠNG MẠI TỔNG HỢP WINCOMMERCE</v>
      </c>
      <c r="G2983" s="16" t="str">
        <f>VLOOKUP(Table8[[#This Row],[Mã khách hàng]],code_khach_hang[],3,0)</f>
        <v>Miền Bắc đặc biệt 1</v>
      </c>
      <c r="H2983" t="str">
        <f>VLOOKUP(Table8[[#This Row],[Mã khách hàng]],'Khách hàng'!A:D,4,0)</f>
        <v>Food Đức Việt</v>
      </c>
      <c r="I2983" t="str">
        <f>VLOOKUP(Table8[[#This Row],[Mã khách hàng]],'Khách hàng'!A:E,5,0)</f>
        <v>HN0040</v>
      </c>
    </row>
    <row r="2984" spans="1:9">
      <c r="A2984" s="14" t="s">
        <v>3663</v>
      </c>
      <c r="B2984" s="15" t="s">
        <v>5</v>
      </c>
      <c r="C2984" s="10" t="s">
        <v>3664</v>
      </c>
      <c r="D2984" s="16" t="s">
        <v>9305</v>
      </c>
      <c r="E2984" s="15" t="s">
        <v>11196</v>
      </c>
      <c r="F2984" s="16" t="str">
        <f>VLOOKUP(Table8[[#This Row],[Mã khách hàng]],code_khach_hang[],2,0)</f>
        <v>CHI NHÁNH NINH BÌNH - CÔNG TY CỔ PHẦN DỊCH VỤ THƯƠNG MẠI TỔNG HỢP WINCOMMERCE</v>
      </c>
      <c r="G2984" s="16" t="str">
        <f>VLOOKUP(Table8[[#This Row],[Mã khách hàng]],code_khach_hang[],3,0)</f>
        <v>Miền Bắc đặc biệt 3</v>
      </c>
      <c r="H2984" t="str">
        <f>VLOOKUP(Table8[[#This Row],[Mã khách hàng]],'Khách hàng'!A:D,4,0)</f>
        <v>Food Đức Việt</v>
      </c>
      <c r="I2984" t="str">
        <f>VLOOKUP(Table8[[#This Row],[Mã khách hàng]],'Khách hàng'!A:E,5,0)</f>
        <v>HN0040</v>
      </c>
    </row>
    <row r="2985" spans="1:9">
      <c r="A2985" s="14" t="s">
        <v>3716</v>
      </c>
      <c r="B2985" s="15" t="s">
        <v>5</v>
      </c>
      <c r="C2985" s="10" t="s">
        <v>3717</v>
      </c>
      <c r="D2985" s="16" t="s">
        <v>9308</v>
      </c>
      <c r="E2985" s="15" t="s">
        <v>11196</v>
      </c>
      <c r="F2985" s="16" t="str">
        <f>VLOOKUP(Table8[[#This Row],[Mã khách hàng]],code_khach_hang[],2,0)</f>
        <v>CHI NHÁNH NINH BÌNH - CÔNG TY CỔ PHẦN DỊCH VỤ THƯƠNG MẠI TỔNG HỢP WINCOMMERCE</v>
      </c>
      <c r="G2985" s="16" t="str">
        <f>VLOOKUP(Table8[[#This Row],[Mã khách hàng]],code_khach_hang[],3,0)</f>
        <v>Miền Bắc đặc biệt 3</v>
      </c>
      <c r="H2985" t="str">
        <f>VLOOKUP(Table8[[#This Row],[Mã khách hàng]],'Khách hàng'!A:D,4,0)</f>
        <v>Food Đức Việt</v>
      </c>
      <c r="I2985" t="str">
        <f>VLOOKUP(Table8[[#This Row],[Mã khách hàng]],'Khách hàng'!A:E,5,0)</f>
        <v>HN0040</v>
      </c>
    </row>
    <row r="2986" spans="1:9">
      <c r="A2986" s="14" t="s">
        <v>3577</v>
      </c>
      <c r="B2986" s="15" t="s">
        <v>5</v>
      </c>
      <c r="C2986" s="10" t="s">
        <v>3578</v>
      </c>
      <c r="D2986" s="16" t="s">
        <v>9311</v>
      </c>
      <c r="E2986" s="15" t="s">
        <v>11198</v>
      </c>
      <c r="F2986" s="16" t="str">
        <f>VLOOKUP(Table8[[#This Row],[Mã khách hàng]],code_khach_hang[],2,0)</f>
        <v>CHI NHÁNH HẢI PHÒNG - CÔNG TY CỔ PHẦN DỊCH VỤ THƯƠNG MẠI TỔNG HỢP WINCOMMERCE</v>
      </c>
      <c r="G2986" s="16" t="str">
        <f>VLOOKUP(Table8[[#This Row],[Mã khách hàng]],code_khach_hang[],3,0)</f>
        <v>Miền Bắc đặc biệt 3</v>
      </c>
      <c r="H2986" t="str">
        <f>VLOOKUP(Table8[[#This Row],[Mã khách hàng]],'Khách hàng'!A:D,4,0)</f>
        <v>Food Đức Việt</v>
      </c>
      <c r="I2986" t="str">
        <f>VLOOKUP(Table8[[#This Row],[Mã khách hàng]],'Khách hàng'!A:E,5,0)</f>
        <v>HN0040</v>
      </c>
    </row>
    <row r="2987" spans="1:9">
      <c r="A2987" s="14" t="s">
        <v>3776</v>
      </c>
      <c r="B2987" s="15" t="s">
        <v>5</v>
      </c>
      <c r="C2987" s="10" t="s">
        <v>3777</v>
      </c>
      <c r="D2987" s="16" t="s">
        <v>9313</v>
      </c>
      <c r="E2987" s="15" t="s">
        <v>11198</v>
      </c>
      <c r="F2987" s="16" t="str">
        <f>VLOOKUP(Table8[[#This Row],[Mã khách hàng]],code_khach_hang[],2,0)</f>
        <v>CHI NHÁNH HẢI PHÒNG - CÔNG TY CỔ PHẦN DỊCH VỤ THƯƠNG MẠI TỔNG HỢP WINCOMMERCE</v>
      </c>
      <c r="G2987" s="16" t="str">
        <f>VLOOKUP(Table8[[#This Row],[Mã khách hàng]],code_khach_hang[],3,0)</f>
        <v>Miền Bắc đặc biệt 3</v>
      </c>
      <c r="H2987" t="str">
        <f>VLOOKUP(Table8[[#This Row],[Mã khách hàng]],'Khách hàng'!A:D,4,0)</f>
        <v>Food Đức Việt</v>
      </c>
      <c r="I2987" t="str">
        <f>VLOOKUP(Table8[[#This Row],[Mã khách hàng]],'Khách hàng'!A:E,5,0)</f>
        <v>HN0040</v>
      </c>
    </row>
    <row r="2988" spans="1:9">
      <c r="A2988" s="14" t="s">
        <v>3807</v>
      </c>
      <c r="B2988" s="15" t="s">
        <v>5</v>
      </c>
      <c r="C2988" s="10" t="s">
        <v>3808</v>
      </c>
      <c r="D2988" s="16" t="s">
        <v>9315</v>
      </c>
      <c r="E2988" s="15" t="s">
        <v>11199</v>
      </c>
      <c r="F2988" s="16" t="str">
        <f>VLOOKUP(Table8[[#This Row],[Mã khách hàng]],code_khach_hang[],2,0)</f>
        <v>CHI NHÁNH PHÚ THỌ - CÔNG TY CỔ PHẦN DỊCH VỤ THƯƠNG MẠI TỔNG HỢP WINCOMMERCE</v>
      </c>
      <c r="G2988" s="16" t="str">
        <f>VLOOKUP(Table8[[#This Row],[Mã khách hàng]],code_khach_hang[],3,0)</f>
        <v>Miền Bắc đặc biệt 1</v>
      </c>
      <c r="H2988" t="str">
        <f>VLOOKUP(Table8[[#This Row],[Mã khách hàng]],'Khách hàng'!A:D,4,0)</f>
        <v>Food Đức Việt</v>
      </c>
      <c r="I2988" t="str">
        <f>VLOOKUP(Table8[[#This Row],[Mã khách hàng]],'Khách hàng'!A:E,5,0)</f>
        <v>HN0040</v>
      </c>
    </row>
    <row r="2989" spans="1:9">
      <c r="A2989" s="14" t="s">
        <v>3713</v>
      </c>
      <c r="B2989" s="15" t="s">
        <v>5</v>
      </c>
      <c r="C2989" s="10" t="s">
        <v>3714</v>
      </c>
      <c r="D2989" s="16" t="s">
        <v>9317</v>
      </c>
      <c r="E2989" s="15" t="s">
        <v>11196</v>
      </c>
      <c r="F2989" s="16" t="str">
        <f>VLOOKUP(Table8[[#This Row],[Mã khách hàng]],code_khach_hang[],2,0)</f>
        <v>CHI NHÁNH NINH BÌNH - CÔNG TY CỔ PHẦN DỊCH VỤ THƯƠNG MẠI TỔNG HỢP WINCOMMERCE</v>
      </c>
      <c r="G2989" s="16" t="str">
        <f>VLOOKUP(Table8[[#This Row],[Mã khách hàng]],code_khach_hang[],3,0)</f>
        <v>Miền Bắc đặc biệt 3</v>
      </c>
      <c r="H2989" t="str">
        <f>VLOOKUP(Table8[[#This Row],[Mã khách hàng]],'Khách hàng'!A:D,4,0)</f>
        <v>Food Đức Việt</v>
      </c>
      <c r="I2989" t="str">
        <f>VLOOKUP(Table8[[#This Row],[Mã khách hàng]],'Khách hàng'!A:E,5,0)</f>
        <v>HN0040</v>
      </c>
    </row>
    <row r="2990" spans="1:9">
      <c r="A2990" s="14" t="s">
        <v>3829</v>
      </c>
      <c r="B2990" s="15" t="s">
        <v>5</v>
      </c>
      <c r="C2990" s="10" t="s">
        <v>3830</v>
      </c>
      <c r="D2990" s="16" t="s">
        <v>9319</v>
      </c>
      <c r="E2990" s="15" t="s">
        <v>11193</v>
      </c>
      <c r="F2990" s="16" t="str">
        <f>VLOOKUP(Table8[[#This Row],[Mã khách hàng]],code_khach_hang[],2,0)</f>
        <v>CHI NHÁNH BẮC NINH - CÔNG TY CỔ PHẦN DỊCH VỤ THƯƠNG MẠI TỔNG HỢP WINCOMMERCE</v>
      </c>
      <c r="G2990" s="16" t="str">
        <f>VLOOKUP(Table8[[#This Row],[Mã khách hàng]],code_khach_hang[],3,0)</f>
        <v>Miền Bắc đặc biệt 2</v>
      </c>
      <c r="H2990" t="str">
        <f>VLOOKUP(Table8[[#This Row],[Mã khách hàng]],'Khách hàng'!A:D,4,0)</f>
        <v>Food Đức Việt</v>
      </c>
      <c r="I2990" t="str">
        <f>VLOOKUP(Table8[[#This Row],[Mã khách hàng]],'Khách hàng'!A:E,5,0)</f>
        <v>HN0040</v>
      </c>
    </row>
    <row r="2991" spans="1:9">
      <c r="A2991" s="14" t="s">
        <v>3546</v>
      </c>
      <c r="B2991" s="15" t="s">
        <v>5</v>
      </c>
      <c r="C2991" s="10" t="s">
        <v>13195</v>
      </c>
      <c r="D2991" s="16" t="s">
        <v>9321</v>
      </c>
      <c r="E2991" s="15" t="s">
        <v>11211</v>
      </c>
      <c r="F2991" s="16" t="str">
        <f>VLOOKUP(Table8[[#This Row],[Mã khách hàng]],code_khach_hang[],2,0)</f>
        <v>CHI NHÁNH NGHỆ AN - CÔNG TY CỔ PHẦN DỊCH VỤ THƯƠNG MẠI TỔNG HỢP WINCOMMERCE</v>
      </c>
      <c r="G2991" s="16" t="str">
        <f>VLOOKUP(Table8[[#This Row],[Mã khách hàng]],code_khach_hang[],3,0)</f>
        <v>Miền Trung đặc biệt 1</v>
      </c>
      <c r="H2991" t="str">
        <f>VLOOKUP(Table8[[#This Row],[Mã khách hàng]],'Khách hàng'!A:D,4,0)</f>
        <v>Food Đức Việt</v>
      </c>
      <c r="I2991" t="str">
        <f>VLOOKUP(Table8[[#This Row],[Mã khách hàng]],'Khách hàng'!A:E,5,0)</f>
        <v>HN0040</v>
      </c>
    </row>
    <row r="2992" spans="1:9">
      <c r="A2992" s="14" t="s">
        <v>3687</v>
      </c>
      <c r="B2992" s="15" t="s">
        <v>5</v>
      </c>
      <c r="C2992" s="10" t="s">
        <v>3688</v>
      </c>
      <c r="D2992" s="16" t="s">
        <v>9324</v>
      </c>
      <c r="E2992" s="15" t="s">
        <v>11215</v>
      </c>
      <c r="F2992" s="16" t="str">
        <f>VLOOKUP(Table8[[#This Row],[Mã khách hàng]],code_khach_hang[],2,0)</f>
        <v>CHI NHÁNH HÀ NỘI - CÔNG TY CỔ PHẦN DỊCH VỤ THƯƠNG MẠI TỔNG HỢP WINCOMMERCE</v>
      </c>
      <c r="G2992" s="16" t="str">
        <f>VLOOKUP(Table8[[#This Row],[Mã khách hàng]],code_khach_hang[],3,0)</f>
        <v>Miền Bắc đặc biệt 1</v>
      </c>
      <c r="H2992" t="str">
        <f>VLOOKUP(Table8[[#This Row],[Mã khách hàng]],'Khách hàng'!A:D,4,0)</f>
        <v>Food Đức Việt</v>
      </c>
      <c r="I2992" t="str">
        <f>VLOOKUP(Table8[[#This Row],[Mã khách hàng]],'Khách hàng'!A:E,5,0)</f>
        <v>HN0040</v>
      </c>
    </row>
    <row r="2993" spans="1:9">
      <c r="A2993" s="14" t="s">
        <v>3594</v>
      </c>
      <c r="B2993" s="15" t="s">
        <v>5</v>
      </c>
      <c r="C2993" s="10" t="s">
        <v>3595</v>
      </c>
      <c r="D2993" s="16" t="s">
        <v>9327</v>
      </c>
      <c r="E2993" s="15" t="s">
        <v>11211</v>
      </c>
      <c r="F2993" s="16" t="str">
        <f>VLOOKUP(Table8[[#This Row],[Mã khách hàng]],code_khach_hang[],2,0)</f>
        <v>CHI NHÁNH NGHỆ AN - CÔNG TY CỔ PHẦN DỊCH VỤ THƯƠNG MẠI TỔNG HỢP WINCOMMERCE</v>
      </c>
      <c r="G2993" s="16" t="str">
        <f>VLOOKUP(Table8[[#This Row],[Mã khách hàng]],code_khach_hang[],3,0)</f>
        <v>Miền Trung đặc biệt 1</v>
      </c>
      <c r="H2993" t="str">
        <f>VLOOKUP(Table8[[#This Row],[Mã khách hàng]],'Khách hàng'!A:D,4,0)</f>
        <v>Food Đức Việt</v>
      </c>
      <c r="I2993" t="str">
        <f>VLOOKUP(Table8[[#This Row],[Mã khách hàng]],'Khách hàng'!A:E,5,0)</f>
        <v>HN0040</v>
      </c>
    </row>
    <row r="2994" spans="1:9">
      <c r="A2994" s="14" t="s">
        <v>3767</v>
      </c>
      <c r="B2994" s="15" t="s">
        <v>5</v>
      </c>
      <c r="C2994" s="10" t="s">
        <v>3768</v>
      </c>
      <c r="D2994" s="16" t="s">
        <v>9330</v>
      </c>
      <c r="E2994" s="15" t="s">
        <v>11193</v>
      </c>
      <c r="F2994" s="16" t="str">
        <f>VLOOKUP(Table8[[#This Row],[Mã khách hàng]],code_khach_hang[],2,0)</f>
        <v>CHI NHÁNH BẮC NINH - CÔNG TY CỔ PHẦN DỊCH VỤ THƯƠNG MẠI TỔNG HỢP WINCOMMERCE</v>
      </c>
      <c r="G2994" s="16" t="str">
        <f>VLOOKUP(Table8[[#This Row],[Mã khách hàng]],code_khach_hang[],3,0)</f>
        <v>Miền Bắc đặc biệt 2</v>
      </c>
      <c r="H2994" t="str">
        <f>VLOOKUP(Table8[[#This Row],[Mã khách hàng]],'Khách hàng'!A:D,4,0)</f>
        <v>Food Đức Việt</v>
      </c>
      <c r="I2994" t="str">
        <f>VLOOKUP(Table8[[#This Row],[Mã khách hàng]],'Khách hàng'!A:E,5,0)</f>
        <v>HN0040</v>
      </c>
    </row>
    <row r="2995" spans="1:9">
      <c r="A2995" s="14" t="s">
        <v>3600</v>
      </c>
      <c r="B2995" s="15" t="s">
        <v>5</v>
      </c>
      <c r="C2995" s="10" t="s">
        <v>3601</v>
      </c>
      <c r="D2995" s="16" t="s">
        <v>9332</v>
      </c>
      <c r="E2995" s="15" t="s">
        <v>11215</v>
      </c>
      <c r="F2995" s="16" t="str">
        <f>VLOOKUP(Table8[[#This Row],[Mã khách hàng]],code_khach_hang[],2,0)</f>
        <v>CHI NHÁNH HÀ NỘI - CÔNG TY CỔ PHẦN DỊCH VỤ THƯƠNG MẠI TỔNG HỢP WINCOMMERCE</v>
      </c>
      <c r="G2995" s="16" t="str">
        <f>VLOOKUP(Table8[[#This Row],[Mã khách hàng]],code_khach_hang[],3,0)</f>
        <v>Miền Bắc đặc biệt 1</v>
      </c>
      <c r="H2995" t="str">
        <f>VLOOKUP(Table8[[#This Row],[Mã khách hàng]],'Khách hàng'!A:D,4,0)</f>
        <v>Food Đức Việt</v>
      </c>
      <c r="I2995" t="str">
        <f>VLOOKUP(Table8[[#This Row],[Mã khách hàng]],'Khách hàng'!A:E,5,0)</f>
        <v>HN0040</v>
      </c>
    </row>
    <row r="2996" spans="1:9">
      <c r="A2996" s="14" t="s">
        <v>3826</v>
      </c>
      <c r="B2996" s="15" t="s">
        <v>5</v>
      </c>
      <c r="C2996" s="10" t="s">
        <v>3827</v>
      </c>
      <c r="D2996" s="16" t="s">
        <v>9335</v>
      </c>
      <c r="E2996" s="15" t="s">
        <v>11196</v>
      </c>
      <c r="F2996" s="16" t="str">
        <f>VLOOKUP(Table8[[#This Row],[Mã khách hàng]],code_khach_hang[],2,0)</f>
        <v>CHI NHÁNH NINH BÌNH - CÔNG TY CỔ PHẦN DỊCH VỤ THƯƠNG MẠI TỔNG HỢP WINCOMMERCE</v>
      </c>
      <c r="G2996" s="16" t="str">
        <f>VLOOKUP(Table8[[#This Row],[Mã khách hàng]],code_khach_hang[],3,0)</f>
        <v>Miền Bắc đặc biệt 3</v>
      </c>
      <c r="H2996" t="str">
        <f>VLOOKUP(Table8[[#This Row],[Mã khách hàng]],'Khách hàng'!A:D,4,0)</f>
        <v>Food Đức Việt</v>
      </c>
      <c r="I2996" t="str">
        <f>VLOOKUP(Table8[[#This Row],[Mã khách hàng]],'Khách hàng'!A:E,5,0)</f>
        <v>HN0040</v>
      </c>
    </row>
    <row r="2997" spans="1:9">
      <c r="A2997" s="14" t="s">
        <v>3571</v>
      </c>
      <c r="B2997" s="15" t="s">
        <v>5</v>
      </c>
      <c r="C2997" s="10" t="s">
        <v>3572</v>
      </c>
      <c r="D2997" s="16" t="s">
        <v>9338</v>
      </c>
      <c r="E2997" s="15" t="s">
        <v>11198</v>
      </c>
      <c r="F2997" s="16" t="str">
        <f>VLOOKUP(Table8[[#This Row],[Mã khách hàng]],code_khach_hang[],2,0)</f>
        <v>CHI NHÁNH HẢI PHÒNG - CÔNG TY CỔ PHẦN DỊCH VỤ THƯƠNG MẠI TỔNG HỢP WINCOMMERCE</v>
      </c>
      <c r="G2997" s="16" t="str">
        <f>VLOOKUP(Table8[[#This Row],[Mã khách hàng]],code_khach_hang[],3,0)</f>
        <v>Miền Bắc đặc biệt 3</v>
      </c>
      <c r="H2997" t="str">
        <f>VLOOKUP(Table8[[#This Row],[Mã khách hàng]],'Khách hàng'!A:D,4,0)</f>
        <v>Food Đức Việt</v>
      </c>
      <c r="I2997" t="str">
        <f>VLOOKUP(Table8[[#This Row],[Mã khách hàng]],'Khách hàng'!A:E,5,0)</f>
        <v>HN0040</v>
      </c>
    </row>
    <row r="2998" spans="1:9">
      <c r="A2998" s="14" t="s">
        <v>3856</v>
      </c>
      <c r="B2998" s="15" t="s">
        <v>5</v>
      </c>
      <c r="C2998" s="10" t="s">
        <v>3857</v>
      </c>
      <c r="D2998" s="16" t="s">
        <v>9340</v>
      </c>
      <c r="E2998" s="15" t="s">
        <v>11199</v>
      </c>
      <c r="F2998" s="16" t="str">
        <f>VLOOKUP(Table8[[#This Row],[Mã khách hàng]],code_khach_hang[],2,0)</f>
        <v>CHI NHÁNH PHÚ THỌ - CÔNG TY CỔ PHẦN DỊCH VỤ THƯƠNG MẠI TỔNG HỢP WINCOMMERCE</v>
      </c>
      <c r="G2998" s="16" t="str">
        <f>VLOOKUP(Table8[[#This Row],[Mã khách hàng]],code_khach_hang[],3,0)</f>
        <v>Miền Bắc đặc biệt 1</v>
      </c>
      <c r="H2998" t="str">
        <f>VLOOKUP(Table8[[#This Row],[Mã khách hàng]],'Khách hàng'!A:D,4,0)</f>
        <v>Food Đức Việt</v>
      </c>
      <c r="I2998" t="str">
        <f>VLOOKUP(Table8[[#This Row],[Mã khách hàng]],'Khách hàng'!A:E,5,0)</f>
        <v>HN0040</v>
      </c>
    </row>
    <row r="2999" spans="1:9">
      <c r="A2999" s="14" t="s">
        <v>3738</v>
      </c>
      <c r="B2999" s="15" t="s">
        <v>5</v>
      </c>
      <c r="C2999" s="10" t="s">
        <v>3739</v>
      </c>
      <c r="D2999" s="16" t="s">
        <v>9342</v>
      </c>
      <c r="E2999" s="15" t="s">
        <v>11193</v>
      </c>
      <c r="F2999" s="16" t="str">
        <f>VLOOKUP(Table8[[#This Row],[Mã khách hàng]],code_khach_hang[],2,0)</f>
        <v>CHI NHÁNH BẮC NINH - CÔNG TY CỔ PHẦN DỊCH VỤ THƯƠNG MẠI TỔNG HỢP WINCOMMERCE</v>
      </c>
      <c r="G2999" s="16" t="str">
        <f>VLOOKUP(Table8[[#This Row],[Mã khách hàng]],code_khach_hang[],3,0)</f>
        <v>Miền Bắc đặc biệt 2</v>
      </c>
      <c r="H2999" t="str">
        <f>VLOOKUP(Table8[[#This Row],[Mã khách hàng]],'Khách hàng'!A:D,4,0)</f>
        <v>Food Đức Việt</v>
      </c>
      <c r="I2999" t="str">
        <f>VLOOKUP(Table8[[#This Row],[Mã khách hàng]],'Khách hàng'!A:E,5,0)</f>
        <v>HN0040</v>
      </c>
    </row>
    <row r="3000" spans="1:9">
      <c r="A3000" s="14" t="s">
        <v>3816</v>
      </c>
      <c r="B3000" s="15" t="s">
        <v>5</v>
      </c>
      <c r="C3000" s="10" t="s">
        <v>3817</v>
      </c>
      <c r="D3000" s="16" t="s">
        <v>9344</v>
      </c>
      <c r="E3000" s="15" t="s">
        <v>11199</v>
      </c>
      <c r="F3000" s="16" t="str">
        <f>VLOOKUP(Table8[[#This Row],[Mã khách hàng]],code_khach_hang[],2,0)</f>
        <v>CHI NHÁNH PHÚ THỌ - CÔNG TY CỔ PHẦN DỊCH VỤ THƯƠNG MẠI TỔNG HỢP WINCOMMERCE</v>
      </c>
      <c r="G3000" s="16" t="str">
        <f>VLOOKUP(Table8[[#This Row],[Mã khách hàng]],code_khach_hang[],3,0)</f>
        <v>Miền Bắc đặc biệt 1</v>
      </c>
      <c r="H3000" t="str">
        <f>VLOOKUP(Table8[[#This Row],[Mã khách hàng]],'Khách hàng'!A:D,4,0)</f>
        <v>Food Đức Việt</v>
      </c>
      <c r="I3000" t="str">
        <f>VLOOKUP(Table8[[#This Row],[Mã khách hàng]],'Khách hàng'!A:E,5,0)</f>
        <v>HN0040</v>
      </c>
    </row>
    <row r="3001" spans="1:9">
      <c r="A3001" s="14" t="s">
        <v>3823</v>
      </c>
      <c r="B3001" s="15" t="s">
        <v>5</v>
      </c>
      <c r="C3001" s="10" t="s">
        <v>3824</v>
      </c>
      <c r="D3001" s="16" t="s">
        <v>9347</v>
      </c>
      <c r="E3001" s="15" t="s">
        <v>11193</v>
      </c>
      <c r="F3001" s="16" t="str">
        <f>VLOOKUP(Table8[[#This Row],[Mã khách hàng]],code_khach_hang[],2,0)</f>
        <v>CHI NHÁNH BẮC NINH - CÔNG TY CỔ PHẦN DỊCH VỤ THƯƠNG MẠI TỔNG HỢP WINCOMMERCE</v>
      </c>
      <c r="G3001" s="16" t="str">
        <f>VLOOKUP(Table8[[#This Row],[Mã khách hàng]],code_khach_hang[],3,0)</f>
        <v>Miền Bắc đặc biệt 2</v>
      </c>
      <c r="H3001" t="str">
        <f>VLOOKUP(Table8[[#This Row],[Mã khách hàng]],'Khách hàng'!A:D,4,0)</f>
        <v>Food Đức Việt</v>
      </c>
      <c r="I3001" t="str">
        <f>VLOOKUP(Table8[[#This Row],[Mã khách hàng]],'Khách hàng'!A:E,5,0)</f>
        <v>HN0040</v>
      </c>
    </row>
    <row r="3002" spans="1:9">
      <c r="A3002" s="11" t="s">
        <v>3821</v>
      </c>
      <c r="B3002" s="9" t="s">
        <v>5</v>
      </c>
      <c r="C3002" s="10"/>
      <c r="D3002" s="21"/>
      <c r="E3002" s="9" t="s">
        <v>11198</v>
      </c>
      <c r="F3002" s="22" t="str">
        <f>VLOOKUP(Table8[[#This Row],[Mã khách hàng]],code_khach_hang[],2,0)</f>
        <v>CHI NHÁNH HẢI PHÒNG - CÔNG TY CỔ PHẦN DỊCH VỤ THƯƠNG MẠI TỔNG HỢP WINCOMMERCE</v>
      </c>
      <c r="G3002" s="10" t="str">
        <f>VLOOKUP(Table8[[#This Row],[Mã khách hàng]],code_khach_hang[],3,0)</f>
        <v>Miền Bắc đặc biệt 3</v>
      </c>
      <c r="H3002" t="str">
        <f>VLOOKUP(Table8[[#This Row],[Mã khách hàng]],'Khách hàng'!A:D,4,0)</f>
        <v>Food Đức Việt</v>
      </c>
      <c r="I3002" t="str">
        <f>VLOOKUP(Table8[[#This Row],[Mã khách hàng]],'Khách hàng'!A:E,5,0)</f>
        <v>HN0040</v>
      </c>
    </row>
    <row r="3003" spans="1:9">
      <c r="A3003" s="14" t="s">
        <v>3523</v>
      </c>
      <c r="B3003" s="15" t="s">
        <v>5</v>
      </c>
      <c r="C3003" s="16"/>
      <c r="D3003" s="21"/>
      <c r="E3003" s="15" t="s">
        <v>11193</v>
      </c>
      <c r="F3003" s="22" t="str">
        <f>VLOOKUP(Table8[[#This Row],[Mã khách hàng]],code_khach_hang[],2,0)</f>
        <v>CHI NHÁNH BẮC NINH - CÔNG TY CỔ PHẦN DỊCH VỤ THƯƠNG MẠI TỔNG HỢP WINCOMMERCE</v>
      </c>
      <c r="G3003" s="16" t="str">
        <f>VLOOKUP(Table8[[#This Row],[Mã khách hàng]],code_khach_hang[],3,0)</f>
        <v>Miền Bắc đặc biệt 2</v>
      </c>
      <c r="H3003" t="str">
        <f>VLOOKUP(Table8[[#This Row],[Mã khách hàng]],'Khách hàng'!A:D,4,0)</f>
        <v>Food Đức Việt</v>
      </c>
      <c r="I3003" t="str">
        <f>VLOOKUP(Table8[[#This Row],[Mã khách hàng]],'Khách hàng'!A:E,5,0)</f>
        <v>HN0040</v>
      </c>
    </row>
    <row r="3004" spans="1:9">
      <c r="A3004" s="14" t="s">
        <v>3639</v>
      </c>
      <c r="B3004" s="15" t="s">
        <v>5</v>
      </c>
      <c r="C3004" s="16"/>
      <c r="D3004" s="21"/>
      <c r="E3004" s="15" t="s">
        <v>11216</v>
      </c>
      <c r="F3004" s="22" t="str">
        <f>VLOOKUP(Table8[[#This Row],[Mã khách hàng]],code_khach_hang[],2,0)</f>
        <v>CHI NHÁNH HƯNG YÊN - CÔNG TY CỔ PHẦN DỊCH VỤ THƯƠNG MẠI TỔNG HỢP WINCOMMERCE</v>
      </c>
      <c r="G3004" s="16" t="str">
        <f>VLOOKUP(Table8[[#This Row],[Mã khách hàng]],code_khach_hang[],3,0)</f>
        <v>Miền Bắc đặc biệt 1</v>
      </c>
      <c r="H3004" t="str">
        <f>VLOOKUP(Table8[[#This Row],[Mã khách hàng]],'Khách hàng'!A:D,4,0)</f>
        <v>Food Đức Việt</v>
      </c>
      <c r="I3004" t="str">
        <f>VLOOKUP(Table8[[#This Row],[Mã khách hàng]],'Khách hàng'!A:E,5,0)</f>
        <v>HN0040</v>
      </c>
    </row>
    <row r="3005" spans="1:9">
      <c r="A3005" s="14" t="s">
        <v>3819</v>
      </c>
      <c r="B3005" s="15" t="s">
        <v>5</v>
      </c>
      <c r="C3005" s="16"/>
      <c r="D3005" s="21"/>
      <c r="E3005" s="15" t="s">
        <v>11199</v>
      </c>
      <c r="F3005" s="22" t="str">
        <f>VLOOKUP(Table8[[#This Row],[Mã khách hàng]],code_khach_hang[],2,0)</f>
        <v>CHI NHÁNH PHÚ THỌ - CÔNG TY CỔ PHẦN DỊCH VỤ THƯƠNG MẠI TỔNG HỢP WINCOMMERCE</v>
      </c>
      <c r="G3005" s="16" t="str">
        <f>VLOOKUP(Table8[[#This Row],[Mã khách hàng]],code_khach_hang[],3,0)</f>
        <v>Miền Bắc đặc biệt 1</v>
      </c>
      <c r="H3005" t="str">
        <f>VLOOKUP(Table8[[#This Row],[Mã khách hàng]],'Khách hàng'!A:D,4,0)</f>
        <v>Food Đức Việt</v>
      </c>
      <c r="I3005" t="str">
        <f>VLOOKUP(Table8[[#This Row],[Mã khách hàng]],'Khách hàng'!A:E,5,0)</f>
        <v>HN0040</v>
      </c>
    </row>
    <row r="3006" spans="1:9">
      <c r="A3006" s="14" t="s">
        <v>3793</v>
      </c>
      <c r="B3006" s="15" t="s">
        <v>5</v>
      </c>
      <c r="C3006" s="16"/>
      <c r="D3006" s="21"/>
      <c r="E3006" s="15" t="s">
        <v>11196</v>
      </c>
      <c r="F3006" s="22" t="str">
        <f>VLOOKUP(Table8[[#This Row],[Mã khách hàng]],code_khach_hang[],2,0)</f>
        <v>CHI NHÁNH NINH BÌNH - CÔNG TY CỔ PHẦN DỊCH VỤ THƯƠNG MẠI TỔNG HỢP WINCOMMERCE</v>
      </c>
      <c r="G3006" s="16" t="str">
        <f>VLOOKUP(Table8[[#This Row],[Mã khách hàng]],code_khach_hang[],3,0)</f>
        <v>Miền Bắc đặc biệt 3</v>
      </c>
      <c r="H3006" t="str">
        <f>VLOOKUP(Table8[[#This Row],[Mã khách hàng]],'Khách hàng'!A:D,4,0)</f>
        <v>Food Đức Việt</v>
      </c>
      <c r="I3006" t="str">
        <f>VLOOKUP(Table8[[#This Row],[Mã khách hàng]],'Khách hàng'!A:E,5,0)</f>
        <v>HN0040</v>
      </c>
    </row>
    <row r="3007" spans="1:9">
      <c r="A3007" s="14" t="s">
        <v>11147</v>
      </c>
      <c r="B3007" s="15" t="s">
        <v>5</v>
      </c>
      <c r="C3007" s="16"/>
      <c r="D3007" s="21"/>
      <c r="E3007" s="15" t="s">
        <v>11215</v>
      </c>
      <c r="F3007" s="22" t="str">
        <f>VLOOKUP(Table8[[#This Row],[Mã khách hàng]],code_khach_hang[],2,0)</f>
        <v>CHI NHÁNH HÀ NỘI - CÔNG TY CỔ PHẦN DỊCH VỤ THƯƠNG MẠI TỔNG HỢP WINCOMMERCE</v>
      </c>
      <c r="G3007" s="16" t="str">
        <f>VLOOKUP(Table8[[#This Row],[Mã khách hàng]],code_khach_hang[],3,0)</f>
        <v>Miền Bắc đặc biệt 1</v>
      </c>
      <c r="H3007" t="str">
        <f>VLOOKUP(Table8[[#This Row],[Mã khách hàng]],'Khách hàng'!A:D,4,0)</f>
        <v>Food Đức Việt</v>
      </c>
      <c r="I3007" t="str">
        <f>VLOOKUP(Table8[[#This Row],[Mã khách hàng]],'Khách hàng'!A:E,5,0)</f>
        <v>HN0040</v>
      </c>
    </row>
    <row r="3008" spans="1:9">
      <c r="A3008" s="14" t="s">
        <v>3779</v>
      </c>
      <c r="B3008" s="15" t="s">
        <v>5</v>
      </c>
      <c r="C3008" s="16"/>
      <c r="D3008" s="21"/>
      <c r="E3008" s="15" t="s">
        <v>11197</v>
      </c>
      <c r="F3008" s="22" t="str">
        <f>VLOOKUP(Table8[[#This Row],[Mã khách hàng]],code_khach_hang[],2,0)</f>
        <v>CHI NHÁNH QUẢNG NINH - CÔNG TY CỔ PHẦN DỊCH VỤ THƯƠNG MẠI TỔNG HỢP WINCOMMERCE</v>
      </c>
      <c r="G3008" s="16" t="str">
        <f>VLOOKUP(Table8[[#This Row],[Mã khách hàng]],code_khach_hang[],3,0)</f>
        <v>Miền Bắc đặc biệt 3</v>
      </c>
      <c r="H3008" t="str">
        <f>VLOOKUP(Table8[[#This Row],[Mã khách hàng]],'Khách hàng'!A:D,4,0)</f>
        <v>Food Đức Việt</v>
      </c>
      <c r="I3008" t="str">
        <f>VLOOKUP(Table8[[#This Row],[Mã khách hàng]],'Khách hàng'!A:E,5,0)</f>
        <v>HN0040</v>
      </c>
    </row>
    <row r="3009" spans="1:9">
      <c r="A3009" s="14" t="s">
        <v>9339</v>
      </c>
      <c r="B3009" s="15" t="s">
        <v>5</v>
      </c>
      <c r="C3009" s="16"/>
      <c r="D3009" s="21"/>
      <c r="E3009" s="15" t="s">
        <v>11198</v>
      </c>
      <c r="F3009" s="22" t="str">
        <f>VLOOKUP(Table8[[#This Row],[Mã khách hàng]],code_khach_hang[],2,0)</f>
        <v>CHI NHÁNH HẢI PHÒNG - CÔNG TY CỔ PHẦN DỊCH VỤ THƯƠNG MẠI TỔNG HỢP WINCOMMERCE</v>
      </c>
      <c r="G3009" s="16" t="str">
        <f>VLOOKUP(Table8[[#This Row],[Mã khách hàng]],code_khach_hang[],3,0)</f>
        <v>Miền Bắc đặc biệt 3</v>
      </c>
      <c r="H3009" t="str">
        <f>VLOOKUP(Table8[[#This Row],[Mã khách hàng]],'Khách hàng'!A:D,4,0)</f>
        <v>Food Đức Việt</v>
      </c>
      <c r="I3009" t="str">
        <f>VLOOKUP(Table8[[#This Row],[Mã khách hàng]],'Khách hàng'!A:E,5,0)</f>
        <v>HN0040</v>
      </c>
    </row>
    <row r="3010" spans="1:9">
      <c r="A3010" s="14" t="s">
        <v>9277</v>
      </c>
      <c r="B3010" s="15" t="s">
        <v>5</v>
      </c>
      <c r="C3010" s="16"/>
      <c r="D3010" s="21"/>
      <c r="E3010" s="15" t="s">
        <v>11215</v>
      </c>
      <c r="F3010" s="22" t="str">
        <f>VLOOKUP(Table8[[#This Row],[Mã khách hàng]],code_khach_hang[],2,0)</f>
        <v>CHI NHÁNH HÀ NỘI - CÔNG TY CỔ PHẦN DỊCH VỤ THƯƠNG MẠI TỔNG HỢP WINCOMMERCE</v>
      </c>
      <c r="G3010" s="16" t="str">
        <f>VLOOKUP(Table8[[#This Row],[Mã khách hàng]],code_khach_hang[],3,0)</f>
        <v>Miền Bắc đặc biệt 1</v>
      </c>
      <c r="H3010" t="str">
        <f>VLOOKUP(Table8[[#This Row],[Mã khách hàng]],'Khách hàng'!A:D,4,0)</f>
        <v>Food Đức Việt</v>
      </c>
      <c r="I3010" t="str">
        <f>VLOOKUP(Table8[[#This Row],[Mã khách hàng]],'Khách hàng'!A:E,5,0)</f>
        <v>HN0040</v>
      </c>
    </row>
    <row r="3011" spans="1:9">
      <c r="A3011" s="14" t="s">
        <v>9208</v>
      </c>
      <c r="B3011" s="15" t="s">
        <v>5</v>
      </c>
      <c r="C3011" s="16"/>
      <c r="D3011" s="21"/>
      <c r="E3011" s="15" t="s">
        <v>11211</v>
      </c>
      <c r="F3011" s="22" t="str">
        <f>VLOOKUP(Table8[[#This Row],[Mã khách hàng]],code_khach_hang[],2,0)</f>
        <v>CHI NHÁNH NGHỆ AN - CÔNG TY CỔ PHẦN DỊCH VỤ THƯƠNG MẠI TỔNG HỢP WINCOMMERCE</v>
      </c>
      <c r="G3011" s="16" t="str">
        <f>VLOOKUP(Table8[[#This Row],[Mã khách hàng]],code_khach_hang[],3,0)</f>
        <v>Miền Trung đặc biệt 1</v>
      </c>
      <c r="H3011" t="str">
        <f>VLOOKUP(Table8[[#This Row],[Mã khách hàng]],'Khách hàng'!A:D,4,0)</f>
        <v>Food Đức Việt</v>
      </c>
      <c r="I3011" t="str">
        <f>VLOOKUP(Table8[[#This Row],[Mã khách hàng]],'Khách hàng'!A:E,5,0)</f>
        <v>HN0040</v>
      </c>
    </row>
    <row r="3012" spans="1:9">
      <c r="A3012" s="14" t="s">
        <v>9279</v>
      </c>
      <c r="B3012" s="15" t="s">
        <v>5</v>
      </c>
      <c r="C3012" s="16"/>
      <c r="D3012" s="21"/>
      <c r="E3012" s="15" t="s">
        <v>11215</v>
      </c>
      <c r="F3012" s="22" t="str">
        <f>VLOOKUP(Table8[[#This Row],[Mã khách hàng]],code_khach_hang[],2,0)</f>
        <v>CHI NHÁNH HÀ NỘI - CÔNG TY CỔ PHẦN DỊCH VỤ THƯƠNG MẠI TỔNG HỢP WINCOMMERCE</v>
      </c>
      <c r="G3012" s="16" t="str">
        <f>VLOOKUP(Table8[[#This Row],[Mã khách hàng]],code_khach_hang[],3,0)</f>
        <v>Miền Bắc đặc biệt 1</v>
      </c>
      <c r="H3012" t="str">
        <f>VLOOKUP(Table8[[#This Row],[Mã khách hàng]],'Khách hàng'!A:D,4,0)</f>
        <v>Food Đức Việt</v>
      </c>
      <c r="I3012" t="str">
        <f>VLOOKUP(Table8[[#This Row],[Mã khách hàng]],'Khách hàng'!A:E,5,0)</f>
        <v>HN0040</v>
      </c>
    </row>
    <row r="3013" spans="1:9">
      <c r="A3013" s="14" t="s">
        <v>9117</v>
      </c>
      <c r="B3013" s="15" t="s">
        <v>5</v>
      </c>
      <c r="C3013" s="16"/>
      <c r="D3013" s="21"/>
      <c r="E3013" s="15" t="s">
        <v>11193</v>
      </c>
      <c r="F3013" s="22" t="str">
        <f>VLOOKUP(Table8[[#This Row],[Mã khách hàng]],code_khach_hang[],2,0)</f>
        <v>CHI NHÁNH BẮC NINH - CÔNG TY CỔ PHẦN DỊCH VỤ THƯƠNG MẠI TỔNG HỢP WINCOMMERCE</v>
      </c>
      <c r="G3013" s="16" t="str">
        <f>VLOOKUP(Table8[[#This Row],[Mã khách hàng]],code_khach_hang[],3,0)</f>
        <v>Miền Bắc đặc biệt 2</v>
      </c>
      <c r="H3013" t="str">
        <f>VLOOKUP(Table8[[#This Row],[Mã khách hàng]],'Khách hàng'!A:D,4,0)</f>
        <v>Food Đức Việt</v>
      </c>
      <c r="I3013" t="str">
        <f>VLOOKUP(Table8[[#This Row],[Mã khách hàng]],'Khách hàng'!A:E,5,0)</f>
        <v>HN0040</v>
      </c>
    </row>
    <row r="3014" spans="1:9">
      <c r="A3014" s="14" t="s">
        <v>9261</v>
      </c>
      <c r="B3014" s="15" t="s">
        <v>5</v>
      </c>
      <c r="C3014" s="16"/>
      <c r="D3014" s="21"/>
      <c r="E3014" s="15" t="s">
        <v>11203</v>
      </c>
      <c r="F3014" s="22" t="str">
        <f>VLOOKUP(Table8[[#This Row],[Mã khách hàng]],code_khach_hang[],2,0)</f>
        <v>CHI NHÁNH THANH HÓA - CÔNG TY CỔ PHẦN DỊCH VỤ THƯƠNG MẠI TỔNG HỢP WINCOMMERCE</v>
      </c>
      <c r="G3014" s="16" t="str">
        <f>VLOOKUP(Table8[[#This Row],[Mã khách hàng]],code_khach_hang[],3,0)</f>
        <v>Miền Trung đặc biệt 1</v>
      </c>
      <c r="H3014" t="str">
        <f>VLOOKUP(Table8[[#This Row],[Mã khách hàng]],'Khách hàng'!A:D,4,0)</f>
        <v>Food Đức Việt</v>
      </c>
      <c r="I3014" t="str">
        <f>VLOOKUP(Table8[[#This Row],[Mã khách hàng]],'Khách hàng'!A:E,5,0)</f>
        <v>HN0040</v>
      </c>
    </row>
    <row r="3015" spans="1:9">
      <c r="A3015" s="14" t="s">
        <v>9283</v>
      </c>
      <c r="B3015" s="15" t="s">
        <v>5</v>
      </c>
      <c r="C3015" s="16"/>
      <c r="D3015" s="21"/>
      <c r="E3015" s="15" t="s">
        <v>11215</v>
      </c>
      <c r="F3015" s="22" t="str">
        <f>VLOOKUP(Table8[[#This Row],[Mã khách hàng]],code_khach_hang[],2,0)</f>
        <v>CHI NHÁNH HÀ NỘI - CÔNG TY CỔ PHẦN DỊCH VỤ THƯƠNG MẠI TỔNG HỢP WINCOMMERCE</v>
      </c>
      <c r="G3015" s="16" t="str">
        <f>VLOOKUP(Table8[[#This Row],[Mã khách hàng]],code_khach_hang[],3,0)</f>
        <v>Miền Bắc đặc biệt 1</v>
      </c>
      <c r="H3015" t="str">
        <f>VLOOKUP(Table8[[#This Row],[Mã khách hàng]],'Khách hàng'!A:D,4,0)</f>
        <v>Food Đức Việt</v>
      </c>
      <c r="I3015" t="str">
        <f>VLOOKUP(Table8[[#This Row],[Mã khách hàng]],'Khách hàng'!A:E,5,0)</f>
        <v>HN0040</v>
      </c>
    </row>
    <row r="3016" spans="1:9">
      <c r="A3016" s="14" t="s">
        <v>9289</v>
      </c>
      <c r="B3016" s="15" t="s">
        <v>5</v>
      </c>
      <c r="C3016" s="16"/>
      <c r="D3016" s="21"/>
      <c r="E3016" s="15" t="s">
        <v>11215</v>
      </c>
      <c r="F3016" s="22" t="str">
        <f>VLOOKUP(Table8[[#This Row],[Mã khách hàng]],code_khach_hang[],2,0)</f>
        <v>CHI NHÁNH HÀ NỘI - CÔNG TY CỔ PHẦN DỊCH VỤ THƯƠNG MẠI TỔNG HỢP WINCOMMERCE</v>
      </c>
      <c r="G3016" s="16" t="str">
        <f>VLOOKUP(Table8[[#This Row],[Mã khách hàng]],code_khach_hang[],3,0)</f>
        <v>Miền Bắc đặc biệt 1</v>
      </c>
      <c r="H3016" t="str">
        <f>VLOOKUP(Table8[[#This Row],[Mã khách hàng]],'Khách hàng'!A:D,4,0)</f>
        <v>Food Đức Việt</v>
      </c>
      <c r="I3016" t="str">
        <f>VLOOKUP(Table8[[#This Row],[Mã khách hàng]],'Khách hàng'!A:E,5,0)</f>
        <v>HN0040</v>
      </c>
    </row>
    <row r="3017" spans="1:9">
      <c r="A3017" s="14" t="s">
        <v>9285</v>
      </c>
      <c r="B3017" s="15" t="s">
        <v>5</v>
      </c>
      <c r="C3017" s="16"/>
      <c r="D3017" s="21"/>
      <c r="E3017" s="15" t="s">
        <v>11215</v>
      </c>
      <c r="F3017" s="22" t="str">
        <f>VLOOKUP(Table8[[#This Row],[Mã khách hàng]],code_khach_hang[],2,0)</f>
        <v>CHI NHÁNH HÀ NỘI - CÔNG TY CỔ PHẦN DỊCH VỤ THƯƠNG MẠI TỔNG HỢP WINCOMMERCE</v>
      </c>
      <c r="G3017" s="16" t="str">
        <f>VLOOKUP(Table8[[#This Row],[Mã khách hàng]],code_khach_hang[],3,0)</f>
        <v>Miền Bắc đặc biệt 1</v>
      </c>
      <c r="H3017" t="str">
        <f>VLOOKUP(Table8[[#This Row],[Mã khách hàng]],'Khách hàng'!A:D,4,0)</f>
        <v>Food Đức Việt</v>
      </c>
      <c r="I3017" t="str">
        <f>VLOOKUP(Table8[[#This Row],[Mã khách hàng]],'Khách hàng'!A:E,5,0)</f>
        <v>HN0040</v>
      </c>
    </row>
    <row r="3018" spans="1:9">
      <c r="A3018" s="14" t="s">
        <v>9268</v>
      </c>
      <c r="B3018" s="15" t="s">
        <v>5</v>
      </c>
      <c r="C3018" s="16"/>
      <c r="D3018" s="21"/>
      <c r="E3018" s="15" t="s">
        <v>11203</v>
      </c>
      <c r="F3018" s="22" t="str">
        <f>VLOOKUP(Table8[[#This Row],[Mã khách hàng]],code_khach_hang[],2,0)</f>
        <v>CHI NHÁNH THANH HÓA - CÔNG TY CỔ PHẦN DỊCH VỤ THƯƠNG MẠI TỔNG HỢP WINCOMMERCE</v>
      </c>
      <c r="G3018" s="16" t="str">
        <f>VLOOKUP(Table8[[#This Row],[Mã khách hàng]],code_khach_hang[],3,0)</f>
        <v>Miền Trung đặc biệt 1</v>
      </c>
      <c r="H3018" t="str">
        <f>VLOOKUP(Table8[[#This Row],[Mã khách hàng]],'Khách hàng'!A:D,4,0)</f>
        <v>Food Đức Việt</v>
      </c>
      <c r="I3018" t="str">
        <f>VLOOKUP(Table8[[#This Row],[Mã khách hàng]],'Khách hàng'!A:E,5,0)</f>
        <v>HN0040</v>
      </c>
    </row>
    <row r="3019" spans="1:9">
      <c r="A3019" s="14" t="s">
        <v>9270</v>
      </c>
      <c r="B3019" s="15" t="s">
        <v>5</v>
      </c>
      <c r="C3019" s="16"/>
      <c r="D3019" s="21"/>
      <c r="E3019" s="15" t="s">
        <v>11203</v>
      </c>
      <c r="F3019" s="22" t="str">
        <f>VLOOKUP(Table8[[#This Row],[Mã khách hàng]],code_khach_hang[],2,0)</f>
        <v>CHI NHÁNH THANH HÓA - CÔNG TY CỔ PHẦN DỊCH VỤ THƯƠNG MẠI TỔNG HỢP WINCOMMERCE</v>
      </c>
      <c r="G3019" s="16" t="str">
        <f>VLOOKUP(Table8[[#This Row],[Mã khách hàng]],code_khach_hang[],3,0)</f>
        <v>Miền Trung đặc biệt 1</v>
      </c>
      <c r="H3019" t="str">
        <f>VLOOKUP(Table8[[#This Row],[Mã khách hàng]],'Khách hàng'!A:D,4,0)</f>
        <v>Food Đức Việt</v>
      </c>
      <c r="I3019" t="str">
        <f>VLOOKUP(Table8[[#This Row],[Mã khách hàng]],'Khách hàng'!A:E,5,0)</f>
        <v>HN0040</v>
      </c>
    </row>
    <row r="3020" spans="1:9">
      <c r="A3020" s="14" t="s">
        <v>9316</v>
      </c>
      <c r="B3020" s="15" t="s">
        <v>5</v>
      </c>
      <c r="C3020" s="16"/>
      <c r="D3020" s="21"/>
      <c r="E3020" s="15" t="s">
        <v>11198</v>
      </c>
      <c r="F3020" s="22" t="str">
        <f>VLOOKUP(Table8[[#This Row],[Mã khách hàng]],code_khach_hang[],2,0)</f>
        <v>CHI NHÁNH HẢI PHÒNG - CÔNG TY CỔ PHẦN DỊCH VỤ THƯƠNG MẠI TỔNG HỢP WINCOMMERCE</v>
      </c>
      <c r="G3020" s="16" t="str">
        <f>VLOOKUP(Table8[[#This Row],[Mã khách hàng]],code_khach_hang[],3,0)</f>
        <v>Miền Bắc đặc biệt 3</v>
      </c>
      <c r="H3020" t="str">
        <f>VLOOKUP(Table8[[#This Row],[Mã khách hàng]],'Khách hàng'!A:D,4,0)</f>
        <v>Food Đức Việt</v>
      </c>
      <c r="I3020" t="str">
        <f>VLOOKUP(Table8[[#This Row],[Mã khách hàng]],'Khách hàng'!A:E,5,0)</f>
        <v>HN0040</v>
      </c>
    </row>
    <row r="3021" spans="1:9">
      <c r="A3021" s="14" t="s">
        <v>9287</v>
      </c>
      <c r="B3021" s="15" t="s">
        <v>5</v>
      </c>
      <c r="C3021" s="16"/>
      <c r="D3021" s="21"/>
      <c r="E3021" s="15" t="s">
        <v>11215</v>
      </c>
      <c r="F3021" s="22" t="str">
        <f>VLOOKUP(Table8[[#This Row],[Mã khách hàng]],code_khach_hang[],2,0)</f>
        <v>CHI NHÁNH HÀ NỘI - CÔNG TY CỔ PHẦN DỊCH VỤ THƯƠNG MẠI TỔNG HỢP WINCOMMERCE</v>
      </c>
      <c r="G3021" s="16" t="str">
        <f>VLOOKUP(Table8[[#This Row],[Mã khách hàng]],code_khach_hang[],3,0)</f>
        <v>Miền Bắc đặc biệt 1</v>
      </c>
      <c r="H3021" t="str">
        <f>VLOOKUP(Table8[[#This Row],[Mã khách hàng]],'Khách hàng'!A:D,4,0)</f>
        <v>Food Đức Việt</v>
      </c>
      <c r="I3021" t="str">
        <f>VLOOKUP(Table8[[#This Row],[Mã khách hàng]],'Khách hàng'!A:E,5,0)</f>
        <v>HN0040</v>
      </c>
    </row>
    <row r="3022" spans="1:9">
      <c r="A3022" s="14" t="s">
        <v>9320</v>
      </c>
      <c r="B3022" s="15" t="s">
        <v>5</v>
      </c>
      <c r="C3022" s="16"/>
      <c r="D3022" s="21"/>
      <c r="E3022" s="15" t="s">
        <v>11198</v>
      </c>
      <c r="F3022" s="22" t="str">
        <f>VLOOKUP(Table8[[#This Row],[Mã khách hàng]],code_khach_hang[],2,0)</f>
        <v>CHI NHÁNH HẢI PHÒNG - CÔNG TY CỔ PHẦN DỊCH VỤ THƯƠNG MẠI TỔNG HỢP WINCOMMERCE</v>
      </c>
      <c r="G3022" s="16" t="str">
        <f>VLOOKUP(Table8[[#This Row],[Mã khách hàng]],code_khach_hang[],3,0)</f>
        <v>Miền Bắc đặc biệt 3</v>
      </c>
      <c r="H3022" t="str">
        <f>VLOOKUP(Table8[[#This Row],[Mã khách hàng]],'Khách hàng'!A:D,4,0)</f>
        <v>Food Đức Việt</v>
      </c>
      <c r="I3022" t="str">
        <f>VLOOKUP(Table8[[#This Row],[Mã khách hàng]],'Khách hàng'!A:E,5,0)</f>
        <v>HN0040</v>
      </c>
    </row>
    <row r="3023" spans="1:9">
      <c r="A3023" s="14" t="s">
        <v>9246</v>
      </c>
      <c r="B3023" s="15" t="s">
        <v>5</v>
      </c>
      <c r="C3023" s="16"/>
      <c r="D3023" s="21"/>
      <c r="E3023" s="15" t="s">
        <v>11197</v>
      </c>
      <c r="F3023" s="22" t="str">
        <f>VLOOKUP(Table8[[#This Row],[Mã khách hàng]],code_khach_hang[],2,0)</f>
        <v>CHI NHÁNH QUẢNG NINH - CÔNG TY CỔ PHẦN DỊCH VỤ THƯƠNG MẠI TỔNG HỢP WINCOMMERCE</v>
      </c>
      <c r="G3023" s="16" t="str">
        <f>VLOOKUP(Table8[[#This Row],[Mã khách hàng]],code_khach_hang[],3,0)</f>
        <v>Miền Bắc đặc biệt 3</v>
      </c>
      <c r="H3023" t="str">
        <f>VLOOKUP(Table8[[#This Row],[Mã khách hàng]],'Khách hàng'!A:D,4,0)</f>
        <v>Food Đức Việt</v>
      </c>
      <c r="I3023" t="str">
        <f>VLOOKUP(Table8[[#This Row],[Mã khách hàng]],'Khách hàng'!A:E,5,0)</f>
        <v>HN0040</v>
      </c>
    </row>
    <row r="3024" spans="1:9">
      <c r="A3024" s="14" t="s">
        <v>9222</v>
      </c>
      <c r="B3024" s="15" t="s">
        <v>5</v>
      </c>
      <c r="C3024" s="16"/>
      <c r="D3024" s="21"/>
      <c r="E3024" s="15" t="s">
        <v>11196</v>
      </c>
      <c r="F3024" s="22" t="str">
        <f>VLOOKUP(Table8[[#This Row],[Mã khách hàng]],code_khach_hang[],2,0)</f>
        <v>CHI NHÁNH NINH BÌNH - CÔNG TY CỔ PHẦN DỊCH VỤ THƯƠNG MẠI TỔNG HỢP WINCOMMERCE</v>
      </c>
      <c r="G3024" s="16" t="str">
        <f>VLOOKUP(Table8[[#This Row],[Mã khách hàng]],code_khach_hang[],3,0)</f>
        <v>Miền Bắc đặc biệt 3</v>
      </c>
      <c r="H3024" t="str">
        <f>VLOOKUP(Table8[[#This Row],[Mã khách hàng]],'Khách hàng'!A:D,4,0)</f>
        <v>Food Đức Việt</v>
      </c>
      <c r="I3024" t="str">
        <f>VLOOKUP(Table8[[#This Row],[Mã khách hàng]],'Khách hàng'!A:E,5,0)</f>
        <v>HN0040</v>
      </c>
    </row>
    <row r="3025" spans="1:9">
      <c r="A3025" s="14" t="s">
        <v>11148</v>
      </c>
      <c r="B3025" s="15" t="s">
        <v>5</v>
      </c>
      <c r="C3025" s="16"/>
      <c r="D3025" s="21"/>
      <c r="E3025" s="15" t="s">
        <v>11211</v>
      </c>
      <c r="F3025" s="22" t="str">
        <f>VLOOKUP(Table8[[#This Row],[Mã khách hàng]],code_khach_hang[],2,0)</f>
        <v>CHI NHÁNH NGHỆ AN - CÔNG TY CỔ PHẦN DỊCH VỤ THƯƠNG MẠI TỔNG HỢP WINCOMMERCE</v>
      </c>
      <c r="G3025" s="16" t="str">
        <f>VLOOKUP(Table8[[#This Row],[Mã khách hàng]],code_khach_hang[],3,0)</f>
        <v>Miền Trung đặc biệt 1</v>
      </c>
      <c r="H3025" t="str">
        <f>VLOOKUP(Table8[[#This Row],[Mã khách hàng]],'Khách hàng'!A:D,4,0)</f>
        <v>Food Đức Việt</v>
      </c>
      <c r="I3025" t="str">
        <f>VLOOKUP(Table8[[#This Row],[Mã khách hàng]],'Khách hàng'!A:E,5,0)</f>
        <v>HN0040</v>
      </c>
    </row>
    <row r="3026" spans="1:9">
      <c r="A3026" s="14" t="s">
        <v>9244</v>
      </c>
      <c r="B3026" s="15" t="s">
        <v>5</v>
      </c>
      <c r="C3026" s="16"/>
      <c r="D3026" s="21"/>
      <c r="E3026" s="15" t="s">
        <v>11199</v>
      </c>
      <c r="F3026" s="22" t="str">
        <f>VLOOKUP(Table8[[#This Row],[Mã khách hàng]],code_khach_hang[],2,0)</f>
        <v>CHI NHÁNH PHÚ THỌ - CÔNG TY CỔ PHẦN DỊCH VỤ THƯƠNG MẠI TỔNG HỢP WINCOMMERCE</v>
      </c>
      <c r="G3026" s="16" t="str">
        <f>VLOOKUP(Table8[[#This Row],[Mã khách hàng]],code_khach_hang[],3,0)</f>
        <v>Miền Bắc đặc biệt 1</v>
      </c>
      <c r="H3026" t="str">
        <f>VLOOKUP(Table8[[#This Row],[Mã khách hàng]],'Khách hàng'!A:D,4,0)</f>
        <v>Food Đức Việt</v>
      </c>
      <c r="I3026" t="str">
        <f>VLOOKUP(Table8[[#This Row],[Mã khách hàng]],'Khách hàng'!A:E,5,0)</f>
        <v>HN0040</v>
      </c>
    </row>
    <row r="3027" spans="1:9">
      <c r="A3027" s="14" t="s">
        <v>9341</v>
      </c>
      <c r="B3027" s="15" t="s">
        <v>5</v>
      </c>
      <c r="C3027" s="16"/>
      <c r="D3027" s="21"/>
      <c r="E3027" s="15" t="s">
        <v>11215</v>
      </c>
      <c r="F3027" s="22" t="str">
        <f>VLOOKUP(Table8[[#This Row],[Mã khách hàng]],code_khach_hang[],2,0)</f>
        <v>CHI NHÁNH HÀ NỘI - CÔNG TY CỔ PHẦN DỊCH VỤ THƯƠNG MẠI TỔNG HỢP WINCOMMERCE</v>
      </c>
      <c r="G3027" s="16" t="str">
        <f>VLOOKUP(Table8[[#This Row],[Mã khách hàng]],code_khach_hang[],3,0)</f>
        <v>Miền Bắc đặc biệt 1</v>
      </c>
      <c r="H3027" t="str">
        <f>VLOOKUP(Table8[[#This Row],[Mã khách hàng]],'Khách hàng'!A:D,4,0)</f>
        <v>Food Đức Việt</v>
      </c>
      <c r="I3027" t="str">
        <f>VLOOKUP(Table8[[#This Row],[Mã khách hàng]],'Khách hàng'!A:E,5,0)</f>
        <v>HN0040</v>
      </c>
    </row>
    <row r="3028" spans="1:9">
      <c r="A3028" s="14" t="s">
        <v>9226</v>
      </c>
      <c r="B3028" s="15" t="s">
        <v>5</v>
      </c>
      <c r="C3028" s="16"/>
      <c r="D3028" s="21"/>
      <c r="E3028" s="15" t="s">
        <v>11196</v>
      </c>
      <c r="F3028" s="22" t="str">
        <f>VLOOKUP(Table8[[#This Row],[Mã khách hàng]],code_khach_hang[],2,0)</f>
        <v>CHI NHÁNH NINH BÌNH - CÔNG TY CỔ PHẦN DỊCH VỤ THƯƠNG MẠI TỔNG HỢP WINCOMMERCE</v>
      </c>
      <c r="G3028" s="16" t="str">
        <f>VLOOKUP(Table8[[#This Row],[Mã khách hàng]],code_khach_hang[],3,0)</f>
        <v>Miền Bắc đặc biệt 3</v>
      </c>
      <c r="H3028" t="str">
        <f>VLOOKUP(Table8[[#This Row],[Mã khách hàng]],'Khách hàng'!A:D,4,0)</f>
        <v>Food Đức Việt</v>
      </c>
      <c r="I3028" t="str">
        <f>VLOOKUP(Table8[[#This Row],[Mã khách hàng]],'Khách hàng'!A:E,5,0)</f>
        <v>HN0040</v>
      </c>
    </row>
    <row r="3029" spans="1:9">
      <c r="A3029" s="14" t="s">
        <v>9281</v>
      </c>
      <c r="B3029" s="15" t="s">
        <v>5</v>
      </c>
      <c r="C3029" s="16"/>
      <c r="D3029" s="21"/>
      <c r="E3029" s="15" t="s">
        <v>11215</v>
      </c>
      <c r="F3029" s="22" t="str">
        <f>VLOOKUP(Table8[[#This Row],[Mã khách hàng]],code_khach_hang[],2,0)</f>
        <v>CHI NHÁNH HÀ NỘI - CÔNG TY CỔ PHẦN DỊCH VỤ THƯƠNG MẠI TỔNG HỢP WINCOMMERCE</v>
      </c>
      <c r="G3029" s="16" t="str">
        <f>VLOOKUP(Table8[[#This Row],[Mã khách hàng]],code_khach_hang[],3,0)</f>
        <v>Miền Bắc đặc biệt 1</v>
      </c>
      <c r="H3029" t="str">
        <f>VLOOKUP(Table8[[#This Row],[Mã khách hàng]],'Khách hàng'!A:D,4,0)</f>
        <v>Food Đức Việt</v>
      </c>
      <c r="I3029" t="str">
        <f>VLOOKUP(Table8[[#This Row],[Mã khách hàng]],'Khách hàng'!A:E,5,0)</f>
        <v>HN0040</v>
      </c>
    </row>
    <row r="3030" spans="1:9">
      <c r="A3030" s="14" t="s">
        <v>9195</v>
      </c>
      <c r="B3030" s="15" t="s">
        <v>5</v>
      </c>
      <c r="C3030" s="16"/>
      <c r="D3030" s="21"/>
      <c r="E3030" s="15" t="s">
        <v>11216</v>
      </c>
      <c r="F3030" s="22" t="str">
        <f>VLOOKUP(Table8[[#This Row],[Mã khách hàng]],code_khach_hang[],2,0)</f>
        <v>CHI NHÁNH HƯNG YÊN - CÔNG TY CỔ PHẦN DỊCH VỤ THƯƠNG MẠI TỔNG HỢP WINCOMMERCE</v>
      </c>
      <c r="G3030" s="16" t="str">
        <f>VLOOKUP(Table8[[#This Row],[Mã khách hàng]],code_khach_hang[],3,0)</f>
        <v>Miền Bắc đặc biệt 1</v>
      </c>
      <c r="H3030" t="str">
        <f>VLOOKUP(Table8[[#This Row],[Mã khách hàng]],'Khách hàng'!A:D,4,0)</f>
        <v>Food Đức Việt</v>
      </c>
      <c r="I3030" t="str">
        <f>VLOOKUP(Table8[[#This Row],[Mã khách hàng]],'Khách hàng'!A:E,5,0)</f>
        <v>HN0040</v>
      </c>
    </row>
    <row r="3031" spans="1:9">
      <c r="A3031" s="14" t="s">
        <v>9210</v>
      </c>
      <c r="B3031" s="15" t="s">
        <v>5</v>
      </c>
      <c r="C3031" s="16"/>
      <c r="D3031" s="21"/>
      <c r="E3031" s="15" t="s">
        <v>11211</v>
      </c>
      <c r="F3031" s="22" t="str">
        <f>VLOOKUP(Table8[[#This Row],[Mã khách hàng]],code_khach_hang[],2,0)</f>
        <v>CHI NHÁNH NGHỆ AN - CÔNG TY CỔ PHẦN DỊCH VỤ THƯƠNG MẠI TỔNG HỢP WINCOMMERCE</v>
      </c>
      <c r="G3031" s="16" t="str">
        <f>VLOOKUP(Table8[[#This Row],[Mã khách hàng]],code_khach_hang[],3,0)</f>
        <v>Miền Trung đặc biệt 1</v>
      </c>
      <c r="H3031" t="str">
        <f>VLOOKUP(Table8[[#This Row],[Mã khách hàng]],'Khách hàng'!A:D,4,0)</f>
        <v>Food Đức Việt</v>
      </c>
      <c r="I3031" t="str">
        <f>VLOOKUP(Table8[[#This Row],[Mã khách hàng]],'Khách hàng'!A:E,5,0)</f>
        <v>HN0040</v>
      </c>
    </row>
    <row r="3032" spans="1:9">
      <c r="A3032" s="14" t="s">
        <v>9236</v>
      </c>
      <c r="B3032" s="15" t="s">
        <v>5</v>
      </c>
      <c r="C3032" s="16"/>
      <c r="D3032" s="21"/>
      <c r="E3032" s="15" t="s">
        <v>11199</v>
      </c>
      <c r="F3032" s="22" t="str">
        <f>VLOOKUP(Table8[[#This Row],[Mã khách hàng]],code_khach_hang[],2,0)</f>
        <v>CHI NHÁNH PHÚ THỌ - CÔNG TY CỔ PHẦN DỊCH VỤ THƯƠNG MẠI TỔNG HỢP WINCOMMERCE</v>
      </c>
      <c r="G3032" s="16" t="str">
        <f>VLOOKUP(Table8[[#This Row],[Mã khách hàng]],code_khach_hang[],3,0)</f>
        <v>Miền Bắc đặc biệt 1</v>
      </c>
      <c r="H3032" t="str">
        <f>VLOOKUP(Table8[[#This Row],[Mã khách hàng]],'Khách hàng'!A:D,4,0)</f>
        <v>Food Đức Việt</v>
      </c>
      <c r="I3032" t="str">
        <f>VLOOKUP(Table8[[#This Row],[Mã khách hàng]],'Khách hàng'!A:E,5,0)</f>
        <v>HN0040</v>
      </c>
    </row>
    <row r="3033" spans="1:9">
      <c r="A3033" s="14" t="s">
        <v>9238</v>
      </c>
      <c r="B3033" s="15" t="s">
        <v>5</v>
      </c>
      <c r="C3033" s="16"/>
      <c r="D3033" s="21"/>
      <c r="E3033" s="15" t="s">
        <v>11199</v>
      </c>
      <c r="F3033" s="22" t="str">
        <f>VLOOKUP(Table8[[#This Row],[Mã khách hàng]],code_khach_hang[],2,0)</f>
        <v>CHI NHÁNH PHÚ THỌ - CÔNG TY CỔ PHẦN DỊCH VỤ THƯƠNG MẠI TỔNG HỢP WINCOMMERCE</v>
      </c>
      <c r="G3033" s="16" t="str">
        <f>VLOOKUP(Table8[[#This Row],[Mã khách hàng]],code_khach_hang[],3,0)</f>
        <v>Miền Bắc đặc biệt 1</v>
      </c>
      <c r="H3033" t="str">
        <f>VLOOKUP(Table8[[#This Row],[Mã khách hàng]],'Khách hàng'!A:D,4,0)</f>
        <v>Food Đức Việt</v>
      </c>
      <c r="I3033" t="str">
        <f>VLOOKUP(Table8[[#This Row],[Mã khách hàng]],'Khách hàng'!A:E,5,0)</f>
        <v>HN0040</v>
      </c>
    </row>
    <row r="3034" spans="1:9">
      <c r="A3034" s="14" t="s">
        <v>9331</v>
      </c>
      <c r="B3034" s="15" t="s">
        <v>5</v>
      </c>
      <c r="C3034" s="16"/>
      <c r="D3034" s="21"/>
      <c r="E3034" s="15" t="s">
        <v>11215</v>
      </c>
      <c r="F3034" s="22" t="str">
        <f>VLOOKUP(Table8[[#This Row],[Mã khách hàng]],code_khach_hang[],2,0)</f>
        <v>CHI NHÁNH HÀ NỘI - CÔNG TY CỔ PHẦN DỊCH VỤ THƯƠNG MẠI TỔNG HỢP WINCOMMERCE</v>
      </c>
      <c r="G3034" s="16" t="str">
        <f>VLOOKUP(Table8[[#This Row],[Mã khách hàng]],code_khach_hang[],3,0)</f>
        <v>Miền Bắc đặc biệt 1</v>
      </c>
      <c r="H3034" t="str">
        <f>VLOOKUP(Table8[[#This Row],[Mã khách hàng]],'Khách hàng'!A:D,4,0)</f>
        <v>Food Đức Việt</v>
      </c>
      <c r="I3034" t="str">
        <f>VLOOKUP(Table8[[#This Row],[Mã khách hàng]],'Khách hàng'!A:E,5,0)</f>
        <v>HN0040</v>
      </c>
    </row>
    <row r="3035" spans="1:9">
      <c r="A3035" s="14" t="s">
        <v>9142</v>
      </c>
      <c r="B3035" s="15" t="s">
        <v>5</v>
      </c>
      <c r="C3035" s="16"/>
      <c r="D3035" s="21"/>
      <c r="E3035" s="15" t="s">
        <v>11205</v>
      </c>
      <c r="F3035" s="22" t="str">
        <f>VLOOKUP(Table8[[#This Row],[Mã khách hàng]],code_khach_hang[],2,0)</f>
        <v>CHI NHÁNH HÀ TĨNH - CÔNG TY CỔ PHẦN DỊCH VỤ THƯƠNG MẠI TỔNG HỢP WINCOMMERCE</v>
      </c>
      <c r="G3035" s="16" t="str">
        <f>VLOOKUP(Table8[[#This Row],[Mã khách hàng]],code_khach_hang[],3,0)</f>
        <v>Miền Trung đặc biệt 1</v>
      </c>
      <c r="H3035" t="str">
        <f>VLOOKUP(Table8[[#This Row],[Mã khách hàng]],'Khách hàng'!A:D,4,0)</f>
        <v>Food Đức Việt</v>
      </c>
      <c r="I3035" t="str">
        <f>VLOOKUP(Table8[[#This Row],[Mã khách hàng]],'Khách hàng'!A:E,5,0)</f>
        <v>HN0040</v>
      </c>
    </row>
    <row r="3036" spans="1:9">
      <c r="A3036" s="14" t="s">
        <v>11149</v>
      </c>
      <c r="B3036" s="15" t="s">
        <v>5</v>
      </c>
      <c r="C3036" s="16"/>
      <c r="D3036" s="21"/>
      <c r="E3036" s="15" t="s">
        <v>11211</v>
      </c>
      <c r="F3036" s="22" t="str">
        <f>VLOOKUP(Table8[[#This Row],[Mã khách hàng]],code_khach_hang[],2,0)</f>
        <v>CHI NHÁNH NGHỆ AN - CÔNG TY CỔ PHẦN DỊCH VỤ THƯƠNG MẠI TỔNG HỢP WINCOMMERCE</v>
      </c>
      <c r="G3036" s="16" t="str">
        <f>VLOOKUP(Table8[[#This Row],[Mã khách hàng]],code_khach_hang[],3,0)</f>
        <v>Miền Trung đặc biệt 1</v>
      </c>
      <c r="H3036" t="str">
        <f>VLOOKUP(Table8[[#This Row],[Mã khách hàng]],'Khách hàng'!A:D,4,0)</f>
        <v>Food Đức Việt</v>
      </c>
      <c r="I3036" t="str">
        <f>VLOOKUP(Table8[[#This Row],[Mã khách hàng]],'Khách hàng'!A:E,5,0)</f>
        <v>HN0040</v>
      </c>
    </row>
    <row r="3037" spans="1:9">
      <c r="A3037" s="14" t="s">
        <v>9189</v>
      </c>
      <c r="B3037" s="15" t="s">
        <v>5</v>
      </c>
      <c r="C3037" s="16"/>
      <c r="D3037" s="21"/>
      <c r="E3037" s="15" t="s">
        <v>11216</v>
      </c>
      <c r="F3037" s="22" t="str">
        <f>VLOOKUP(Table8[[#This Row],[Mã khách hàng]],code_khach_hang[],2,0)</f>
        <v>CHI NHÁNH HƯNG YÊN - CÔNG TY CỔ PHẦN DỊCH VỤ THƯƠNG MẠI TỔNG HỢP WINCOMMERCE</v>
      </c>
      <c r="G3037" s="16" t="str">
        <f>VLOOKUP(Table8[[#This Row],[Mã khách hàng]],code_khach_hang[],3,0)</f>
        <v>Miền Bắc đặc biệt 1</v>
      </c>
      <c r="H3037" t="str">
        <f>VLOOKUP(Table8[[#This Row],[Mã khách hàng]],'Khách hàng'!A:D,4,0)</f>
        <v>Food Đức Việt</v>
      </c>
      <c r="I3037" t="str">
        <f>VLOOKUP(Table8[[#This Row],[Mã khách hàng]],'Khách hàng'!A:E,5,0)</f>
        <v>HN0040</v>
      </c>
    </row>
    <row r="3038" spans="1:9">
      <c r="A3038" s="14" t="s">
        <v>9228</v>
      </c>
      <c r="B3038" s="15" t="s">
        <v>5</v>
      </c>
      <c r="C3038" s="16"/>
      <c r="D3038" s="21"/>
      <c r="E3038" s="15" t="s">
        <v>11196</v>
      </c>
      <c r="F3038" s="22" t="str">
        <f>VLOOKUP(Table8[[#This Row],[Mã khách hàng]],code_khach_hang[],2,0)</f>
        <v>CHI NHÁNH NINH BÌNH - CÔNG TY CỔ PHẦN DỊCH VỤ THƯƠNG MẠI TỔNG HỢP WINCOMMERCE</v>
      </c>
      <c r="G3038" s="16" t="str">
        <f>VLOOKUP(Table8[[#This Row],[Mã khách hàng]],code_khach_hang[],3,0)</f>
        <v>Miền Bắc đặc biệt 3</v>
      </c>
      <c r="H3038" t="str">
        <f>VLOOKUP(Table8[[#This Row],[Mã khách hàng]],'Khách hàng'!A:D,4,0)</f>
        <v>Food Đức Việt</v>
      </c>
      <c r="I3038" t="str">
        <f>VLOOKUP(Table8[[#This Row],[Mã khách hàng]],'Khách hàng'!A:E,5,0)</f>
        <v>HN0040</v>
      </c>
    </row>
    <row r="3039" spans="1:9">
      <c r="A3039" s="14" t="s">
        <v>11150</v>
      </c>
      <c r="B3039" s="15" t="s">
        <v>5</v>
      </c>
      <c r="C3039" s="16"/>
      <c r="D3039" s="21"/>
      <c r="E3039" s="15" t="s">
        <v>11216</v>
      </c>
      <c r="F3039" s="22" t="str">
        <f>VLOOKUP(Table8[[#This Row],[Mã khách hàng]],code_khach_hang[],2,0)</f>
        <v>CHI NHÁNH HƯNG YÊN - CÔNG TY CỔ PHẦN DỊCH VỤ THƯƠNG MẠI TỔNG HỢP WINCOMMERCE</v>
      </c>
      <c r="G3039" s="16" t="str">
        <f>VLOOKUP(Table8[[#This Row],[Mã khách hàng]],code_khach_hang[],3,0)</f>
        <v>Miền Bắc đặc biệt 1</v>
      </c>
      <c r="H3039" t="str">
        <f>VLOOKUP(Table8[[#This Row],[Mã khách hàng]],'Khách hàng'!A:D,4,0)</f>
        <v>Food Đức Việt</v>
      </c>
      <c r="I3039" t="str">
        <f>VLOOKUP(Table8[[#This Row],[Mã khách hàng]],'Khách hàng'!A:E,5,0)</f>
        <v>HN0040</v>
      </c>
    </row>
    <row r="3040" spans="1:9">
      <c r="A3040" s="14" t="s">
        <v>9291</v>
      </c>
      <c r="B3040" s="15" t="s">
        <v>5</v>
      </c>
      <c r="C3040" s="16"/>
      <c r="D3040" s="21"/>
      <c r="E3040" s="15" t="s">
        <v>11215</v>
      </c>
      <c r="F3040" s="22" t="str">
        <f>VLOOKUP(Table8[[#This Row],[Mã khách hàng]],code_khach_hang[],2,0)</f>
        <v>CHI NHÁNH HÀ NỘI - CÔNG TY CỔ PHẦN DỊCH VỤ THƯƠNG MẠI TỔNG HỢP WINCOMMERCE</v>
      </c>
      <c r="G3040" s="16" t="str">
        <f>VLOOKUP(Table8[[#This Row],[Mã khách hàng]],code_khach_hang[],3,0)</f>
        <v>Miền Bắc đặc biệt 1</v>
      </c>
      <c r="H3040" t="str">
        <f>VLOOKUP(Table8[[#This Row],[Mã khách hàng]],'Khách hàng'!A:D,4,0)</f>
        <v>Food Đức Việt</v>
      </c>
      <c r="I3040" t="str">
        <f>VLOOKUP(Table8[[#This Row],[Mã khách hàng]],'Khách hàng'!A:E,5,0)</f>
        <v>HN0040</v>
      </c>
    </row>
    <row r="3041" spans="1:9">
      <c r="A3041" s="14" t="s">
        <v>9206</v>
      </c>
      <c r="B3041" s="15" t="s">
        <v>5</v>
      </c>
      <c r="C3041" s="16"/>
      <c r="D3041" s="21"/>
      <c r="E3041" s="15" t="s">
        <v>11211</v>
      </c>
      <c r="F3041" s="22" t="str">
        <f>VLOOKUP(Table8[[#This Row],[Mã khách hàng]],code_khach_hang[],2,0)</f>
        <v>CHI NHÁNH NGHỆ AN - CÔNG TY CỔ PHẦN DỊCH VỤ THƯƠNG MẠI TỔNG HỢP WINCOMMERCE</v>
      </c>
      <c r="G3041" s="16" t="str">
        <f>VLOOKUP(Table8[[#This Row],[Mã khách hàng]],code_khach_hang[],3,0)</f>
        <v>Miền Trung đặc biệt 1</v>
      </c>
      <c r="H3041" t="str">
        <f>VLOOKUP(Table8[[#This Row],[Mã khách hàng]],'Khách hàng'!A:D,4,0)</f>
        <v>Food Đức Việt</v>
      </c>
      <c r="I3041" t="str">
        <f>VLOOKUP(Table8[[#This Row],[Mã khách hàng]],'Khách hàng'!A:E,5,0)</f>
        <v>HN0040</v>
      </c>
    </row>
    <row r="3042" spans="1:9">
      <c r="A3042" s="14" t="s">
        <v>9220</v>
      </c>
      <c r="B3042" s="15" t="s">
        <v>5</v>
      </c>
      <c r="C3042" s="16"/>
      <c r="D3042" s="21"/>
      <c r="E3042" s="15" t="s">
        <v>11196</v>
      </c>
      <c r="F3042" s="22" t="str">
        <f>VLOOKUP(Table8[[#This Row],[Mã khách hàng]],code_khach_hang[],2,0)</f>
        <v>CHI NHÁNH NINH BÌNH - CÔNG TY CỔ PHẦN DỊCH VỤ THƯƠNG MẠI TỔNG HỢP WINCOMMERCE</v>
      </c>
      <c r="G3042" s="16" t="str">
        <f>VLOOKUP(Table8[[#This Row],[Mã khách hàng]],code_khach_hang[],3,0)</f>
        <v>Miền Bắc đặc biệt 3</v>
      </c>
      <c r="H3042" t="str">
        <f>VLOOKUP(Table8[[#This Row],[Mã khách hàng]],'Khách hàng'!A:D,4,0)</f>
        <v>Food Đức Việt</v>
      </c>
      <c r="I3042" t="str">
        <f>VLOOKUP(Table8[[#This Row],[Mã khách hàng]],'Khách hàng'!A:E,5,0)</f>
        <v>HN0040</v>
      </c>
    </row>
    <row r="3043" spans="1:9">
      <c r="A3043" s="14" t="s">
        <v>9199</v>
      </c>
      <c r="B3043" s="15" t="s">
        <v>5</v>
      </c>
      <c r="C3043" s="16"/>
      <c r="D3043" s="21"/>
      <c r="E3043" s="15" t="s">
        <v>11216</v>
      </c>
      <c r="F3043" s="22" t="str">
        <f>VLOOKUP(Table8[[#This Row],[Mã khách hàng]],code_khach_hang[],2,0)</f>
        <v>CHI NHÁNH HƯNG YÊN - CÔNG TY CỔ PHẦN DỊCH VỤ THƯƠNG MẠI TỔNG HỢP WINCOMMERCE</v>
      </c>
      <c r="G3043" s="16" t="str">
        <f>VLOOKUP(Table8[[#This Row],[Mã khách hàng]],code_khach_hang[],3,0)</f>
        <v>Miền Bắc đặc biệt 1</v>
      </c>
      <c r="H3043" t="str">
        <f>VLOOKUP(Table8[[#This Row],[Mã khách hàng]],'Khách hàng'!A:D,4,0)</f>
        <v>Food Đức Việt</v>
      </c>
      <c r="I3043" t="str">
        <f>VLOOKUP(Table8[[#This Row],[Mã khách hàng]],'Khách hàng'!A:E,5,0)</f>
        <v>HN0040</v>
      </c>
    </row>
    <row r="3044" spans="1:9">
      <c r="A3044" s="14" t="s">
        <v>9203</v>
      </c>
      <c r="B3044" s="15" t="s">
        <v>5</v>
      </c>
      <c r="C3044" s="16"/>
      <c r="D3044" s="21"/>
      <c r="E3044" s="15" t="s">
        <v>11218</v>
      </c>
      <c r="F3044" s="22" t="str">
        <f>VLOOKUP(Table8[[#This Row],[Mã khách hàng]],code_khach_hang[],2,0)</f>
        <v>CHI NHÁNH LÀO CAI - CÔNG TY CỔ PHẦN DỊCH VỤ THƯƠNG MẠI TỔNG HỢP WINCOMMERCE</v>
      </c>
      <c r="G3044" s="16" t="str">
        <f>VLOOKUP(Table8[[#This Row],[Mã khách hàng]],code_khach_hang[],3,0)</f>
        <v>Miền Bắc đặc biệt 1</v>
      </c>
      <c r="H3044" t="str">
        <f>VLOOKUP(Table8[[#This Row],[Mã khách hàng]],'Khách hàng'!A:D,4,0)</f>
        <v>Food Đức Việt</v>
      </c>
      <c r="I3044" t="str">
        <f>VLOOKUP(Table8[[#This Row],[Mã khách hàng]],'Khách hàng'!A:E,5,0)</f>
        <v>HN0040</v>
      </c>
    </row>
    <row r="3045" spans="1:9">
      <c r="A3045" s="14" t="s">
        <v>11151</v>
      </c>
      <c r="B3045" s="15" t="s">
        <v>5</v>
      </c>
      <c r="C3045" s="16"/>
      <c r="D3045" s="21"/>
      <c r="E3045" s="15" t="s">
        <v>11215</v>
      </c>
      <c r="F3045" s="22" t="str">
        <f>VLOOKUP(Table8[[#This Row],[Mã khách hàng]],code_khach_hang[],2,0)</f>
        <v>CHI NHÁNH HÀ NỘI - CÔNG TY CỔ PHẦN DỊCH VỤ THƯƠNG MẠI TỔNG HỢP WINCOMMERCE</v>
      </c>
      <c r="G3045" s="16" t="str">
        <f>VLOOKUP(Table8[[#This Row],[Mã khách hàng]],code_khach_hang[],3,0)</f>
        <v>Miền Bắc đặc biệt 1</v>
      </c>
      <c r="H3045" t="str">
        <f>VLOOKUP(Table8[[#This Row],[Mã khách hàng]],'Khách hàng'!A:D,4,0)</f>
        <v>Food Đức Việt</v>
      </c>
      <c r="I3045" t="str">
        <f>VLOOKUP(Table8[[#This Row],[Mã khách hàng]],'Khách hàng'!A:E,5,0)</f>
        <v>HN0040</v>
      </c>
    </row>
    <row r="3046" spans="1:9">
      <c r="A3046" s="14" t="s">
        <v>9314</v>
      </c>
      <c r="B3046" s="15" t="s">
        <v>5</v>
      </c>
      <c r="C3046" s="16"/>
      <c r="D3046" s="21"/>
      <c r="E3046" s="15" t="s">
        <v>11198</v>
      </c>
      <c r="F3046" s="22" t="str">
        <f>VLOOKUP(Table8[[#This Row],[Mã khách hàng]],code_khach_hang[],2,0)</f>
        <v>CHI NHÁNH HẢI PHÒNG - CÔNG TY CỔ PHẦN DỊCH VỤ THƯƠNG MẠI TỔNG HỢP WINCOMMERCE</v>
      </c>
      <c r="G3046" s="16" t="str">
        <f>VLOOKUP(Table8[[#This Row],[Mã khách hàng]],code_khach_hang[],3,0)</f>
        <v>Miền Bắc đặc biệt 3</v>
      </c>
      <c r="H3046" t="str">
        <f>VLOOKUP(Table8[[#This Row],[Mã khách hàng]],'Khách hàng'!A:D,4,0)</f>
        <v>Food Đức Việt</v>
      </c>
      <c r="I3046" t="str">
        <f>VLOOKUP(Table8[[#This Row],[Mã khách hàng]],'Khách hàng'!A:E,5,0)</f>
        <v>HN0040</v>
      </c>
    </row>
    <row r="3047" spans="1:9">
      <c r="A3047" s="14" t="s">
        <v>9218</v>
      </c>
      <c r="B3047" s="15" t="s">
        <v>5</v>
      </c>
      <c r="C3047" s="16"/>
      <c r="D3047" s="21"/>
      <c r="E3047" s="15" t="s">
        <v>11196</v>
      </c>
      <c r="F3047" s="22" t="str">
        <f>VLOOKUP(Table8[[#This Row],[Mã khách hàng]],code_khach_hang[],2,0)</f>
        <v>CHI NHÁNH NINH BÌNH - CÔNG TY CỔ PHẦN DỊCH VỤ THƯƠNG MẠI TỔNG HỢP WINCOMMERCE</v>
      </c>
      <c r="G3047" s="16" t="str">
        <f>VLOOKUP(Table8[[#This Row],[Mã khách hàng]],code_khach_hang[],3,0)</f>
        <v>Miền Bắc đặc biệt 3</v>
      </c>
      <c r="H3047" t="str">
        <f>VLOOKUP(Table8[[#This Row],[Mã khách hàng]],'Khách hàng'!A:D,4,0)</f>
        <v>Food Đức Việt</v>
      </c>
      <c r="I3047" t="str">
        <f>VLOOKUP(Table8[[#This Row],[Mã khách hàng]],'Khách hàng'!A:E,5,0)</f>
        <v>HN0040</v>
      </c>
    </row>
    <row r="3048" spans="1:9">
      <c r="A3048" s="14" t="s">
        <v>9312</v>
      </c>
      <c r="B3048" s="15" t="s">
        <v>5</v>
      </c>
      <c r="C3048" s="16"/>
      <c r="D3048" s="21"/>
      <c r="E3048" s="15" t="s">
        <v>11198</v>
      </c>
      <c r="F3048" s="22" t="str">
        <f>VLOOKUP(Table8[[#This Row],[Mã khách hàng]],code_khach_hang[],2,0)</f>
        <v>CHI NHÁNH HẢI PHÒNG - CÔNG TY CỔ PHẦN DỊCH VỤ THƯƠNG MẠI TỔNG HỢP WINCOMMERCE</v>
      </c>
      <c r="G3048" s="16" t="str">
        <f>VLOOKUP(Table8[[#This Row],[Mã khách hàng]],code_khach_hang[],3,0)</f>
        <v>Miền Bắc đặc biệt 3</v>
      </c>
      <c r="H3048" t="str">
        <f>VLOOKUP(Table8[[#This Row],[Mã khách hàng]],'Khách hàng'!A:D,4,0)</f>
        <v>Food Đức Việt</v>
      </c>
      <c r="I3048" t="str">
        <f>VLOOKUP(Table8[[#This Row],[Mã khách hàng]],'Khách hàng'!A:E,5,0)</f>
        <v>HN0040</v>
      </c>
    </row>
    <row r="3049" spans="1:9">
      <c r="A3049" s="14" t="s">
        <v>9297</v>
      </c>
      <c r="B3049" s="15" t="s">
        <v>5</v>
      </c>
      <c r="C3049" s="16"/>
      <c r="D3049" s="21"/>
      <c r="E3049" s="15" t="s">
        <v>11215</v>
      </c>
      <c r="F3049" s="22" t="str">
        <f>VLOOKUP(Table8[[#This Row],[Mã khách hàng]],code_khach_hang[],2,0)</f>
        <v>CHI NHÁNH HÀ NỘI - CÔNG TY CỔ PHẦN DỊCH VỤ THƯƠNG MẠI TỔNG HỢP WINCOMMERCE</v>
      </c>
      <c r="G3049" s="16" t="str">
        <f>VLOOKUP(Table8[[#This Row],[Mã khách hàng]],code_khach_hang[],3,0)</f>
        <v>Miền Bắc đặc biệt 1</v>
      </c>
      <c r="H3049" t="str">
        <f>VLOOKUP(Table8[[#This Row],[Mã khách hàng]],'Khách hàng'!A:D,4,0)</f>
        <v>Food Đức Việt</v>
      </c>
      <c r="I3049" t="str">
        <f>VLOOKUP(Table8[[#This Row],[Mã khách hàng]],'Khách hàng'!A:E,5,0)</f>
        <v>HN0040</v>
      </c>
    </row>
    <row r="3050" spans="1:9">
      <c r="A3050" s="14" t="s">
        <v>11152</v>
      </c>
      <c r="B3050" s="15" t="s">
        <v>5</v>
      </c>
      <c r="C3050" s="16"/>
      <c r="D3050" s="21"/>
      <c r="E3050" s="15" t="s">
        <v>11215</v>
      </c>
      <c r="F3050" s="22" t="str">
        <f>VLOOKUP(Table8[[#This Row],[Mã khách hàng]],code_khach_hang[],2,0)</f>
        <v>CHI NHÁNH HÀ NỘI - CÔNG TY CỔ PHẦN DỊCH VỤ THƯƠNG MẠI TỔNG HỢP WINCOMMERCE</v>
      </c>
      <c r="G3050" s="16" t="str">
        <f>VLOOKUP(Table8[[#This Row],[Mã khách hàng]],code_khach_hang[],3,0)</f>
        <v>Miền Bắc đặc biệt 1</v>
      </c>
      <c r="H3050" t="str">
        <f>VLOOKUP(Table8[[#This Row],[Mã khách hàng]],'Khách hàng'!A:D,4,0)</f>
        <v>Food Đức Việt</v>
      </c>
      <c r="I3050" t="str">
        <f>VLOOKUP(Table8[[#This Row],[Mã khách hàng]],'Khách hàng'!A:E,5,0)</f>
        <v>HN0040</v>
      </c>
    </row>
    <row r="3051" spans="1:9">
      <c r="A3051" s="14" t="s">
        <v>11153</v>
      </c>
      <c r="B3051" s="15" t="s">
        <v>5</v>
      </c>
      <c r="C3051" s="16"/>
      <c r="D3051" s="21"/>
      <c r="E3051" s="15" t="s">
        <v>11196</v>
      </c>
      <c r="F3051" s="22" t="str">
        <f>VLOOKUP(Table8[[#This Row],[Mã khách hàng]],code_khach_hang[],2,0)</f>
        <v>CHI NHÁNH NINH BÌNH - CÔNG TY CỔ PHẦN DỊCH VỤ THƯƠNG MẠI TỔNG HỢP WINCOMMERCE</v>
      </c>
      <c r="G3051" s="16" t="str">
        <f>VLOOKUP(Table8[[#This Row],[Mã khách hàng]],code_khach_hang[],3,0)</f>
        <v>Miền Bắc đặc biệt 3</v>
      </c>
      <c r="H3051" t="str">
        <f>VLOOKUP(Table8[[#This Row],[Mã khách hàng]],'Khách hàng'!A:D,4,0)</f>
        <v>Food Đức Việt</v>
      </c>
      <c r="I3051" t="str">
        <f>VLOOKUP(Table8[[#This Row],[Mã khách hàng]],'Khách hàng'!A:E,5,0)</f>
        <v>HN0040</v>
      </c>
    </row>
    <row r="3052" spans="1:9">
      <c r="A3052" s="14" t="s">
        <v>9224</v>
      </c>
      <c r="B3052" s="15" t="s">
        <v>5</v>
      </c>
      <c r="C3052" s="16"/>
      <c r="D3052" s="21"/>
      <c r="E3052" s="15" t="s">
        <v>11196</v>
      </c>
      <c r="F3052" s="22" t="str">
        <f>VLOOKUP(Table8[[#This Row],[Mã khách hàng]],code_khach_hang[],2,0)</f>
        <v>CHI NHÁNH NINH BÌNH - CÔNG TY CỔ PHẦN DỊCH VỤ THƯƠNG MẠI TỔNG HỢP WINCOMMERCE</v>
      </c>
      <c r="G3052" s="16" t="str">
        <f>VLOOKUP(Table8[[#This Row],[Mã khách hàng]],code_khach_hang[],3,0)</f>
        <v>Miền Bắc đặc biệt 3</v>
      </c>
      <c r="H3052" t="str">
        <f>VLOOKUP(Table8[[#This Row],[Mã khách hàng]],'Khách hàng'!A:D,4,0)</f>
        <v>Food Đức Việt</v>
      </c>
      <c r="I3052" t="str">
        <f>VLOOKUP(Table8[[#This Row],[Mã khách hàng]],'Khách hàng'!A:E,5,0)</f>
        <v>HN0040</v>
      </c>
    </row>
    <row r="3053" spans="1:9">
      <c r="A3053" s="14" t="s">
        <v>9191</v>
      </c>
      <c r="B3053" s="15" t="s">
        <v>5</v>
      </c>
      <c r="C3053" s="16"/>
      <c r="D3053" s="21"/>
      <c r="E3053" s="15" t="s">
        <v>11216</v>
      </c>
      <c r="F3053" s="22" t="str">
        <f>VLOOKUP(Table8[[#This Row],[Mã khách hàng]],code_khach_hang[],2,0)</f>
        <v>CHI NHÁNH HƯNG YÊN - CÔNG TY CỔ PHẦN DỊCH VỤ THƯƠNG MẠI TỔNG HỢP WINCOMMERCE</v>
      </c>
      <c r="G3053" s="16" t="str">
        <f>VLOOKUP(Table8[[#This Row],[Mã khách hàng]],code_khach_hang[],3,0)</f>
        <v>Miền Bắc đặc biệt 1</v>
      </c>
      <c r="H3053" t="str">
        <f>VLOOKUP(Table8[[#This Row],[Mã khách hàng]],'Khách hàng'!A:D,4,0)</f>
        <v>Food Đức Việt</v>
      </c>
      <c r="I3053" t="str">
        <f>VLOOKUP(Table8[[#This Row],[Mã khách hàng]],'Khách hàng'!A:E,5,0)</f>
        <v>HN0040</v>
      </c>
    </row>
    <row r="3054" spans="1:9">
      <c r="A3054" s="14" t="s">
        <v>9230</v>
      </c>
      <c r="B3054" s="15" t="s">
        <v>5</v>
      </c>
      <c r="C3054" s="16"/>
      <c r="D3054" s="21"/>
      <c r="E3054" s="15" t="s">
        <v>11196</v>
      </c>
      <c r="F3054" s="22" t="str">
        <f>VLOOKUP(Table8[[#This Row],[Mã khách hàng]],code_khach_hang[],2,0)</f>
        <v>CHI NHÁNH NINH BÌNH - CÔNG TY CỔ PHẦN DỊCH VỤ THƯƠNG MẠI TỔNG HỢP WINCOMMERCE</v>
      </c>
      <c r="G3054" s="16" t="str">
        <f>VLOOKUP(Table8[[#This Row],[Mã khách hàng]],code_khach_hang[],3,0)</f>
        <v>Miền Bắc đặc biệt 3</v>
      </c>
      <c r="H3054" t="str">
        <f>VLOOKUP(Table8[[#This Row],[Mã khách hàng]],'Khách hàng'!A:D,4,0)</f>
        <v>Food Đức Việt</v>
      </c>
      <c r="I3054" t="str">
        <f>VLOOKUP(Table8[[#This Row],[Mã khách hàng]],'Khách hàng'!A:E,5,0)</f>
        <v>HN0040</v>
      </c>
    </row>
    <row r="3055" spans="1:9">
      <c r="A3055" s="14" t="s">
        <v>9266</v>
      </c>
      <c r="B3055" s="15" t="s">
        <v>5</v>
      </c>
      <c r="C3055" s="16"/>
      <c r="D3055" s="21"/>
      <c r="E3055" s="15" t="s">
        <v>11203</v>
      </c>
      <c r="F3055" s="22" t="str">
        <f>VLOOKUP(Table8[[#This Row],[Mã khách hàng]],code_khach_hang[],2,0)</f>
        <v>CHI NHÁNH THANH HÓA - CÔNG TY CỔ PHẦN DỊCH VỤ THƯƠNG MẠI TỔNG HỢP WINCOMMERCE</v>
      </c>
      <c r="G3055" s="16" t="str">
        <f>VLOOKUP(Table8[[#This Row],[Mã khách hàng]],code_khach_hang[],3,0)</f>
        <v>Miền Trung đặc biệt 1</v>
      </c>
      <c r="H3055" t="str">
        <f>VLOOKUP(Table8[[#This Row],[Mã khách hàng]],'Khách hàng'!A:D,4,0)</f>
        <v>Food Đức Việt</v>
      </c>
      <c r="I3055" t="str">
        <f>VLOOKUP(Table8[[#This Row],[Mã khách hàng]],'Khách hàng'!A:E,5,0)</f>
        <v>HN0040</v>
      </c>
    </row>
    <row r="3056" spans="1:9">
      <c r="A3056" s="14" t="s">
        <v>9318</v>
      </c>
      <c r="B3056" s="15" t="s">
        <v>5</v>
      </c>
      <c r="C3056" s="16"/>
      <c r="D3056" s="21"/>
      <c r="E3056" s="15" t="s">
        <v>11198</v>
      </c>
      <c r="F3056" s="22" t="str">
        <f>VLOOKUP(Table8[[#This Row],[Mã khách hàng]],code_khach_hang[],2,0)</f>
        <v>CHI NHÁNH HẢI PHÒNG - CÔNG TY CỔ PHẦN DỊCH VỤ THƯƠNG MẠI TỔNG HỢP WINCOMMERCE</v>
      </c>
      <c r="G3056" s="16" t="str">
        <f>VLOOKUP(Table8[[#This Row],[Mã khách hàng]],code_khach_hang[],3,0)</f>
        <v>Miền Bắc đặc biệt 3</v>
      </c>
      <c r="H3056" t="str">
        <f>VLOOKUP(Table8[[#This Row],[Mã khách hàng]],'Khách hàng'!A:D,4,0)</f>
        <v>Food Đức Việt</v>
      </c>
      <c r="I3056" t="str">
        <f>VLOOKUP(Table8[[#This Row],[Mã khách hàng]],'Khách hàng'!A:E,5,0)</f>
        <v>HN0040</v>
      </c>
    </row>
    <row r="3057" spans="1:9">
      <c r="A3057" s="14" t="s">
        <v>9293</v>
      </c>
      <c r="B3057" s="15" t="s">
        <v>5</v>
      </c>
      <c r="C3057" s="16"/>
      <c r="D3057" s="21"/>
      <c r="E3057" s="15" t="s">
        <v>11215</v>
      </c>
      <c r="F3057" s="22" t="str">
        <f>VLOOKUP(Table8[[#This Row],[Mã khách hàng]],code_khach_hang[],2,0)</f>
        <v>CHI NHÁNH HÀ NỘI - CÔNG TY CỔ PHẦN DỊCH VỤ THƯƠNG MẠI TỔNG HỢP WINCOMMERCE</v>
      </c>
      <c r="G3057" s="16" t="str">
        <f>VLOOKUP(Table8[[#This Row],[Mã khách hàng]],code_khach_hang[],3,0)</f>
        <v>Miền Bắc đặc biệt 1</v>
      </c>
      <c r="H3057" t="str">
        <f>VLOOKUP(Table8[[#This Row],[Mã khách hàng]],'Khách hàng'!A:D,4,0)</f>
        <v>Food Đức Việt</v>
      </c>
      <c r="I3057" t="str">
        <f>VLOOKUP(Table8[[#This Row],[Mã khách hàng]],'Khách hàng'!A:E,5,0)</f>
        <v>HN0040</v>
      </c>
    </row>
    <row r="3058" spans="1:9">
      <c r="A3058" s="14" t="s">
        <v>9197</v>
      </c>
      <c r="B3058" s="15" t="s">
        <v>5</v>
      </c>
      <c r="C3058" s="16"/>
      <c r="D3058" s="21"/>
      <c r="E3058" s="15" t="s">
        <v>11216</v>
      </c>
      <c r="F3058" s="22" t="str">
        <f>VLOOKUP(Table8[[#This Row],[Mã khách hàng]],code_khach_hang[],2,0)</f>
        <v>CHI NHÁNH HƯNG YÊN - CÔNG TY CỔ PHẦN DỊCH VỤ THƯƠNG MẠI TỔNG HỢP WINCOMMERCE</v>
      </c>
      <c r="G3058" s="16" t="str">
        <f>VLOOKUP(Table8[[#This Row],[Mã khách hàng]],code_khach_hang[],3,0)</f>
        <v>Miền Bắc đặc biệt 1</v>
      </c>
      <c r="H3058" t="str">
        <f>VLOOKUP(Table8[[#This Row],[Mã khách hàng]],'Khách hàng'!A:D,4,0)</f>
        <v>Food Đức Việt</v>
      </c>
      <c r="I3058" t="str">
        <f>VLOOKUP(Table8[[#This Row],[Mã khách hàng]],'Khách hàng'!A:E,5,0)</f>
        <v>HN0040</v>
      </c>
    </row>
    <row r="3059" spans="1:9">
      <c r="A3059" s="14" t="s">
        <v>9212</v>
      </c>
      <c r="B3059" s="15" t="s">
        <v>5</v>
      </c>
      <c r="C3059" s="16"/>
      <c r="D3059" s="21"/>
      <c r="E3059" s="15" t="s">
        <v>11211</v>
      </c>
      <c r="F3059" s="22" t="str">
        <f>VLOOKUP(Table8[[#This Row],[Mã khách hàng]],code_khach_hang[],2,0)</f>
        <v>CHI NHÁNH NGHỆ AN - CÔNG TY CỔ PHẦN DỊCH VỤ THƯƠNG MẠI TỔNG HỢP WINCOMMERCE</v>
      </c>
      <c r="G3059" s="16" t="str">
        <f>VLOOKUP(Table8[[#This Row],[Mã khách hàng]],code_khach_hang[],3,0)</f>
        <v>Miền Trung đặc biệt 1</v>
      </c>
      <c r="H3059" t="str">
        <f>VLOOKUP(Table8[[#This Row],[Mã khách hàng]],'Khách hàng'!A:D,4,0)</f>
        <v>Food Đức Việt</v>
      </c>
      <c r="I3059" t="str">
        <f>VLOOKUP(Table8[[#This Row],[Mã khách hàng]],'Khách hàng'!A:E,5,0)</f>
        <v>HN0040</v>
      </c>
    </row>
    <row r="3060" spans="1:9">
      <c r="A3060" s="14" t="s">
        <v>11154</v>
      </c>
      <c r="B3060" s="15" t="s">
        <v>5</v>
      </c>
      <c r="C3060" s="16"/>
      <c r="D3060" s="21"/>
      <c r="E3060" s="15" t="s">
        <v>11198</v>
      </c>
      <c r="F3060" s="22" t="str">
        <f>VLOOKUP(Table8[[#This Row],[Mã khách hàng]],code_khach_hang[],2,0)</f>
        <v>CHI NHÁNH HẢI PHÒNG - CÔNG TY CỔ PHẦN DỊCH VỤ THƯƠNG MẠI TỔNG HỢP WINCOMMERCE</v>
      </c>
      <c r="G3060" s="16" t="str">
        <f>VLOOKUP(Table8[[#This Row],[Mã khách hàng]],code_khach_hang[],3,0)</f>
        <v>Miền Bắc đặc biệt 3</v>
      </c>
      <c r="H3060" t="str">
        <f>VLOOKUP(Table8[[#This Row],[Mã khách hàng]],'Khách hàng'!A:D,4,0)</f>
        <v>Food Đức Việt</v>
      </c>
      <c r="I3060" t="str">
        <f>VLOOKUP(Table8[[#This Row],[Mã khách hàng]],'Khách hàng'!A:E,5,0)</f>
        <v>HN0040</v>
      </c>
    </row>
    <row r="3061" spans="1:9">
      <c r="A3061" s="14" t="s">
        <v>11155</v>
      </c>
      <c r="B3061" s="15" t="s">
        <v>5</v>
      </c>
      <c r="C3061" s="16"/>
      <c r="D3061" s="21"/>
      <c r="E3061" s="15" t="s">
        <v>11215</v>
      </c>
      <c r="F3061" s="22" t="str">
        <f>VLOOKUP(Table8[[#This Row],[Mã khách hàng]],code_khach_hang[],2,0)</f>
        <v>CHI NHÁNH HÀ NỘI - CÔNG TY CỔ PHẦN DỊCH VỤ THƯƠNG MẠI TỔNG HỢP WINCOMMERCE</v>
      </c>
      <c r="G3061" s="16" t="str">
        <f>VLOOKUP(Table8[[#This Row],[Mã khách hàng]],code_khach_hang[],3,0)</f>
        <v>Miền Bắc đặc biệt 1</v>
      </c>
      <c r="H3061" t="str">
        <f>VLOOKUP(Table8[[#This Row],[Mã khách hàng]],'Khách hàng'!A:D,4,0)</f>
        <v>Food Đức Việt</v>
      </c>
      <c r="I3061" t="str">
        <f>VLOOKUP(Table8[[#This Row],[Mã khách hàng]],'Khách hàng'!A:E,5,0)</f>
        <v>HN0040</v>
      </c>
    </row>
    <row r="3062" spans="1:9">
      <c r="A3062" s="14" t="s">
        <v>9240</v>
      </c>
      <c r="B3062" s="15" t="s">
        <v>5</v>
      </c>
      <c r="C3062" s="16"/>
      <c r="D3062" s="21"/>
      <c r="E3062" s="15" t="s">
        <v>11199</v>
      </c>
      <c r="F3062" s="22" t="str">
        <f>VLOOKUP(Table8[[#This Row],[Mã khách hàng]],code_khach_hang[],2,0)</f>
        <v>CHI NHÁNH PHÚ THỌ - CÔNG TY CỔ PHẦN DỊCH VỤ THƯƠNG MẠI TỔNG HỢP WINCOMMERCE</v>
      </c>
      <c r="G3062" s="16" t="str">
        <f>VLOOKUP(Table8[[#This Row],[Mã khách hàng]],code_khach_hang[],3,0)</f>
        <v>Miền Bắc đặc biệt 1</v>
      </c>
      <c r="H3062" t="str">
        <f>VLOOKUP(Table8[[#This Row],[Mã khách hàng]],'Khách hàng'!A:D,4,0)</f>
        <v>Food Đức Việt</v>
      </c>
      <c r="I3062" t="str">
        <f>VLOOKUP(Table8[[#This Row],[Mã khách hàng]],'Khách hàng'!A:E,5,0)</f>
        <v>HN0040</v>
      </c>
    </row>
    <row r="3063" spans="1:9">
      <c r="A3063" s="14" t="s">
        <v>9119</v>
      </c>
      <c r="B3063" s="15" t="s">
        <v>5</v>
      </c>
      <c r="C3063" s="16"/>
      <c r="D3063" s="21"/>
      <c r="E3063" s="15" t="s">
        <v>11193</v>
      </c>
      <c r="F3063" s="22" t="str">
        <f>VLOOKUP(Table8[[#This Row],[Mã khách hàng]],code_khach_hang[],2,0)</f>
        <v>CHI NHÁNH BẮC NINH - CÔNG TY CỔ PHẦN DỊCH VỤ THƯƠNG MẠI TỔNG HỢP WINCOMMERCE</v>
      </c>
      <c r="G3063" s="16" t="str">
        <f>VLOOKUP(Table8[[#This Row],[Mã khách hàng]],code_khach_hang[],3,0)</f>
        <v>Miền Bắc đặc biệt 2</v>
      </c>
      <c r="H3063" t="str">
        <f>VLOOKUP(Table8[[#This Row],[Mã khách hàng]],'Khách hàng'!A:D,4,0)</f>
        <v>Food Đức Việt</v>
      </c>
      <c r="I3063" t="str">
        <f>VLOOKUP(Table8[[#This Row],[Mã khách hàng]],'Khách hàng'!A:E,5,0)</f>
        <v>HN0040</v>
      </c>
    </row>
    <row r="3064" spans="1:9">
      <c r="A3064" s="14" t="s">
        <v>9201</v>
      </c>
      <c r="B3064" s="15" t="s">
        <v>5</v>
      </c>
      <c r="C3064" s="16"/>
      <c r="D3064" s="21"/>
      <c r="E3064" s="15" t="s">
        <v>11216</v>
      </c>
      <c r="F3064" s="22" t="str">
        <f>VLOOKUP(Table8[[#This Row],[Mã khách hàng]],code_khach_hang[],2,0)</f>
        <v>CHI NHÁNH HƯNG YÊN - CÔNG TY CỔ PHẦN DỊCH VỤ THƯƠNG MẠI TỔNG HỢP WINCOMMERCE</v>
      </c>
      <c r="G3064" s="16" t="str">
        <f>VLOOKUP(Table8[[#This Row],[Mã khách hàng]],code_khach_hang[],3,0)</f>
        <v>Miền Bắc đặc biệt 1</v>
      </c>
      <c r="H3064" t="str">
        <f>VLOOKUP(Table8[[#This Row],[Mã khách hàng]],'Khách hàng'!A:D,4,0)</f>
        <v>Food Đức Việt</v>
      </c>
      <c r="I3064" t="str">
        <f>VLOOKUP(Table8[[#This Row],[Mã khách hàng]],'Khách hàng'!A:E,5,0)</f>
        <v>HN0040</v>
      </c>
    </row>
    <row r="3065" spans="1:9">
      <c r="A3065" s="14" t="s">
        <v>9214</v>
      </c>
      <c r="B3065" s="15" t="s">
        <v>5</v>
      </c>
      <c r="C3065" s="16"/>
      <c r="D3065" s="21"/>
      <c r="E3065" s="15" t="s">
        <v>11211</v>
      </c>
      <c r="F3065" s="22" t="str">
        <f>VLOOKUP(Table8[[#This Row],[Mã khách hàng]],code_khach_hang[],2,0)</f>
        <v>CHI NHÁNH NGHỆ AN - CÔNG TY CỔ PHẦN DỊCH VỤ THƯƠNG MẠI TỔNG HỢP WINCOMMERCE</v>
      </c>
      <c r="G3065" s="16" t="str">
        <f>VLOOKUP(Table8[[#This Row],[Mã khách hàng]],code_khach_hang[],3,0)</f>
        <v>Miền Trung đặc biệt 1</v>
      </c>
      <c r="H3065" t="str">
        <f>VLOOKUP(Table8[[#This Row],[Mã khách hàng]],'Khách hàng'!A:D,4,0)</f>
        <v>Food Đức Việt</v>
      </c>
      <c r="I3065" t="str">
        <f>VLOOKUP(Table8[[#This Row],[Mã khách hàng]],'Khách hàng'!A:E,5,0)</f>
        <v>HN0040</v>
      </c>
    </row>
    <row r="3066" spans="1:9">
      <c r="A3066" s="14" t="s">
        <v>9272</v>
      </c>
      <c r="B3066" s="15" t="s">
        <v>5</v>
      </c>
      <c r="C3066" s="16"/>
      <c r="D3066" s="21"/>
      <c r="E3066" s="15" t="s">
        <v>11203</v>
      </c>
      <c r="F3066" s="22" t="str">
        <f>VLOOKUP(Table8[[#This Row],[Mã khách hàng]],code_khach_hang[],2,0)</f>
        <v>CHI NHÁNH THANH HÓA - CÔNG TY CỔ PHẦN DỊCH VỤ THƯƠNG MẠI TỔNG HỢP WINCOMMERCE</v>
      </c>
      <c r="G3066" s="16" t="str">
        <f>VLOOKUP(Table8[[#This Row],[Mã khách hàng]],code_khach_hang[],3,0)</f>
        <v>Miền Trung đặc biệt 1</v>
      </c>
      <c r="H3066" t="str">
        <f>VLOOKUP(Table8[[#This Row],[Mã khách hàng]],'Khách hàng'!A:D,4,0)</f>
        <v>Food Đức Việt</v>
      </c>
      <c r="I3066" t="str">
        <f>VLOOKUP(Table8[[#This Row],[Mã khách hàng]],'Khách hàng'!A:E,5,0)</f>
        <v>HN0040</v>
      </c>
    </row>
    <row r="3067" spans="1:9">
      <c r="A3067" s="14" t="s">
        <v>9193</v>
      </c>
      <c r="B3067" s="15" t="s">
        <v>5</v>
      </c>
      <c r="C3067" s="16"/>
      <c r="D3067" s="21"/>
      <c r="E3067" s="15" t="s">
        <v>11216</v>
      </c>
      <c r="F3067" s="22" t="str">
        <f>VLOOKUP(Table8[[#This Row],[Mã khách hàng]],code_khach_hang[],2,0)</f>
        <v>CHI NHÁNH HƯNG YÊN - CÔNG TY CỔ PHẦN DỊCH VỤ THƯƠNG MẠI TỔNG HỢP WINCOMMERCE</v>
      </c>
      <c r="G3067" s="16" t="str">
        <f>VLOOKUP(Table8[[#This Row],[Mã khách hàng]],code_khach_hang[],3,0)</f>
        <v>Miền Bắc đặc biệt 1</v>
      </c>
      <c r="H3067" t="str">
        <f>VLOOKUP(Table8[[#This Row],[Mã khách hàng]],'Khách hàng'!A:D,4,0)</f>
        <v>Food Đức Việt</v>
      </c>
      <c r="I3067" t="str">
        <f>VLOOKUP(Table8[[#This Row],[Mã khách hàng]],'Khách hàng'!A:E,5,0)</f>
        <v>HN0040</v>
      </c>
    </row>
    <row r="3068" spans="1:9">
      <c r="A3068" s="14" t="s">
        <v>9123</v>
      </c>
      <c r="B3068" s="15" t="s">
        <v>5</v>
      </c>
      <c r="C3068" s="16"/>
      <c r="D3068" s="21"/>
      <c r="E3068" s="15" t="s">
        <v>11221</v>
      </c>
      <c r="F3068" s="22" t="str">
        <f>VLOOKUP(Table8[[#This Row],[Mã khách hàng]],code_khach_hang[],2,0)</f>
        <v>CHI NHÁNH ĐIỆN BIÊN - CÔNG TY CỔ PHẦN DỊCH VỤ THƯƠNG MẠI TỔNG HỢP WINCOMMERCE</v>
      </c>
      <c r="G3068" s="16" t="str">
        <f>VLOOKUP(Table8[[#This Row],[Mã khách hàng]],code_khach_hang[],3,0)</f>
        <v>Miền Bắc đặc biệt 1</v>
      </c>
      <c r="H3068" t="str">
        <f>VLOOKUP(Table8[[#This Row],[Mã khách hàng]],'Khách hàng'!A:D,4,0)</f>
        <v>Food Đức Việt</v>
      </c>
      <c r="I3068" t="str">
        <f>VLOOKUP(Table8[[#This Row],[Mã khách hàng]],'Khách hàng'!A:E,5,0)</f>
        <v>HN0040</v>
      </c>
    </row>
    <row r="3069" spans="1:9">
      <c r="A3069" s="14" t="s">
        <v>9121</v>
      </c>
      <c r="B3069" s="15" t="s">
        <v>5</v>
      </c>
      <c r="C3069" s="16"/>
      <c r="D3069" s="21"/>
      <c r="E3069" s="15" t="s">
        <v>11193</v>
      </c>
      <c r="F3069" s="22" t="str">
        <f>VLOOKUP(Table8[[#This Row],[Mã khách hàng]],code_khach_hang[],2,0)</f>
        <v>CHI NHÁNH BẮC NINH - CÔNG TY CỔ PHẦN DỊCH VỤ THƯƠNG MẠI TỔNG HỢP WINCOMMERCE</v>
      </c>
      <c r="G3069" s="16" t="str">
        <f>VLOOKUP(Table8[[#This Row],[Mã khách hàng]],code_khach_hang[],3,0)</f>
        <v>Miền Bắc đặc biệt 2</v>
      </c>
      <c r="H3069" t="str">
        <f>VLOOKUP(Table8[[#This Row],[Mã khách hàng]],'Khách hàng'!A:D,4,0)</f>
        <v>Food Đức Việt</v>
      </c>
      <c r="I3069" t="str">
        <f>VLOOKUP(Table8[[#This Row],[Mã khách hàng]],'Khách hàng'!A:E,5,0)</f>
        <v>HN0040</v>
      </c>
    </row>
    <row r="3070" spans="1:9">
      <c r="A3070" s="14" t="s">
        <v>11156</v>
      </c>
      <c r="B3070" s="15" t="s">
        <v>5</v>
      </c>
      <c r="C3070" s="16"/>
      <c r="D3070" s="21"/>
      <c r="E3070" s="15" t="s">
        <v>11198</v>
      </c>
      <c r="F3070" s="22" t="str">
        <f>VLOOKUP(Table8[[#This Row],[Mã khách hàng]],code_khach_hang[],2,0)</f>
        <v>CHI NHÁNH HẢI PHÒNG - CÔNG TY CỔ PHẦN DỊCH VỤ THƯƠNG MẠI TỔNG HỢP WINCOMMERCE</v>
      </c>
      <c r="G3070" s="16" t="str">
        <f>VLOOKUP(Table8[[#This Row],[Mã khách hàng]],code_khach_hang[],3,0)</f>
        <v>Miền Bắc đặc biệt 3</v>
      </c>
      <c r="H3070" t="str">
        <f>VLOOKUP(Table8[[#This Row],[Mã khách hàng]],'Khách hàng'!A:D,4,0)</f>
        <v>Food Đức Việt</v>
      </c>
      <c r="I3070" t="str">
        <f>VLOOKUP(Table8[[#This Row],[Mã khách hàng]],'Khách hàng'!A:E,5,0)</f>
        <v>HN0040</v>
      </c>
    </row>
    <row r="3071" spans="1:9">
      <c r="A3071" s="14" t="s">
        <v>9343</v>
      </c>
      <c r="B3071" s="15" t="s">
        <v>5</v>
      </c>
      <c r="C3071" s="16"/>
      <c r="D3071" s="21"/>
      <c r="E3071" s="15" t="s">
        <v>11215</v>
      </c>
      <c r="F3071" s="22" t="str">
        <f>VLOOKUP(Table8[[#This Row],[Mã khách hàng]],code_khach_hang[],2,0)</f>
        <v>CHI NHÁNH HÀ NỘI - CÔNG TY CỔ PHẦN DỊCH VỤ THƯƠNG MẠI TỔNG HỢP WINCOMMERCE</v>
      </c>
      <c r="G3071" s="16" t="str">
        <f>VLOOKUP(Table8[[#This Row],[Mã khách hàng]],code_khach_hang[],3,0)</f>
        <v>Miền Bắc đặc biệt 1</v>
      </c>
      <c r="H3071" t="str">
        <f>VLOOKUP(Table8[[#This Row],[Mã khách hàng]],'Khách hàng'!A:D,4,0)</f>
        <v>Food Đức Việt</v>
      </c>
      <c r="I3071" t="str">
        <f>VLOOKUP(Table8[[#This Row],[Mã khách hàng]],'Khách hàng'!A:E,5,0)</f>
        <v>HN0040</v>
      </c>
    </row>
    <row r="3072" spans="1:9">
      <c r="A3072" s="14" t="s">
        <v>9248</v>
      </c>
      <c r="B3072" s="15" t="s">
        <v>5</v>
      </c>
      <c r="C3072" s="16"/>
      <c r="D3072" s="21"/>
      <c r="E3072" s="15" t="s">
        <v>11197</v>
      </c>
      <c r="F3072" s="22" t="str">
        <f>VLOOKUP(Table8[[#This Row],[Mã khách hàng]],code_khach_hang[],2,0)</f>
        <v>CHI NHÁNH QUẢNG NINH - CÔNG TY CỔ PHẦN DỊCH VỤ THƯƠNG MẠI TỔNG HỢP WINCOMMERCE</v>
      </c>
      <c r="G3072" s="16" t="str">
        <f>VLOOKUP(Table8[[#This Row],[Mã khách hàng]],code_khach_hang[],3,0)</f>
        <v>Miền Bắc đặc biệt 3</v>
      </c>
      <c r="H3072" t="str">
        <f>VLOOKUP(Table8[[#This Row],[Mã khách hàng]],'Khách hàng'!A:D,4,0)</f>
        <v>Food Đức Việt</v>
      </c>
      <c r="I3072" t="str">
        <f>VLOOKUP(Table8[[#This Row],[Mã khách hàng]],'Khách hàng'!A:E,5,0)</f>
        <v>HN0040</v>
      </c>
    </row>
    <row r="3073" spans="1:9">
      <c r="A3073" s="14" t="s">
        <v>11157</v>
      </c>
      <c r="B3073" s="15" t="s">
        <v>5</v>
      </c>
      <c r="C3073" s="16"/>
      <c r="D3073" s="21"/>
      <c r="E3073" s="15" t="s">
        <v>11198</v>
      </c>
      <c r="F3073" s="22" t="str">
        <f>VLOOKUP(Table8[[#This Row],[Mã khách hàng]],code_khach_hang[],2,0)</f>
        <v>CHI NHÁNH HẢI PHÒNG - CÔNG TY CỔ PHẦN DỊCH VỤ THƯƠNG MẠI TỔNG HỢP WINCOMMERCE</v>
      </c>
      <c r="G3073" s="16" t="str">
        <f>VLOOKUP(Table8[[#This Row],[Mã khách hàng]],code_khach_hang[],3,0)</f>
        <v>Miền Bắc đặc biệt 3</v>
      </c>
      <c r="H3073" t="str">
        <f>VLOOKUP(Table8[[#This Row],[Mã khách hàng]],'Khách hàng'!A:D,4,0)</f>
        <v>Food Đức Việt</v>
      </c>
      <c r="I3073" t="str">
        <f>VLOOKUP(Table8[[#This Row],[Mã khách hàng]],'Khách hàng'!A:E,5,0)</f>
        <v>HN0040</v>
      </c>
    </row>
    <row r="3074" spans="1:9">
      <c r="A3074" s="14" t="s">
        <v>9250</v>
      </c>
      <c r="B3074" s="15" t="s">
        <v>5</v>
      </c>
      <c r="C3074" s="16"/>
      <c r="D3074" s="21"/>
      <c r="E3074" s="15" t="s">
        <v>11207</v>
      </c>
      <c r="F3074" s="22" t="str">
        <f>VLOOKUP(Table8[[#This Row],[Mã khách hàng]],code_khach_hang[],2,0)</f>
        <v>CHI NHÁNH THÁI NGUYÊN - CÔNG TY CỔ PHẦN DỊCH VỤ THƯƠNG MẠI TỔNG HỢP WINCOMMERCE</v>
      </c>
      <c r="G3074" s="16" t="str">
        <f>VLOOKUP(Table8[[#This Row],[Mã khách hàng]],code_khach_hang[],3,0)</f>
        <v>Miền Bắc đặc biệt 2</v>
      </c>
      <c r="H3074" t="str">
        <f>VLOOKUP(Table8[[#This Row],[Mã khách hàng]],'Khách hàng'!A:D,4,0)</f>
        <v>Food Đức Việt</v>
      </c>
      <c r="I3074" t="str">
        <f>VLOOKUP(Table8[[#This Row],[Mã khách hàng]],'Khách hàng'!A:E,5,0)</f>
        <v>HN0040</v>
      </c>
    </row>
    <row r="3075" spans="1:9">
      <c r="A3075" s="14" t="s">
        <v>9242</v>
      </c>
      <c r="B3075" s="15" t="s">
        <v>5</v>
      </c>
      <c r="C3075" s="16"/>
      <c r="D3075" s="21"/>
      <c r="E3075" s="15" t="s">
        <v>11199</v>
      </c>
      <c r="F3075" s="22" t="str">
        <f>VLOOKUP(Table8[[#This Row],[Mã khách hàng]],code_khach_hang[],2,0)</f>
        <v>CHI NHÁNH PHÚ THỌ - CÔNG TY CỔ PHẦN DỊCH VỤ THƯƠNG MẠI TỔNG HỢP WINCOMMERCE</v>
      </c>
      <c r="G3075" s="16" t="str">
        <f>VLOOKUP(Table8[[#This Row],[Mã khách hàng]],code_khach_hang[],3,0)</f>
        <v>Miền Bắc đặc biệt 1</v>
      </c>
      <c r="H3075" t="str">
        <f>VLOOKUP(Table8[[#This Row],[Mã khách hàng]],'Khách hàng'!A:D,4,0)</f>
        <v>Food Đức Việt</v>
      </c>
      <c r="I3075" t="str">
        <f>VLOOKUP(Table8[[#This Row],[Mã khách hàng]],'Khách hàng'!A:E,5,0)</f>
        <v>HN0040</v>
      </c>
    </row>
    <row r="3076" spans="1:9">
      <c r="A3076" s="14" t="s">
        <v>11158</v>
      </c>
      <c r="B3076" s="15" t="s">
        <v>5</v>
      </c>
      <c r="C3076" s="16"/>
      <c r="D3076" s="21"/>
      <c r="E3076" s="15" t="s">
        <v>11199</v>
      </c>
      <c r="F3076" s="22" t="str">
        <f>VLOOKUP(Table8[[#This Row],[Mã khách hàng]],code_khach_hang[],2,0)</f>
        <v>CHI NHÁNH PHÚ THỌ - CÔNG TY CỔ PHẦN DỊCH VỤ THƯƠNG MẠI TỔNG HỢP WINCOMMERCE</v>
      </c>
      <c r="G3076" s="16" t="str">
        <f>VLOOKUP(Table8[[#This Row],[Mã khách hàng]],code_khach_hang[],3,0)</f>
        <v>Miền Bắc đặc biệt 1</v>
      </c>
      <c r="H3076" t="str">
        <f>VLOOKUP(Table8[[#This Row],[Mã khách hàng]],'Khách hàng'!A:D,4,0)</f>
        <v>Food Đức Việt</v>
      </c>
      <c r="I3076" t="str">
        <f>VLOOKUP(Table8[[#This Row],[Mã khách hàng]],'Khách hàng'!A:E,5,0)</f>
        <v>HN0040</v>
      </c>
    </row>
    <row r="3077" spans="1:9">
      <c r="A3077" s="14" t="s">
        <v>11159</v>
      </c>
      <c r="B3077" s="15" t="s">
        <v>5</v>
      </c>
      <c r="C3077" s="16"/>
      <c r="D3077" s="21"/>
      <c r="E3077" s="15" t="s">
        <v>11216</v>
      </c>
      <c r="F3077" s="22" t="str">
        <f>VLOOKUP(Table8[[#This Row],[Mã khách hàng]],code_khach_hang[],2,0)</f>
        <v>CHI NHÁNH HƯNG YÊN - CÔNG TY CỔ PHẦN DỊCH VỤ THƯƠNG MẠI TỔNG HỢP WINCOMMERCE</v>
      </c>
      <c r="G3077" s="16" t="str">
        <f>VLOOKUP(Table8[[#This Row],[Mã khách hàng]],code_khach_hang[],3,0)</f>
        <v>Miền Bắc đặc biệt 1</v>
      </c>
      <c r="H3077" t="str">
        <f>VLOOKUP(Table8[[#This Row],[Mã khách hàng]],'Khách hàng'!A:D,4,0)</f>
        <v>Food Đức Việt</v>
      </c>
      <c r="I3077" t="str">
        <f>VLOOKUP(Table8[[#This Row],[Mã khách hàng]],'Khách hàng'!A:E,5,0)</f>
        <v>HN0040</v>
      </c>
    </row>
    <row r="3078" spans="1:9">
      <c r="A3078" s="14" t="s">
        <v>11160</v>
      </c>
      <c r="B3078" s="15" t="s">
        <v>5</v>
      </c>
      <c r="C3078" s="16"/>
      <c r="D3078" s="21"/>
      <c r="E3078" s="15" t="s">
        <v>11199</v>
      </c>
      <c r="F3078" s="22" t="str">
        <f>VLOOKUP(Table8[[#This Row],[Mã khách hàng]],code_khach_hang[],2,0)</f>
        <v>CHI NHÁNH PHÚ THỌ - CÔNG TY CỔ PHẦN DỊCH VỤ THƯƠNG MẠI TỔNG HỢP WINCOMMERCE</v>
      </c>
      <c r="G3078" s="16" t="str">
        <f>VLOOKUP(Table8[[#This Row],[Mã khách hàng]],code_khach_hang[],3,0)</f>
        <v>Miền Bắc đặc biệt 1</v>
      </c>
      <c r="H3078" t="str">
        <f>VLOOKUP(Table8[[#This Row],[Mã khách hàng]],'Khách hàng'!A:D,4,0)</f>
        <v>Food Đức Việt</v>
      </c>
      <c r="I3078" t="str">
        <f>VLOOKUP(Table8[[#This Row],[Mã khách hàng]],'Khách hàng'!A:E,5,0)</f>
        <v>HN0040</v>
      </c>
    </row>
    <row r="3079" spans="1:9">
      <c r="A3079" s="14" t="s">
        <v>11161</v>
      </c>
      <c r="B3079" s="15" t="s">
        <v>5</v>
      </c>
      <c r="C3079" s="16"/>
      <c r="D3079" s="21"/>
      <c r="E3079" s="15" t="s">
        <v>11193</v>
      </c>
      <c r="F3079" s="22" t="str">
        <f>VLOOKUP(Table8[[#This Row],[Mã khách hàng]],code_khach_hang[],2,0)</f>
        <v>CHI NHÁNH BẮC NINH - CÔNG TY CỔ PHẦN DỊCH VỤ THƯƠNG MẠI TỔNG HỢP WINCOMMERCE</v>
      </c>
      <c r="G3079" s="16" t="str">
        <f>VLOOKUP(Table8[[#This Row],[Mã khách hàng]],code_khach_hang[],3,0)</f>
        <v>Miền Bắc đặc biệt 2</v>
      </c>
      <c r="H3079" t="str">
        <f>VLOOKUP(Table8[[#This Row],[Mã khách hàng]],'Khách hàng'!A:D,4,0)</f>
        <v>Food Đức Việt</v>
      </c>
      <c r="I3079" t="str">
        <f>VLOOKUP(Table8[[#This Row],[Mã khách hàng]],'Khách hàng'!A:E,5,0)</f>
        <v>HN0040</v>
      </c>
    </row>
    <row r="3080" spans="1:9">
      <c r="A3080" s="14" t="s">
        <v>11162</v>
      </c>
      <c r="B3080" s="15" t="s">
        <v>5</v>
      </c>
      <c r="C3080" s="16"/>
      <c r="D3080" s="21"/>
      <c r="E3080" s="15" t="s">
        <v>11215</v>
      </c>
      <c r="F3080" s="22" t="str">
        <f>VLOOKUP(Table8[[#This Row],[Mã khách hàng]],code_khach_hang[],2,0)</f>
        <v>CHI NHÁNH HÀ NỘI - CÔNG TY CỔ PHẦN DỊCH VỤ THƯƠNG MẠI TỔNG HỢP WINCOMMERCE</v>
      </c>
      <c r="G3080" s="16" t="str">
        <f>VLOOKUP(Table8[[#This Row],[Mã khách hàng]],code_khach_hang[],3,0)</f>
        <v>Miền Bắc đặc biệt 1</v>
      </c>
      <c r="H3080" t="str">
        <f>VLOOKUP(Table8[[#This Row],[Mã khách hàng]],'Khách hàng'!A:D,4,0)</f>
        <v>Food Đức Việt</v>
      </c>
      <c r="I3080" t="str">
        <f>VLOOKUP(Table8[[#This Row],[Mã khách hàng]],'Khách hàng'!A:E,5,0)</f>
        <v>HN0040</v>
      </c>
    </row>
    <row r="3081" spans="1:9">
      <c r="A3081" s="14" t="s">
        <v>11163</v>
      </c>
      <c r="B3081" s="15" t="s">
        <v>5</v>
      </c>
      <c r="C3081" s="16"/>
      <c r="D3081" s="21"/>
      <c r="E3081" s="15" t="s">
        <v>11211</v>
      </c>
      <c r="F3081" s="22" t="str">
        <f>VLOOKUP(Table8[[#This Row],[Mã khách hàng]],code_khach_hang[],2,0)</f>
        <v>CHI NHÁNH NGHỆ AN - CÔNG TY CỔ PHẦN DỊCH VỤ THƯƠNG MẠI TỔNG HỢP WINCOMMERCE</v>
      </c>
      <c r="G3081" s="16" t="str">
        <f>VLOOKUP(Table8[[#This Row],[Mã khách hàng]],code_khach_hang[],3,0)</f>
        <v>Miền Trung đặc biệt 1</v>
      </c>
      <c r="H3081" t="str">
        <f>VLOOKUP(Table8[[#This Row],[Mã khách hàng]],'Khách hàng'!A:D,4,0)</f>
        <v>Food Đức Việt</v>
      </c>
      <c r="I3081" t="str">
        <f>VLOOKUP(Table8[[#This Row],[Mã khách hàng]],'Khách hàng'!A:E,5,0)</f>
        <v>HN0040</v>
      </c>
    </row>
    <row r="3082" spans="1:9">
      <c r="A3082" s="14" t="s">
        <v>11164</v>
      </c>
      <c r="B3082" s="15" t="s">
        <v>5</v>
      </c>
      <c r="C3082" s="16"/>
      <c r="D3082" s="21"/>
      <c r="E3082" s="15" t="s">
        <v>11216</v>
      </c>
      <c r="F3082" s="22" t="str">
        <f>VLOOKUP(Table8[[#This Row],[Mã khách hàng]],code_khach_hang[],2,0)</f>
        <v>CHI NHÁNH HƯNG YÊN - CÔNG TY CỔ PHẦN DỊCH VỤ THƯƠNG MẠI TỔNG HỢP WINCOMMERCE</v>
      </c>
      <c r="G3082" s="16" t="str">
        <f>VLOOKUP(Table8[[#This Row],[Mã khách hàng]],code_khach_hang[],3,0)</f>
        <v>Miền Bắc đặc biệt 1</v>
      </c>
      <c r="H3082" t="str">
        <f>VLOOKUP(Table8[[#This Row],[Mã khách hàng]],'Khách hàng'!A:D,4,0)</f>
        <v>Food Đức Việt</v>
      </c>
      <c r="I3082" t="str">
        <f>VLOOKUP(Table8[[#This Row],[Mã khách hàng]],'Khách hàng'!A:E,5,0)</f>
        <v>HN0040</v>
      </c>
    </row>
    <row r="3083" spans="1:9">
      <c r="A3083" s="14" t="s">
        <v>11165</v>
      </c>
      <c r="B3083" s="15" t="s">
        <v>5</v>
      </c>
      <c r="C3083" s="16"/>
      <c r="D3083" s="21"/>
      <c r="E3083" s="15" t="s">
        <v>11196</v>
      </c>
      <c r="F3083" s="22" t="str">
        <f>VLOOKUP(Table8[[#This Row],[Mã khách hàng]],code_khach_hang[],2,0)</f>
        <v>CHI NHÁNH NINH BÌNH - CÔNG TY CỔ PHẦN DỊCH VỤ THƯƠNG MẠI TỔNG HỢP WINCOMMERCE</v>
      </c>
      <c r="G3083" s="16" t="str">
        <f>VLOOKUP(Table8[[#This Row],[Mã khách hàng]],code_khach_hang[],3,0)</f>
        <v>Miền Bắc đặc biệt 3</v>
      </c>
      <c r="H3083" t="str">
        <f>VLOOKUP(Table8[[#This Row],[Mã khách hàng]],'Khách hàng'!A:D,4,0)</f>
        <v>Food Đức Việt</v>
      </c>
      <c r="I3083" t="str">
        <f>VLOOKUP(Table8[[#This Row],[Mã khách hàng]],'Khách hàng'!A:E,5,0)</f>
        <v>HN0040</v>
      </c>
    </row>
    <row r="3084" spans="1:9">
      <c r="A3084" s="14" t="s">
        <v>11166</v>
      </c>
      <c r="B3084" s="15" t="s">
        <v>5</v>
      </c>
      <c r="C3084" s="16"/>
      <c r="D3084" s="21"/>
      <c r="E3084" s="15" t="s">
        <v>11199</v>
      </c>
      <c r="F3084" s="22" t="str">
        <f>VLOOKUP(Table8[[#This Row],[Mã khách hàng]],code_khach_hang[],2,0)</f>
        <v>CHI NHÁNH PHÚ THỌ - CÔNG TY CỔ PHẦN DỊCH VỤ THƯƠNG MẠI TỔNG HỢP WINCOMMERCE</v>
      </c>
      <c r="G3084" s="16" t="str">
        <f>VLOOKUP(Table8[[#This Row],[Mã khách hàng]],code_khach_hang[],3,0)</f>
        <v>Miền Bắc đặc biệt 1</v>
      </c>
      <c r="H3084" t="str">
        <f>VLOOKUP(Table8[[#This Row],[Mã khách hàng]],'Khách hàng'!A:D,4,0)</f>
        <v>Food Đức Việt</v>
      </c>
      <c r="I3084" t="str">
        <f>VLOOKUP(Table8[[#This Row],[Mã khách hàng]],'Khách hàng'!A:E,5,0)</f>
        <v>HN0040</v>
      </c>
    </row>
    <row r="3085" spans="1:9">
      <c r="A3085" s="14" t="s">
        <v>11167</v>
      </c>
      <c r="B3085" s="15" t="s">
        <v>5</v>
      </c>
      <c r="C3085" s="16"/>
      <c r="D3085" s="21"/>
      <c r="E3085" s="15" t="s">
        <v>11222</v>
      </c>
      <c r="F3085" s="22" t="str">
        <f>VLOOKUP(Table8[[#This Row],[Mã khách hàng]],code_khach_hang[],2,0)</f>
        <v>CHI NHÁNH CAO BẰNG - CÔNG TY CỔ PHẦN DỊCH VỤ THƯƠNG MẠI TỔNG HỢP WINCOMMERCE</v>
      </c>
      <c r="G3085" s="16" t="str">
        <f>VLOOKUP(Table8[[#This Row],[Mã khách hàng]],code_khach_hang[],3,0)</f>
        <v>Miền Bắc đặc biệt 2</v>
      </c>
      <c r="H3085" t="str">
        <f>VLOOKUP(Table8[[#This Row],[Mã khách hàng]],'Khách hàng'!A:D,4,0)</f>
        <v>Food Đức Việt</v>
      </c>
      <c r="I3085" t="str">
        <f>VLOOKUP(Table8[[#This Row],[Mã khách hàng]],'Khách hàng'!A:E,5,0)</f>
        <v>HN0040</v>
      </c>
    </row>
    <row r="3086" spans="1:9">
      <c r="A3086" s="14" t="s">
        <v>11168</v>
      </c>
      <c r="B3086" s="15" t="s">
        <v>5</v>
      </c>
      <c r="C3086" s="16"/>
      <c r="D3086" s="21"/>
      <c r="E3086" s="15" t="s">
        <v>11207</v>
      </c>
      <c r="F3086" s="22" t="str">
        <f>VLOOKUP(Table8[[#This Row],[Mã khách hàng]],code_khach_hang[],2,0)</f>
        <v>CHI NHÁNH THÁI NGUYÊN - CÔNG TY CỔ PHẦN DỊCH VỤ THƯƠNG MẠI TỔNG HỢP WINCOMMERCE</v>
      </c>
      <c r="G3086" s="16" t="str">
        <f>VLOOKUP(Table8[[#This Row],[Mã khách hàng]],code_khach_hang[],3,0)</f>
        <v>Miền Bắc đặc biệt 2</v>
      </c>
      <c r="H3086" t="str">
        <f>VLOOKUP(Table8[[#This Row],[Mã khách hàng]],'Khách hàng'!A:D,4,0)</f>
        <v>Food Đức Việt</v>
      </c>
      <c r="I3086" t="str">
        <f>VLOOKUP(Table8[[#This Row],[Mã khách hàng]],'Khách hàng'!A:E,5,0)</f>
        <v>HN0040</v>
      </c>
    </row>
    <row r="3087" spans="1:9">
      <c r="A3087" s="14" t="s">
        <v>11169</v>
      </c>
      <c r="B3087" s="15" t="s">
        <v>5</v>
      </c>
      <c r="C3087" s="16"/>
      <c r="D3087" s="21"/>
      <c r="E3087" s="15" t="s">
        <v>11196</v>
      </c>
      <c r="F3087" s="22" t="str">
        <f>VLOOKUP(Table8[[#This Row],[Mã khách hàng]],code_khach_hang[],2,0)</f>
        <v>CHI NHÁNH NINH BÌNH - CÔNG TY CỔ PHẦN DỊCH VỤ THƯƠNG MẠI TỔNG HỢP WINCOMMERCE</v>
      </c>
      <c r="G3087" s="16" t="str">
        <f>VLOOKUP(Table8[[#This Row],[Mã khách hàng]],code_khach_hang[],3,0)</f>
        <v>Miền Bắc đặc biệt 3</v>
      </c>
      <c r="H3087" t="str">
        <f>VLOOKUP(Table8[[#This Row],[Mã khách hàng]],'Khách hàng'!A:D,4,0)</f>
        <v>Food Đức Việt</v>
      </c>
      <c r="I3087" t="str">
        <f>VLOOKUP(Table8[[#This Row],[Mã khách hàng]],'Khách hàng'!A:E,5,0)</f>
        <v>HN0040</v>
      </c>
    </row>
    <row r="3088" spans="1:9">
      <c r="A3088" s="14" t="s">
        <v>11170</v>
      </c>
      <c r="B3088" s="15" t="s">
        <v>5</v>
      </c>
      <c r="C3088" s="16"/>
      <c r="D3088" s="21"/>
      <c r="E3088" s="15" t="s">
        <v>11199</v>
      </c>
      <c r="F3088" s="22" t="str">
        <f>VLOOKUP(Table8[[#This Row],[Mã khách hàng]],code_khach_hang[],2,0)</f>
        <v>CHI NHÁNH PHÚ THỌ - CÔNG TY CỔ PHẦN DỊCH VỤ THƯƠNG MẠI TỔNG HỢP WINCOMMERCE</v>
      </c>
      <c r="G3088" s="16" t="str">
        <f>VLOOKUP(Table8[[#This Row],[Mã khách hàng]],code_khach_hang[],3,0)</f>
        <v>Miền Bắc đặc biệt 1</v>
      </c>
      <c r="H3088" t="str">
        <f>VLOOKUP(Table8[[#This Row],[Mã khách hàng]],'Khách hàng'!A:D,4,0)</f>
        <v>Food Đức Việt</v>
      </c>
      <c r="I3088" t="str">
        <f>VLOOKUP(Table8[[#This Row],[Mã khách hàng]],'Khách hàng'!A:E,5,0)</f>
        <v>HN0040</v>
      </c>
    </row>
    <row r="3089" spans="1:9">
      <c r="A3089" s="14" t="s">
        <v>11171</v>
      </c>
      <c r="B3089" s="15" t="s">
        <v>5</v>
      </c>
      <c r="C3089" s="16"/>
      <c r="D3089" s="21"/>
      <c r="E3089" s="15" t="s">
        <v>11211</v>
      </c>
      <c r="F3089" s="22" t="str">
        <f>VLOOKUP(Table8[[#This Row],[Mã khách hàng]],code_khach_hang[],2,0)</f>
        <v>CHI NHÁNH NGHỆ AN - CÔNG TY CỔ PHẦN DỊCH VỤ THƯƠNG MẠI TỔNG HỢP WINCOMMERCE</v>
      </c>
      <c r="G3089" s="16" t="str">
        <f>VLOOKUP(Table8[[#This Row],[Mã khách hàng]],code_khach_hang[],3,0)</f>
        <v>Miền Trung đặc biệt 1</v>
      </c>
      <c r="H3089" t="str">
        <f>VLOOKUP(Table8[[#This Row],[Mã khách hàng]],'Khách hàng'!A:D,4,0)</f>
        <v>Food Đức Việt</v>
      </c>
      <c r="I3089" t="str">
        <f>VLOOKUP(Table8[[#This Row],[Mã khách hàng]],'Khách hàng'!A:E,5,0)</f>
        <v>HN0040</v>
      </c>
    </row>
    <row r="3090" spans="1:9">
      <c r="A3090" s="14" t="s">
        <v>11172</v>
      </c>
      <c r="B3090" s="15" t="s">
        <v>5</v>
      </c>
      <c r="C3090" s="16"/>
      <c r="D3090" s="21"/>
      <c r="E3090" s="15" t="s">
        <v>11215</v>
      </c>
      <c r="F3090" s="22" t="str">
        <f>VLOOKUP(Table8[[#This Row],[Mã khách hàng]],code_khach_hang[],2,0)</f>
        <v>CHI NHÁNH HÀ NỘI - CÔNG TY CỔ PHẦN DỊCH VỤ THƯƠNG MẠI TỔNG HỢP WINCOMMERCE</v>
      </c>
      <c r="G3090" s="16" t="str">
        <f>VLOOKUP(Table8[[#This Row],[Mã khách hàng]],code_khach_hang[],3,0)</f>
        <v>Miền Bắc đặc biệt 1</v>
      </c>
      <c r="H3090" t="str">
        <f>VLOOKUP(Table8[[#This Row],[Mã khách hàng]],'Khách hàng'!A:D,4,0)</f>
        <v>Food Đức Việt</v>
      </c>
      <c r="I3090" t="str">
        <f>VLOOKUP(Table8[[#This Row],[Mã khách hàng]],'Khách hàng'!A:E,5,0)</f>
        <v>HN0040</v>
      </c>
    </row>
    <row r="3091" spans="1:9">
      <c r="A3091" s="14" t="s">
        <v>11173</v>
      </c>
      <c r="B3091" s="15" t="s">
        <v>5</v>
      </c>
      <c r="C3091" s="16"/>
      <c r="D3091" s="21"/>
      <c r="E3091" s="15" t="s">
        <v>11198</v>
      </c>
      <c r="F3091" s="22" t="str">
        <f>VLOOKUP(Table8[[#This Row],[Mã khách hàng]],code_khach_hang[],2,0)</f>
        <v>CHI NHÁNH HẢI PHÒNG - CÔNG TY CỔ PHẦN DỊCH VỤ THƯƠNG MẠI TỔNG HỢP WINCOMMERCE</v>
      </c>
      <c r="G3091" s="16" t="str">
        <f>VLOOKUP(Table8[[#This Row],[Mã khách hàng]],code_khach_hang[],3,0)</f>
        <v>Miền Bắc đặc biệt 3</v>
      </c>
      <c r="H3091" t="str">
        <f>VLOOKUP(Table8[[#This Row],[Mã khách hàng]],'Khách hàng'!A:D,4,0)</f>
        <v>Food Đức Việt</v>
      </c>
      <c r="I3091" t="str">
        <f>VLOOKUP(Table8[[#This Row],[Mã khách hàng]],'Khách hàng'!A:E,5,0)</f>
        <v>HN0040</v>
      </c>
    </row>
    <row r="3092" spans="1:9">
      <c r="A3092" s="14" t="s">
        <v>11174</v>
      </c>
      <c r="B3092" s="15" t="s">
        <v>5</v>
      </c>
      <c r="C3092" s="16"/>
      <c r="D3092" s="21"/>
      <c r="E3092" s="15" t="s">
        <v>11197</v>
      </c>
      <c r="F3092" s="22" t="str">
        <f>VLOOKUP(Table8[[#This Row],[Mã khách hàng]],code_khach_hang[],2,0)</f>
        <v>CHI NHÁNH QUẢNG NINH - CÔNG TY CỔ PHẦN DỊCH VỤ THƯƠNG MẠI TỔNG HỢP WINCOMMERCE</v>
      </c>
      <c r="G3092" s="16" t="str">
        <f>VLOOKUP(Table8[[#This Row],[Mã khách hàng]],code_khach_hang[],3,0)</f>
        <v>Miền Bắc đặc biệt 3</v>
      </c>
      <c r="H3092" t="str">
        <f>VLOOKUP(Table8[[#This Row],[Mã khách hàng]],'Khách hàng'!A:D,4,0)</f>
        <v>Food Đức Việt</v>
      </c>
      <c r="I3092" t="str">
        <f>VLOOKUP(Table8[[#This Row],[Mã khách hàng]],'Khách hàng'!A:E,5,0)</f>
        <v>HN0040</v>
      </c>
    </row>
    <row r="3093" spans="1:9">
      <c r="A3093" s="14" t="s">
        <v>11175</v>
      </c>
      <c r="B3093" s="15" t="s">
        <v>5</v>
      </c>
      <c r="C3093" s="16"/>
      <c r="D3093" s="21"/>
      <c r="E3093" s="15" t="s">
        <v>11199</v>
      </c>
      <c r="F3093" s="22" t="str">
        <f>VLOOKUP(Table8[[#This Row],[Mã khách hàng]],code_khach_hang[],2,0)</f>
        <v>CHI NHÁNH PHÚ THỌ - CÔNG TY CỔ PHẦN DỊCH VỤ THƯƠNG MẠI TỔNG HỢP WINCOMMERCE</v>
      </c>
      <c r="G3093" s="16" t="str">
        <f>VLOOKUP(Table8[[#This Row],[Mã khách hàng]],code_khach_hang[],3,0)</f>
        <v>Miền Bắc đặc biệt 1</v>
      </c>
      <c r="H3093" t="str">
        <f>VLOOKUP(Table8[[#This Row],[Mã khách hàng]],'Khách hàng'!A:D,4,0)</f>
        <v>Food Đức Việt</v>
      </c>
      <c r="I3093" t="str">
        <f>VLOOKUP(Table8[[#This Row],[Mã khách hàng]],'Khách hàng'!A:E,5,0)</f>
        <v>HN0040</v>
      </c>
    </row>
    <row r="3094" spans="1:9">
      <c r="A3094" s="14" t="s">
        <v>11176</v>
      </c>
      <c r="B3094" s="15" t="s">
        <v>5</v>
      </c>
      <c r="C3094" s="16"/>
      <c r="D3094" s="21"/>
      <c r="E3094" s="15" t="s">
        <v>11193</v>
      </c>
      <c r="F3094" s="22" t="str">
        <f>VLOOKUP(Table8[[#This Row],[Mã khách hàng]],code_khach_hang[],2,0)</f>
        <v>CHI NHÁNH BẮC NINH - CÔNG TY CỔ PHẦN DỊCH VỤ THƯƠNG MẠI TỔNG HỢP WINCOMMERCE</v>
      </c>
      <c r="G3094" s="16" t="str">
        <f>VLOOKUP(Table8[[#This Row],[Mã khách hàng]],code_khach_hang[],3,0)</f>
        <v>Miền Bắc đặc biệt 2</v>
      </c>
      <c r="H3094" t="str">
        <f>VLOOKUP(Table8[[#This Row],[Mã khách hàng]],'Khách hàng'!A:D,4,0)</f>
        <v>Food Đức Việt</v>
      </c>
      <c r="I3094" t="str">
        <f>VLOOKUP(Table8[[#This Row],[Mã khách hàng]],'Khách hàng'!A:E,5,0)</f>
        <v>HN0040</v>
      </c>
    </row>
    <row r="3095" spans="1:9">
      <c r="A3095" s="14" t="s">
        <v>11177</v>
      </c>
      <c r="B3095" s="15" t="s">
        <v>5</v>
      </c>
      <c r="C3095" s="16"/>
      <c r="D3095" s="21"/>
      <c r="E3095" s="15" t="s">
        <v>11196</v>
      </c>
      <c r="F3095" s="22" t="str">
        <f>VLOOKUP(Table8[[#This Row],[Mã khách hàng]],code_khach_hang[],2,0)</f>
        <v>CHI NHÁNH NINH BÌNH - CÔNG TY CỔ PHẦN DỊCH VỤ THƯƠNG MẠI TỔNG HỢP WINCOMMERCE</v>
      </c>
      <c r="G3095" s="16" t="str">
        <f>VLOOKUP(Table8[[#This Row],[Mã khách hàng]],code_khach_hang[],3,0)</f>
        <v>Miền Bắc đặc biệt 3</v>
      </c>
      <c r="H3095" t="str">
        <f>VLOOKUP(Table8[[#This Row],[Mã khách hàng]],'Khách hàng'!A:D,4,0)</f>
        <v>Food Đức Việt</v>
      </c>
      <c r="I3095" t="str">
        <f>VLOOKUP(Table8[[#This Row],[Mã khách hàng]],'Khách hàng'!A:E,5,0)</f>
        <v>HN0040</v>
      </c>
    </row>
    <row r="3096" spans="1:9">
      <c r="A3096" s="14" t="s">
        <v>11178</v>
      </c>
      <c r="B3096" s="15" t="s">
        <v>5</v>
      </c>
      <c r="C3096" s="16"/>
      <c r="D3096" s="21"/>
      <c r="E3096" s="15" t="s">
        <v>11199</v>
      </c>
      <c r="F3096" s="22" t="str">
        <f>VLOOKUP(Table8[[#This Row],[Mã khách hàng]],code_khach_hang[],2,0)</f>
        <v>CHI NHÁNH PHÚ THỌ - CÔNG TY CỔ PHẦN DỊCH VỤ THƯƠNG MẠI TỔNG HỢP WINCOMMERCE</v>
      </c>
      <c r="G3096" s="16" t="str">
        <f>VLOOKUP(Table8[[#This Row],[Mã khách hàng]],code_khach_hang[],3,0)</f>
        <v>Miền Bắc đặc biệt 1</v>
      </c>
      <c r="H3096" t="str">
        <f>VLOOKUP(Table8[[#This Row],[Mã khách hàng]],'Khách hàng'!A:D,4,0)</f>
        <v>Food Đức Việt</v>
      </c>
      <c r="I3096" t="str">
        <f>VLOOKUP(Table8[[#This Row],[Mã khách hàng]],'Khách hàng'!A:E,5,0)</f>
        <v>HN0040</v>
      </c>
    </row>
    <row r="3097" spans="1:9">
      <c r="A3097" s="14" t="s">
        <v>11179</v>
      </c>
      <c r="B3097" s="15" t="s">
        <v>5</v>
      </c>
      <c r="C3097" s="16"/>
      <c r="D3097" s="21"/>
      <c r="E3097" s="15" t="s">
        <v>11193</v>
      </c>
      <c r="F3097" s="22" t="str">
        <f>VLOOKUP(Table8[[#This Row],[Mã khách hàng]],code_khach_hang[],2,0)</f>
        <v>CHI NHÁNH BẮC NINH - CÔNG TY CỔ PHẦN DỊCH VỤ THƯƠNG MẠI TỔNG HỢP WINCOMMERCE</v>
      </c>
      <c r="G3097" s="16" t="str">
        <f>VLOOKUP(Table8[[#This Row],[Mã khách hàng]],code_khach_hang[],3,0)</f>
        <v>Miền Bắc đặc biệt 2</v>
      </c>
      <c r="H3097" t="str">
        <f>VLOOKUP(Table8[[#This Row],[Mã khách hàng]],'Khách hàng'!A:D,4,0)</f>
        <v>Food Đức Việt</v>
      </c>
      <c r="I3097" t="str">
        <f>VLOOKUP(Table8[[#This Row],[Mã khách hàng]],'Khách hàng'!A:E,5,0)</f>
        <v>HN0040</v>
      </c>
    </row>
    <row r="3098" spans="1:9">
      <c r="A3098" s="14" t="s">
        <v>11180</v>
      </c>
      <c r="B3098" s="15" t="s">
        <v>5</v>
      </c>
      <c r="C3098" s="16"/>
      <c r="D3098" s="21"/>
      <c r="E3098" s="15" t="s">
        <v>11215</v>
      </c>
      <c r="F3098" s="22" t="str">
        <f>VLOOKUP(Table8[[#This Row],[Mã khách hàng]],code_khach_hang[],2,0)</f>
        <v>CHI NHÁNH HÀ NỘI - CÔNG TY CỔ PHẦN DỊCH VỤ THƯƠNG MẠI TỔNG HỢP WINCOMMERCE</v>
      </c>
      <c r="G3098" s="16" t="str">
        <f>VLOOKUP(Table8[[#This Row],[Mã khách hàng]],code_khach_hang[],3,0)</f>
        <v>Miền Bắc đặc biệt 1</v>
      </c>
      <c r="H3098" t="str">
        <f>VLOOKUP(Table8[[#This Row],[Mã khách hàng]],'Khách hàng'!A:D,4,0)</f>
        <v>Food Đức Việt</v>
      </c>
      <c r="I3098" t="str">
        <f>VLOOKUP(Table8[[#This Row],[Mã khách hàng]],'Khách hàng'!A:E,5,0)</f>
        <v>HN0040</v>
      </c>
    </row>
    <row r="3099" spans="1:9">
      <c r="A3099" s="14" t="s">
        <v>11181</v>
      </c>
      <c r="B3099" s="15" t="s">
        <v>5</v>
      </c>
      <c r="C3099" s="16"/>
      <c r="D3099" s="21"/>
      <c r="E3099" s="15" t="s">
        <v>11193</v>
      </c>
      <c r="F3099" s="22" t="str">
        <f>VLOOKUP(Table8[[#This Row],[Mã khách hàng]],code_khach_hang[],2,0)</f>
        <v>CHI NHÁNH BẮC NINH - CÔNG TY CỔ PHẦN DỊCH VỤ THƯƠNG MẠI TỔNG HỢP WINCOMMERCE</v>
      </c>
      <c r="G3099" s="16" t="str">
        <f>VLOOKUP(Table8[[#This Row],[Mã khách hàng]],code_khach_hang[],3,0)</f>
        <v>Miền Bắc đặc biệt 2</v>
      </c>
      <c r="H3099" t="str">
        <f>VLOOKUP(Table8[[#This Row],[Mã khách hàng]],'Khách hàng'!A:D,4,0)</f>
        <v>Food Đức Việt</v>
      </c>
      <c r="I3099" t="str">
        <f>VLOOKUP(Table8[[#This Row],[Mã khách hàng]],'Khách hàng'!A:E,5,0)</f>
        <v>HN0040</v>
      </c>
    </row>
    <row r="3100" spans="1:9">
      <c r="A3100" s="14" t="s">
        <v>11182</v>
      </c>
      <c r="B3100" s="15" t="s">
        <v>5</v>
      </c>
      <c r="C3100" s="16"/>
      <c r="D3100" s="21"/>
      <c r="E3100" s="15" t="s">
        <v>11198</v>
      </c>
      <c r="F3100" s="22" t="str">
        <f>VLOOKUP(Table8[[#This Row],[Mã khách hàng]],code_khach_hang[],2,0)</f>
        <v>CHI NHÁNH HẢI PHÒNG - CÔNG TY CỔ PHẦN DỊCH VỤ THƯƠNG MẠI TỔNG HỢP WINCOMMERCE</v>
      </c>
      <c r="G3100" s="16" t="str">
        <f>VLOOKUP(Table8[[#This Row],[Mã khách hàng]],code_khach_hang[],3,0)</f>
        <v>Miền Bắc đặc biệt 3</v>
      </c>
      <c r="H3100" t="str">
        <f>VLOOKUP(Table8[[#This Row],[Mã khách hàng]],'Khách hàng'!A:D,4,0)</f>
        <v>Food Đức Việt</v>
      </c>
      <c r="I3100" t="str">
        <f>VLOOKUP(Table8[[#This Row],[Mã khách hàng]],'Khách hàng'!A:E,5,0)</f>
        <v>HN0040</v>
      </c>
    </row>
    <row r="3101" spans="1:9">
      <c r="A3101" s="14" t="s">
        <v>11183</v>
      </c>
      <c r="B3101" s="15" t="s">
        <v>5</v>
      </c>
      <c r="C3101" s="16"/>
      <c r="D3101" s="21"/>
      <c r="E3101" s="15" t="s">
        <v>11196</v>
      </c>
      <c r="F3101" s="22" t="str">
        <f>VLOOKUP(Table8[[#This Row],[Mã khách hàng]],code_khach_hang[],2,0)</f>
        <v>CHI NHÁNH NINH BÌNH - CÔNG TY CỔ PHẦN DỊCH VỤ THƯƠNG MẠI TỔNG HỢP WINCOMMERCE</v>
      </c>
      <c r="G3101" s="16" t="str">
        <f>VLOOKUP(Table8[[#This Row],[Mã khách hàng]],code_khach_hang[],3,0)</f>
        <v>Miền Bắc đặc biệt 3</v>
      </c>
      <c r="H3101" t="str">
        <f>VLOOKUP(Table8[[#This Row],[Mã khách hàng]],'Khách hàng'!A:D,4,0)</f>
        <v>Food Đức Việt</v>
      </c>
      <c r="I3101" t="str">
        <f>VLOOKUP(Table8[[#This Row],[Mã khách hàng]],'Khách hàng'!A:E,5,0)</f>
        <v>HN0040</v>
      </c>
    </row>
    <row r="3102" spans="1:9">
      <c r="A3102" s="14" t="s">
        <v>11184</v>
      </c>
      <c r="B3102" s="15" t="s">
        <v>5</v>
      </c>
      <c r="C3102" s="16"/>
      <c r="D3102" s="21"/>
      <c r="E3102" s="15" t="s">
        <v>11196</v>
      </c>
      <c r="F3102" s="22" t="str">
        <f>VLOOKUP(Table8[[#This Row],[Mã khách hàng]],code_khach_hang[],2,0)</f>
        <v>CHI NHÁNH NINH BÌNH - CÔNG TY CỔ PHẦN DỊCH VỤ THƯƠNG MẠI TỔNG HỢP WINCOMMERCE</v>
      </c>
      <c r="G3102" s="16" t="str">
        <f>VLOOKUP(Table8[[#This Row],[Mã khách hàng]],code_khach_hang[],3,0)</f>
        <v>Miền Bắc đặc biệt 3</v>
      </c>
      <c r="H3102" t="str">
        <f>VLOOKUP(Table8[[#This Row],[Mã khách hàng]],'Khách hàng'!A:D,4,0)</f>
        <v>Food Đức Việt</v>
      </c>
      <c r="I3102" t="str">
        <f>VLOOKUP(Table8[[#This Row],[Mã khách hàng]],'Khách hàng'!A:E,5,0)</f>
        <v>HN0040</v>
      </c>
    </row>
    <row r="3103" spans="1:9">
      <c r="A3103" s="14" t="s">
        <v>11185</v>
      </c>
      <c r="B3103" s="15" t="s">
        <v>5</v>
      </c>
      <c r="C3103" s="16"/>
      <c r="D3103" s="21"/>
      <c r="E3103" s="15" t="s">
        <v>11216</v>
      </c>
      <c r="F3103" s="22" t="str">
        <f>VLOOKUP(Table8[[#This Row],[Mã khách hàng]],code_khach_hang[],2,0)</f>
        <v>CHI NHÁNH HƯNG YÊN - CÔNG TY CỔ PHẦN DỊCH VỤ THƯƠNG MẠI TỔNG HỢP WINCOMMERCE</v>
      </c>
      <c r="G3103" s="16" t="str">
        <f>VLOOKUP(Table8[[#This Row],[Mã khách hàng]],code_khach_hang[],3,0)</f>
        <v>Miền Bắc đặc biệt 1</v>
      </c>
      <c r="H3103" t="str">
        <f>VLOOKUP(Table8[[#This Row],[Mã khách hàng]],'Khách hàng'!A:D,4,0)</f>
        <v>Food Đức Việt</v>
      </c>
      <c r="I3103" t="str">
        <f>VLOOKUP(Table8[[#This Row],[Mã khách hàng]],'Khách hàng'!A:E,5,0)</f>
        <v>HN0040</v>
      </c>
    </row>
    <row r="3104" spans="1:9">
      <c r="A3104" s="14" t="s">
        <v>9216</v>
      </c>
      <c r="B3104" s="15" t="s">
        <v>5</v>
      </c>
      <c r="C3104" s="16"/>
      <c r="D3104" s="21"/>
      <c r="E3104" s="15" t="s">
        <v>11196</v>
      </c>
      <c r="F3104" s="22" t="str">
        <f>VLOOKUP(Table8[[#This Row],[Mã khách hàng]],code_khach_hang[],2,0)</f>
        <v>CHI NHÁNH NINH BÌNH - CÔNG TY CỔ PHẦN DỊCH VỤ THƯƠNG MẠI TỔNG HỢP WINCOMMERCE</v>
      </c>
      <c r="G3104" s="16" t="str">
        <f>VLOOKUP(Table8[[#This Row],[Mã khách hàng]],code_khach_hang[],3,0)</f>
        <v>Miền Bắc đặc biệt 3</v>
      </c>
      <c r="H3104" t="str">
        <f>VLOOKUP(Table8[[#This Row],[Mã khách hàng]],'Khách hàng'!A:D,4,0)</f>
        <v>Food Đức Việt</v>
      </c>
      <c r="I3104" t="str">
        <f>VLOOKUP(Table8[[#This Row],[Mã khách hàng]],'Khách hàng'!A:E,5,0)</f>
        <v>HN0040</v>
      </c>
    </row>
    <row r="3105" spans="1:9">
      <c r="A3105" s="14" t="s">
        <v>11186</v>
      </c>
      <c r="B3105" s="15" t="s">
        <v>5</v>
      </c>
      <c r="C3105" s="16"/>
      <c r="D3105" s="21"/>
      <c r="E3105" s="15" t="s">
        <v>11215</v>
      </c>
      <c r="F3105" s="22" t="str">
        <f>VLOOKUP(Table8[[#This Row],[Mã khách hàng]],code_khach_hang[],2,0)</f>
        <v>CHI NHÁNH HÀ NỘI - CÔNG TY CỔ PHẦN DỊCH VỤ THƯƠNG MẠI TỔNG HỢP WINCOMMERCE</v>
      </c>
      <c r="G3105" s="16" t="str">
        <f>VLOOKUP(Table8[[#This Row],[Mã khách hàng]],code_khach_hang[],3,0)</f>
        <v>Miền Bắc đặc biệt 1</v>
      </c>
      <c r="H3105" t="str">
        <f>VLOOKUP(Table8[[#This Row],[Mã khách hàng]],'Khách hàng'!A:D,4,0)</f>
        <v>Food Đức Việt</v>
      </c>
      <c r="I3105" t="str">
        <f>VLOOKUP(Table8[[#This Row],[Mã khách hàng]],'Khách hàng'!A:E,5,0)</f>
        <v>HN0040</v>
      </c>
    </row>
    <row r="3106" spans="1:9">
      <c r="A3106" s="14" t="s">
        <v>11187</v>
      </c>
      <c r="B3106" s="15" t="s">
        <v>5</v>
      </c>
      <c r="C3106" s="16"/>
      <c r="D3106" s="21"/>
      <c r="E3106" s="15" t="s">
        <v>11216</v>
      </c>
      <c r="F3106" s="22" t="str">
        <f>VLOOKUP(Table8[[#This Row],[Mã khách hàng]],code_khach_hang[],2,0)</f>
        <v>CHI NHÁNH HƯNG YÊN - CÔNG TY CỔ PHẦN DỊCH VỤ THƯƠNG MẠI TỔNG HỢP WINCOMMERCE</v>
      </c>
      <c r="G3106" s="16" t="str">
        <f>VLOOKUP(Table8[[#This Row],[Mã khách hàng]],code_khach_hang[],3,0)</f>
        <v>Miền Bắc đặc biệt 1</v>
      </c>
      <c r="H3106" t="str">
        <f>VLOOKUP(Table8[[#This Row],[Mã khách hàng]],'Khách hàng'!A:D,4,0)</f>
        <v>Food Đức Việt</v>
      </c>
      <c r="I3106" t="str">
        <f>VLOOKUP(Table8[[#This Row],[Mã khách hàng]],'Khách hàng'!A:E,5,0)</f>
        <v>HN0040</v>
      </c>
    </row>
    <row r="3107" spans="1:9">
      <c r="A3107" s="14" t="s">
        <v>11188</v>
      </c>
      <c r="B3107" s="15" t="s">
        <v>5</v>
      </c>
      <c r="C3107" s="16"/>
      <c r="D3107" s="21"/>
      <c r="E3107" s="15" t="s">
        <v>11199</v>
      </c>
      <c r="F3107" s="22" t="str">
        <f>VLOOKUP(Table8[[#This Row],[Mã khách hàng]],code_khach_hang[],2,0)</f>
        <v>CHI NHÁNH PHÚ THỌ - CÔNG TY CỔ PHẦN DỊCH VỤ THƯƠNG MẠI TỔNG HỢP WINCOMMERCE</v>
      </c>
      <c r="G3107" s="16" t="str">
        <f>VLOOKUP(Table8[[#This Row],[Mã khách hàng]],code_khach_hang[],3,0)</f>
        <v>Miền Bắc đặc biệt 1</v>
      </c>
      <c r="H3107" t="str">
        <f>VLOOKUP(Table8[[#This Row],[Mã khách hàng]],'Khách hàng'!A:D,4,0)</f>
        <v>Food Đức Việt</v>
      </c>
      <c r="I3107" t="str">
        <f>VLOOKUP(Table8[[#This Row],[Mã khách hàng]],'Khách hàng'!A:E,5,0)</f>
        <v>HN0040</v>
      </c>
    </row>
    <row r="3108" spans="1:9">
      <c r="A3108" s="14" t="s">
        <v>9295</v>
      </c>
      <c r="B3108" s="15" t="s">
        <v>5</v>
      </c>
      <c r="C3108" s="16"/>
      <c r="D3108" s="21"/>
      <c r="E3108" s="15" t="s">
        <v>11215</v>
      </c>
      <c r="F3108" s="22" t="str">
        <f>VLOOKUP(Table8[[#This Row],[Mã khách hàng]],code_khach_hang[],2,0)</f>
        <v>CHI NHÁNH HÀ NỘI - CÔNG TY CỔ PHẦN DỊCH VỤ THƯƠNG MẠI TỔNG HỢP WINCOMMERCE</v>
      </c>
      <c r="G3108" s="16" t="str">
        <f>VLOOKUP(Table8[[#This Row],[Mã khách hàng]],code_khach_hang[],3,0)</f>
        <v>Miền Bắc đặc biệt 1</v>
      </c>
      <c r="H3108" t="str">
        <f>VLOOKUP(Table8[[#This Row],[Mã khách hàng]],'Khách hàng'!A:D,4,0)</f>
        <v>Food Đức Việt</v>
      </c>
      <c r="I3108" t="str">
        <f>VLOOKUP(Table8[[#This Row],[Mã khách hàng]],'Khách hàng'!A:E,5,0)</f>
        <v>HN0040</v>
      </c>
    </row>
    <row r="3109" spans="1:9">
      <c r="A3109" s="14" t="s">
        <v>11189</v>
      </c>
      <c r="B3109" s="15" t="s">
        <v>5</v>
      </c>
      <c r="C3109" s="16"/>
      <c r="D3109" s="21"/>
      <c r="E3109" s="15" t="s">
        <v>11203</v>
      </c>
      <c r="F3109" s="22" t="str">
        <f>VLOOKUP(Table8[[#This Row],[Mã khách hàng]],code_khach_hang[],2,0)</f>
        <v>CHI NHÁNH THANH HÓA - CÔNG TY CỔ PHẦN DỊCH VỤ THƯƠNG MẠI TỔNG HỢP WINCOMMERCE</v>
      </c>
      <c r="G3109" s="16" t="str">
        <f>VLOOKUP(Table8[[#This Row],[Mã khách hàng]],code_khach_hang[],3,0)</f>
        <v>Miền Trung đặc biệt 1</v>
      </c>
      <c r="H3109" t="str">
        <f>VLOOKUP(Table8[[#This Row],[Mã khách hàng]],'Khách hàng'!A:D,4,0)</f>
        <v>Food Đức Việt</v>
      </c>
      <c r="I3109" t="str">
        <f>VLOOKUP(Table8[[#This Row],[Mã khách hàng]],'Khách hàng'!A:E,5,0)</f>
        <v>HN0040</v>
      </c>
    </row>
    <row r="3110" spans="1:9">
      <c r="A3110" s="14" t="s">
        <v>11190</v>
      </c>
      <c r="B3110" s="15" t="s">
        <v>5</v>
      </c>
      <c r="C3110" s="16"/>
      <c r="D3110" s="21"/>
      <c r="E3110" s="15" t="s">
        <v>11211</v>
      </c>
      <c r="F3110" s="22" t="str">
        <f>VLOOKUP(Table8[[#This Row],[Mã khách hàng]],code_khach_hang[],2,0)</f>
        <v>CHI NHÁNH NGHỆ AN - CÔNG TY CỔ PHẦN DỊCH VỤ THƯƠNG MẠI TỔNG HỢP WINCOMMERCE</v>
      </c>
      <c r="G3110" s="16" t="str">
        <f>VLOOKUP(Table8[[#This Row],[Mã khách hàng]],code_khach_hang[],3,0)</f>
        <v>Miền Trung đặc biệt 1</v>
      </c>
      <c r="H3110" t="str">
        <f>VLOOKUP(Table8[[#This Row],[Mã khách hàng]],'Khách hàng'!A:D,4,0)</f>
        <v>Food Đức Việt</v>
      </c>
      <c r="I3110" t="str">
        <f>VLOOKUP(Table8[[#This Row],[Mã khách hàng]],'Khách hàng'!A:E,5,0)</f>
        <v>HN0040</v>
      </c>
    </row>
    <row r="3111" spans="1:9">
      <c r="A3111" s="14" t="s">
        <v>11191</v>
      </c>
      <c r="B3111" s="15" t="s">
        <v>5</v>
      </c>
      <c r="C3111" s="16"/>
      <c r="D3111" s="21"/>
      <c r="E3111" s="15" t="s">
        <v>11203</v>
      </c>
      <c r="F3111" s="22" t="str">
        <f>VLOOKUP(Table8[[#This Row],[Mã khách hàng]],code_khach_hang[],2,0)</f>
        <v>CHI NHÁNH THANH HÓA - CÔNG TY CỔ PHẦN DỊCH VỤ THƯƠNG MẠI TỔNG HỢP WINCOMMERCE</v>
      </c>
      <c r="G3111" s="16" t="str">
        <f>VLOOKUP(Table8[[#This Row],[Mã khách hàng]],code_khach_hang[],3,0)</f>
        <v>Miền Trung đặc biệt 1</v>
      </c>
      <c r="H3111" t="str">
        <f>VLOOKUP(Table8[[#This Row],[Mã khách hàng]],'Khách hàng'!A:D,4,0)</f>
        <v>Food Đức Việt</v>
      </c>
      <c r="I3111" t="str">
        <f>VLOOKUP(Table8[[#This Row],[Mã khách hàng]],'Khách hàng'!A:E,5,0)</f>
        <v>HN0040</v>
      </c>
    </row>
    <row r="3112" spans="1:9">
      <c r="A3112" s="14" t="s">
        <v>11192</v>
      </c>
      <c r="B3112" s="15" t="s">
        <v>5</v>
      </c>
      <c r="C3112" s="16"/>
      <c r="D3112" s="21"/>
      <c r="E3112" s="15" t="s">
        <v>11199</v>
      </c>
      <c r="F3112" s="22" t="str">
        <f>VLOOKUP(Table8[[#This Row],[Mã khách hàng]],code_khach_hang[],2,0)</f>
        <v>CHI NHÁNH PHÚ THỌ - CÔNG TY CỔ PHẦN DỊCH VỤ THƯƠNG MẠI TỔNG HỢP WINCOMMERCE</v>
      </c>
      <c r="G3112" s="16" t="str">
        <f>VLOOKUP(Table8[[#This Row],[Mã khách hàng]],code_khach_hang[],3,0)</f>
        <v>Miền Bắc đặc biệt 1</v>
      </c>
      <c r="H3112" t="str">
        <f>VLOOKUP(Table8[[#This Row],[Mã khách hàng]],'Khách hàng'!A:D,4,0)</f>
        <v>Food Đức Việt</v>
      </c>
      <c r="I3112" t="str">
        <f>VLOOKUP(Table8[[#This Row],[Mã khách hàng]],'Khách hàng'!A:E,5,0)</f>
        <v>HN0040</v>
      </c>
    </row>
    <row r="3113" spans="1:9">
      <c r="A3113" s="11" t="s">
        <v>11234</v>
      </c>
      <c r="B3113" s="9" t="s">
        <v>183</v>
      </c>
      <c r="C3113" s="9" t="s">
        <v>11235</v>
      </c>
      <c r="D3113" s="10" t="s">
        <v>11236</v>
      </c>
      <c r="E3113" s="9" t="s">
        <v>11240</v>
      </c>
      <c r="F3113" s="22" t="str">
        <f>VLOOKUP(Table8[[#This Row],[Mã khách hàng]],code_khach_hang[],2,0)</f>
        <v>CHI NHÁNH ĐÀ NẴNG - CÔNG TY CỔ PHẦN DỊCH VỤ THƯƠNG MẠI TỔNG HỢP WINCOMMERCE</v>
      </c>
      <c r="G3113" s="10" t="str">
        <f>VLOOKUP(Table8[[#This Row],[Mã khách hàng]],code_khach_hang[],3,0)</f>
        <v>Miền Trung đặc biệt 1</v>
      </c>
      <c r="H3113" t="str">
        <f>VLOOKUP(Table8[[#This Row],[Mã khách hàng]],'Khách hàng'!A:D,4,0)</f>
        <v>Food Đức Việt</v>
      </c>
      <c r="I3113" t="str">
        <f>VLOOKUP(Table8[[#This Row],[Mã khách hàng]],'Khách hàng'!A:E,5,0)</f>
        <v>DNTG100</v>
      </c>
    </row>
    <row r="3114" spans="1:9">
      <c r="A3114" s="11" t="s">
        <v>11237</v>
      </c>
      <c r="B3114" s="9" t="s">
        <v>183</v>
      </c>
      <c r="C3114" s="9" t="s">
        <v>11238</v>
      </c>
      <c r="D3114" s="10" t="s">
        <v>11239</v>
      </c>
      <c r="E3114" s="9" t="s">
        <v>11241</v>
      </c>
      <c r="F3114" s="22" t="str">
        <f>VLOOKUP(Table8[[#This Row],[Mã khách hàng]],code_khach_hang[],2,0)</f>
        <v>CHI NHÁNH BÌNH ĐỊNH - CÔNG TY CỔ PHẦN DỊCH VỤ THƯƠNG MẠI TỔNG HỢP WINCOMMERCE</v>
      </c>
      <c r="G3114" s="10" t="str">
        <f>VLOOKUP(Table8[[#This Row],[Mã khách hàng]],code_khach_hang[],3,0)</f>
        <v>Miền Trung đặc biệt 2</v>
      </c>
      <c r="H3114" t="str">
        <f>VLOOKUP(Table8[[#This Row],[Mã khách hàng]],'Khách hàng'!A:D,4,0)</f>
        <v>Food Đức Việt</v>
      </c>
      <c r="I3114" t="str">
        <f>VLOOKUP(Table8[[#This Row],[Mã khách hàng]],'Khách hàng'!A:E,5,0)</f>
        <v>QNTV50</v>
      </c>
    </row>
    <row r="3115" spans="1:9">
      <c r="A3115" s="11">
        <v>2039</v>
      </c>
      <c r="B3115" s="9" t="s">
        <v>5</v>
      </c>
      <c r="C3115" s="10" t="s">
        <v>11452</v>
      </c>
      <c r="D3115" s="21" t="s">
        <v>11453</v>
      </c>
      <c r="E3115" s="9" t="s">
        <v>11442</v>
      </c>
      <c r="F3115" s="22" t="str">
        <f>VLOOKUP(Table8[[#This Row],[Mã khách hàng]],code_khach_hang[],2,0)</f>
        <v>CHI NHÁNH ĐÀ NẴNG - CÔNG TY CỔ PHẦN DỊCH VỤ THƯƠNG MẠI TỔNG HỢP WINCOMMERCE</v>
      </c>
      <c r="G3115" s="10" t="str">
        <f>VLOOKUP(Table8[[#This Row],[Mã khách hàng]],code_khach_hang[],3,0)</f>
        <v>Miền Trung đặc biệt 1</v>
      </c>
      <c r="H3115" t="str">
        <f>VLOOKUP(Table8[[#This Row],[Mã khách hàng]],'Khách hàng'!A:D,4,0)</f>
        <v>Food Đức Việt</v>
      </c>
      <c r="I3115" t="str">
        <f>VLOOKUP(Table8[[#This Row],[Mã khách hàng]],'Khách hàng'!A:E,5,0)</f>
        <v>DNTG100</v>
      </c>
    </row>
    <row r="3116" spans="1:9">
      <c r="A3116" s="14">
        <v>2040</v>
      </c>
      <c r="B3116" s="15" t="s">
        <v>5</v>
      </c>
      <c r="C3116" s="16" t="s">
        <v>11454</v>
      </c>
      <c r="D3116" s="21" t="s">
        <v>11455</v>
      </c>
      <c r="E3116" s="15" t="s">
        <v>11442</v>
      </c>
      <c r="F3116" s="22" t="str">
        <f>VLOOKUP(Table8[[#This Row],[Mã khách hàng]],code_khach_hang[],2,0)</f>
        <v>CHI NHÁNH ĐÀ NẴNG - CÔNG TY CỔ PHẦN DỊCH VỤ THƯƠNG MẠI TỔNG HỢP WINCOMMERCE</v>
      </c>
      <c r="G3116" s="16" t="str">
        <f>VLOOKUP(Table8[[#This Row],[Mã khách hàng]],code_khach_hang[],3,0)</f>
        <v>Miền Trung đặc biệt 1</v>
      </c>
      <c r="H3116" t="str">
        <f>VLOOKUP(Table8[[#This Row],[Mã khách hàng]],'Khách hàng'!A:D,4,0)</f>
        <v>Food Đức Việt</v>
      </c>
      <c r="I3116" t="str">
        <f>VLOOKUP(Table8[[#This Row],[Mã khách hàng]],'Khách hàng'!A:E,5,0)</f>
        <v>DNTG100</v>
      </c>
    </row>
    <row r="3117" spans="1:9">
      <c r="A3117" s="14">
        <v>2047</v>
      </c>
      <c r="B3117" s="15" t="s">
        <v>5</v>
      </c>
      <c r="C3117" s="16" t="s">
        <v>11456</v>
      </c>
      <c r="D3117" s="21" t="s">
        <v>11457</v>
      </c>
      <c r="E3117" s="15" t="s">
        <v>11442</v>
      </c>
      <c r="F3117" s="22" t="str">
        <f>VLOOKUP(Table8[[#This Row],[Mã khách hàng]],code_khach_hang[],2,0)</f>
        <v>CHI NHÁNH ĐÀ NẴNG - CÔNG TY CỔ PHẦN DỊCH VỤ THƯƠNG MẠI TỔNG HỢP WINCOMMERCE</v>
      </c>
      <c r="G3117" s="16" t="str">
        <f>VLOOKUP(Table8[[#This Row],[Mã khách hàng]],code_khach_hang[],3,0)</f>
        <v>Miền Trung đặc biệt 1</v>
      </c>
      <c r="H3117" t="str">
        <f>VLOOKUP(Table8[[#This Row],[Mã khách hàng]],'Khách hàng'!A:D,4,0)</f>
        <v>Food Đức Việt</v>
      </c>
      <c r="I3117" t="str">
        <f>VLOOKUP(Table8[[#This Row],[Mã khách hàng]],'Khách hàng'!A:E,5,0)</f>
        <v>DNTG100</v>
      </c>
    </row>
    <row r="3118" spans="1:9">
      <c r="A3118" s="14">
        <v>2048</v>
      </c>
      <c r="B3118" s="15" t="s">
        <v>5</v>
      </c>
      <c r="C3118" s="16" t="s">
        <v>11458</v>
      </c>
      <c r="D3118" s="21" t="s">
        <v>11459</v>
      </c>
      <c r="E3118" s="15" t="s">
        <v>11442</v>
      </c>
      <c r="F3118" s="22" t="str">
        <f>VLOOKUP(Table8[[#This Row],[Mã khách hàng]],code_khach_hang[],2,0)</f>
        <v>CHI NHÁNH ĐÀ NẴNG - CÔNG TY CỔ PHẦN DỊCH VỤ THƯƠNG MẠI TỔNG HỢP WINCOMMERCE</v>
      </c>
      <c r="G3118" s="16" t="str">
        <f>VLOOKUP(Table8[[#This Row],[Mã khách hàng]],code_khach_hang[],3,0)</f>
        <v>Miền Trung đặc biệt 1</v>
      </c>
      <c r="H3118" t="str">
        <f>VLOOKUP(Table8[[#This Row],[Mã khách hàng]],'Khách hàng'!A:D,4,0)</f>
        <v>Food Đức Việt</v>
      </c>
      <c r="I3118" t="str">
        <f>VLOOKUP(Table8[[#This Row],[Mã khách hàng]],'Khách hàng'!A:E,5,0)</f>
        <v>DNTG100</v>
      </c>
    </row>
    <row r="3119" spans="1:9">
      <c r="A3119" s="14">
        <v>2049</v>
      </c>
      <c r="B3119" s="15" t="s">
        <v>5</v>
      </c>
      <c r="C3119" s="16" t="s">
        <v>11460</v>
      </c>
      <c r="D3119" s="21" t="s">
        <v>11461</v>
      </c>
      <c r="E3119" s="15" t="s">
        <v>11442</v>
      </c>
      <c r="F3119" s="22" t="str">
        <f>VLOOKUP(Table8[[#This Row],[Mã khách hàng]],code_khach_hang[],2,0)</f>
        <v>CHI NHÁNH ĐÀ NẴNG - CÔNG TY CỔ PHẦN DỊCH VỤ THƯƠNG MẠI TỔNG HỢP WINCOMMERCE</v>
      </c>
      <c r="G3119" s="16" t="str">
        <f>VLOOKUP(Table8[[#This Row],[Mã khách hàng]],code_khach_hang[],3,0)</f>
        <v>Miền Trung đặc biệt 1</v>
      </c>
      <c r="H3119" t="str">
        <f>VLOOKUP(Table8[[#This Row],[Mã khách hàng]],'Khách hàng'!A:D,4,0)</f>
        <v>Food Đức Việt</v>
      </c>
      <c r="I3119" t="str">
        <f>VLOOKUP(Table8[[#This Row],[Mã khách hàng]],'Khách hàng'!A:E,5,0)</f>
        <v>DNTG100</v>
      </c>
    </row>
    <row r="3120" spans="1:9">
      <c r="A3120" s="14">
        <v>2089</v>
      </c>
      <c r="B3120" s="15" t="s">
        <v>5</v>
      </c>
      <c r="C3120" s="16" t="s">
        <v>11462</v>
      </c>
      <c r="D3120" s="21" t="s">
        <v>11463</v>
      </c>
      <c r="E3120" s="15" t="s">
        <v>11442</v>
      </c>
      <c r="F3120" s="22" t="str">
        <f>VLOOKUP(Table8[[#This Row],[Mã khách hàng]],code_khach_hang[],2,0)</f>
        <v>CHI NHÁNH ĐÀ NẴNG - CÔNG TY CỔ PHẦN DỊCH VỤ THƯƠNG MẠI TỔNG HỢP WINCOMMERCE</v>
      </c>
      <c r="G3120" s="16" t="str">
        <f>VLOOKUP(Table8[[#This Row],[Mã khách hàng]],code_khach_hang[],3,0)</f>
        <v>Miền Trung đặc biệt 1</v>
      </c>
      <c r="H3120" t="str">
        <f>VLOOKUP(Table8[[#This Row],[Mã khách hàng]],'Khách hàng'!A:D,4,0)</f>
        <v>Food Đức Việt</v>
      </c>
      <c r="I3120" t="str">
        <f>VLOOKUP(Table8[[#This Row],[Mã khách hàng]],'Khách hàng'!A:E,5,0)</f>
        <v>DNTG100</v>
      </c>
    </row>
    <row r="3121" spans="1:9">
      <c r="A3121" s="14">
        <v>2120</v>
      </c>
      <c r="B3121" s="15" t="s">
        <v>5</v>
      </c>
      <c r="C3121" s="16" t="s">
        <v>11464</v>
      </c>
      <c r="D3121" s="21" t="s">
        <v>11465</v>
      </c>
      <c r="E3121" s="15" t="s">
        <v>11442</v>
      </c>
      <c r="F3121" s="22" t="str">
        <f>VLOOKUP(Table8[[#This Row],[Mã khách hàng]],code_khach_hang[],2,0)</f>
        <v>CHI NHÁNH ĐÀ NẴNG - CÔNG TY CỔ PHẦN DỊCH VỤ THƯƠNG MẠI TỔNG HỢP WINCOMMERCE</v>
      </c>
      <c r="G3121" s="16" t="str">
        <f>VLOOKUP(Table8[[#This Row],[Mã khách hàng]],code_khach_hang[],3,0)</f>
        <v>Miền Trung đặc biệt 1</v>
      </c>
      <c r="H3121" t="str">
        <f>VLOOKUP(Table8[[#This Row],[Mã khách hàng]],'Khách hàng'!A:D,4,0)</f>
        <v>Food Đức Việt</v>
      </c>
      <c r="I3121" t="str">
        <f>VLOOKUP(Table8[[#This Row],[Mã khách hàng]],'Khách hàng'!A:E,5,0)</f>
        <v>DNTG100</v>
      </c>
    </row>
    <row r="3122" spans="1:9">
      <c r="A3122" s="14">
        <v>2483</v>
      </c>
      <c r="B3122" s="15" t="s">
        <v>5</v>
      </c>
      <c r="C3122" s="16" t="s">
        <v>11466</v>
      </c>
      <c r="D3122" s="21" t="s">
        <v>11467</v>
      </c>
      <c r="E3122" s="15" t="s">
        <v>11442</v>
      </c>
      <c r="F3122" s="22" t="str">
        <f>VLOOKUP(Table8[[#This Row],[Mã khách hàng]],code_khach_hang[],2,0)</f>
        <v>CHI NHÁNH ĐÀ NẴNG - CÔNG TY CỔ PHẦN DỊCH VỤ THƯƠNG MẠI TỔNG HỢP WINCOMMERCE</v>
      </c>
      <c r="G3122" s="16" t="str">
        <f>VLOOKUP(Table8[[#This Row],[Mã khách hàng]],code_khach_hang[],3,0)</f>
        <v>Miền Trung đặc biệt 1</v>
      </c>
      <c r="H3122" t="str">
        <f>VLOOKUP(Table8[[#This Row],[Mã khách hàng]],'Khách hàng'!A:D,4,0)</f>
        <v>Food Đức Việt</v>
      </c>
      <c r="I3122" t="str">
        <f>VLOOKUP(Table8[[#This Row],[Mã khách hàng]],'Khách hàng'!A:E,5,0)</f>
        <v>DNTG100</v>
      </c>
    </row>
    <row r="3123" spans="1:9">
      <c r="A3123" s="14">
        <v>2588</v>
      </c>
      <c r="B3123" s="15" t="s">
        <v>5</v>
      </c>
      <c r="C3123" s="16" t="s">
        <v>11468</v>
      </c>
      <c r="D3123" s="21" t="s">
        <v>11469</v>
      </c>
      <c r="E3123" s="15" t="s">
        <v>11442</v>
      </c>
      <c r="F3123" s="22" t="str">
        <f>VLOOKUP(Table8[[#This Row],[Mã khách hàng]],code_khach_hang[],2,0)</f>
        <v>CHI NHÁNH ĐÀ NẴNG - CÔNG TY CỔ PHẦN DỊCH VỤ THƯƠNG MẠI TỔNG HỢP WINCOMMERCE</v>
      </c>
      <c r="G3123" s="16" t="str">
        <f>VLOOKUP(Table8[[#This Row],[Mã khách hàng]],code_khach_hang[],3,0)</f>
        <v>Miền Trung đặc biệt 1</v>
      </c>
      <c r="H3123" t="str">
        <f>VLOOKUP(Table8[[#This Row],[Mã khách hàng]],'Khách hàng'!A:D,4,0)</f>
        <v>Food Đức Việt</v>
      </c>
      <c r="I3123" t="str">
        <f>VLOOKUP(Table8[[#This Row],[Mã khách hàng]],'Khách hàng'!A:E,5,0)</f>
        <v>DNTG100</v>
      </c>
    </row>
    <row r="3124" spans="1:9">
      <c r="A3124" s="14">
        <v>2589</v>
      </c>
      <c r="B3124" s="15" t="s">
        <v>5</v>
      </c>
      <c r="C3124" s="16" t="s">
        <v>11470</v>
      </c>
      <c r="D3124" s="21" t="s">
        <v>11471</v>
      </c>
      <c r="E3124" s="15" t="s">
        <v>11442</v>
      </c>
      <c r="F3124" s="22" t="str">
        <f>VLOOKUP(Table8[[#This Row],[Mã khách hàng]],code_khach_hang[],2,0)</f>
        <v>CHI NHÁNH ĐÀ NẴNG - CÔNG TY CỔ PHẦN DỊCH VỤ THƯƠNG MẠI TỔNG HỢP WINCOMMERCE</v>
      </c>
      <c r="G3124" s="16" t="str">
        <f>VLOOKUP(Table8[[#This Row],[Mã khách hàng]],code_khach_hang[],3,0)</f>
        <v>Miền Trung đặc biệt 1</v>
      </c>
      <c r="H3124" t="str">
        <f>VLOOKUP(Table8[[#This Row],[Mã khách hàng]],'Khách hàng'!A:D,4,0)</f>
        <v>Food Đức Việt</v>
      </c>
      <c r="I3124" t="str">
        <f>VLOOKUP(Table8[[#This Row],[Mã khách hàng]],'Khách hàng'!A:E,5,0)</f>
        <v>DNTG100</v>
      </c>
    </row>
    <row r="3125" spans="1:9">
      <c r="A3125" s="14">
        <v>2590</v>
      </c>
      <c r="B3125" s="15" t="s">
        <v>5</v>
      </c>
      <c r="C3125" s="16" t="s">
        <v>11472</v>
      </c>
      <c r="D3125" s="21" t="s">
        <v>11473</v>
      </c>
      <c r="E3125" s="15" t="s">
        <v>11442</v>
      </c>
      <c r="F3125" s="22" t="str">
        <f>VLOOKUP(Table8[[#This Row],[Mã khách hàng]],code_khach_hang[],2,0)</f>
        <v>CHI NHÁNH ĐÀ NẴNG - CÔNG TY CỔ PHẦN DỊCH VỤ THƯƠNG MẠI TỔNG HỢP WINCOMMERCE</v>
      </c>
      <c r="G3125" s="16" t="str">
        <f>VLOOKUP(Table8[[#This Row],[Mã khách hàng]],code_khach_hang[],3,0)</f>
        <v>Miền Trung đặc biệt 1</v>
      </c>
      <c r="H3125" t="str">
        <f>VLOOKUP(Table8[[#This Row],[Mã khách hàng]],'Khách hàng'!A:D,4,0)</f>
        <v>Food Đức Việt</v>
      </c>
      <c r="I3125" t="str">
        <f>VLOOKUP(Table8[[#This Row],[Mã khách hàng]],'Khách hàng'!A:E,5,0)</f>
        <v>DNTG100</v>
      </c>
    </row>
    <row r="3126" spans="1:9">
      <c r="A3126" s="14">
        <v>2592</v>
      </c>
      <c r="B3126" s="15" t="s">
        <v>5</v>
      </c>
      <c r="C3126" s="16" t="s">
        <v>11474</v>
      </c>
      <c r="D3126" s="21" t="s">
        <v>11475</v>
      </c>
      <c r="E3126" s="15" t="s">
        <v>11442</v>
      </c>
      <c r="F3126" s="22" t="str">
        <f>VLOOKUP(Table8[[#This Row],[Mã khách hàng]],code_khach_hang[],2,0)</f>
        <v>CHI NHÁNH ĐÀ NẴNG - CÔNG TY CỔ PHẦN DỊCH VỤ THƯƠNG MẠI TỔNG HỢP WINCOMMERCE</v>
      </c>
      <c r="G3126" s="16" t="str">
        <f>VLOOKUP(Table8[[#This Row],[Mã khách hàng]],code_khach_hang[],3,0)</f>
        <v>Miền Trung đặc biệt 1</v>
      </c>
      <c r="H3126" t="str">
        <f>VLOOKUP(Table8[[#This Row],[Mã khách hàng]],'Khách hàng'!A:D,4,0)</f>
        <v>Food Đức Việt</v>
      </c>
      <c r="I3126" t="str">
        <f>VLOOKUP(Table8[[#This Row],[Mã khách hàng]],'Khách hàng'!A:E,5,0)</f>
        <v>DNTG100</v>
      </c>
    </row>
    <row r="3127" spans="1:9">
      <c r="A3127" s="14">
        <v>2594</v>
      </c>
      <c r="B3127" s="15" t="s">
        <v>5</v>
      </c>
      <c r="C3127" s="16" t="s">
        <v>11476</v>
      </c>
      <c r="D3127" s="21" t="s">
        <v>11477</v>
      </c>
      <c r="E3127" s="15" t="s">
        <v>11442</v>
      </c>
      <c r="F3127" s="22" t="str">
        <f>VLOOKUP(Table8[[#This Row],[Mã khách hàng]],code_khach_hang[],2,0)</f>
        <v>CHI NHÁNH ĐÀ NẴNG - CÔNG TY CỔ PHẦN DỊCH VỤ THƯƠNG MẠI TỔNG HỢP WINCOMMERCE</v>
      </c>
      <c r="G3127" s="16" t="str">
        <f>VLOOKUP(Table8[[#This Row],[Mã khách hàng]],code_khach_hang[],3,0)</f>
        <v>Miền Trung đặc biệt 1</v>
      </c>
      <c r="H3127" t="str">
        <f>VLOOKUP(Table8[[#This Row],[Mã khách hàng]],'Khách hàng'!A:D,4,0)</f>
        <v>Food Đức Việt</v>
      </c>
      <c r="I3127" t="str">
        <f>VLOOKUP(Table8[[#This Row],[Mã khách hàng]],'Khách hàng'!A:E,5,0)</f>
        <v>DNTG100</v>
      </c>
    </row>
    <row r="3128" spans="1:9">
      <c r="A3128" s="14">
        <v>2933</v>
      </c>
      <c r="B3128" s="15" t="s">
        <v>5</v>
      </c>
      <c r="C3128" s="16" t="s">
        <v>11478</v>
      </c>
      <c r="D3128" s="21" t="s">
        <v>11479</v>
      </c>
      <c r="E3128" s="15" t="s">
        <v>11442</v>
      </c>
      <c r="F3128" s="22" t="str">
        <f>VLOOKUP(Table8[[#This Row],[Mã khách hàng]],code_khach_hang[],2,0)</f>
        <v>CHI NHÁNH ĐÀ NẴNG - CÔNG TY CỔ PHẦN DỊCH VỤ THƯƠNG MẠI TỔNG HỢP WINCOMMERCE</v>
      </c>
      <c r="G3128" s="16" t="str">
        <f>VLOOKUP(Table8[[#This Row],[Mã khách hàng]],code_khach_hang[],3,0)</f>
        <v>Miền Trung đặc biệt 1</v>
      </c>
      <c r="H3128" t="str">
        <f>VLOOKUP(Table8[[#This Row],[Mã khách hàng]],'Khách hàng'!A:D,4,0)</f>
        <v>Food Đức Việt</v>
      </c>
      <c r="I3128" t="str">
        <f>VLOOKUP(Table8[[#This Row],[Mã khách hàng]],'Khách hàng'!A:E,5,0)</f>
        <v>DNTG100</v>
      </c>
    </row>
    <row r="3129" spans="1:9">
      <c r="A3129" s="14">
        <v>2952</v>
      </c>
      <c r="B3129" s="15" t="s">
        <v>5</v>
      </c>
      <c r="C3129" s="16" t="s">
        <v>11480</v>
      </c>
      <c r="D3129" s="21" t="s">
        <v>11481</v>
      </c>
      <c r="E3129" s="15" t="s">
        <v>11443</v>
      </c>
      <c r="F3129" s="22" t="str">
        <f>VLOOKUP(Table8[[#This Row],[Mã khách hàng]],code_khach_hang[],2,0)</f>
        <v>CHI NHÁNH KHÁNH HÒA - CÔNG TY CỔ PHẦN DỊCH VỤ THƯƠNG MẠI TỔNG HỢP WINCOMMERCE</v>
      </c>
      <c r="G3129" s="16" t="str">
        <f>VLOOKUP(Table8[[#This Row],[Mã khách hàng]],code_khach_hang[],3,0)</f>
        <v>Miền Trung đặc biệt 2</v>
      </c>
      <c r="H3129" t="str">
        <f>VLOOKUP(Table8[[#This Row],[Mã khách hàng]],'Khách hàng'!A:D,4,0)</f>
        <v>Food Đức Việt</v>
      </c>
      <c r="I3129" t="str">
        <f>VLOOKUP(Table8[[#This Row],[Mã khách hàng]],'Khách hàng'!A:E,5,0)</f>
        <v>QNTV50</v>
      </c>
    </row>
    <row r="3130" spans="1:9">
      <c r="A3130" s="14">
        <v>2959</v>
      </c>
      <c r="B3130" s="15" t="s">
        <v>5</v>
      </c>
      <c r="C3130" s="16" t="s">
        <v>11482</v>
      </c>
      <c r="D3130" s="21" t="s">
        <v>11483</v>
      </c>
      <c r="E3130" s="15" t="s">
        <v>11442</v>
      </c>
      <c r="F3130" s="22" t="str">
        <f>VLOOKUP(Table8[[#This Row],[Mã khách hàng]],code_khach_hang[],2,0)</f>
        <v>CHI NHÁNH ĐÀ NẴNG - CÔNG TY CỔ PHẦN DỊCH VỤ THƯƠNG MẠI TỔNG HỢP WINCOMMERCE</v>
      </c>
      <c r="G3130" s="16" t="str">
        <f>VLOOKUP(Table8[[#This Row],[Mã khách hàng]],code_khach_hang[],3,0)</f>
        <v>Miền Trung đặc biệt 1</v>
      </c>
      <c r="H3130" t="str">
        <f>VLOOKUP(Table8[[#This Row],[Mã khách hàng]],'Khách hàng'!A:D,4,0)</f>
        <v>Food Đức Việt</v>
      </c>
      <c r="I3130" t="str">
        <f>VLOOKUP(Table8[[#This Row],[Mã khách hàng]],'Khách hàng'!A:E,5,0)</f>
        <v>DNTG100</v>
      </c>
    </row>
    <row r="3131" spans="1:9">
      <c r="A3131" s="14" t="s">
        <v>11252</v>
      </c>
      <c r="B3131" s="15" t="s">
        <v>5</v>
      </c>
      <c r="C3131" s="16" t="s">
        <v>11484</v>
      </c>
      <c r="D3131" s="21" t="s">
        <v>11485</v>
      </c>
      <c r="E3131" s="15" t="s">
        <v>11444</v>
      </c>
      <c r="F3131" s="22" t="str">
        <f>VLOOKUP(Table8[[#This Row],[Mã khách hàng]],code_khach_hang[],2,0)</f>
        <v>CHI NHÁNH QUẢNG NAM - CÔNG TY CỔ PHẦN DỊCH VỤ THƯƠNG MẠI TỔNG HỢP WINCOMMERCE</v>
      </c>
      <c r="G3131" s="16" t="str">
        <f>VLOOKUP(Table8[[#This Row],[Mã khách hàng]],code_khach_hang[],3,0)</f>
        <v>Miền Trung đặc biệt 1</v>
      </c>
      <c r="H3131" t="str">
        <f>VLOOKUP(Table8[[#This Row],[Mã khách hàng]],'Khách hàng'!A:D,4,0)</f>
        <v>Food Đức Việt</v>
      </c>
      <c r="I3131" t="str">
        <f>VLOOKUP(Table8[[#This Row],[Mã khách hàng]],'Khách hàng'!A:E,5,0)</f>
        <v>DNTG100</v>
      </c>
    </row>
    <row r="3132" spans="1:9">
      <c r="A3132" s="14" t="s">
        <v>11253</v>
      </c>
      <c r="B3132" s="15" t="s">
        <v>5</v>
      </c>
      <c r="C3132" s="16" t="s">
        <v>11486</v>
      </c>
      <c r="D3132" s="21" t="s">
        <v>11487</v>
      </c>
      <c r="E3132" s="15" t="s">
        <v>11445</v>
      </c>
      <c r="F3132" s="22" t="str">
        <f>VLOOKUP(Table8[[#This Row],[Mã khách hàng]],code_khach_hang[],2,0)</f>
        <v>CHI NHÁNH THỪA THIÊN HUẾ - CÔNG TY CỔ PHẦN DỊCH VỤ THƯƠNG MẠI TỔNG HỢP WINCOMMERCE</v>
      </c>
      <c r="G3132" s="16" t="str">
        <f>VLOOKUP(Table8[[#This Row],[Mã khách hàng]],code_khach_hang[],3,0)</f>
        <v>Miền Trung đặc biệt 1</v>
      </c>
      <c r="H3132" t="str">
        <f>VLOOKUP(Table8[[#This Row],[Mã khách hàng]],'Khách hàng'!A:D,4,0)</f>
        <v>Food Đức Việt</v>
      </c>
      <c r="I3132" t="str">
        <f>VLOOKUP(Table8[[#This Row],[Mã khách hàng]],'Khách hàng'!A:E,5,0)</f>
        <v>DNTG100</v>
      </c>
    </row>
    <row r="3133" spans="1:9">
      <c r="A3133" s="14" t="s">
        <v>11254</v>
      </c>
      <c r="B3133" s="15" t="s">
        <v>5</v>
      </c>
      <c r="C3133" s="16" t="s">
        <v>11488</v>
      </c>
      <c r="D3133" s="21" t="s">
        <v>11489</v>
      </c>
      <c r="E3133" s="15" t="s">
        <v>11443</v>
      </c>
      <c r="F3133" s="22" t="str">
        <f>VLOOKUP(Table8[[#This Row],[Mã khách hàng]],code_khach_hang[],2,0)</f>
        <v>CHI NHÁNH KHÁNH HÒA - CÔNG TY CỔ PHẦN DỊCH VỤ THƯƠNG MẠI TỔNG HỢP WINCOMMERCE</v>
      </c>
      <c r="G3133" s="16" t="str">
        <f>VLOOKUP(Table8[[#This Row],[Mã khách hàng]],code_khach_hang[],3,0)</f>
        <v>Miền Trung đặc biệt 2</v>
      </c>
      <c r="H3133" t="str">
        <f>VLOOKUP(Table8[[#This Row],[Mã khách hàng]],'Khách hàng'!A:D,4,0)</f>
        <v>Food Đức Việt</v>
      </c>
      <c r="I3133" t="str">
        <f>VLOOKUP(Table8[[#This Row],[Mã khách hàng]],'Khách hàng'!A:E,5,0)</f>
        <v>QNTV50</v>
      </c>
    </row>
    <row r="3134" spans="1:9">
      <c r="A3134" s="14" t="s">
        <v>11255</v>
      </c>
      <c r="B3134" s="15" t="s">
        <v>5</v>
      </c>
      <c r="C3134" s="16" t="s">
        <v>11490</v>
      </c>
      <c r="D3134" s="21" t="s">
        <v>11491</v>
      </c>
      <c r="E3134" s="15" t="s">
        <v>11444</v>
      </c>
      <c r="F3134" s="22" t="str">
        <f>VLOOKUP(Table8[[#This Row],[Mã khách hàng]],code_khach_hang[],2,0)</f>
        <v>CHI NHÁNH QUẢNG NAM - CÔNG TY CỔ PHẦN DỊCH VỤ THƯƠNG MẠI TỔNG HỢP WINCOMMERCE</v>
      </c>
      <c r="G3134" s="16" t="str">
        <f>VLOOKUP(Table8[[#This Row],[Mã khách hàng]],code_khach_hang[],3,0)</f>
        <v>Miền Trung đặc biệt 1</v>
      </c>
      <c r="H3134" t="str">
        <f>VLOOKUP(Table8[[#This Row],[Mã khách hàng]],'Khách hàng'!A:D,4,0)</f>
        <v>Food Đức Việt</v>
      </c>
      <c r="I3134" t="str">
        <f>VLOOKUP(Table8[[#This Row],[Mã khách hàng]],'Khách hàng'!A:E,5,0)</f>
        <v>DNTG100</v>
      </c>
    </row>
    <row r="3135" spans="1:9">
      <c r="A3135" s="14" t="s">
        <v>11256</v>
      </c>
      <c r="B3135" s="15" t="s">
        <v>5</v>
      </c>
      <c r="C3135" s="16" t="s">
        <v>11492</v>
      </c>
      <c r="D3135" s="21" t="s">
        <v>11493</v>
      </c>
      <c r="E3135" s="15" t="s">
        <v>11443</v>
      </c>
      <c r="F3135" s="22" t="str">
        <f>VLOOKUP(Table8[[#This Row],[Mã khách hàng]],code_khach_hang[],2,0)</f>
        <v>CHI NHÁNH KHÁNH HÒA - CÔNG TY CỔ PHẦN DỊCH VỤ THƯƠNG MẠI TỔNG HỢP WINCOMMERCE</v>
      </c>
      <c r="G3135" s="16" t="str">
        <f>VLOOKUP(Table8[[#This Row],[Mã khách hàng]],code_khach_hang[],3,0)</f>
        <v>Miền Trung đặc biệt 2</v>
      </c>
      <c r="H3135" t="str">
        <f>VLOOKUP(Table8[[#This Row],[Mã khách hàng]],'Khách hàng'!A:D,4,0)</f>
        <v>Food Đức Việt</v>
      </c>
      <c r="I3135" t="str">
        <f>VLOOKUP(Table8[[#This Row],[Mã khách hàng]],'Khách hàng'!A:E,5,0)</f>
        <v>QNTV50</v>
      </c>
    </row>
    <row r="3136" spans="1:9">
      <c r="A3136" s="14" t="s">
        <v>11257</v>
      </c>
      <c r="B3136" s="15" t="s">
        <v>5</v>
      </c>
      <c r="C3136" s="16" t="s">
        <v>11494</v>
      </c>
      <c r="D3136" s="21" t="s">
        <v>11495</v>
      </c>
      <c r="E3136" s="15" t="s">
        <v>11446</v>
      </c>
      <c r="F3136" s="22" t="str">
        <f>VLOOKUP(Table8[[#This Row],[Mã khách hàng]],code_khach_hang[],2,0)</f>
        <v>CHI NHÁNH GIA LAI - CÔNG TY CỔ PHẦN DỊCH VỤ THƯƠNG MẠI TỔNG HỢP WINCOMMERCE</v>
      </c>
      <c r="G3136" s="16" t="str">
        <f>VLOOKUP(Table8[[#This Row],[Mã khách hàng]],code_khach_hang[],3,0)</f>
        <v>Miền Bắc đặc biệt 2</v>
      </c>
      <c r="H3136" t="str">
        <f>VLOOKUP(Table8[[#This Row],[Mã khách hàng]],'Khách hàng'!A:D,4,0)</f>
        <v>Food Đức Việt</v>
      </c>
      <c r="I3136" t="str">
        <f>VLOOKUP(Table8[[#This Row],[Mã khách hàng]],'Khách hàng'!A:E,5,0)</f>
        <v>QNTV50</v>
      </c>
    </row>
    <row r="3137" spans="1:9">
      <c r="A3137" s="14" t="s">
        <v>11258</v>
      </c>
      <c r="B3137" s="15" t="s">
        <v>5</v>
      </c>
      <c r="C3137" s="16" t="s">
        <v>11496</v>
      </c>
      <c r="D3137" s="21" t="s">
        <v>11497</v>
      </c>
      <c r="E3137" s="15" t="s">
        <v>11446</v>
      </c>
      <c r="F3137" s="22" t="str">
        <f>VLOOKUP(Table8[[#This Row],[Mã khách hàng]],code_khach_hang[],2,0)</f>
        <v>CHI NHÁNH GIA LAI - CÔNG TY CỔ PHẦN DỊCH VỤ THƯƠNG MẠI TỔNG HỢP WINCOMMERCE</v>
      </c>
      <c r="G3137" s="16" t="str">
        <f>VLOOKUP(Table8[[#This Row],[Mã khách hàng]],code_khach_hang[],3,0)</f>
        <v>Miền Bắc đặc biệt 2</v>
      </c>
      <c r="H3137" t="str">
        <f>VLOOKUP(Table8[[#This Row],[Mã khách hàng]],'Khách hàng'!A:D,4,0)</f>
        <v>Food Đức Việt</v>
      </c>
      <c r="I3137" t="str">
        <f>VLOOKUP(Table8[[#This Row],[Mã khách hàng]],'Khách hàng'!A:E,5,0)</f>
        <v>QNTV50</v>
      </c>
    </row>
    <row r="3138" spans="1:9">
      <c r="A3138" s="14" t="s">
        <v>11259</v>
      </c>
      <c r="B3138" s="15" t="s">
        <v>5</v>
      </c>
      <c r="C3138" s="16" t="s">
        <v>11498</v>
      </c>
      <c r="D3138" s="21" t="s">
        <v>11499</v>
      </c>
      <c r="E3138" s="15" t="s">
        <v>11447</v>
      </c>
      <c r="F3138" s="22" t="str">
        <f>VLOOKUP(Table8[[#This Row],[Mã khách hàng]],code_khach_hang[],2,0)</f>
        <v>CHI NHÁNH QUẢNG TRỊ - CÔNG TY CỔ PHẦN DỊCH VỤ THƯƠNG MẠI TỔNG HỢP WINCOMMERCE</v>
      </c>
      <c r="G3138" s="16" t="str">
        <f>VLOOKUP(Table8[[#This Row],[Mã khách hàng]],code_khach_hang[],3,0)</f>
        <v>Miền Trung đặc biệt 1</v>
      </c>
      <c r="H3138" t="str">
        <f>VLOOKUP(Table8[[#This Row],[Mã khách hàng]],'Khách hàng'!A:D,4,0)</f>
        <v>Food Đức Việt</v>
      </c>
      <c r="I3138" t="str">
        <f>VLOOKUP(Table8[[#This Row],[Mã khách hàng]],'Khách hàng'!A:E,5,0)</f>
        <v>DNTG100</v>
      </c>
    </row>
    <row r="3139" spans="1:9">
      <c r="A3139" s="14" t="s">
        <v>11260</v>
      </c>
      <c r="B3139" s="15" t="s">
        <v>5</v>
      </c>
      <c r="C3139" s="16" t="s">
        <v>11500</v>
      </c>
      <c r="D3139" s="21" t="s">
        <v>11501</v>
      </c>
      <c r="E3139" s="15" t="s">
        <v>11446</v>
      </c>
      <c r="F3139" s="22" t="str">
        <f>VLOOKUP(Table8[[#This Row],[Mã khách hàng]],code_khach_hang[],2,0)</f>
        <v>CHI NHÁNH GIA LAI - CÔNG TY CỔ PHẦN DỊCH VỤ THƯƠNG MẠI TỔNG HỢP WINCOMMERCE</v>
      </c>
      <c r="G3139" s="16" t="str">
        <f>VLOOKUP(Table8[[#This Row],[Mã khách hàng]],code_khach_hang[],3,0)</f>
        <v>Miền Bắc đặc biệt 2</v>
      </c>
      <c r="H3139" t="str">
        <f>VLOOKUP(Table8[[#This Row],[Mã khách hàng]],'Khách hàng'!A:D,4,0)</f>
        <v>Food Đức Việt</v>
      </c>
      <c r="I3139" t="str">
        <f>VLOOKUP(Table8[[#This Row],[Mã khách hàng]],'Khách hàng'!A:E,5,0)</f>
        <v>QNTV50</v>
      </c>
    </row>
    <row r="3140" spans="1:9">
      <c r="A3140" s="14" t="s">
        <v>11261</v>
      </c>
      <c r="B3140" s="15" t="s">
        <v>5</v>
      </c>
      <c r="C3140" s="16" t="s">
        <v>11502</v>
      </c>
      <c r="D3140" s="21" t="s">
        <v>11503</v>
      </c>
      <c r="E3140" s="15" t="s">
        <v>11447</v>
      </c>
      <c r="F3140" s="22" t="str">
        <f>VLOOKUP(Table8[[#This Row],[Mã khách hàng]],code_khach_hang[],2,0)</f>
        <v>CHI NHÁNH QUẢNG TRỊ - CÔNG TY CỔ PHẦN DỊCH VỤ THƯƠNG MẠI TỔNG HỢP WINCOMMERCE</v>
      </c>
      <c r="G3140" s="16" t="str">
        <f>VLOOKUP(Table8[[#This Row],[Mã khách hàng]],code_khach_hang[],3,0)</f>
        <v>Miền Trung đặc biệt 1</v>
      </c>
      <c r="H3140" t="str">
        <f>VLOOKUP(Table8[[#This Row],[Mã khách hàng]],'Khách hàng'!A:D,4,0)</f>
        <v>Food Đức Việt</v>
      </c>
      <c r="I3140" t="str">
        <f>VLOOKUP(Table8[[#This Row],[Mã khách hàng]],'Khách hàng'!A:E,5,0)</f>
        <v>DNTG100</v>
      </c>
    </row>
    <row r="3141" spans="1:9">
      <c r="A3141" s="14" t="s">
        <v>11262</v>
      </c>
      <c r="B3141" s="15" t="s">
        <v>5</v>
      </c>
      <c r="C3141" s="16" t="s">
        <v>11504</v>
      </c>
      <c r="D3141" s="21" t="s">
        <v>11505</v>
      </c>
      <c r="E3141" s="15" t="s">
        <v>11444</v>
      </c>
      <c r="F3141" s="22" t="str">
        <f>VLOOKUP(Table8[[#This Row],[Mã khách hàng]],code_khach_hang[],2,0)</f>
        <v>CHI NHÁNH QUẢNG NAM - CÔNG TY CỔ PHẦN DỊCH VỤ THƯƠNG MẠI TỔNG HỢP WINCOMMERCE</v>
      </c>
      <c r="G3141" s="16" t="str">
        <f>VLOOKUP(Table8[[#This Row],[Mã khách hàng]],code_khach_hang[],3,0)</f>
        <v>Miền Trung đặc biệt 1</v>
      </c>
      <c r="H3141" t="str">
        <f>VLOOKUP(Table8[[#This Row],[Mã khách hàng]],'Khách hàng'!A:D,4,0)</f>
        <v>Food Đức Việt</v>
      </c>
      <c r="I3141" t="str">
        <f>VLOOKUP(Table8[[#This Row],[Mã khách hàng]],'Khách hàng'!A:E,5,0)</f>
        <v>DNTG100</v>
      </c>
    </row>
    <row r="3142" spans="1:9">
      <c r="A3142" s="14" t="s">
        <v>11263</v>
      </c>
      <c r="B3142" s="15" t="s">
        <v>5</v>
      </c>
      <c r="C3142" s="16" t="s">
        <v>11506</v>
      </c>
      <c r="D3142" s="21" t="s">
        <v>11507</v>
      </c>
      <c r="E3142" s="15" t="s">
        <v>11447</v>
      </c>
      <c r="F3142" s="22" t="str">
        <f>VLOOKUP(Table8[[#This Row],[Mã khách hàng]],code_khach_hang[],2,0)</f>
        <v>CHI NHÁNH QUẢNG TRỊ - CÔNG TY CỔ PHẦN DỊCH VỤ THƯƠNG MẠI TỔNG HỢP WINCOMMERCE</v>
      </c>
      <c r="G3142" s="16" t="str">
        <f>VLOOKUP(Table8[[#This Row],[Mã khách hàng]],code_khach_hang[],3,0)</f>
        <v>Miền Trung đặc biệt 1</v>
      </c>
      <c r="H3142" t="str">
        <f>VLOOKUP(Table8[[#This Row],[Mã khách hàng]],'Khách hàng'!A:D,4,0)</f>
        <v>Food Đức Việt</v>
      </c>
      <c r="I3142" t="str">
        <f>VLOOKUP(Table8[[#This Row],[Mã khách hàng]],'Khách hàng'!A:E,5,0)</f>
        <v>DNTG100</v>
      </c>
    </row>
    <row r="3143" spans="1:9">
      <c r="A3143" s="14" t="s">
        <v>11264</v>
      </c>
      <c r="B3143" s="15" t="s">
        <v>5</v>
      </c>
      <c r="C3143" s="16" t="s">
        <v>11508</v>
      </c>
      <c r="D3143" s="21" t="s">
        <v>11509</v>
      </c>
      <c r="E3143" s="15" t="s">
        <v>11444</v>
      </c>
      <c r="F3143" s="22" t="str">
        <f>VLOOKUP(Table8[[#This Row],[Mã khách hàng]],code_khach_hang[],2,0)</f>
        <v>CHI NHÁNH QUẢNG NAM - CÔNG TY CỔ PHẦN DỊCH VỤ THƯƠNG MẠI TỔNG HỢP WINCOMMERCE</v>
      </c>
      <c r="G3143" s="16" t="str">
        <f>VLOOKUP(Table8[[#This Row],[Mã khách hàng]],code_khach_hang[],3,0)</f>
        <v>Miền Trung đặc biệt 1</v>
      </c>
      <c r="H3143" t="str">
        <f>VLOOKUP(Table8[[#This Row],[Mã khách hàng]],'Khách hàng'!A:D,4,0)</f>
        <v>Food Đức Việt</v>
      </c>
      <c r="I3143" t="str">
        <f>VLOOKUP(Table8[[#This Row],[Mã khách hàng]],'Khách hàng'!A:E,5,0)</f>
        <v>DNTG100</v>
      </c>
    </row>
    <row r="3144" spans="1:9">
      <c r="A3144" s="14" t="s">
        <v>11265</v>
      </c>
      <c r="B3144" s="15" t="s">
        <v>5</v>
      </c>
      <c r="C3144" s="16" t="s">
        <v>11510</v>
      </c>
      <c r="D3144" s="21" t="s">
        <v>11511</v>
      </c>
      <c r="E3144" s="15" t="s">
        <v>11448</v>
      </c>
      <c r="F3144" s="22" t="str">
        <f>VLOOKUP(Table8[[#This Row],[Mã khách hàng]],code_khach_hang[],2,0)</f>
        <v>CHI NHÁNH KON TUM - CÔNG TY CỔ PHẦN DỊCH VỤ THƯƠNG MẠI TỔNG HỢP WINCOMMERCE</v>
      </c>
      <c r="G3144" s="16" t="str">
        <f>VLOOKUP(Table8[[#This Row],[Mã khách hàng]],code_khach_hang[],3,0)</f>
        <v>Miền Trung đặc biệt 2</v>
      </c>
      <c r="H3144" t="str">
        <f>VLOOKUP(Table8[[#This Row],[Mã khách hàng]],'Khách hàng'!A:D,4,0)</f>
        <v>Food Đức Việt</v>
      </c>
      <c r="I3144" t="str">
        <f>VLOOKUP(Table8[[#This Row],[Mã khách hàng]],'Khách hàng'!A:E,5,0)</f>
        <v>QNTV50</v>
      </c>
    </row>
    <row r="3145" spans="1:9">
      <c r="A3145" s="14" t="s">
        <v>11266</v>
      </c>
      <c r="B3145" s="15" t="s">
        <v>5</v>
      </c>
      <c r="C3145" s="16" t="s">
        <v>11512</v>
      </c>
      <c r="D3145" s="21" t="s">
        <v>11513</v>
      </c>
      <c r="E3145" s="15" t="s">
        <v>11449</v>
      </c>
      <c r="F3145" s="22" t="str">
        <f>VLOOKUP(Table8[[#This Row],[Mã khách hàng]],code_khach_hang[],2,0)</f>
        <v>CHI NHÁNH QUẢNG NGÃI - CÔNG TY CỔ PHẦN DỊCH VỤ THƯƠNG MẠI TỔNG HỢP WINCOMMERCE</v>
      </c>
      <c r="G3145" s="16" t="str">
        <f>VLOOKUP(Table8[[#This Row],[Mã khách hàng]],code_khach_hang[],3,0)</f>
        <v>Miền Trung đặc biệt 1</v>
      </c>
      <c r="H3145" t="str">
        <f>VLOOKUP(Table8[[#This Row],[Mã khách hàng]],'Khách hàng'!A:D,4,0)</f>
        <v>Food Đức Việt</v>
      </c>
      <c r="I3145" t="str">
        <f>VLOOKUP(Table8[[#This Row],[Mã khách hàng]],'Khách hàng'!A:E,5,0)</f>
        <v>DNTG100</v>
      </c>
    </row>
    <row r="3146" spans="1:9">
      <c r="A3146" s="14" t="s">
        <v>11267</v>
      </c>
      <c r="B3146" s="15" t="s">
        <v>5</v>
      </c>
      <c r="C3146" s="16" t="s">
        <v>11514</v>
      </c>
      <c r="D3146" s="21" t="s">
        <v>11515</v>
      </c>
      <c r="E3146" s="15" t="s">
        <v>11449</v>
      </c>
      <c r="F3146" s="22" t="str">
        <f>VLOOKUP(Table8[[#This Row],[Mã khách hàng]],code_khach_hang[],2,0)</f>
        <v>CHI NHÁNH QUẢNG NGÃI - CÔNG TY CỔ PHẦN DỊCH VỤ THƯƠNG MẠI TỔNG HỢP WINCOMMERCE</v>
      </c>
      <c r="G3146" s="16" t="str">
        <f>VLOOKUP(Table8[[#This Row],[Mã khách hàng]],code_khach_hang[],3,0)</f>
        <v>Miền Trung đặc biệt 1</v>
      </c>
      <c r="H3146" t="str">
        <f>VLOOKUP(Table8[[#This Row],[Mã khách hàng]],'Khách hàng'!A:D,4,0)</f>
        <v>Food Đức Việt</v>
      </c>
      <c r="I3146" t="str">
        <f>VLOOKUP(Table8[[#This Row],[Mã khách hàng]],'Khách hàng'!A:E,5,0)</f>
        <v>DNTG100</v>
      </c>
    </row>
    <row r="3147" spans="1:9">
      <c r="A3147" s="14" t="s">
        <v>11268</v>
      </c>
      <c r="B3147" s="15" t="s">
        <v>5</v>
      </c>
      <c r="C3147" s="16" t="s">
        <v>11516</v>
      </c>
      <c r="D3147" s="21" t="s">
        <v>11517</v>
      </c>
      <c r="E3147" s="15" t="s">
        <v>11448</v>
      </c>
      <c r="F3147" s="22" t="str">
        <f>VLOOKUP(Table8[[#This Row],[Mã khách hàng]],code_khach_hang[],2,0)</f>
        <v>CHI NHÁNH KON TUM - CÔNG TY CỔ PHẦN DỊCH VỤ THƯƠNG MẠI TỔNG HỢP WINCOMMERCE</v>
      </c>
      <c r="G3147" s="16" t="str">
        <f>VLOOKUP(Table8[[#This Row],[Mã khách hàng]],code_khach_hang[],3,0)</f>
        <v>Miền Trung đặc biệt 2</v>
      </c>
      <c r="H3147" t="str">
        <f>VLOOKUP(Table8[[#This Row],[Mã khách hàng]],'Khách hàng'!A:D,4,0)</f>
        <v>Food Đức Việt</v>
      </c>
      <c r="I3147" t="str">
        <f>VLOOKUP(Table8[[#This Row],[Mã khách hàng]],'Khách hàng'!A:E,5,0)</f>
        <v>QNTV50</v>
      </c>
    </row>
    <row r="3148" spans="1:9">
      <c r="A3148" s="14" t="s">
        <v>11269</v>
      </c>
      <c r="B3148" s="15" t="s">
        <v>5</v>
      </c>
      <c r="C3148" s="16" t="s">
        <v>11518</v>
      </c>
      <c r="D3148" s="21" t="s">
        <v>11519</v>
      </c>
      <c r="E3148" s="15" t="s">
        <v>11446</v>
      </c>
      <c r="F3148" s="22" t="str">
        <f>VLOOKUP(Table8[[#This Row],[Mã khách hàng]],code_khach_hang[],2,0)</f>
        <v>CHI NHÁNH GIA LAI - CÔNG TY CỔ PHẦN DỊCH VỤ THƯƠNG MẠI TỔNG HỢP WINCOMMERCE</v>
      </c>
      <c r="G3148" s="16" t="str">
        <f>VLOOKUP(Table8[[#This Row],[Mã khách hàng]],code_khach_hang[],3,0)</f>
        <v>Miền Bắc đặc biệt 2</v>
      </c>
      <c r="H3148" t="str">
        <f>VLOOKUP(Table8[[#This Row],[Mã khách hàng]],'Khách hàng'!A:D,4,0)</f>
        <v>Food Đức Việt</v>
      </c>
      <c r="I3148" t="str">
        <f>VLOOKUP(Table8[[#This Row],[Mã khách hàng]],'Khách hàng'!A:E,5,0)</f>
        <v>QNTV50</v>
      </c>
    </row>
    <row r="3149" spans="1:9">
      <c r="A3149" s="14" t="s">
        <v>11270</v>
      </c>
      <c r="B3149" s="15" t="s">
        <v>5</v>
      </c>
      <c r="C3149" s="16" t="s">
        <v>11520</v>
      </c>
      <c r="D3149" s="21" t="s">
        <v>11521</v>
      </c>
      <c r="E3149" s="15" t="s">
        <v>11241</v>
      </c>
      <c r="F3149" s="22" t="str">
        <f>VLOOKUP(Table8[[#This Row],[Mã khách hàng]],code_khach_hang[],2,0)</f>
        <v>CHI NHÁNH BÌNH ĐỊNH - CÔNG TY CỔ PHẦN DỊCH VỤ THƯƠNG MẠI TỔNG HỢP WINCOMMERCE</v>
      </c>
      <c r="G3149" s="16" t="str">
        <f>VLOOKUP(Table8[[#This Row],[Mã khách hàng]],code_khach_hang[],3,0)</f>
        <v>Miền Trung đặc biệt 2</v>
      </c>
      <c r="H3149" t="str">
        <f>VLOOKUP(Table8[[#This Row],[Mã khách hàng]],'Khách hàng'!A:D,4,0)</f>
        <v>Food Đức Việt</v>
      </c>
      <c r="I3149" t="str">
        <f>VLOOKUP(Table8[[#This Row],[Mã khách hàng]],'Khách hàng'!A:E,5,0)</f>
        <v>QNTV50</v>
      </c>
    </row>
    <row r="3150" spans="1:9">
      <c r="A3150" s="14" t="s">
        <v>11271</v>
      </c>
      <c r="B3150" s="15" t="s">
        <v>5</v>
      </c>
      <c r="C3150" s="16" t="s">
        <v>11522</v>
      </c>
      <c r="D3150" s="21" t="s">
        <v>11523</v>
      </c>
      <c r="E3150" s="15" t="s">
        <v>11443</v>
      </c>
      <c r="F3150" s="22" t="str">
        <f>VLOOKUP(Table8[[#This Row],[Mã khách hàng]],code_khach_hang[],2,0)</f>
        <v>CHI NHÁNH KHÁNH HÒA - CÔNG TY CỔ PHẦN DỊCH VỤ THƯƠNG MẠI TỔNG HỢP WINCOMMERCE</v>
      </c>
      <c r="G3150" s="16" t="str">
        <f>VLOOKUP(Table8[[#This Row],[Mã khách hàng]],code_khach_hang[],3,0)</f>
        <v>Miền Trung đặc biệt 2</v>
      </c>
      <c r="H3150" t="str">
        <f>VLOOKUP(Table8[[#This Row],[Mã khách hàng]],'Khách hàng'!A:D,4,0)</f>
        <v>Food Đức Việt</v>
      </c>
      <c r="I3150" t="str">
        <f>VLOOKUP(Table8[[#This Row],[Mã khách hàng]],'Khách hàng'!A:E,5,0)</f>
        <v>QNTV50</v>
      </c>
    </row>
    <row r="3151" spans="1:9">
      <c r="A3151" s="14" t="s">
        <v>11272</v>
      </c>
      <c r="B3151" s="15" t="s">
        <v>5</v>
      </c>
      <c r="C3151" s="16" t="s">
        <v>11524</v>
      </c>
      <c r="D3151" s="21" t="s">
        <v>11525</v>
      </c>
      <c r="E3151" s="15" t="s">
        <v>11445</v>
      </c>
      <c r="F3151" s="22" t="str">
        <f>VLOOKUP(Table8[[#This Row],[Mã khách hàng]],code_khach_hang[],2,0)</f>
        <v>CHI NHÁNH THỪA THIÊN HUẾ - CÔNG TY CỔ PHẦN DỊCH VỤ THƯƠNG MẠI TỔNG HỢP WINCOMMERCE</v>
      </c>
      <c r="G3151" s="16" t="str">
        <f>VLOOKUP(Table8[[#This Row],[Mã khách hàng]],code_khach_hang[],3,0)</f>
        <v>Miền Trung đặc biệt 1</v>
      </c>
      <c r="H3151" t="str">
        <f>VLOOKUP(Table8[[#This Row],[Mã khách hàng]],'Khách hàng'!A:D,4,0)</f>
        <v>Food Đức Việt</v>
      </c>
      <c r="I3151" t="str">
        <f>VLOOKUP(Table8[[#This Row],[Mã khách hàng]],'Khách hàng'!A:E,5,0)</f>
        <v>DNTG100</v>
      </c>
    </row>
    <row r="3152" spans="1:9">
      <c r="A3152" s="14" t="s">
        <v>11273</v>
      </c>
      <c r="B3152" s="15" t="s">
        <v>5</v>
      </c>
      <c r="C3152" s="16" t="s">
        <v>11526</v>
      </c>
      <c r="D3152" s="21" t="s">
        <v>11527</v>
      </c>
      <c r="E3152" s="15" t="s">
        <v>11446</v>
      </c>
      <c r="F3152" s="22" t="str">
        <f>VLOOKUP(Table8[[#This Row],[Mã khách hàng]],code_khach_hang[],2,0)</f>
        <v>CHI NHÁNH GIA LAI - CÔNG TY CỔ PHẦN DỊCH VỤ THƯƠNG MẠI TỔNG HỢP WINCOMMERCE</v>
      </c>
      <c r="G3152" s="16" t="str">
        <f>VLOOKUP(Table8[[#This Row],[Mã khách hàng]],code_khach_hang[],3,0)</f>
        <v>Miền Bắc đặc biệt 2</v>
      </c>
      <c r="H3152" t="str">
        <f>VLOOKUP(Table8[[#This Row],[Mã khách hàng]],'Khách hàng'!A:D,4,0)</f>
        <v>Food Đức Việt</v>
      </c>
      <c r="I3152" t="str">
        <f>VLOOKUP(Table8[[#This Row],[Mã khách hàng]],'Khách hàng'!A:E,5,0)</f>
        <v>QNTV50</v>
      </c>
    </row>
    <row r="3153" spans="1:9">
      <c r="A3153" s="14" t="s">
        <v>11274</v>
      </c>
      <c r="B3153" s="15" t="s">
        <v>5</v>
      </c>
      <c r="C3153" s="16" t="s">
        <v>11528</v>
      </c>
      <c r="D3153" s="21" t="s">
        <v>11529</v>
      </c>
      <c r="E3153" s="15" t="s">
        <v>11447</v>
      </c>
      <c r="F3153" s="22" t="str">
        <f>VLOOKUP(Table8[[#This Row],[Mã khách hàng]],code_khach_hang[],2,0)</f>
        <v>CHI NHÁNH QUẢNG TRỊ - CÔNG TY CỔ PHẦN DỊCH VỤ THƯƠNG MẠI TỔNG HỢP WINCOMMERCE</v>
      </c>
      <c r="G3153" s="16" t="str">
        <f>VLOOKUP(Table8[[#This Row],[Mã khách hàng]],code_khach_hang[],3,0)</f>
        <v>Miền Trung đặc biệt 1</v>
      </c>
      <c r="H3153" t="str">
        <f>VLOOKUP(Table8[[#This Row],[Mã khách hàng]],'Khách hàng'!A:D,4,0)</f>
        <v>Food Đức Việt</v>
      </c>
      <c r="I3153" t="str">
        <f>VLOOKUP(Table8[[#This Row],[Mã khách hàng]],'Khách hàng'!A:E,5,0)</f>
        <v>DNTG100</v>
      </c>
    </row>
    <row r="3154" spans="1:9">
      <c r="A3154" s="14" t="s">
        <v>11275</v>
      </c>
      <c r="B3154" s="15" t="s">
        <v>5</v>
      </c>
      <c r="C3154" s="16" t="s">
        <v>11530</v>
      </c>
      <c r="D3154" s="21" t="s">
        <v>11531</v>
      </c>
      <c r="E3154" s="15" t="s">
        <v>11442</v>
      </c>
      <c r="F3154" s="22" t="str">
        <f>VLOOKUP(Table8[[#This Row],[Mã khách hàng]],code_khach_hang[],2,0)</f>
        <v>CHI NHÁNH ĐÀ NẴNG - CÔNG TY CỔ PHẦN DỊCH VỤ THƯƠNG MẠI TỔNG HỢP WINCOMMERCE</v>
      </c>
      <c r="G3154" s="16" t="str">
        <f>VLOOKUP(Table8[[#This Row],[Mã khách hàng]],code_khach_hang[],3,0)</f>
        <v>Miền Trung đặc biệt 1</v>
      </c>
      <c r="H3154" t="str">
        <f>VLOOKUP(Table8[[#This Row],[Mã khách hàng]],'Khách hàng'!A:D,4,0)</f>
        <v>Food Đức Việt</v>
      </c>
      <c r="I3154" t="str">
        <f>VLOOKUP(Table8[[#This Row],[Mã khách hàng]],'Khách hàng'!A:E,5,0)</f>
        <v>DNTG100</v>
      </c>
    </row>
    <row r="3155" spans="1:9">
      <c r="A3155" s="14" t="s">
        <v>11276</v>
      </c>
      <c r="B3155" s="15" t="s">
        <v>5</v>
      </c>
      <c r="C3155" s="16" t="s">
        <v>11532</v>
      </c>
      <c r="D3155" s="21" t="s">
        <v>11533</v>
      </c>
      <c r="E3155" s="15" t="s">
        <v>11442</v>
      </c>
      <c r="F3155" s="22" t="str">
        <f>VLOOKUP(Table8[[#This Row],[Mã khách hàng]],code_khach_hang[],2,0)</f>
        <v>CHI NHÁNH ĐÀ NẴNG - CÔNG TY CỔ PHẦN DỊCH VỤ THƯƠNG MẠI TỔNG HỢP WINCOMMERCE</v>
      </c>
      <c r="G3155" s="16" t="str">
        <f>VLOOKUP(Table8[[#This Row],[Mã khách hàng]],code_khach_hang[],3,0)</f>
        <v>Miền Trung đặc biệt 1</v>
      </c>
      <c r="H3155" t="str">
        <f>VLOOKUP(Table8[[#This Row],[Mã khách hàng]],'Khách hàng'!A:D,4,0)</f>
        <v>Food Đức Việt</v>
      </c>
      <c r="I3155" t="str">
        <f>VLOOKUP(Table8[[#This Row],[Mã khách hàng]],'Khách hàng'!A:E,5,0)</f>
        <v>DNTG100</v>
      </c>
    </row>
    <row r="3156" spans="1:9">
      <c r="A3156" s="14" t="s">
        <v>11277</v>
      </c>
      <c r="B3156" s="15" t="s">
        <v>5</v>
      </c>
      <c r="C3156" s="16" t="s">
        <v>11534</v>
      </c>
      <c r="D3156" s="21" t="s">
        <v>11535</v>
      </c>
      <c r="E3156" s="15" t="s">
        <v>11445</v>
      </c>
      <c r="F3156" s="22" t="str">
        <f>VLOOKUP(Table8[[#This Row],[Mã khách hàng]],code_khach_hang[],2,0)</f>
        <v>CHI NHÁNH THỪA THIÊN HUẾ - CÔNG TY CỔ PHẦN DỊCH VỤ THƯƠNG MẠI TỔNG HỢP WINCOMMERCE</v>
      </c>
      <c r="G3156" s="16" t="str">
        <f>VLOOKUP(Table8[[#This Row],[Mã khách hàng]],code_khach_hang[],3,0)</f>
        <v>Miền Trung đặc biệt 1</v>
      </c>
      <c r="H3156" t="str">
        <f>VLOOKUP(Table8[[#This Row],[Mã khách hàng]],'Khách hàng'!A:D,4,0)</f>
        <v>Food Đức Việt</v>
      </c>
      <c r="I3156" t="str">
        <f>VLOOKUP(Table8[[#This Row],[Mã khách hàng]],'Khách hàng'!A:E,5,0)</f>
        <v>DNTG100</v>
      </c>
    </row>
    <row r="3157" spans="1:9">
      <c r="A3157" s="14" t="s">
        <v>11278</v>
      </c>
      <c r="B3157" s="15" t="s">
        <v>5</v>
      </c>
      <c r="C3157" s="16" t="s">
        <v>11536</v>
      </c>
      <c r="D3157" s="21" t="s">
        <v>11537</v>
      </c>
      <c r="E3157" s="15" t="s">
        <v>11444</v>
      </c>
      <c r="F3157" s="22" t="str">
        <f>VLOOKUP(Table8[[#This Row],[Mã khách hàng]],code_khach_hang[],2,0)</f>
        <v>CHI NHÁNH QUẢNG NAM - CÔNG TY CỔ PHẦN DỊCH VỤ THƯƠNG MẠI TỔNG HỢP WINCOMMERCE</v>
      </c>
      <c r="G3157" s="16" t="str">
        <f>VLOOKUP(Table8[[#This Row],[Mã khách hàng]],code_khach_hang[],3,0)</f>
        <v>Miền Trung đặc biệt 1</v>
      </c>
      <c r="H3157" t="str">
        <f>VLOOKUP(Table8[[#This Row],[Mã khách hàng]],'Khách hàng'!A:D,4,0)</f>
        <v>Food Đức Việt</v>
      </c>
      <c r="I3157" t="str">
        <f>VLOOKUP(Table8[[#This Row],[Mã khách hàng]],'Khách hàng'!A:E,5,0)</f>
        <v>DNTG100</v>
      </c>
    </row>
    <row r="3158" spans="1:9">
      <c r="A3158" s="14" t="s">
        <v>11279</v>
      </c>
      <c r="B3158" s="15" t="s">
        <v>5</v>
      </c>
      <c r="C3158" s="16" t="s">
        <v>11538</v>
      </c>
      <c r="D3158" s="21" t="s">
        <v>11539</v>
      </c>
      <c r="E3158" s="15" t="s">
        <v>11241</v>
      </c>
      <c r="F3158" s="22" t="str">
        <f>VLOOKUP(Table8[[#This Row],[Mã khách hàng]],code_khach_hang[],2,0)</f>
        <v>CHI NHÁNH BÌNH ĐỊNH - CÔNG TY CỔ PHẦN DỊCH VỤ THƯƠNG MẠI TỔNG HỢP WINCOMMERCE</v>
      </c>
      <c r="G3158" s="16" t="str">
        <f>VLOOKUP(Table8[[#This Row],[Mã khách hàng]],code_khach_hang[],3,0)</f>
        <v>Miền Trung đặc biệt 2</v>
      </c>
      <c r="H3158" t="str">
        <f>VLOOKUP(Table8[[#This Row],[Mã khách hàng]],'Khách hàng'!A:D,4,0)</f>
        <v>Food Đức Việt</v>
      </c>
      <c r="I3158" t="str">
        <f>VLOOKUP(Table8[[#This Row],[Mã khách hàng]],'Khách hàng'!A:E,5,0)</f>
        <v>QNTV50</v>
      </c>
    </row>
    <row r="3159" spans="1:9">
      <c r="A3159" s="14" t="s">
        <v>11280</v>
      </c>
      <c r="B3159" s="15" t="s">
        <v>5</v>
      </c>
      <c r="C3159" s="16" t="s">
        <v>11540</v>
      </c>
      <c r="D3159" s="21" t="s">
        <v>11541</v>
      </c>
      <c r="E3159" s="15" t="s">
        <v>11448</v>
      </c>
      <c r="F3159" s="22" t="str">
        <f>VLOOKUP(Table8[[#This Row],[Mã khách hàng]],code_khach_hang[],2,0)</f>
        <v>CHI NHÁNH KON TUM - CÔNG TY CỔ PHẦN DỊCH VỤ THƯƠNG MẠI TỔNG HỢP WINCOMMERCE</v>
      </c>
      <c r="G3159" s="16" t="str">
        <f>VLOOKUP(Table8[[#This Row],[Mã khách hàng]],code_khach_hang[],3,0)</f>
        <v>Miền Trung đặc biệt 2</v>
      </c>
      <c r="H3159" t="str">
        <f>VLOOKUP(Table8[[#This Row],[Mã khách hàng]],'Khách hàng'!A:D,4,0)</f>
        <v>Food Đức Việt</v>
      </c>
      <c r="I3159" t="str">
        <f>VLOOKUP(Table8[[#This Row],[Mã khách hàng]],'Khách hàng'!A:E,5,0)</f>
        <v>QNTV50</v>
      </c>
    </row>
    <row r="3160" spans="1:9">
      <c r="A3160" s="14" t="s">
        <v>11281</v>
      </c>
      <c r="B3160" s="15" t="s">
        <v>5</v>
      </c>
      <c r="C3160" s="16" t="s">
        <v>11542</v>
      </c>
      <c r="D3160" s="21" t="s">
        <v>11543</v>
      </c>
      <c r="E3160" s="15" t="s">
        <v>11447</v>
      </c>
      <c r="F3160" s="22" t="str">
        <f>VLOOKUP(Table8[[#This Row],[Mã khách hàng]],code_khach_hang[],2,0)</f>
        <v>CHI NHÁNH QUẢNG TRỊ - CÔNG TY CỔ PHẦN DỊCH VỤ THƯƠNG MẠI TỔNG HỢP WINCOMMERCE</v>
      </c>
      <c r="G3160" s="16" t="str">
        <f>VLOOKUP(Table8[[#This Row],[Mã khách hàng]],code_khach_hang[],3,0)</f>
        <v>Miền Trung đặc biệt 1</v>
      </c>
      <c r="H3160" t="str">
        <f>VLOOKUP(Table8[[#This Row],[Mã khách hàng]],'Khách hàng'!A:D,4,0)</f>
        <v>Food Đức Việt</v>
      </c>
      <c r="I3160" t="str">
        <f>VLOOKUP(Table8[[#This Row],[Mã khách hàng]],'Khách hàng'!A:E,5,0)</f>
        <v>DNTG100</v>
      </c>
    </row>
    <row r="3161" spans="1:9">
      <c r="A3161" s="14" t="s">
        <v>11282</v>
      </c>
      <c r="B3161" s="15" t="s">
        <v>5</v>
      </c>
      <c r="C3161" s="16" t="s">
        <v>11544</v>
      </c>
      <c r="D3161" s="21" t="s">
        <v>11545</v>
      </c>
      <c r="E3161" s="15" t="s">
        <v>11449</v>
      </c>
      <c r="F3161" s="22" t="str">
        <f>VLOOKUP(Table8[[#This Row],[Mã khách hàng]],code_khach_hang[],2,0)</f>
        <v>CHI NHÁNH QUẢNG NGÃI - CÔNG TY CỔ PHẦN DỊCH VỤ THƯƠNG MẠI TỔNG HỢP WINCOMMERCE</v>
      </c>
      <c r="G3161" s="16" t="str">
        <f>VLOOKUP(Table8[[#This Row],[Mã khách hàng]],code_khach_hang[],3,0)</f>
        <v>Miền Trung đặc biệt 1</v>
      </c>
      <c r="H3161" t="str">
        <f>VLOOKUP(Table8[[#This Row],[Mã khách hàng]],'Khách hàng'!A:D,4,0)</f>
        <v>Food Đức Việt</v>
      </c>
      <c r="I3161" t="str">
        <f>VLOOKUP(Table8[[#This Row],[Mã khách hàng]],'Khách hàng'!A:E,5,0)</f>
        <v>DNTG100</v>
      </c>
    </row>
    <row r="3162" spans="1:9">
      <c r="A3162" s="14" t="s">
        <v>11283</v>
      </c>
      <c r="B3162" s="15" t="s">
        <v>5</v>
      </c>
      <c r="C3162" s="16" t="s">
        <v>11546</v>
      </c>
      <c r="D3162" s="21" t="s">
        <v>11547</v>
      </c>
      <c r="E3162" s="15" t="s">
        <v>11446</v>
      </c>
      <c r="F3162" s="22" t="str">
        <f>VLOOKUP(Table8[[#This Row],[Mã khách hàng]],code_khach_hang[],2,0)</f>
        <v>CHI NHÁNH GIA LAI - CÔNG TY CỔ PHẦN DỊCH VỤ THƯƠNG MẠI TỔNG HỢP WINCOMMERCE</v>
      </c>
      <c r="G3162" s="16" t="str">
        <f>VLOOKUP(Table8[[#This Row],[Mã khách hàng]],code_khach_hang[],3,0)</f>
        <v>Miền Bắc đặc biệt 2</v>
      </c>
      <c r="H3162" t="str">
        <f>VLOOKUP(Table8[[#This Row],[Mã khách hàng]],'Khách hàng'!A:D,4,0)</f>
        <v>Food Đức Việt</v>
      </c>
      <c r="I3162" t="str">
        <f>VLOOKUP(Table8[[#This Row],[Mã khách hàng]],'Khách hàng'!A:E,5,0)</f>
        <v>QNTV50</v>
      </c>
    </row>
    <row r="3163" spans="1:9">
      <c r="A3163" s="14" t="s">
        <v>11284</v>
      </c>
      <c r="B3163" s="15" t="s">
        <v>5</v>
      </c>
      <c r="C3163" s="16" t="s">
        <v>11548</v>
      </c>
      <c r="D3163" s="21" t="s">
        <v>11549</v>
      </c>
      <c r="E3163" s="15" t="s">
        <v>11446</v>
      </c>
      <c r="F3163" s="22" t="str">
        <f>VLOOKUP(Table8[[#This Row],[Mã khách hàng]],code_khach_hang[],2,0)</f>
        <v>CHI NHÁNH GIA LAI - CÔNG TY CỔ PHẦN DỊCH VỤ THƯƠNG MẠI TỔNG HỢP WINCOMMERCE</v>
      </c>
      <c r="G3163" s="16" t="str">
        <f>VLOOKUP(Table8[[#This Row],[Mã khách hàng]],code_khach_hang[],3,0)</f>
        <v>Miền Bắc đặc biệt 2</v>
      </c>
      <c r="H3163" t="str">
        <f>VLOOKUP(Table8[[#This Row],[Mã khách hàng]],'Khách hàng'!A:D,4,0)</f>
        <v>Food Đức Việt</v>
      </c>
      <c r="I3163" t="str">
        <f>VLOOKUP(Table8[[#This Row],[Mã khách hàng]],'Khách hàng'!A:E,5,0)</f>
        <v>QNTV50</v>
      </c>
    </row>
    <row r="3164" spans="1:9">
      <c r="A3164" s="14" t="s">
        <v>11285</v>
      </c>
      <c r="B3164" s="15" t="s">
        <v>5</v>
      </c>
      <c r="C3164" s="16" t="s">
        <v>11550</v>
      </c>
      <c r="D3164" s="21" t="s">
        <v>11551</v>
      </c>
      <c r="E3164" s="15" t="s">
        <v>11241</v>
      </c>
      <c r="F3164" s="22" t="str">
        <f>VLOOKUP(Table8[[#This Row],[Mã khách hàng]],code_khach_hang[],2,0)</f>
        <v>CHI NHÁNH BÌNH ĐỊNH - CÔNG TY CỔ PHẦN DỊCH VỤ THƯƠNG MẠI TỔNG HỢP WINCOMMERCE</v>
      </c>
      <c r="G3164" s="16" t="str">
        <f>VLOOKUP(Table8[[#This Row],[Mã khách hàng]],code_khach_hang[],3,0)</f>
        <v>Miền Trung đặc biệt 2</v>
      </c>
      <c r="H3164" t="str">
        <f>VLOOKUP(Table8[[#This Row],[Mã khách hàng]],'Khách hàng'!A:D,4,0)</f>
        <v>Food Đức Việt</v>
      </c>
      <c r="I3164" t="str">
        <f>VLOOKUP(Table8[[#This Row],[Mã khách hàng]],'Khách hàng'!A:E,5,0)</f>
        <v>QNTV50</v>
      </c>
    </row>
    <row r="3165" spans="1:9">
      <c r="A3165" s="14" t="s">
        <v>11286</v>
      </c>
      <c r="B3165" s="15" t="s">
        <v>5</v>
      </c>
      <c r="C3165" s="16" t="s">
        <v>11552</v>
      </c>
      <c r="D3165" s="21" t="s">
        <v>11553</v>
      </c>
      <c r="E3165" s="15" t="s">
        <v>11445</v>
      </c>
      <c r="F3165" s="22" t="str">
        <f>VLOOKUP(Table8[[#This Row],[Mã khách hàng]],code_khach_hang[],2,0)</f>
        <v>CHI NHÁNH THỪA THIÊN HUẾ - CÔNG TY CỔ PHẦN DỊCH VỤ THƯƠNG MẠI TỔNG HỢP WINCOMMERCE</v>
      </c>
      <c r="G3165" s="16" t="str">
        <f>VLOOKUP(Table8[[#This Row],[Mã khách hàng]],code_khach_hang[],3,0)</f>
        <v>Miền Trung đặc biệt 1</v>
      </c>
      <c r="H3165" t="str">
        <f>VLOOKUP(Table8[[#This Row],[Mã khách hàng]],'Khách hàng'!A:D,4,0)</f>
        <v>Food Đức Việt</v>
      </c>
      <c r="I3165" t="str">
        <f>VLOOKUP(Table8[[#This Row],[Mã khách hàng]],'Khách hàng'!A:E,5,0)</f>
        <v>DNTG100</v>
      </c>
    </row>
    <row r="3166" spans="1:9">
      <c r="A3166" s="14" t="s">
        <v>11287</v>
      </c>
      <c r="B3166" s="15" t="s">
        <v>5</v>
      </c>
      <c r="C3166" s="16" t="s">
        <v>11554</v>
      </c>
      <c r="D3166" s="21" t="s">
        <v>11555</v>
      </c>
      <c r="E3166" s="15" t="s">
        <v>11443</v>
      </c>
      <c r="F3166" s="22" t="str">
        <f>VLOOKUP(Table8[[#This Row],[Mã khách hàng]],code_khach_hang[],2,0)</f>
        <v>CHI NHÁNH KHÁNH HÒA - CÔNG TY CỔ PHẦN DỊCH VỤ THƯƠNG MẠI TỔNG HỢP WINCOMMERCE</v>
      </c>
      <c r="G3166" s="16" t="str">
        <f>VLOOKUP(Table8[[#This Row],[Mã khách hàng]],code_khach_hang[],3,0)</f>
        <v>Miền Trung đặc biệt 2</v>
      </c>
      <c r="H3166" t="str">
        <f>VLOOKUP(Table8[[#This Row],[Mã khách hàng]],'Khách hàng'!A:D,4,0)</f>
        <v>Food Đức Việt</v>
      </c>
      <c r="I3166" t="str">
        <f>VLOOKUP(Table8[[#This Row],[Mã khách hàng]],'Khách hàng'!A:E,5,0)</f>
        <v>QNTV50</v>
      </c>
    </row>
    <row r="3167" spans="1:9">
      <c r="A3167" s="14" t="s">
        <v>11288</v>
      </c>
      <c r="B3167" s="15" t="s">
        <v>5</v>
      </c>
      <c r="C3167" s="16" t="s">
        <v>11556</v>
      </c>
      <c r="D3167" s="21" t="s">
        <v>11557</v>
      </c>
      <c r="E3167" s="15" t="s">
        <v>11445</v>
      </c>
      <c r="F3167" s="22" t="str">
        <f>VLOOKUP(Table8[[#This Row],[Mã khách hàng]],code_khach_hang[],2,0)</f>
        <v>CHI NHÁNH THỪA THIÊN HUẾ - CÔNG TY CỔ PHẦN DỊCH VỤ THƯƠNG MẠI TỔNG HỢP WINCOMMERCE</v>
      </c>
      <c r="G3167" s="16" t="str">
        <f>VLOOKUP(Table8[[#This Row],[Mã khách hàng]],code_khach_hang[],3,0)</f>
        <v>Miền Trung đặc biệt 1</v>
      </c>
      <c r="H3167" t="str">
        <f>VLOOKUP(Table8[[#This Row],[Mã khách hàng]],'Khách hàng'!A:D,4,0)</f>
        <v>Food Đức Việt</v>
      </c>
      <c r="I3167" t="str">
        <f>VLOOKUP(Table8[[#This Row],[Mã khách hàng]],'Khách hàng'!A:E,5,0)</f>
        <v>DNTG100</v>
      </c>
    </row>
    <row r="3168" spans="1:9">
      <c r="A3168" s="14" t="s">
        <v>11289</v>
      </c>
      <c r="B3168" s="15" t="s">
        <v>5</v>
      </c>
      <c r="C3168" s="16" t="s">
        <v>11558</v>
      </c>
      <c r="D3168" s="21" t="s">
        <v>11559</v>
      </c>
      <c r="E3168" s="15" t="s">
        <v>11449</v>
      </c>
      <c r="F3168" s="22" t="str">
        <f>VLOOKUP(Table8[[#This Row],[Mã khách hàng]],code_khach_hang[],2,0)</f>
        <v>CHI NHÁNH QUẢNG NGÃI - CÔNG TY CỔ PHẦN DỊCH VỤ THƯƠNG MẠI TỔNG HỢP WINCOMMERCE</v>
      </c>
      <c r="G3168" s="16" t="str">
        <f>VLOOKUP(Table8[[#This Row],[Mã khách hàng]],code_khach_hang[],3,0)</f>
        <v>Miền Trung đặc biệt 1</v>
      </c>
      <c r="H3168" t="str">
        <f>VLOOKUP(Table8[[#This Row],[Mã khách hàng]],'Khách hàng'!A:D,4,0)</f>
        <v>Food Đức Việt</v>
      </c>
      <c r="I3168" t="str">
        <f>VLOOKUP(Table8[[#This Row],[Mã khách hàng]],'Khách hàng'!A:E,5,0)</f>
        <v>DNTG100</v>
      </c>
    </row>
    <row r="3169" spans="1:9">
      <c r="A3169" s="14" t="s">
        <v>11290</v>
      </c>
      <c r="B3169" s="15" t="s">
        <v>5</v>
      </c>
      <c r="C3169" s="16" t="s">
        <v>11560</v>
      </c>
      <c r="D3169" s="21" t="s">
        <v>11561</v>
      </c>
      <c r="E3169" s="15" t="s">
        <v>11442</v>
      </c>
      <c r="F3169" s="22" t="str">
        <f>VLOOKUP(Table8[[#This Row],[Mã khách hàng]],code_khach_hang[],2,0)</f>
        <v>CHI NHÁNH ĐÀ NẴNG - CÔNG TY CỔ PHẦN DỊCH VỤ THƯƠNG MẠI TỔNG HỢP WINCOMMERCE</v>
      </c>
      <c r="G3169" s="16" t="str">
        <f>VLOOKUP(Table8[[#This Row],[Mã khách hàng]],code_khach_hang[],3,0)</f>
        <v>Miền Trung đặc biệt 1</v>
      </c>
      <c r="H3169" t="str">
        <f>VLOOKUP(Table8[[#This Row],[Mã khách hàng]],'Khách hàng'!A:D,4,0)</f>
        <v>Food Đức Việt</v>
      </c>
      <c r="I3169" t="str">
        <f>VLOOKUP(Table8[[#This Row],[Mã khách hàng]],'Khách hàng'!A:E,5,0)</f>
        <v>DNTG100</v>
      </c>
    </row>
    <row r="3170" spans="1:9">
      <c r="A3170" s="14" t="s">
        <v>11291</v>
      </c>
      <c r="B3170" s="15" t="s">
        <v>5</v>
      </c>
      <c r="C3170" s="16" t="s">
        <v>11562</v>
      </c>
      <c r="D3170" s="21" t="s">
        <v>11563</v>
      </c>
      <c r="E3170" s="15" t="s">
        <v>11447</v>
      </c>
      <c r="F3170" s="22" t="str">
        <f>VLOOKUP(Table8[[#This Row],[Mã khách hàng]],code_khach_hang[],2,0)</f>
        <v>CHI NHÁNH QUẢNG TRỊ - CÔNG TY CỔ PHẦN DỊCH VỤ THƯƠNG MẠI TỔNG HỢP WINCOMMERCE</v>
      </c>
      <c r="G3170" s="16" t="str">
        <f>VLOOKUP(Table8[[#This Row],[Mã khách hàng]],code_khach_hang[],3,0)</f>
        <v>Miền Trung đặc biệt 1</v>
      </c>
      <c r="H3170" t="str">
        <f>VLOOKUP(Table8[[#This Row],[Mã khách hàng]],'Khách hàng'!A:D,4,0)</f>
        <v>Food Đức Việt</v>
      </c>
      <c r="I3170" t="str">
        <f>VLOOKUP(Table8[[#This Row],[Mã khách hàng]],'Khách hàng'!A:E,5,0)</f>
        <v>DNTG100</v>
      </c>
    </row>
    <row r="3171" spans="1:9">
      <c r="A3171" s="14" t="s">
        <v>11292</v>
      </c>
      <c r="B3171" s="15" t="s">
        <v>5</v>
      </c>
      <c r="C3171" s="16" t="s">
        <v>11564</v>
      </c>
      <c r="D3171" s="21" t="s">
        <v>11565</v>
      </c>
      <c r="E3171" s="15" t="s">
        <v>11444</v>
      </c>
      <c r="F3171" s="22" t="str">
        <f>VLOOKUP(Table8[[#This Row],[Mã khách hàng]],code_khach_hang[],2,0)</f>
        <v>CHI NHÁNH QUẢNG NAM - CÔNG TY CỔ PHẦN DỊCH VỤ THƯƠNG MẠI TỔNG HỢP WINCOMMERCE</v>
      </c>
      <c r="G3171" s="16" t="str">
        <f>VLOOKUP(Table8[[#This Row],[Mã khách hàng]],code_khach_hang[],3,0)</f>
        <v>Miền Trung đặc biệt 1</v>
      </c>
      <c r="H3171" t="str">
        <f>VLOOKUP(Table8[[#This Row],[Mã khách hàng]],'Khách hàng'!A:D,4,0)</f>
        <v>Food Đức Việt</v>
      </c>
      <c r="I3171" t="str">
        <f>VLOOKUP(Table8[[#This Row],[Mã khách hàng]],'Khách hàng'!A:E,5,0)</f>
        <v>DNTG100</v>
      </c>
    </row>
    <row r="3172" spans="1:9">
      <c r="A3172" s="14" t="s">
        <v>11293</v>
      </c>
      <c r="B3172" s="15" t="s">
        <v>5</v>
      </c>
      <c r="C3172" s="16" t="s">
        <v>11566</v>
      </c>
      <c r="D3172" s="21" t="s">
        <v>11567</v>
      </c>
      <c r="E3172" s="15" t="s">
        <v>11442</v>
      </c>
      <c r="F3172" s="22" t="str">
        <f>VLOOKUP(Table8[[#This Row],[Mã khách hàng]],code_khach_hang[],2,0)</f>
        <v>CHI NHÁNH ĐÀ NẴNG - CÔNG TY CỔ PHẦN DỊCH VỤ THƯƠNG MẠI TỔNG HỢP WINCOMMERCE</v>
      </c>
      <c r="G3172" s="16" t="str">
        <f>VLOOKUP(Table8[[#This Row],[Mã khách hàng]],code_khach_hang[],3,0)</f>
        <v>Miền Trung đặc biệt 1</v>
      </c>
      <c r="H3172" t="str">
        <f>VLOOKUP(Table8[[#This Row],[Mã khách hàng]],'Khách hàng'!A:D,4,0)</f>
        <v>Food Đức Việt</v>
      </c>
      <c r="I3172" t="str">
        <f>VLOOKUP(Table8[[#This Row],[Mã khách hàng]],'Khách hàng'!A:E,5,0)</f>
        <v>DNTG100</v>
      </c>
    </row>
    <row r="3173" spans="1:9">
      <c r="A3173" s="14" t="s">
        <v>11294</v>
      </c>
      <c r="B3173" s="15" t="s">
        <v>5</v>
      </c>
      <c r="C3173" s="16" t="s">
        <v>11568</v>
      </c>
      <c r="D3173" s="21" t="s">
        <v>11569</v>
      </c>
      <c r="E3173" s="15" t="s">
        <v>11442</v>
      </c>
      <c r="F3173" s="22" t="str">
        <f>VLOOKUP(Table8[[#This Row],[Mã khách hàng]],code_khach_hang[],2,0)</f>
        <v>CHI NHÁNH ĐÀ NẴNG - CÔNG TY CỔ PHẦN DỊCH VỤ THƯƠNG MẠI TỔNG HỢP WINCOMMERCE</v>
      </c>
      <c r="G3173" s="16" t="str">
        <f>VLOOKUP(Table8[[#This Row],[Mã khách hàng]],code_khach_hang[],3,0)</f>
        <v>Miền Trung đặc biệt 1</v>
      </c>
      <c r="H3173" t="str">
        <f>VLOOKUP(Table8[[#This Row],[Mã khách hàng]],'Khách hàng'!A:D,4,0)</f>
        <v>Food Đức Việt</v>
      </c>
      <c r="I3173" t="str">
        <f>VLOOKUP(Table8[[#This Row],[Mã khách hàng]],'Khách hàng'!A:E,5,0)</f>
        <v>DNTG100</v>
      </c>
    </row>
    <row r="3174" spans="1:9">
      <c r="A3174" s="14" t="s">
        <v>11295</v>
      </c>
      <c r="B3174" s="15" t="s">
        <v>5</v>
      </c>
      <c r="C3174" s="16" t="s">
        <v>11570</v>
      </c>
      <c r="D3174" s="21" t="s">
        <v>11571</v>
      </c>
      <c r="E3174" s="15" t="s">
        <v>11442</v>
      </c>
      <c r="F3174" s="22" t="str">
        <f>VLOOKUP(Table8[[#This Row],[Mã khách hàng]],code_khach_hang[],2,0)</f>
        <v>CHI NHÁNH ĐÀ NẴNG - CÔNG TY CỔ PHẦN DỊCH VỤ THƯƠNG MẠI TỔNG HỢP WINCOMMERCE</v>
      </c>
      <c r="G3174" s="16" t="str">
        <f>VLOOKUP(Table8[[#This Row],[Mã khách hàng]],code_khach_hang[],3,0)</f>
        <v>Miền Trung đặc biệt 1</v>
      </c>
      <c r="H3174" t="str">
        <f>VLOOKUP(Table8[[#This Row],[Mã khách hàng]],'Khách hàng'!A:D,4,0)</f>
        <v>Food Đức Việt</v>
      </c>
      <c r="I3174" t="str">
        <f>VLOOKUP(Table8[[#This Row],[Mã khách hàng]],'Khách hàng'!A:E,5,0)</f>
        <v>DNTG100</v>
      </c>
    </row>
    <row r="3175" spans="1:9">
      <c r="A3175" s="14" t="s">
        <v>11296</v>
      </c>
      <c r="B3175" s="15" t="s">
        <v>5</v>
      </c>
      <c r="C3175" s="16" t="s">
        <v>11572</v>
      </c>
      <c r="D3175" s="21" t="s">
        <v>11573</v>
      </c>
      <c r="E3175" s="15" t="s">
        <v>11447</v>
      </c>
      <c r="F3175" s="22" t="str">
        <f>VLOOKUP(Table8[[#This Row],[Mã khách hàng]],code_khach_hang[],2,0)</f>
        <v>CHI NHÁNH QUẢNG TRỊ - CÔNG TY CỔ PHẦN DỊCH VỤ THƯƠNG MẠI TỔNG HỢP WINCOMMERCE</v>
      </c>
      <c r="G3175" s="16" t="str">
        <f>VLOOKUP(Table8[[#This Row],[Mã khách hàng]],code_khach_hang[],3,0)</f>
        <v>Miền Trung đặc biệt 1</v>
      </c>
      <c r="H3175" t="str">
        <f>VLOOKUP(Table8[[#This Row],[Mã khách hàng]],'Khách hàng'!A:D,4,0)</f>
        <v>Food Đức Việt</v>
      </c>
      <c r="I3175" t="str">
        <f>VLOOKUP(Table8[[#This Row],[Mã khách hàng]],'Khách hàng'!A:E,5,0)</f>
        <v>DNTG100</v>
      </c>
    </row>
    <row r="3176" spans="1:9">
      <c r="A3176" s="14" t="s">
        <v>11297</v>
      </c>
      <c r="B3176" s="15" t="s">
        <v>5</v>
      </c>
      <c r="C3176" s="16" t="s">
        <v>11574</v>
      </c>
      <c r="D3176" s="21" t="s">
        <v>11575</v>
      </c>
      <c r="E3176" s="15" t="s">
        <v>11447</v>
      </c>
      <c r="F3176" s="22" t="str">
        <f>VLOOKUP(Table8[[#This Row],[Mã khách hàng]],code_khach_hang[],2,0)</f>
        <v>CHI NHÁNH QUẢNG TRỊ - CÔNG TY CỔ PHẦN DỊCH VỤ THƯƠNG MẠI TỔNG HỢP WINCOMMERCE</v>
      </c>
      <c r="G3176" s="16" t="str">
        <f>VLOOKUP(Table8[[#This Row],[Mã khách hàng]],code_khach_hang[],3,0)</f>
        <v>Miền Trung đặc biệt 1</v>
      </c>
      <c r="H3176" t="str">
        <f>VLOOKUP(Table8[[#This Row],[Mã khách hàng]],'Khách hàng'!A:D,4,0)</f>
        <v>Food Đức Việt</v>
      </c>
      <c r="I3176" t="str">
        <f>VLOOKUP(Table8[[#This Row],[Mã khách hàng]],'Khách hàng'!A:E,5,0)</f>
        <v>DNTG100</v>
      </c>
    </row>
    <row r="3177" spans="1:9">
      <c r="A3177" s="14" t="s">
        <v>11298</v>
      </c>
      <c r="B3177" s="15" t="s">
        <v>5</v>
      </c>
      <c r="C3177" s="16" t="s">
        <v>11576</v>
      </c>
      <c r="D3177" s="21" t="s">
        <v>11577</v>
      </c>
      <c r="E3177" s="15" t="s">
        <v>11447</v>
      </c>
      <c r="F3177" s="22" t="str">
        <f>VLOOKUP(Table8[[#This Row],[Mã khách hàng]],code_khach_hang[],2,0)</f>
        <v>CHI NHÁNH QUẢNG TRỊ - CÔNG TY CỔ PHẦN DỊCH VỤ THƯƠNG MẠI TỔNG HỢP WINCOMMERCE</v>
      </c>
      <c r="G3177" s="16" t="str">
        <f>VLOOKUP(Table8[[#This Row],[Mã khách hàng]],code_khach_hang[],3,0)</f>
        <v>Miền Trung đặc biệt 1</v>
      </c>
      <c r="H3177" t="str">
        <f>VLOOKUP(Table8[[#This Row],[Mã khách hàng]],'Khách hàng'!A:D,4,0)</f>
        <v>Food Đức Việt</v>
      </c>
      <c r="I3177" t="str">
        <f>VLOOKUP(Table8[[#This Row],[Mã khách hàng]],'Khách hàng'!A:E,5,0)</f>
        <v>DNTG100</v>
      </c>
    </row>
    <row r="3178" spans="1:9">
      <c r="A3178" s="14" t="s">
        <v>11299</v>
      </c>
      <c r="B3178" s="15" t="s">
        <v>5</v>
      </c>
      <c r="C3178" s="16" t="s">
        <v>11578</v>
      </c>
      <c r="D3178" s="21" t="s">
        <v>11579</v>
      </c>
      <c r="E3178" s="15" t="s">
        <v>11442</v>
      </c>
      <c r="F3178" s="22" t="str">
        <f>VLOOKUP(Table8[[#This Row],[Mã khách hàng]],code_khach_hang[],2,0)</f>
        <v>CHI NHÁNH ĐÀ NẴNG - CÔNG TY CỔ PHẦN DỊCH VỤ THƯƠNG MẠI TỔNG HỢP WINCOMMERCE</v>
      </c>
      <c r="G3178" s="16" t="str">
        <f>VLOOKUP(Table8[[#This Row],[Mã khách hàng]],code_khach_hang[],3,0)</f>
        <v>Miền Trung đặc biệt 1</v>
      </c>
      <c r="H3178" t="str">
        <f>VLOOKUP(Table8[[#This Row],[Mã khách hàng]],'Khách hàng'!A:D,4,0)</f>
        <v>Food Đức Việt</v>
      </c>
      <c r="I3178" t="str">
        <f>VLOOKUP(Table8[[#This Row],[Mã khách hàng]],'Khách hàng'!A:E,5,0)</f>
        <v>DNTG100</v>
      </c>
    </row>
    <row r="3179" spans="1:9">
      <c r="A3179" s="14" t="s">
        <v>11300</v>
      </c>
      <c r="B3179" s="15" t="s">
        <v>5</v>
      </c>
      <c r="C3179" s="16" t="s">
        <v>11580</v>
      </c>
      <c r="D3179" s="21" t="s">
        <v>11581</v>
      </c>
      <c r="E3179" s="15" t="s">
        <v>11444</v>
      </c>
      <c r="F3179" s="22" t="str">
        <f>VLOOKUP(Table8[[#This Row],[Mã khách hàng]],code_khach_hang[],2,0)</f>
        <v>CHI NHÁNH QUẢNG NAM - CÔNG TY CỔ PHẦN DỊCH VỤ THƯƠNG MẠI TỔNG HỢP WINCOMMERCE</v>
      </c>
      <c r="G3179" s="16" t="str">
        <f>VLOOKUP(Table8[[#This Row],[Mã khách hàng]],code_khach_hang[],3,0)</f>
        <v>Miền Trung đặc biệt 1</v>
      </c>
      <c r="H3179" t="str">
        <f>VLOOKUP(Table8[[#This Row],[Mã khách hàng]],'Khách hàng'!A:D,4,0)</f>
        <v>Food Đức Việt</v>
      </c>
      <c r="I3179" t="str">
        <f>VLOOKUP(Table8[[#This Row],[Mã khách hàng]],'Khách hàng'!A:E,5,0)</f>
        <v>DNTG100</v>
      </c>
    </row>
    <row r="3180" spans="1:9">
      <c r="A3180" s="14" t="s">
        <v>11301</v>
      </c>
      <c r="B3180" s="15" t="s">
        <v>5</v>
      </c>
      <c r="C3180" s="16" t="s">
        <v>11582</v>
      </c>
      <c r="D3180" s="21" t="s">
        <v>11583</v>
      </c>
      <c r="E3180" s="15" t="s">
        <v>11442</v>
      </c>
      <c r="F3180" s="22" t="str">
        <f>VLOOKUP(Table8[[#This Row],[Mã khách hàng]],code_khach_hang[],2,0)</f>
        <v>CHI NHÁNH ĐÀ NẴNG - CÔNG TY CỔ PHẦN DỊCH VỤ THƯƠNG MẠI TỔNG HỢP WINCOMMERCE</v>
      </c>
      <c r="G3180" s="16" t="str">
        <f>VLOOKUP(Table8[[#This Row],[Mã khách hàng]],code_khach_hang[],3,0)</f>
        <v>Miền Trung đặc biệt 1</v>
      </c>
      <c r="H3180" t="str">
        <f>VLOOKUP(Table8[[#This Row],[Mã khách hàng]],'Khách hàng'!A:D,4,0)</f>
        <v>Food Đức Việt</v>
      </c>
      <c r="I3180" t="str">
        <f>VLOOKUP(Table8[[#This Row],[Mã khách hàng]],'Khách hàng'!A:E,5,0)</f>
        <v>DNTG100</v>
      </c>
    </row>
    <row r="3181" spans="1:9">
      <c r="A3181" s="14" t="s">
        <v>11302</v>
      </c>
      <c r="B3181" s="15" t="s">
        <v>5</v>
      </c>
      <c r="C3181" s="16" t="s">
        <v>11584</v>
      </c>
      <c r="D3181" s="21" t="s">
        <v>11585</v>
      </c>
      <c r="E3181" s="15" t="s">
        <v>11442</v>
      </c>
      <c r="F3181" s="22" t="str">
        <f>VLOOKUP(Table8[[#This Row],[Mã khách hàng]],code_khach_hang[],2,0)</f>
        <v>CHI NHÁNH ĐÀ NẴNG - CÔNG TY CỔ PHẦN DỊCH VỤ THƯƠNG MẠI TỔNG HỢP WINCOMMERCE</v>
      </c>
      <c r="G3181" s="16" t="str">
        <f>VLOOKUP(Table8[[#This Row],[Mã khách hàng]],code_khach_hang[],3,0)</f>
        <v>Miền Trung đặc biệt 1</v>
      </c>
      <c r="H3181" t="str">
        <f>VLOOKUP(Table8[[#This Row],[Mã khách hàng]],'Khách hàng'!A:D,4,0)</f>
        <v>Food Đức Việt</v>
      </c>
      <c r="I3181" t="str">
        <f>VLOOKUP(Table8[[#This Row],[Mã khách hàng]],'Khách hàng'!A:E,5,0)</f>
        <v>DNTG100</v>
      </c>
    </row>
    <row r="3182" spans="1:9">
      <c r="A3182" s="14" t="s">
        <v>11303</v>
      </c>
      <c r="B3182" s="15" t="s">
        <v>5</v>
      </c>
      <c r="C3182" s="16" t="s">
        <v>11586</v>
      </c>
      <c r="D3182" s="21" t="s">
        <v>11587</v>
      </c>
      <c r="E3182" s="15" t="s">
        <v>11442</v>
      </c>
      <c r="F3182" s="22" t="str">
        <f>VLOOKUP(Table8[[#This Row],[Mã khách hàng]],code_khach_hang[],2,0)</f>
        <v>CHI NHÁNH ĐÀ NẴNG - CÔNG TY CỔ PHẦN DỊCH VỤ THƯƠNG MẠI TỔNG HỢP WINCOMMERCE</v>
      </c>
      <c r="G3182" s="16" t="str">
        <f>VLOOKUP(Table8[[#This Row],[Mã khách hàng]],code_khach_hang[],3,0)</f>
        <v>Miền Trung đặc biệt 1</v>
      </c>
      <c r="H3182" t="str">
        <f>VLOOKUP(Table8[[#This Row],[Mã khách hàng]],'Khách hàng'!A:D,4,0)</f>
        <v>Food Đức Việt</v>
      </c>
      <c r="I3182" t="str">
        <f>VLOOKUP(Table8[[#This Row],[Mã khách hàng]],'Khách hàng'!A:E,5,0)</f>
        <v>DNTG100</v>
      </c>
    </row>
    <row r="3183" spans="1:9">
      <c r="A3183" s="14" t="s">
        <v>11304</v>
      </c>
      <c r="B3183" s="15" t="s">
        <v>5</v>
      </c>
      <c r="C3183" s="16" t="s">
        <v>11588</v>
      </c>
      <c r="D3183" s="21" t="s">
        <v>11589</v>
      </c>
      <c r="E3183" s="15" t="s">
        <v>11442</v>
      </c>
      <c r="F3183" s="22" t="str">
        <f>VLOOKUP(Table8[[#This Row],[Mã khách hàng]],code_khach_hang[],2,0)</f>
        <v>CHI NHÁNH ĐÀ NẴNG - CÔNG TY CỔ PHẦN DỊCH VỤ THƯƠNG MẠI TỔNG HỢP WINCOMMERCE</v>
      </c>
      <c r="G3183" s="16" t="str">
        <f>VLOOKUP(Table8[[#This Row],[Mã khách hàng]],code_khach_hang[],3,0)</f>
        <v>Miền Trung đặc biệt 1</v>
      </c>
      <c r="H3183" t="str">
        <f>VLOOKUP(Table8[[#This Row],[Mã khách hàng]],'Khách hàng'!A:D,4,0)</f>
        <v>Food Đức Việt</v>
      </c>
      <c r="I3183" t="str">
        <f>VLOOKUP(Table8[[#This Row],[Mã khách hàng]],'Khách hàng'!A:E,5,0)</f>
        <v>DNTG100</v>
      </c>
    </row>
    <row r="3184" spans="1:9">
      <c r="A3184" s="14" t="s">
        <v>11305</v>
      </c>
      <c r="B3184" s="15" t="s">
        <v>5</v>
      </c>
      <c r="C3184" s="16" t="s">
        <v>11590</v>
      </c>
      <c r="D3184" s="21" t="s">
        <v>11591</v>
      </c>
      <c r="E3184" s="15" t="s">
        <v>11442</v>
      </c>
      <c r="F3184" s="22" t="str">
        <f>VLOOKUP(Table8[[#This Row],[Mã khách hàng]],code_khach_hang[],2,0)</f>
        <v>CHI NHÁNH ĐÀ NẴNG - CÔNG TY CỔ PHẦN DỊCH VỤ THƯƠNG MẠI TỔNG HỢP WINCOMMERCE</v>
      </c>
      <c r="G3184" s="16" t="str">
        <f>VLOOKUP(Table8[[#This Row],[Mã khách hàng]],code_khach_hang[],3,0)</f>
        <v>Miền Trung đặc biệt 1</v>
      </c>
      <c r="H3184" t="str">
        <f>VLOOKUP(Table8[[#This Row],[Mã khách hàng]],'Khách hàng'!A:D,4,0)</f>
        <v>Food Đức Việt</v>
      </c>
      <c r="I3184" t="str">
        <f>VLOOKUP(Table8[[#This Row],[Mã khách hàng]],'Khách hàng'!A:E,5,0)</f>
        <v>DNTG100</v>
      </c>
    </row>
    <row r="3185" spans="1:9">
      <c r="A3185" s="14" t="s">
        <v>11306</v>
      </c>
      <c r="B3185" s="15" t="s">
        <v>5</v>
      </c>
      <c r="C3185" s="16" t="s">
        <v>11592</v>
      </c>
      <c r="D3185" s="21" t="s">
        <v>11593</v>
      </c>
      <c r="E3185" s="15" t="s">
        <v>11446</v>
      </c>
      <c r="F3185" s="22" t="str">
        <f>VLOOKUP(Table8[[#This Row],[Mã khách hàng]],code_khach_hang[],2,0)</f>
        <v>CHI NHÁNH GIA LAI - CÔNG TY CỔ PHẦN DỊCH VỤ THƯƠNG MẠI TỔNG HỢP WINCOMMERCE</v>
      </c>
      <c r="G3185" s="16" t="str">
        <f>VLOOKUP(Table8[[#This Row],[Mã khách hàng]],code_khach_hang[],3,0)</f>
        <v>Miền Bắc đặc biệt 2</v>
      </c>
      <c r="H3185" t="str">
        <f>VLOOKUP(Table8[[#This Row],[Mã khách hàng]],'Khách hàng'!A:D,4,0)</f>
        <v>Food Đức Việt</v>
      </c>
      <c r="I3185" t="str">
        <f>VLOOKUP(Table8[[#This Row],[Mã khách hàng]],'Khách hàng'!A:E,5,0)</f>
        <v>QNTV50</v>
      </c>
    </row>
    <row r="3186" spans="1:9">
      <c r="A3186" s="14" t="s">
        <v>11307</v>
      </c>
      <c r="B3186" s="15" t="s">
        <v>5</v>
      </c>
      <c r="C3186" s="16" t="s">
        <v>11594</v>
      </c>
      <c r="D3186" s="21" t="s">
        <v>11595</v>
      </c>
      <c r="E3186" s="15" t="s">
        <v>11446</v>
      </c>
      <c r="F3186" s="22" t="str">
        <f>VLOOKUP(Table8[[#This Row],[Mã khách hàng]],code_khach_hang[],2,0)</f>
        <v>CHI NHÁNH GIA LAI - CÔNG TY CỔ PHẦN DỊCH VỤ THƯƠNG MẠI TỔNG HỢP WINCOMMERCE</v>
      </c>
      <c r="G3186" s="16" t="str">
        <f>VLOOKUP(Table8[[#This Row],[Mã khách hàng]],code_khach_hang[],3,0)</f>
        <v>Miền Bắc đặc biệt 2</v>
      </c>
      <c r="H3186" t="str">
        <f>VLOOKUP(Table8[[#This Row],[Mã khách hàng]],'Khách hàng'!A:D,4,0)</f>
        <v>Food Đức Việt</v>
      </c>
      <c r="I3186" t="str">
        <f>VLOOKUP(Table8[[#This Row],[Mã khách hàng]],'Khách hàng'!A:E,5,0)</f>
        <v>QNTV50</v>
      </c>
    </row>
    <row r="3187" spans="1:9">
      <c r="A3187" s="14" t="s">
        <v>11308</v>
      </c>
      <c r="B3187" s="15" t="s">
        <v>5</v>
      </c>
      <c r="C3187" s="16" t="s">
        <v>11596</v>
      </c>
      <c r="D3187" s="21" t="s">
        <v>11597</v>
      </c>
      <c r="E3187" s="15" t="s">
        <v>11442</v>
      </c>
      <c r="F3187" s="22" t="str">
        <f>VLOOKUP(Table8[[#This Row],[Mã khách hàng]],code_khach_hang[],2,0)</f>
        <v>CHI NHÁNH ĐÀ NẴNG - CÔNG TY CỔ PHẦN DỊCH VỤ THƯƠNG MẠI TỔNG HỢP WINCOMMERCE</v>
      </c>
      <c r="G3187" s="16" t="str">
        <f>VLOOKUP(Table8[[#This Row],[Mã khách hàng]],code_khach_hang[],3,0)</f>
        <v>Miền Trung đặc biệt 1</v>
      </c>
      <c r="H3187" t="str">
        <f>VLOOKUP(Table8[[#This Row],[Mã khách hàng]],'Khách hàng'!A:D,4,0)</f>
        <v>Food Đức Việt</v>
      </c>
      <c r="I3187" t="str">
        <f>VLOOKUP(Table8[[#This Row],[Mã khách hàng]],'Khách hàng'!A:E,5,0)</f>
        <v>DNTG100</v>
      </c>
    </row>
    <row r="3188" spans="1:9">
      <c r="A3188" s="14" t="s">
        <v>11309</v>
      </c>
      <c r="B3188" s="15" t="s">
        <v>5</v>
      </c>
      <c r="C3188" s="16" t="s">
        <v>11598</v>
      </c>
      <c r="D3188" s="21" t="s">
        <v>11599</v>
      </c>
      <c r="E3188" s="15" t="s">
        <v>11442</v>
      </c>
      <c r="F3188" s="22" t="str">
        <f>VLOOKUP(Table8[[#This Row],[Mã khách hàng]],code_khach_hang[],2,0)</f>
        <v>CHI NHÁNH ĐÀ NẴNG - CÔNG TY CỔ PHẦN DỊCH VỤ THƯƠNG MẠI TỔNG HỢP WINCOMMERCE</v>
      </c>
      <c r="G3188" s="16" t="str">
        <f>VLOOKUP(Table8[[#This Row],[Mã khách hàng]],code_khach_hang[],3,0)</f>
        <v>Miền Trung đặc biệt 1</v>
      </c>
      <c r="H3188" t="str">
        <f>VLOOKUP(Table8[[#This Row],[Mã khách hàng]],'Khách hàng'!A:D,4,0)</f>
        <v>Food Đức Việt</v>
      </c>
      <c r="I3188" t="str">
        <f>VLOOKUP(Table8[[#This Row],[Mã khách hàng]],'Khách hàng'!A:E,5,0)</f>
        <v>DNTG100</v>
      </c>
    </row>
    <row r="3189" spans="1:9">
      <c r="A3189" s="14" t="s">
        <v>11310</v>
      </c>
      <c r="B3189" s="15" t="s">
        <v>5</v>
      </c>
      <c r="C3189" s="16" t="s">
        <v>11600</v>
      </c>
      <c r="D3189" s="21" t="s">
        <v>11601</v>
      </c>
      <c r="E3189" s="15" t="s">
        <v>11442</v>
      </c>
      <c r="F3189" s="22" t="str">
        <f>VLOOKUP(Table8[[#This Row],[Mã khách hàng]],code_khach_hang[],2,0)</f>
        <v>CHI NHÁNH ĐÀ NẴNG - CÔNG TY CỔ PHẦN DỊCH VỤ THƯƠNG MẠI TỔNG HỢP WINCOMMERCE</v>
      </c>
      <c r="G3189" s="16" t="str">
        <f>VLOOKUP(Table8[[#This Row],[Mã khách hàng]],code_khach_hang[],3,0)</f>
        <v>Miền Trung đặc biệt 1</v>
      </c>
      <c r="H3189" t="str">
        <f>VLOOKUP(Table8[[#This Row],[Mã khách hàng]],'Khách hàng'!A:D,4,0)</f>
        <v>Food Đức Việt</v>
      </c>
      <c r="I3189" t="str">
        <f>VLOOKUP(Table8[[#This Row],[Mã khách hàng]],'Khách hàng'!A:E,5,0)</f>
        <v>DNTG100</v>
      </c>
    </row>
    <row r="3190" spans="1:9">
      <c r="A3190" s="14" t="s">
        <v>11311</v>
      </c>
      <c r="B3190" s="15" t="s">
        <v>5</v>
      </c>
      <c r="C3190" s="16" t="s">
        <v>11602</v>
      </c>
      <c r="D3190" s="21" t="s">
        <v>11603</v>
      </c>
      <c r="E3190" s="15" t="s">
        <v>11450</v>
      </c>
      <c r="F3190" s="22" t="str">
        <f>VLOOKUP(Table8[[#This Row],[Mã khách hàng]],code_khach_hang[],2,0)</f>
        <v>CHI NHÁNH ĐẮK LẮK - CÔNG TY CỔ PHẦN DỊCH VỤ THƯƠNG MẠI TỔNG HỢP WINCOMMERCE</v>
      </c>
      <c r="G3190" s="16" t="str">
        <f>VLOOKUP(Table8[[#This Row],[Mã khách hàng]],code_khach_hang[],3,0)</f>
        <v>Miền Trung đặc biệt 2</v>
      </c>
      <c r="H3190" t="str">
        <f>VLOOKUP(Table8[[#This Row],[Mã khách hàng]],'Khách hàng'!A:D,4,0)</f>
        <v>Food Đức Việt</v>
      </c>
      <c r="I3190" t="str">
        <f>VLOOKUP(Table8[[#This Row],[Mã khách hàng]],'Khách hàng'!A:E,5,0)</f>
        <v>QNTV50</v>
      </c>
    </row>
    <row r="3191" spans="1:9">
      <c r="A3191" s="14" t="s">
        <v>11312</v>
      </c>
      <c r="B3191" s="15" t="s">
        <v>5</v>
      </c>
      <c r="C3191" s="16" t="s">
        <v>11604</v>
      </c>
      <c r="D3191" s="21" t="s">
        <v>11605</v>
      </c>
      <c r="E3191" s="15" t="s">
        <v>11444</v>
      </c>
      <c r="F3191" s="22" t="str">
        <f>VLOOKUP(Table8[[#This Row],[Mã khách hàng]],code_khach_hang[],2,0)</f>
        <v>CHI NHÁNH QUẢNG NAM - CÔNG TY CỔ PHẦN DỊCH VỤ THƯƠNG MẠI TỔNG HỢP WINCOMMERCE</v>
      </c>
      <c r="G3191" s="16" t="str">
        <f>VLOOKUP(Table8[[#This Row],[Mã khách hàng]],code_khach_hang[],3,0)</f>
        <v>Miền Trung đặc biệt 1</v>
      </c>
      <c r="H3191" t="str">
        <f>VLOOKUP(Table8[[#This Row],[Mã khách hàng]],'Khách hàng'!A:D,4,0)</f>
        <v>Food Đức Việt</v>
      </c>
      <c r="I3191" t="str">
        <f>VLOOKUP(Table8[[#This Row],[Mã khách hàng]],'Khách hàng'!A:E,5,0)</f>
        <v>DNTG100</v>
      </c>
    </row>
    <row r="3192" spans="1:9">
      <c r="A3192" s="14" t="s">
        <v>11313</v>
      </c>
      <c r="B3192" s="15" t="s">
        <v>5</v>
      </c>
      <c r="C3192" s="16" t="s">
        <v>11606</v>
      </c>
      <c r="D3192" s="21" t="s">
        <v>11607</v>
      </c>
      <c r="E3192" s="15" t="s">
        <v>11449</v>
      </c>
      <c r="F3192" s="22" t="str">
        <f>VLOOKUP(Table8[[#This Row],[Mã khách hàng]],code_khach_hang[],2,0)</f>
        <v>CHI NHÁNH QUẢNG NGÃI - CÔNG TY CỔ PHẦN DỊCH VỤ THƯƠNG MẠI TỔNG HỢP WINCOMMERCE</v>
      </c>
      <c r="G3192" s="16" t="str">
        <f>VLOOKUP(Table8[[#This Row],[Mã khách hàng]],code_khach_hang[],3,0)</f>
        <v>Miền Trung đặc biệt 1</v>
      </c>
      <c r="H3192" t="str">
        <f>VLOOKUP(Table8[[#This Row],[Mã khách hàng]],'Khách hàng'!A:D,4,0)</f>
        <v>Food Đức Việt</v>
      </c>
      <c r="I3192" t="str">
        <f>VLOOKUP(Table8[[#This Row],[Mã khách hàng]],'Khách hàng'!A:E,5,0)</f>
        <v>DNTG100</v>
      </c>
    </row>
    <row r="3193" spans="1:9">
      <c r="A3193" s="14" t="s">
        <v>11314</v>
      </c>
      <c r="B3193" s="15" t="s">
        <v>5</v>
      </c>
      <c r="C3193" s="16" t="s">
        <v>11608</v>
      </c>
      <c r="D3193" s="21" t="s">
        <v>11609</v>
      </c>
      <c r="E3193" s="15" t="s">
        <v>11241</v>
      </c>
      <c r="F3193" s="22" t="str">
        <f>VLOOKUP(Table8[[#This Row],[Mã khách hàng]],code_khach_hang[],2,0)</f>
        <v>CHI NHÁNH BÌNH ĐỊNH - CÔNG TY CỔ PHẦN DỊCH VỤ THƯƠNG MẠI TỔNG HỢP WINCOMMERCE</v>
      </c>
      <c r="G3193" s="16" t="str">
        <f>VLOOKUP(Table8[[#This Row],[Mã khách hàng]],code_khach_hang[],3,0)</f>
        <v>Miền Trung đặc biệt 2</v>
      </c>
      <c r="H3193" t="str">
        <f>VLOOKUP(Table8[[#This Row],[Mã khách hàng]],'Khách hàng'!A:D,4,0)</f>
        <v>Food Đức Việt</v>
      </c>
      <c r="I3193" t="str">
        <f>VLOOKUP(Table8[[#This Row],[Mã khách hàng]],'Khách hàng'!A:E,5,0)</f>
        <v>QNTV50</v>
      </c>
    </row>
    <row r="3194" spans="1:9">
      <c r="A3194" s="14" t="s">
        <v>11315</v>
      </c>
      <c r="B3194" s="15" t="s">
        <v>5</v>
      </c>
      <c r="C3194" s="16" t="s">
        <v>11610</v>
      </c>
      <c r="D3194" s="21" t="s">
        <v>11611</v>
      </c>
      <c r="E3194" s="15" t="s">
        <v>11451</v>
      </c>
      <c r="F3194" s="22" t="str">
        <f>VLOOKUP(Table8[[#This Row],[Mã khách hàng]],code_khach_hang[],2,0)</f>
        <v>CHI NHÁNH PHÚ YÊN - CÔNG TY CỔ PHẦN DỊCH VỤ THƯƠNG MẠI TỔNG HỢP WINCOMMERCE</v>
      </c>
      <c r="G3194" s="16" t="str">
        <f>VLOOKUP(Table8[[#This Row],[Mã khách hàng]],code_khach_hang[],3,0)</f>
        <v>Miền Trung đặc biệt 2</v>
      </c>
      <c r="H3194" t="str">
        <f>VLOOKUP(Table8[[#This Row],[Mã khách hàng]],'Khách hàng'!A:D,4,0)</f>
        <v>Food Đức Việt</v>
      </c>
      <c r="I3194" t="str">
        <f>VLOOKUP(Table8[[#This Row],[Mã khách hàng]],'Khách hàng'!A:E,5,0)</f>
        <v>QNTV50</v>
      </c>
    </row>
    <row r="3195" spans="1:9">
      <c r="A3195" s="14" t="s">
        <v>11316</v>
      </c>
      <c r="B3195" s="15" t="s">
        <v>5</v>
      </c>
      <c r="C3195" s="16" t="s">
        <v>11612</v>
      </c>
      <c r="D3195" s="21" t="s">
        <v>11613</v>
      </c>
      <c r="E3195" s="15" t="s">
        <v>11449</v>
      </c>
      <c r="F3195" s="22" t="str">
        <f>VLOOKUP(Table8[[#This Row],[Mã khách hàng]],code_khach_hang[],2,0)</f>
        <v>CHI NHÁNH QUẢNG NGÃI - CÔNG TY CỔ PHẦN DỊCH VỤ THƯƠNG MẠI TỔNG HỢP WINCOMMERCE</v>
      </c>
      <c r="G3195" s="16" t="str">
        <f>VLOOKUP(Table8[[#This Row],[Mã khách hàng]],code_khach_hang[],3,0)</f>
        <v>Miền Trung đặc biệt 1</v>
      </c>
      <c r="H3195" t="str">
        <f>VLOOKUP(Table8[[#This Row],[Mã khách hàng]],'Khách hàng'!A:D,4,0)</f>
        <v>Food Đức Việt</v>
      </c>
      <c r="I3195" t="str">
        <f>VLOOKUP(Table8[[#This Row],[Mã khách hàng]],'Khách hàng'!A:E,5,0)</f>
        <v>DNTG100</v>
      </c>
    </row>
    <row r="3196" spans="1:9">
      <c r="A3196" s="14" t="s">
        <v>11317</v>
      </c>
      <c r="B3196" s="15" t="s">
        <v>5</v>
      </c>
      <c r="C3196" s="16" t="s">
        <v>11614</v>
      </c>
      <c r="D3196" s="21" t="s">
        <v>11615</v>
      </c>
      <c r="E3196" s="15" t="s">
        <v>11449</v>
      </c>
      <c r="F3196" s="22" t="str">
        <f>VLOOKUP(Table8[[#This Row],[Mã khách hàng]],code_khach_hang[],2,0)</f>
        <v>CHI NHÁNH QUẢNG NGÃI - CÔNG TY CỔ PHẦN DỊCH VỤ THƯƠNG MẠI TỔNG HỢP WINCOMMERCE</v>
      </c>
      <c r="G3196" s="16" t="str">
        <f>VLOOKUP(Table8[[#This Row],[Mã khách hàng]],code_khach_hang[],3,0)</f>
        <v>Miền Trung đặc biệt 1</v>
      </c>
      <c r="H3196" t="str">
        <f>VLOOKUP(Table8[[#This Row],[Mã khách hàng]],'Khách hàng'!A:D,4,0)</f>
        <v>Food Đức Việt</v>
      </c>
      <c r="I3196" t="str">
        <f>VLOOKUP(Table8[[#This Row],[Mã khách hàng]],'Khách hàng'!A:E,5,0)</f>
        <v>DNTG100</v>
      </c>
    </row>
    <row r="3197" spans="1:9">
      <c r="A3197" s="14" t="s">
        <v>11318</v>
      </c>
      <c r="B3197" s="15" t="s">
        <v>5</v>
      </c>
      <c r="C3197" s="16" t="s">
        <v>11616</v>
      </c>
      <c r="D3197" s="21" t="s">
        <v>11617</v>
      </c>
      <c r="E3197" s="15" t="s">
        <v>11444</v>
      </c>
      <c r="F3197" s="22" t="str">
        <f>VLOOKUP(Table8[[#This Row],[Mã khách hàng]],code_khach_hang[],2,0)</f>
        <v>CHI NHÁNH QUẢNG NAM - CÔNG TY CỔ PHẦN DỊCH VỤ THƯƠNG MẠI TỔNG HỢP WINCOMMERCE</v>
      </c>
      <c r="G3197" s="16" t="str">
        <f>VLOOKUP(Table8[[#This Row],[Mã khách hàng]],code_khach_hang[],3,0)</f>
        <v>Miền Trung đặc biệt 1</v>
      </c>
      <c r="H3197" t="str">
        <f>VLOOKUP(Table8[[#This Row],[Mã khách hàng]],'Khách hàng'!A:D,4,0)</f>
        <v>Food Đức Việt</v>
      </c>
      <c r="I3197" t="str">
        <f>VLOOKUP(Table8[[#This Row],[Mã khách hàng]],'Khách hàng'!A:E,5,0)</f>
        <v>DNTG100</v>
      </c>
    </row>
    <row r="3198" spans="1:9">
      <c r="A3198" s="14" t="s">
        <v>11319</v>
      </c>
      <c r="B3198" s="15" t="s">
        <v>5</v>
      </c>
      <c r="C3198" s="16" t="s">
        <v>11618</v>
      </c>
      <c r="D3198" s="21" t="s">
        <v>11619</v>
      </c>
      <c r="E3198" s="15" t="s">
        <v>11451</v>
      </c>
      <c r="F3198" s="22" t="str">
        <f>VLOOKUP(Table8[[#This Row],[Mã khách hàng]],code_khach_hang[],2,0)</f>
        <v>CHI NHÁNH PHÚ YÊN - CÔNG TY CỔ PHẦN DỊCH VỤ THƯƠNG MẠI TỔNG HỢP WINCOMMERCE</v>
      </c>
      <c r="G3198" s="16" t="str">
        <f>VLOOKUP(Table8[[#This Row],[Mã khách hàng]],code_khach_hang[],3,0)</f>
        <v>Miền Trung đặc biệt 2</v>
      </c>
      <c r="H3198" t="str">
        <f>VLOOKUP(Table8[[#This Row],[Mã khách hàng]],'Khách hàng'!A:D,4,0)</f>
        <v>Food Đức Việt</v>
      </c>
      <c r="I3198" t="str">
        <f>VLOOKUP(Table8[[#This Row],[Mã khách hàng]],'Khách hàng'!A:E,5,0)</f>
        <v>QNTV50</v>
      </c>
    </row>
    <row r="3199" spans="1:9">
      <c r="A3199" s="14" t="s">
        <v>11320</v>
      </c>
      <c r="B3199" s="15" t="s">
        <v>5</v>
      </c>
      <c r="C3199" s="16" t="s">
        <v>11620</v>
      </c>
      <c r="D3199" s="21" t="s">
        <v>11621</v>
      </c>
      <c r="E3199" s="15" t="s">
        <v>11445</v>
      </c>
      <c r="F3199" s="22" t="str">
        <f>VLOOKUP(Table8[[#This Row],[Mã khách hàng]],code_khach_hang[],2,0)</f>
        <v>CHI NHÁNH THỪA THIÊN HUẾ - CÔNG TY CỔ PHẦN DỊCH VỤ THƯƠNG MẠI TỔNG HỢP WINCOMMERCE</v>
      </c>
      <c r="G3199" s="16" t="str">
        <f>VLOOKUP(Table8[[#This Row],[Mã khách hàng]],code_khach_hang[],3,0)</f>
        <v>Miền Trung đặc biệt 1</v>
      </c>
      <c r="H3199" t="str">
        <f>VLOOKUP(Table8[[#This Row],[Mã khách hàng]],'Khách hàng'!A:D,4,0)</f>
        <v>Food Đức Việt</v>
      </c>
      <c r="I3199" t="str">
        <f>VLOOKUP(Table8[[#This Row],[Mã khách hàng]],'Khách hàng'!A:E,5,0)</f>
        <v>DNTG100</v>
      </c>
    </row>
    <row r="3200" spans="1:9">
      <c r="A3200" s="14" t="s">
        <v>11321</v>
      </c>
      <c r="B3200" s="15" t="s">
        <v>5</v>
      </c>
      <c r="C3200" s="16" t="s">
        <v>11622</v>
      </c>
      <c r="D3200" s="21" t="s">
        <v>11623</v>
      </c>
      <c r="E3200" s="15" t="s">
        <v>11241</v>
      </c>
      <c r="F3200" s="22" t="str">
        <f>VLOOKUP(Table8[[#This Row],[Mã khách hàng]],code_khach_hang[],2,0)</f>
        <v>CHI NHÁNH BÌNH ĐỊNH - CÔNG TY CỔ PHẦN DỊCH VỤ THƯƠNG MẠI TỔNG HỢP WINCOMMERCE</v>
      </c>
      <c r="G3200" s="16" t="str">
        <f>VLOOKUP(Table8[[#This Row],[Mã khách hàng]],code_khach_hang[],3,0)</f>
        <v>Miền Trung đặc biệt 2</v>
      </c>
      <c r="H3200" t="str">
        <f>VLOOKUP(Table8[[#This Row],[Mã khách hàng]],'Khách hàng'!A:D,4,0)</f>
        <v>Food Đức Việt</v>
      </c>
      <c r="I3200" t="str">
        <f>VLOOKUP(Table8[[#This Row],[Mã khách hàng]],'Khách hàng'!A:E,5,0)</f>
        <v>QNTV50</v>
      </c>
    </row>
    <row r="3201" spans="1:9">
      <c r="A3201" s="14" t="s">
        <v>11322</v>
      </c>
      <c r="B3201" s="15" t="s">
        <v>5</v>
      </c>
      <c r="C3201" s="16" t="s">
        <v>11624</v>
      </c>
      <c r="D3201" s="21" t="s">
        <v>11625</v>
      </c>
      <c r="E3201" s="15" t="s">
        <v>11444</v>
      </c>
      <c r="F3201" s="22" t="str">
        <f>VLOOKUP(Table8[[#This Row],[Mã khách hàng]],code_khach_hang[],2,0)</f>
        <v>CHI NHÁNH QUẢNG NAM - CÔNG TY CỔ PHẦN DỊCH VỤ THƯƠNG MẠI TỔNG HỢP WINCOMMERCE</v>
      </c>
      <c r="G3201" s="16" t="str">
        <f>VLOOKUP(Table8[[#This Row],[Mã khách hàng]],code_khach_hang[],3,0)</f>
        <v>Miền Trung đặc biệt 1</v>
      </c>
      <c r="H3201" t="str">
        <f>VLOOKUP(Table8[[#This Row],[Mã khách hàng]],'Khách hàng'!A:D,4,0)</f>
        <v>Food Đức Việt</v>
      </c>
      <c r="I3201" t="str">
        <f>VLOOKUP(Table8[[#This Row],[Mã khách hàng]],'Khách hàng'!A:E,5,0)</f>
        <v>DNTG100</v>
      </c>
    </row>
    <row r="3202" spans="1:9">
      <c r="A3202" s="14" t="s">
        <v>11323</v>
      </c>
      <c r="B3202" s="15" t="s">
        <v>5</v>
      </c>
      <c r="C3202" s="16" t="s">
        <v>11626</v>
      </c>
      <c r="D3202" s="21" t="s">
        <v>11627</v>
      </c>
      <c r="E3202" s="15" t="s">
        <v>11444</v>
      </c>
      <c r="F3202" s="22" t="str">
        <f>VLOOKUP(Table8[[#This Row],[Mã khách hàng]],code_khach_hang[],2,0)</f>
        <v>CHI NHÁNH QUẢNG NAM - CÔNG TY CỔ PHẦN DỊCH VỤ THƯƠNG MẠI TỔNG HỢP WINCOMMERCE</v>
      </c>
      <c r="G3202" s="16" t="str">
        <f>VLOOKUP(Table8[[#This Row],[Mã khách hàng]],code_khach_hang[],3,0)</f>
        <v>Miền Trung đặc biệt 1</v>
      </c>
      <c r="H3202" t="str">
        <f>VLOOKUP(Table8[[#This Row],[Mã khách hàng]],'Khách hàng'!A:D,4,0)</f>
        <v>Food Đức Việt</v>
      </c>
      <c r="I3202" t="str">
        <f>VLOOKUP(Table8[[#This Row],[Mã khách hàng]],'Khách hàng'!A:E,5,0)</f>
        <v>DNTG100</v>
      </c>
    </row>
    <row r="3203" spans="1:9">
      <c r="A3203" s="14" t="s">
        <v>11324</v>
      </c>
      <c r="B3203" s="15" t="s">
        <v>5</v>
      </c>
      <c r="C3203" s="16" t="s">
        <v>11628</v>
      </c>
      <c r="D3203" s="21" t="s">
        <v>11629</v>
      </c>
      <c r="E3203" s="15" t="s">
        <v>11444</v>
      </c>
      <c r="F3203" s="22" t="str">
        <f>VLOOKUP(Table8[[#This Row],[Mã khách hàng]],code_khach_hang[],2,0)</f>
        <v>CHI NHÁNH QUẢNG NAM - CÔNG TY CỔ PHẦN DỊCH VỤ THƯƠNG MẠI TỔNG HỢP WINCOMMERCE</v>
      </c>
      <c r="G3203" s="16" t="str">
        <f>VLOOKUP(Table8[[#This Row],[Mã khách hàng]],code_khach_hang[],3,0)</f>
        <v>Miền Trung đặc biệt 1</v>
      </c>
      <c r="H3203" t="str">
        <f>VLOOKUP(Table8[[#This Row],[Mã khách hàng]],'Khách hàng'!A:D,4,0)</f>
        <v>Food Đức Việt</v>
      </c>
      <c r="I3203" t="str">
        <f>VLOOKUP(Table8[[#This Row],[Mã khách hàng]],'Khách hàng'!A:E,5,0)</f>
        <v>DNTG100</v>
      </c>
    </row>
    <row r="3204" spans="1:9">
      <c r="A3204" s="14" t="s">
        <v>11325</v>
      </c>
      <c r="B3204" s="15" t="s">
        <v>5</v>
      </c>
      <c r="C3204" s="16" t="s">
        <v>11630</v>
      </c>
      <c r="D3204" s="21" t="s">
        <v>11631</v>
      </c>
      <c r="E3204" s="15" t="s">
        <v>11444</v>
      </c>
      <c r="F3204" s="22" t="str">
        <f>VLOOKUP(Table8[[#This Row],[Mã khách hàng]],code_khach_hang[],2,0)</f>
        <v>CHI NHÁNH QUẢNG NAM - CÔNG TY CỔ PHẦN DỊCH VỤ THƯƠNG MẠI TỔNG HỢP WINCOMMERCE</v>
      </c>
      <c r="G3204" s="16" t="str">
        <f>VLOOKUP(Table8[[#This Row],[Mã khách hàng]],code_khach_hang[],3,0)</f>
        <v>Miền Trung đặc biệt 1</v>
      </c>
      <c r="H3204" t="str">
        <f>VLOOKUP(Table8[[#This Row],[Mã khách hàng]],'Khách hàng'!A:D,4,0)</f>
        <v>Food Đức Việt</v>
      </c>
      <c r="I3204" t="str">
        <f>VLOOKUP(Table8[[#This Row],[Mã khách hàng]],'Khách hàng'!A:E,5,0)</f>
        <v>DNTG100</v>
      </c>
    </row>
    <row r="3205" spans="1:9">
      <c r="A3205" s="14" t="s">
        <v>11326</v>
      </c>
      <c r="B3205" s="15" t="s">
        <v>5</v>
      </c>
      <c r="C3205" s="16" t="s">
        <v>11632</v>
      </c>
      <c r="D3205" s="21" t="s">
        <v>11633</v>
      </c>
      <c r="E3205" s="15" t="s">
        <v>11241</v>
      </c>
      <c r="F3205" s="22" t="str">
        <f>VLOOKUP(Table8[[#This Row],[Mã khách hàng]],code_khach_hang[],2,0)</f>
        <v>CHI NHÁNH BÌNH ĐỊNH - CÔNG TY CỔ PHẦN DỊCH VỤ THƯƠNG MẠI TỔNG HỢP WINCOMMERCE</v>
      </c>
      <c r="G3205" s="16" t="str">
        <f>VLOOKUP(Table8[[#This Row],[Mã khách hàng]],code_khach_hang[],3,0)</f>
        <v>Miền Trung đặc biệt 2</v>
      </c>
      <c r="H3205" t="str">
        <f>VLOOKUP(Table8[[#This Row],[Mã khách hàng]],'Khách hàng'!A:D,4,0)</f>
        <v>Food Đức Việt</v>
      </c>
      <c r="I3205" t="str">
        <f>VLOOKUP(Table8[[#This Row],[Mã khách hàng]],'Khách hàng'!A:E,5,0)</f>
        <v>QNTV50</v>
      </c>
    </row>
    <row r="3206" spans="1:9">
      <c r="A3206" s="14" t="s">
        <v>11327</v>
      </c>
      <c r="B3206" s="15" t="s">
        <v>5</v>
      </c>
      <c r="C3206" s="16" t="s">
        <v>11634</v>
      </c>
      <c r="D3206" s="21" t="s">
        <v>11635</v>
      </c>
      <c r="E3206" s="15" t="s">
        <v>11444</v>
      </c>
      <c r="F3206" s="22" t="str">
        <f>VLOOKUP(Table8[[#This Row],[Mã khách hàng]],code_khach_hang[],2,0)</f>
        <v>CHI NHÁNH QUẢNG NAM - CÔNG TY CỔ PHẦN DỊCH VỤ THƯƠNG MẠI TỔNG HỢP WINCOMMERCE</v>
      </c>
      <c r="G3206" s="16" t="str">
        <f>VLOOKUP(Table8[[#This Row],[Mã khách hàng]],code_khach_hang[],3,0)</f>
        <v>Miền Trung đặc biệt 1</v>
      </c>
      <c r="H3206" t="str">
        <f>VLOOKUP(Table8[[#This Row],[Mã khách hàng]],'Khách hàng'!A:D,4,0)</f>
        <v>Food Đức Việt</v>
      </c>
      <c r="I3206" t="str">
        <f>VLOOKUP(Table8[[#This Row],[Mã khách hàng]],'Khách hàng'!A:E,5,0)</f>
        <v>DNTG100</v>
      </c>
    </row>
    <row r="3207" spans="1:9">
      <c r="A3207" s="14" t="s">
        <v>11328</v>
      </c>
      <c r="B3207" s="15" t="s">
        <v>5</v>
      </c>
      <c r="C3207" s="16" t="s">
        <v>11636</v>
      </c>
      <c r="D3207" s="21" t="s">
        <v>11637</v>
      </c>
      <c r="E3207" s="15" t="s">
        <v>11444</v>
      </c>
      <c r="F3207" s="22" t="str">
        <f>VLOOKUP(Table8[[#This Row],[Mã khách hàng]],code_khach_hang[],2,0)</f>
        <v>CHI NHÁNH QUẢNG NAM - CÔNG TY CỔ PHẦN DỊCH VỤ THƯƠNG MẠI TỔNG HỢP WINCOMMERCE</v>
      </c>
      <c r="G3207" s="16" t="str">
        <f>VLOOKUP(Table8[[#This Row],[Mã khách hàng]],code_khach_hang[],3,0)</f>
        <v>Miền Trung đặc biệt 1</v>
      </c>
      <c r="H3207" t="str">
        <f>VLOOKUP(Table8[[#This Row],[Mã khách hàng]],'Khách hàng'!A:D,4,0)</f>
        <v>Food Đức Việt</v>
      </c>
      <c r="I3207" t="str">
        <f>VLOOKUP(Table8[[#This Row],[Mã khách hàng]],'Khách hàng'!A:E,5,0)</f>
        <v>DNTG100</v>
      </c>
    </row>
    <row r="3208" spans="1:9">
      <c r="A3208" s="14" t="s">
        <v>11329</v>
      </c>
      <c r="B3208" s="15" t="s">
        <v>5</v>
      </c>
      <c r="C3208" s="16" t="s">
        <v>11638</v>
      </c>
      <c r="D3208" s="21" t="s">
        <v>11639</v>
      </c>
      <c r="E3208" s="15" t="s">
        <v>11241</v>
      </c>
      <c r="F3208" s="22" t="str">
        <f>VLOOKUP(Table8[[#This Row],[Mã khách hàng]],code_khach_hang[],2,0)</f>
        <v>CHI NHÁNH BÌNH ĐỊNH - CÔNG TY CỔ PHẦN DỊCH VỤ THƯƠNG MẠI TỔNG HỢP WINCOMMERCE</v>
      </c>
      <c r="G3208" s="16" t="str">
        <f>VLOOKUP(Table8[[#This Row],[Mã khách hàng]],code_khach_hang[],3,0)</f>
        <v>Miền Trung đặc biệt 2</v>
      </c>
      <c r="H3208" t="str">
        <f>VLOOKUP(Table8[[#This Row],[Mã khách hàng]],'Khách hàng'!A:D,4,0)</f>
        <v>Food Đức Việt</v>
      </c>
      <c r="I3208" t="str">
        <f>VLOOKUP(Table8[[#This Row],[Mã khách hàng]],'Khách hàng'!A:E,5,0)</f>
        <v>QNTV50</v>
      </c>
    </row>
    <row r="3209" spans="1:9">
      <c r="A3209" s="14" t="s">
        <v>11330</v>
      </c>
      <c r="B3209" s="15" t="s">
        <v>5</v>
      </c>
      <c r="C3209" s="16" t="s">
        <v>11640</v>
      </c>
      <c r="D3209" s="21" t="s">
        <v>11641</v>
      </c>
      <c r="E3209" s="15" t="s">
        <v>11444</v>
      </c>
      <c r="F3209" s="22" t="str">
        <f>VLOOKUP(Table8[[#This Row],[Mã khách hàng]],code_khach_hang[],2,0)</f>
        <v>CHI NHÁNH QUẢNG NAM - CÔNG TY CỔ PHẦN DỊCH VỤ THƯƠNG MẠI TỔNG HỢP WINCOMMERCE</v>
      </c>
      <c r="G3209" s="16" t="str">
        <f>VLOOKUP(Table8[[#This Row],[Mã khách hàng]],code_khach_hang[],3,0)</f>
        <v>Miền Trung đặc biệt 1</v>
      </c>
      <c r="H3209" t="str">
        <f>VLOOKUP(Table8[[#This Row],[Mã khách hàng]],'Khách hàng'!A:D,4,0)</f>
        <v>Food Đức Việt</v>
      </c>
      <c r="I3209" t="str">
        <f>VLOOKUP(Table8[[#This Row],[Mã khách hàng]],'Khách hàng'!A:E,5,0)</f>
        <v>DNTG100</v>
      </c>
    </row>
    <row r="3210" spans="1:9">
      <c r="A3210" s="14" t="s">
        <v>11331</v>
      </c>
      <c r="B3210" s="15" t="s">
        <v>5</v>
      </c>
      <c r="C3210" s="16" t="s">
        <v>11642</v>
      </c>
      <c r="D3210" s="21" t="s">
        <v>11643</v>
      </c>
      <c r="E3210" s="15" t="s">
        <v>11444</v>
      </c>
      <c r="F3210" s="22" t="str">
        <f>VLOOKUP(Table8[[#This Row],[Mã khách hàng]],code_khach_hang[],2,0)</f>
        <v>CHI NHÁNH QUẢNG NAM - CÔNG TY CỔ PHẦN DỊCH VỤ THƯƠNG MẠI TỔNG HỢP WINCOMMERCE</v>
      </c>
      <c r="G3210" s="16" t="str">
        <f>VLOOKUP(Table8[[#This Row],[Mã khách hàng]],code_khach_hang[],3,0)</f>
        <v>Miền Trung đặc biệt 1</v>
      </c>
      <c r="H3210" t="str">
        <f>VLOOKUP(Table8[[#This Row],[Mã khách hàng]],'Khách hàng'!A:D,4,0)</f>
        <v>Food Đức Việt</v>
      </c>
      <c r="I3210" t="str">
        <f>VLOOKUP(Table8[[#This Row],[Mã khách hàng]],'Khách hàng'!A:E,5,0)</f>
        <v>DNTG100</v>
      </c>
    </row>
    <row r="3211" spans="1:9">
      <c r="A3211" s="14" t="s">
        <v>11332</v>
      </c>
      <c r="B3211" s="15" t="s">
        <v>5</v>
      </c>
      <c r="C3211" s="16" t="s">
        <v>11644</v>
      </c>
      <c r="D3211" s="21" t="s">
        <v>11645</v>
      </c>
      <c r="E3211" s="15" t="s">
        <v>11447</v>
      </c>
      <c r="F3211" s="22" t="str">
        <f>VLOOKUP(Table8[[#This Row],[Mã khách hàng]],code_khach_hang[],2,0)</f>
        <v>CHI NHÁNH QUẢNG TRỊ - CÔNG TY CỔ PHẦN DỊCH VỤ THƯƠNG MẠI TỔNG HỢP WINCOMMERCE</v>
      </c>
      <c r="G3211" s="16" t="str">
        <f>VLOOKUP(Table8[[#This Row],[Mã khách hàng]],code_khach_hang[],3,0)</f>
        <v>Miền Trung đặc biệt 1</v>
      </c>
      <c r="H3211" t="str">
        <f>VLOOKUP(Table8[[#This Row],[Mã khách hàng]],'Khách hàng'!A:D,4,0)</f>
        <v>Food Đức Việt</v>
      </c>
      <c r="I3211" t="str">
        <f>VLOOKUP(Table8[[#This Row],[Mã khách hàng]],'Khách hàng'!A:E,5,0)</f>
        <v>DNTG100</v>
      </c>
    </row>
    <row r="3212" spans="1:9">
      <c r="A3212" s="14" t="s">
        <v>11333</v>
      </c>
      <c r="B3212" s="15" t="s">
        <v>5</v>
      </c>
      <c r="C3212" s="16" t="s">
        <v>11646</v>
      </c>
      <c r="D3212" s="21" t="s">
        <v>11647</v>
      </c>
      <c r="E3212" s="15" t="s">
        <v>11442</v>
      </c>
      <c r="F3212" s="22" t="str">
        <f>VLOOKUP(Table8[[#This Row],[Mã khách hàng]],code_khach_hang[],2,0)</f>
        <v>CHI NHÁNH ĐÀ NẴNG - CÔNG TY CỔ PHẦN DỊCH VỤ THƯƠNG MẠI TỔNG HỢP WINCOMMERCE</v>
      </c>
      <c r="G3212" s="16" t="str">
        <f>VLOOKUP(Table8[[#This Row],[Mã khách hàng]],code_khach_hang[],3,0)</f>
        <v>Miền Trung đặc biệt 1</v>
      </c>
      <c r="H3212" t="str">
        <f>VLOOKUP(Table8[[#This Row],[Mã khách hàng]],'Khách hàng'!A:D,4,0)</f>
        <v>Food Đức Việt</v>
      </c>
      <c r="I3212" t="str">
        <f>VLOOKUP(Table8[[#This Row],[Mã khách hàng]],'Khách hàng'!A:E,5,0)</f>
        <v>DNTG100</v>
      </c>
    </row>
    <row r="3213" spans="1:9">
      <c r="A3213" s="14" t="s">
        <v>11334</v>
      </c>
      <c r="B3213" s="15" t="s">
        <v>5</v>
      </c>
      <c r="C3213" s="16" t="s">
        <v>11648</v>
      </c>
      <c r="D3213" s="21" t="s">
        <v>11649</v>
      </c>
      <c r="E3213" s="15" t="s">
        <v>11241</v>
      </c>
      <c r="F3213" s="22" t="str">
        <f>VLOOKUP(Table8[[#This Row],[Mã khách hàng]],code_khach_hang[],2,0)</f>
        <v>CHI NHÁNH BÌNH ĐỊNH - CÔNG TY CỔ PHẦN DỊCH VỤ THƯƠNG MẠI TỔNG HỢP WINCOMMERCE</v>
      </c>
      <c r="G3213" s="16" t="str">
        <f>VLOOKUP(Table8[[#This Row],[Mã khách hàng]],code_khach_hang[],3,0)</f>
        <v>Miền Trung đặc biệt 2</v>
      </c>
      <c r="H3213" t="str">
        <f>VLOOKUP(Table8[[#This Row],[Mã khách hàng]],'Khách hàng'!A:D,4,0)</f>
        <v>Food Đức Việt</v>
      </c>
      <c r="I3213" t="str">
        <f>VLOOKUP(Table8[[#This Row],[Mã khách hàng]],'Khách hàng'!A:E,5,0)</f>
        <v>QNTV50</v>
      </c>
    </row>
    <row r="3214" spans="1:9">
      <c r="A3214" s="14" t="s">
        <v>11335</v>
      </c>
      <c r="B3214" s="15" t="s">
        <v>5</v>
      </c>
      <c r="C3214" s="16" t="s">
        <v>11650</v>
      </c>
      <c r="D3214" s="21" t="s">
        <v>11651</v>
      </c>
      <c r="E3214" s="15" t="s">
        <v>11444</v>
      </c>
      <c r="F3214" s="22" t="str">
        <f>VLOOKUP(Table8[[#This Row],[Mã khách hàng]],code_khach_hang[],2,0)</f>
        <v>CHI NHÁNH QUẢNG NAM - CÔNG TY CỔ PHẦN DỊCH VỤ THƯƠNG MẠI TỔNG HỢP WINCOMMERCE</v>
      </c>
      <c r="G3214" s="16" t="str">
        <f>VLOOKUP(Table8[[#This Row],[Mã khách hàng]],code_khach_hang[],3,0)</f>
        <v>Miền Trung đặc biệt 1</v>
      </c>
      <c r="H3214" t="str">
        <f>VLOOKUP(Table8[[#This Row],[Mã khách hàng]],'Khách hàng'!A:D,4,0)</f>
        <v>Food Đức Việt</v>
      </c>
      <c r="I3214" t="str">
        <f>VLOOKUP(Table8[[#This Row],[Mã khách hàng]],'Khách hàng'!A:E,5,0)</f>
        <v>DNTG100</v>
      </c>
    </row>
    <row r="3215" spans="1:9">
      <c r="A3215" s="14" t="s">
        <v>11336</v>
      </c>
      <c r="B3215" s="15" t="s">
        <v>5</v>
      </c>
      <c r="C3215" s="16" t="s">
        <v>11652</v>
      </c>
      <c r="D3215" s="21" t="s">
        <v>11653</v>
      </c>
      <c r="E3215" s="15" t="s">
        <v>11444</v>
      </c>
      <c r="F3215" s="22" t="str">
        <f>VLOOKUP(Table8[[#This Row],[Mã khách hàng]],code_khach_hang[],2,0)</f>
        <v>CHI NHÁNH QUẢNG NAM - CÔNG TY CỔ PHẦN DỊCH VỤ THƯƠNG MẠI TỔNG HỢP WINCOMMERCE</v>
      </c>
      <c r="G3215" s="16" t="str">
        <f>VLOOKUP(Table8[[#This Row],[Mã khách hàng]],code_khach_hang[],3,0)</f>
        <v>Miền Trung đặc biệt 1</v>
      </c>
      <c r="H3215" t="str">
        <f>VLOOKUP(Table8[[#This Row],[Mã khách hàng]],'Khách hàng'!A:D,4,0)</f>
        <v>Food Đức Việt</v>
      </c>
      <c r="I3215" t="str">
        <f>VLOOKUP(Table8[[#This Row],[Mã khách hàng]],'Khách hàng'!A:E,5,0)</f>
        <v>DNTG100</v>
      </c>
    </row>
    <row r="3216" spans="1:9">
      <c r="A3216" s="14" t="s">
        <v>11337</v>
      </c>
      <c r="B3216" s="15" t="s">
        <v>5</v>
      </c>
      <c r="C3216" s="16" t="s">
        <v>11654</v>
      </c>
      <c r="D3216" s="21" t="s">
        <v>11655</v>
      </c>
      <c r="E3216" s="15" t="s">
        <v>11241</v>
      </c>
      <c r="F3216" s="22" t="str">
        <f>VLOOKUP(Table8[[#This Row],[Mã khách hàng]],code_khach_hang[],2,0)</f>
        <v>CHI NHÁNH BÌNH ĐỊNH - CÔNG TY CỔ PHẦN DỊCH VỤ THƯƠNG MẠI TỔNG HỢP WINCOMMERCE</v>
      </c>
      <c r="G3216" s="16" t="str">
        <f>VLOOKUP(Table8[[#This Row],[Mã khách hàng]],code_khach_hang[],3,0)</f>
        <v>Miền Trung đặc biệt 2</v>
      </c>
      <c r="H3216" t="str">
        <f>VLOOKUP(Table8[[#This Row],[Mã khách hàng]],'Khách hàng'!A:D,4,0)</f>
        <v>Food Đức Việt</v>
      </c>
      <c r="I3216" t="str">
        <f>VLOOKUP(Table8[[#This Row],[Mã khách hàng]],'Khách hàng'!A:E,5,0)</f>
        <v>QNTV50</v>
      </c>
    </row>
    <row r="3217" spans="1:9">
      <c r="A3217" s="14" t="s">
        <v>11338</v>
      </c>
      <c r="B3217" s="15" t="s">
        <v>5</v>
      </c>
      <c r="C3217" s="16" t="s">
        <v>11656</v>
      </c>
      <c r="D3217" s="21" t="s">
        <v>11657</v>
      </c>
      <c r="E3217" s="15" t="s">
        <v>11444</v>
      </c>
      <c r="F3217" s="22" t="str">
        <f>VLOOKUP(Table8[[#This Row],[Mã khách hàng]],code_khach_hang[],2,0)</f>
        <v>CHI NHÁNH QUẢNG NAM - CÔNG TY CỔ PHẦN DỊCH VỤ THƯƠNG MẠI TỔNG HỢP WINCOMMERCE</v>
      </c>
      <c r="G3217" s="16" t="str">
        <f>VLOOKUP(Table8[[#This Row],[Mã khách hàng]],code_khach_hang[],3,0)</f>
        <v>Miền Trung đặc biệt 1</v>
      </c>
      <c r="H3217" t="str">
        <f>VLOOKUP(Table8[[#This Row],[Mã khách hàng]],'Khách hàng'!A:D,4,0)</f>
        <v>Food Đức Việt</v>
      </c>
      <c r="I3217" t="str">
        <f>VLOOKUP(Table8[[#This Row],[Mã khách hàng]],'Khách hàng'!A:E,5,0)</f>
        <v>DNTG100</v>
      </c>
    </row>
    <row r="3218" spans="1:9">
      <c r="A3218" s="14" t="s">
        <v>11339</v>
      </c>
      <c r="B3218" s="15" t="s">
        <v>5</v>
      </c>
      <c r="C3218" s="16" t="s">
        <v>11658</v>
      </c>
      <c r="D3218" s="21" t="s">
        <v>11659</v>
      </c>
      <c r="E3218" s="15" t="s">
        <v>11444</v>
      </c>
      <c r="F3218" s="22" t="str">
        <f>VLOOKUP(Table8[[#This Row],[Mã khách hàng]],code_khach_hang[],2,0)</f>
        <v>CHI NHÁNH QUẢNG NAM - CÔNG TY CỔ PHẦN DỊCH VỤ THƯƠNG MẠI TỔNG HỢP WINCOMMERCE</v>
      </c>
      <c r="G3218" s="16" t="str">
        <f>VLOOKUP(Table8[[#This Row],[Mã khách hàng]],code_khach_hang[],3,0)</f>
        <v>Miền Trung đặc biệt 1</v>
      </c>
      <c r="H3218" t="str">
        <f>VLOOKUP(Table8[[#This Row],[Mã khách hàng]],'Khách hàng'!A:D,4,0)</f>
        <v>Food Đức Việt</v>
      </c>
      <c r="I3218" t="str">
        <f>VLOOKUP(Table8[[#This Row],[Mã khách hàng]],'Khách hàng'!A:E,5,0)</f>
        <v>DNTG100</v>
      </c>
    </row>
    <row r="3219" spans="1:9">
      <c r="A3219" s="14" t="s">
        <v>11340</v>
      </c>
      <c r="B3219" s="15" t="s">
        <v>5</v>
      </c>
      <c r="C3219" s="16" t="s">
        <v>11660</v>
      </c>
      <c r="D3219" s="21" t="s">
        <v>11661</v>
      </c>
      <c r="E3219" s="15" t="s">
        <v>11444</v>
      </c>
      <c r="F3219" s="22" t="str">
        <f>VLOOKUP(Table8[[#This Row],[Mã khách hàng]],code_khach_hang[],2,0)</f>
        <v>CHI NHÁNH QUẢNG NAM - CÔNG TY CỔ PHẦN DỊCH VỤ THƯƠNG MẠI TỔNG HỢP WINCOMMERCE</v>
      </c>
      <c r="G3219" s="16" t="str">
        <f>VLOOKUP(Table8[[#This Row],[Mã khách hàng]],code_khach_hang[],3,0)</f>
        <v>Miền Trung đặc biệt 1</v>
      </c>
      <c r="H3219" t="str">
        <f>VLOOKUP(Table8[[#This Row],[Mã khách hàng]],'Khách hàng'!A:D,4,0)</f>
        <v>Food Đức Việt</v>
      </c>
      <c r="I3219" t="str">
        <f>VLOOKUP(Table8[[#This Row],[Mã khách hàng]],'Khách hàng'!A:E,5,0)</f>
        <v>DNTG100</v>
      </c>
    </row>
    <row r="3220" spans="1:9">
      <c r="A3220" s="14" t="s">
        <v>11341</v>
      </c>
      <c r="B3220" s="15" t="s">
        <v>5</v>
      </c>
      <c r="C3220" s="16" t="s">
        <v>11662</v>
      </c>
      <c r="D3220" s="21" t="s">
        <v>11663</v>
      </c>
      <c r="E3220" s="15" t="s">
        <v>11446</v>
      </c>
      <c r="F3220" s="22" t="str">
        <f>VLOOKUP(Table8[[#This Row],[Mã khách hàng]],code_khach_hang[],2,0)</f>
        <v>CHI NHÁNH GIA LAI - CÔNG TY CỔ PHẦN DỊCH VỤ THƯƠNG MẠI TỔNG HỢP WINCOMMERCE</v>
      </c>
      <c r="G3220" s="16" t="str">
        <f>VLOOKUP(Table8[[#This Row],[Mã khách hàng]],code_khach_hang[],3,0)</f>
        <v>Miền Bắc đặc biệt 2</v>
      </c>
      <c r="H3220" t="str">
        <f>VLOOKUP(Table8[[#This Row],[Mã khách hàng]],'Khách hàng'!A:D,4,0)</f>
        <v>Food Đức Việt</v>
      </c>
      <c r="I3220" t="str">
        <f>VLOOKUP(Table8[[#This Row],[Mã khách hàng]],'Khách hàng'!A:E,5,0)</f>
        <v>QNTV50</v>
      </c>
    </row>
    <row r="3221" spans="1:9">
      <c r="A3221" s="14" t="s">
        <v>11342</v>
      </c>
      <c r="B3221" s="15" t="s">
        <v>5</v>
      </c>
      <c r="C3221" s="16" t="s">
        <v>11664</v>
      </c>
      <c r="D3221" s="21" t="s">
        <v>11665</v>
      </c>
      <c r="E3221" s="15" t="s">
        <v>11444</v>
      </c>
      <c r="F3221" s="22" t="str">
        <f>VLOOKUP(Table8[[#This Row],[Mã khách hàng]],code_khach_hang[],2,0)</f>
        <v>CHI NHÁNH QUẢNG NAM - CÔNG TY CỔ PHẦN DỊCH VỤ THƯƠNG MẠI TỔNG HỢP WINCOMMERCE</v>
      </c>
      <c r="G3221" s="16" t="str">
        <f>VLOOKUP(Table8[[#This Row],[Mã khách hàng]],code_khach_hang[],3,0)</f>
        <v>Miền Trung đặc biệt 1</v>
      </c>
      <c r="H3221" t="str">
        <f>VLOOKUP(Table8[[#This Row],[Mã khách hàng]],'Khách hàng'!A:D,4,0)</f>
        <v>Food Đức Việt</v>
      </c>
      <c r="I3221" t="str">
        <f>VLOOKUP(Table8[[#This Row],[Mã khách hàng]],'Khách hàng'!A:E,5,0)</f>
        <v>DNTG100</v>
      </c>
    </row>
    <row r="3222" spans="1:9">
      <c r="A3222" s="14" t="s">
        <v>11343</v>
      </c>
      <c r="B3222" s="15" t="s">
        <v>5</v>
      </c>
      <c r="C3222" s="16" t="s">
        <v>11666</v>
      </c>
      <c r="D3222" s="21" t="s">
        <v>11667</v>
      </c>
      <c r="E3222" s="15" t="s">
        <v>11444</v>
      </c>
      <c r="F3222" s="22" t="str">
        <f>VLOOKUP(Table8[[#This Row],[Mã khách hàng]],code_khach_hang[],2,0)</f>
        <v>CHI NHÁNH QUẢNG NAM - CÔNG TY CỔ PHẦN DỊCH VỤ THƯƠNG MẠI TỔNG HỢP WINCOMMERCE</v>
      </c>
      <c r="G3222" s="16" t="str">
        <f>VLOOKUP(Table8[[#This Row],[Mã khách hàng]],code_khach_hang[],3,0)</f>
        <v>Miền Trung đặc biệt 1</v>
      </c>
      <c r="H3222" t="str">
        <f>VLOOKUP(Table8[[#This Row],[Mã khách hàng]],'Khách hàng'!A:D,4,0)</f>
        <v>Food Đức Việt</v>
      </c>
      <c r="I3222" t="str">
        <f>VLOOKUP(Table8[[#This Row],[Mã khách hàng]],'Khách hàng'!A:E,5,0)</f>
        <v>DNTG100</v>
      </c>
    </row>
    <row r="3223" spans="1:9">
      <c r="A3223" s="14" t="s">
        <v>11344</v>
      </c>
      <c r="B3223" s="15" t="s">
        <v>5</v>
      </c>
      <c r="C3223" s="16" t="s">
        <v>11668</v>
      </c>
      <c r="D3223" s="21" t="s">
        <v>11669</v>
      </c>
      <c r="E3223" s="15" t="s">
        <v>11449</v>
      </c>
      <c r="F3223" s="22" t="str">
        <f>VLOOKUP(Table8[[#This Row],[Mã khách hàng]],code_khach_hang[],2,0)</f>
        <v>CHI NHÁNH QUẢNG NGÃI - CÔNG TY CỔ PHẦN DỊCH VỤ THƯƠNG MẠI TỔNG HỢP WINCOMMERCE</v>
      </c>
      <c r="G3223" s="16" t="str">
        <f>VLOOKUP(Table8[[#This Row],[Mã khách hàng]],code_khach_hang[],3,0)</f>
        <v>Miền Trung đặc biệt 1</v>
      </c>
      <c r="H3223" t="str">
        <f>VLOOKUP(Table8[[#This Row],[Mã khách hàng]],'Khách hàng'!A:D,4,0)</f>
        <v>Food Đức Việt</v>
      </c>
      <c r="I3223" t="str">
        <f>VLOOKUP(Table8[[#This Row],[Mã khách hàng]],'Khách hàng'!A:E,5,0)</f>
        <v>DNTG100</v>
      </c>
    </row>
    <row r="3224" spans="1:9">
      <c r="A3224" s="14" t="s">
        <v>11345</v>
      </c>
      <c r="B3224" s="15" t="s">
        <v>5</v>
      </c>
      <c r="C3224" s="16" t="s">
        <v>11670</v>
      </c>
      <c r="D3224" s="21" t="s">
        <v>11671</v>
      </c>
      <c r="E3224" s="15" t="s">
        <v>11442</v>
      </c>
      <c r="F3224" s="22" t="str">
        <f>VLOOKUP(Table8[[#This Row],[Mã khách hàng]],code_khach_hang[],2,0)</f>
        <v>CHI NHÁNH ĐÀ NẴNG - CÔNG TY CỔ PHẦN DỊCH VỤ THƯƠNG MẠI TỔNG HỢP WINCOMMERCE</v>
      </c>
      <c r="G3224" s="16" t="str">
        <f>VLOOKUP(Table8[[#This Row],[Mã khách hàng]],code_khach_hang[],3,0)</f>
        <v>Miền Trung đặc biệt 1</v>
      </c>
      <c r="H3224" t="str">
        <f>VLOOKUP(Table8[[#This Row],[Mã khách hàng]],'Khách hàng'!A:D,4,0)</f>
        <v>Food Đức Việt</v>
      </c>
      <c r="I3224" t="str">
        <f>VLOOKUP(Table8[[#This Row],[Mã khách hàng]],'Khách hàng'!A:E,5,0)</f>
        <v>DNTG100</v>
      </c>
    </row>
    <row r="3225" spans="1:9">
      <c r="A3225" s="14" t="s">
        <v>11346</v>
      </c>
      <c r="B3225" s="15" t="s">
        <v>5</v>
      </c>
      <c r="C3225" s="16" t="s">
        <v>11672</v>
      </c>
      <c r="D3225" s="21" t="s">
        <v>11673</v>
      </c>
      <c r="E3225" s="15" t="s">
        <v>11445</v>
      </c>
      <c r="F3225" s="22" t="str">
        <f>VLOOKUP(Table8[[#This Row],[Mã khách hàng]],code_khach_hang[],2,0)</f>
        <v>CHI NHÁNH THỪA THIÊN HUẾ - CÔNG TY CỔ PHẦN DỊCH VỤ THƯƠNG MẠI TỔNG HỢP WINCOMMERCE</v>
      </c>
      <c r="G3225" s="16" t="str">
        <f>VLOOKUP(Table8[[#This Row],[Mã khách hàng]],code_khach_hang[],3,0)</f>
        <v>Miền Trung đặc biệt 1</v>
      </c>
      <c r="H3225" t="str">
        <f>VLOOKUP(Table8[[#This Row],[Mã khách hàng]],'Khách hàng'!A:D,4,0)</f>
        <v>Food Đức Việt</v>
      </c>
      <c r="I3225" t="str">
        <f>VLOOKUP(Table8[[#This Row],[Mã khách hàng]],'Khách hàng'!A:E,5,0)</f>
        <v>DNTG100</v>
      </c>
    </row>
    <row r="3226" spans="1:9">
      <c r="A3226" s="14" t="s">
        <v>11347</v>
      </c>
      <c r="B3226" s="15" t="s">
        <v>5</v>
      </c>
      <c r="C3226" s="16" t="s">
        <v>11674</v>
      </c>
      <c r="D3226" s="21" t="s">
        <v>11675</v>
      </c>
      <c r="E3226" s="15" t="s">
        <v>11445</v>
      </c>
      <c r="F3226" s="22" t="str">
        <f>VLOOKUP(Table8[[#This Row],[Mã khách hàng]],code_khach_hang[],2,0)</f>
        <v>CHI NHÁNH THỪA THIÊN HUẾ - CÔNG TY CỔ PHẦN DỊCH VỤ THƯƠNG MẠI TỔNG HỢP WINCOMMERCE</v>
      </c>
      <c r="G3226" s="16" t="str">
        <f>VLOOKUP(Table8[[#This Row],[Mã khách hàng]],code_khach_hang[],3,0)</f>
        <v>Miền Trung đặc biệt 1</v>
      </c>
      <c r="H3226" t="str">
        <f>VLOOKUP(Table8[[#This Row],[Mã khách hàng]],'Khách hàng'!A:D,4,0)</f>
        <v>Food Đức Việt</v>
      </c>
      <c r="I3226" t="str">
        <f>VLOOKUP(Table8[[#This Row],[Mã khách hàng]],'Khách hàng'!A:E,5,0)</f>
        <v>DNTG100</v>
      </c>
    </row>
    <row r="3227" spans="1:9">
      <c r="A3227" s="14" t="s">
        <v>11348</v>
      </c>
      <c r="B3227" s="15" t="s">
        <v>5</v>
      </c>
      <c r="C3227" s="16" t="s">
        <v>11676</v>
      </c>
      <c r="D3227" s="21" t="s">
        <v>11677</v>
      </c>
      <c r="E3227" s="15" t="s">
        <v>11444</v>
      </c>
      <c r="F3227" s="22" t="str">
        <f>VLOOKUP(Table8[[#This Row],[Mã khách hàng]],code_khach_hang[],2,0)</f>
        <v>CHI NHÁNH QUẢNG NAM - CÔNG TY CỔ PHẦN DỊCH VỤ THƯƠNG MẠI TỔNG HỢP WINCOMMERCE</v>
      </c>
      <c r="G3227" s="16" t="str">
        <f>VLOOKUP(Table8[[#This Row],[Mã khách hàng]],code_khach_hang[],3,0)</f>
        <v>Miền Trung đặc biệt 1</v>
      </c>
      <c r="H3227" t="str">
        <f>VLOOKUP(Table8[[#This Row],[Mã khách hàng]],'Khách hàng'!A:D,4,0)</f>
        <v>Food Đức Việt</v>
      </c>
      <c r="I3227" t="str">
        <f>VLOOKUP(Table8[[#This Row],[Mã khách hàng]],'Khách hàng'!A:E,5,0)</f>
        <v>DNTG100</v>
      </c>
    </row>
    <row r="3228" spans="1:9">
      <c r="A3228" s="14" t="s">
        <v>11349</v>
      </c>
      <c r="B3228" s="15" t="s">
        <v>5</v>
      </c>
      <c r="C3228" s="16" t="s">
        <v>11678</v>
      </c>
      <c r="D3228" s="21" t="s">
        <v>11679</v>
      </c>
      <c r="E3228" s="15" t="s">
        <v>11444</v>
      </c>
      <c r="F3228" s="22" t="str">
        <f>VLOOKUP(Table8[[#This Row],[Mã khách hàng]],code_khach_hang[],2,0)</f>
        <v>CHI NHÁNH QUẢNG NAM - CÔNG TY CỔ PHẦN DỊCH VỤ THƯƠNG MẠI TỔNG HỢP WINCOMMERCE</v>
      </c>
      <c r="G3228" s="16" t="str">
        <f>VLOOKUP(Table8[[#This Row],[Mã khách hàng]],code_khach_hang[],3,0)</f>
        <v>Miền Trung đặc biệt 1</v>
      </c>
      <c r="H3228" t="str">
        <f>VLOOKUP(Table8[[#This Row],[Mã khách hàng]],'Khách hàng'!A:D,4,0)</f>
        <v>Food Đức Việt</v>
      </c>
      <c r="I3228" t="str">
        <f>VLOOKUP(Table8[[#This Row],[Mã khách hàng]],'Khách hàng'!A:E,5,0)</f>
        <v>DNTG100</v>
      </c>
    </row>
    <row r="3229" spans="1:9">
      <c r="A3229" s="14" t="s">
        <v>11350</v>
      </c>
      <c r="B3229" s="15" t="s">
        <v>5</v>
      </c>
      <c r="C3229" s="16" t="s">
        <v>11680</v>
      </c>
      <c r="D3229" s="21" t="s">
        <v>11681</v>
      </c>
      <c r="E3229" s="15" t="s">
        <v>11444</v>
      </c>
      <c r="F3229" s="22" t="str">
        <f>VLOOKUP(Table8[[#This Row],[Mã khách hàng]],code_khach_hang[],2,0)</f>
        <v>CHI NHÁNH QUẢNG NAM - CÔNG TY CỔ PHẦN DỊCH VỤ THƯƠNG MẠI TỔNG HỢP WINCOMMERCE</v>
      </c>
      <c r="G3229" s="16" t="str">
        <f>VLOOKUP(Table8[[#This Row],[Mã khách hàng]],code_khach_hang[],3,0)</f>
        <v>Miền Trung đặc biệt 1</v>
      </c>
      <c r="H3229" t="str">
        <f>VLOOKUP(Table8[[#This Row],[Mã khách hàng]],'Khách hàng'!A:D,4,0)</f>
        <v>Food Đức Việt</v>
      </c>
      <c r="I3229" t="str">
        <f>VLOOKUP(Table8[[#This Row],[Mã khách hàng]],'Khách hàng'!A:E,5,0)</f>
        <v>DNTG100</v>
      </c>
    </row>
    <row r="3230" spans="1:9">
      <c r="A3230" s="14" t="s">
        <v>11351</v>
      </c>
      <c r="B3230" s="15" t="s">
        <v>5</v>
      </c>
      <c r="C3230" s="16" t="s">
        <v>11682</v>
      </c>
      <c r="D3230" s="21" t="s">
        <v>11683</v>
      </c>
      <c r="E3230" s="15" t="s">
        <v>11442</v>
      </c>
      <c r="F3230" s="22" t="str">
        <f>VLOOKUP(Table8[[#This Row],[Mã khách hàng]],code_khach_hang[],2,0)</f>
        <v>CHI NHÁNH ĐÀ NẴNG - CÔNG TY CỔ PHẦN DỊCH VỤ THƯƠNG MẠI TỔNG HỢP WINCOMMERCE</v>
      </c>
      <c r="G3230" s="16" t="str">
        <f>VLOOKUP(Table8[[#This Row],[Mã khách hàng]],code_khach_hang[],3,0)</f>
        <v>Miền Trung đặc biệt 1</v>
      </c>
      <c r="H3230" t="str">
        <f>VLOOKUP(Table8[[#This Row],[Mã khách hàng]],'Khách hàng'!A:D,4,0)</f>
        <v>Food Đức Việt</v>
      </c>
      <c r="I3230" t="str">
        <f>VLOOKUP(Table8[[#This Row],[Mã khách hàng]],'Khách hàng'!A:E,5,0)</f>
        <v>DNTG100</v>
      </c>
    </row>
    <row r="3231" spans="1:9">
      <c r="A3231" s="14" t="s">
        <v>11352</v>
      </c>
      <c r="B3231" s="15" t="s">
        <v>5</v>
      </c>
      <c r="C3231" s="16" t="s">
        <v>11684</v>
      </c>
      <c r="D3231" s="21" t="s">
        <v>11685</v>
      </c>
      <c r="E3231" s="15" t="s">
        <v>11444</v>
      </c>
      <c r="F3231" s="22" t="str">
        <f>VLOOKUP(Table8[[#This Row],[Mã khách hàng]],code_khach_hang[],2,0)</f>
        <v>CHI NHÁNH QUẢNG NAM - CÔNG TY CỔ PHẦN DỊCH VỤ THƯƠNG MẠI TỔNG HỢP WINCOMMERCE</v>
      </c>
      <c r="G3231" s="16" t="str">
        <f>VLOOKUP(Table8[[#This Row],[Mã khách hàng]],code_khach_hang[],3,0)</f>
        <v>Miền Trung đặc biệt 1</v>
      </c>
      <c r="H3231" t="str">
        <f>VLOOKUP(Table8[[#This Row],[Mã khách hàng]],'Khách hàng'!A:D,4,0)</f>
        <v>Food Đức Việt</v>
      </c>
      <c r="I3231" t="str">
        <f>VLOOKUP(Table8[[#This Row],[Mã khách hàng]],'Khách hàng'!A:E,5,0)</f>
        <v>DNTG100</v>
      </c>
    </row>
    <row r="3232" spans="1:9">
      <c r="A3232" s="14" t="s">
        <v>11353</v>
      </c>
      <c r="B3232" s="15" t="s">
        <v>5</v>
      </c>
      <c r="C3232" s="16" t="s">
        <v>11686</v>
      </c>
      <c r="D3232" s="21" t="s">
        <v>11687</v>
      </c>
      <c r="E3232" s="15" t="s">
        <v>11444</v>
      </c>
      <c r="F3232" s="22" t="str">
        <f>VLOOKUP(Table8[[#This Row],[Mã khách hàng]],code_khach_hang[],2,0)</f>
        <v>CHI NHÁNH QUẢNG NAM - CÔNG TY CỔ PHẦN DỊCH VỤ THƯƠNG MẠI TỔNG HỢP WINCOMMERCE</v>
      </c>
      <c r="G3232" s="16" t="str">
        <f>VLOOKUP(Table8[[#This Row],[Mã khách hàng]],code_khach_hang[],3,0)</f>
        <v>Miền Trung đặc biệt 1</v>
      </c>
      <c r="H3232" t="str">
        <f>VLOOKUP(Table8[[#This Row],[Mã khách hàng]],'Khách hàng'!A:D,4,0)</f>
        <v>Food Đức Việt</v>
      </c>
      <c r="I3232" t="str">
        <f>VLOOKUP(Table8[[#This Row],[Mã khách hàng]],'Khách hàng'!A:E,5,0)</f>
        <v>DNTG100</v>
      </c>
    </row>
    <row r="3233" spans="1:9">
      <c r="A3233" s="14" t="s">
        <v>11354</v>
      </c>
      <c r="B3233" s="15" t="s">
        <v>5</v>
      </c>
      <c r="C3233" s="16" t="s">
        <v>11688</v>
      </c>
      <c r="D3233" s="21" t="s">
        <v>11689</v>
      </c>
      <c r="E3233" s="15" t="s">
        <v>11446</v>
      </c>
      <c r="F3233" s="22" t="str">
        <f>VLOOKUP(Table8[[#This Row],[Mã khách hàng]],code_khach_hang[],2,0)</f>
        <v>CHI NHÁNH GIA LAI - CÔNG TY CỔ PHẦN DỊCH VỤ THƯƠNG MẠI TỔNG HỢP WINCOMMERCE</v>
      </c>
      <c r="G3233" s="16" t="str">
        <f>VLOOKUP(Table8[[#This Row],[Mã khách hàng]],code_khach_hang[],3,0)</f>
        <v>Miền Bắc đặc biệt 2</v>
      </c>
      <c r="H3233" t="str">
        <f>VLOOKUP(Table8[[#This Row],[Mã khách hàng]],'Khách hàng'!A:D,4,0)</f>
        <v>Food Đức Việt</v>
      </c>
      <c r="I3233" t="str">
        <f>VLOOKUP(Table8[[#This Row],[Mã khách hàng]],'Khách hàng'!A:E,5,0)</f>
        <v>QNTV50</v>
      </c>
    </row>
    <row r="3234" spans="1:9">
      <c r="A3234" s="14" t="s">
        <v>11355</v>
      </c>
      <c r="B3234" s="15" t="s">
        <v>5</v>
      </c>
      <c r="C3234" s="16" t="s">
        <v>11690</v>
      </c>
      <c r="D3234" s="21" t="s">
        <v>11691</v>
      </c>
      <c r="E3234" s="15" t="s">
        <v>11445</v>
      </c>
      <c r="F3234" s="22" t="str">
        <f>VLOOKUP(Table8[[#This Row],[Mã khách hàng]],code_khach_hang[],2,0)</f>
        <v>CHI NHÁNH THỪA THIÊN HUẾ - CÔNG TY CỔ PHẦN DỊCH VỤ THƯƠNG MẠI TỔNG HỢP WINCOMMERCE</v>
      </c>
      <c r="G3234" s="16" t="str">
        <f>VLOOKUP(Table8[[#This Row],[Mã khách hàng]],code_khach_hang[],3,0)</f>
        <v>Miền Trung đặc biệt 1</v>
      </c>
      <c r="H3234" t="str">
        <f>VLOOKUP(Table8[[#This Row],[Mã khách hàng]],'Khách hàng'!A:D,4,0)</f>
        <v>Food Đức Việt</v>
      </c>
      <c r="I3234" t="str">
        <f>VLOOKUP(Table8[[#This Row],[Mã khách hàng]],'Khách hàng'!A:E,5,0)</f>
        <v>DNTG100</v>
      </c>
    </row>
    <row r="3235" spans="1:9">
      <c r="A3235" s="14" t="s">
        <v>11356</v>
      </c>
      <c r="B3235" s="15" t="s">
        <v>5</v>
      </c>
      <c r="C3235" s="16" t="s">
        <v>11692</v>
      </c>
      <c r="D3235" s="21" t="s">
        <v>11693</v>
      </c>
      <c r="E3235" s="15" t="s">
        <v>11444</v>
      </c>
      <c r="F3235" s="22" t="str">
        <f>VLOOKUP(Table8[[#This Row],[Mã khách hàng]],code_khach_hang[],2,0)</f>
        <v>CHI NHÁNH QUẢNG NAM - CÔNG TY CỔ PHẦN DỊCH VỤ THƯƠNG MẠI TỔNG HỢP WINCOMMERCE</v>
      </c>
      <c r="G3235" s="16" t="str">
        <f>VLOOKUP(Table8[[#This Row],[Mã khách hàng]],code_khach_hang[],3,0)</f>
        <v>Miền Trung đặc biệt 1</v>
      </c>
      <c r="H3235" t="str">
        <f>VLOOKUP(Table8[[#This Row],[Mã khách hàng]],'Khách hàng'!A:D,4,0)</f>
        <v>Food Đức Việt</v>
      </c>
      <c r="I3235" t="str">
        <f>VLOOKUP(Table8[[#This Row],[Mã khách hàng]],'Khách hàng'!A:E,5,0)</f>
        <v>DNTG100</v>
      </c>
    </row>
    <row r="3236" spans="1:9">
      <c r="A3236" s="14" t="s">
        <v>11357</v>
      </c>
      <c r="B3236" s="15" t="s">
        <v>5</v>
      </c>
      <c r="C3236" s="16" t="s">
        <v>11694</v>
      </c>
      <c r="D3236" s="21" t="s">
        <v>11695</v>
      </c>
      <c r="E3236" s="15" t="s">
        <v>11241</v>
      </c>
      <c r="F3236" s="22" t="str">
        <f>VLOOKUP(Table8[[#This Row],[Mã khách hàng]],code_khach_hang[],2,0)</f>
        <v>CHI NHÁNH BÌNH ĐỊNH - CÔNG TY CỔ PHẦN DỊCH VỤ THƯƠNG MẠI TỔNG HỢP WINCOMMERCE</v>
      </c>
      <c r="G3236" s="16" t="str">
        <f>VLOOKUP(Table8[[#This Row],[Mã khách hàng]],code_khach_hang[],3,0)</f>
        <v>Miền Trung đặc biệt 2</v>
      </c>
      <c r="H3236" t="str">
        <f>VLOOKUP(Table8[[#This Row],[Mã khách hàng]],'Khách hàng'!A:D,4,0)</f>
        <v>Food Đức Việt</v>
      </c>
      <c r="I3236" t="str">
        <f>VLOOKUP(Table8[[#This Row],[Mã khách hàng]],'Khách hàng'!A:E,5,0)</f>
        <v>QNTV50</v>
      </c>
    </row>
    <row r="3237" spans="1:9">
      <c r="A3237" s="14" t="s">
        <v>11358</v>
      </c>
      <c r="B3237" s="15" t="s">
        <v>5</v>
      </c>
      <c r="C3237" s="16" t="s">
        <v>11696</v>
      </c>
      <c r="D3237" s="21" t="s">
        <v>11697</v>
      </c>
      <c r="E3237" s="15" t="s">
        <v>11444</v>
      </c>
      <c r="F3237" s="22" t="str">
        <f>VLOOKUP(Table8[[#This Row],[Mã khách hàng]],code_khach_hang[],2,0)</f>
        <v>CHI NHÁNH QUẢNG NAM - CÔNG TY CỔ PHẦN DỊCH VỤ THƯƠNG MẠI TỔNG HỢP WINCOMMERCE</v>
      </c>
      <c r="G3237" s="16" t="str">
        <f>VLOOKUP(Table8[[#This Row],[Mã khách hàng]],code_khach_hang[],3,0)</f>
        <v>Miền Trung đặc biệt 1</v>
      </c>
      <c r="H3237" t="str">
        <f>VLOOKUP(Table8[[#This Row],[Mã khách hàng]],'Khách hàng'!A:D,4,0)</f>
        <v>Food Đức Việt</v>
      </c>
      <c r="I3237" t="str">
        <f>VLOOKUP(Table8[[#This Row],[Mã khách hàng]],'Khách hàng'!A:E,5,0)</f>
        <v>DNTG100</v>
      </c>
    </row>
    <row r="3238" spans="1:9">
      <c r="A3238" s="14" t="s">
        <v>11359</v>
      </c>
      <c r="B3238" s="15" t="s">
        <v>5</v>
      </c>
      <c r="C3238" s="16" t="s">
        <v>11698</v>
      </c>
      <c r="D3238" s="21" t="s">
        <v>11699</v>
      </c>
      <c r="E3238" s="15" t="s">
        <v>11444</v>
      </c>
      <c r="F3238" s="22" t="str">
        <f>VLOOKUP(Table8[[#This Row],[Mã khách hàng]],code_khach_hang[],2,0)</f>
        <v>CHI NHÁNH QUẢNG NAM - CÔNG TY CỔ PHẦN DỊCH VỤ THƯƠNG MẠI TỔNG HỢP WINCOMMERCE</v>
      </c>
      <c r="G3238" s="16" t="str">
        <f>VLOOKUP(Table8[[#This Row],[Mã khách hàng]],code_khach_hang[],3,0)</f>
        <v>Miền Trung đặc biệt 1</v>
      </c>
      <c r="H3238" t="str">
        <f>VLOOKUP(Table8[[#This Row],[Mã khách hàng]],'Khách hàng'!A:D,4,0)</f>
        <v>Food Đức Việt</v>
      </c>
      <c r="I3238" t="str">
        <f>VLOOKUP(Table8[[#This Row],[Mã khách hàng]],'Khách hàng'!A:E,5,0)</f>
        <v>DNTG100</v>
      </c>
    </row>
    <row r="3239" spans="1:9">
      <c r="A3239" s="14" t="s">
        <v>11360</v>
      </c>
      <c r="B3239" s="15" t="s">
        <v>5</v>
      </c>
      <c r="C3239" s="16" t="s">
        <v>11700</v>
      </c>
      <c r="D3239" s="21" t="s">
        <v>11701</v>
      </c>
      <c r="E3239" s="15" t="s">
        <v>11241</v>
      </c>
      <c r="F3239" s="22" t="str">
        <f>VLOOKUP(Table8[[#This Row],[Mã khách hàng]],code_khach_hang[],2,0)</f>
        <v>CHI NHÁNH BÌNH ĐỊNH - CÔNG TY CỔ PHẦN DỊCH VỤ THƯƠNG MẠI TỔNG HỢP WINCOMMERCE</v>
      </c>
      <c r="G3239" s="16" t="str">
        <f>VLOOKUP(Table8[[#This Row],[Mã khách hàng]],code_khach_hang[],3,0)</f>
        <v>Miền Trung đặc biệt 2</v>
      </c>
      <c r="H3239" t="str">
        <f>VLOOKUP(Table8[[#This Row],[Mã khách hàng]],'Khách hàng'!A:D,4,0)</f>
        <v>Food Đức Việt</v>
      </c>
      <c r="I3239" t="str">
        <f>VLOOKUP(Table8[[#This Row],[Mã khách hàng]],'Khách hàng'!A:E,5,0)</f>
        <v>QNTV50</v>
      </c>
    </row>
    <row r="3240" spans="1:9">
      <c r="A3240" s="14" t="s">
        <v>11361</v>
      </c>
      <c r="B3240" s="15" t="s">
        <v>5</v>
      </c>
      <c r="C3240" s="16" t="s">
        <v>11702</v>
      </c>
      <c r="D3240" s="21" t="s">
        <v>11703</v>
      </c>
      <c r="E3240" s="15" t="s">
        <v>11449</v>
      </c>
      <c r="F3240" s="22" t="str">
        <f>VLOOKUP(Table8[[#This Row],[Mã khách hàng]],code_khach_hang[],2,0)</f>
        <v>CHI NHÁNH QUẢNG NGÃI - CÔNG TY CỔ PHẦN DỊCH VỤ THƯƠNG MẠI TỔNG HỢP WINCOMMERCE</v>
      </c>
      <c r="G3240" s="16" t="str">
        <f>VLOOKUP(Table8[[#This Row],[Mã khách hàng]],code_khach_hang[],3,0)</f>
        <v>Miền Trung đặc biệt 1</v>
      </c>
      <c r="H3240" t="str">
        <f>VLOOKUP(Table8[[#This Row],[Mã khách hàng]],'Khách hàng'!A:D,4,0)</f>
        <v>Food Đức Việt</v>
      </c>
      <c r="I3240" t="str">
        <f>VLOOKUP(Table8[[#This Row],[Mã khách hàng]],'Khách hàng'!A:E,5,0)</f>
        <v>DNTG100</v>
      </c>
    </row>
    <row r="3241" spans="1:9">
      <c r="A3241" s="14" t="s">
        <v>11362</v>
      </c>
      <c r="B3241" s="15" t="s">
        <v>5</v>
      </c>
      <c r="C3241" s="16" t="s">
        <v>11704</v>
      </c>
      <c r="D3241" s="21" t="s">
        <v>11705</v>
      </c>
      <c r="E3241" s="15" t="s">
        <v>11449</v>
      </c>
      <c r="F3241" s="22" t="str">
        <f>VLOOKUP(Table8[[#This Row],[Mã khách hàng]],code_khach_hang[],2,0)</f>
        <v>CHI NHÁNH QUẢNG NGÃI - CÔNG TY CỔ PHẦN DỊCH VỤ THƯƠNG MẠI TỔNG HỢP WINCOMMERCE</v>
      </c>
      <c r="G3241" s="16" t="str">
        <f>VLOOKUP(Table8[[#This Row],[Mã khách hàng]],code_khach_hang[],3,0)</f>
        <v>Miền Trung đặc biệt 1</v>
      </c>
      <c r="H3241" t="str">
        <f>VLOOKUP(Table8[[#This Row],[Mã khách hàng]],'Khách hàng'!A:D,4,0)</f>
        <v>Food Đức Việt</v>
      </c>
      <c r="I3241" t="str">
        <f>VLOOKUP(Table8[[#This Row],[Mã khách hàng]],'Khách hàng'!A:E,5,0)</f>
        <v>DNTG100</v>
      </c>
    </row>
    <row r="3242" spans="1:9">
      <c r="A3242" s="14" t="s">
        <v>11363</v>
      </c>
      <c r="B3242" s="15" t="s">
        <v>5</v>
      </c>
      <c r="C3242" s="16" t="s">
        <v>11706</v>
      </c>
      <c r="D3242" s="21" t="s">
        <v>11707</v>
      </c>
      <c r="E3242" s="15" t="s">
        <v>11241</v>
      </c>
      <c r="F3242" s="22" t="str">
        <f>VLOOKUP(Table8[[#This Row],[Mã khách hàng]],code_khach_hang[],2,0)</f>
        <v>CHI NHÁNH BÌNH ĐỊNH - CÔNG TY CỔ PHẦN DỊCH VỤ THƯƠNG MẠI TỔNG HỢP WINCOMMERCE</v>
      </c>
      <c r="G3242" s="16" t="str">
        <f>VLOOKUP(Table8[[#This Row],[Mã khách hàng]],code_khach_hang[],3,0)</f>
        <v>Miền Trung đặc biệt 2</v>
      </c>
      <c r="H3242" t="str">
        <f>VLOOKUP(Table8[[#This Row],[Mã khách hàng]],'Khách hàng'!A:D,4,0)</f>
        <v>Food Đức Việt</v>
      </c>
      <c r="I3242" t="str">
        <f>VLOOKUP(Table8[[#This Row],[Mã khách hàng]],'Khách hàng'!A:E,5,0)</f>
        <v>QNTV50</v>
      </c>
    </row>
    <row r="3243" spans="1:9">
      <c r="A3243" s="14" t="s">
        <v>11364</v>
      </c>
      <c r="B3243" s="15" t="s">
        <v>5</v>
      </c>
      <c r="C3243" s="16" t="s">
        <v>11708</v>
      </c>
      <c r="D3243" s="21" t="s">
        <v>11709</v>
      </c>
      <c r="E3243" s="15" t="s">
        <v>11446</v>
      </c>
      <c r="F3243" s="22" t="str">
        <f>VLOOKUP(Table8[[#This Row],[Mã khách hàng]],code_khach_hang[],2,0)</f>
        <v>CHI NHÁNH GIA LAI - CÔNG TY CỔ PHẦN DỊCH VỤ THƯƠNG MẠI TỔNG HỢP WINCOMMERCE</v>
      </c>
      <c r="G3243" s="16" t="str">
        <f>VLOOKUP(Table8[[#This Row],[Mã khách hàng]],code_khach_hang[],3,0)</f>
        <v>Miền Bắc đặc biệt 2</v>
      </c>
      <c r="H3243" t="str">
        <f>VLOOKUP(Table8[[#This Row],[Mã khách hàng]],'Khách hàng'!A:D,4,0)</f>
        <v>Food Đức Việt</v>
      </c>
      <c r="I3243" t="str">
        <f>VLOOKUP(Table8[[#This Row],[Mã khách hàng]],'Khách hàng'!A:E,5,0)</f>
        <v>QNTV50</v>
      </c>
    </row>
    <row r="3244" spans="1:9">
      <c r="A3244" s="14" t="s">
        <v>11365</v>
      </c>
      <c r="B3244" s="15" t="s">
        <v>5</v>
      </c>
      <c r="C3244" s="16" t="s">
        <v>11710</v>
      </c>
      <c r="D3244" s="21" t="s">
        <v>11711</v>
      </c>
      <c r="E3244" s="15" t="s">
        <v>11444</v>
      </c>
      <c r="F3244" s="22" t="str">
        <f>VLOOKUP(Table8[[#This Row],[Mã khách hàng]],code_khach_hang[],2,0)</f>
        <v>CHI NHÁNH QUẢNG NAM - CÔNG TY CỔ PHẦN DỊCH VỤ THƯƠNG MẠI TỔNG HỢP WINCOMMERCE</v>
      </c>
      <c r="G3244" s="16" t="str">
        <f>VLOOKUP(Table8[[#This Row],[Mã khách hàng]],code_khach_hang[],3,0)</f>
        <v>Miền Trung đặc biệt 1</v>
      </c>
      <c r="H3244" t="str">
        <f>VLOOKUP(Table8[[#This Row],[Mã khách hàng]],'Khách hàng'!A:D,4,0)</f>
        <v>Food Đức Việt</v>
      </c>
      <c r="I3244" t="str">
        <f>VLOOKUP(Table8[[#This Row],[Mã khách hàng]],'Khách hàng'!A:E,5,0)</f>
        <v>DNTG100</v>
      </c>
    </row>
    <row r="3245" spans="1:9">
      <c r="A3245" s="14" t="s">
        <v>11366</v>
      </c>
      <c r="B3245" s="15" t="s">
        <v>5</v>
      </c>
      <c r="C3245" s="16" t="s">
        <v>11712</v>
      </c>
      <c r="D3245" s="21" t="s">
        <v>11713</v>
      </c>
      <c r="E3245" s="15" t="s">
        <v>11444</v>
      </c>
      <c r="F3245" s="22" t="str">
        <f>VLOOKUP(Table8[[#This Row],[Mã khách hàng]],code_khach_hang[],2,0)</f>
        <v>CHI NHÁNH QUẢNG NAM - CÔNG TY CỔ PHẦN DỊCH VỤ THƯƠNG MẠI TỔNG HỢP WINCOMMERCE</v>
      </c>
      <c r="G3245" s="16" t="str">
        <f>VLOOKUP(Table8[[#This Row],[Mã khách hàng]],code_khach_hang[],3,0)</f>
        <v>Miền Trung đặc biệt 1</v>
      </c>
      <c r="H3245" t="str">
        <f>VLOOKUP(Table8[[#This Row],[Mã khách hàng]],'Khách hàng'!A:D,4,0)</f>
        <v>Food Đức Việt</v>
      </c>
      <c r="I3245" t="str">
        <f>VLOOKUP(Table8[[#This Row],[Mã khách hàng]],'Khách hàng'!A:E,5,0)</f>
        <v>DNTG100</v>
      </c>
    </row>
    <row r="3246" spans="1:9">
      <c r="A3246" s="14" t="s">
        <v>11367</v>
      </c>
      <c r="B3246" s="15" t="s">
        <v>5</v>
      </c>
      <c r="C3246" s="16" t="s">
        <v>11714</v>
      </c>
      <c r="D3246" s="21" t="s">
        <v>11715</v>
      </c>
      <c r="E3246" s="15" t="s">
        <v>11447</v>
      </c>
      <c r="F3246" s="22" t="str">
        <f>VLOOKUP(Table8[[#This Row],[Mã khách hàng]],code_khach_hang[],2,0)</f>
        <v>CHI NHÁNH QUẢNG TRỊ - CÔNG TY CỔ PHẦN DỊCH VỤ THƯƠNG MẠI TỔNG HỢP WINCOMMERCE</v>
      </c>
      <c r="G3246" s="16" t="str">
        <f>VLOOKUP(Table8[[#This Row],[Mã khách hàng]],code_khach_hang[],3,0)</f>
        <v>Miền Trung đặc biệt 1</v>
      </c>
      <c r="H3246" t="str">
        <f>VLOOKUP(Table8[[#This Row],[Mã khách hàng]],'Khách hàng'!A:D,4,0)</f>
        <v>Food Đức Việt</v>
      </c>
      <c r="I3246" t="str">
        <f>VLOOKUP(Table8[[#This Row],[Mã khách hàng]],'Khách hàng'!A:E,5,0)</f>
        <v>DNTG100</v>
      </c>
    </row>
    <row r="3247" spans="1:9">
      <c r="A3247" s="14" t="s">
        <v>11368</v>
      </c>
      <c r="B3247" s="15" t="s">
        <v>5</v>
      </c>
      <c r="C3247" s="16" t="s">
        <v>11716</v>
      </c>
      <c r="D3247" s="21" t="s">
        <v>11717</v>
      </c>
      <c r="E3247" s="15" t="s">
        <v>11445</v>
      </c>
      <c r="F3247" s="22" t="str">
        <f>VLOOKUP(Table8[[#This Row],[Mã khách hàng]],code_khach_hang[],2,0)</f>
        <v>CHI NHÁNH THỪA THIÊN HUẾ - CÔNG TY CỔ PHẦN DỊCH VỤ THƯƠNG MẠI TỔNG HỢP WINCOMMERCE</v>
      </c>
      <c r="G3247" s="16" t="str">
        <f>VLOOKUP(Table8[[#This Row],[Mã khách hàng]],code_khach_hang[],3,0)</f>
        <v>Miền Trung đặc biệt 1</v>
      </c>
      <c r="H3247" t="str">
        <f>VLOOKUP(Table8[[#This Row],[Mã khách hàng]],'Khách hàng'!A:D,4,0)</f>
        <v>Food Đức Việt</v>
      </c>
      <c r="I3247" t="str">
        <f>VLOOKUP(Table8[[#This Row],[Mã khách hàng]],'Khách hàng'!A:E,5,0)</f>
        <v>DNTG100</v>
      </c>
    </row>
    <row r="3248" spans="1:9">
      <c r="A3248" s="14" t="s">
        <v>11369</v>
      </c>
      <c r="B3248" s="15" t="s">
        <v>5</v>
      </c>
      <c r="C3248" s="16" t="s">
        <v>11718</v>
      </c>
      <c r="D3248" s="21" t="s">
        <v>11719</v>
      </c>
      <c r="E3248" s="15" t="s">
        <v>11444</v>
      </c>
      <c r="F3248" s="22" t="str">
        <f>VLOOKUP(Table8[[#This Row],[Mã khách hàng]],code_khach_hang[],2,0)</f>
        <v>CHI NHÁNH QUẢNG NAM - CÔNG TY CỔ PHẦN DỊCH VỤ THƯƠNG MẠI TỔNG HỢP WINCOMMERCE</v>
      </c>
      <c r="G3248" s="16" t="str">
        <f>VLOOKUP(Table8[[#This Row],[Mã khách hàng]],code_khach_hang[],3,0)</f>
        <v>Miền Trung đặc biệt 1</v>
      </c>
      <c r="H3248" t="str">
        <f>VLOOKUP(Table8[[#This Row],[Mã khách hàng]],'Khách hàng'!A:D,4,0)</f>
        <v>Food Đức Việt</v>
      </c>
      <c r="I3248" t="str">
        <f>VLOOKUP(Table8[[#This Row],[Mã khách hàng]],'Khách hàng'!A:E,5,0)</f>
        <v>DNTG100</v>
      </c>
    </row>
    <row r="3249" spans="1:9">
      <c r="A3249" s="14" t="s">
        <v>11370</v>
      </c>
      <c r="B3249" s="15" t="s">
        <v>5</v>
      </c>
      <c r="C3249" s="16" t="s">
        <v>11720</v>
      </c>
      <c r="D3249" s="21" t="s">
        <v>11721</v>
      </c>
      <c r="E3249" s="15" t="s">
        <v>11444</v>
      </c>
      <c r="F3249" s="22" t="str">
        <f>VLOOKUP(Table8[[#This Row],[Mã khách hàng]],code_khach_hang[],2,0)</f>
        <v>CHI NHÁNH QUẢNG NAM - CÔNG TY CỔ PHẦN DỊCH VỤ THƯƠNG MẠI TỔNG HỢP WINCOMMERCE</v>
      </c>
      <c r="G3249" s="16" t="str">
        <f>VLOOKUP(Table8[[#This Row],[Mã khách hàng]],code_khach_hang[],3,0)</f>
        <v>Miền Trung đặc biệt 1</v>
      </c>
      <c r="H3249" t="str">
        <f>VLOOKUP(Table8[[#This Row],[Mã khách hàng]],'Khách hàng'!A:D,4,0)</f>
        <v>Food Đức Việt</v>
      </c>
      <c r="I3249" t="str">
        <f>VLOOKUP(Table8[[#This Row],[Mã khách hàng]],'Khách hàng'!A:E,5,0)</f>
        <v>DNTG100</v>
      </c>
    </row>
    <row r="3250" spans="1:9">
      <c r="A3250" s="14" t="s">
        <v>11371</v>
      </c>
      <c r="B3250" s="15" t="s">
        <v>5</v>
      </c>
      <c r="C3250" s="16" t="s">
        <v>11722</v>
      </c>
      <c r="D3250" s="21" t="s">
        <v>11723</v>
      </c>
      <c r="E3250" s="15" t="s">
        <v>11241</v>
      </c>
      <c r="F3250" s="22" t="str">
        <f>VLOOKUP(Table8[[#This Row],[Mã khách hàng]],code_khach_hang[],2,0)</f>
        <v>CHI NHÁNH BÌNH ĐỊNH - CÔNG TY CỔ PHẦN DỊCH VỤ THƯƠNG MẠI TỔNG HỢP WINCOMMERCE</v>
      </c>
      <c r="G3250" s="16" t="str">
        <f>VLOOKUP(Table8[[#This Row],[Mã khách hàng]],code_khach_hang[],3,0)</f>
        <v>Miền Trung đặc biệt 2</v>
      </c>
      <c r="H3250" t="str">
        <f>VLOOKUP(Table8[[#This Row],[Mã khách hàng]],'Khách hàng'!A:D,4,0)</f>
        <v>Food Đức Việt</v>
      </c>
      <c r="I3250" t="str">
        <f>VLOOKUP(Table8[[#This Row],[Mã khách hàng]],'Khách hàng'!A:E,5,0)</f>
        <v>QNTV50</v>
      </c>
    </row>
    <row r="3251" spans="1:9">
      <c r="A3251" s="14" t="s">
        <v>11372</v>
      </c>
      <c r="B3251" s="15" t="s">
        <v>5</v>
      </c>
      <c r="C3251" s="16" t="s">
        <v>11724</v>
      </c>
      <c r="D3251" s="21" t="s">
        <v>11725</v>
      </c>
      <c r="E3251" s="15" t="s">
        <v>11445</v>
      </c>
      <c r="F3251" s="22" t="str">
        <f>VLOOKUP(Table8[[#This Row],[Mã khách hàng]],code_khach_hang[],2,0)</f>
        <v>CHI NHÁNH THỪA THIÊN HUẾ - CÔNG TY CỔ PHẦN DỊCH VỤ THƯƠNG MẠI TỔNG HỢP WINCOMMERCE</v>
      </c>
      <c r="G3251" s="16" t="str">
        <f>VLOOKUP(Table8[[#This Row],[Mã khách hàng]],code_khach_hang[],3,0)</f>
        <v>Miền Trung đặc biệt 1</v>
      </c>
      <c r="H3251" t="str">
        <f>VLOOKUP(Table8[[#This Row],[Mã khách hàng]],'Khách hàng'!A:D,4,0)</f>
        <v>Food Đức Việt</v>
      </c>
      <c r="I3251" t="str">
        <f>VLOOKUP(Table8[[#This Row],[Mã khách hàng]],'Khách hàng'!A:E,5,0)</f>
        <v>DNTG100</v>
      </c>
    </row>
    <row r="3252" spans="1:9">
      <c r="A3252" s="14" t="s">
        <v>11373</v>
      </c>
      <c r="B3252" s="15" t="s">
        <v>5</v>
      </c>
      <c r="C3252" s="16" t="s">
        <v>11726</v>
      </c>
      <c r="D3252" s="21" t="s">
        <v>11727</v>
      </c>
      <c r="E3252" s="15" t="s">
        <v>11449</v>
      </c>
      <c r="F3252" s="22" t="str">
        <f>VLOOKUP(Table8[[#This Row],[Mã khách hàng]],code_khach_hang[],2,0)</f>
        <v>CHI NHÁNH QUẢNG NGÃI - CÔNG TY CỔ PHẦN DỊCH VỤ THƯƠNG MẠI TỔNG HỢP WINCOMMERCE</v>
      </c>
      <c r="G3252" s="16" t="str">
        <f>VLOOKUP(Table8[[#This Row],[Mã khách hàng]],code_khach_hang[],3,0)</f>
        <v>Miền Trung đặc biệt 1</v>
      </c>
      <c r="H3252" t="str">
        <f>VLOOKUP(Table8[[#This Row],[Mã khách hàng]],'Khách hàng'!A:D,4,0)</f>
        <v>Food Đức Việt</v>
      </c>
      <c r="I3252" t="str">
        <f>VLOOKUP(Table8[[#This Row],[Mã khách hàng]],'Khách hàng'!A:E,5,0)</f>
        <v>DNTG100</v>
      </c>
    </row>
    <row r="3253" spans="1:9">
      <c r="A3253" s="14" t="s">
        <v>11374</v>
      </c>
      <c r="B3253" s="15" t="s">
        <v>5</v>
      </c>
      <c r="C3253" s="16" t="s">
        <v>11728</v>
      </c>
      <c r="D3253" s="21" t="s">
        <v>11729</v>
      </c>
      <c r="E3253" s="15" t="s">
        <v>11444</v>
      </c>
      <c r="F3253" s="22" t="str">
        <f>VLOOKUP(Table8[[#This Row],[Mã khách hàng]],code_khach_hang[],2,0)</f>
        <v>CHI NHÁNH QUẢNG NAM - CÔNG TY CỔ PHẦN DỊCH VỤ THƯƠNG MẠI TỔNG HỢP WINCOMMERCE</v>
      </c>
      <c r="G3253" s="16" t="str">
        <f>VLOOKUP(Table8[[#This Row],[Mã khách hàng]],code_khach_hang[],3,0)</f>
        <v>Miền Trung đặc biệt 1</v>
      </c>
      <c r="H3253" t="str">
        <f>VLOOKUP(Table8[[#This Row],[Mã khách hàng]],'Khách hàng'!A:D,4,0)</f>
        <v>Food Đức Việt</v>
      </c>
      <c r="I3253" t="str">
        <f>VLOOKUP(Table8[[#This Row],[Mã khách hàng]],'Khách hàng'!A:E,5,0)</f>
        <v>DNTG100</v>
      </c>
    </row>
    <row r="3254" spans="1:9">
      <c r="A3254" s="14" t="s">
        <v>11375</v>
      </c>
      <c r="B3254" s="15" t="s">
        <v>5</v>
      </c>
      <c r="C3254" s="16" t="s">
        <v>11730</v>
      </c>
      <c r="D3254" s="21" t="s">
        <v>11731</v>
      </c>
      <c r="E3254" s="15" t="s">
        <v>11449</v>
      </c>
      <c r="F3254" s="22" t="str">
        <f>VLOOKUP(Table8[[#This Row],[Mã khách hàng]],code_khach_hang[],2,0)</f>
        <v>CHI NHÁNH QUẢNG NGÃI - CÔNG TY CỔ PHẦN DỊCH VỤ THƯƠNG MẠI TỔNG HỢP WINCOMMERCE</v>
      </c>
      <c r="G3254" s="16" t="str">
        <f>VLOOKUP(Table8[[#This Row],[Mã khách hàng]],code_khach_hang[],3,0)</f>
        <v>Miền Trung đặc biệt 1</v>
      </c>
      <c r="H3254" t="str">
        <f>VLOOKUP(Table8[[#This Row],[Mã khách hàng]],'Khách hàng'!A:D,4,0)</f>
        <v>Food Đức Việt</v>
      </c>
      <c r="I3254" t="str">
        <f>VLOOKUP(Table8[[#This Row],[Mã khách hàng]],'Khách hàng'!A:E,5,0)</f>
        <v>DNTG100</v>
      </c>
    </row>
    <row r="3255" spans="1:9">
      <c r="A3255" s="14" t="s">
        <v>11376</v>
      </c>
      <c r="B3255" s="15" t="s">
        <v>5</v>
      </c>
      <c r="C3255" s="16" t="s">
        <v>11732</v>
      </c>
      <c r="D3255" s="21" t="s">
        <v>11733</v>
      </c>
      <c r="E3255" s="15" t="s">
        <v>11445</v>
      </c>
      <c r="F3255" s="22" t="str">
        <f>VLOOKUP(Table8[[#This Row],[Mã khách hàng]],code_khach_hang[],2,0)</f>
        <v>CHI NHÁNH THỪA THIÊN HUẾ - CÔNG TY CỔ PHẦN DỊCH VỤ THƯƠNG MẠI TỔNG HỢP WINCOMMERCE</v>
      </c>
      <c r="G3255" s="16" t="str">
        <f>VLOOKUP(Table8[[#This Row],[Mã khách hàng]],code_khach_hang[],3,0)</f>
        <v>Miền Trung đặc biệt 1</v>
      </c>
      <c r="H3255" t="str">
        <f>VLOOKUP(Table8[[#This Row],[Mã khách hàng]],'Khách hàng'!A:D,4,0)</f>
        <v>Food Đức Việt</v>
      </c>
      <c r="I3255" t="str">
        <f>VLOOKUP(Table8[[#This Row],[Mã khách hàng]],'Khách hàng'!A:E,5,0)</f>
        <v>DNTG100</v>
      </c>
    </row>
    <row r="3256" spans="1:9">
      <c r="A3256" s="14" t="s">
        <v>11377</v>
      </c>
      <c r="B3256" s="15" t="s">
        <v>5</v>
      </c>
      <c r="C3256" s="16" t="s">
        <v>11734</v>
      </c>
      <c r="D3256" s="21" t="s">
        <v>11735</v>
      </c>
      <c r="E3256" s="15" t="s">
        <v>11445</v>
      </c>
      <c r="F3256" s="22" t="str">
        <f>VLOOKUP(Table8[[#This Row],[Mã khách hàng]],code_khach_hang[],2,0)</f>
        <v>CHI NHÁNH THỪA THIÊN HUẾ - CÔNG TY CỔ PHẦN DỊCH VỤ THƯƠNG MẠI TỔNG HỢP WINCOMMERCE</v>
      </c>
      <c r="G3256" s="16" t="str">
        <f>VLOOKUP(Table8[[#This Row],[Mã khách hàng]],code_khach_hang[],3,0)</f>
        <v>Miền Trung đặc biệt 1</v>
      </c>
      <c r="H3256" t="str">
        <f>VLOOKUP(Table8[[#This Row],[Mã khách hàng]],'Khách hàng'!A:D,4,0)</f>
        <v>Food Đức Việt</v>
      </c>
      <c r="I3256" t="str">
        <f>VLOOKUP(Table8[[#This Row],[Mã khách hàng]],'Khách hàng'!A:E,5,0)</f>
        <v>DNTG100</v>
      </c>
    </row>
    <row r="3257" spans="1:9">
      <c r="A3257" s="14" t="s">
        <v>11378</v>
      </c>
      <c r="B3257" s="15" t="s">
        <v>5</v>
      </c>
      <c r="C3257" s="16" t="s">
        <v>11736</v>
      </c>
      <c r="D3257" s="21" t="s">
        <v>11737</v>
      </c>
      <c r="E3257" s="15" t="s">
        <v>11241</v>
      </c>
      <c r="F3257" s="22" t="str">
        <f>VLOOKUP(Table8[[#This Row],[Mã khách hàng]],code_khach_hang[],2,0)</f>
        <v>CHI NHÁNH BÌNH ĐỊNH - CÔNG TY CỔ PHẦN DỊCH VỤ THƯƠNG MẠI TỔNG HỢP WINCOMMERCE</v>
      </c>
      <c r="G3257" s="16" t="str">
        <f>VLOOKUP(Table8[[#This Row],[Mã khách hàng]],code_khach_hang[],3,0)</f>
        <v>Miền Trung đặc biệt 2</v>
      </c>
      <c r="H3257" t="str">
        <f>VLOOKUP(Table8[[#This Row],[Mã khách hàng]],'Khách hàng'!A:D,4,0)</f>
        <v>Food Đức Việt</v>
      </c>
      <c r="I3257" t="str">
        <f>VLOOKUP(Table8[[#This Row],[Mã khách hàng]],'Khách hàng'!A:E,5,0)</f>
        <v>QNTV50</v>
      </c>
    </row>
    <row r="3258" spans="1:9">
      <c r="A3258" s="14" t="s">
        <v>11379</v>
      </c>
      <c r="B3258" s="15" t="s">
        <v>5</v>
      </c>
      <c r="C3258" s="16" t="s">
        <v>11738</v>
      </c>
      <c r="D3258" s="21" t="s">
        <v>11739</v>
      </c>
      <c r="E3258" s="15" t="s">
        <v>11449</v>
      </c>
      <c r="F3258" s="22" t="str">
        <f>VLOOKUP(Table8[[#This Row],[Mã khách hàng]],code_khach_hang[],2,0)</f>
        <v>CHI NHÁNH QUẢNG NGÃI - CÔNG TY CỔ PHẦN DỊCH VỤ THƯƠNG MẠI TỔNG HỢP WINCOMMERCE</v>
      </c>
      <c r="G3258" s="16" t="str">
        <f>VLOOKUP(Table8[[#This Row],[Mã khách hàng]],code_khach_hang[],3,0)</f>
        <v>Miền Trung đặc biệt 1</v>
      </c>
      <c r="H3258" t="str">
        <f>VLOOKUP(Table8[[#This Row],[Mã khách hàng]],'Khách hàng'!A:D,4,0)</f>
        <v>Food Đức Việt</v>
      </c>
      <c r="I3258" t="str">
        <f>VLOOKUP(Table8[[#This Row],[Mã khách hàng]],'Khách hàng'!A:E,5,0)</f>
        <v>DNTG100</v>
      </c>
    </row>
    <row r="3259" spans="1:9">
      <c r="A3259" s="14" t="s">
        <v>11380</v>
      </c>
      <c r="B3259" s="15" t="s">
        <v>5</v>
      </c>
      <c r="C3259" s="16" t="s">
        <v>11740</v>
      </c>
      <c r="D3259" s="21" t="s">
        <v>11741</v>
      </c>
      <c r="E3259" s="15" t="s">
        <v>11444</v>
      </c>
      <c r="F3259" s="22" t="str">
        <f>VLOOKUP(Table8[[#This Row],[Mã khách hàng]],code_khach_hang[],2,0)</f>
        <v>CHI NHÁNH QUẢNG NAM - CÔNG TY CỔ PHẦN DỊCH VỤ THƯƠNG MẠI TỔNG HỢP WINCOMMERCE</v>
      </c>
      <c r="G3259" s="16" t="str">
        <f>VLOOKUP(Table8[[#This Row],[Mã khách hàng]],code_khach_hang[],3,0)</f>
        <v>Miền Trung đặc biệt 1</v>
      </c>
      <c r="H3259" t="str">
        <f>VLOOKUP(Table8[[#This Row],[Mã khách hàng]],'Khách hàng'!A:D,4,0)</f>
        <v>Food Đức Việt</v>
      </c>
      <c r="I3259" t="str">
        <f>VLOOKUP(Table8[[#This Row],[Mã khách hàng]],'Khách hàng'!A:E,5,0)</f>
        <v>DNTG100</v>
      </c>
    </row>
    <row r="3260" spans="1:9">
      <c r="A3260" s="14" t="s">
        <v>11381</v>
      </c>
      <c r="B3260" s="15" t="s">
        <v>5</v>
      </c>
      <c r="C3260" s="16" t="s">
        <v>11742</v>
      </c>
      <c r="D3260" s="21" t="s">
        <v>11743</v>
      </c>
      <c r="E3260" s="15" t="s">
        <v>11442</v>
      </c>
      <c r="F3260" s="22" t="str">
        <f>VLOOKUP(Table8[[#This Row],[Mã khách hàng]],code_khach_hang[],2,0)</f>
        <v>CHI NHÁNH ĐÀ NẴNG - CÔNG TY CỔ PHẦN DỊCH VỤ THƯƠNG MẠI TỔNG HỢP WINCOMMERCE</v>
      </c>
      <c r="G3260" s="16" t="str">
        <f>VLOOKUP(Table8[[#This Row],[Mã khách hàng]],code_khach_hang[],3,0)</f>
        <v>Miền Trung đặc biệt 1</v>
      </c>
      <c r="H3260" t="str">
        <f>VLOOKUP(Table8[[#This Row],[Mã khách hàng]],'Khách hàng'!A:D,4,0)</f>
        <v>Food Đức Việt</v>
      </c>
      <c r="I3260" t="str">
        <f>VLOOKUP(Table8[[#This Row],[Mã khách hàng]],'Khách hàng'!A:E,5,0)</f>
        <v>DNTG100</v>
      </c>
    </row>
    <row r="3261" spans="1:9">
      <c r="A3261" s="14" t="s">
        <v>11382</v>
      </c>
      <c r="B3261" s="15" t="s">
        <v>5</v>
      </c>
      <c r="C3261" s="16" t="s">
        <v>11744</v>
      </c>
      <c r="D3261" s="21" t="s">
        <v>11745</v>
      </c>
      <c r="E3261" s="15" t="s">
        <v>11241</v>
      </c>
      <c r="F3261" s="22" t="str">
        <f>VLOOKUP(Table8[[#This Row],[Mã khách hàng]],code_khach_hang[],2,0)</f>
        <v>CHI NHÁNH BÌNH ĐỊNH - CÔNG TY CỔ PHẦN DỊCH VỤ THƯƠNG MẠI TỔNG HỢP WINCOMMERCE</v>
      </c>
      <c r="G3261" s="16" t="str">
        <f>VLOOKUP(Table8[[#This Row],[Mã khách hàng]],code_khach_hang[],3,0)</f>
        <v>Miền Trung đặc biệt 2</v>
      </c>
      <c r="H3261" t="str">
        <f>VLOOKUP(Table8[[#This Row],[Mã khách hàng]],'Khách hàng'!A:D,4,0)</f>
        <v>Food Đức Việt</v>
      </c>
      <c r="I3261" t="str">
        <f>VLOOKUP(Table8[[#This Row],[Mã khách hàng]],'Khách hàng'!A:E,5,0)</f>
        <v>QNTV50</v>
      </c>
    </row>
    <row r="3262" spans="1:9">
      <c r="A3262" s="14" t="s">
        <v>11383</v>
      </c>
      <c r="B3262" s="15" t="s">
        <v>5</v>
      </c>
      <c r="C3262" s="16" t="s">
        <v>11746</v>
      </c>
      <c r="D3262" s="21" t="s">
        <v>11747</v>
      </c>
      <c r="E3262" s="15" t="s">
        <v>11444</v>
      </c>
      <c r="F3262" s="22" t="str">
        <f>VLOOKUP(Table8[[#This Row],[Mã khách hàng]],code_khach_hang[],2,0)</f>
        <v>CHI NHÁNH QUẢNG NAM - CÔNG TY CỔ PHẦN DỊCH VỤ THƯƠNG MẠI TỔNG HỢP WINCOMMERCE</v>
      </c>
      <c r="G3262" s="16" t="str">
        <f>VLOOKUP(Table8[[#This Row],[Mã khách hàng]],code_khach_hang[],3,0)</f>
        <v>Miền Trung đặc biệt 1</v>
      </c>
      <c r="H3262" t="str">
        <f>VLOOKUP(Table8[[#This Row],[Mã khách hàng]],'Khách hàng'!A:D,4,0)</f>
        <v>Food Đức Việt</v>
      </c>
      <c r="I3262" t="str">
        <f>VLOOKUP(Table8[[#This Row],[Mã khách hàng]],'Khách hàng'!A:E,5,0)</f>
        <v>DNTG100</v>
      </c>
    </row>
    <row r="3263" spans="1:9">
      <c r="A3263" s="14" t="s">
        <v>11384</v>
      </c>
      <c r="B3263" s="15" t="s">
        <v>5</v>
      </c>
      <c r="C3263" s="16" t="s">
        <v>11748</v>
      </c>
      <c r="D3263" s="21" t="s">
        <v>11749</v>
      </c>
      <c r="E3263" s="15" t="s">
        <v>11442</v>
      </c>
      <c r="F3263" s="22" t="str">
        <f>VLOOKUP(Table8[[#This Row],[Mã khách hàng]],code_khach_hang[],2,0)</f>
        <v>CHI NHÁNH ĐÀ NẴNG - CÔNG TY CỔ PHẦN DỊCH VỤ THƯƠNG MẠI TỔNG HỢP WINCOMMERCE</v>
      </c>
      <c r="G3263" s="16" t="str">
        <f>VLOOKUP(Table8[[#This Row],[Mã khách hàng]],code_khach_hang[],3,0)</f>
        <v>Miền Trung đặc biệt 1</v>
      </c>
      <c r="H3263" t="str">
        <f>VLOOKUP(Table8[[#This Row],[Mã khách hàng]],'Khách hàng'!A:D,4,0)</f>
        <v>Food Đức Việt</v>
      </c>
      <c r="I3263" t="str">
        <f>VLOOKUP(Table8[[#This Row],[Mã khách hàng]],'Khách hàng'!A:E,5,0)</f>
        <v>DNTG100</v>
      </c>
    </row>
    <row r="3264" spans="1:9">
      <c r="A3264" s="14" t="s">
        <v>11385</v>
      </c>
      <c r="B3264" s="15" t="s">
        <v>5</v>
      </c>
      <c r="C3264" s="16" t="s">
        <v>11750</v>
      </c>
      <c r="D3264" s="21" t="s">
        <v>11751</v>
      </c>
      <c r="E3264" s="15" t="s">
        <v>11445</v>
      </c>
      <c r="F3264" s="22" t="str">
        <f>VLOOKUP(Table8[[#This Row],[Mã khách hàng]],code_khach_hang[],2,0)</f>
        <v>CHI NHÁNH THỪA THIÊN HUẾ - CÔNG TY CỔ PHẦN DỊCH VỤ THƯƠNG MẠI TỔNG HỢP WINCOMMERCE</v>
      </c>
      <c r="G3264" s="16" t="str">
        <f>VLOOKUP(Table8[[#This Row],[Mã khách hàng]],code_khach_hang[],3,0)</f>
        <v>Miền Trung đặc biệt 1</v>
      </c>
      <c r="H3264" t="str">
        <f>VLOOKUP(Table8[[#This Row],[Mã khách hàng]],'Khách hàng'!A:D,4,0)</f>
        <v>Food Đức Việt</v>
      </c>
      <c r="I3264" t="str">
        <f>VLOOKUP(Table8[[#This Row],[Mã khách hàng]],'Khách hàng'!A:E,5,0)</f>
        <v>DNTG100</v>
      </c>
    </row>
    <row r="3265" spans="1:9">
      <c r="A3265" s="14" t="s">
        <v>11386</v>
      </c>
      <c r="B3265" s="15" t="s">
        <v>5</v>
      </c>
      <c r="C3265" s="16" t="s">
        <v>11752</v>
      </c>
      <c r="D3265" s="21" t="s">
        <v>11753</v>
      </c>
      <c r="E3265" s="15" t="s">
        <v>11445</v>
      </c>
      <c r="F3265" s="22" t="str">
        <f>VLOOKUP(Table8[[#This Row],[Mã khách hàng]],code_khach_hang[],2,0)</f>
        <v>CHI NHÁNH THỪA THIÊN HUẾ - CÔNG TY CỔ PHẦN DỊCH VỤ THƯƠNG MẠI TỔNG HỢP WINCOMMERCE</v>
      </c>
      <c r="G3265" s="16" t="str">
        <f>VLOOKUP(Table8[[#This Row],[Mã khách hàng]],code_khach_hang[],3,0)</f>
        <v>Miền Trung đặc biệt 1</v>
      </c>
      <c r="H3265" t="str">
        <f>VLOOKUP(Table8[[#This Row],[Mã khách hàng]],'Khách hàng'!A:D,4,0)</f>
        <v>Food Đức Việt</v>
      </c>
      <c r="I3265" t="str">
        <f>VLOOKUP(Table8[[#This Row],[Mã khách hàng]],'Khách hàng'!A:E,5,0)</f>
        <v>DNTG100</v>
      </c>
    </row>
    <row r="3266" spans="1:9">
      <c r="A3266" s="14" t="s">
        <v>11387</v>
      </c>
      <c r="B3266" s="15" t="s">
        <v>5</v>
      </c>
      <c r="C3266" s="16" t="s">
        <v>11754</v>
      </c>
      <c r="D3266" s="21" t="s">
        <v>11755</v>
      </c>
      <c r="E3266" s="15" t="s">
        <v>11444</v>
      </c>
      <c r="F3266" s="22" t="str">
        <f>VLOOKUP(Table8[[#This Row],[Mã khách hàng]],code_khach_hang[],2,0)</f>
        <v>CHI NHÁNH QUẢNG NAM - CÔNG TY CỔ PHẦN DỊCH VỤ THƯƠNG MẠI TỔNG HỢP WINCOMMERCE</v>
      </c>
      <c r="G3266" s="16" t="str">
        <f>VLOOKUP(Table8[[#This Row],[Mã khách hàng]],code_khach_hang[],3,0)</f>
        <v>Miền Trung đặc biệt 1</v>
      </c>
      <c r="H3266" t="str">
        <f>VLOOKUP(Table8[[#This Row],[Mã khách hàng]],'Khách hàng'!A:D,4,0)</f>
        <v>Food Đức Việt</v>
      </c>
      <c r="I3266" t="str">
        <f>VLOOKUP(Table8[[#This Row],[Mã khách hàng]],'Khách hàng'!A:E,5,0)</f>
        <v>DNTG100</v>
      </c>
    </row>
    <row r="3267" spans="1:9">
      <c r="A3267" s="14" t="s">
        <v>11388</v>
      </c>
      <c r="B3267" s="15" t="s">
        <v>5</v>
      </c>
      <c r="C3267" s="16" t="s">
        <v>11756</v>
      </c>
      <c r="D3267" s="21" t="s">
        <v>11757</v>
      </c>
      <c r="E3267" s="15" t="s">
        <v>11241</v>
      </c>
      <c r="F3267" s="22" t="str">
        <f>VLOOKUP(Table8[[#This Row],[Mã khách hàng]],code_khach_hang[],2,0)</f>
        <v>CHI NHÁNH BÌNH ĐỊNH - CÔNG TY CỔ PHẦN DỊCH VỤ THƯƠNG MẠI TỔNG HỢP WINCOMMERCE</v>
      </c>
      <c r="G3267" s="16" t="str">
        <f>VLOOKUP(Table8[[#This Row],[Mã khách hàng]],code_khach_hang[],3,0)</f>
        <v>Miền Trung đặc biệt 2</v>
      </c>
      <c r="H3267" t="str">
        <f>VLOOKUP(Table8[[#This Row],[Mã khách hàng]],'Khách hàng'!A:D,4,0)</f>
        <v>Food Đức Việt</v>
      </c>
      <c r="I3267" t="str">
        <f>VLOOKUP(Table8[[#This Row],[Mã khách hàng]],'Khách hàng'!A:E,5,0)</f>
        <v>QNTV50</v>
      </c>
    </row>
    <row r="3268" spans="1:9">
      <c r="A3268" s="14" t="s">
        <v>11389</v>
      </c>
      <c r="B3268" s="15" t="s">
        <v>5</v>
      </c>
      <c r="C3268" s="16" t="s">
        <v>11758</v>
      </c>
      <c r="D3268" s="21" t="s">
        <v>11759</v>
      </c>
      <c r="E3268" s="15" t="s">
        <v>11445</v>
      </c>
      <c r="F3268" s="22" t="str">
        <f>VLOOKUP(Table8[[#This Row],[Mã khách hàng]],code_khach_hang[],2,0)</f>
        <v>CHI NHÁNH THỪA THIÊN HUẾ - CÔNG TY CỔ PHẦN DỊCH VỤ THƯƠNG MẠI TỔNG HỢP WINCOMMERCE</v>
      </c>
      <c r="G3268" s="16" t="str">
        <f>VLOOKUP(Table8[[#This Row],[Mã khách hàng]],code_khach_hang[],3,0)</f>
        <v>Miền Trung đặc biệt 1</v>
      </c>
      <c r="H3268" t="str">
        <f>VLOOKUP(Table8[[#This Row],[Mã khách hàng]],'Khách hàng'!A:D,4,0)</f>
        <v>Food Đức Việt</v>
      </c>
      <c r="I3268" t="str">
        <f>VLOOKUP(Table8[[#This Row],[Mã khách hàng]],'Khách hàng'!A:E,5,0)</f>
        <v>DNTG100</v>
      </c>
    </row>
    <row r="3269" spans="1:9">
      <c r="A3269" s="14" t="s">
        <v>11390</v>
      </c>
      <c r="B3269" s="15" t="s">
        <v>5</v>
      </c>
      <c r="C3269" s="16" t="s">
        <v>11760</v>
      </c>
      <c r="D3269" s="21" t="s">
        <v>11761</v>
      </c>
      <c r="E3269" s="15" t="s">
        <v>11442</v>
      </c>
      <c r="F3269" s="22" t="str">
        <f>VLOOKUP(Table8[[#This Row],[Mã khách hàng]],code_khach_hang[],2,0)</f>
        <v>CHI NHÁNH ĐÀ NẴNG - CÔNG TY CỔ PHẦN DỊCH VỤ THƯƠNG MẠI TỔNG HỢP WINCOMMERCE</v>
      </c>
      <c r="G3269" s="16" t="str">
        <f>VLOOKUP(Table8[[#This Row],[Mã khách hàng]],code_khach_hang[],3,0)</f>
        <v>Miền Trung đặc biệt 1</v>
      </c>
      <c r="H3269" t="str">
        <f>VLOOKUP(Table8[[#This Row],[Mã khách hàng]],'Khách hàng'!A:D,4,0)</f>
        <v>Food Đức Việt</v>
      </c>
      <c r="I3269" t="str">
        <f>VLOOKUP(Table8[[#This Row],[Mã khách hàng]],'Khách hàng'!A:E,5,0)</f>
        <v>DNTG100</v>
      </c>
    </row>
    <row r="3270" spans="1:9">
      <c r="A3270" s="14" t="s">
        <v>11391</v>
      </c>
      <c r="B3270" s="15" t="s">
        <v>5</v>
      </c>
      <c r="C3270" s="16" t="s">
        <v>11762</v>
      </c>
      <c r="D3270" s="21" t="s">
        <v>11763</v>
      </c>
      <c r="E3270" s="15" t="s">
        <v>11442</v>
      </c>
      <c r="F3270" s="22" t="str">
        <f>VLOOKUP(Table8[[#This Row],[Mã khách hàng]],code_khach_hang[],2,0)</f>
        <v>CHI NHÁNH ĐÀ NẴNG - CÔNG TY CỔ PHẦN DỊCH VỤ THƯƠNG MẠI TỔNG HỢP WINCOMMERCE</v>
      </c>
      <c r="G3270" s="16" t="str">
        <f>VLOOKUP(Table8[[#This Row],[Mã khách hàng]],code_khach_hang[],3,0)</f>
        <v>Miền Trung đặc biệt 1</v>
      </c>
      <c r="H3270" t="str">
        <f>VLOOKUP(Table8[[#This Row],[Mã khách hàng]],'Khách hàng'!A:D,4,0)</f>
        <v>Food Đức Việt</v>
      </c>
      <c r="I3270" t="str">
        <f>VLOOKUP(Table8[[#This Row],[Mã khách hàng]],'Khách hàng'!A:E,5,0)</f>
        <v>DNTG100</v>
      </c>
    </row>
    <row r="3271" spans="1:9">
      <c r="A3271" s="14" t="s">
        <v>11392</v>
      </c>
      <c r="B3271" s="15" t="s">
        <v>5</v>
      </c>
      <c r="C3271" s="16" t="s">
        <v>11764</v>
      </c>
      <c r="D3271" s="21" t="s">
        <v>11765</v>
      </c>
      <c r="E3271" s="15" t="s">
        <v>11241</v>
      </c>
      <c r="F3271" s="22" t="str">
        <f>VLOOKUP(Table8[[#This Row],[Mã khách hàng]],code_khach_hang[],2,0)</f>
        <v>CHI NHÁNH BÌNH ĐỊNH - CÔNG TY CỔ PHẦN DỊCH VỤ THƯƠNG MẠI TỔNG HỢP WINCOMMERCE</v>
      </c>
      <c r="G3271" s="16" t="str">
        <f>VLOOKUP(Table8[[#This Row],[Mã khách hàng]],code_khach_hang[],3,0)</f>
        <v>Miền Trung đặc biệt 2</v>
      </c>
      <c r="H3271" t="str">
        <f>VLOOKUP(Table8[[#This Row],[Mã khách hàng]],'Khách hàng'!A:D,4,0)</f>
        <v>Food Đức Việt</v>
      </c>
      <c r="I3271" t="str">
        <f>VLOOKUP(Table8[[#This Row],[Mã khách hàng]],'Khách hàng'!A:E,5,0)</f>
        <v>QNTV50</v>
      </c>
    </row>
    <row r="3272" spans="1:9">
      <c r="A3272" s="14" t="s">
        <v>11393</v>
      </c>
      <c r="B3272" s="15" t="s">
        <v>5</v>
      </c>
      <c r="C3272" s="16" t="s">
        <v>11766</v>
      </c>
      <c r="D3272" s="21" t="s">
        <v>11767</v>
      </c>
      <c r="E3272" s="15" t="s">
        <v>11442</v>
      </c>
      <c r="F3272" s="22" t="str">
        <f>VLOOKUP(Table8[[#This Row],[Mã khách hàng]],code_khach_hang[],2,0)</f>
        <v>CHI NHÁNH ĐÀ NẴNG - CÔNG TY CỔ PHẦN DỊCH VỤ THƯƠNG MẠI TỔNG HỢP WINCOMMERCE</v>
      </c>
      <c r="G3272" s="16" t="str">
        <f>VLOOKUP(Table8[[#This Row],[Mã khách hàng]],code_khach_hang[],3,0)</f>
        <v>Miền Trung đặc biệt 1</v>
      </c>
      <c r="H3272" t="str">
        <f>VLOOKUP(Table8[[#This Row],[Mã khách hàng]],'Khách hàng'!A:D,4,0)</f>
        <v>Food Đức Việt</v>
      </c>
      <c r="I3272" t="str">
        <f>VLOOKUP(Table8[[#This Row],[Mã khách hàng]],'Khách hàng'!A:E,5,0)</f>
        <v>DNTG100</v>
      </c>
    </row>
    <row r="3273" spans="1:9">
      <c r="A3273" s="14" t="s">
        <v>11394</v>
      </c>
      <c r="B3273" s="15" t="s">
        <v>5</v>
      </c>
      <c r="C3273" s="16" t="s">
        <v>11768</v>
      </c>
      <c r="D3273" s="21" t="s">
        <v>11769</v>
      </c>
      <c r="E3273" s="15" t="s">
        <v>11445</v>
      </c>
      <c r="F3273" s="22" t="str">
        <f>VLOOKUP(Table8[[#This Row],[Mã khách hàng]],code_khach_hang[],2,0)</f>
        <v>CHI NHÁNH THỪA THIÊN HUẾ - CÔNG TY CỔ PHẦN DỊCH VỤ THƯƠNG MẠI TỔNG HỢP WINCOMMERCE</v>
      </c>
      <c r="G3273" s="16" t="str">
        <f>VLOOKUP(Table8[[#This Row],[Mã khách hàng]],code_khach_hang[],3,0)</f>
        <v>Miền Trung đặc biệt 1</v>
      </c>
      <c r="H3273" t="str">
        <f>VLOOKUP(Table8[[#This Row],[Mã khách hàng]],'Khách hàng'!A:D,4,0)</f>
        <v>Food Đức Việt</v>
      </c>
      <c r="I3273" t="str">
        <f>VLOOKUP(Table8[[#This Row],[Mã khách hàng]],'Khách hàng'!A:E,5,0)</f>
        <v>DNTG100</v>
      </c>
    </row>
    <row r="3274" spans="1:9">
      <c r="A3274" s="14" t="s">
        <v>11395</v>
      </c>
      <c r="B3274" s="15" t="s">
        <v>5</v>
      </c>
      <c r="C3274" s="16" t="s">
        <v>11770</v>
      </c>
      <c r="D3274" s="21" t="s">
        <v>11771</v>
      </c>
      <c r="E3274" s="15" t="s">
        <v>11446</v>
      </c>
      <c r="F3274" s="22" t="str">
        <f>VLOOKUP(Table8[[#This Row],[Mã khách hàng]],code_khach_hang[],2,0)</f>
        <v>CHI NHÁNH GIA LAI - CÔNG TY CỔ PHẦN DỊCH VỤ THƯƠNG MẠI TỔNG HỢP WINCOMMERCE</v>
      </c>
      <c r="G3274" s="16" t="str">
        <f>VLOOKUP(Table8[[#This Row],[Mã khách hàng]],code_khach_hang[],3,0)</f>
        <v>Miền Bắc đặc biệt 2</v>
      </c>
      <c r="H3274" t="str">
        <f>VLOOKUP(Table8[[#This Row],[Mã khách hàng]],'Khách hàng'!A:D,4,0)</f>
        <v>Food Đức Việt</v>
      </c>
      <c r="I3274" t="str">
        <f>VLOOKUP(Table8[[#This Row],[Mã khách hàng]],'Khách hàng'!A:E,5,0)</f>
        <v>QNTV50</v>
      </c>
    </row>
    <row r="3275" spans="1:9">
      <c r="A3275" s="14" t="s">
        <v>11396</v>
      </c>
      <c r="B3275" s="15" t="s">
        <v>5</v>
      </c>
      <c r="C3275" s="16" t="s">
        <v>11772</v>
      </c>
      <c r="D3275" s="21" t="s">
        <v>11773</v>
      </c>
      <c r="E3275" s="15" t="s">
        <v>11442</v>
      </c>
      <c r="F3275" s="22" t="str">
        <f>VLOOKUP(Table8[[#This Row],[Mã khách hàng]],code_khach_hang[],2,0)</f>
        <v>CHI NHÁNH ĐÀ NẴNG - CÔNG TY CỔ PHẦN DỊCH VỤ THƯƠNG MẠI TỔNG HỢP WINCOMMERCE</v>
      </c>
      <c r="G3275" s="16" t="str">
        <f>VLOOKUP(Table8[[#This Row],[Mã khách hàng]],code_khach_hang[],3,0)</f>
        <v>Miền Trung đặc biệt 1</v>
      </c>
      <c r="H3275" t="str">
        <f>VLOOKUP(Table8[[#This Row],[Mã khách hàng]],'Khách hàng'!A:D,4,0)</f>
        <v>Food Đức Việt</v>
      </c>
      <c r="I3275" t="str">
        <f>VLOOKUP(Table8[[#This Row],[Mã khách hàng]],'Khách hàng'!A:E,5,0)</f>
        <v>DNTG100</v>
      </c>
    </row>
    <row r="3276" spans="1:9">
      <c r="A3276" s="14" t="s">
        <v>11397</v>
      </c>
      <c r="B3276" s="15" t="s">
        <v>5</v>
      </c>
      <c r="C3276" s="16" t="s">
        <v>11774</v>
      </c>
      <c r="D3276" s="21" t="s">
        <v>11775</v>
      </c>
      <c r="E3276" s="15" t="s">
        <v>11442</v>
      </c>
      <c r="F3276" s="22" t="str">
        <f>VLOOKUP(Table8[[#This Row],[Mã khách hàng]],code_khach_hang[],2,0)</f>
        <v>CHI NHÁNH ĐÀ NẴNG - CÔNG TY CỔ PHẦN DỊCH VỤ THƯƠNG MẠI TỔNG HỢP WINCOMMERCE</v>
      </c>
      <c r="G3276" s="16" t="str">
        <f>VLOOKUP(Table8[[#This Row],[Mã khách hàng]],code_khach_hang[],3,0)</f>
        <v>Miền Trung đặc biệt 1</v>
      </c>
      <c r="H3276" t="str">
        <f>VLOOKUP(Table8[[#This Row],[Mã khách hàng]],'Khách hàng'!A:D,4,0)</f>
        <v>Food Đức Việt</v>
      </c>
      <c r="I3276" t="str">
        <f>VLOOKUP(Table8[[#This Row],[Mã khách hàng]],'Khách hàng'!A:E,5,0)</f>
        <v>DNTG100</v>
      </c>
    </row>
    <row r="3277" spans="1:9">
      <c r="A3277" s="14" t="s">
        <v>11398</v>
      </c>
      <c r="B3277" s="15" t="s">
        <v>5</v>
      </c>
      <c r="C3277" s="16" t="s">
        <v>11776</v>
      </c>
      <c r="D3277" s="21" t="s">
        <v>11777</v>
      </c>
      <c r="E3277" s="15" t="s">
        <v>11442</v>
      </c>
      <c r="F3277" s="22" t="str">
        <f>VLOOKUP(Table8[[#This Row],[Mã khách hàng]],code_khach_hang[],2,0)</f>
        <v>CHI NHÁNH ĐÀ NẴNG - CÔNG TY CỔ PHẦN DỊCH VỤ THƯƠNG MẠI TỔNG HỢP WINCOMMERCE</v>
      </c>
      <c r="G3277" s="16" t="str">
        <f>VLOOKUP(Table8[[#This Row],[Mã khách hàng]],code_khach_hang[],3,0)</f>
        <v>Miền Trung đặc biệt 1</v>
      </c>
      <c r="H3277" t="str">
        <f>VLOOKUP(Table8[[#This Row],[Mã khách hàng]],'Khách hàng'!A:D,4,0)</f>
        <v>Food Đức Việt</v>
      </c>
      <c r="I3277" t="str">
        <f>VLOOKUP(Table8[[#This Row],[Mã khách hàng]],'Khách hàng'!A:E,5,0)</f>
        <v>DNTG100</v>
      </c>
    </row>
    <row r="3278" spans="1:9">
      <c r="A3278" s="14" t="s">
        <v>11399</v>
      </c>
      <c r="B3278" s="15" t="s">
        <v>5</v>
      </c>
      <c r="C3278" s="16" t="s">
        <v>11778</v>
      </c>
      <c r="D3278" s="21" t="s">
        <v>11779</v>
      </c>
      <c r="E3278" s="15" t="s">
        <v>11445</v>
      </c>
      <c r="F3278" s="22" t="str">
        <f>VLOOKUP(Table8[[#This Row],[Mã khách hàng]],code_khach_hang[],2,0)</f>
        <v>CHI NHÁNH THỪA THIÊN HUẾ - CÔNG TY CỔ PHẦN DỊCH VỤ THƯƠNG MẠI TỔNG HỢP WINCOMMERCE</v>
      </c>
      <c r="G3278" s="16" t="str">
        <f>VLOOKUP(Table8[[#This Row],[Mã khách hàng]],code_khach_hang[],3,0)</f>
        <v>Miền Trung đặc biệt 1</v>
      </c>
      <c r="H3278" t="str">
        <f>VLOOKUP(Table8[[#This Row],[Mã khách hàng]],'Khách hàng'!A:D,4,0)</f>
        <v>Food Đức Việt</v>
      </c>
      <c r="I3278" t="str">
        <f>VLOOKUP(Table8[[#This Row],[Mã khách hàng]],'Khách hàng'!A:E,5,0)</f>
        <v>DNTG100</v>
      </c>
    </row>
    <row r="3279" spans="1:9">
      <c r="A3279" s="14" t="s">
        <v>11400</v>
      </c>
      <c r="B3279" s="15" t="s">
        <v>5</v>
      </c>
      <c r="C3279" s="16" t="s">
        <v>11780</v>
      </c>
      <c r="D3279" s="21" t="s">
        <v>11781</v>
      </c>
      <c r="E3279" s="15" t="s">
        <v>11448</v>
      </c>
      <c r="F3279" s="22" t="str">
        <f>VLOOKUP(Table8[[#This Row],[Mã khách hàng]],code_khach_hang[],2,0)</f>
        <v>CHI NHÁNH KON TUM - CÔNG TY CỔ PHẦN DỊCH VỤ THƯƠNG MẠI TỔNG HỢP WINCOMMERCE</v>
      </c>
      <c r="G3279" s="16" t="str">
        <f>VLOOKUP(Table8[[#This Row],[Mã khách hàng]],code_khach_hang[],3,0)</f>
        <v>Miền Trung đặc biệt 2</v>
      </c>
      <c r="H3279" t="str">
        <f>VLOOKUP(Table8[[#This Row],[Mã khách hàng]],'Khách hàng'!A:D,4,0)</f>
        <v>Food Đức Việt</v>
      </c>
      <c r="I3279" t="str">
        <f>VLOOKUP(Table8[[#This Row],[Mã khách hàng]],'Khách hàng'!A:E,5,0)</f>
        <v>QNTV50</v>
      </c>
    </row>
    <row r="3280" spans="1:9">
      <c r="A3280" s="14" t="s">
        <v>11401</v>
      </c>
      <c r="B3280" s="15" t="s">
        <v>5</v>
      </c>
      <c r="C3280" s="16" t="s">
        <v>11782</v>
      </c>
      <c r="D3280" s="21" t="s">
        <v>11783</v>
      </c>
      <c r="E3280" s="15" t="s">
        <v>11445</v>
      </c>
      <c r="F3280" s="22" t="str">
        <f>VLOOKUP(Table8[[#This Row],[Mã khách hàng]],code_khach_hang[],2,0)</f>
        <v>CHI NHÁNH THỪA THIÊN HUẾ - CÔNG TY CỔ PHẦN DỊCH VỤ THƯƠNG MẠI TỔNG HỢP WINCOMMERCE</v>
      </c>
      <c r="G3280" s="16" t="str">
        <f>VLOOKUP(Table8[[#This Row],[Mã khách hàng]],code_khach_hang[],3,0)</f>
        <v>Miền Trung đặc biệt 1</v>
      </c>
      <c r="H3280" t="str">
        <f>VLOOKUP(Table8[[#This Row],[Mã khách hàng]],'Khách hàng'!A:D,4,0)</f>
        <v>Food Đức Việt</v>
      </c>
      <c r="I3280" t="str">
        <f>VLOOKUP(Table8[[#This Row],[Mã khách hàng]],'Khách hàng'!A:E,5,0)</f>
        <v>DNTG100</v>
      </c>
    </row>
    <row r="3281" spans="1:9">
      <c r="A3281" s="14" t="s">
        <v>11402</v>
      </c>
      <c r="B3281" s="15" t="s">
        <v>5</v>
      </c>
      <c r="C3281" s="16" t="s">
        <v>11784</v>
      </c>
      <c r="D3281" s="21" t="s">
        <v>11785</v>
      </c>
      <c r="E3281" s="15" t="s">
        <v>11445</v>
      </c>
      <c r="F3281" s="22" t="str">
        <f>VLOOKUP(Table8[[#This Row],[Mã khách hàng]],code_khach_hang[],2,0)</f>
        <v>CHI NHÁNH THỪA THIÊN HUẾ - CÔNG TY CỔ PHẦN DỊCH VỤ THƯƠNG MẠI TỔNG HỢP WINCOMMERCE</v>
      </c>
      <c r="G3281" s="16" t="str">
        <f>VLOOKUP(Table8[[#This Row],[Mã khách hàng]],code_khach_hang[],3,0)</f>
        <v>Miền Trung đặc biệt 1</v>
      </c>
      <c r="H3281" t="str">
        <f>VLOOKUP(Table8[[#This Row],[Mã khách hàng]],'Khách hàng'!A:D,4,0)</f>
        <v>Food Đức Việt</v>
      </c>
      <c r="I3281" t="str">
        <f>VLOOKUP(Table8[[#This Row],[Mã khách hàng]],'Khách hàng'!A:E,5,0)</f>
        <v>DNTG100</v>
      </c>
    </row>
    <row r="3282" spans="1:9">
      <c r="A3282" s="14" t="s">
        <v>11403</v>
      </c>
      <c r="B3282" s="15" t="s">
        <v>5</v>
      </c>
      <c r="C3282" s="16" t="s">
        <v>11786</v>
      </c>
      <c r="D3282" s="21" t="s">
        <v>11787</v>
      </c>
      <c r="E3282" s="15" t="s">
        <v>11442</v>
      </c>
      <c r="F3282" s="22" t="str">
        <f>VLOOKUP(Table8[[#This Row],[Mã khách hàng]],code_khach_hang[],2,0)</f>
        <v>CHI NHÁNH ĐÀ NẴNG - CÔNG TY CỔ PHẦN DỊCH VỤ THƯƠNG MẠI TỔNG HỢP WINCOMMERCE</v>
      </c>
      <c r="G3282" s="16" t="str">
        <f>VLOOKUP(Table8[[#This Row],[Mã khách hàng]],code_khach_hang[],3,0)</f>
        <v>Miền Trung đặc biệt 1</v>
      </c>
      <c r="H3282" t="str">
        <f>VLOOKUP(Table8[[#This Row],[Mã khách hàng]],'Khách hàng'!A:D,4,0)</f>
        <v>Food Đức Việt</v>
      </c>
      <c r="I3282" t="str">
        <f>VLOOKUP(Table8[[#This Row],[Mã khách hàng]],'Khách hàng'!A:E,5,0)</f>
        <v>DNTG100</v>
      </c>
    </row>
    <row r="3283" spans="1:9">
      <c r="A3283" s="14" t="s">
        <v>11404</v>
      </c>
      <c r="B3283" s="15" t="s">
        <v>5</v>
      </c>
      <c r="C3283" s="16" t="s">
        <v>11788</v>
      </c>
      <c r="D3283" s="21" t="s">
        <v>11789</v>
      </c>
      <c r="E3283" s="15" t="s">
        <v>11449</v>
      </c>
      <c r="F3283" s="22" t="str">
        <f>VLOOKUP(Table8[[#This Row],[Mã khách hàng]],code_khach_hang[],2,0)</f>
        <v>CHI NHÁNH QUẢNG NGÃI - CÔNG TY CỔ PHẦN DỊCH VỤ THƯƠNG MẠI TỔNG HỢP WINCOMMERCE</v>
      </c>
      <c r="G3283" s="16" t="str">
        <f>VLOOKUP(Table8[[#This Row],[Mã khách hàng]],code_khach_hang[],3,0)</f>
        <v>Miền Trung đặc biệt 1</v>
      </c>
      <c r="H3283" t="str">
        <f>VLOOKUP(Table8[[#This Row],[Mã khách hàng]],'Khách hàng'!A:D,4,0)</f>
        <v>Food Đức Việt</v>
      </c>
      <c r="I3283" t="str">
        <f>VLOOKUP(Table8[[#This Row],[Mã khách hàng]],'Khách hàng'!A:E,5,0)</f>
        <v>DNTG100</v>
      </c>
    </row>
    <row r="3284" spans="1:9">
      <c r="A3284" s="14" t="s">
        <v>11405</v>
      </c>
      <c r="B3284" s="15" t="s">
        <v>5</v>
      </c>
      <c r="C3284" s="16" t="s">
        <v>11790</v>
      </c>
      <c r="D3284" s="21" t="s">
        <v>11791</v>
      </c>
      <c r="E3284" s="15" t="s">
        <v>11446</v>
      </c>
      <c r="F3284" s="22" t="str">
        <f>VLOOKUP(Table8[[#This Row],[Mã khách hàng]],code_khach_hang[],2,0)</f>
        <v>CHI NHÁNH GIA LAI - CÔNG TY CỔ PHẦN DỊCH VỤ THƯƠNG MẠI TỔNG HỢP WINCOMMERCE</v>
      </c>
      <c r="G3284" s="16" t="str">
        <f>VLOOKUP(Table8[[#This Row],[Mã khách hàng]],code_khach_hang[],3,0)</f>
        <v>Miền Bắc đặc biệt 2</v>
      </c>
      <c r="H3284" t="str">
        <f>VLOOKUP(Table8[[#This Row],[Mã khách hàng]],'Khách hàng'!A:D,4,0)</f>
        <v>Food Đức Việt</v>
      </c>
      <c r="I3284" t="str">
        <f>VLOOKUP(Table8[[#This Row],[Mã khách hàng]],'Khách hàng'!A:E,5,0)</f>
        <v>QNTV50</v>
      </c>
    </row>
    <row r="3285" spans="1:9">
      <c r="A3285" s="14" t="s">
        <v>11406</v>
      </c>
      <c r="B3285" s="15" t="s">
        <v>5</v>
      </c>
      <c r="C3285" s="16" t="s">
        <v>11792</v>
      </c>
      <c r="D3285" s="21" t="s">
        <v>11793</v>
      </c>
      <c r="E3285" s="15" t="s">
        <v>11442</v>
      </c>
      <c r="F3285" s="22" t="str">
        <f>VLOOKUP(Table8[[#This Row],[Mã khách hàng]],code_khach_hang[],2,0)</f>
        <v>CHI NHÁNH ĐÀ NẴNG - CÔNG TY CỔ PHẦN DỊCH VỤ THƯƠNG MẠI TỔNG HỢP WINCOMMERCE</v>
      </c>
      <c r="G3285" s="16" t="str">
        <f>VLOOKUP(Table8[[#This Row],[Mã khách hàng]],code_khach_hang[],3,0)</f>
        <v>Miền Trung đặc biệt 1</v>
      </c>
      <c r="H3285" t="str">
        <f>VLOOKUP(Table8[[#This Row],[Mã khách hàng]],'Khách hàng'!A:D,4,0)</f>
        <v>Food Đức Việt</v>
      </c>
      <c r="I3285" t="str">
        <f>VLOOKUP(Table8[[#This Row],[Mã khách hàng]],'Khách hàng'!A:E,5,0)</f>
        <v>DNTG100</v>
      </c>
    </row>
    <row r="3286" spans="1:9">
      <c r="A3286" s="14" t="s">
        <v>11407</v>
      </c>
      <c r="B3286" s="15" t="s">
        <v>5</v>
      </c>
      <c r="C3286" s="16" t="s">
        <v>11794</v>
      </c>
      <c r="D3286" s="21" t="s">
        <v>11795</v>
      </c>
      <c r="E3286" s="15" t="s">
        <v>11442</v>
      </c>
      <c r="F3286" s="22" t="str">
        <f>VLOOKUP(Table8[[#This Row],[Mã khách hàng]],code_khach_hang[],2,0)</f>
        <v>CHI NHÁNH ĐÀ NẴNG - CÔNG TY CỔ PHẦN DỊCH VỤ THƯƠNG MẠI TỔNG HỢP WINCOMMERCE</v>
      </c>
      <c r="G3286" s="16" t="str">
        <f>VLOOKUP(Table8[[#This Row],[Mã khách hàng]],code_khach_hang[],3,0)</f>
        <v>Miền Trung đặc biệt 1</v>
      </c>
      <c r="H3286" t="str">
        <f>VLOOKUP(Table8[[#This Row],[Mã khách hàng]],'Khách hàng'!A:D,4,0)</f>
        <v>Food Đức Việt</v>
      </c>
      <c r="I3286" t="str">
        <f>VLOOKUP(Table8[[#This Row],[Mã khách hàng]],'Khách hàng'!A:E,5,0)</f>
        <v>DNTG100</v>
      </c>
    </row>
    <row r="3287" spans="1:9">
      <c r="A3287" s="14" t="s">
        <v>11408</v>
      </c>
      <c r="B3287" s="15" t="s">
        <v>5</v>
      </c>
      <c r="C3287" s="16" t="s">
        <v>11796</v>
      </c>
      <c r="D3287" s="21" t="s">
        <v>11797</v>
      </c>
      <c r="E3287" s="15" t="s">
        <v>11445</v>
      </c>
      <c r="F3287" s="22" t="str">
        <f>VLOOKUP(Table8[[#This Row],[Mã khách hàng]],code_khach_hang[],2,0)</f>
        <v>CHI NHÁNH THỪA THIÊN HUẾ - CÔNG TY CỔ PHẦN DỊCH VỤ THƯƠNG MẠI TỔNG HỢP WINCOMMERCE</v>
      </c>
      <c r="G3287" s="16" t="str">
        <f>VLOOKUP(Table8[[#This Row],[Mã khách hàng]],code_khach_hang[],3,0)</f>
        <v>Miền Trung đặc biệt 1</v>
      </c>
      <c r="H3287" t="str">
        <f>VLOOKUP(Table8[[#This Row],[Mã khách hàng]],'Khách hàng'!A:D,4,0)</f>
        <v>Food Đức Việt</v>
      </c>
      <c r="I3287" t="str">
        <f>VLOOKUP(Table8[[#This Row],[Mã khách hàng]],'Khách hàng'!A:E,5,0)</f>
        <v>DNTG100</v>
      </c>
    </row>
    <row r="3288" spans="1:9">
      <c r="A3288" s="14" t="s">
        <v>11409</v>
      </c>
      <c r="B3288" s="15" t="s">
        <v>5</v>
      </c>
      <c r="C3288" s="16" t="s">
        <v>11798</v>
      </c>
      <c r="D3288" s="21" t="s">
        <v>11799</v>
      </c>
      <c r="E3288" s="15" t="s">
        <v>11442</v>
      </c>
      <c r="F3288" s="22" t="str">
        <f>VLOOKUP(Table8[[#This Row],[Mã khách hàng]],code_khach_hang[],2,0)</f>
        <v>CHI NHÁNH ĐÀ NẴNG - CÔNG TY CỔ PHẦN DỊCH VỤ THƯƠNG MẠI TỔNG HỢP WINCOMMERCE</v>
      </c>
      <c r="G3288" s="16" t="str">
        <f>VLOOKUP(Table8[[#This Row],[Mã khách hàng]],code_khach_hang[],3,0)</f>
        <v>Miền Trung đặc biệt 1</v>
      </c>
      <c r="H3288" t="str">
        <f>VLOOKUP(Table8[[#This Row],[Mã khách hàng]],'Khách hàng'!A:D,4,0)</f>
        <v>Food Đức Việt</v>
      </c>
      <c r="I3288" t="str">
        <f>VLOOKUP(Table8[[#This Row],[Mã khách hàng]],'Khách hàng'!A:E,5,0)</f>
        <v>DNTG100</v>
      </c>
    </row>
    <row r="3289" spans="1:9">
      <c r="A3289" s="14" t="s">
        <v>11410</v>
      </c>
      <c r="B3289" s="15" t="s">
        <v>5</v>
      </c>
      <c r="C3289" s="16" t="s">
        <v>11800</v>
      </c>
      <c r="D3289" s="21" t="s">
        <v>11801</v>
      </c>
      <c r="E3289" s="15" t="s">
        <v>11445</v>
      </c>
      <c r="F3289" s="22" t="str">
        <f>VLOOKUP(Table8[[#This Row],[Mã khách hàng]],code_khach_hang[],2,0)</f>
        <v>CHI NHÁNH THỪA THIÊN HUẾ - CÔNG TY CỔ PHẦN DỊCH VỤ THƯƠNG MẠI TỔNG HỢP WINCOMMERCE</v>
      </c>
      <c r="G3289" s="16" t="str">
        <f>VLOOKUP(Table8[[#This Row],[Mã khách hàng]],code_khach_hang[],3,0)</f>
        <v>Miền Trung đặc biệt 1</v>
      </c>
      <c r="H3289" t="str">
        <f>VLOOKUP(Table8[[#This Row],[Mã khách hàng]],'Khách hàng'!A:D,4,0)</f>
        <v>Food Đức Việt</v>
      </c>
      <c r="I3289" t="str">
        <f>VLOOKUP(Table8[[#This Row],[Mã khách hàng]],'Khách hàng'!A:E,5,0)</f>
        <v>DNTG100</v>
      </c>
    </row>
    <row r="3290" spans="1:9">
      <c r="A3290" s="14" t="s">
        <v>11411</v>
      </c>
      <c r="B3290" s="15" t="s">
        <v>5</v>
      </c>
      <c r="C3290" s="16" t="s">
        <v>11802</v>
      </c>
      <c r="D3290" s="21" t="s">
        <v>11803</v>
      </c>
      <c r="E3290" s="15" t="s">
        <v>11446</v>
      </c>
      <c r="F3290" s="22" t="str">
        <f>VLOOKUP(Table8[[#This Row],[Mã khách hàng]],code_khach_hang[],2,0)</f>
        <v>CHI NHÁNH GIA LAI - CÔNG TY CỔ PHẦN DỊCH VỤ THƯƠNG MẠI TỔNG HỢP WINCOMMERCE</v>
      </c>
      <c r="G3290" s="16" t="str">
        <f>VLOOKUP(Table8[[#This Row],[Mã khách hàng]],code_khach_hang[],3,0)</f>
        <v>Miền Bắc đặc biệt 2</v>
      </c>
      <c r="H3290" t="str">
        <f>VLOOKUP(Table8[[#This Row],[Mã khách hàng]],'Khách hàng'!A:D,4,0)</f>
        <v>Food Đức Việt</v>
      </c>
      <c r="I3290" t="str">
        <f>VLOOKUP(Table8[[#This Row],[Mã khách hàng]],'Khách hàng'!A:E,5,0)</f>
        <v>QNTV50</v>
      </c>
    </row>
    <row r="3291" spans="1:9">
      <c r="A3291" s="14" t="s">
        <v>11412</v>
      </c>
      <c r="B3291" s="15" t="s">
        <v>5</v>
      </c>
      <c r="C3291" s="16" t="s">
        <v>11804</v>
      </c>
      <c r="D3291" s="21" t="s">
        <v>11805</v>
      </c>
      <c r="E3291" s="15" t="s">
        <v>11241</v>
      </c>
      <c r="F3291" s="22" t="str">
        <f>VLOOKUP(Table8[[#This Row],[Mã khách hàng]],code_khach_hang[],2,0)</f>
        <v>CHI NHÁNH BÌNH ĐỊNH - CÔNG TY CỔ PHẦN DỊCH VỤ THƯƠNG MẠI TỔNG HỢP WINCOMMERCE</v>
      </c>
      <c r="G3291" s="16" t="str">
        <f>VLOOKUP(Table8[[#This Row],[Mã khách hàng]],code_khach_hang[],3,0)</f>
        <v>Miền Trung đặc biệt 2</v>
      </c>
      <c r="H3291" t="str">
        <f>VLOOKUP(Table8[[#This Row],[Mã khách hàng]],'Khách hàng'!A:D,4,0)</f>
        <v>Food Đức Việt</v>
      </c>
      <c r="I3291" t="str">
        <f>VLOOKUP(Table8[[#This Row],[Mã khách hàng]],'Khách hàng'!A:E,5,0)</f>
        <v>QNTV50</v>
      </c>
    </row>
    <row r="3292" spans="1:9">
      <c r="A3292" s="14" t="s">
        <v>11413</v>
      </c>
      <c r="B3292" s="15" t="s">
        <v>5</v>
      </c>
      <c r="C3292" s="16" t="s">
        <v>11806</v>
      </c>
      <c r="D3292" s="21" t="s">
        <v>11807</v>
      </c>
      <c r="E3292" s="15" t="s">
        <v>11448</v>
      </c>
      <c r="F3292" s="22" t="str">
        <f>VLOOKUP(Table8[[#This Row],[Mã khách hàng]],code_khach_hang[],2,0)</f>
        <v>CHI NHÁNH KON TUM - CÔNG TY CỔ PHẦN DỊCH VỤ THƯƠNG MẠI TỔNG HỢP WINCOMMERCE</v>
      </c>
      <c r="G3292" s="16" t="str">
        <f>VLOOKUP(Table8[[#This Row],[Mã khách hàng]],code_khach_hang[],3,0)</f>
        <v>Miền Trung đặc biệt 2</v>
      </c>
      <c r="H3292" t="str">
        <f>VLOOKUP(Table8[[#This Row],[Mã khách hàng]],'Khách hàng'!A:D,4,0)</f>
        <v>Food Đức Việt</v>
      </c>
      <c r="I3292" t="str">
        <f>VLOOKUP(Table8[[#This Row],[Mã khách hàng]],'Khách hàng'!A:E,5,0)</f>
        <v>QNTV50</v>
      </c>
    </row>
    <row r="3293" spans="1:9">
      <c r="A3293" s="14" t="s">
        <v>11414</v>
      </c>
      <c r="B3293" s="15" t="s">
        <v>5</v>
      </c>
      <c r="C3293" s="16" t="s">
        <v>11808</v>
      </c>
      <c r="D3293" s="21" t="s">
        <v>11809</v>
      </c>
      <c r="E3293" s="15" t="s">
        <v>11442</v>
      </c>
      <c r="F3293" s="22" t="str">
        <f>VLOOKUP(Table8[[#This Row],[Mã khách hàng]],code_khach_hang[],2,0)</f>
        <v>CHI NHÁNH ĐÀ NẴNG - CÔNG TY CỔ PHẦN DỊCH VỤ THƯƠNG MẠI TỔNG HỢP WINCOMMERCE</v>
      </c>
      <c r="G3293" s="16" t="str">
        <f>VLOOKUP(Table8[[#This Row],[Mã khách hàng]],code_khach_hang[],3,0)</f>
        <v>Miền Trung đặc biệt 1</v>
      </c>
      <c r="H3293" t="str">
        <f>VLOOKUP(Table8[[#This Row],[Mã khách hàng]],'Khách hàng'!A:D,4,0)</f>
        <v>Food Đức Việt</v>
      </c>
      <c r="I3293" t="str">
        <f>VLOOKUP(Table8[[#This Row],[Mã khách hàng]],'Khách hàng'!A:E,5,0)</f>
        <v>DNTG100</v>
      </c>
    </row>
    <row r="3294" spans="1:9">
      <c r="A3294" s="14" t="s">
        <v>11415</v>
      </c>
      <c r="B3294" s="15" t="s">
        <v>5</v>
      </c>
      <c r="C3294" s="16" t="s">
        <v>11810</v>
      </c>
      <c r="D3294" s="21" t="s">
        <v>11811</v>
      </c>
      <c r="E3294" s="15" t="s">
        <v>11241</v>
      </c>
      <c r="F3294" s="22" t="str">
        <f>VLOOKUP(Table8[[#This Row],[Mã khách hàng]],code_khach_hang[],2,0)</f>
        <v>CHI NHÁNH BÌNH ĐỊNH - CÔNG TY CỔ PHẦN DỊCH VỤ THƯƠNG MẠI TỔNG HỢP WINCOMMERCE</v>
      </c>
      <c r="G3294" s="16" t="str">
        <f>VLOOKUP(Table8[[#This Row],[Mã khách hàng]],code_khach_hang[],3,0)</f>
        <v>Miền Trung đặc biệt 2</v>
      </c>
      <c r="H3294" t="str">
        <f>VLOOKUP(Table8[[#This Row],[Mã khách hàng]],'Khách hàng'!A:D,4,0)</f>
        <v>Food Đức Việt</v>
      </c>
      <c r="I3294" t="str">
        <f>VLOOKUP(Table8[[#This Row],[Mã khách hàng]],'Khách hàng'!A:E,5,0)</f>
        <v>QNTV50</v>
      </c>
    </row>
    <row r="3295" spans="1:9">
      <c r="A3295" s="14" t="s">
        <v>11416</v>
      </c>
      <c r="B3295" s="15" t="s">
        <v>5</v>
      </c>
      <c r="C3295" s="16" t="s">
        <v>11812</v>
      </c>
      <c r="D3295" s="21" t="s">
        <v>11813</v>
      </c>
      <c r="E3295" s="15" t="s">
        <v>11445</v>
      </c>
      <c r="F3295" s="22" t="str">
        <f>VLOOKUP(Table8[[#This Row],[Mã khách hàng]],code_khach_hang[],2,0)</f>
        <v>CHI NHÁNH THỪA THIÊN HUẾ - CÔNG TY CỔ PHẦN DỊCH VỤ THƯƠNG MẠI TỔNG HỢP WINCOMMERCE</v>
      </c>
      <c r="G3295" s="16" t="str">
        <f>VLOOKUP(Table8[[#This Row],[Mã khách hàng]],code_khach_hang[],3,0)</f>
        <v>Miền Trung đặc biệt 1</v>
      </c>
      <c r="H3295" t="str">
        <f>VLOOKUP(Table8[[#This Row],[Mã khách hàng]],'Khách hàng'!A:D,4,0)</f>
        <v>Food Đức Việt</v>
      </c>
      <c r="I3295" t="str">
        <f>VLOOKUP(Table8[[#This Row],[Mã khách hàng]],'Khách hàng'!A:E,5,0)</f>
        <v>DNTG100</v>
      </c>
    </row>
    <row r="3296" spans="1:9">
      <c r="A3296" s="14" t="s">
        <v>11417</v>
      </c>
      <c r="B3296" s="15" t="s">
        <v>5</v>
      </c>
      <c r="C3296" s="16" t="s">
        <v>11814</v>
      </c>
      <c r="D3296" s="21" t="s">
        <v>11815</v>
      </c>
      <c r="E3296" s="15" t="s">
        <v>11447</v>
      </c>
      <c r="F3296" s="22" t="str">
        <f>VLOOKUP(Table8[[#This Row],[Mã khách hàng]],code_khach_hang[],2,0)</f>
        <v>CHI NHÁNH QUẢNG TRỊ - CÔNG TY CỔ PHẦN DỊCH VỤ THƯƠNG MẠI TỔNG HỢP WINCOMMERCE</v>
      </c>
      <c r="G3296" s="16" t="str">
        <f>VLOOKUP(Table8[[#This Row],[Mã khách hàng]],code_khach_hang[],3,0)</f>
        <v>Miền Trung đặc biệt 1</v>
      </c>
      <c r="H3296" t="str">
        <f>VLOOKUP(Table8[[#This Row],[Mã khách hàng]],'Khách hàng'!A:D,4,0)</f>
        <v>Food Đức Việt</v>
      </c>
      <c r="I3296" t="str">
        <f>VLOOKUP(Table8[[#This Row],[Mã khách hàng]],'Khách hàng'!A:E,5,0)</f>
        <v>DNTG100</v>
      </c>
    </row>
    <row r="3297" spans="1:9">
      <c r="A3297" s="14" t="s">
        <v>11418</v>
      </c>
      <c r="B3297" s="15" t="s">
        <v>5</v>
      </c>
      <c r="C3297" s="16" t="s">
        <v>11816</v>
      </c>
      <c r="D3297" s="21" t="s">
        <v>11817</v>
      </c>
      <c r="E3297" s="15" t="s">
        <v>11442</v>
      </c>
      <c r="F3297" s="22" t="str">
        <f>VLOOKUP(Table8[[#This Row],[Mã khách hàng]],code_khach_hang[],2,0)</f>
        <v>CHI NHÁNH ĐÀ NẴNG - CÔNG TY CỔ PHẦN DỊCH VỤ THƯƠNG MẠI TỔNG HỢP WINCOMMERCE</v>
      </c>
      <c r="G3297" s="16" t="str">
        <f>VLOOKUP(Table8[[#This Row],[Mã khách hàng]],code_khach_hang[],3,0)</f>
        <v>Miền Trung đặc biệt 1</v>
      </c>
      <c r="H3297" t="str">
        <f>VLOOKUP(Table8[[#This Row],[Mã khách hàng]],'Khách hàng'!A:D,4,0)</f>
        <v>Food Đức Việt</v>
      </c>
      <c r="I3297" t="str">
        <f>VLOOKUP(Table8[[#This Row],[Mã khách hàng]],'Khách hàng'!A:E,5,0)</f>
        <v>DNTG100</v>
      </c>
    </row>
    <row r="3298" spans="1:9">
      <c r="A3298" s="14" t="s">
        <v>11419</v>
      </c>
      <c r="B3298" s="15" t="s">
        <v>5</v>
      </c>
      <c r="C3298" s="16" t="s">
        <v>11818</v>
      </c>
      <c r="D3298" s="21" t="s">
        <v>11819</v>
      </c>
      <c r="E3298" s="15" t="s">
        <v>11445</v>
      </c>
      <c r="F3298" s="22" t="str">
        <f>VLOOKUP(Table8[[#This Row],[Mã khách hàng]],code_khach_hang[],2,0)</f>
        <v>CHI NHÁNH THỪA THIÊN HUẾ - CÔNG TY CỔ PHẦN DỊCH VỤ THƯƠNG MẠI TỔNG HỢP WINCOMMERCE</v>
      </c>
      <c r="G3298" s="16" t="str">
        <f>VLOOKUP(Table8[[#This Row],[Mã khách hàng]],code_khach_hang[],3,0)</f>
        <v>Miền Trung đặc biệt 1</v>
      </c>
      <c r="H3298" t="str">
        <f>VLOOKUP(Table8[[#This Row],[Mã khách hàng]],'Khách hàng'!A:D,4,0)</f>
        <v>Food Đức Việt</v>
      </c>
      <c r="I3298" t="str">
        <f>VLOOKUP(Table8[[#This Row],[Mã khách hàng]],'Khách hàng'!A:E,5,0)</f>
        <v>DNTG100</v>
      </c>
    </row>
    <row r="3299" spans="1:9">
      <c r="A3299" s="14" t="s">
        <v>11420</v>
      </c>
      <c r="B3299" s="15" t="s">
        <v>5</v>
      </c>
      <c r="C3299" s="16" t="s">
        <v>11820</v>
      </c>
      <c r="D3299" s="21" t="s">
        <v>11821</v>
      </c>
      <c r="E3299" s="15" t="s">
        <v>11446</v>
      </c>
      <c r="F3299" s="22" t="str">
        <f>VLOOKUP(Table8[[#This Row],[Mã khách hàng]],code_khach_hang[],2,0)</f>
        <v>CHI NHÁNH GIA LAI - CÔNG TY CỔ PHẦN DỊCH VỤ THƯƠNG MẠI TỔNG HỢP WINCOMMERCE</v>
      </c>
      <c r="G3299" s="16" t="str">
        <f>VLOOKUP(Table8[[#This Row],[Mã khách hàng]],code_khach_hang[],3,0)</f>
        <v>Miền Bắc đặc biệt 2</v>
      </c>
      <c r="H3299" t="str">
        <f>VLOOKUP(Table8[[#This Row],[Mã khách hàng]],'Khách hàng'!A:D,4,0)</f>
        <v>Food Đức Việt</v>
      </c>
      <c r="I3299" t="str">
        <f>VLOOKUP(Table8[[#This Row],[Mã khách hàng]],'Khách hàng'!A:E,5,0)</f>
        <v>QNTV50</v>
      </c>
    </row>
    <row r="3300" spans="1:9">
      <c r="A3300" s="14" t="s">
        <v>11421</v>
      </c>
      <c r="B3300" s="15" t="s">
        <v>5</v>
      </c>
      <c r="C3300" s="16" t="s">
        <v>11822</v>
      </c>
      <c r="D3300" s="21" t="s">
        <v>11823</v>
      </c>
      <c r="E3300" s="15" t="s">
        <v>11446</v>
      </c>
      <c r="F3300" s="22" t="str">
        <f>VLOOKUP(Table8[[#This Row],[Mã khách hàng]],code_khach_hang[],2,0)</f>
        <v>CHI NHÁNH GIA LAI - CÔNG TY CỔ PHẦN DỊCH VỤ THƯƠNG MẠI TỔNG HỢP WINCOMMERCE</v>
      </c>
      <c r="G3300" s="16" t="str">
        <f>VLOOKUP(Table8[[#This Row],[Mã khách hàng]],code_khach_hang[],3,0)</f>
        <v>Miền Bắc đặc biệt 2</v>
      </c>
      <c r="H3300" t="str">
        <f>VLOOKUP(Table8[[#This Row],[Mã khách hàng]],'Khách hàng'!A:D,4,0)</f>
        <v>Food Đức Việt</v>
      </c>
      <c r="I3300" t="str">
        <f>VLOOKUP(Table8[[#This Row],[Mã khách hàng]],'Khách hàng'!A:E,5,0)</f>
        <v>QNTV50</v>
      </c>
    </row>
    <row r="3301" spans="1:9">
      <c r="A3301" s="14" t="s">
        <v>11422</v>
      </c>
      <c r="B3301" s="15" t="s">
        <v>5</v>
      </c>
      <c r="C3301" s="16" t="s">
        <v>11824</v>
      </c>
      <c r="D3301" s="21" t="s">
        <v>11825</v>
      </c>
      <c r="E3301" s="15" t="s">
        <v>11241</v>
      </c>
      <c r="F3301" s="22" t="str">
        <f>VLOOKUP(Table8[[#This Row],[Mã khách hàng]],code_khach_hang[],2,0)</f>
        <v>CHI NHÁNH BÌNH ĐỊNH - CÔNG TY CỔ PHẦN DỊCH VỤ THƯƠNG MẠI TỔNG HỢP WINCOMMERCE</v>
      </c>
      <c r="G3301" s="16" t="str">
        <f>VLOOKUP(Table8[[#This Row],[Mã khách hàng]],code_khach_hang[],3,0)</f>
        <v>Miền Trung đặc biệt 2</v>
      </c>
      <c r="H3301" t="str">
        <f>VLOOKUP(Table8[[#This Row],[Mã khách hàng]],'Khách hàng'!A:D,4,0)</f>
        <v>Food Đức Việt</v>
      </c>
      <c r="I3301" t="str">
        <f>VLOOKUP(Table8[[#This Row],[Mã khách hàng]],'Khách hàng'!A:E,5,0)</f>
        <v>QNTV50</v>
      </c>
    </row>
    <row r="3302" spans="1:9">
      <c r="A3302" s="14" t="s">
        <v>11423</v>
      </c>
      <c r="B3302" s="15" t="s">
        <v>5</v>
      </c>
      <c r="C3302" s="16" t="s">
        <v>11826</v>
      </c>
      <c r="D3302" s="21" t="s">
        <v>11827</v>
      </c>
      <c r="E3302" s="15" t="s">
        <v>11241</v>
      </c>
      <c r="F3302" s="22" t="str">
        <f>VLOOKUP(Table8[[#This Row],[Mã khách hàng]],code_khach_hang[],2,0)</f>
        <v>CHI NHÁNH BÌNH ĐỊNH - CÔNG TY CỔ PHẦN DỊCH VỤ THƯƠNG MẠI TỔNG HỢP WINCOMMERCE</v>
      </c>
      <c r="G3302" s="16" t="str">
        <f>VLOOKUP(Table8[[#This Row],[Mã khách hàng]],code_khach_hang[],3,0)</f>
        <v>Miền Trung đặc biệt 2</v>
      </c>
      <c r="H3302" t="str">
        <f>VLOOKUP(Table8[[#This Row],[Mã khách hàng]],'Khách hàng'!A:D,4,0)</f>
        <v>Food Đức Việt</v>
      </c>
      <c r="I3302" t="str">
        <f>VLOOKUP(Table8[[#This Row],[Mã khách hàng]],'Khách hàng'!A:E,5,0)</f>
        <v>QNTV50</v>
      </c>
    </row>
    <row r="3303" spans="1:9">
      <c r="A3303" s="14" t="s">
        <v>11424</v>
      </c>
      <c r="B3303" s="15" t="s">
        <v>5</v>
      </c>
      <c r="C3303" s="16" t="s">
        <v>11828</v>
      </c>
      <c r="D3303" s="21" t="s">
        <v>11829</v>
      </c>
      <c r="E3303" s="15" t="s">
        <v>11446</v>
      </c>
      <c r="F3303" s="22" t="str">
        <f>VLOOKUP(Table8[[#This Row],[Mã khách hàng]],code_khach_hang[],2,0)</f>
        <v>CHI NHÁNH GIA LAI - CÔNG TY CỔ PHẦN DỊCH VỤ THƯƠNG MẠI TỔNG HỢP WINCOMMERCE</v>
      </c>
      <c r="G3303" s="16" t="str">
        <f>VLOOKUP(Table8[[#This Row],[Mã khách hàng]],code_khach_hang[],3,0)</f>
        <v>Miền Bắc đặc biệt 2</v>
      </c>
      <c r="H3303" t="str">
        <f>VLOOKUP(Table8[[#This Row],[Mã khách hàng]],'Khách hàng'!A:D,4,0)</f>
        <v>Food Đức Việt</v>
      </c>
      <c r="I3303" t="str">
        <f>VLOOKUP(Table8[[#This Row],[Mã khách hàng]],'Khách hàng'!A:E,5,0)</f>
        <v>QNTV50</v>
      </c>
    </row>
    <row r="3304" spans="1:9">
      <c r="A3304" s="14" t="s">
        <v>11425</v>
      </c>
      <c r="B3304" s="15" t="s">
        <v>5</v>
      </c>
      <c r="C3304" s="16" t="s">
        <v>11830</v>
      </c>
      <c r="D3304" s="21" t="s">
        <v>11831</v>
      </c>
      <c r="E3304" s="15" t="s">
        <v>11241</v>
      </c>
      <c r="F3304" s="22" t="str">
        <f>VLOOKUP(Table8[[#This Row],[Mã khách hàng]],code_khach_hang[],2,0)</f>
        <v>CHI NHÁNH BÌNH ĐỊNH - CÔNG TY CỔ PHẦN DỊCH VỤ THƯƠNG MẠI TỔNG HỢP WINCOMMERCE</v>
      </c>
      <c r="G3304" s="16" t="str">
        <f>VLOOKUP(Table8[[#This Row],[Mã khách hàng]],code_khach_hang[],3,0)</f>
        <v>Miền Trung đặc biệt 2</v>
      </c>
      <c r="H3304" t="str">
        <f>VLOOKUP(Table8[[#This Row],[Mã khách hàng]],'Khách hàng'!A:D,4,0)</f>
        <v>Food Đức Việt</v>
      </c>
      <c r="I3304" t="str">
        <f>VLOOKUP(Table8[[#This Row],[Mã khách hàng]],'Khách hàng'!A:E,5,0)</f>
        <v>QNTV50</v>
      </c>
    </row>
    <row r="3305" spans="1:9">
      <c r="A3305" s="14" t="s">
        <v>11426</v>
      </c>
      <c r="B3305" s="15" t="s">
        <v>5</v>
      </c>
      <c r="C3305" s="16" t="s">
        <v>11832</v>
      </c>
      <c r="D3305" s="21" t="s">
        <v>11833</v>
      </c>
      <c r="E3305" s="15" t="s">
        <v>11442</v>
      </c>
      <c r="F3305" s="22" t="str">
        <f>VLOOKUP(Table8[[#This Row],[Mã khách hàng]],code_khach_hang[],2,0)</f>
        <v>CHI NHÁNH ĐÀ NẴNG - CÔNG TY CỔ PHẦN DỊCH VỤ THƯƠNG MẠI TỔNG HỢP WINCOMMERCE</v>
      </c>
      <c r="G3305" s="16" t="str">
        <f>VLOOKUP(Table8[[#This Row],[Mã khách hàng]],code_khach_hang[],3,0)</f>
        <v>Miền Trung đặc biệt 1</v>
      </c>
      <c r="H3305" t="str">
        <f>VLOOKUP(Table8[[#This Row],[Mã khách hàng]],'Khách hàng'!A:D,4,0)</f>
        <v>Food Đức Việt</v>
      </c>
      <c r="I3305" t="str">
        <f>VLOOKUP(Table8[[#This Row],[Mã khách hàng]],'Khách hàng'!A:E,5,0)</f>
        <v>DNTG100</v>
      </c>
    </row>
    <row r="3306" spans="1:9">
      <c r="A3306" s="14" t="s">
        <v>11427</v>
      </c>
      <c r="B3306" s="15" t="s">
        <v>5</v>
      </c>
      <c r="C3306" s="16" t="s">
        <v>11834</v>
      </c>
      <c r="D3306" s="21" t="s">
        <v>11835</v>
      </c>
      <c r="E3306" s="15" t="s">
        <v>11446</v>
      </c>
      <c r="F3306" s="22" t="str">
        <f>VLOOKUP(Table8[[#This Row],[Mã khách hàng]],code_khach_hang[],2,0)</f>
        <v>CHI NHÁNH GIA LAI - CÔNG TY CỔ PHẦN DỊCH VỤ THƯƠNG MẠI TỔNG HỢP WINCOMMERCE</v>
      </c>
      <c r="G3306" s="16" t="str">
        <f>VLOOKUP(Table8[[#This Row],[Mã khách hàng]],code_khach_hang[],3,0)</f>
        <v>Miền Bắc đặc biệt 2</v>
      </c>
      <c r="H3306" t="str">
        <f>VLOOKUP(Table8[[#This Row],[Mã khách hàng]],'Khách hàng'!A:D,4,0)</f>
        <v>Food Đức Việt</v>
      </c>
      <c r="I3306" t="str">
        <f>VLOOKUP(Table8[[#This Row],[Mã khách hàng]],'Khách hàng'!A:E,5,0)</f>
        <v>QNTV50</v>
      </c>
    </row>
    <row r="3307" spans="1:9">
      <c r="A3307" s="14" t="s">
        <v>11428</v>
      </c>
      <c r="B3307" s="15" t="s">
        <v>5</v>
      </c>
      <c r="C3307" s="16" t="s">
        <v>11836</v>
      </c>
      <c r="D3307" s="21" t="s">
        <v>11837</v>
      </c>
      <c r="E3307" s="15" t="s">
        <v>11446</v>
      </c>
      <c r="F3307" s="22" t="str">
        <f>VLOOKUP(Table8[[#This Row],[Mã khách hàng]],code_khach_hang[],2,0)</f>
        <v>CHI NHÁNH GIA LAI - CÔNG TY CỔ PHẦN DỊCH VỤ THƯƠNG MẠI TỔNG HỢP WINCOMMERCE</v>
      </c>
      <c r="G3307" s="16" t="str">
        <f>VLOOKUP(Table8[[#This Row],[Mã khách hàng]],code_khach_hang[],3,0)</f>
        <v>Miền Bắc đặc biệt 2</v>
      </c>
      <c r="H3307" t="str">
        <f>VLOOKUP(Table8[[#This Row],[Mã khách hàng]],'Khách hàng'!A:D,4,0)</f>
        <v>Food Đức Việt</v>
      </c>
      <c r="I3307" t="str">
        <f>VLOOKUP(Table8[[#This Row],[Mã khách hàng]],'Khách hàng'!A:E,5,0)</f>
        <v>QNTV50</v>
      </c>
    </row>
    <row r="3308" spans="1:9">
      <c r="A3308" s="14" t="s">
        <v>11429</v>
      </c>
      <c r="B3308" s="15" t="s">
        <v>5</v>
      </c>
      <c r="C3308" s="16" t="s">
        <v>11838</v>
      </c>
      <c r="D3308" s="21" t="s">
        <v>11839</v>
      </c>
      <c r="E3308" s="15" t="s">
        <v>11445</v>
      </c>
      <c r="F3308" s="22" t="str">
        <f>VLOOKUP(Table8[[#This Row],[Mã khách hàng]],code_khach_hang[],2,0)</f>
        <v>CHI NHÁNH THỪA THIÊN HUẾ - CÔNG TY CỔ PHẦN DỊCH VỤ THƯƠNG MẠI TỔNG HỢP WINCOMMERCE</v>
      </c>
      <c r="G3308" s="16" t="str">
        <f>VLOOKUP(Table8[[#This Row],[Mã khách hàng]],code_khach_hang[],3,0)</f>
        <v>Miền Trung đặc biệt 1</v>
      </c>
      <c r="H3308" t="str">
        <f>VLOOKUP(Table8[[#This Row],[Mã khách hàng]],'Khách hàng'!A:D,4,0)</f>
        <v>Food Đức Việt</v>
      </c>
      <c r="I3308" t="str">
        <f>VLOOKUP(Table8[[#This Row],[Mã khách hàng]],'Khách hàng'!A:E,5,0)</f>
        <v>DNTG100</v>
      </c>
    </row>
    <row r="3309" spans="1:9">
      <c r="A3309" s="14" t="s">
        <v>11430</v>
      </c>
      <c r="B3309" s="15" t="s">
        <v>5</v>
      </c>
      <c r="C3309" s="16" t="s">
        <v>11840</v>
      </c>
      <c r="D3309" s="21" t="s">
        <v>11841</v>
      </c>
      <c r="E3309" s="15" t="s">
        <v>11446</v>
      </c>
      <c r="F3309" s="22" t="str">
        <f>VLOOKUP(Table8[[#This Row],[Mã khách hàng]],code_khach_hang[],2,0)</f>
        <v>CHI NHÁNH GIA LAI - CÔNG TY CỔ PHẦN DỊCH VỤ THƯƠNG MẠI TỔNG HỢP WINCOMMERCE</v>
      </c>
      <c r="G3309" s="16" t="str">
        <f>VLOOKUP(Table8[[#This Row],[Mã khách hàng]],code_khach_hang[],3,0)</f>
        <v>Miền Bắc đặc biệt 2</v>
      </c>
      <c r="H3309" t="str">
        <f>VLOOKUP(Table8[[#This Row],[Mã khách hàng]],'Khách hàng'!A:D,4,0)</f>
        <v>Food Đức Việt</v>
      </c>
      <c r="I3309" t="str">
        <f>VLOOKUP(Table8[[#This Row],[Mã khách hàng]],'Khách hàng'!A:E,5,0)</f>
        <v>QNTV50</v>
      </c>
    </row>
    <row r="3310" spans="1:9">
      <c r="A3310" s="14" t="s">
        <v>11431</v>
      </c>
      <c r="B3310" s="15" t="s">
        <v>5</v>
      </c>
      <c r="C3310" s="16" t="s">
        <v>11842</v>
      </c>
      <c r="D3310" s="21" t="s">
        <v>11843</v>
      </c>
      <c r="E3310" s="15" t="s">
        <v>11446</v>
      </c>
      <c r="F3310" s="22" t="str">
        <f>VLOOKUP(Table8[[#This Row],[Mã khách hàng]],code_khach_hang[],2,0)</f>
        <v>CHI NHÁNH GIA LAI - CÔNG TY CỔ PHẦN DỊCH VỤ THƯƠNG MẠI TỔNG HỢP WINCOMMERCE</v>
      </c>
      <c r="G3310" s="16" t="str">
        <f>VLOOKUP(Table8[[#This Row],[Mã khách hàng]],code_khach_hang[],3,0)</f>
        <v>Miền Bắc đặc biệt 2</v>
      </c>
      <c r="H3310" t="str">
        <f>VLOOKUP(Table8[[#This Row],[Mã khách hàng]],'Khách hàng'!A:D,4,0)</f>
        <v>Food Đức Việt</v>
      </c>
      <c r="I3310" t="str">
        <f>VLOOKUP(Table8[[#This Row],[Mã khách hàng]],'Khách hàng'!A:E,5,0)</f>
        <v>QNTV50</v>
      </c>
    </row>
    <row r="3311" spans="1:9">
      <c r="A3311" s="14" t="s">
        <v>11432</v>
      </c>
      <c r="B3311" s="15" t="s">
        <v>5</v>
      </c>
      <c r="C3311" s="16" t="s">
        <v>11844</v>
      </c>
      <c r="D3311" s="21" t="s">
        <v>11845</v>
      </c>
      <c r="E3311" s="15" t="s">
        <v>11445</v>
      </c>
      <c r="F3311" s="22" t="str">
        <f>VLOOKUP(Table8[[#This Row],[Mã khách hàng]],code_khach_hang[],2,0)</f>
        <v>CHI NHÁNH THỪA THIÊN HUẾ - CÔNG TY CỔ PHẦN DỊCH VỤ THƯƠNG MẠI TỔNG HỢP WINCOMMERCE</v>
      </c>
      <c r="G3311" s="16" t="str">
        <f>VLOOKUP(Table8[[#This Row],[Mã khách hàng]],code_khach_hang[],3,0)</f>
        <v>Miền Trung đặc biệt 1</v>
      </c>
      <c r="H3311" t="str">
        <f>VLOOKUP(Table8[[#This Row],[Mã khách hàng]],'Khách hàng'!A:D,4,0)</f>
        <v>Food Đức Việt</v>
      </c>
      <c r="I3311" t="str">
        <f>VLOOKUP(Table8[[#This Row],[Mã khách hàng]],'Khách hàng'!A:E,5,0)</f>
        <v>DNTG100</v>
      </c>
    </row>
    <row r="3312" spans="1:9">
      <c r="A3312" s="14" t="s">
        <v>11433</v>
      </c>
      <c r="B3312" s="15" t="s">
        <v>5</v>
      </c>
      <c r="C3312" s="16" t="s">
        <v>11846</v>
      </c>
      <c r="D3312" s="21" t="s">
        <v>11847</v>
      </c>
      <c r="E3312" s="15" t="s">
        <v>11443</v>
      </c>
      <c r="F3312" s="22" t="str">
        <f>VLOOKUP(Table8[[#This Row],[Mã khách hàng]],code_khach_hang[],2,0)</f>
        <v>CHI NHÁNH KHÁNH HÒA - CÔNG TY CỔ PHẦN DỊCH VỤ THƯƠNG MẠI TỔNG HỢP WINCOMMERCE</v>
      </c>
      <c r="G3312" s="16" t="str">
        <f>VLOOKUP(Table8[[#This Row],[Mã khách hàng]],code_khach_hang[],3,0)</f>
        <v>Miền Trung đặc biệt 2</v>
      </c>
      <c r="H3312" t="str">
        <f>VLOOKUP(Table8[[#This Row],[Mã khách hàng]],'Khách hàng'!A:D,4,0)</f>
        <v>Food Đức Việt</v>
      </c>
      <c r="I3312" t="str">
        <f>VLOOKUP(Table8[[#This Row],[Mã khách hàng]],'Khách hàng'!A:E,5,0)</f>
        <v>QNTV50</v>
      </c>
    </row>
    <row r="3313" spans="1:9">
      <c r="A3313" s="14" t="s">
        <v>11434</v>
      </c>
      <c r="B3313" s="15" t="s">
        <v>5</v>
      </c>
      <c r="C3313" s="16" t="s">
        <v>11848</v>
      </c>
      <c r="D3313" s="21" t="s">
        <v>11849</v>
      </c>
      <c r="E3313" s="15" t="s">
        <v>11446</v>
      </c>
      <c r="F3313" s="22" t="str">
        <f>VLOOKUP(Table8[[#This Row],[Mã khách hàng]],code_khach_hang[],2,0)</f>
        <v>CHI NHÁNH GIA LAI - CÔNG TY CỔ PHẦN DỊCH VỤ THƯƠNG MẠI TỔNG HỢP WINCOMMERCE</v>
      </c>
      <c r="G3313" s="16" t="str">
        <f>VLOOKUP(Table8[[#This Row],[Mã khách hàng]],code_khach_hang[],3,0)</f>
        <v>Miền Bắc đặc biệt 2</v>
      </c>
      <c r="H3313" t="str">
        <f>VLOOKUP(Table8[[#This Row],[Mã khách hàng]],'Khách hàng'!A:D,4,0)</f>
        <v>Food Đức Việt</v>
      </c>
      <c r="I3313" t="str">
        <f>VLOOKUP(Table8[[#This Row],[Mã khách hàng]],'Khách hàng'!A:E,5,0)</f>
        <v>QNTV50</v>
      </c>
    </row>
    <row r="3314" spans="1:9">
      <c r="A3314" s="14" t="s">
        <v>11435</v>
      </c>
      <c r="B3314" s="15" t="s">
        <v>5</v>
      </c>
      <c r="C3314" s="16" t="s">
        <v>11850</v>
      </c>
      <c r="D3314" s="21" t="s">
        <v>11851</v>
      </c>
      <c r="E3314" s="15" t="s">
        <v>11446</v>
      </c>
      <c r="F3314" s="22" t="str">
        <f>VLOOKUP(Table8[[#This Row],[Mã khách hàng]],code_khach_hang[],2,0)</f>
        <v>CHI NHÁNH GIA LAI - CÔNG TY CỔ PHẦN DỊCH VỤ THƯƠNG MẠI TỔNG HỢP WINCOMMERCE</v>
      </c>
      <c r="G3314" s="16" t="str">
        <f>VLOOKUP(Table8[[#This Row],[Mã khách hàng]],code_khach_hang[],3,0)</f>
        <v>Miền Bắc đặc biệt 2</v>
      </c>
      <c r="H3314" t="str">
        <f>VLOOKUP(Table8[[#This Row],[Mã khách hàng]],'Khách hàng'!A:D,4,0)</f>
        <v>Food Đức Việt</v>
      </c>
      <c r="I3314" t="str">
        <f>VLOOKUP(Table8[[#This Row],[Mã khách hàng]],'Khách hàng'!A:E,5,0)</f>
        <v>QNTV50</v>
      </c>
    </row>
    <row r="3315" spans="1:9">
      <c r="A3315" s="14" t="s">
        <v>11436</v>
      </c>
      <c r="B3315" s="15" t="s">
        <v>5</v>
      </c>
      <c r="C3315" s="16" t="s">
        <v>11852</v>
      </c>
      <c r="D3315" s="21" t="s">
        <v>11853</v>
      </c>
      <c r="E3315" s="15" t="s">
        <v>11446</v>
      </c>
      <c r="F3315" s="22" t="str">
        <f>VLOOKUP(Table8[[#This Row],[Mã khách hàng]],code_khach_hang[],2,0)</f>
        <v>CHI NHÁNH GIA LAI - CÔNG TY CỔ PHẦN DỊCH VỤ THƯƠNG MẠI TỔNG HỢP WINCOMMERCE</v>
      </c>
      <c r="G3315" s="16" t="str">
        <f>VLOOKUP(Table8[[#This Row],[Mã khách hàng]],code_khach_hang[],3,0)</f>
        <v>Miền Bắc đặc biệt 2</v>
      </c>
      <c r="H3315" t="str">
        <f>VLOOKUP(Table8[[#This Row],[Mã khách hàng]],'Khách hàng'!A:D,4,0)</f>
        <v>Food Đức Việt</v>
      </c>
      <c r="I3315" t="str">
        <f>VLOOKUP(Table8[[#This Row],[Mã khách hàng]],'Khách hàng'!A:E,5,0)</f>
        <v>QNTV50</v>
      </c>
    </row>
    <row r="3316" spans="1:9">
      <c r="A3316" s="14" t="s">
        <v>11437</v>
      </c>
      <c r="B3316" s="15" t="s">
        <v>5</v>
      </c>
      <c r="C3316" s="16" t="s">
        <v>11854</v>
      </c>
      <c r="D3316" s="21" t="s">
        <v>11855</v>
      </c>
      <c r="E3316" s="15" t="s">
        <v>11446</v>
      </c>
      <c r="F3316" s="22" t="str">
        <f>VLOOKUP(Table8[[#This Row],[Mã khách hàng]],code_khach_hang[],2,0)</f>
        <v>CHI NHÁNH GIA LAI - CÔNG TY CỔ PHẦN DỊCH VỤ THƯƠNG MẠI TỔNG HỢP WINCOMMERCE</v>
      </c>
      <c r="G3316" s="16" t="str">
        <f>VLOOKUP(Table8[[#This Row],[Mã khách hàng]],code_khach_hang[],3,0)</f>
        <v>Miền Bắc đặc biệt 2</v>
      </c>
      <c r="H3316" t="str">
        <f>VLOOKUP(Table8[[#This Row],[Mã khách hàng]],'Khách hàng'!A:D,4,0)</f>
        <v>Food Đức Việt</v>
      </c>
      <c r="I3316" t="str">
        <f>VLOOKUP(Table8[[#This Row],[Mã khách hàng]],'Khách hàng'!A:E,5,0)</f>
        <v>QNTV50</v>
      </c>
    </row>
    <row r="3317" spans="1:9">
      <c r="A3317" s="14" t="s">
        <v>11438</v>
      </c>
      <c r="B3317" s="15" t="s">
        <v>5</v>
      </c>
      <c r="C3317" s="16" t="s">
        <v>11856</v>
      </c>
      <c r="D3317" s="21" t="s">
        <v>11857</v>
      </c>
      <c r="E3317" s="15" t="s">
        <v>11442</v>
      </c>
      <c r="F3317" s="22" t="str">
        <f>VLOOKUP(Table8[[#This Row],[Mã khách hàng]],code_khach_hang[],2,0)</f>
        <v>CHI NHÁNH ĐÀ NẴNG - CÔNG TY CỔ PHẦN DỊCH VỤ THƯƠNG MẠI TỔNG HỢP WINCOMMERCE</v>
      </c>
      <c r="G3317" s="16" t="str">
        <f>VLOOKUP(Table8[[#This Row],[Mã khách hàng]],code_khach_hang[],3,0)</f>
        <v>Miền Trung đặc biệt 1</v>
      </c>
      <c r="H3317" t="str">
        <f>VLOOKUP(Table8[[#This Row],[Mã khách hàng]],'Khách hàng'!A:D,4,0)</f>
        <v>Food Đức Việt</v>
      </c>
      <c r="I3317" t="str">
        <f>VLOOKUP(Table8[[#This Row],[Mã khách hàng]],'Khách hàng'!A:E,5,0)</f>
        <v>DNTG100</v>
      </c>
    </row>
    <row r="3318" spans="1:9">
      <c r="A3318" s="14" t="s">
        <v>11439</v>
      </c>
      <c r="B3318" s="15" t="s">
        <v>5</v>
      </c>
      <c r="C3318" s="16" t="s">
        <v>11858</v>
      </c>
      <c r="D3318" s="21" t="s">
        <v>11859</v>
      </c>
      <c r="E3318" s="15" t="s">
        <v>11444</v>
      </c>
      <c r="F3318" s="22" t="str">
        <f>VLOOKUP(Table8[[#This Row],[Mã khách hàng]],code_khach_hang[],2,0)</f>
        <v>CHI NHÁNH QUẢNG NAM - CÔNG TY CỔ PHẦN DỊCH VỤ THƯƠNG MẠI TỔNG HỢP WINCOMMERCE</v>
      </c>
      <c r="G3318" s="16" t="str">
        <f>VLOOKUP(Table8[[#This Row],[Mã khách hàng]],code_khach_hang[],3,0)</f>
        <v>Miền Trung đặc biệt 1</v>
      </c>
      <c r="H3318" t="str">
        <f>VLOOKUP(Table8[[#This Row],[Mã khách hàng]],'Khách hàng'!A:D,4,0)</f>
        <v>Food Đức Việt</v>
      </c>
      <c r="I3318" t="str">
        <f>VLOOKUP(Table8[[#This Row],[Mã khách hàng]],'Khách hàng'!A:E,5,0)</f>
        <v>DNTG100</v>
      </c>
    </row>
    <row r="3319" spans="1:9">
      <c r="A3319" s="14" t="s">
        <v>11440</v>
      </c>
      <c r="B3319" s="15" t="s">
        <v>5</v>
      </c>
      <c r="C3319" s="16" t="s">
        <v>11860</v>
      </c>
      <c r="D3319" s="21" t="s">
        <v>11861</v>
      </c>
      <c r="E3319" s="15" t="s">
        <v>11443</v>
      </c>
      <c r="F3319" s="22" t="str">
        <f>VLOOKUP(Table8[[#This Row],[Mã khách hàng]],code_khach_hang[],2,0)</f>
        <v>CHI NHÁNH KHÁNH HÒA - CÔNG TY CỔ PHẦN DỊCH VỤ THƯƠNG MẠI TỔNG HỢP WINCOMMERCE</v>
      </c>
      <c r="G3319" s="16" t="str">
        <f>VLOOKUP(Table8[[#This Row],[Mã khách hàng]],code_khach_hang[],3,0)</f>
        <v>Miền Trung đặc biệt 2</v>
      </c>
      <c r="H3319" t="str">
        <f>VLOOKUP(Table8[[#This Row],[Mã khách hàng]],'Khách hàng'!A:D,4,0)</f>
        <v>Food Đức Việt</v>
      </c>
      <c r="I3319" t="str">
        <f>VLOOKUP(Table8[[#This Row],[Mã khách hàng]],'Khách hàng'!A:E,5,0)</f>
        <v>QNTV50</v>
      </c>
    </row>
    <row r="3320" spans="1:9">
      <c r="A3320" s="14" t="s">
        <v>11441</v>
      </c>
      <c r="B3320" s="15" t="s">
        <v>5</v>
      </c>
      <c r="C3320" s="16" t="s">
        <v>11862</v>
      </c>
      <c r="D3320" s="21" t="s">
        <v>11863</v>
      </c>
      <c r="E3320" s="15" t="s">
        <v>11241</v>
      </c>
      <c r="F3320" s="22" t="str">
        <f>VLOOKUP(Table8[[#This Row],[Mã khách hàng]],code_khach_hang[],2,0)</f>
        <v>CHI NHÁNH BÌNH ĐỊNH - CÔNG TY CỔ PHẦN DỊCH VỤ THƯƠNG MẠI TỔNG HỢP WINCOMMERCE</v>
      </c>
      <c r="G3320" s="16" t="str">
        <f>VLOOKUP(Table8[[#This Row],[Mã khách hàng]],code_khach_hang[],3,0)</f>
        <v>Miền Trung đặc biệt 2</v>
      </c>
      <c r="H3320" t="str">
        <f>VLOOKUP(Table8[[#This Row],[Mã khách hàng]],'Khách hàng'!A:D,4,0)</f>
        <v>Food Đức Việt</v>
      </c>
      <c r="I3320" t="str">
        <f>VLOOKUP(Table8[[#This Row],[Mã khách hàng]],'Khách hàng'!A:E,5,0)</f>
        <v>QNTV50</v>
      </c>
    </row>
    <row r="3321" spans="1:9">
      <c r="A3321" s="14">
        <v>3001</v>
      </c>
      <c r="B3321" s="15" t="s">
        <v>5</v>
      </c>
      <c r="C3321" s="16" t="s">
        <v>11864</v>
      </c>
      <c r="D3321" s="21" t="s">
        <v>11865</v>
      </c>
      <c r="E3321" s="15" t="s">
        <v>11442</v>
      </c>
      <c r="F3321" s="22" t="str">
        <f>VLOOKUP(Table8[[#This Row],[Mã khách hàng]],code_khach_hang[],2,0)</f>
        <v>CHI NHÁNH ĐÀ NẴNG - CÔNG TY CỔ PHẦN DỊCH VỤ THƯƠNG MẠI TỔNG HỢP WINCOMMERCE</v>
      </c>
      <c r="G3321" s="16" t="str">
        <f>VLOOKUP(Table8[[#This Row],[Mã khách hàng]],code_khach_hang[],3,0)</f>
        <v>Miền Trung đặc biệt 1</v>
      </c>
      <c r="H3321" t="str">
        <f>VLOOKUP(Table8[[#This Row],[Mã khách hàng]],'Khách hàng'!A:D,4,0)</f>
        <v>Food Đức Việt</v>
      </c>
      <c r="I3321" t="str">
        <f>VLOOKUP(Table8[[#This Row],[Mã khách hàng]],'Khách hàng'!A:E,5,0)</f>
        <v>DNTG100</v>
      </c>
    </row>
    <row r="3322" spans="1:9">
      <c r="A3322" s="14">
        <v>3003</v>
      </c>
      <c r="B3322" s="15" t="s">
        <v>5</v>
      </c>
      <c r="C3322" s="16" t="s">
        <v>11866</v>
      </c>
      <c r="D3322" s="21" t="s">
        <v>11867</v>
      </c>
      <c r="E3322" s="15" t="s">
        <v>11442</v>
      </c>
      <c r="F3322" s="22" t="str">
        <f>VLOOKUP(Table8[[#This Row],[Mã khách hàng]],code_khach_hang[],2,0)</f>
        <v>CHI NHÁNH ĐÀ NẴNG - CÔNG TY CỔ PHẦN DỊCH VỤ THƯƠNG MẠI TỔNG HỢP WINCOMMERCE</v>
      </c>
      <c r="G3322" s="16" t="str">
        <f>VLOOKUP(Table8[[#This Row],[Mã khách hàng]],code_khach_hang[],3,0)</f>
        <v>Miền Trung đặc biệt 1</v>
      </c>
      <c r="H3322" t="str">
        <f>VLOOKUP(Table8[[#This Row],[Mã khách hàng]],'Khách hàng'!A:D,4,0)</f>
        <v>Food Đức Việt</v>
      </c>
      <c r="I3322" t="str">
        <f>VLOOKUP(Table8[[#This Row],[Mã khách hàng]],'Khách hàng'!A:E,5,0)</f>
        <v>DNTG100</v>
      </c>
    </row>
    <row r="3323" spans="1:9">
      <c r="A3323" s="14">
        <v>3006</v>
      </c>
      <c r="B3323" s="15" t="s">
        <v>5</v>
      </c>
      <c r="C3323" s="16" t="s">
        <v>11868</v>
      </c>
      <c r="D3323" s="21" t="s">
        <v>11869</v>
      </c>
      <c r="E3323" s="15" t="s">
        <v>11442</v>
      </c>
      <c r="F3323" s="22" t="str">
        <f>VLOOKUP(Table8[[#This Row],[Mã khách hàng]],code_khach_hang[],2,0)</f>
        <v>CHI NHÁNH ĐÀ NẴNG - CÔNG TY CỔ PHẦN DỊCH VỤ THƯƠNG MẠI TỔNG HỢP WINCOMMERCE</v>
      </c>
      <c r="G3323" s="16" t="str">
        <f>VLOOKUP(Table8[[#This Row],[Mã khách hàng]],code_khach_hang[],3,0)</f>
        <v>Miền Trung đặc biệt 1</v>
      </c>
      <c r="H3323" t="str">
        <f>VLOOKUP(Table8[[#This Row],[Mã khách hàng]],'Khách hàng'!A:D,4,0)</f>
        <v>Food Đức Việt</v>
      </c>
      <c r="I3323" t="str">
        <f>VLOOKUP(Table8[[#This Row],[Mã khách hàng]],'Khách hàng'!A:E,5,0)</f>
        <v>DNTG100</v>
      </c>
    </row>
    <row r="3324" spans="1:9">
      <c r="A3324" s="14">
        <v>3098</v>
      </c>
      <c r="B3324" s="15" t="s">
        <v>5</v>
      </c>
      <c r="C3324" s="16" t="s">
        <v>11870</v>
      </c>
      <c r="D3324" s="21" t="s">
        <v>11871</v>
      </c>
      <c r="E3324" s="15" t="s">
        <v>11442</v>
      </c>
      <c r="F3324" s="22" t="str">
        <f>VLOOKUP(Table8[[#This Row],[Mã khách hàng]],code_khach_hang[],2,0)</f>
        <v>CHI NHÁNH ĐÀ NẴNG - CÔNG TY CỔ PHẦN DỊCH VỤ THƯƠNG MẠI TỔNG HỢP WINCOMMERCE</v>
      </c>
      <c r="G3324" s="16" t="str">
        <f>VLOOKUP(Table8[[#This Row],[Mã khách hàng]],code_khach_hang[],3,0)</f>
        <v>Miền Trung đặc biệt 1</v>
      </c>
      <c r="H3324" t="str">
        <f>VLOOKUP(Table8[[#This Row],[Mã khách hàng]],'Khách hàng'!A:D,4,0)</f>
        <v>Food Đức Việt</v>
      </c>
      <c r="I3324" t="str">
        <f>VLOOKUP(Table8[[#This Row],[Mã khách hàng]],'Khách hàng'!A:E,5,0)</f>
        <v>DNTG100</v>
      </c>
    </row>
    <row r="3325" spans="1:9">
      <c r="A3325" s="14">
        <v>3099</v>
      </c>
      <c r="B3325" s="15" t="s">
        <v>5</v>
      </c>
      <c r="C3325" s="16" t="s">
        <v>11872</v>
      </c>
      <c r="D3325" s="21" t="s">
        <v>11873</v>
      </c>
      <c r="E3325" s="15" t="s">
        <v>11443</v>
      </c>
      <c r="F3325" s="22" t="str">
        <f>VLOOKUP(Table8[[#This Row],[Mã khách hàng]],code_khach_hang[],2,0)</f>
        <v>CHI NHÁNH KHÁNH HÒA - CÔNG TY CỔ PHẦN DỊCH VỤ THƯƠNG MẠI TỔNG HỢP WINCOMMERCE</v>
      </c>
      <c r="G3325" s="16" t="str">
        <f>VLOOKUP(Table8[[#This Row],[Mã khách hàng]],code_khach_hang[],3,0)</f>
        <v>Miền Trung đặc biệt 2</v>
      </c>
      <c r="H3325" t="str">
        <f>VLOOKUP(Table8[[#This Row],[Mã khách hàng]],'Khách hàng'!A:D,4,0)</f>
        <v>Food Đức Việt</v>
      </c>
      <c r="I3325" t="str">
        <f>VLOOKUP(Table8[[#This Row],[Mã khách hàng]],'Khách hàng'!A:E,5,0)</f>
        <v>QNTV50</v>
      </c>
    </row>
    <row r="3326" spans="1:9">
      <c r="A3326" s="14">
        <v>3111</v>
      </c>
      <c r="B3326" s="15" t="s">
        <v>5</v>
      </c>
      <c r="C3326" s="16" t="s">
        <v>11874</v>
      </c>
      <c r="D3326" s="21" t="s">
        <v>11875</v>
      </c>
      <c r="E3326" s="15" t="s">
        <v>11443</v>
      </c>
      <c r="F3326" s="22" t="str">
        <f>VLOOKUP(Table8[[#This Row],[Mã khách hàng]],code_khach_hang[],2,0)</f>
        <v>CHI NHÁNH KHÁNH HÒA - CÔNG TY CỔ PHẦN DỊCH VỤ THƯƠNG MẠI TỔNG HỢP WINCOMMERCE</v>
      </c>
      <c r="G3326" s="16" t="str">
        <f>VLOOKUP(Table8[[#This Row],[Mã khách hàng]],code_khach_hang[],3,0)</f>
        <v>Miền Trung đặc biệt 2</v>
      </c>
      <c r="H3326" t="str">
        <f>VLOOKUP(Table8[[#This Row],[Mã khách hàng]],'Khách hàng'!A:D,4,0)</f>
        <v>Food Đức Việt</v>
      </c>
      <c r="I3326" t="str">
        <f>VLOOKUP(Table8[[#This Row],[Mã khách hàng]],'Khách hàng'!A:E,5,0)</f>
        <v>QNTV50</v>
      </c>
    </row>
    <row r="3327" spans="1:9">
      <c r="A3327" s="14">
        <v>3128</v>
      </c>
      <c r="B3327" s="15" t="s">
        <v>5</v>
      </c>
      <c r="C3327" s="16" t="s">
        <v>11876</v>
      </c>
      <c r="D3327" s="21" t="s">
        <v>11877</v>
      </c>
      <c r="E3327" s="15" t="s">
        <v>11442</v>
      </c>
      <c r="F3327" s="22" t="str">
        <f>VLOOKUP(Table8[[#This Row],[Mã khách hàng]],code_khach_hang[],2,0)</f>
        <v>CHI NHÁNH ĐÀ NẴNG - CÔNG TY CỔ PHẦN DỊCH VỤ THƯƠNG MẠI TỔNG HỢP WINCOMMERCE</v>
      </c>
      <c r="G3327" s="16" t="str">
        <f>VLOOKUP(Table8[[#This Row],[Mã khách hàng]],code_khach_hang[],3,0)</f>
        <v>Miền Trung đặc biệt 1</v>
      </c>
      <c r="H3327" t="str">
        <f>VLOOKUP(Table8[[#This Row],[Mã khách hàng]],'Khách hàng'!A:D,4,0)</f>
        <v>Food Đức Việt</v>
      </c>
      <c r="I3327" t="str">
        <f>VLOOKUP(Table8[[#This Row],[Mã khách hàng]],'Khách hàng'!A:E,5,0)</f>
        <v>DNTG100</v>
      </c>
    </row>
    <row r="3328" spans="1:9">
      <c r="A3328" s="14">
        <v>3194</v>
      </c>
      <c r="B3328" s="15" t="s">
        <v>5</v>
      </c>
      <c r="C3328" s="16" t="s">
        <v>11878</v>
      </c>
      <c r="D3328" s="21" t="s">
        <v>11879</v>
      </c>
      <c r="E3328" s="15" t="s">
        <v>11442</v>
      </c>
      <c r="F3328" s="22" t="str">
        <f>VLOOKUP(Table8[[#This Row],[Mã khách hàng]],code_khach_hang[],2,0)</f>
        <v>CHI NHÁNH ĐÀ NẴNG - CÔNG TY CỔ PHẦN DỊCH VỤ THƯƠNG MẠI TỔNG HỢP WINCOMMERCE</v>
      </c>
      <c r="G3328" s="16" t="str">
        <f>VLOOKUP(Table8[[#This Row],[Mã khách hàng]],code_khach_hang[],3,0)</f>
        <v>Miền Trung đặc biệt 1</v>
      </c>
      <c r="H3328" t="str">
        <f>VLOOKUP(Table8[[#This Row],[Mã khách hàng]],'Khách hàng'!A:D,4,0)</f>
        <v>Food Đức Việt</v>
      </c>
      <c r="I3328" t="str">
        <f>VLOOKUP(Table8[[#This Row],[Mã khách hàng]],'Khách hàng'!A:E,5,0)</f>
        <v>DNTG100</v>
      </c>
    </row>
    <row r="3329" spans="1:9">
      <c r="A3329" s="14">
        <v>3202</v>
      </c>
      <c r="B3329" s="15" t="s">
        <v>5</v>
      </c>
      <c r="C3329" s="16" t="s">
        <v>11880</v>
      </c>
      <c r="D3329" s="21" t="s">
        <v>11881</v>
      </c>
      <c r="E3329" s="15" t="s">
        <v>11442</v>
      </c>
      <c r="F3329" s="22" t="str">
        <f>VLOOKUP(Table8[[#This Row],[Mã khách hàng]],code_khach_hang[],2,0)</f>
        <v>CHI NHÁNH ĐÀ NẴNG - CÔNG TY CỔ PHẦN DỊCH VỤ THƯƠNG MẠI TỔNG HỢP WINCOMMERCE</v>
      </c>
      <c r="G3329" s="16" t="str">
        <f>VLOOKUP(Table8[[#This Row],[Mã khách hàng]],code_khach_hang[],3,0)</f>
        <v>Miền Trung đặc biệt 1</v>
      </c>
      <c r="H3329" t="str">
        <f>VLOOKUP(Table8[[#This Row],[Mã khách hàng]],'Khách hàng'!A:D,4,0)</f>
        <v>Food Đức Việt</v>
      </c>
      <c r="I3329" t="str">
        <f>VLOOKUP(Table8[[#This Row],[Mã khách hàng]],'Khách hàng'!A:E,5,0)</f>
        <v>DNTG100</v>
      </c>
    </row>
    <row r="3330" spans="1:9">
      <c r="A3330" s="14">
        <v>3234</v>
      </c>
      <c r="B3330" s="15" t="s">
        <v>5</v>
      </c>
      <c r="C3330" s="16" t="s">
        <v>11882</v>
      </c>
      <c r="D3330" s="21" t="s">
        <v>11883</v>
      </c>
      <c r="E3330" s="15" t="s">
        <v>11443</v>
      </c>
      <c r="F3330" s="22" t="str">
        <f>VLOOKUP(Table8[[#This Row],[Mã khách hàng]],code_khach_hang[],2,0)</f>
        <v>CHI NHÁNH KHÁNH HÒA - CÔNG TY CỔ PHẦN DỊCH VỤ THƯƠNG MẠI TỔNG HỢP WINCOMMERCE</v>
      </c>
      <c r="G3330" s="16" t="str">
        <f>VLOOKUP(Table8[[#This Row],[Mã khách hàng]],code_khach_hang[],3,0)</f>
        <v>Miền Trung đặc biệt 2</v>
      </c>
      <c r="H3330" t="str">
        <f>VLOOKUP(Table8[[#This Row],[Mã khách hàng]],'Khách hàng'!A:D,4,0)</f>
        <v>Food Đức Việt</v>
      </c>
      <c r="I3330" t="str">
        <f>VLOOKUP(Table8[[#This Row],[Mã khách hàng]],'Khách hàng'!A:E,5,0)</f>
        <v>QNTV50</v>
      </c>
    </row>
    <row r="3331" spans="1:9">
      <c r="A3331" s="14">
        <v>3252</v>
      </c>
      <c r="B3331" s="15" t="s">
        <v>5</v>
      </c>
      <c r="C3331" s="16" t="s">
        <v>11884</v>
      </c>
      <c r="D3331" s="21" t="s">
        <v>11885</v>
      </c>
      <c r="E3331" s="15" t="s">
        <v>11442</v>
      </c>
      <c r="F3331" s="22" t="str">
        <f>VLOOKUP(Table8[[#This Row],[Mã khách hàng]],code_khach_hang[],2,0)</f>
        <v>CHI NHÁNH ĐÀ NẴNG - CÔNG TY CỔ PHẦN DỊCH VỤ THƯƠNG MẠI TỔNG HỢP WINCOMMERCE</v>
      </c>
      <c r="G3331" s="16" t="str">
        <f>VLOOKUP(Table8[[#This Row],[Mã khách hàng]],code_khach_hang[],3,0)</f>
        <v>Miền Trung đặc biệt 1</v>
      </c>
      <c r="H3331" t="str">
        <f>VLOOKUP(Table8[[#This Row],[Mã khách hàng]],'Khách hàng'!A:D,4,0)</f>
        <v>Food Đức Việt</v>
      </c>
      <c r="I3331" t="str">
        <f>VLOOKUP(Table8[[#This Row],[Mã khách hàng]],'Khách hàng'!A:E,5,0)</f>
        <v>DNTG100</v>
      </c>
    </row>
    <row r="3332" spans="1:9">
      <c r="A3332" s="14">
        <v>3269</v>
      </c>
      <c r="B3332" s="15" t="s">
        <v>5</v>
      </c>
      <c r="C3332" s="16" t="s">
        <v>11886</v>
      </c>
      <c r="D3332" s="21" t="s">
        <v>11887</v>
      </c>
      <c r="E3332" s="15" t="s">
        <v>11442</v>
      </c>
      <c r="F3332" s="22" t="str">
        <f>VLOOKUP(Table8[[#This Row],[Mã khách hàng]],code_khach_hang[],2,0)</f>
        <v>CHI NHÁNH ĐÀ NẴNG - CÔNG TY CỔ PHẦN DỊCH VỤ THƯƠNG MẠI TỔNG HỢP WINCOMMERCE</v>
      </c>
      <c r="G3332" s="16" t="str">
        <f>VLOOKUP(Table8[[#This Row],[Mã khách hàng]],code_khach_hang[],3,0)</f>
        <v>Miền Trung đặc biệt 1</v>
      </c>
      <c r="H3332" t="str">
        <f>VLOOKUP(Table8[[#This Row],[Mã khách hàng]],'Khách hàng'!A:D,4,0)</f>
        <v>Food Đức Việt</v>
      </c>
      <c r="I3332" t="str">
        <f>VLOOKUP(Table8[[#This Row],[Mã khách hàng]],'Khách hàng'!A:E,5,0)</f>
        <v>DNTG100</v>
      </c>
    </row>
    <row r="3333" spans="1:9">
      <c r="A3333" s="14">
        <v>3297</v>
      </c>
      <c r="B3333" s="15" t="s">
        <v>5</v>
      </c>
      <c r="C3333" s="16" t="s">
        <v>11888</v>
      </c>
      <c r="D3333" s="21" t="s">
        <v>11889</v>
      </c>
      <c r="E3333" s="15" t="s">
        <v>11442</v>
      </c>
      <c r="F3333" s="22" t="str">
        <f>VLOOKUP(Table8[[#This Row],[Mã khách hàng]],code_khach_hang[],2,0)</f>
        <v>CHI NHÁNH ĐÀ NẴNG - CÔNG TY CỔ PHẦN DỊCH VỤ THƯƠNG MẠI TỔNG HỢP WINCOMMERCE</v>
      </c>
      <c r="G3333" s="16" t="str">
        <f>VLOOKUP(Table8[[#This Row],[Mã khách hàng]],code_khach_hang[],3,0)</f>
        <v>Miền Trung đặc biệt 1</v>
      </c>
      <c r="H3333" t="str">
        <f>VLOOKUP(Table8[[#This Row],[Mã khách hàng]],'Khách hàng'!A:D,4,0)</f>
        <v>Food Đức Việt</v>
      </c>
      <c r="I3333" t="str">
        <f>VLOOKUP(Table8[[#This Row],[Mã khách hàng]],'Khách hàng'!A:E,5,0)</f>
        <v>DNTG100</v>
      </c>
    </row>
    <row r="3334" spans="1:9">
      <c r="A3334" s="14">
        <v>3306</v>
      </c>
      <c r="B3334" s="15" t="s">
        <v>5</v>
      </c>
      <c r="C3334" s="16" t="s">
        <v>11890</v>
      </c>
      <c r="D3334" s="21" t="s">
        <v>11891</v>
      </c>
      <c r="E3334" s="15" t="s">
        <v>11442</v>
      </c>
      <c r="F3334" s="22" t="str">
        <f>VLOOKUP(Table8[[#This Row],[Mã khách hàng]],code_khach_hang[],2,0)</f>
        <v>CHI NHÁNH ĐÀ NẴNG - CÔNG TY CỔ PHẦN DỊCH VỤ THƯƠNG MẠI TỔNG HỢP WINCOMMERCE</v>
      </c>
      <c r="G3334" s="16" t="str">
        <f>VLOOKUP(Table8[[#This Row],[Mã khách hàng]],code_khach_hang[],3,0)</f>
        <v>Miền Trung đặc biệt 1</v>
      </c>
      <c r="H3334" t="str">
        <f>VLOOKUP(Table8[[#This Row],[Mã khách hàng]],'Khách hàng'!A:D,4,0)</f>
        <v>Food Đức Việt</v>
      </c>
      <c r="I3334" t="str">
        <f>VLOOKUP(Table8[[#This Row],[Mã khách hàng]],'Khách hàng'!A:E,5,0)</f>
        <v>DNTG100</v>
      </c>
    </row>
    <row r="3335" spans="1:9">
      <c r="A3335" s="14">
        <v>3418</v>
      </c>
      <c r="B3335" s="15" t="s">
        <v>5</v>
      </c>
      <c r="C3335" s="16" t="s">
        <v>11892</v>
      </c>
      <c r="D3335" s="21" t="s">
        <v>11893</v>
      </c>
      <c r="E3335" s="15" t="s">
        <v>11442</v>
      </c>
      <c r="F3335" s="22" t="str">
        <f>VLOOKUP(Table8[[#This Row],[Mã khách hàng]],code_khach_hang[],2,0)</f>
        <v>CHI NHÁNH ĐÀ NẴNG - CÔNG TY CỔ PHẦN DỊCH VỤ THƯƠNG MẠI TỔNG HỢP WINCOMMERCE</v>
      </c>
      <c r="G3335" s="16" t="str">
        <f>VLOOKUP(Table8[[#This Row],[Mã khách hàng]],code_khach_hang[],3,0)</f>
        <v>Miền Trung đặc biệt 1</v>
      </c>
      <c r="H3335" t="str">
        <f>VLOOKUP(Table8[[#This Row],[Mã khách hàng]],'Khách hàng'!A:D,4,0)</f>
        <v>Food Đức Việt</v>
      </c>
      <c r="I3335" t="str">
        <f>VLOOKUP(Table8[[#This Row],[Mã khách hàng]],'Khách hàng'!A:E,5,0)</f>
        <v>DNTG100</v>
      </c>
    </row>
    <row r="3336" spans="1:9">
      <c r="A3336" s="14">
        <v>3458</v>
      </c>
      <c r="B3336" s="15" t="s">
        <v>5</v>
      </c>
      <c r="C3336" s="16" t="s">
        <v>11894</v>
      </c>
      <c r="D3336" s="21" t="s">
        <v>11895</v>
      </c>
      <c r="E3336" s="15" t="s">
        <v>11443</v>
      </c>
      <c r="F3336" s="22" t="str">
        <f>VLOOKUP(Table8[[#This Row],[Mã khách hàng]],code_khach_hang[],2,0)</f>
        <v>CHI NHÁNH KHÁNH HÒA - CÔNG TY CỔ PHẦN DỊCH VỤ THƯƠNG MẠI TỔNG HỢP WINCOMMERCE</v>
      </c>
      <c r="G3336" s="16" t="str">
        <f>VLOOKUP(Table8[[#This Row],[Mã khách hàng]],code_khach_hang[],3,0)</f>
        <v>Miền Trung đặc biệt 2</v>
      </c>
      <c r="H3336" t="str">
        <f>VLOOKUP(Table8[[#This Row],[Mã khách hàng]],'Khách hàng'!A:D,4,0)</f>
        <v>Food Đức Việt</v>
      </c>
      <c r="I3336" t="str">
        <f>VLOOKUP(Table8[[#This Row],[Mã khách hàng]],'Khách hàng'!A:E,5,0)</f>
        <v>QNTV50</v>
      </c>
    </row>
    <row r="3337" spans="1:9">
      <c r="A3337" s="14">
        <v>3459</v>
      </c>
      <c r="B3337" s="15" t="s">
        <v>5</v>
      </c>
      <c r="C3337" s="16" t="s">
        <v>11896</v>
      </c>
      <c r="D3337" s="21" t="s">
        <v>11897</v>
      </c>
      <c r="E3337" s="15" t="s">
        <v>11443</v>
      </c>
      <c r="F3337" s="22" t="str">
        <f>VLOOKUP(Table8[[#This Row],[Mã khách hàng]],code_khach_hang[],2,0)</f>
        <v>CHI NHÁNH KHÁNH HÒA - CÔNG TY CỔ PHẦN DỊCH VỤ THƯƠNG MẠI TỔNG HỢP WINCOMMERCE</v>
      </c>
      <c r="G3337" s="16" t="str">
        <f>VLOOKUP(Table8[[#This Row],[Mã khách hàng]],code_khach_hang[],3,0)</f>
        <v>Miền Trung đặc biệt 2</v>
      </c>
      <c r="H3337" t="str">
        <f>VLOOKUP(Table8[[#This Row],[Mã khách hàng]],'Khách hàng'!A:D,4,0)</f>
        <v>Food Đức Việt</v>
      </c>
      <c r="I3337" t="str">
        <f>VLOOKUP(Table8[[#This Row],[Mã khách hàng]],'Khách hàng'!A:E,5,0)</f>
        <v>QNTV50</v>
      </c>
    </row>
    <row r="3338" spans="1:9">
      <c r="A3338" s="14">
        <v>3481</v>
      </c>
      <c r="B3338" s="15" t="s">
        <v>5</v>
      </c>
      <c r="C3338" s="16" t="s">
        <v>11898</v>
      </c>
      <c r="D3338" s="21" t="s">
        <v>11899</v>
      </c>
      <c r="E3338" s="15" t="s">
        <v>11442</v>
      </c>
      <c r="F3338" s="22" t="str">
        <f>VLOOKUP(Table8[[#This Row],[Mã khách hàng]],code_khach_hang[],2,0)</f>
        <v>CHI NHÁNH ĐÀ NẴNG - CÔNG TY CỔ PHẦN DỊCH VỤ THƯƠNG MẠI TỔNG HỢP WINCOMMERCE</v>
      </c>
      <c r="G3338" s="16" t="str">
        <f>VLOOKUP(Table8[[#This Row],[Mã khách hàng]],code_khach_hang[],3,0)</f>
        <v>Miền Trung đặc biệt 1</v>
      </c>
      <c r="H3338" t="str">
        <f>VLOOKUP(Table8[[#This Row],[Mã khách hàng]],'Khách hàng'!A:D,4,0)</f>
        <v>Food Đức Việt</v>
      </c>
      <c r="I3338" t="str">
        <f>VLOOKUP(Table8[[#This Row],[Mã khách hàng]],'Khách hàng'!A:E,5,0)</f>
        <v>DNTG100</v>
      </c>
    </row>
    <row r="3339" spans="1:9">
      <c r="A3339" s="14">
        <v>3510</v>
      </c>
      <c r="B3339" s="15" t="s">
        <v>5</v>
      </c>
      <c r="C3339" s="16" t="s">
        <v>11900</v>
      </c>
      <c r="D3339" s="21" t="s">
        <v>11901</v>
      </c>
      <c r="E3339" s="15" t="s">
        <v>11442</v>
      </c>
      <c r="F3339" s="22" t="str">
        <f>VLOOKUP(Table8[[#This Row],[Mã khách hàng]],code_khach_hang[],2,0)</f>
        <v>CHI NHÁNH ĐÀ NẴNG - CÔNG TY CỔ PHẦN DỊCH VỤ THƯƠNG MẠI TỔNG HỢP WINCOMMERCE</v>
      </c>
      <c r="G3339" s="16" t="str">
        <f>VLOOKUP(Table8[[#This Row],[Mã khách hàng]],code_khach_hang[],3,0)</f>
        <v>Miền Trung đặc biệt 1</v>
      </c>
      <c r="H3339" t="str">
        <f>VLOOKUP(Table8[[#This Row],[Mã khách hàng]],'Khách hàng'!A:D,4,0)</f>
        <v>Food Đức Việt</v>
      </c>
      <c r="I3339" t="str">
        <f>VLOOKUP(Table8[[#This Row],[Mã khách hàng]],'Khách hàng'!A:E,5,0)</f>
        <v>DNTG100</v>
      </c>
    </row>
    <row r="3340" spans="1:9">
      <c r="A3340" s="14">
        <v>3514</v>
      </c>
      <c r="B3340" s="15" t="s">
        <v>5</v>
      </c>
      <c r="C3340" s="16" t="s">
        <v>11902</v>
      </c>
      <c r="D3340" s="21" t="s">
        <v>11903</v>
      </c>
      <c r="E3340" s="15" t="s">
        <v>11442</v>
      </c>
      <c r="F3340" s="22" t="str">
        <f>VLOOKUP(Table8[[#This Row],[Mã khách hàng]],code_khach_hang[],2,0)</f>
        <v>CHI NHÁNH ĐÀ NẴNG - CÔNG TY CỔ PHẦN DỊCH VỤ THƯƠNG MẠI TỔNG HỢP WINCOMMERCE</v>
      </c>
      <c r="G3340" s="16" t="str">
        <f>VLOOKUP(Table8[[#This Row],[Mã khách hàng]],code_khach_hang[],3,0)</f>
        <v>Miền Trung đặc biệt 1</v>
      </c>
      <c r="H3340" t="str">
        <f>VLOOKUP(Table8[[#This Row],[Mã khách hàng]],'Khách hàng'!A:D,4,0)</f>
        <v>Food Đức Việt</v>
      </c>
      <c r="I3340" t="str">
        <f>VLOOKUP(Table8[[#This Row],[Mã khách hàng]],'Khách hàng'!A:E,5,0)</f>
        <v>DNTG100</v>
      </c>
    </row>
    <row r="3341" spans="1:9">
      <c r="A3341" s="14">
        <v>3561</v>
      </c>
      <c r="B3341" s="15" t="s">
        <v>5</v>
      </c>
      <c r="C3341" s="16" t="s">
        <v>11904</v>
      </c>
      <c r="D3341" s="21" t="s">
        <v>11905</v>
      </c>
      <c r="E3341" s="15" t="s">
        <v>11442</v>
      </c>
      <c r="F3341" s="22" t="str">
        <f>VLOOKUP(Table8[[#This Row],[Mã khách hàng]],code_khach_hang[],2,0)</f>
        <v>CHI NHÁNH ĐÀ NẴNG - CÔNG TY CỔ PHẦN DỊCH VỤ THƯƠNG MẠI TỔNG HỢP WINCOMMERCE</v>
      </c>
      <c r="G3341" s="16" t="str">
        <f>VLOOKUP(Table8[[#This Row],[Mã khách hàng]],code_khach_hang[],3,0)</f>
        <v>Miền Trung đặc biệt 1</v>
      </c>
      <c r="H3341" t="str">
        <f>VLOOKUP(Table8[[#This Row],[Mã khách hàng]],'Khách hàng'!A:D,4,0)</f>
        <v>Food Đức Việt</v>
      </c>
      <c r="I3341" t="str">
        <f>VLOOKUP(Table8[[#This Row],[Mã khách hàng]],'Khách hàng'!A:E,5,0)</f>
        <v>DNTG100</v>
      </c>
    </row>
    <row r="3342" spans="1:9">
      <c r="A3342" s="14">
        <v>3577</v>
      </c>
      <c r="B3342" s="15" t="s">
        <v>5</v>
      </c>
      <c r="C3342" s="16" t="s">
        <v>11906</v>
      </c>
      <c r="D3342" s="21" t="s">
        <v>11907</v>
      </c>
      <c r="E3342" s="15" t="s">
        <v>11442</v>
      </c>
      <c r="F3342" s="22" t="str">
        <f>VLOOKUP(Table8[[#This Row],[Mã khách hàng]],code_khach_hang[],2,0)</f>
        <v>CHI NHÁNH ĐÀ NẴNG - CÔNG TY CỔ PHẦN DỊCH VỤ THƯƠNG MẠI TỔNG HỢP WINCOMMERCE</v>
      </c>
      <c r="G3342" s="16" t="str">
        <f>VLOOKUP(Table8[[#This Row],[Mã khách hàng]],code_khach_hang[],3,0)</f>
        <v>Miền Trung đặc biệt 1</v>
      </c>
      <c r="H3342" t="str">
        <f>VLOOKUP(Table8[[#This Row],[Mã khách hàng]],'Khách hàng'!A:D,4,0)</f>
        <v>Food Đức Việt</v>
      </c>
      <c r="I3342" t="str">
        <f>VLOOKUP(Table8[[#This Row],[Mã khách hàng]],'Khách hàng'!A:E,5,0)</f>
        <v>DNTG100</v>
      </c>
    </row>
    <row r="3343" spans="1:9">
      <c r="A3343" s="14">
        <v>3581</v>
      </c>
      <c r="B3343" s="15" t="s">
        <v>5</v>
      </c>
      <c r="C3343" s="16" t="s">
        <v>11908</v>
      </c>
      <c r="D3343" s="21" t="s">
        <v>11909</v>
      </c>
      <c r="E3343" s="15" t="s">
        <v>11442</v>
      </c>
      <c r="F3343" s="22" t="str">
        <f>VLOOKUP(Table8[[#This Row],[Mã khách hàng]],code_khach_hang[],2,0)</f>
        <v>CHI NHÁNH ĐÀ NẴNG - CÔNG TY CỔ PHẦN DỊCH VỤ THƯƠNG MẠI TỔNG HỢP WINCOMMERCE</v>
      </c>
      <c r="G3343" s="16" t="str">
        <f>VLOOKUP(Table8[[#This Row],[Mã khách hàng]],code_khach_hang[],3,0)</f>
        <v>Miền Trung đặc biệt 1</v>
      </c>
      <c r="H3343" t="str">
        <f>VLOOKUP(Table8[[#This Row],[Mã khách hàng]],'Khách hàng'!A:D,4,0)</f>
        <v>Food Đức Việt</v>
      </c>
      <c r="I3343" t="str">
        <f>VLOOKUP(Table8[[#This Row],[Mã khách hàng]],'Khách hàng'!A:E,5,0)</f>
        <v>DNTG100</v>
      </c>
    </row>
    <row r="3344" spans="1:9">
      <c r="A3344" s="14">
        <v>3610</v>
      </c>
      <c r="B3344" s="15" t="s">
        <v>5</v>
      </c>
      <c r="C3344" s="16" t="s">
        <v>11910</v>
      </c>
      <c r="D3344" s="21" t="s">
        <v>11911</v>
      </c>
      <c r="E3344" s="15" t="s">
        <v>11443</v>
      </c>
      <c r="F3344" s="22" t="str">
        <f>VLOOKUP(Table8[[#This Row],[Mã khách hàng]],code_khach_hang[],2,0)</f>
        <v>CHI NHÁNH KHÁNH HÒA - CÔNG TY CỔ PHẦN DỊCH VỤ THƯƠNG MẠI TỔNG HỢP WINCOMMERCE</v>
      </c>
      <c r="G3344" s="16" t="str">
        <f>VLOOKUP(Table8[[#This Row],[Mã khách hàng]],code_khach_hang[],3,0)</f>
        <v>Miền Trung đặc biệt 2</v>
      </c>
      <c r="H3344" t="str">
        <f>VLOOKUP(Table8[[#This Row],[Mã khách hàng]],'Khách hàng'!A:D,4,0)</f>
        <v>Food Đức Việt</v>
      </c>
      <c r="I3344" t="str">
        <f>VLOOKUP(Table8[[#This Row],[Mã khách hàng]],'Khách hàng'!A:E,5,0)</f>
        <v>QNTV50</v>
      </c>
    </row>
    <row r="3345" spans="1:9">
      <c r="A3345" s="14">
        <v>3665</v>
      </c>
      <c r="B3345" s="15" t="s">
        <v>5</v>
      </c>
      <c r="C3345" s="16" t="s">
        <v>11912</v>
      </c>
      <c r="D3345" s="21" t="s">
        <v>11913</v>
      </c>
      <c r="E3345" s="15" t="s">
        <v>11442</v>
      </c>
      <c r="F3345" s="22" t="str">
        <f>VLOOKUP(Table8[[#This Row],[Mã khách hàng]],code_khach_hang[],2,0)</f>
        <v>CHI NHÁNH ĐÀ NẴNG - CÔNG TY CỔ PHẦN DỊCH VỤ THƯƠNG MẠI TỔNG HỢP WINCOMMERCE</v>
      </c>
      <c r="G3345" s="16" t="str">
        <f>VLOOKUP(Table8[[#This Row],[Mã khách hàng]],code_khach_hang[],3,0)</f>
        <v>Miền Trung đặc biệt 1</v>
      </c>
      <c r="H3345" t="str">
        <f>VLOOKUP(Table8[[#This Row],[Mã khách hàng]],'Khách hàng'!A:D,4,0)</f>
        <v>Food Đức Việt</v>
      </c>
      <c r="I3345" t="str">
        <f>VLOOKUP(Table8[[#This Row],[Mã khách hàng]],'Khách hàng'!A:E,5,0)</f>
        <v>DNTG100</v>
      </c>
    </row>
    <row r="3346" spans="1:9">
      <c r="A3346" s="14">
        <v>3672</v>
      </c>
      <c r="B3346" s="15" t="s">
        <v>5</v>
      </c>
      <c r="C3346" s="16" t="s">
        <v>11914</v>
      </c>
      <c r="D3346" s="21" t="s">
        <v>11915</v>
      </c>
      <c r="E3346" s="15" t="s">
        <v>11442</v>
      </c>
      <c r="F3346" s="22" t="str">
        <f>VLOOKUP(Table8[[#This Row],[Mã khách hàng]],code_khach_hang[],2,0)</f>
        <v>CHI NHÁNH ĐÀ NẴNG - CÔNG TY CỔ PHẦN DỊCH VỤ THƯƠNG MẠI TỔNG HỢP WINCOMMERCE</v>
      </c>
      <c r="G3346" s="16" t="str">
        <f>VLOOKUP(Table8[[#This Row],[Mã khách hàng]],code_khach_hang[],3,0)</f>
        <v>Miền Trung đặc biệt 1</v>
      </c>
      <c r="H3346" t="str">
        <f>VLOOKUP(Table8[[#This Row],[Mã khách hàng]],'Khách hàng'!A:D,4,0)</f>
        <v>Food Đức Việt</v>
      </c>
      <c r="I3346" t="str">
        <f>VLOOKUP(Table8[[#This Row],[Mã khách hàng]],'Khách hàng'!A:E,5,0)</f>
        <v>DNTG100</v>
      </c>
    </row>
    <row r="3347" spans="1:9">
      <c r="A3347" s="14">
        <v>3674</v>
      </c>
      <c r="B3347" s="15" t="s">
        <v>5</v>
      </c>
      <c r="C3347" s="16" t="s">
        <v>11916</v>
      </c>
      <c r="D3347" s="21" t="s">
        <v>11917</v>
      </c>
      <c r="E3347" s="15" t="s">
        <v>11442</v>
      </c>
      <c r="F3347" s="22" t="str">
        <f>VLOOKUP(Table8[[#This Row],[Mã khách hàng]],code_khach_hang[],2,0)</f>
        <v>CHI NHÁNH ĐÀ NẴNG - CÔNG TY CỔ PHẦN DỊCH VỤ THƯƠNG MẠI TỔNG HỢP WINCOMMERCE</v>
      </c>
      <c r="G3347" s="16" t="str">
        <f>VLOOKUP(Table8[[#This Row],[Mã khách hàng]],code_khach_hang[],3,0)</f>
        <v>Miền Trung đặc biệt 1</v>
      </c>
      <c r="H3347" t="str">
        <f>VLOOKUP(Table8[[#This Row],[Mã khách hàng]],'Khách hàng'!A:D,4,0)</f>
        <v>Food Đức Việt</v>
      </c>
      <c r="I3347" t="str">
        <f>VLOOKUP(Table8[[#This Row],[Mã khách hàng]],'Khách hàng'!A:E,5,0)</f>
        <v>DNTG100</v>
      </c>
    </row>
    <row r="3348" spans="1:9">
      <c r="A3348" s="14">
        <v>3704</v>
      </c>
      <c r="B3348" s="15" t="s">
        <v>5</v>
      </c>
      <c r="C3348" s="16" t="s">
        <v>11918</v>
      </c>
      <c r="D3348" s="21" t="s">
        <v>11919</v>
      </c>
      <c r="E3348" s="15" t="s">
        <v>11442</v>
      </c>
      <c r="F3348" s="22" t="str">
        <f>VLOOKUP(Table8[[#This Row],[Mã khách hàng]],code_khach_hang[],2,0)</f>
        <v>CHI NHÁNH ĐÀ NẴNG - CÔNG TY CỔ PHẦN DỊCH VỤ THƯƠNG MẠI TỔNG HỢP WINCOMMERCE</v>
      </c>
      <c r="G3348" s="16" t="str">
        <f>VLOOKUP(Table8[[#This Row],[Mã khách hàng]],code_khach_hang[],3,0)</f>
        <v>Miền Trung đặc biệt 1</v>
      </c>
      <c r="H3348" t="str">
        <f>VLOOKUP(Table8[[#This Row],[Mã khách hàng]],'Khách hàng'!A:D,4,0)</f>
        <v>Food Đức Việt</v>
      </c>
      <c r="I3348" t="str">
        <f>VLOOKUP(Table8[[#This Row],[Mã khách hàng]],'Khách hàng'!A:E,5,0)</f>
        <v>DNTG100</v>
      </c>
    </row>
    <row r="3349" spans="1:9">
      <c r="A3349" s="14">
        <v>3733</v>
      </c>
      <c r="B3349" s="15" t="s">
        <v>5</v>
      </c>
      <c r="C3349" s="16" t="s">
        <v>11920</v>
      </c>
      <c r="D3349" s="21" t="s">
        <v>11921</v>
      </c>
      <c r="E3349" s="15" t="s">
        <v>11442</v>
      </c>
      <c r="F3349" s="22" t="str">
        <f>VLOOKUP(Table8[[#This Row],[Mã khách hàng]],code_khach_hang[],2,0)</f>
        <v>CHI NHÁNH ĐÀ NẴNG - CÔNG TY CỔ PHẦN DỊCH VỤ THƯƠNG MẠI TỔNG HỢP WINCOMMERCE</v>
      </c>
      <c r="G3349" s="16" t="str">
        <f>VLOOKUP(Table8[[#This Row],[Mã khách hàng]],code_khach_hang[],3,0)</f>
        <v>Miền Trung đặc biệt 1</v>
      </c>
      <c r="H3349" t="str">
        <f>VLOOKUP(Table8[[#This Row],[Mã khách hàng]],'Khách hàng'!A:D,4,0)</f>
        <v>Food Đức Việt</v>
      </c>
      <c r="I3349" t="str">
        <f>VLOOKUP(Table8[[#This Row],[Mã khách hàng]],'Khách hàng'!A:E,5,0)</f>
        <v>DNTG100</v>
      </c>
    </row>
    <row r="3350" spans="1:9">
      <c r="A3350" s="14">
        <v>3737</v>
      </c>
      <c r="B3350" s="15" t="s">
        <v>5</v>
      </c>
      <c r="C3350" s="16" t="s">
        <v>11922</v>
      </c>
      <c r="D3350" s="21" t="s">
        <v>11923</v>
      </c>
      <c r="E3350" s="15" t="s">
        <v>11442</v>
      </c>
      <c r="F3350" s="22" t="str">
        <f>VLOOKUP(Table8[[#This Row],[Mã khách hàng]],code_khach_hang[],2,0)</f>
        <v>CHI NHÁNH ĐÀ NẴNG - CÔNG TY CỔ PHẦN DỊCH VỤ THƯƠNG MẠI TỔNG HỢP WINCOMMERCE</v>
      </c>
      <c r="G3350" s="16" t="str">
        <f>VLOOKUP(Table8[[#This Row],[Mã khách hàng]],code_khach_hang[],3,0)</f>
        <v>Miền Trung đặc biệt 1</v>
      </c>
      <c r="H3350" t="str">
        <f>VLOOKUP(Table8[[#This Row],[Mã khách hàng]],'Khách hàng'!A:D,4,0)</f>
        <v>Food Đức Việt</v>
      </c>
      <c r="I3350" t="str">
        <f>VLOOKUP(Table8[[#This Row],[Mã khách hàng]],'Khách hàng'!A:E,5,0)</f>
        <v>DNTG100</v>
      </c>
    </row>
    <row r="3351" spans="1:9">
      <c r="A3351" s="14">
        <v>3739</v>
      </c>
      <c r="B3351" s="15" t="s">
        <v>5</v>
      </c>
      <c r="C3351" s="16" t="s">
        <v>11924</v>
      </c>
      <c r="D3351" s="21" t="s">
        <v>11925</v>
      </c>
      <c r="E3351" s="15" t="s">
        <v>11442</v>
      </c>
      <c r="F3351" s="22" t="str">
        <f>VLOOKUP(Table8[[#This Row],[Mã khách hàng]],code_khach_hang[],2,0)</f>
        <v>CHI NHÁNH ĐÀ NẴNG - CÔNG TY CỔ PHẦN DỊCH VỤ THƯƠNG MẠI TỔNG HỢP WINCOMMERCE</v>
      </c>
      <c r="G3351" s="16" t="str">
        <f>VLOOKUP(Table8[[#This Row],[Mã khách hàng]],code_khach_hang[],3,0)</f>
        <v>Miền Trung đặc biệt 1</v>
      </c>
      <c r="H3351" t="str">
        <f>VLOOKUP(Table8[[#This Row],[Mã khách hàng]],'Khách hàng'!A:D,4,0)</f>
        <v>Food Đức Việt</v>
      </c>
      <c r="I3351" t="str">
        <f>VLOOKUP(Table8[[#This Row],[Mã khách hàng]],'Khách hàng'!A:E,5,0)</f>
        <v>DNTG100</v>
      </c>
    </row>
    <row r="3352" spans="1:9">
      <c r="A3352" s="14">
        <v>3744</v>
      </c>
      <c r="B3352" s="15" t="s">
        <v>5</v>
      </c>
      <c r="C3352" s="16" t="s">
        <v>11926</v>
      </c>
      <c r="D3352" s="21" t="s">
        <v>11927</v>
      </c>
      <c r="E3352" s="15" t="s">
        <v>11442</v>
      </c>
      <c r="F3352" s="22" t="str">
        <f>VLOOKUP(Table8[[#This Row],[Mã khách hàng]],code_khach_hang[],2,0)</f>
        <v>CHI NHÁNH ĐÀ NẴNG - CÔNG TY CỔ PHẦN DỊCH VỤ THƯƠNG MẠI TỔNG HỢP WINCOMMERCE</v>
      </c>
      <c r="G3352" s="16" t="str">
        <f>VLOOKUP(Table8[[#This Row],[Mã khách hàng]],code_khach_hang[],3,0)</f>
        <v>Miền Trung đặc biệt 1</v>
      </c>
      <c r="H3352" t="str">
        <f>VLOOKUP(Table8[[#This Row],[Mã khách hàng]],'Khách hàng'!A:D,4,0)</f>
        <v>Food Đức Việt</v>
      </c>
      <c r="I3352" t="str">
        <f>VLOOKUP(Table8[[#This Row],[Mã khách hàng]],'Khách hàng'!A:E,5,0)</f>
        <v>DNTG100</v>
      </c>
    </row>
    <row r="3353" spans="1:9">
      <c r="A3353" s="14">
        <v>3746</v>
      </c>
      <c r="B3353" s="15" t="s">
        <v>5</v>
      </c>
      <c r="C3353" s="16" t="s">
        <v>11928</v>
      </c>
      <c r="D3353" s="21" t="s">
        <v>11929</v>
      </c>
      <c r="E3353" s="15" t="s">
        <v>11442</v>
      </c>
      <c r="F3353" s="22" t="str">
        <f>VLOOKUP(Table8[[#This Row],[Mã khách hàng]],code_khach_hang[],2,0)</f>
        <v>CHI NHÁNH ĐÀ NẴNG - CÔNG TY CỔ PHẦN DỊCH VỤ THƯƠNG MẠI TỔNG HỢP WINCOMMERCE</v>
      </c>
      <c r="G3353" s="16" t="str">
        <f>VLOOKUP(Table8[[#This Row],[Mã khách hàng]],code_khach_hang[],3,0)</f>
        <v>Miền Trung đặc biệt 1</v>
      </c>
      <c r="H3353" t="str">
        <f>VLOOKUP(Table8[[#This Row],[Mã khách hàng]],'Khách hàng'!A:D,4,0)</f>
        <v>Food Đức Việt</v>
      </c>
      <c r="I3353" t="str">
        <f>VLOOKUP(Table8[[#This Row],[Mã khách hàng]],'Khách hàng'!A:E,5,0)</f>
        <v>DNTG100</v>
      </c>
    </row>
    <row r="3354" spans="1:9">
      <c r="A3354" s="14">
        <v>3748</v>
      </c>
      <c r="B3354" s="15" t="s">
        <v>5</v>
      </c>
      <c r="C3354" s="16" t="s">
        <v>11930</v>
      </c>
      <c r="D3354" s="21" t="s">
        <v>11931</v>
      </c>
      <c r="E3354" s="15" t="s">
        <v>11443</v>
      </c>
      <c r="F3354" s="22" t="str">
        <f>VLOOKUP(Table8[[#This Row],[Mã khách hàng]],code_khach_hang[],2,0)</f>
        <v>CHI NHÁNH KHÁNH HÒA - CÔNG TY CỔ PHẦN DỊCH VỤ THƯƠNG MẠI TỔNG HỢP WINCOMMERCE</v>
      </c>
      <c r="G3354" s="16" t="str">
        <f>VLOOKUP(Table8[[#This Row],[Mã khách hàng]],code_khach_hang[],3,0)</f>
        <v>Miền Trung đặc biệt 2</v>
      </c>
      <c r="H3354" t="str">
        <f>VLOOKUP(Table8[[#This Row],[Mã khách hàng]],'Khách hàng'!A:D,4,0)</f>
        <v>Food Đức Việt</v>
      </c>
      <c r="I3354" t="str">
        <f>VLOOKUP(Table8[[#This Row],[Mã khách hàng]],'Khách hàng'!A:E,5,0)</f>
        <v>QNTV50</v>
      </c>
    </row>
    <row r="3355" spans="1:9">
      <c r="A3355" s="14">
        <v>3756</v>
      </c>
      <c r="B3355" s="15" t="s">
        <v>5</v>
      </c>
      <c r="C3355" s="16" t="s">
        <v>11932</v>
      </c>
      <c r="D3355" s="21" t="s">
        <v>11933</v>
      </c>
      <c r="E3355" s="15" t="s">
        <v>11442</v>
      </c>
      <c r="F3355" s="22" t="str">
        <f>VLOOKUP(Table8[[#This Row],[Mã khách hàng]],code_khach_hang[],2,0)</f>
        <v>CHI NHÁNH ĐÀ NẴNG - CÔNG TY CỔ PHẦN DỊCH VỤ THƯƠNG MẠI TỔNG HỢP WINCOMMERCE</v>
      </c>
      <c r="G3355" s="16" t="str">
        <f>VLOOKUP(Table8[[#This Row],[Mã khách hàng]],code_khach_hang[],3,0)</f>
        <v>Miền Trung đặc biệt 1</v>
      </c>
      <c r="H3355" t="str">
        <f>VLOOKUP(Table8[[#This Row],[Mã khách hàng]],'Khách hàng'!A:D,4,0)</f>
        <v>Food Đức Việt</v>
      </c>
      <c r="I3355" t="str">
        <f>VLOOKUP(Table8[[#This Row],[Mã khách hàng]],'Khách hàng'!A:E,5,0)</f>
        <v>DNTG100</v>
      </c>
    </row>
    <row r="3356" spans="1:9">
      <c r="A3356" s="14">
        <v>3773</v>
      </c>
      <c r="B3356" s="15" t="s">
        <v>5</v>
      </c>
      <c r="C3356" s="16" t="s">
        <v>11934</v>
      </c>
      <c r="D3356" s="21" t="s">
        <v>11935</v>
      </c>
      <c r="E3356" s="15" t="s">
        <v>11442</v>
      </c>
      <c r="F3356" s="22" t="str">
        <f>VLOOKUP(Table8[[#This Row],[Mã khách hàng]],code_khach_hang[],2,0)</f>
        <v>CHI NHÁNH ĐÀ NẴNG - CÔNG TY CỔ PHẦN DỊCH VỤ THƯƠNG MẠI TỔNG HỢP WINCOMMERCE</v>
      </c>
      <c r="G3356" s="16" t="str">
        <f>VLOOKUP(Table8[[#This Row],[Mã khách hàng]],code_khach_hang[],3,0)</f>
        <v>Miền Trung đặc biệt 1</v>
      </c>
      <c r="H3356" t="str">
        <f>VLOOKUP(Table8[[#This Row],[Mã khách hàng]],'Khách hàng'!A:D,4,0)</f>
        <v>Food Đức Việt</v>
      </c>
      <c r="I3356" t="str">
        <f>VLOOKUP(Table8[[#This Row],[Mã khách hàng]],'Khách hàng'!A:E,5,0)</f>
        <v>DNTG100</v>
      </c>
    </row>
    <row r="3357" spans="1:9">
      <c r="A3357" s="14">
        <v>3782</v>
      </c>
      <c r="B3357" s="15" t="s">
        <v>5</v>
      </c>
      <c r="C3357" s="16" t="s">
        <v>11936</v>
      </c>
      <c r="D3357" s="21" t="s">
        <v>11937</v>
      </c>
      <c r="E3357" s="15" t="s">
        <v>11442</v>
      </c>
      <c r="F3357" s="22" t="str">
        <f>VLOOKUP(Table8[[#This Row],[Mã khách hàng]],code_khach_hang[],2,0)</f>
        <v>CHI NHÁNH ĐÀ NẴNG - CÔNG TY CỔ PHẦN DỊCH VỤ THƯƠNG MẠI TỔNG HỢP WINCOMMERCE</v>
      </c>
      <c r="G3357" s="16" t="str">
        <f>VLOOKUP(Table8[[#This Row],[Mã khách hàng]],code_khach_hang[],3,0)</f>
        <v>Miền Trung đặc biệt 1</v>
      </c>
      <c r="H3357" t="str">
        <f>VLOOKUP(Table8[[#This Row],[Mã khách hàng]],'Khách hàng'!A:D,4,0)</f>
        <v>Food Đức Việt</v>
      </c>
      <c r="I3357" t="str">
        <f>VLOOKUP(Table8[[#This Row],[Mã khách hàng]],'Khách hàng'!A:E,5,0)</f>
        <v>DNTG100</v>
      </c>
    </row>
    <row r="3358" spans="1:9">
      <c r="A3358" s="14">
        <v>3784</v>
      </c>
      <c r="B3358" s="15" t="s">
        <v>5</v>
      </c>
      <c r="C3358" s="16" t="s">
        <v>11938</v>
      </c>
      <c r="D3358" s="21" t="s">
        <v>11939</v>
      </c>
      <c r="E3358" s="15" t="s">
        <v>11442</v>
      </c>
      <c r="F3358" s="22" t="str">
        <f>VLOOKUP(Table8[[#This Row],[Mã khách hàng]],code_khach_hang[],2,0)</f>
        <v>CHI NHÁNH ĐÀ NẴNG - CÔNG TY CỔ PHẦN DỊCH VỤ THƯƠNG MẠI TỔNG HỢP WINCOMMERCE</v>
      </c>
      <c r="G3358" s="16" t="str">
        <f>VLOOKUP(Table8[[#This Row],[Mã khách hàng]],code_khach_hang[],3,0)</f>
        <v>Miền Trung đặc biệt 1</v>
      </c>
      <c r="H3358" t="str">
        <f>VLOOKUP(Table8[[#This Row],[Mã khách hàng]],'Khách hàng'!A:D,4,0)</f>
        <v>Food Đức Việt</v>
      </c>
      <c r="I3358" t="str">
        <f>VLOOKUP(Table8[[#This Row],[Mã khách hàng]],'Khách hàng'!A:E,5,0)</f>
        <v>DNTG100</v>
      </c>
    </row>
    <row r="3359" spans="1:9">
      <c r="A3359" s="14">
        <v>3789</v>
      </c>
      <c r="B3359" s="15" t="s">
        <v>5</v>
      </c>
      <c r="C3359" s="16" t="s">
        <v>11940</v>
      </c>
      <c r="D3359" s="21" t="s">
        <v>11941</v>
      </c>
      <c r="E3359" s="15" t="s">
        <v>11442</v>
      </c>
      <c r="F3359" s="22" t="str">
        <f>VLOOKUP(Table8[[#This Row],[Mã khách hàng]],code_khach_hang[],2,0)</f>
        <v>CHI NHÁNH ĐÀ NẴNG - CÔNG TY CỔ PHẦN DỊCH VỤ THƯƠNG MẠI TỔNG HỢP WINCOMMERCE</v>
      </c>
      <c r="G3359" s="16" t="str">
        <f>VLOOKUP(Table8[[#This Row],[Mã khách hàng]],code_khach_hang[],3,0)</f>
        <v>Miền Trung đặc biệt 1</v>
      </c>
      <c r="H3359" t="str">
        <f>VLOOKUP(Table8[[#This Row],[Mã khách hàng]],'Khách hàng'!A:D,4,0)</f>
        <v>Food Đức Việt</v>
      </c>
      <c r="I3359" t="str">
        <f>VLOOKUP(Table8[[#This Row],[Mã khách hàng]],'Khách hàng'!A:E,5,0)</f>
        <v>DNTG100</v>
      </c>
    </row>
    <row r="3360" spans="1:9">
      <c r="A3360" s="14">
        <v>3792</v>
      </c>
      <c r="B3360" s="15" t="s">
        <v>5</v>
      </c>
      <c r="C3360" s="16" t="s">
        <v>11942</v>
      </c>
      <c r="D3360" s="21" t="s">
        <v>11943</v>
      </c>
      <c r="E3360" s="15" t="s">
        <v>11442</v>
      </c>
      <c r="F3360" s="22" t="str">
        <f>VLOOKUP(Table8[[#This Row],[Mã khách hàng]],code_khach_hang[],2,0)</f>
        <v>CHI NHÁNH ĐÀ NẴNG - CÔNG TY CỔ PHẦN DỊCH VỤ THƯƠNG MẠI TỔNG HỢP WINCOMMERCE</v>
      </c>
      <c r="G3360" s="16" t="str">
        <f>VLOOKUP(Table8[[#This Row],[Mã khách hàng]],code_khach_hang[],3,0)</f>
        <v>Miền Trung đặc biệt 1</v>
      </c>
      <c r="H3360" t="str">
        <f>VLOOKUP(Table8[[#This Row],[Mã khách hàng]],'Khách hàng'!A:D,4,0)</f>
        <v>Food Đức Việt</v>
      </c>
      <c r="I3360" t="str">
        <f>VLOOKUP(Table8[[#This Row],[Mã khách hàng]],'Khách hàng'!A:E,5,0)</f>
        <v>DNTG100</v>
      </c>
    </row>
    <row r="3361" spans="1:9">
      <c r="A3361" s="14">
        <v>3794</v>
      </c>
      <c r="B3361" s="15" t="s">
        <v>5</v>
      </c>
      <c r="C3361" s="16" t="s">
        <v>11944</v>
      </c>
      <c r="D3361" s="21" t="s">
        <v>11945</v>
      </c>
      <c r="E3361" s="15" t="s">
        <v>11443</v>
      </c>
      <c r="F3361" s="22" t="str">
        <f>VLOOKUP(Table8[[#This Row],[Mã khách hàng]],code_khach_hang[],2,0)</f>
        <v>CHI NHÁNH KHÁNH HÒA - CÔNG TY CỔ PHẦN DỊCH VỤ THƯƠNG MẠI TỔNG HỢP WINCOMMERCE</v>
      </c>
      <c r="G3361" s="16" t="str">
        <f>VLOOKUP(Table8[[#This Row],[Mã khách hàng]],code_khach_hang[],3,0)</f>
        <v>Miền Trung đặc biệt 2</v>
      </c>
      <c r="H3361" t="str">
        <f>VLOOKUP(Table8[[#This Row],[Mã khách hàng]],'Khách hàng'!A:D,4,0)</f>
        <v>Food Đức Việt</v>
      </c>
      <c r="I3361" t="str">
        <f>VLOOKUP(Table8[[#This Row],[Mã khách hàng]],'Khách hàng'!A:E,5,0)</f>
        <v>QNTV50</v>
      </c>
    </row>
    <row r="3362" spans="1:9">
      <c r="A3362" s="14">
        <v>3797</v>
      </c>
      <c r="B3362" s="15" t="s">
        <v>5</v>
      </c>
      <c r="C3362" s="16" t="s">
        <v>11946</v>
      </c>
      <c r="D3362" s="21" t="s">
        <v>11947</v>
      </c>
      <c r="E3362" s="15" t="s">
        <v>11442</v>
      </c>
      <c r="F3362" s="22" t="str">
        <f>VLOOKUP(Table8[[#This Row],[Mã khách hàng]],code_khach_hang[],2,0)</f>
        <v>CHI NHÁNH ĐÀ NẴNG - CÔNG TY CỔ PHẦN DỊCH VỤ THƯƠNG MẠI TỔNG HỢP WINCOMMERCE</v>
      </c>
      <c r="G3362" s="16" t="str">
        <f>VLOOKUP(Table8[[#This Row],[Mã khách hàng]],code_khach_hang[],3,0)</f>
        <v>Miền Trung đặc biệt 1</v>
      </c>
      <c r="H3362" t="str">
        <f>VLOOKUP(Table8[[#This Row],[Mã khách hàng]],'Khách hàng'!A:D,4,0)</f>
        <v>Food Đức Việt</v>
      </c>
      <c r="I3362" t="str">
        <f>VLOOKUP(Table8[[#This Row],[Mã khách hàng]],'Khách hàng'!A:E,5,0)</f>
        <v>DNTG100</v>
      </c>
    </row>
    <row r="3363" spans="1:9">
      <c r="A3363" s="14">
        <v>3801</v>
      </c>
      <c r="B3363" s="15" t="s">
        <v>5</v>
      </c>
      <c r="C3363" s="16" t="s">
        <v>11948</v>
      </c>
      <c r="D3363" s="21" t="s">
        <v>11949</v>
      </c>
      <c r="E3363" s="15" t="s">
        <v>11442</v>
      </c>
      <c r="F3363" s="22" t="str">
        <f>VLOOKUP(Table8[[#This Row],[Mã khách hàng]],code_khach_hang[],2,0)</f>
        <v>CHI NHÁNH ĐÀ NẴNG - CÔNG TY CỔ PHẦN DỊCH VỤ THƯƠNG MẠI TỔNG HỢP WINCOMMERCE</v>
      </c>
      <c r="G3363" s="16" t="str">
        <f>VLOOKUP(Table8[[#This Row],[Mã khách hàng]],code_khach_hang[],3,0)</f>
        <v>Miền Trung đặc biệt 1</v>
      </c>
      <c r="H3363" t="str">
        <f>VLOOKUP(Table8[[#This Row],[Mã khách hàng]],'Khách hàng'!A:D,4,0)</f>
        <v>Food Đức Việt</v>
      </c>
      <c r="I3363" t="str">
        <f>VLOOKUP(Table8[[#This Row],[Mã khách hàng]],'Khách hàng'!A:E,5,0)</f>
        <v>DNTG100</v>
      </c>
    </row>
    <row r="3364" spans="1:9">
      <c r="A3364" s="14">
        <v>3819</v>
      </c>
      <c r="B3364" s="15" t="s">
        <v>5</v>
      </c>
      <c r="C3364" s="16" t="s">
        <v>11950</v>
      </c>
      <c r="D3364" s="21" t="s">
        <v>11951</v>
      </c>
      <c r="E3364" s="15" t="s">
        <v>11442</v>
      </c>
      <c r="F3364" s="22" t="str">
        <f>VLOOKUP(Table8[[#This Row],[Mã khách hàng]],code_khach_hang[],2,0)</f>
        <v>CHI NHÁNH ĐÀ NẴNG - CÔNG TY CỔ PHẦN DỊCH VỤ THƯƠNG MẠI TỔNG HỢP WINCOMMERCE</v>
      </c>
      <c r="G3364" s="16" t="str">
        <f>VLOOKUP(Table8[[#This Row],[Mã khách hàng]],code_khach_hang[],3,0)</f>
        <v>Miền Trung đặc biệt 1</v>
      </c>
      <c r="H3364" t="str">
        <f>VLOOKUP(Table8[[#This Row],[Mã khách hàng]],'Khách hàng'!A:D,4,0)</f>
        <v>Food Đức Việt</v>
      </c>
      <c r="I3364" t="str">
        <f>VLOOKUP(Table8[[#This Row],[Mã khách hàng]],'Khách hàng'!A:E,5,0)</f>
        <v>DNTG100</v>
      </c>
    </row>
    <row r="3365" spans="1:9">
      <c r="A3365" s="14">
        <v>3835</v>
      </c>
      <c r="B3365" s="15" t="s">
        <v>5</v>
      </c>
      <c r="C3365" s="16" t="s">
        <v>11952</v>
      </c>
      <c r="D3365" s="21" t="s">
        <v>11953</v>
      </c>
      <c r="E3365" s="15" t="s">
        <v>11442</v>
      </c>
      <c r="F3365" s="22" t="str">
        <f>VLOOKUP(Table8[[#This Row],[Mã khách hàng]],code_khach_hang[],2,0)</f>
        <v>CHI NHÁNH ĐÀ NẴNG - CÔNG TY CỔ PHẦN DỊCH VỤ THƯƠNG MẠI TỔNG HỢP WINCOMMERCE</v>
      </c>
      <c r="G3365" s="16" t="str">
        <f>VLOOKUP(Table8[[#This Row],[Mã khách hàng]],code_khach_hang[],3,0)</f>
        <v>Miền Trung đặc biệt 1</v>
      </c>
      <c r="H3365" t="str">
        <f>VLOOKUP(Table8[[#This Row],[Mã khách hàng]],'Khách hàng'!A:D,4,0)</f>
        <v>Food Đức Việt</v>
      </c>
      <c r="I3365" t="str">
        <f>VLOOKUP(Table8[[#This Row],[Mã khách hàng]],'Khách hàng'!A:E,5,0)</f>
        <v>DNTG100</v>
      </c>
    </row>
    <row r="3366" spans="1:9">
      <c r="A3366" s="14">
        <v>3854</v>
      </c>
      <c r="B3366" s="15" t="s">
        <v>5</v>
      </c>
      <c r="C3366" s="16" t="s">
        <v>11954</v>
      </c>
      <c r="D3366" s="21" t="s">
        <v>11955</v>
      </c>
      <c r="E3366" s="15" t="s">
        <v>11442</v>
      </c>
      <c r="F3366" s="22" t="str">
        <f>VLOOKUP(Table8[[#This Row],[Mã khách hàng]],code_khach_hang[],2,0)</f>
        <v>CHI NHÁNH ĐÀ NẴNG - CÔNG TY CỔ PHẦN DỊCH VỤ THƯƠNG MẠI TỔNG HỢP WINCOMMERCE</v>
      </c>
      <c r="G3366" s="16" t="str">
        <f>VLOOKUP(Table8[[#This Row],[Mã khách hàng]],code_khach_hang[],3,0)</f>
        <v>Miền Trung đặc biệt 1</v>
      </c>
      <c r="H3366" t="str">
        <f>VLOOKUP(Table8[[#This Row],[Mã khách hàng]],'Khách hàng'!A:D,4,0)</f>
        <v>Food Đức Việt</v>
      </c>
      <c r="I3366" t="str">
        <f>VLOOKUP(Table8[[#This Row],[Mã khách hàng]],'Khách hàng'!A:E,5,0)</f>
        <v>DNTG100</v>
      </c>
    </row>
    <row r="3367" spans="1:9">
      <c r="A3367" s="14">
        <v>3874</v>
      </c>
      <c r="B3367" s="15" t="s">
        <v>5</v>
      </c>
      <c r="C3367" s="16" t="s">
        <v>11956</v>
      </c>
      <c r="D3367" s="21" t="s">
        <v>11957</v>
      </c>
      <c r="E3367" s="15" t="s">
        <v>11442</v>
      </c>
      <c r="F3367" s="22" t="str">
        <f>VLOOKUP(Table8[[#This Row],[Mã khách hàng]],code_khach_hang[],2,0)</f>
        <v>CHI NHÁNH ĐÀ NẴNG - CÔNG TY CỔ PHẦN DỊCH VỤ THƯƠNG MẠI TỔNG HỢP WINCOMMERCE</v>
      </c>
      <c r="G3367" s="16" t="str">
        <f>VLOOKUP(Table8[[#This Row],[Mã khách hàng]],code_khach_hang[],3,0)</f>
        <v>Miền Trung đặc biệt 1</v>
      </c>
      <c r="H3367" t="str">
        <f>VLOOKUP(Table8[[#This Row],[Mã khách hàng]],'Khách hàng'!A:D,4,0)</f>
        <v>Food Đức Việt</v>
      </c>
      <c r="I3367" t="str">
        <f>VLOOKUP(Table8[[#This Row],[Mã khách hàng]],'Khách hàng'!A:E,5,0)</f>
        <v>DNTG100</v>
      </c>
    </row>
    <row r="3368" spans="1:9">
      <c r="A3368" s="14">
        <v>3885</v>
      </c>
      <c r="B3368" s="15" t="s">
        <v>5</v>
      </c>
      <c r="C3368" s="16" t="s">
        <v>11958</v>
      </c>
      <c r="D3368" s="21" t="s">
        <v>11959</v>
      </c>
      <c r="E3368" s="15" t="s">
        <v>11442</v>
      </c>
      <c r="F3368" s="22" t="str">
        <f>VLOOKUP(Table8[[#This Row],[Mã khách hàng]],code_khach_hang[],2,0)</f>
        <v>CHI NHÁNH ĐÀ NẴNG - CÔNG TY CỔ PHẦN DỊCH VỤ THƯƠNG MẠI TỔNG HỢP WINCOMMERCE</v>
      </c>
      <c r="G3368" s="16" t="str">
        <f>VLOOKUP(Table8[[#This Row],[Mã khách hàng]],code_khach_hang[],3,0)</f>
        <v>Miền Trung đặc biệt 1</v>
      </c>
      <c r="H3368" t="str">
        <f>VLOOKUP(Table8[[#This Row],[Mã khách hàng]],'Khách hàng'!A:D,4,0)</f>
        <v>Food Đức Việt</v>
      </c>
      <c r="I3368" t="str">
        <f>VLOOKUP(Table8[[#This Row],[Mã khách hàng]],'Khách hàng'!A:E,5,0)</f>
        <v>DNTG100</v>
      </c>
    </row>
    <row r="3369" spans="1:9">
      <c r="A3369" s="14">
        <v>3915</v>
      </c>
      <c r="B3369" s="15" t="s">
        <v>5</v>
      </c>
      <c r="C3369" s="16" t="s">
        <v>11960</v>
      </c>
      <c r="D3369" s="21" t="s">
        <v>11961</v>
      </c>
      <c r="E3369" s="15" t="s">
        <v>11442</v>
      </c>
      <c r="F3369" s="22" t="str">
        <f>VLOOKUP(Table8[[#This Row],[Mã khách hàng]],code_khach_hang[],2,0)</f>
        <v>CHI NHÁNH ĐÀ NẴNG - CÔNG TY CỔ PHẦN DỊCH VỤ THƯƠNG MẠI TỔNG HỢP WINCOMMERCE</v>
      </c>
      <c r="G3369" s="16" t="str">
        <f>VLOOKUP(Table8[[#This Row],[Mã khách hàng]],code_khach_hang[],3,0)</f>
        <v>Miền Trung đặc biệt 1</v>
      </c>
      <c r="H3369" t="str">
        <f>VLOOKUP(Table8[[#This Row],[Mã khách hàng]],'Khách hàng'!A:D,4,0)</f>
        <v>Food Đức Việt</v>
      </c>
      <c r="I3369" t="str">
        <f>VLOOKUP(Table8[[#This Row],[Mã khách hàng]],'Khách hàng'!A:E,5,0)</f>
        <v>DNTG100</v>
      </c>
    </row>
    <row r="3370" spans="1:9">
      <c r="A3370" s="14">
        <v>3930</v>
      </c>
      <c r="B3370" s="15" t="s">
        <v>5</v>
      </c>
      <c r="C3370" s="16" t="s">
        <v>11962</v>
      </c>
      <c r="D3370" s="21" t="s">
        <v>11963</v>
      </c>
      <c r="E3370" s="15" t="s">
        <v>11442</v>
      </c>
      <c r="F3370" s="22" t="str">
        <f>VLOOKUP(Table8[[#This Row],[Mã khách hàng]],code_khach_hang[],2,0)</f>
        <v>CHI NHÁNH ĐÀ NẴNG - CÔNG TY CỔ PHẦN DỊCH VỤ THƯƠNG MẠI TỔNG HỢP WINCOMMERCE</v>
      </c>
      <c r="G3370" s="16" t="str">
        <f>VLOOKUP(Table8[[#This Row],[Mã khách hàng]],code_khach_hang[],3,0)</f>
        <v>Miền Trung đặc biệt 1</v>
      </c>
      <c r="H3370" t="str">
        <f>VLOOKUP(Table8[[#This Row],[Mã khách hàng]],'Khách hàng'!A:D,4,0)</f>
        <v>Food Đức Việt</v>
      </c>
      <c r="I3370" t="str">
        <f>VLOOKUP(Table8[[#This Row],[Mã khách hàng]],'Khách hàng'!A:E,5,0)</f>
        <v>DNTG100</v>
      </c>
    </row>
    <row r="3371" spans="1:9">
      <c r="A3371" s="14">
        <v>3935</v>
      </c>
      <c r="B3371" s="15" t="s">
        <v>5</v>
      </c>
      <c r="C3371" s="16" t="s">
        <v>11964</v>
      </c>
      <c r="D3371" s="21" t="s">
        <v>11965</v>
      </c>
      <c r="E3371" s="15" t="s">
        <v>11442</v>
      </c>
      <c r="F3371" s="22" t="str">
        <f>VLOOKUP(Table8[[#This Row],[Mã khách hàng]],code_khach_hang[],2,0)</f>
        <v>CHI NHÁNH ĐÀ NẴNG - CÔNG TY CỔ PHẦN DỊCH VỤ THƯƠNG MẠI TỔNG HỢP WINCOMMERCE</v>
      </c>
      <c r="G3371" s="16" t="str">
        <f>VLOOKUP(Table8[[#This Row],[Mã khách hàng]],code_khach_hang[],3,0)</f>
        <v>Miền Trung đặc biệt 1</v>
      </c>
      <c r="H3371" t="str">
        <f>VLOOKUP(Table8[[#This Row],[Mã khách hàng]],'Khách hàng'!A:D,4,0)</f>
        <v>Food Đức Việt</v>
      </c>
      <c r="I3371" t="str">
        <f>VLOOKUP(Table8[[#This Row],[Mã khách hàng]],'Khách hàng'!A:E,5,0)</f>
        <v>DNTG100</v>
      </c>
    </row>
    <row r="3372" spans="1:9">
      <c r="A3372" s="14">
        <v>3937</v>
      </c>
      <c r="B3372" s="15" t="s">
        <v>5</v>
      </c>
      <c r="C3372" s="16" t="s">
        <v>11966</v>
      </c>
      <c r="D3372" s="21" t="s">
        <v>11967</v>
      </c>
      <c r="E3372" s="15" t="s">
        <v>11442</v>
      </c>
      <c r="F3372" s="22" t="str">
        <f>VLOOKUP(Table8[[#This Row],[Mã khách hàng]],code_khach_hang[],2,0)</f>
        <v>CHI NHÁNH ĐÀ NẴNG - CÔNG TY CỔ PHẦN DỊCH VỤ THƯƠNG MẠI TỔNG HỢP WINCOMMERCE</v>
      </c>
      <c r="G3372" s="16" t="str">
        <f>VLOOKUP(Table8[[#This Row],[Mã khách hàng]],code_khach_hang[],3,0)</f>
        <v>Miền Trung đặc biệt 1</v>
      </c>
      <c r="H3372" t="str">
        <f>VLOOKUP(Table8[[#This Row],[Mã khách hàng]],'Khách hàng'!A:D,4,0)</f>
        <v>Food Đức Việt</v>
      </c>
      <c r="I3372" t="str">
        <f>VLOOKUP(Table8[[#This Row],[Mã khách hàng]],'Khách hàng'!A:E,5,0)</f>
        <v>DNTG100</v>
      </c>
    </row>
    <row r="3373" spans="1:9">
      <c r="A3373" s="14">
        <v>3956</v>
      </c>
      <c r="B3373" s="15" t="s">
        <v>5</v>
      </c>
      <c r="C3373" s="16" t="s">
        <v>11968</v>
      </c>
      <c r="D3373" s="21" t="s">
        <v>11969</v>
      </c>
      <c r="E3373" s="15" t="s">
        <v>11442</v>
      </c>
      <c r="F3373" s="22" t="str">
        <f>VLOOKUP(Table8[[#This Row],[Mã khách hàng]],code_khach_hang[],2,0)</f>
        <v>CHI NHÁNH ĐÀ NẴNG - CÔNG TY CỔ PHẦN DỊCH VỤ THƯƠNG MẠI TỔNG HỢP WINCOMMERCE</v>
      </c>
      <c r="G3373" s="16" t="str">
        <f>VLOOKUP(Table8[[#This Row],[Mã khách hàng]],code_khach_hang[],3,0)</f>
        <v>Miền Trung đặc biệt 1</v>
      </c>
      <c r="H3373" t="str">
        <f>VLOOKUP(Table8[[#This Row],[Mã khách hàng]],'Khách hàng'!A:D,4,0)</f>
        <v>Food Đức Việt</v>
      </c>
      <c r="I3373" t="str">
        <f>VLOOKUP(Table8[[#This Row],[Mã khách hàng]],'Khách hàng'!A:E,5,0)</f>
        <v>DNTG100</v>
      </c>
    </row>
    <row r="3374" spans="1:9">
      <c r="A3374" s="14">
        <v>3985</v>
      </c>
      <c r="B3374" s="15" t="s">
        <v>5</v>
      </c>
      <c r="C3374" s="16" t="s">
        <v>11970</v>
      </c>
      <c r="D3374" s="21" t="s">
        <v>11971</v>
      </c>
      <c r="E3374" s="15" t="s">
        <v>11442</v>
      </c>
      <c r="F3374" s="22" t="str">
        <f>VLOOKUP(Table8[[#This Row],[Mã khách hàng]],code_khach_hang[],2,0)</f>
        <v>CHI NHÁNH ĐÀ NẴNG - CÔNG TY CỔ PHẦN DỊCH VỤ THƯƠNG MẠI TỔNG HỢP WINCOMMERCE</v>
      </c>
      <c r="G3374" s="16" t="str">
        <f>VLOOKUP(Table8[[#This Row],[Mã khách hàng]],code_khach_hang[],3,0)</f>
        <v>Miền Trung đặc biệt 1</v>
      </c>
      <c r="H3374" t="str">
        <f>VLOOKUP(Table8[[#This Row],[Mã khách hàng]],'Khách hàng'!A:D,4,0)</f>
        <v>Food Đức Việt</v>
      </c>
      <c r="I3374" t="str">
        <f>VLOOKUP(Table8[[#This Row],[Mã khách hàng]],'Khách hàng'!A:E,5,0)</f>
        <v>DNTG100</v>
      </c>
    </row>
    <row r="3375" spans="1:9">
      <c r="A3375" s="14">
        <v>4034</v>
      </c>
      <c r="B3375" s="15" t="s">
        <v>5</v>
      </c>
      <c r="C3375" s="16" t="s">
        <v>11972</v>
      </c>
      <c r="D3375" s="21" t="s">
        <v>11973</v>
      </c>
      <c r="E3375" s="15" t="s">
        <v>11443</v>
      </c>
      <c r="F3375" s="22" t="str">
        <f>VLOOKUP(Table8[[#This Row],[Mã khách hàng]],code_khach_hang[],2,0)</f>
        <v>CHI NHÁNH KHÁNH HÒA - CÔNG TY CỔ PHẦN DỊCH VỤ THƯƠNG MẠI TỔNG HỢP WINCOMMERCE</v>
      </c>
      <c r="G3375" s="16" t="str">
        <f>VLOOKUP(Table8[[#This Row],[Mã khách hàng]],code_khach_hang[],3,0)</f>
        <v>Miền Trung đặc biệt 2</v>
      </c>
      <c r="H3375" t="str">
        <f>VLOOKUP(Table8[[#This Row],[Mã khách hàng]],'Khách hàng'!A:D,4,0)</f>
        <v>Food Đức Việt</v>
      </c>
      <c r="I3375" t="str">
        <f>VLOOKUP(Table8[[#This Row],[Mã khách hàng]],'Khách hàng'!A:E,5,0)</f>
        <v>QNTV50</v>
      </c>
    </row>
    <row r="3376" spans="1:9">
      <c r="A3376" s="14">
        <v>4062</v>
      </c>
      <c r="B3376" s="15" t="s">
        <v>5</v>
      </c>
      <c r="C3376" s="16" t="s">
        <v>11974</v>
      </c>
      <c r="D3376" s="21" t="s">
        <v>11975</v>
      </c>
      <c r="E3376" s="15" t="s">
        <v>11442</v>
      </c>
      <c r="F3376" s="22" t="str">
        <f>VLOOKUP(Table8[[#This Row],[Mã khách hàng]],code_khach_hang[],2,0)</f>
        <v>CHI NHÁNH ĐÀ NẴNG - CÔNG TY CỔ PHẦN DỊCH VỤ THƯƠNG MẠI TỔNG HỢP WINCOMMERCE</v>
      </c>
      <c r="G3376" s="16" t="str">
        <f>VLOOKUP(Table8[[#This Row],[Mã khách hàng]],code_khach_hang[],3,0)</f>
        <v>Miền Trung đặc biệt 1</v>
      </c>
      <c r="H3376" t="str">
        <f>VLOOKUP(Table8[[#This Row],[Mã khách hàng]],'Khách hàng'!A:D,4,0)</f>
        <v>Food Đức Việt</v>
      </c>
      <c r="I3376" t="str">
        <f>VLOOKUP(Table8[[#This Row],[Mã khách hàng]],'Khách hàng'!A:E,5,0)</f>
        <v>DNTG100</v>
      </c>
    </row>
    <row r="3377" spans="1:9">
      <c r="A3377" s="14">
        <v>4063</v>
      </c>
      <c r="B3377" s="15" t="s">
        <v>5</v>
      </c>
      <c r="C3377" s="16" t="s">
        <v>11976</v>
      </c>
      <c r="D3377" s="21" t="s">
        <v>11977</v>
      </c>
      <c r="E3377" s="15" t="s">
        <v>11442</v>
      </c>
      <c r="F3377" s="22" t="str">
        <f>VLOOKUP(Table8[[#This Row],[Mã khách hàng]],code_khach_hang[],2,0)</f>
        <v>CHI NHÁNH ĐÀ NẴNG - CÔNG TY CỔ PHẦN DỊCH VỤ THƯƠNG MẠI TỔNG HỢP WINCOMMERCE</v>
      </c>
      <c r="G3377" s="16" t="str">
        <f>VLOOKUP(Table8[[#This Row],[Mã khách hàng]],code_khach_hang[],3,0)</f>
        <v>Miền Trung đặc biệt 1</v>
      </c>
      <c r="H3377" t="str">
        <f>VLOOKUP(Table8[[#This Row],[Mã khách hàng]],'Khách hàng'!A:D,4,0)</f>
        <v>Food Đức Việt</v>
      </c>
      <c r="I3377" t="str">
        <f>VLOOKUP(Table8[[#This Row],[Mã khách hàng]],'Khách hàng'!A:E,5,0)</f>
        <v>DNTG100</v>
      </c>
    </row>
    <row r="3378" spans="1:9">
      <c r="A3378" s="14">
        <v>4071</v>
      </c>
      <c r="B3378" s="15" t="s">
        <v>5</v>
      </c>
      <c r="C3378" s="16" t="s">
        <v>11978</v>
      </c>
      <c r="D3378" s="21" t="s">
        <v>11979</v>
      </c>
      <c r="E3378" s="15" t="s">
        <v>11442</v>
      </c>
      <c r="F3378" s="22" t="str">
        <f>VLOOKUP(Table8[[#This Row],[Mã khách hàng]],code_khach_hang[],2,0)</f>
        <v>CHI NHÁNH ĐÀ NẴNG - CÔNG TY CỔ PHẦN DỊCH VỤ THƯƠNG MẠI TỔNG HỢP WINCOMMERCE</v>
      </c>
      <c r="G3378" s="16" t="str">
        <f>VLOOKUP(Table8[[#This Row],[Mã khách hàng]],code_khach_hang[],3,0)</f>
        <v>Miền Trung đặc biệt 1</v>
      </c>
      <c r="H3378" t="str">
        <f>VLOOKUP(Table8[[#This Row],[Mã khách hàng]],'Khách hàng'!A:D,4,0)</f>
        <v>Food Đức Việt</v>
      </c>
      <c r="I3378" t="str">
        <f>VLOOKUP(Table8[[#This Row],[Mã khách hàng]],'Khách hàng'!A:E,5,0)</f>
        <v>DNTG100</v>
      </c>
    </row>
    <row r="3379" spans="1:9">
      <c r="A3379" s="14">
        <v>4075</v>
      </c>
      <c r="B3379" s="15" t="s">
        <v>5</v>
      </c>
      <c r="C3379" s="16" t="s">
        <v>11980</v>
      </c>
      <c r="D3379" s="21" t="s">
        <v>11981</v>
      </c>
      <c r="E3379" s="15" t="s">
        <v>11443</v>
      </c>
      <c r="F3379" s="22" t="str">
        <f>VLOOKUP(Table8[[#This Row],[Mã khách hàng]],code_khach_hang[],2,0)</f>
        <v>CHI NHÁNH KHÁNH HÒA - CÔNG TY CỔ PHẦN DỊCH VỤ THƯƠNG MẠI TỔNG HỢP WINCOMMERCE</v>
      </c>
      <c r="G3379" s="16" t="str">
        <f>VLOOKUP(Table8[[#This Row],[Mã khách hàng]],code_khach_hang[],3,0)</f>
        <v>Miền Trung đặc biệt 2</v>
      </c>
      <c r="H3379" t="str">
        <f>VLOOKUP(Table8[[#This Row],[Mã khách hàng]],'Khách hàng'!A:D,4,0)</f>
        <v>Food Đức Việt</v>
      </c>
      <c r="I3379" t="str">
        <f>VLOOKUP(Table8[[#This Row],[Mã khách hàng]],'Khách hàng'!A:E,5,0)</f>
        <v>QNTV50</v>
      </c>
    </row>
    <row r="3380" spans="1:9">
      <c r="A3380" s="14">
        <v>4083</v>
      </c>
      <c r="B3380" s="15" t="s">
        <v>5</v>
      </c>
      <c r="C3380" s="16" t="s">
        <v>11982</v>
      </c>
      <c r="D3380" s="21" t="s">
        <v>11983</v>
      </c>
      <c r="E3380" s="15" t="s">
        <v>11442</v>
      </c>
      <c r="F3380" s="22" t="str">
        <f>VLOOKUP(Table8[[#This Row],[Mã khách hàng]],code_khach_hang[],2,0)</f>
        <v>CHI NHÁNH ĐÀ NẴNG - CÔNG TY CỔ PHẦN DỊCH VỤ THƯƠNG MẠI TỔNG HỢP WINCOMMERCE</v>
      </c>
      <c r="G3380" s="16" t="str">
        <f>VLOOKUP(Table8[[#This Row],[Mã khách hàng]],code_khach_hang[],3,0)</f>
        <v>Miền Trung đặc biệt 1</v>
      </c>
      <c r="H3380" t="str">
        <f>VLOOKUP(Table8[[#This Row],[Mã khách hàng]],'Khách hàng'!A:D,4,0)</f>
        <v>Food Đức Việt</v>
      </c>
      <c r="I3380" t="str">
        <f>VLOOKUP(Table8[[#This Row],[Mã khách hàng]],'Khách hàng'!A:E,5,0)</f>
        <v>DNTG100</v>
      </c>
    </row>
    <row r="3381" spans="1:9">
      <c r="A3381" s="14">
        <v>4157</v>
      </c>
      <c r="B3381" s="15" t="s">
        <v>5</v>
      </c>
      <c r="C3381" s="16" t="s">
        <v>11984</v>
      </c>
      <c r="D3381" s="21" t="s">
        <v>11985</v>
      </c>
      <c r="E3381" s="15" t="s">
        <v>11442</v>
      </c>
      <c r="F3381" s="22" t="str">
        <f>VLOOKUP(Table8[[#This Row],[Mã khách hàng]],code_khach_hang[],2,0)</f>
        <v>CHI NHÁNH ĐÀ NẴNG - CÔNG TY CỔ PHẦN DỊCH VỤ THƯƠNG MẠI TỔNG HỢP WINCOMMERCE</v>
      </c>
      <c r="G3381" s="16" t="str">
        <f>VLOOKUP(Table8[[#This Row],[Mã khách hàng]],code_khach_hang[],3,0)</f>
        <v>Miền Trung đặc biệt 1</v>
      </c>
      <c r="H3381" t="str">
        <f>VLOOKUP(Table8[[#This Row],[Mã khách hàng]],'Khách hàng'!A:D,4,0)</f>
        <v>Food Đức Việt</v>
      </c>
      <c r="I3381" t="str">
        <f>VLOOKUP(Table8[[#This Row],[Mã khách hàng]],'Khách hàng'!A:E,5,0)</f>
        <v>DNTG100</v>
      </c>
    </row>
    <row r="3382" spans="1:9">
      <c r="A3382" s="14">
        <v>4164</v>
      </c>
      <c r="B3382" s="15" t="s">
        <v>5</v>
      </c>
      <c r="C3382" s="16" t="s">
        <v>11986</v>
      </c>
      <c r="D3382" s="21" t="s">
        <v>11987</v>
      </c>
      <c r="E3382" s="15" t="s">
        <v>11442</v>
      </c>
      <c r="F3382" s="22" t="str">
        <f>VLOOKUP(Table8[[#This Row],[Mã khách hàng]],code_khach_hang[],2,0)</f>
        <v>CHI NHÁNH ĐÀ NẴNG - CÔNG TY CỔ PHẦN DỊCH VỤ THƯƠNG MẠI TỔNG HỢP WINCOMMERCE</v>
      </c>
      <c r="G3382" s="16" t="str">
        <f>VLOOKUP(Table8[[#This Row],[Mã khách hàng]],code_khach_hang[],3,0)</f>
        <v>Miền Trung đặc biệt 1</v>
      </c>
      <c r="H3382" t="str">
        <f>VLOOKUP(Table8[[#This Row],[Mã khách hàng]],'Khách hàng'!A:D,4,0)</f>
        <v>Food Đức Việt</v>
      </c>
      <c r="I3382" t="str">
        <f>VLOOKUP(Table8[[#This Row],[Mã khách hàng]],'Khách hàng'!A:E,5,0)</f>
        <v>DNTG100</v>
      </c>
    </row>
    <row r="3383" spans="1:9">
      <c r="A3383" s="14">
        <v>4254</v>
      </c>
      <c r="B3383" s="15" t="s">
        <v>5</v>
      </c>
      <c r="C3383" s="16" t="s">
        <v>11988</v>
      </c>
      <c r="D3383" s="21" t="s">
        <v>11989</v>
      </c>
      <c r="E3383" s="15" t="s">
        <v>11442</v>
      </c>
      <c r="F3383" s="22" t="str">
        <f>VLOOKUP(Table8[[#This Row],[Mã khách hàng]],code_khach_hang[],2,0)</f>
        <v>CHI NHÁNH ĐÀ NẴNG - CÔNG TY CỔ PHẦN DỊCH VỤ THƯƠNG MẠI TỔNG HỢP WINCOMMERCE</v>
      </c>
      <c r="G3383" s="16" t="str">
        <f>VLOOKUP(Table8[[#This Row],[Mã khách hàng]],code_khach_hang[],3,0)</f>
        <v>Miền Trung đặc biệt 1</v>
      </c>
      <c r="H3383" t="str">
        <f>VLOOKUP(Table8[[#This Row],[Mã khách hàng]],'Khách hàng'!A:D,4,0)</f>
        <v>Food Đức Việt</v>
      </c>
      <c r="I3383" t="str">
        <f>VLOOKUP(Table8[[#This Row],[Mã khách hàng]],'Khách hàng'!A:E,5,0)</f>
        <v>DNTG100</v>
      </c>
    </row>
    <row r="3384" spans="1:9">
      <c r="A3384" s="14">
        <v>4279</v>
      </c>
      <c r="B3384" s="15" t="s">
        <v>5</v>
      </c>
      <c r="C3384" s="16" t="s">
        <v>11990</v>
      </c>
      <c r="D3384" s="21" t="s">
        <v>11991</v>
      </c>
      <c r="E3384" s="15" t="s">
        <v>11442</v>
      </c>
      <c r="F3384" s="22" t="str">
        <f>VLOOKUP(Table8[[#This Row],[Mã khách hàng]],code_khach_hang[],2,0)</f>
        <v>CHI NHÁNH ĐÀ NẴNG - CÔNG TY CỔ PHẦN DỊCH VỤ THƯƠNG MẠI TỔNG HỢP WINCOMMERCE</v>
      </c>
      <c r="G3384" s="16" t="str">
        <f>VLOOKUP(Table8[[#This Row],[Mã khách hàng]],code_khach_hang[],3,0)</f>
        <v>Miền Trung đặc biệt 1</v>
      </c>
      <c r="H3384" t="str">
        <f>VLOOKUP(Table8[[#This Row],[Mã khách hàng]],'Khách hàng'!A:D,4,0)</f>
        <v>Food Đức Việt</v>
      </c>
      <c r="I3384" t="str">
        <f>VLOOKUP(Table8[[#This Row],[Mã khách hàng]],'Khách hàng'!A:E,5,0)</f>
        <v>DNTG100</v>
      </c>
    </row>
    <row r="3385" spans="1:9">
      <c r="A3385" s="14">
        <v>4315</v>
      </c>
      <c r="B3385" s="15" t="s">
        <v>5</v>
      </c>
      <c r="C3385" s="16" t="s">
        <v>11992</v>
      </c>
      <c r="D3385" s="21" t="s">
        <v>11993</v>
      </c>
      <c r="E3385" s="15" t="s">
        <v>11442</v>
      </c>
      <c r="F3385" s="22" t="str">
        <f>VLOOKUP(Table8[[#This Row],[Mã khách hàng]],code_khach_hang[],2,0)</f>
        <v>CHI NHÁNH ĐÀ NẴNG - CÔNG TY CỔ PHẦN DỊCH VỤ THƯƠNG MẠI TỔNG HỢP WINCOMMERCE</v>
      </c>
      <c r="G3385" s="16" t="str">
        <f>VLOOKUP(Table8[[#This Row],[Mã khách hàng]],code_khach_hang[],3,0)</f>
        <v>Miền Trung đặc biệt 1</v>
      </c>
      <c r="H3385" t="str">
        <f>VLOOKUP(Table8[[#This Row],[Mã khách hàng]],'Khách hàng'!A:D,4,0)</f>
        <v>Food Đức Việt</v>
      </c>
      <c r="I3385" t="str">
        <f>VLOOKUP(Table8[[#This Row],[Mã khách hàng]],'Khách hàng'!A:E,5,0)</f>
        <v>DNTG100</v>
      </c>
    </row>
    <row r="3386" spans="1:9">
      <c r="A3386" s="14">
        <v>4316</v>
      </c>
      <c r="B3386" s="15" t="s">
        <v>5</v>
      </c>
      <c r="C3386" s="16" t="s">
        <v>11994</v>
      </c>
      <c r="D3386" s="21" t="s">
        <v>11995</v>
      </c>
      <c r="E3386" s="15" t="s">
        <v>11442</v>
      </c>
      <c r="F3386" s="22" t="str">
        <f>VLOOKUP(Table8[[#This Row],[Mã khách hàng]],code_khach_hang[],2,0)</f>
        <v>CHI NHÁNH ĐÀ NẴNG - CÔNG TY CỔ PHẦN DỊCH VỤ THƯƠNG MẠI TỔNG HỢP WINCOMMERCE</v>
      </c>
      <c r="G3386" s="16" t="str">
        <f>VLOOKUP(Table8[[#This Row],[Mã khách hàng]],code_khach_hang[],3,0)</f>
        <v>Miền Trung đặc biệt 1</v>
      </c>
      <c r="H3386" t="str">
        <f>VLOOKUP(Table8[[#This Row],[Mã khách hàng]],'Khách hàng'!A:D,4,0)</f>
        <v>Food Đức Việt</v>
      </c>
      <c r="I3386" t="str">
        <f>VLOOKUP(Table8[[#This Row],[Mã khách hàng]],'Khách hàng'!A:E,5,0)</f>
        <v>DNTG100</v>
      </c>
    </row>
    <row r="3387" spans="1:9">
      <c r="A3387" s="14">
        <v>4346</v>
      </c>
      <c r="B3387" s="15" t="s">
        <v>5</v>
      </c>
      <c r="C3387" s="16" t="s">
        <v>11996</v>
      </c>
      <c r="D3387" s="21" t="s">
        <v>11997</v>
      </c>
      <c r="E3387" s="15" t="s">
        <v>11443</v>
      </c>
      <c r="F3387" s="22" t="str">
        <f>VLOOKUP(Table8[[#This Row],[Mã khách hàng]],code_khach_hang[],2,0)</f>
        <v>CHI NHÁNH KHÁNH HÒA - CÔNG TY CỔ PHẦN DỊCH VỤ THƯƠNG MẠI TỔNG HỢP WINCOMMERCE</v>
      </c>
      <c r="G3387" s="16" t="str">
        <f>VLOOKUP(Table8[[#This Row],[Mã khách hàng]],code_khach_hang[],3,0)</f>
        <v>Miền Trung đặc biệt 2</v>
      </c>
      <c r="H3387" t="str">
        <f>VLOOKUP(Table8[[#This Row],[Mã khách hàng]],'Khách hàng'!A:D,4,0)</f>
        <v>Food Đức Việt</v>
      </c>
      <c r="I3387" t="str">
        <f>VLOOKUP(Table8[[#This Row],[Mã khách hàng]],'Khách hàng'!A:E,5,0)</f>
        <v>QNTV50</v>
      </c>
    </row>
    <row r="3388" spans="1:9">
      <c r="A3388" s="14">
        <v>4359</v>
      </c>
      <c r="B3388" s="15" t="s">
        <v>5</v>
      </c>
      <c r="C3388" s="16" t="s">
        <v>11998</v>
      </c>
      <c r="D3388" s="21" t="s">
        <v>11999</v>
      </c>
      <c r="E3388" s="15" t="s">
        <v>11442</v>
      </c>
      <c r="F3388" s="22" t="str">
        <f>VLOOKUP(Table8[[#This Row],[Mã khách hàng]],code_khach_hang[],2,0)</f>
        <v>CHI NHÁNH ĐÀ NẴNG - CÔNG TY CỔ PHẦN DỊCH VỤ THƯƠNG MẠI TỔNG HỢP WINCOMMERCE</v>
      </c>
      <c r="G3388" s="16" t="str">
        <f>VLOOKUP(Table8[[#This Row],[Mã khách hàng]],code_khach_hang[],3,0)</f>
        <v>Miền Trung đặc biệt 1</v>
      </c>
      <c r="H3388" t="str">
        <f>VLOOKUP(Table8[[#This Row],[Mã khách hàng]],'Khách hàng'!A:D,4,0)</f>
        <v>Food Đức Việt</v>
      </c>
      <c r="I3388" t="str">
        <f>VLOOKUP(Table8[[#This Row],[Mã khách hàng]],'Khách hàng'!A:E,5,0)</f>
        <v>DNTG100</v>
      </c>
    </row>
    <row r="3389" spans="1:9">
      <c r="A3389" s="14">
        <v>4413</v>
      </c>
      <c r="B3389" s="15" t="s">
        <v>5</v>
      </c>
      <c r="C3389" s="16" t="s">
        <v>12000</v>
      </c>
      <c r="D3389" s="21" t="s">
        <v>12001</v>
      </c>
      <c r="E3389" s="15" t="s">
        <v>11442</v>
      </c>
      <c r="F3389" s="22" t="str">
        <f>VLOOKUP(Table8[[#This Row],[Mã khách hàng]],code_khach_hang[],2,0)</f>
        <v>CHI NHÁNH ĐÀ NẴNG - CÔNG TY CỔ PHẦN DỊCH VỤ THƯƠNG MẠI TỔNG HỢP WINCOMMERCE</v>
      </c>
      <c r="G3389" s="16" t="str">
        <f>VLOOKUP(Table8[[#This Row],[Mã khách hàng]],code_khach_hang[],3,0)</f>
        <v>Miền Trung đặc biệt 1</v>
      </c>
      <c r="H3389" t="str">
        <f>VLOOKUP(Table8[[#This Row],[Mã khách hàng]],'Khách hàng'!A:D,4,0)</f>
        <v>Food Đức Việt</v>
      </c>
      <c r="I3389" t="str">
        <f>VLOOKUP(Table8[[#This Row],[Mã khách hàng]],'Khách hàng'!A:E,5,0)</f>
        <v>DNTG100</v>
      </c>
    </row>
    <row r="3390" spans="1:9">
      <c r="A3390" s="14">
        <v>4422</v>
      </c>
      <c r="B3390" s="15" t="s">
        <v>5</v>
      </c>
      <c r="C3390" s="16" t="s">
        <v>12002</v>
      </c>
      <c r="D3390" s="21" t="s">
        <v>12003</v>
      </c>
      <c r="E3390" s="15" t="s">
        <v>11442</v>
      </c>
      <c r="F3390" s="22" t="str">
        <f>VLOOKUP(Table8[[#This Row],[Mã khách hàng]],code_khach_hang[],2,0)</f>
        <v>CHI NHÁNH ĐÀ NẴNG - CÔNG TY CỔ PHẦN DỊCH VỤ THƯƠNG MẠI TỔNG HỢP WINCOMMERCE</v>
      </c>
      <c r="G3390" s="16" t="str">
        <f>VLOOKUP(Table8[[#This Row],[Mã khách hàng]],code_khach_hang[],3,0)</f>
        <v>Miền Trung đặc biệt 1</v>
      </c>
      <c r="H3390" t="str">
        <f>VLOOKUP(Table8[[#This Row],[Mã khách hàng]],'Khách hàng'!A:D,4,0)</f>
        <v>Food Đức Việt</v>
      </c>
      <c r="I3390" t="str">
        <f>VLOOKUP(Table8[[#This Row],[Mã khách hàng]],'Khách hàng'!A:E,5,0)</f>
        <v>DNTG100</v>
      </c>
    </row>
    <row r="3391" spans="1:9">
      <c r="A3391" s="14">
        <v>4434</v>
      </c>
      <c r="B3391" s="15" t="s">
        <v>5</v>
      </c>
      <c r="C3391" s="16" t="s">
        <v>12004</v>
      </c>
      <c r="D3391" s="21" t="s">
        <v>12005</v>
      </c>
      <c r="E3391" s="15" t="s">
        <v>11442</v>
      </c>
      <c r="F3391" s="22" t="str">
        <f>VLOOKUP(Table8[[#This Row],[Mã khách hàng]],code_khach_hang[],2,0)</f>
        <v>CHI NHÁNH ĐÀ NẴNG - CÔNG TY CỔ PHẦN DỊCH VỤ THƯƠNG MẠI TỔNG HỢP WINCOMMERCE</v>
      </c>
      <c r="G3391" s="16" t="str">
        <f>VLOOKUP(Table8[[#This Row],[Mã khách hàng]],code_khach_hang[],3,0)</f>
        <v>Miền Trung đặc biệt 1</v>
      </c>
      <c r="H3391" t="str">
        <f>VLOOKUP(Table8[[#This Row],[Mã khách hàng]],'Khách hàng'!A:D,4,0)</f>
        <v>Food Đức Việt</v>
      </c>
      <c r="I3391" t="str">
        <f>VLOOKUP(Table8[[#This Row],[Mã khách hàng]],'Khách hàng'!A:E,5,0)</f>
        <v>DNTG100</v>
      </c>
    </row>
    <row r="3392" spans="1:9">
      <c r="A3392" s="14">
        <v>4439</v>
      </c>
      <c r="B3392" s="15" t="s">
        <v>5</v>
      </c>
      <c r="C3392" s="16" t="s">
        <v>12006</v>
      </c>
      <c r="D3392" s="21" t="s">
        <v>12007</v>
      </c>
      <c r="E3392" s="15" t="s">
        <v>11442</v>
      </c>
      <c r="F3392" s="22" t="str">
        <f>VLOOKUP(Table8[[#This Row],[Mã khách hàng]],code_khach_hang[],2,0)</f>
        <v>CHI NHÁNH ĐÀ NẴNG - CÔNG TY CỔ PHẦN DỊCH VỤ THƯƠNG MẠI TỔNG HỢP WINCOMMERCE</v>
      </c>
      <c r="G3392" s="16" t="str">
        <f>VLOOKUP(Table8[[#This Row],[Mã khách hàng]],code_khach_hang[],3,0)</f>
        <v>Miền Trung đặc biệt 1</v>
      </c>
      <c r="H3392" t="str">
        <f>VLOOKUP(Table8[[#This Row],[Mã khách hàng]],'Khách hàng'!A:D,4,0)</f>
        <v>Food Đức Việt</v>
      </c>
      <c r="I3392" t="str">
        <f>VLOOKUP(Table8[[#This Row],[Mã khách hàng]],'Khách hàng'!A:E,5,0)</f>
        <v>DNTG100</v>
      </c>
    </row>
    <row r="3393" spans="1:9">
      <c r="A3393" s="14">
        <v>4474</v>
      </c>
      <c r="B3393" s="15" t="s">
        <v>5</v>
      </c>
      <c r="C3393" s="16" t="s">
        <v>12008</v>
      </c>
      <c r="D3393" s="21" t="s">
        <v>12009</v>
      </c>
      <c r="E3393" s="15" t="s">
        <v>11442</v>
      </c>
      <c r="F3393" s="22" t="str">
        <f>VLOOKUP(Table8[[#This Row],[Mã khách hàng]],code_khach_hang[],2,0)</f>
        <v>CHI NHÁNH ĐÀ NẴNG - CÔNG TY CỔ PHẦN DỊCH VỤ THƯƠNG MẠI TỔNG HỢP WINCOMMERCE</v>
      </c>
      <c r="G3393" s="16" t="str">
        <f>VLOOKUP(Table8[[#This Row],[Mã khách hàng]],code_khach_hang[],3,0)</f>
        <v>Miền Trung đặc biệt 1</v>
      </c>
      <c r="H3393" t="str">
        <f>VLOOKUP(Table8[[#This Row],[Mã khách hàng]],'Khách hàng'!A:D,4,0)</f>
        <v>Food Đức Việt</v>
      </c>
      <c r="I3393" t="str">
        <f>VLOOKUP(Table8[[#This Row],[Mã khách hàng]],'Khách hàng'!A:E,5,0)</f>
        <v>DNTG100</v>
      </c>
    </row>
    <row r="3394" spans="1:9">
      <c r="A3394" s="14">
        <v>4475</v>
      </c>
      <c r="B3394" s="15" t="s">
        <v>5</v>
      </c>
      <c r="C3394" s="16" t="s">
        <v>12010</v>
      </c>
      <c r="D3394" s="21" t="s">
        <v>12011</v>
      </c>
      <c r="E3394" s="15" t="s">
        <v>11442</v>
      </c>
      <c r="F3394" s="22" t="str">
        <f>VLOOKUP(Table8[[#This Row],[Mã khách hàng]],code_khach_hang[],2,0)</f>
        <v>CHI NHÁNH ĐÀ NẴNG - CÔNG TY CỔ PHẦN DỊCH VỤ THƯƠNG MẠI TỔNG HỢP WINCOMMERCE</v>
      </c>
      <c r="G3394" s="16" t="str">
        <f>VLOOKUP(Table8[[#This Row],[Mã khách hàng]],code_khach_hang[],3,0)</f>
        <v>Miền Trung đặc biệt 1</v>
      </c>
      <c r="H3394" t="str">
        <f>VLOOKUP(Table8[[#This Row],[Mã khách hàng]],'Khách hàng'!A:D,4,0)</f>
        <v>Food Đức Việt</v>
      </c>
      <c r="I3394" t="str">
        <f>VLOOKUP(Table8[[#This Row],[Mã khách hàng]],'Khách hàng'!A:E,5,0)</f>
        <v>DNTG100</v>
      </c>
    </row>
    <row r="3395" spans="1:9">
      <c r="A3395" s="14">
        <v>4476</v>
      </c>
      <c r="B3395" s="15" t="s">
        <v>5</v>
      </c>
      <c r="C3395" s="16" t="s">
        <v>12012</v>
      </c>
      <c r="D3395" s="21" t="s">
        <v>12013</v>
      </c>
      <c r="E3395" s="15" t="s">
        <v>11442</v>
      </c>
      <c r="F3395" s="22" t="str">
        <f>VLOOKUP(Table8[[#This Row],[Mã khách hàng]],code_khach_hang[],2,0)</f>
        <v>CHI NHÁNH ĐÀ NẴNG - CÔNG TY CỔ PHẦN DỊCH VỤ THƯƠNG MẠI TỔNG HỢP WINCOMMERCE</v>
      </c>
      <c r="G3395" s="16" t="str">
        <f>VLOOKUP(Table8[[#This Row],[Mã khách hàng]],code_khach_hang[],3,0)</f>
        <v>Miền Trung đặc biệt 1</v>
      </c>
      <c r="H3395" t="str">
        <f>VLOOKUP(Table8[[#This Row],[Mã khách hàng]],'Khách hàng'!A:D,4,0)</f>
        <v>Food Đức Việt</v>
      </c>
      <c r="I3395" t="str">
        <f>VLOOKUP(Table8[[#This Row],[Mã khách hàng]],'Khách hàng'!A:E,5,0)</f>
        <v>DNTG100</v>
      </c>
    </row>
    <row r="3396" spans="1:9">
      <c r="A3396" s="14">
        <v>4489</v>
      </c>
      <c r="B3396" s="15" t="s">
        <v>5</v>
      </c>
      <c r="C3396" s="16" t="s">
        <v>12014</v>
      </c>
      <c r="D3396" s="21" t="s">
        <v>12015</v>
      </c>
      <c r="E3396" s="15" t="s">
        <v>11442</v>
      </c>
      <c r="F3396" s="22" t="str">
        <f>VLOOKUP(Table8[[#This Row],[Mã khách hàng]],code_khach_hang[],2,0)</f>
        <v>CHI NHÁNH ĐÀ NẴNG - CÔNG TY CỔ PHẦN DỊCH VỤ THƯƠNG MẠI TỔNG HỢP WINCOMMERCE</v>
      </c>
      <c r="G3396" s="16" t="str">
        <f>VLOOKUP(Table8[[#This Row],[Mã khách hàng]],code_khach_hang[],3,0)</f>
        <v>Miền Trung đặc biệt 1</v>
      </c>
      <c r="H3396" t="str">
        <f>VLOOKUP(Table8[[#This Row],[Mã khách hàng]],'Khách hàng'!A:D,4,0)</f>
        <v>Food Đức Việt</v>
      </c>
      <c r="I3396" t="str">
        <f>VLOOKUP(Table8[[#This Row],[Mã khách hàng]],'Khách hàng'!A:E,5,0)</f>
        <v>DNTG100</v>
      </c>
    </row>
    <row r="3397" spans="1:9">
      <c r="A3397" s="14">
        <v>4495</v>
      </c>
      <c r="B3397" s="15" t="s">
        <v>5</v>
      </c>
      <c r="C3397" s="16" t="s">
        <v>12016</v>
      </c>
      <c r="D3397" s="21" t="s">
        <v>12017</v>
      </c>
      <c r="E3397" s="15" t="s">
        <v>11442</v>
      </c>
      <c r="F3397" s="22" t="str">
        <f>VLOOKUP(Table8[[#This Row],[Mã khách hàng]],code_khach_hang[],2,0)</f>
        <v>CHI NHÁNH ĐÀ NẴNG - CÔNG TY CỔ PHẦN DỊCH VỤ THƯƠNG MẠI TỔNG HỢP WINCOMMERCE</v>
      </c>
      <c r="G3397" s="16" t="str">
        <f>VLOOKUP(Table8[[#This Row],[Mã khách hàng]],code_khach_hang[],3,0)</f>
        <v>Miền Trung đặc biệt 1</v>
      </c>
      <c r="H3397" t="str">
        <f>VLOOKUP(Table8[[#This Row],[Mã khách hàng]],'Khách hàng'!A:D,4,0)</f>
        <v>Food Đức Việt</v>
      </c>
      <c r="I3397" t="str">
        <f>VLOOKUP(Table8[[#This Row],[Mã khách hàng]],'Khách hàng'!A:E,5,0)</f>
        <v>DNTG100</v>
      </c>
    </row>
    <row r="3398" spans="1:9">
      <c r="A3398" s="14">
        <v>4496</v>
      </c>
      <c r="B3398" s="15" t="s">
        <v>5</v>
      </c>
      <c r="C3398" s="16" t="s">
        <v>12018</v>
      </c>
      <c r="D3398" s="21" t="s">
        <v>12019</v>
      </c>
      <c r="E3398" s="15" t="s">
        <v>11442</v>
      </c>
      <c r="F3398" s="22" t="str">
        <f>VLOOKUP(Table8[[#This Row],[Mã khách hàng]],code_khach_hang[],2,0)</f>
        <v>CHI NHÁNH ĐÀ NẴNG - CÔNG TY CỔ PHẦN DỊCH VỤ THƯƠNG MẠI TỔNG HỢP WINCOMMERCE</v>
      </c>
      <c r="G3398" s="16" t="str">
        <f>VLOOKUP(Table8[[#This Row],[Mã khách hàng]],code_khach_hang[],3,0)</f>
        <v>Miền Trung đặc biệt 1</v>
      </c>
      <c r="H3398" t="str">
        <f>VLOOKUP(Table8[[#This Row],[Mã khách hàng]],'Khách hàng'!A:D,4,0)</f>
        <v>Food Đức Việt</v>
      </c>
      <c r="I3398" t="str">
        <f>VLOOKUP(Table8[[#This Row],[Mã khách hàng]],'Khách hàng'!A:E,5,0)</f>
        <v>DNTG100</v>
      </c>
    </row>
    <row r="3399" spans="1:9">
      <c r="A3399" s="14">
        <v>4527</v>
      </c>
      <c r="B3399" s="15" t="s">
        <v>5</v>
      </c>
      <c r="C3399" s="16" t="s">
        <v>12020</v>
      </c>
      <c r="D3399" s="21" t="s">
        <v>12021</v>
      </c>
      <c r="E3399" s="15" t="s">
        <v>11442</v>
      </c>
      <c r="F3399" s="22" t="str">
        <f>VLOOKUP(Table8[[#This Row],[Mã khách hàng]],code_khach_hang[],2,0)</f>
        <v>CHI NHÁNH ĐÀ NẴNG - CÔNG TY CỔ PHẦN DỊCH VỤ THƯƠNG MẠI TỔNG HỢP WINCOMMERCE</v>
      </c>
      <c r="G3399" s="16" t="str">
        <f>VLOOKUP(Table8[[#This Row],[Mã khách hàng]],code_khach_hang[],3,0)</f>
        <v>Miền Trung đặc biệt 1</v>
      </c>
      <c r="H3399" t="str">
        <f>VLOOKUP(Table8[[#This Row],[Mã khách hàng]],'Khách hàng'!A:D,4,0)</f>
        <v>Food Đức Việt</v>
      </c>
      <c r="I3399" t="str">
        <f>VLOOKUP(Table8[[#This Row],[Mã khách hàng]],'Khách hàng'!A:E,5,0)</f>
        <v>DNTG100</v>
      </c>
    </row>
    <row r="3400" spans="1:9">
      <c r="A3400" s="14">
        <v>4528</v>
      </c>
      <c r="B3400" s="15" t="s">
        <v>5</v>
      </c>
      <c r="C3400" s="16" t="s">
        <v>12022</v>
      </c>
      <c r="D3400" s="21" t="s">
        <v>12023</v>
      </c>
      <c r="E3400" s="15" t="s">
        <v>11442</v>
      </c>
      <c r="F3400" s="22" t="str">
        <f>VLOOKUP(Table8[[#This Row],[Mã khách hàng]],code_khach_hang[],2,0)</f>
        <v>CHI NHÁNH ĐÀ NẴNG - CÔNG TY CỔ PHẦN DỊCH VỤ THƯƠNG MẠI TỔNG HỢP WINCOMMERCE</v>
      </c>
      <c r="G3400" s="16" t="str">
        <f>VLOOKUP(Table8[[#This Row],[Mã khách hàng]],code_khach_hang[],3,0)</f>
        <v>Miền Trung đặc biệt 1</v>
      </c>
      <c r="H3400" t="str">
        <f>VLOOKUP(Table8[[#This Row],[Mã khách hàng]],'Khách hàng'!A:D,4,0)</f>
        <v>Food Đức Việt</v>
      </c>
      <c r="I3400" t="str">
        <f>VLOOKUP(Table8[[#This Row],[Mã khách hàng]],'Khách hàng'!A:E,5,0)</f>
        <v>DNTG100</v>
      </c>
    </row>
    <row r="3401" spans="1:9">
      <c r="A3401" s="14">
        <v>4529</v>
      </c>
      <c r="B3401" s="15" t="s">
        <v>5</v>
      </c>
      <c r="C3401" s="16" t="s">
        <v>12024</v>
      </c>
      <c r="D3401" s="21" t="s">
        <v>12025</v>
      </c>
      <c r="E3401" s="15" t="s">
        <v>11442</v>
      </c>
      <c r="F3401" s="22" t="str">
        <f>VLOOKUP(Table8[[#This Row],[Mã khách hàng]],code_khach_hang[],2,0)</f>
        <v>CHI NHÁNH ĐÀ NẴNG - CÔNG TY CỔ PHẦN DỊCH VỤ THƯƠNG MẠI TỔNG HỢP WINCOMMERCE</v>
      </c>
      <c r="G3401" s="16" t="str">
        <f>VLOOKUP(Table8[[#This Row],[Mã khách hàng]],code_khach_hang[],3,0)</f>
        <v>Miền Trung đặc biệt 1</v>
      </c>
      <c r="H3401" t="str">
        <f>VLOOKUP(Table8[[#This Row],[Mã khách hàng]],'Khách hàng'!A:D,4,0)</f>
        <v>Food Đức Việt</v>
      </c>
      <c r="I3401" t="str">
        <f>VLOOKUP(Table8[[#This Row],[Mã khách hàng]],'Khách hàng'!A:E,5,0)</f>
        <v>DNTG100</v>
      </c>
    </row>
    <row r="3402" spans="1:9">
      <c r="A3402" s="14">
        <v>4544</v>
      </c>
      <c r="B3402" s="15" t="s">
        <v>5</v>
      </c>
      <c r="C3402" s="16" t="s">
        <v>12026</v>
      </c>
      <c r="D3402" s="21" t="s">
        <v>12027</v>
      </c>
      <c r="E3402" s="15" t="s">
        <v>11442</v>
      </c>
      <c r="F3402" s="22" t="str">
        <f>VLOOKUP(Table8[[#This Row],[Mã khách hàng]],code_khach_hang[],2,0)</f>
        <v>CHI NHÁNH ĐÀ NẴNG - CÔNG TY CỔ PHẦN DỊCH VỤ THƯƠNG MẠI TỔNG HỢP WINCOMMERCE</v>
      </c>
      <c r="G3402" s="16" t="str">
        <f>VLOOKUP(Table8[[#This Row],[Mã khách hàng]],code_khach_hang[],3,0)</f>
        <v>Miền Trung đặc biệt 1</v>
      </c>
      <c r="H3402" t="str">
        <f>VLOOKUP(Table8[[#This Row],[Mã khách hàng]],'Khách hàng'!A:D,4,0)</f>
        <v>Food Đức Việt</v>
      </c>
      <c r="I3402" t="str">
        <f>VLOOKUP(Table8[[#This Row],[Mã khách hàng]],'Khách hàng'!A:E,5,0)</f>
        <v>DNTG100</v>
      </c>
    </row>
    <row r="3403" spans="1:9">
      <c r="A3403" s="14">
        <v>4545</v>
      </c>
      <c r="B3403" s="15" t="s">
        <v>5</v>
      </c>
      <c r="C3403" s="16" t="s">
        <v>12028</v>
      </c>
      <c r="D3403" s="21" t="s">
        <v>12029</v>
      </c>
      <c r="E3403" s="15" t="s">
        <v>11442</v>
      </c>
      <c r="F3403" s="22" t="str">
        <f>VLOOKUP(Table8[[#This Row],[Mã khách hàng]],code_khach_hang[],2,0)</f>
        <v>CHI NHÁNH ĐÀ NẴNG - CÔNG TY CỔ PHẦN DỊCH VỤ THƯƠNG MẠI TỔNG HỢP WINCOMMERCE</v>
      </c>
      <c r="G3403" s="16" t="str">
        <f>VLOOKUP(Table8[[#This Row],[Mã khách hàng]],code_khach_hang[],3,0)</f>
        <v>Miền Trung đặc biệt 1</v>
      </c>
      <c r="H3403" t="str">
        <f>VLOOKUP(Table8[[#This Row],[Mã khách hàng]],'Khách hàng'!A:D,4,0)</f>
        <v>Food Đức Việt</v>
      </c>
      <c r="I3403" t="str">
        <f>VLOOKUP(Table8[[#This Row],[Mã khách hàng]],'Khách hàng'!A:E,5,0)</f>
        <v>DNTG100</v>
      </c>
    </row>
    <row r="3404" spans="1:9">
      <c r="A3404" s="14">
        <v>4559</v>
      </c>
      <c r="B3404" s="15" t="s">
        <v>5</v>
      </c>
      <c r="C3404" s="16" t="s">
        <v>12030</v>
      </c>
      <c r="D3404" s="21" t="s">
        <v>12031</v>
      </c>
      <c r="E3404" s="15" t="s">
        <v>11442</v>
      </c>
      <c r="F3404" s="22" t="str">
        <f>VLOOKUP(Table8[[#This Row],[Mã khách hàng]],code_khach_hang[],2,0)</f>
        <v>CHI NHÁNH ĐÀ NẴNG - CÔNG TY CỔ PHẦN DỊCH VỤ THƯƠNG MẠI TỔNG HỢP WINCOMMERCE</v>
      </c>
      <c r="G3404" s="16" t="str">
        <f>VLOOKUP(Table8[[#This Row],[Mã khách hàng]],code_khach_hang[],3,0)</f>
        <v>Miền Trung đặc biệt 1</v>
      </c>
      <c r="H3404" t="str">
        <f>VLOOKUP(Table8[[#This Row],[Mã khách hàng]],'Khách hàng'!A:D,4,0)</f>
        <v>Food Đức Việt</v>
      </c>
      <c r="I3404" t="str">
        <f>VLOOKUP(Table8[[#This Row],[Mã khách hàng]],'Khách hàng'!A:E,5,0)</f>
        <v>DNTG100</v>
      </c>
    </row>
    <row r="3405" spans="1:9">
      <c r="A3405" s="14">
        <v>4624</v>
      </c>
      <c r="B3405" s="15" t="s">
        <v>5</v>
      </c>
      <c r="C3405" s="16" t="s">
        <v>12032</v>
      </c>
      <c r="D3405" s="21" t="s">
        <v>12033</v>
      </c>
      <c r="E3405" s="15" t="s">
        <v>11445</v>
      </c>
      <c r="F3405" s="22" t="str">
        <f>VLOOKUP(Table8[[#This Row],[Mã khách hàng]],code_khach_hang[],2,0)</f>
        <v>CHI NHÁNH THỪA THIÊN HUẾ - CÔNG TY CỔ PHẦN DỊCH VỤ THƯƠNG MẠI TỔNG HỢP WINCOMMERCE</v>
      </c>
      <c r="G3405" s="16" t="str">
        <f>VLOOKUP(Table8[[#This Row],[Mã khách hàng]],code_khach_hang[],3,0)</f>
        <v>Miền Trung đặc biệt 1</v>
      </c>
      <c r="H3405" t="str">
        <f>VLOOKUP(Table8[[#This Row],[Mã khách hàng]],'Khách hàng'!A:D,4,0)</f>
        <v>Food Đức Việt</v>
      </c>
      <c r="I3405" t="str">
        <f>VLOOKUP(Table8[[#This Row],[Mã khách hàng]],'Khách hàng'!A:E,5,0)</f>
        <v>DNTG100</v>
      </c>
    </row>
    <row r="3406" spans="1:9">
      <c r="A3406" s="14">
        <v>4629</v>
      </c>
      <c r="B3406" s="15" t="s">
        <v>5</v>
      </c>
      <c r="C3406" s="16" t="s">
        <v>12034</v>
      </c>
      <c r="D3406" s="21" t="s">
        <v>12035</v>
      </c>
      <c r="E3406" s="15" t="s">
        <v>11445</v>
      </c>
      <c r="F3406" s="22" t="str">
        <f>VLOOKUP(Table8[[#This Row],[Mã khách hàng]],code_khach_hang[],2,0)</f>
        <v>CHI NHÁNH THỪA THIÊN HUẾ - CÔNG TY CỔ PHẦN DỊCH VỤ THƯƠNG MẠI TỔNG HỢP WINCOMMERCE</v>
      </c>
      <c r="G3406" s="16" t="str">
        <f>VLOOKUP(Table8[[#This Row],[Mã khách hàng]],code_khach_hang[],3,0)</f>
        <v>Miền Trung đặc biệt 1</v>
      </c>
      <c r="H3406" t="str">
        <f>VLOOKUP(Table8[[#This Row],[Mã khách hàng]],'Khách hàng'!A:D,4,0)</f>
        <v>Food Đức Việt</v>
      </c>
      <c r="I3406" t="str">
        <f>VLOOKUP(Table8[[#This Row],[Mã khách hàng]],'Khách hàng'!A:E,5,0)</f>
        <v>DNTG100</v>
      </c>
    </row>
    <row r="3407" spans="1:9">
      <c r="A3407" s="14">
        <v>4648</v>
      </c>
      <c r="B3407" s="15" t="s">
        <v>5</v>
      </c>
      <c r="C3407" s="16" t="s">
        <v>12036</v>
      </c>
      <c r="D3407" s="21" t="s">
        <v>12037</v>
      </c>
      <c r="E3407" s="15" t="s">
        <v>11442</v>
      </c>
      <c r="F3407" s="22" t="str">
        <f>VLOOKUP(Table8[[#This Row],[Mã khách hàng]],code_khach_hang[],2,0)</f>
        <v>CHI NHÁNH ĐÀ NẴNG - CÔNG TY CỔ PHẦN DỊCH VỤ THƯƠNG MẠI TỔNG HỢP WINCOMMERCE</v>
      </c>
      <c r="G3407" s="16" t="str">
        <f>VLOOKUP(Table8[[#This Row],[Mã khách hàng]],code_khach_hang[],3,0)</f>
        <v>Miền Trung đặc biệt 1</v>
      </c>
      <c r="H3407" t="str">
        <f>VLOOKUP(Table8[[#This Row],[Mã khách hàng]],'Khách hàng'!A:D,4,0)</f>
        <v>Food Đức Việt</v>
      </c>
      <c r="I3407" t="str">
        <f>VLOOKUP(Table8[[#This Row],[Mã khách hàng]],'Khách hàng'!A:E,5,0)</f>
        <v>DNTG100</v>
      </c>
    </row>
    <row r="3408" spans="1:9">
      <c r="A3408" s="14">
        <v>4689</v>
      </c>
      <c r="B3408" s="15" t="s">
        <v>5</v>
      </c>
      <c r="C3408" s="16" t="s">
        <v>12038</v>
      </c>
      <c r="D3408" s="21" t="s">
        <v>12039</v>
      </c>
      <c r="E3408" s="15" t="s">
        <v>11445</v>
      </c>
      <c r="F3408" s="22" t="str">
        <f>VLOOKUP(Table8[[#This Row],[Mã khách hàng]],code_khach_hang[],2,0)</f>
        <v>CHI NHÁNH THỪA THIÊN HUẾ - CÔNG TY CỔ PHẦN DỊCH VỤ THƯƠNG MẠI TỔNG HỢP WINCOMMERCE</v>
      </c>
      <c r="G3408" s="16" t="str">
        <f>VLOOKUP(Table8[[#This Row],[Mã khách hàng]],code_khach_hang[],3,0)</f>
        <v>Miền Trung đặc biệt 1</v>
      </c>
      <c r="H3408" t="str">
        <f>VLOOKUP(Table8[[#This Row],[Mã khách hàng]],'Khách hàng'!A:D,4,0)</f>
        <v>Food Đức Việt</v>
      </c>
      <c r="I3408" t="str">
        <f>VLOOKUP(Table8[[#This Row],[Mã khách hàng]],'Khách hàng'!A:E,5,0)</f>
        <v>DNTG100</v>
      </c>
    </row>
    <row r="3409" spans="1:9">
      <c r="A3409" s="14">
        <v>4700</v>
      </c>
      <c r="B3409" s="15" t="s">
        <v>5</v>
      </c>
      <c r="C3409" s="16" t="s">
        <v>12040</v>
      </c>
      <c r="D3409" s="21" t="s">
        <v>12041</v>
      </c>
      <c r="E3409" s="15" t="s">
        <v>11443</v>
      </c>
      <c r="F3409" s="22" t="str">
        <f>VLOOKUP(Table8[[#This Row],[Mã khách hàng]],code_khach_hang[],2,0)</f>
        <v>CHI NHÁNH KHÁNH HÒA - CÔNG TY CỔ PHẦN DỊCH VỤ THƯƠNG MẠI TỔNG HỢP WINCOMMERCE</v>
      </c>
      <c r="G3409" s="16" t="str">
        <f>VLOOKUP(Table8[[#This Row],[Mã khách hàng]],code_khach_hang[],3,0)</f>
        <v>Miền Trung đặc biệt 2</v>
      </c>
      <c r="H3409" t="str">
        <f>VLOOKUP(Table8[[#This Row],[Mã khách hàng]],'Khách hàng'!A:D,4,0)</f>
        <v>Food Đức Việt</v>
      </c>
      <c r="I3409" t="str">
        <f>VLOOKUP(Table8[[#This Row],[Mã khách hàng]],'Khách hàng'!A:E,5,0)</f>
        <v>QNTV50</v>
      </c>
    </row>
    <row r="3410" spans="1:9">
      <c r="A3410" s="14">
        <v>4717</v>
      </c>
      <c r="B3410" s="15" t="s">
        <v>5</v>
      </c>
      <c r="C3410" s="16" t="s">
        <v>12042</v>
      </c>
      <c r="D3410" s="21" t="s">
        <v>12043</v>
      </c>
      <c r="E3410" s="15" t="s">
        <v>11450</v>
      </c>
      <c r="F3410" s="22" t="str">
        <f>VLOOKUP(Table8[[#This Row],[Mã khách hàng]],code_khach_hang[],2,0)</f>
        <v>CHI NHÁNH ĐẮK LẮK - CÔNG TY CỔ PHẦN DỊCH VỤ THƯƠNG MẠI TỔNG HỢP WINCOMMERCE</v>
      </c>
      <c r="G3410" s="16" t="str">
        <f>VLOOKUP(Table8[[#This Row],[Mã khách hàng]],code_khach_hang[],3,0)</f>
        <v>Miền Trung đặc biệt 2</v>
      </c>
      <c r="H3410" t="str">
        <f>VLOOKUP(Table8[[#This Row],[Mã khách hàng]],'Khách hàng'!A:D,4,0)</f>
        <v>Food Đức Việt</v>
      </c>
      <c r="I3410" t="str">
        <f>VLOOKUP(Table8[[#This Row],[Mã khách hàng]],'Khách hàng'!A:E,5,0)</f>
        <v>QNTV50</v>
      </c>
    </row>
    <row r="3411" spans="1:9">
      <c r="A3411" s="14">
        <v>4718</v>
      </c>
      <c r="B3411" s="15" t="s">
        <v>5</v>
      </c>
      <c r="C3411" s="16" t="s">
        <v>12044</v>
      </c>
      <c r="D3411" s="21" t="s">
        <v>12045</v>
      </c>
      <c r="E3411" s="15" t="s">
        <v>11442</v>
      </c>
      <c r="F3411" s="22" t="str">
        <f>VLOOKUP(Table8[[#This Row],[Mã khách hàng]],code_khach_hang[],2,0)</f>
        <v>CHI NHÁNH ĐÀ NẴNG - CÔNG TY CỔ PHẦN DỊCH VỤ THƯƠNG MẠI TỔNG HỢP WINCOMMERCE</v>
      </c>
      <c r="G3411" s="16" t="str">
        <f>VLOOKUP(Table8[[#This Row],[Mã khách hàng]],code_khach_hang[],3,0)</f>
        <v>Miền Trung đặc biệt 1</v>
      </c>
      <c r="H3411" t="str">
        <f>VLOOKUP(Table8[[#This Row],[Mã khách hàng]],'Khách hàng'!A:D,4,0)</f>
        <v>Food Đức Việt</v>
      </c>
      <c r="I3411" t="str">
        <f>VLOOKUP(Table8[[#This Row],[Mã khách hàng]],'Khách hàng'!A:E,5,0)</f>
        <v>DNTG100</v>
      </c>
    </row>
    <row r="3412" spans="1:9">
      <c r="A3412" s="14">
        <v>4727</v>
      </c>
      <c r="B3412" s="15" t="s">
        <v>5</v>
      </c>
      <c r="C3412" s="16" t="s">
        <v>12046</v>
      </c>
      <c r="D3412" s="21" t="s">
        <v>12047</v>
      </c>
      <c r="E3412" s="15" t="s">
        <v>11450</v>
      </c>
      <c r="F3412" s="22" t="str">
        <f>VLOOKUP(Table8[[#This Row],[Mã khách hàng]],code_khach_hang[],2,0)</f>
        <v>CHI NHÁNH ĐẮK LẮK - CÔNG TY CỔ PHẦN DỊCH VỤ THƯƠNG MẠI TỔNG HỢP WINCOMMERCE</v>
      </c>
      <c r="G3412" s="16" t="str">
        <f>VLOOKUP(Table8[[#This Row],[Mã khách hàng]],code_khach_hang[],3,0)</f>
        <v>Miền Trung đặc biệt 2</v>
      </c>
      <c r="H3412" t="str">
        <f>VLOOKUP(Table8[[#This Row],[Mã khách hàng]],'Khách hàng'!A:D,4,0)</f>
        <v>Food Đức Việt</v>
      </c>
      <c r="I3412" t="str">
        <f>VLOOKUP(Table8[[#This Row],[Mã khách hàng]],'Khách hàng'!A:E,5,0)</f>
        <v>QNTV50</v>
      </c>
    </row>
    <row r="3413" spans="1:9">
      <c r="A3413" s="14">
        <v>4732</v>
      </c>
      <c r="B3413" s="15" t="s">
        <v>5</v>
      </c>
      <c r="C3413" s="16" t="s">
        <v>12048</v>
      </c>
      <c r="D3413" s="21" t="s">
        <v>12049</v>
      </c>
      <c r="E3413" s="15" t="s">
        <v>11450</v>
      </c>
      <c r="F3413" s="22" t="str">
        <f>VLOOKUP(Table8[[#This Row],[Mã khách hàng]],code_khach_hang[],2,0)</f>
        <v>CHI NHÁNH ĐẮK LẮK - CÔNG TY CỔ PHẦN DỊCH VỤ THƯƠNG MẠI TỔNG HỢP WINCOMMERCE</v>
      </c>
      <c r="G3413" s="16" t="str">
        <f>VLOOKUP(Table8[[#This Row],[Mã khách hàng]],code_khach_hang[],3,0)</f>
        <v>Miền Trung đặc biệt 2</v>
      </c>
      <c r="H3413" t="str">
        <f>VLOOKUP(Table8[[#This Row],[Mã khách hàng]],'Khách hàng'!A:D,4,0)</f>
        <v>Food Đức Việt</v>
      </c>
      <c r="I3413" t="str">
        <f>VLOOKUP(Table8[[#This Row],[Mã khách hàng]],'Khách hàng'!A:E,5,0)</f>
        <v>QNTV50</v>
      </c>
    </row>
    <row r="3414" spans="1:9">
      <c r="A3414" s="14">
        <v>4743</v>
      </c>
      <c r="B3414" s="15" t="s">
        <v>5</v>
      </c>
      <c r="C3414" s="16" t="s">
        <v>12050</v>
      </c>
      <c r="D3414" s="21" t="s">
        <v>12051</v>
      </c>
      <c r="E3414" s="15" t="s">
        <v>11450</v>
      </c>
      <c r="F3414" s="22" t="str">
        <f>VLOOKUP(Table8[[#This Row],[Mã khách hàng]],code_khach_hang[],2,0)</f>
        <v>CHI NHÁNH ĐẮK LẮK - CÔNG TY CỔ PHẦN DỊCH VỤ THƯƠNG MẠI TỔNG HỢP WINCOMMERCE</v>
      </c>
      <c r="G3414" s="16" t="str">
        <f>VLOOKUP(Table8[[#This Row],[Mã khách hàng]],code_khach_hang[],3,0)</f>
        <v>Miền Trung đặc biệt 2</v>
      </c>
      <c r="H3414" t="str">
        <f>VLOOKUP(Table8[[#This Row],[Mã khách hàng]],'Khách hàng'!A:D,4,0)</f>
        <v>Food Đức Việt</v>
      </c>
      <c r="I3414" t="str">
        <f>VLOOKUP(Table8[[#This Row],[Mã khách hàng]],'Khách hàng'!A:E,5,0)</f>
        <v>QNTV50</v>
      </c>
    </row>
    <row r="3415" spans="1:9">
      <c r="A3415" s="14">
        <v>4752</v>
      </c>
      <c r="B3415" s="15" t="s">
        <v>5</v>
      </c>
      <c r="C3415" s="16" t="s">
        <v>12052</v>
      </c>
      <c r="D3415" s="21" t="s">
        <v>12053</v>
      </c>
      <c r="E3415" s="15" t="s">
        <v>11450</v>
      </c>
      <c r="F3415" s="22" t="str">
        <f>VLOOKUP(Table8[[#This Row],[Mã khách hàng]],code_khach_hang[],2,0)</f>
        <v>CHI NHÁNH ĐẮK LẮK - CÔNG TY CỔ PHẦN DỊCH VỤ THƯƠNG MẠI TỔNG HỢP WINCOMMERCE</v>
      </c>
      <c r="G3415" s="16" t="str">
        <f>VLOOKUP(Table8[[#This Row],[Mã khách hàng]],code_khach_hang[],3,0)</f>
        <v>Miền Trung đặc biệt 2</v>
      </c>
      <c r="H3415" t="str">
        <f>VLOOKUP(Table8[[#This Row],[Mã khách hàng]],'Khách hàng'!A:D,4,0)</f>
        <v>Food Đức Việt</v>
      </c>
      <c r="I3415" t="str">
        <f>VLOOKUP(Table8[[#This Row],[Mã khách hàng]],'Khách hàng'!A:E,5,0)</f>
        <v>QNTV50</v>
      </c>
    </row>
    <row r="3416" spans="1:9">
      <c r="A3416" s="14">
        <v>4755</v>
      </c>
      <c r="B3416" s="15" t="s">
        <v>5</v>
      </c>
      <c r="C3416" s="16" t="s">
        <v>12054</v>
      </c>
      <c r="D3416" s="21" t="s">
        <v>12055</v>
      </c>
      <c r="E3416" s="15" t="s">
        <v>11442</v>
      </c>
      <c r="F3416" s="22" t="str">
        <f>VLOOKUP(Table8[[#This Row],[Mã khách hàng]],code_khach_hang[],2,0)</f>
        <v>CHI NHÁNH ĐÀ NẴNG - CÔNG TY CỔ PHẦN DỊCH VỤ THƯƠNG MẠI TỔNG HỢP WINCOMMERCE</v>
      </c>
      <c r="G3416" s="16" t="str">
        <f>VLOOKUP(Table8[[#This Row],[Mã khách hàng]],code_khach_hang[],3,0)</f>
        <v>Miền Trung đặc biệt 1</v>
      </c>
      <c r="H3416" t="str">
        <f>VLOOKUP(Table8[[#This Row],[Mã khách hàng]],'Khách hàng'!A:D,4,0)</f>
        <v>Food Đức Việt</v>
      </c>
      <c r="I3416" t="str">
        <f>VLOOKUP(Table8[[#This Row],[Mã khách hàng]],'Khách hàng'!A:E,5,0)</f>
        <v>DNTG100</v>
      </c>
    </row>
    <row r="3417" spans="1:9">
      <c r="A3417" s="14">
        <v>4773</v>
      </c>
      <c r="B3417" s="15" t="s">
        <v>5</v>
      </c>
      <c r="C3417" s="16" t="s">
        <v>12056</v>
      </c>
      <c r="D3417" s="21" t="s">
        <v>12057</v>
      </c>
      <c r="E3417" s="15" t="s">
        <v>11450</v>
      </c>
      <c r="F3417" s="22" t="str">
        <f>VLOOKUP(Table8[[#This Row],[Mã khách hàng]],code_khach_hang[],2,0)</f>
        <v>CHI NHÁNH ĐẮK LẮK - CÔNG TY CỔ PHẦN DỊCH VỤ THƯƠNG MẠI TỔNG HỢP WINCOMMERCE</v>
      </c>
      <c r="G3417" s="16" t="str">
        <f>VLOOKUP(Table8[[#This Row],[Mã khách hàng]],code_khach_hang[],3,0)</f>
        <v>Miền Trung đặc biệt 2</v>
      </c>
      <c r="H3417" t="str">
        <f>VLOOKUP(Table8[[#This Row],[Mã khách hàng]],'Khách hàng'!A:D,4,0)</f>
        <v>Food Đức Việt</v>
      </c>
      <c r="I3417" t="str">
        <f>VLOOKUP(Table8[[#This Row],[Mã khách hàng]],'Khách hàng'!A:E,5,0)</f>
        <v>QNTV50</v>
      </c>
    </row>
    <row r="3418" spans="1:9">
      <c r="A3418" s="14">
        <v>4806</v>
      </c>
      <c r="B3418" s="15" t="s">
        <v>5</v>
      </c>
      <c r="C3418" s="16" t="s">
        <v>12058</v>
      </c>
      <c r="D3418" s="21" t="s">
        <v>12059</v>
      </c>
      <c r="E3418" s="15" t="s">
        <v>11442</v>
      </c>
      <c r="F3418" s="22" t="str">
        <f>VLOOKUP(Table8[[#This Row],[Mã khách hàng]],code_khach_hang[],2,0)</f>
        <v>CHI NHÁNH ĐÀ NẴNG - CÔNG TY CỔ PHẦN DỊCH VỤ THƯƠNG MẠI TỔNG HỢP WINCOMMERCE</v>
      </c>
      <c r="G3418" s="16" t="str">
        <f>VLOOKUP(Table8[[#This Row],[Mã khách hàng]],code_khach_hang[],3,0)</f>
        <v>Miền Trung đặc biệt 1</v>
      </c>
      <c r="H3418" t="str">
        <f>VLOOKUP(Table8[[#This Row],[Mã khách hàng]],'Khách hàng'!A:D,4,0)</f>
        <v>Food Đức Việt</v>
      </c>
      <c r="I3418" t="str">
        <f>VLOOKUP(Table8[[#This Row],[Mã khách hàng]],'Khách hàng'!A:E,5,0)</f>
        <v>DNTG100</v>
      </c>
    </row>
    <row r="3419" spans="1:9">
      <c r="A3419" s="14">
        <v>4807</v>
      </c>
      <c r="B3419" s="15" t="s">
        <v>5</v>
      </c>
      <c r="C3419" s="16" t="s">
        <v>12060</v>
      </c>
      <c r="D3419" s="21" t="s">
        <v>12061</v>
      </c>
      <c r="E3419" s="15" t="s">
        <v>11442</v>
      </c>
      <c r="F3419" s="22" t="str">
        <f>VLOOKUP(Table8[[#This Row],[Mã khách hàng]],code_khach_hang[],2,0)</f>
        <v>CHI NHÁNH ĐÀ NẴNG - CÔNG TY CỔ PHẦN DỊCH VỤ THƯƠNG MẠI TỔNG HỢP WINCOMMERCE</v>
      </c>
      <c r="G3419" s="16" t="str">
        <f>VLOOKUP(Table8[[#This Row],[Mã khách hàng]],code_khach_hang[],3,0)</f>
        <v>Miền Trung đặc biệt 1</v>
      </c>
      <c r="H3419" t="str">
        <f>VLOOKUP(Table8[[#This Row],[Mã khách hàng]],'Khách hàng'!A:D,4,0)</f>
        <v>Food Đức Việt</v>
      </c>
      <c r="I3419" t="str">
        <f>VLOOKUP(Table8[[#This Row],[Mã khách hàng]],'Khách hàng'!A:E,5,0)</f>
        <v>DNTG100</v>
      </c>
    </row>
    <row r="3420" spans="1:9">
      <c r="A3420" s="14">
        <v>4836</v>
      </c>
      <c r="B3420" s="15" t="s">
        <v>5</v>
      </c>
      <c r="C3420" s="16" t="s">
        <v>12062</v>
      </c>
      <c r="D3420" s="21" t="s">
        <v>12063</v>
      </c>
      <c r="E3420" s="15" t="s">
        <v>11442</v>
      </c>
      <c r="F3420" s="22" t="str">
        <f>VLOOKUP(Table8[[#This Row],[Mã khách hàng]],code_khach_hang[],2,0)</f>
        <v>CHI NHÁNH ĐÀ NẴNG - CÔNG TY CỔ PHẦN DỊCH VỤ THƯƠNG MẠI TỔNG HỢP WINCOMMERCE</v>
      </c>
      <c r="G3420" s="16" t="str">
        <f>VLOOKUP(Table8[[#This Row],[Mã khách hàng]],code_khach_hang[],3,0)</f>
        <v>Miền Trung đặc biệt 1</v>
      </c>
      <c r="H3420" t="str">
        <f>VLOOKUP(Table8[[#This Row],[Mã khách hàng]],'Khách hàng'!A:D,4,0)</f>
        <v>Food Đức Việt</v>
      </c>
      <c r="I3420" t="str">
        <f>VLOOKUP(Table8[[#This Row],[Mã khách hàng]],'Khách hàng'!A:E,5,0)</f>
        <v>DNTG100</v>
      </c>
    </row>
    <row r="3421" spans="1:9">
      <c r="A3421" s="14">
        <v>4838</v>
      </c>
      <c r="B3421" s="15" t="s">
        <v>5</v>
      </c>
      <c r="C3421" s="16" t="s">
        <v>12064</v>
      </c>
      <c r="D3421" s="21" t="s">
        <v>12065</v>
      </c>
      <c r="E3421" s="15" t="s">
        <v>11442</v>
      </c>
      <c r="F3421" s="22" t="str">
        <f>VLOOKUP(Table8[[#This Row],[Mã khách hàng]],code_khach_hang[],2,0)</f>
        <v>CHI NHÁNH ĐÀ NẴNG - CÔNG TY CỔ PHẦN DỊCH VỤ THƯƠNG MẠI TỔNG HỢP WINCOMMERCE</v>
      </c>
      <c r="G3421" s="16" t="str">
        <f>VLOOKUP(Table8[[#This Row],[Mã khách hàng]],code_khach_hang[],3,0)</f>
        <v>Miền Trung đặc biệt 1</v>
      </c>
      <c r="H3421" t="str">
        <f>VLOOKUP(Table8[[#This Row],[Mã khách hàng]],'Khách hàng'!A:D,4,0)</f>
        <v>Food Đức Việt</v>
      </c>
      <c r="I3421" t="str">
        <f>VLOOKUP(Table8[[#This Row],[Mã khách hàng]],'Khách hàng'!A:E,5,0)</f>
        <v>DNTG100</v>
      </c>
    </row>
    <row r="3422" spans="1:9">
      <c r="A3422" s="14">
        <v>4845</v>
      </c>
      <c r="B3422" s="15" t="s">
        <v>5</v>
      </c>
      <c r="C3422" s="16" t="s">
        <v>12066</v>
      </c>
      <c r="D3422" s="21" t="s">
        <v>12067</v>
      </c>
      <c r="E3422" s="15" t="s">
        <v>11445</v>
      </c>
      <c r="F3422" s="22" t="str">
        <f>VLOOKUP(Table8[[#This Row],[Mã khách hàng]],code_khach_hang[],2,0)</f>
        <v>CHI NHÁNH THỪA THIÊN HUẾ - CÔNG TY CỔ PHẦN DỊCH VỤ THƯƠNG MẠI TỔNG HỢP WINCOMMERCE</v>
      </c>
      <c r="G3422" s="16" t="str">
        <f>VLOOKUP(Table8[[#This Row],[Mã khách hàng]],code_khach_hang[],3,0)</f>
        <v>Miền Trung đặc biệt 1</v>
      </c>
      <c r="H3422" t="str">
        <f>VLOOKUP(Table8[[#This Row],[Mã khách hàng]],'Khách hàng'!A:D,4,0)</f>
        <v>Food Đức Việt</v>
      </c>
      <c r="I3422" t="str">
        <f>VLOOKUP(Table8[[#This Row],[Mã khách hàng]],'Khách hàng'!A:E,5,0)</f>
        <v>DNTG100</v>
      </c>
    </row>
    <row r="3423" spans="1:9">
      <c r="A3423" s="14">
        <v>4859</v>
      </c>
      <c r="B3423" s="15" t="s">
        <v>5</v>
      </c>
      <c r="C3423" s="16" t="s">
        <v>12068</v>
      </c>
      <c r="D3423" s="21" t="s">
        <v>12069</v>
      </c>
      <c r="E3423" s="15" t="s">
        <v>11442</v>
      </c>
      <c r="F3423" s="22" t="str">
        <f>VLOOKUP(Table8[[#This Row],[Mã khách hàng]],code_khach_hang[],2,0)</f>
        <v>CHI NHÁNH ĐÀ NẴNG - CÔNG TY CỔ PHẦN DỊCH VỤ THƯƠNG MẠI TỔNG HỢP WINCOMMERCE</v>
      </c>
      <c r="G3423" s="16" t="str">
        <f>VLOOKUP(Table8[[#This Row],[Mã khách hàng]],code_khach_hang[],3,0)</f>
        <v>Miền Trung đặc biệt 1</v>
      </c>
      <c r="H3423" t="str">
        <f>VLOOKUP(Table8[[#This Row],[Mã khách hàng]],'Khách hàng'!A:D,4,0)</f>
        <v>Food Đức Việt</v>
      </c>
      <c r="I3423" t="str">
        <f>VLOOKUP(Table8[[#This Row],[Mã khách hàng]],'Khách hàng'!A:E,5,0)</f>
        <v>DNTG100</v>
      </c>
    </row>
    <row r="3424" spans="1:9">
      <c r="A3424" s="14">
        <v>4879</v>
      </c>
      <c r="B3424" s="15" t="s">
        <v>5</v>
      </c>
      <c r="C3424" s="16" t="s">
        <v>12070</v>
      </c>
      <c r="D3424" s="21" t="s">
        <v>12071</v>
      </c>
      <c r="E3424" s="15" t="s">
        <v>11445</v>
      </c>
      <c r="F3424" s="22" t="str">
        <f>VLOOKUP(Table8[[#This Row],[Mã khách hàng]],code_khach_hang[],2,0)</f>
        <v>CHI NHÁNH THỪA THIÊN HUẾ - CÔNG TY CỔ PHẦN DỊCH VỤ THƯƠNG MẠI TỔNG HỢP WINCOMMERCE</v>
      </c>
      <c r="G3424" s="16" t="str">
        <f>VLOOKUP(Table8[[#This Row],[Mã khách hàng]],code_khach_hang[],3,0)</f>
        <v>Miền Trung đặc biệt 1</v>
      </c>
      <c r="H3424" t="str">
        <f>VLOOKUP(Table8[[#This Row],[Mã khách hàng]],'Khách hàng'!A:D,4,0)</f>
        <v>Food Đức Việt</v>
      </c>
      <c r="I3424" t="str">
        <f>VLOOKUP(Table8[[#This Row],[Mã khách hàng]],'Khách hàng'!A:E,5,0)</f>
        <v>DNTG100</v>
      </c>
    </row>
    <row r="3425" spans="1:9">
      <c r="A3425" s="14">
        <v>4899</v>
      </c>
      <c r="B3425" s="15" t="s">
        <v>5</v>
      </c>
      <c r="C3425" s="16" t="s">
        <v>12072</v>
      </c>
      <c r="D3425" s="21" t="s">
        <v>12073</v>
      </c>
      <c r="E3425" s="15" t="s">
        <v>11446</v>
      </c>
      <c r="F3425" s="22" t="str">
        <f>VLOOKUP(Table8[[#This Row],[Mã khách hàng]],code_khach_hang[],2,0)</f>
        <v>CHI NHÁNH GIA LAI - CÔNG TY CỔ PHẦN DỊCH VỤ THƯƠNG MẠI TỔNG HỢP WINCOMMERCE</v>
      </c>
      <c r="G3425" s="16" t="str">
        <f>VLOOKUP(Table8[[#This Row],[Mã khách hàng]],code_khach_hang[],3,0)</f>
        <v>Miền Bắc đặc biệt 2</v>
      </c>
      <c r="H3425" t="str">
        <f>VLOOKUP(Table8[[#This Row],[Mã khách hàng]],'Khách hàng'!A:D,4,0)</f>
        <v>Food Đức Việt</v>
      </c>
      <c r="I3425" t="str">
        <f>VLOOKUP(Table8[[#This Row],[Mã khách hàng]],'Khách hàng'!A:E,5,0)</f>
        <v>QNTV50</v>
      </c>
    </row>
    <row r="3426" spans="1:9">
      <c r="A3426" s="14">
        <v>4900</v>
      </c>
      <c r="B3426" s="15" t="s">
        <v>5</v>
      </c>
      <c r="C3426" s="16" t="s">
        <v>12074</v>
      </c>
      <c r="D3426" s="21" t="s">
        <v>12075</v>
      </c>
      <c r="E3426" s="15" t="s">
        <v>11446</v>
      </c>
      <c r="F3426" s="22" t="str">
        <f>VLOOKUP(Table8[[#This Row],[Mã khách hàng]],code_khach_hang[],2,0)</f>
        <v>CHI NHÁNH GIA LAI - CÔNG TY CỔ PHẦN DỊCH VỤ THƯƠNG MẠI TỔNG HỢP WINCOMMERCE</v>
      </c>
      <c r="G3426" s="16" t="str">
        <f>VLOOKUP(Table8[[#This Row],[Mã khách hàng]],code_khach_hang[],3,0)</f>
        <v>Miền Bắc đặc biệt 2</v>
      </c>
      <c r="H3426" t="str">
        <f>VLOOKUP(Table8[[#This Row],[Mã khách hàng]],'Khách hàng'!A:D,4,0)</f>
        <v>Food Đức Việt</v>
      </c>
      <c r="I3426" t="str">
        <f>VLOOKUP(Table8[[#This Row],[Mã khách hàng]],'Khách hàng'!A:E,5,0)</f>
        <v>QNTV50</v>
      </c>
    </row>
    <row r="3427" spans="1:9">
      <c r="A3427" s="14">
        <v>4907</v>
      </c>
      <c r="B3427" s="15" t="s">
        <v>5</v>
      </c>
      <c r="C3427" s="16" t="s">
        <v>12076</v>
      </c>
      <c r="D3427" s="21" t="s">
        <v>12077</v>
      </c>
      <c r="E3427" s="15" t="s">
        <v>11446</v>
      </c>
      <c r="F3427" s="22" t="str">
        <f>VLOOKUP(Table8[[#This Row],[Mã khách hàng]],code_khach_hang[],2,0)</f>
        <v>CHI NHÁNH GIA LAI - CÔNG TY CỔ PHẦN DỊCH VỤ THƯƠNG MẠI TỔNG HỢP WINCOMMERCE</v>
      </c>
      <c r="G3427" s="16" t="str">
        <f>VLOOKUP(Table8[[#This Row],[Mã khách hàng]],code_khach_hang[],3,0)</f>
        <v>Miền Bắc đặc biệt 2</v>
      </c>
      <c r="H3427" t="str">
        <f>VLOOKUP(Table8[[#This Row],[Mã khách hàng]],'Khách hàng'!A:D,4,0)</f>
        <v>Food Đức Việt</v>
      </c>
      <c r="I3427" t="str">
        <f>VLOOKUP(Table8[[#This Row],[Mã khách hàng]],'Khách hàng'!A:E,5,0)</f>
        <v>QNTV50</v>
      </c>
    </row>
    <row r="3428" spans="1:9">
      <c r="A3428" s="14">
        <v>4909</v>
      </c>
      <c r="B3428" s="15" t="s">
        <v>5</v>
      </c>
      <c r="C3428" s="16" t="s">
        <v>12078</v>
      </c>
      <c r="D3428" s="21" t="s">
        <v>12079</v>
      </c>
      <c r="E3428" s="15" t="s">
        <v>11446</v>
      </c>
      <c r="F3428" s="22" t="str">
        <f>VLOOKUP(Table8[[#This Row],[Mã khách hàng]],code_khach_hang[],2,0)</f>
        <v>CHI NHÁNH GIA LAI - CÔNG TY CỔ PHẦN DỊCH VỤ THƯƠNG MẠI TỔNG HỢP WINCOMMERCE</v>
      </c>
      <c r="G3428" s="16" t="str">
        <f>VLOOKUP(Table8[[#This Row],[Mã khách hàng]],code_khach_hang[],3,0)</f>
        <v>Miền Bắc đặc biệt 2</v>
      </c>
      <c r="H3428" t="str">
        <f>VLOOKUP(Table8[[#This Row],[Mã khách hàng]],'Khách hàng'!A:D,4,0)</f>
        <v>Food Đức Việt</v>
      </c>
      <c r="I3428" t="str">
        <f>VLOOKUP(Table8[[#This Row],[Mã khách hàng]],'Khách hàng'!A:E,5,0)</f>
        <v>QNTV50</v>
      </c>
    </row>
    <row r="3429" spans="1:9">
      <c r="A3429" s="14">
        <v>4910</v>
      </c>
      <c r="B3429" s="15" t="s">
        <v>5</v>
      </c>
      <c r="C3429" s="16" t="s">
        <v>12080</v>
      </c>
      <c r="D3429" s="21" t="s">
        <v>12081</v>
      </c>
      <c r="E3429" s="15" t="s">
        <v>11446</v>
      </c>
      <c r="F3429" s="22" t="str">
        <f>VLOOKUP(Table8[[#This Row],[Mã khách hàng]],code_khach_hang[],2,0)</f>
        <v>CHI NHÁNH GIA LAI - CÔNG TY CỔ PHẦN DỊCH VỤ THƯƠNG MẠI TỔNG HỢP WINCOMMERCE</v>
      </c>
      <c r="G3429" s="16" t="str">
        <f>VLOOKUP(Table8[[#This Row],[Mã khách hàng]],code_khach_hang[],3,0)</f>
        <v>Miền Bắc đặc biệt 2</v>
      </c>
      <c r="H3429" t="str">
        <f>VLOOKUP(Table8[[#This Row],[Mã khách hàng]],'Khách hàng'!A:D,4,0)</f>
        <v>Food Đức Việt</v>
      </c>
      <c r="I3429" t="str">
        <f>VLOOKUP(Table8[[#This Row],[Mã khách hàng]],'Khách hàng'!A:E,5,0)</f>
        <v>QNTV50</v>
      </c>
    </row>
    <row r="3430" spans="1:9">
      <c r="A3430" s="14">
        <v>4947</v>
      </c>
      <c r="B3430" s="15" t="s">
        <v>5</v>
      </c>
      <c r="C3430" s="16" t="s">
        <v>12082</v>
      </c>
      <c r="D3430" s="21" t="s">
        <v>12083</v>
      </c>
      <c r="E3430" s="15" t="s">
        <v>11446</v>
      </c>
      <c r="F3430" s="22" t="str">
        <f>VLOOKUP(Table8[[#This Row],[Mã khách hàng]],code_khach_hang[],2,0)</f>
        <v>CHI NHÁNH GIA LAI - CÔNG TY CỔ PHẦN DỊCH VỤ THƯƠNG MẠI TỔNG HỢP WINCOMMERCE</v>
      </c>
      <c r="G3430" s="16" t="str">
        <f>VLOOKUP(Table8[[#This Row],[Mã khách hàng]],code_khach_hang[],3,0)</f>
        <v>Miền Bắc đặc biệt 2</v>
      </c>
      <c r="H3430" t="str">
        <f>VLOOKUP(Table8[[#This Row],[Mã khách hàng]],'Khách hàng'!A:D,4,0)</f>
        <v>Food Đức Việt</v>
      </c>
      <c r="I3430" t="str">
        <f>VLOOKUP(Table8[[#This Row],[Mã khách hàng]],'Khách hàng'!A:E,5,0)</f>
        <v>QNTV50</v>
      </c>
    </row>
    <row r="3431" spans="1:9">
      <c r="A3431" s="14">
        <v>4949</v>
      </c>
      <c r="B3431" s="15" t="s">
        <v>5</v>
      </c>
      <c r="C3431" s="16" t="s">
        <v>12084</v>
      </c>
      <c r="D3431" s="21" t="s">
        <v>12085</v>
      </c>
      <c r="E3431" s="15" t="s">
        <v>11442</v>
      </c>
      <c r="F3431" s="22" t="str">
        <f>VLOOKUP(Table8[[#This Row],[Mã khách hàng]],code_khach_hang[],2,0)</f>
        <v>CHI NHÁNH ĐÀ NẴNG - CÔNG TY CỔ PHẦN DỊCH VỤ THƯƠNG MẠI TỔNG HỢP WINCOMMERCE</v>
      </c>
      <c r="G3431" s="16" t="str">
        <f>VLOOKUP(Table8[[#This Row],[Mã khách hàng]],code_khach_hang[],3,0)</f>
        <v>Miền Trung đặc biệt 1</v>
      </c>
      <c r="H3431" t="str">
        <f>VLOOKUP(Table8[[#This Row],[Mã khách hàng]],'Khách hàng'!A:D,4,0)</f>
        <v>Food Đức Việt</v>
      </c>
      <c r="I3431" t="str">
        <f>VLOOKUP(Table8[[#This Row],[Mã khách hàng]],'Khách hàng'!A:E,5,0)</f>
        <v>DNTG100</v>
      </c>
    </row>
    <row r="3432" spans="1:9">
      <c r="A3432" s="14">
        <v>4980</v>
      </c>
      <c r="B3432" s="15" t="s">
        <v>5</v>
      </c>
      <c r="C3432" s="16" t="s">
        <v>12086</v>
      </c>
      <c r="D3432" s="21" t="s">
        <v>12087</v>
      </c>
      <c r="E3432" s="15" t="s">
        <v>11447</v>
      </c>
      <c r="F3432" s="22" t="str">
        <f>VLOOKUP(Table8[[#This Row],[Mã khách hàng]],code_khach_hang[],2,0)</f>
        <v>CHI NHÁNH QUẢNG TRỊ - CÔNG TY CỔ PHẦN DỊCH VỤ THƯƠNG MẠI TỔNG HỢP WINCOMMERCE</v>
      </c>
      <c r="G3432" s="16" t="str">
        <f>VLOOKUP(Table8[[#This Row],[Mã khách hàng]],code_khach_hang[],3,0)</f>
        <v>Miền Trung đặc biệt 1</v>
      </c>
      <c r="H3432" t="str">
        <f>VLOOKUP(Table8[[#This Row],[Mã khách hàng]],'Khách hàng'!A:D,4,0)</f>
        <v>Food Đức Việt</v>
      </c>
      <c r="I3432" t="str">
        <f>VLOOKUP(Table8[[#This Row],[Mã khách hàng]],'Khách hàng'!A:E,5,0)</f>
        <v>DNTG100</v>
      </c>
    </row>
    <row r="3433" spans="1:9">
      <c r="A3433" s="14">
        <v>4981</v>
      </c>
      <c r="B3433" s="15" t="s">
        <v>5</v>
      </c>
      <c r="C3433" s="16" t="s">
        <v>12088</v>
      </c>
      <c r="D3433" s="21" t="s">
        <v>12089</v>
      </c>
      <c r="E3433" s="15" t="s">
        <v>11447</v>
      </c>
      <c r="F3433" s="22" t="str">
        <f>VLOOKUP(Table8[[#This Row],[Mã khách hàng]],code_khach_hang[],2,0)</f>
        <v>CHI NHÁNH QUẢNG TRỊ - CÔNG TY CỔ PHẦN DỊCH VỤ THƯƠNG MẠI TỔNG HỢP WINCOMMERCE</v>
      </c>
      <c r="G3433" s="16" t="str">
        <f>VLOOKUP(Table8[[#This Row],[Mã khách hàng]],code_khach_hang[],3,0)</f>
        <v>Miền Trung đặc biệt 1</v>
      </c>
      <c r="H3433" t="str">
        <f>VLOOKUP(Table8[[#This Row],[Mã khách hàng]],'Khách hàng'!A:D,4,0)</f>
        <v>Food Đức Việt</v>
      </c>
      <c r="I3433" t="str">
        <f>VLOOKUP(Table8[[#This Row],[Mã khách hàng]],'Khách hàng'!A:E,5,0)</f>
        <v>DNTG100</v>
      </c>
    </row>
    <row r="3434" spans="1:9">
      <c r="A3434" s="14">
        <v>5011</v>
      </c>
      <c r="B3434" s="15" t="s">
        <v>5</v>
      </c>
      <c r="C3434" s="16" t="s">
        <v>12090</v>
      </c>
      <c r="D3434" s="21" t="s">
        <v>12091</v>
      </c>
      <c r="E3434" s="15" t="s">
        <v>11442</v>
      </c>
      <c r="F3434" s="22" t="str">
        <f>VLOOKUP(Table8[[#This Row],[Mã khách hàng]],code_khach_hang[],2,0)</f>
        <v>CHI NHÁNH ĐÀ NẴNG - CÔNG TY CỔ PHẦN DỊCH VỤ THƯƠNG MẠI TỔNG HỢP WINCOMMERCE</v>
      </c>
      <c r="G3434" s="16" t="str">
        <f>VLOOKUP(Table8[[#This Row],[Mã khách hàng]],code_khach_hang[],3,0)</f>
        <v>Miền Trung đặc biệt 1</v>
      </c>
      <c r="H3434" t="str">
        <f>VLOOKUP(Table8[[#This Row],[Mã khách hàng]],'Khách hàng'!A:D,4,0)</f>
        <v>Food Đức Việt</v>
      </c>
      <c r="I3434" t="str">
        <f>VLOOKUP(Table8[[#This Row],[Mã khách hàng]],'Khách hàng'!A:E,5,0)</f>
        <v>DNTG100</v>
      </c>
    </row>
    <row r="3435" spans="1:9">
      <c r="A3435" s="14">
        <v>5012</v>
      </c>
      <c r="B3435" s="15" t="s">
        <v>5</v>
      </c>
      <c r="C3435" s="16" t="s">
        <v>12092</v>
      </c>
      <c r="D3435" s="21" t="s">
        <v>12093</v>
      </c>
      <c r="E3435" s="15" t="s">
        <v>11442</v>
      </c>
      <c r="F3435" s="22" t="str">
        <f>VLOOKUP(Table8[[#This Row],[Mã khách hàng]],code_khach_hang[],2,0)</f>
        <v>CHI NHÁNH ĐÀ NẴNG - CÔNG TY CỔ PHẦN DỊCH VỤ THƯƠNG MẠI TỔNG HỢP WINCOMMERCE</v>
      </c>
      <c r="G3435" s="16" t="str">
        <f>VLOOKUP(Table8[[#This Row],[Mã khách hàng]],code_khach_hang[],3,0)</f>
        <v>Miền Trung đặc biệt 1</v>
      </c>
      <c r="H3435" t="str">
        <f>VLOOKUP(Table8[[#This Row],[Mã khách hàng]],'Khách hàng'!A:D,4,0)</f>
        <v>Food Đức Việt</v>
      </c>
      <c r="I3435" t="str">
        <f>VLOOKUP(Table8[[#This Row],[Mã khách hàng]],'Khách hàng'!A:E,5,0)</f>
        <v>DNTG100</v>
      </c>
    </row>
    <row r="3436" spans="1:9">
      <c r="A3436" s="14">
        <v>5033</v>
      </c>
      <c r="B3436" s="15" t="s">
        <v>5</v>
      </c>
      <c r="C3436" s="16" t="s">
        <v>12094</v>
      </c>
      <c r="D3436" s="21" t="s">
        <v>12095</v>
      </c>
      <c r="E3436" s="15" t="s">
        <v>11447</v>
      </c>
      <c r="F3436" s="22" t="str">
        <f>VLOOKUP(Table8[[#This Row],[Mã khách hàng]],code_khach_hang[],2,0)</f>
        <v>CHI NHÁNH QUẢNG TRỊ - CÔNG TY CỔ PHẦN DỊCH VỤ THƯƠNG MẠI TỔNG HỢP WINCOMMERCE</v>
      </c>
      <c r="G3436" s="16" t="str">
        <f>VLOOKUP(Table8[[#This Row],[Mã khách hàng]],code_khach_hang[],3,0)</f>
        <v>Miền Trung đặc biệt 1</v>
      </c>
      <c r="H3436" t="str">
        <f>VLOOKUP(Table8[[#This Row],[Mã khách hàng]],'Khách hàng'!A:D,4,0)</f>
        <v>Food Đức Việt</v>
      </c>
      <c r="I3436" t="str">
        <f>VLOOKUP(Table8[[#This Row],[Mã khách hàng]],'Khách hàng'!A:E,5,0)</f>
        <v>DNTG100</v>
      </c>
    </row>
    <row r="3437" spans="1:9">
      <c r="A3437" s="14">
        <v>5034</v>
      </c>
      <c r="B3437" s="15" t="s">
        <v>5</v>
      </c>
      <c r="C3437" s="16" t="s">
        <v>12096</v>
      </c>
      <c r="D3437" s="21" t="s">
        <v>12097</v>
      </c>
      <c r="E3437" s="15" t="s">
        <v>11447</v>
      </c>
      <c r="F3437" s="22" t="str">
        <f>VLOOKUP(Table8[[#This Row],[Mã khách hàng]],code_khach_hang[],2,0)</f>
        <v>CHI NHÁNH QUẢNG TRỊ - CÔNG TY CỔ PHẦN DỊCH VỤ THƯƠNG MẠI TỔNG HỢP WINCOMMERCE</v>
      </c>
      <c r="G3437" s="16" t="str">
        <f>VLOOKUP(Table8[[#This Row],[Mã khách hàng]],code_khach_hang[],3,0)</f>
        <v>Miền Trung đặc biệt 1</v>
      </c>
      <c r="H3437" t="str">
        <f>VLOOKUP(Table8[[#This Row],[Mã khách hàng]],'Khách hàng'!A:D,4,0)</f>
        <v>Food Đức Việt</v>
      </c>
      <c r="I3437" t="str">
        <f>VLOOKUP(Table8[[#This Row],[Mã khách hàng]],'Khách hàng'!A:E,5,0)</f>
        <v>DNTG100</v>
      </c>
    </row>
    <row r="3438" spans="1:9">
      <c r="A3438" s="14">
        <v>5035</v>
      </c>
      <c r="B3438" s="15" t="s">
        <v>5</v>
      </c>
      <c r="C3438" s="16" t="s">
        <v>12098</v>
      </c>
      <c r="D3438" s="21" t="s">
        <v>12099</v>
      </c>
      <c r="E3438" s="15" t="s">
        <v>11447</v>
      </c>
      <c r="F3438" s="22" t="str">
        <f>VLOOKUP(Table8[[#This Row],[Mã khách hàng]],code_khach_hang[],2,0)</f>
        <v>CHI NHÁNH QUẢNG TRỊ - CÔNG TY CỔ PHẦN DỊCH VỤ THƯƠNG MẠI TỔNG HỢP WINCOMMERCE</v>
      </c>
      <c r="G3438" s="16" t="str">
        <f>VLOOKUP(Table8[[#This Row],[Mã khách hàng]],code_khach_hang[],3,0)</f>
        <v>Miền Trung đặc biệt 1</v>
      </c>
      <c r="H3438" t="str">
        <f>VLOOKUP(Table8[[#This Row],[Mã khách hàng]],'Khách hàng'!A:D,4,0)</f>
        <v>Food Đức Việt</v>
      </c>
      <c r="I3438" t="str">
        <f>VLOOKUP(Table8[[#This Row],[Mã khách hàng]],'Khách hàng'!A:E,5,0)</f>
        <v>DNTG100</v>
      </c>
    </row>
    <row r="3439" spans="1:9">
      <c r="A3439" s="14">
        <v>5137</v>
      </c>
      <c r="B3439" s="15" t="s">
        <v>5</v>
      </c>
      <c r="C3439" s="16" t="s">
        <v>12100</v>
      </c>
      <c r="D3439" s="21" t="s">
        <v>12101</v>
      </c>
      <c r="E3439" s="15" t="s">
        <v>11442</v>
      </c>
      <c r="F3439" s="22" t="str">
        <f>VLOOKUP(Table8[[#This Row],[Mã khách hàng]],code_khach_hang[],2,0)</f>
        <v>CHI NHÁNH ĐÀ NẴNG - CÔNG TY CỔ PHẦN DỊCH VỤ THƯƠNG MẠI TỔNG HỢP WINCOMMERCE</v>
      </c>
      <c r="G3439" s="16" t="str">
        <f>VLOOKUP(Table8[[#This Row],[Mã khách hàng]],code_khach_hang[],3,0)</f>
        <v>Miền Trung đặc biệt 1</v>
      </c>
      <c r="H3439" t="str">
        <f>VLOOKUP(Table8[[#This Row],[Mã khách hàng]],'Khách hàng'!A:D,4,0)</f>
        <v>Food Đức Việt</v>
      </c>
      <c r="I3439" t="str">
        <f>VLOOKUP(Table8[[#This Row],[Mã khách hàng]],'Khách hàng'!A:E,5,0)</f>
        <v>DNTG100</v>
      </c>
    </row>
    <row r="3440" spans="1:9">
      <c r="A3440" s="14">
        <v>5152</v>
      </c>
      <c r="B3440" s="15" t="s">
        <v>5</v>
      </c>
      <c r="C3440" s="16" t="s">
        <v>12102</v>
      </c>
      <c r="D3440" s="21" t="s">
        <v>12103</v>
      </c>
      <c r="E3440" s="15" t="s">
        <v>11445</v>
      </c>
      <c r="F3440" s="22" t="str">
        <f>VLOOKUP(Table8[[#This Row],[Mã khách hàng]],code_khach_hang[],2,0)</f>
        <v>CHI NHÁNH THỪA THIÊN HUẾ - CÔNG TY CỔ PHẦN DỊCH VỤ THƯƠNG MẠI TỔNG HỢP WINCOMMERCE</v>
      </c>
      <c r="G3440" s="16" t="str">
        <f>VLOOKUP(Table8[[#This Row],[Mã khách hàng]],code_khach_hang[],3,0)</f>
        <v>Miền Trung đặc biệt 1</v>
      </c>
      <c r="H3440" t="str">
        <f>VLOOKUP(Table8[[#This Row],[Mã khách hàng]],'Khách hàng'!A:D,4,0)</f>
        <v>Food Đức Việt</v>
      </c>
      <c r="I3440" t="str">
        <f>VLOOKUP(Table8[[#This Row],[Mã khách hàng]],'Khách hàng'!A:E,5,0)</f>
        <v>DNTG100</v>
      </c>
    </row>
    <row r="3441" spans="1:9">
      <c r="A3441" s="14">
        <v>5169</v>
      </c>
      <c r="B3441" s="15" t="s">
        <v>5</v>
      </c>
      <c r="C3441" s="16" t="s">
        <v>12104</v>
      </c>
      <c r="D3441" s="21" t="s">
        <v>12105</v>
      </c>
      <c r="E3441" s="15" t="s">
        <v>11442</v>
      </c>
      <c r="F3441" s="22" t="str">
        <f>VLOOKUP(Table8[[#This Row],[Mã khách hàng]],code_khach_hang[],2,0)</f>
        <v>CHI NHÁNH ĐÀ NẴNG - CÔNG TY CỔ PHẦN DỊCH VỤ THƯƠNG MẠI TỔNG HỢP WINCOMMERCE</v>
      </c>
      <c r="G3441" s="16" t="str">
        <f>VLOOKUP(Table8[[#This Row],[Mã khách hàng]],code_khach_hang[],3,0)</f>
        <v>Miền Trung đặc biệt 1</v>
      </c>
      <c r="H3441" t="str">
        <f>VLOOKUP(Table8[[#This Row],[Mã khách hàng]],'Khách hàng'!A:D,4,0)</f>
        <v>Food Đức Việt</v>
      </c>
      <c r="I3441" t="str">
        <f>VLOOKUP(Table8[[#This Row],[Mã khách hàng]],'Khách hàng'!A:E,5,0)</f>
        <v>DNTG100</v>
      </c>
    </row>
    <row r="3442" spans="1:9">
      <c r="A3442" s="14">
        <v>5170</v>
      </c>
      <c r="B3442" s="15" t="s">
        <v>5</v>
      </c>
      <c r="C3442" s="16" t="s">
        <v>12106</v>
      </c>
      <c r="D3442" s="21" t="s">
        <v>12107</v>
      </c>
      <c r="E3442" s="15" t="s">
        <v>11442</v>
      </c>
      <c r="F3442" s="22" t="str">
        <f>VLOOKUP(Table8[[#This Row],[Mã khách hàng]],code_khach_hang[],2,0)</f>
        <v>CHI NHÁNH ĐÀ NẴNG - CÔNG TY CỔ PHẦN DỊCH VỤ THƯƠNG MẠI TỔNG HỢP WINCOMMERCE</v>
      </c>
      <c r="G3442" s="16" t="str">
        <f>VLOOKUP(Table8[[#This Row],[Mã khách hàng]],code_khach_hang[],3,0)</f>
        <v>Miền Trung đặc biệt 1</v>
      </c>
      <c r="H3442" t="str">
        <f>VLOOKUP(Table8[[#This Row],[Mã khách hàng]],'Khách hàng'!A:D,4,0)</f>
        <v>Food Đức Việt</v>
      </c>
      <c r="I3442" t="str">
        <f>VLOOKUP(Table8[[#This Row],[Mã khách hàng]],'Khách hàng'!A:E,5,0)</f>
        <v>DNTG100</v>
      </c>
    </row>
    <row r="3443" spans="1:9">
      <c r="A3443" s="14">
        <v>5179</v>
      </c>
      <c r="B3443" s="15" t="s">
        <v>5</v>
      </c>
      <c r="C3443" s="16" t="s">
        <v>12108</v>
      </c>
      <c r="D3443" s="21" t="s">
        <v>12109</v>
      </c>
      <c r="E3443" s="15" t="s">
        <v>11445</v>
      </c>
      <c r="F3443" s="22" t="str">
        <f>VLOOKUP(Table8[[#This Row],[Mã khách hàng]],code_khach_hang[],2,0)</f>
        <v>CHI NHÁNH THỪA THIÊN HUẾ - CÔNG TY CỔ PHẦN DỊCH VỤ THƯƠNG MẠI TỔNG HỢP WINCOMMERCE</v>
      </c>
      <c r="G3443" s="16" t="str">
        <f>VLOOKUP(Table8[[#This Row],[Mã khách hàng]],code_khach_hang[],3,0)</f>
        <v>Miền Trung đặc biệt 1</v>
      </c>
      <c r="H3443" t="str">
        <f>VLOOKUP(Table8[[#This Row],[Mã khách hàng]],'Khách hàng'!A:D,4,0)</f>
        <v>Food Đức Việt</v>
      </c>
      <c r="I3443" t="str">
        <f>VLOOKUP(Table8[[#This Row],[Mã khách hàng]],'Khách hàng'!A:E,5,0)</f>
        <v>DNTG100</v>
      </c>
    </row>
    <row r="3444" spans="1:9">
      <c r="A3444" s="14">
        <v>5181</v>
      </c>
      <c r="B3444" s="15" t="s">
        <v>5</v>
      </c>
      <c r="C3444" s="16" t="s">
        <v>12110</v>
      </c>
      <c r="D3444" s="21" t="s">
        <v>12111</v>
      </c>
      <c r="E3444" s="15" t="s">
        <v>11442</v>
      </c>
      <c r="F3444" s="22" t="str">
        <f>VLOOKUP(Table8[[#This Row],[Mã khách hàng]],code_khach_hang[],2,0)</f>
        <v>CHI NHÁNH ĐÀ NẴNG - CÔNG TY CỔ PHẦN DỊCH VỤ THƯƠNG MẠI TỔNG HỢP WINCOMMERCE</v>
      </c>
      <c r="G3444" s="16" t="str">
        <f>VLOOKUP(Table8[[#This Row],[Mã khách hàng]],code_khach_hang[],3,0)</f>
        <v>Miền Trung đặc biệt 1</v>
      </c>
      <c r="H3444" t="str">
        <f>VLOOKUP(Table8[[#This Row],[Mã khách hàng]],'Khách hàng'!A:D,4,0)</f>
        <v>Food Đức Việt</v>
      </c>
      <c r="I3444" t="str">
        <f>VLOOKUP(Table8[[#This Row],[Mã khách hàng]],'Khách hàng'!A:E,5,0)</f>
        <v>DNTG100</v>
      </c>
    </row>
    <row r="3445" spans="1:9">
      <c r="A3445" s="14">
        <v>5215</v>
      </c>
      <c r="B3445" s="15" t="s">
        <v>5</v>
      </c>
      <c r="C3445" s="16" t="s">
        <v>12112</v>
      </c>
      <c r="D3445" s="21" t="s">
        <v>12113</v>
      </c>
      <c r="E3445" s="15" t="s">
        <v>11445</v>
      </c>
      <c r="F3445" s="22" t="str">
        <f>VLOOKUP(Table8[[#This Row],[Mã khách hàng]],code_khach_hang[],2,0)</f>
        <v>CHI NHÁNH THỪA THIÊN HUẾ - CÔNG TY CỔ PHẦN DỊCH VỤ THƯƠNG MẠI TỔNG HỢP WINCOMMERCE</v>
      </c>
      <c r="G3445" s="16" t="str">
        <f>VLOOKUP(Table8[[#This Row],[Mã khách hàng]],code_khach_hang[],3,0)</f>
        <v>Miền Trung đặc biệt 1</v>
      </c>
      <c r="H3445" t="str">
        <f>VLOOKUP(Table8[[#This Row],[Mã khách hàng]],'Khách hàng'!A:D,4,0)</f>
        <v>Food Đức Việt</v>
      </c>
      <c r="I3445" t="str">
        <f>VLOOKUP(Table8[[#This Row],[Mã khách hàng]],'Khách hàng'!A:E,5,0)</f>
        <v>DNTG100</v>
      </c>
    </row>
    <row r="3446" spans="1:9">
      <c r="A3446" s="14">
        <v>5216</v>
      </c>
      <c r="B3446" s="15" t="s">
        <v>5</v>
      </c>
      <c r="C3446" s="16" t="s">
        <v>12114</v>
      </c>
      <c r="D3446" s="21" t="s">
        <v>12115</v>
      </c>
      <c r="E3446" s="15" t="s">
        <v>11445</v>
      </c>
      <c r="F3446" s="22" t="str">
        <f>VLOOKUP(Table8[[#This Row],[Mã khách hàng]],code_khach_hang[],2,0)</f>
        <v>CHI NHÁNH THỪA THIÊN HUẾ - CÔNG TY CỔ PHẦN DỊCH VỤ THƯƠNG MẠI TỔNG HỢP WINCOMMERCE</v>
      </c>
      <c r="G3446" s="16" t="str">
        <f>VLOOKUP(Table8[[#This Row],[Mã khách hàng]],code_khach_hang[],3,0)</f>
        <v>Miền Trung đặc biệt 1</v>
      </c>
      <c r="H3446" t="str">
        <f>VLOOKUP(Table8[[#This Row],[Mã khách hàng]],'Khách hàng'!A:D,4,0)</f>
        <v>Food Đức Việt</v>
      </c>
      <c r="I3446" t="str">
        <f>VLOOKUP(Table8[[#This Row],[Mã khách hàng]],'Khách hàng'!A:E,5,0)</f>
        <v>DNTG100</v>
      </c>
    </row>
    <row r="3447" spans="1:9">
      <c r="A3447" s="14">
        <v>5217</v>
      </c>
      <c r="B3447" s="15" t="s">
        <v>5</v>
      </c>
      <c r="C3447" s="16" t="s">
        <v>12116</v>
      </c>
      <c r="D3447" s="21" t="s">
        <v>12117</v>
      </c>
      <c r="E3447" s="15" t="s">
        <v>11445</v>
      </c>
      <c r="F3447" s="22" t="str">
        <f>VLOOKUP(Table8[[#This Row],[Mã khách hàng]],code_khach_hang[],2,0)</f>
        <v>CHI NHÁNH THỪA THIÊN HUẾ - CÔNG TY CỔ PHẦN DỊCH VỤ THƯƠNG MẠI TỔNG HỢP WINCOMMERCE</v>
      </c>
      <c r="G3447" s="16" t="str">
        <f>VLOOKUP(Table8[[#This Row],[Mã khách hàng]],code_khach_hang[],3,0)</f>
        <v>Miền Trung đặc biệt 1</v>
      </c>
      <c r="H3447" t="str">
        <f>VLOOKUP(Table8[[#This Row],[Mã khách hàng]],'Khách hàng'!A:D,4,0)</f>
        <v>Food Đức Việt</v>
      </c>
      <c r="I3447" t="str">
        <f>VLOOKUP(Table8[[#This Row],[Mã khách hàng]],'Khách hàng'!A:E,5,0)</f>
        <v>DNTG100</v>
      </c>
    </row>
    <row r="3448" spans="1:9">
      <c r="A3448" s="14">
        <v>5220</v>
      </c>
      <c r="B3448" s="15" t="s">
        <v>5</v>
      </c>
      <c r="C3448" s="16" t="s">
        <v>12118</v>
      </c>
      <c r="D3448" s="21" t="s">
        <v>12119</v>
      </c>
      <c r="E3448" s="15" t="s">
        <v>11445</v>
      </c>
      <c r="F3448" s="22" t="str">
        <f>VLOOKUP(Table8[[#This Row],[Mã khách hàng]],code_khach_hang[],2,0)</f>
        <v>CHI NHÁNH THỪA THIÊN HUẾ - CÔNG TY CỔ PHẦN DỊCH VỤ THƯƠNG MẠI TỔNG HỢP WINCOMMERCE</v>
      </c>
      <c r="G3448" s="16" t="str">
        <f>VLOOKUP(Table8[[#This Row],[Mã khách hàng]],code_khach_hang[],3,0)</f>
        <v>Miền Trung đặc biệt 1</v>
      </c>
      <c r="H3448" t="str">
        <f>VLOOKUP(Table8[[#This Row],[Mã khách hàng]],'Khách hàng'!A:D,4,0)</f>
        <v>Food Đức Việt</v>
      </c>
      <c r="I3448" t="str">
        <f>VLOOKUP(Table8[[#This Row],[Mã khách hàng]],'Khách hàng'!A:E,5,0)</f>
        <v>DNTG100</v>
      </c>
    </row>
    <row r="3449" spans="1:9">
      <c r="A3449" s="14">
        <v>5235</v>
      </c>
      <c r="B3449" s="15" t="s">
        <v>5</v>
      </c>
      <c r="C3449" s="16" t="s">
        <v>12120</v>
      </c>
      <c r="D3449" s="21" t="s">
        <v>12121</v>
      </c>
      <c r="E3449" s="15" t="s">
        <v>11442</v>
      </c>
      <c r="F3449" s="22" t="str">
        <f>VLOOKUP(Table8[[#This Row],[Mã khách hàng]],code_khach_hang[],2,0)</f>
        <v>CHI NHÁNH ĐÀ NẴNG - CÔNG TY CỔ PHẦN DỊCH VỤ THƯƠNG MẠI TỔNG HỢP WINCOMMERCE</v>
      </c>
      <c r="G3449" s="16" t="str">
        <f>VLOOKUP(Table8[[#This Row],[Mã khách hàng]],code_khach_hang[],3,0)</f>
        <v>Miền Trung đặc biệt 1</v>
      </c>
      <c r="H3449" t="str">
        <f>VLOOKUP(Table8[[#This Row],[Mã khách hàng]],'Khách hàng'!A:D,4,0)</f>
        <v>Food Đức Việt</v>
      </c>
      <c r="I3449" t="str">
        <f>VLOOKUP(Table8[[#This Row],[Mã khách hàng]],'Khách hàng'!A:E,5,0)</f>
        <v>DNTG100</v>
      </c>
    </row>
    <row r="3450" spans="1:9">
      <c r="A3450" s="14">
        <v>5236</v>
      </c>
      <c r="B3450" s="15" t="s">
        <v>5</v>
      </c>
      <c r="C3450" s="16" t="s">
        <v>12122</v>
      </c>
      <c r="D3450" s="21" t="s">
        <v>12123</v>
      </c>
      <c r="E3450" s="15" t="s">
        <v>11442</v>
      </c>
      <c r="F3450" s="22" t="str">
        <f>VLOOKUP(Table8[[#This Row],[Mã khách hàng]],code_khach_hang[],2,0)</f>
        <v>CHI NHÁNH ĐÀ NẴNG - CÔNG TY CỔ PHẦN DỊCH VỤ THƯƠNG MẠI TỔNG HỢP WINCOMMERCE</v>
      </c>
      <c r="G3450" s="16" t="str">
        <f>VLOOKUP(Table8[[#This Row],[Mã khách hàng]],code_khach_hang[],3,0)</f>
        <v>Miền Trung đặc biệt 1</v>
      </c>
      <c r="H3450" t="str">
        <f>VLOOKUP(Table8[[#This Row],[Mã khách hàng]],'Khách hàng'!A:D,4,0)</f>
        <v>Food Đức Việt</v>
      </c>
      <c r="I3450" t="str">
        <f>VLOOKUP(Table8[[#This Row],[Mã khách hàng]],'Khách hàng'!A:E,5,0)</f>
        <v>DNTG100</v>
      </c>
    </row>
    <row r="3451" spans="1:9">
      <c r="A3451" s="14">
        <v>5254</v>
      </c>
      <c r="B3451" s="15" t="s">
        <v>5</v>
      </c>
      <c r="C3451" s="16" t="s">
        <v>12124</v>
      </c>
      <c r="D3451" s="21" t="s">
        <v>12125</v>
      </c>
      <c r="E3451" s="15" t="s">
        <v>11442</v>
      </c>
      <c r="F3451" s="22" t="str">
        <f>VLOOKUP(Table8[[#This Row],[Mã khách hàng]],code_khach_hang[],2,0)</f>
        <v>CHI NHÁNH ĐÀ NẴNG - CÔNG TY CỔ PHẦN DỊCH VỤ THƯƠNG MẠI TỔNG HỢP WINCOMMERCE</v>
      </c>
      <c r="G3451" s="16" t="str">
        <f>VLOOKUP(Table8[[#This Row],[Mã khách hàng]],code_khach_hang[],3,0)</f>
        <v>Miền Trung đặc biệt 1</v>
      </c>
      <c r="H3451" t="str">
        <f>VLOOKUP(Table8[[#This Row],[Mã khách hàng]],'Khách hàng'!A:D,4,0)</f>
        <v>Food Đức Việt</v>
      </c>
      <c r="I3451" t="str">
        <f>VLOOKUP(Table8[[#This Row],[Mã khách hàng]],'Khách hàng'!A:E,5,0)</f>
        <v>DNTG100</v>
      </c>
    </row>
    <row r="3452" spans="1:9">
      <c r="A3452" s="14">
        <v>5258</v>
      </c>
      <c r="B3452" s="15" t="s">
        <v>5</v>
      </c>
      <c r="C3452" s="16" t="s">
        <v>12126</v>
      </c>
      <c r="D3452" s="21" t="s">
        <v>12127</v>
      </c>
      <c r="E3452" s="15" t="s">
        <v>11447</v>
      </c>
      <c r="F3452" s="22" t="str">
        <f>VLOOKUP(Table8[[#This Row],[Mã khách hàng]],code_khach_hang[],2,0)</f>
        <v>CHI NHÁNH QUẢNG TRỊ - CÔNG TY CỔ PHẦN DỊCH VỤ THƯƠNG MẠI TỔNG HỢP WINCOMMERCE</v>
      </c>
      <c r="G3452" s="16" t="str">
        <f>VLOOKUP(Table8[[#This Row],[Mã khách hàng]],code_khach_hang[],3,0)</f>
        <v>Miền Trung đặc biệt 1</v>
      </c>
      <c r="H3452" t="str">
        <f>VLOOKUP(Table8[[#This Row],[Mã khách hàng]],'Khách hàng'!A:D,4,0)</f>
        <v>Food Đức Việt</v>
      </c>
      <c r="I3452" t="str">
        <f>VLOOKUP(Table8[[#This Row],[Mã khách hàng]],'Khách hàng'!A:E,5,0)</f>
        <v>DNTG100</v>
      </c>
    </row>
    <row r="3453" spans="1:9">
      <c r="A3453" s="14">
        <v>5260</v>
      </c>
      <c r="B3453" s="15" t="s">
        <v>5</v>
      </c>
      <c r="C3453" s="16" t="s">
        <v>12128</v>
      </c>
      <c r="D3453" s="21" t="s">
        <v>12129</v>
      </c>
      <c r="E3453" s="15" t="s">
        <v>11447</v>
      </c>
      <c r="F3453" s="22" t="str">
        <f>VLOOKUP(Table8[[#This Row],[Mã khách hàng]],code_khach_hang[],2,0)</f>
        <v>CHI NHÁNH QUẢNG TRỊ - CÔNG TY CỔ PHẦN DỊCH VỤ THƯƠNG MẠI TỔNG HỢP WINCOMMERCE</v>
      </c>
      <c r="G3453" s="16" t="str">
        <f>VLOOKUP(Table8[[#This Row],[Mã khách hàng]],code_khach_hang[],3,0)</f>
        <v>Miền Trung đặc biệt 1</v>
      </c>
      <c r="H3453" t="str">
        <f>VLOOKUP(Table8[[#This Row],[Mã khách hàng]],'Khách hàng'!A:D,4,0)</f>
        <v>Food Đức Việt</v>
      </c>
      <c r="I3453" t="str">
        <f>VLOOKUP(Table8[[#This Row],[Mã khách hàng]],'Khách hàng'!A:E,5,0)</f>
        <v>DNTG100</v>
      </c>
    </row>
    <row r="3454" spans="1:9">
      <c r="A3454" s="14">
        <v>5261</v>
      </c>
      <c r="B3454" s="15" t="s">
        <v>5</v>
      </c>
      <c r="C3454" s="16" t="s">
        <v>12130</v>
      </c>
      <c r="D3454" s="21" t="s">
        <v>12131</v>
      </c>
      <c r="E3454" s="15" t="s">
        <v>11442</v>
      </c>
      <c r="F3454" s="22" t="str">
        <f>VLOOKUP(Table8[[#This Row],[Mã khách hàng]],code_khach_hang[],2,0)</f>
        <v>CHI NHÁNH ĐÀ NẴNG - CÔNG TY CỔ PHẦN DỊCH VỤ THƯƠNG MẠI TỔNG HỢP WINCOMMERCE</v>
      </c>
      <c r="G3454" s="16" t="str">
        <f>VLOOKUP(Table8[[#This Row],[Mã khách hàng]],code_khach_hang[],3,0)</f>
        <v>Miền Trung đặc biệt 1</v>
      </c>
      <c r="H3454" t="str">
        <f>VLOOKUP(Table8[[#This Row],[Mã khách hàng]],'Khách hàng'!A:D,4,0)</f>
        <v>Food Đức Việt</v>
      </c>
      <c r="I3454" t="str">
        <f>VLOOKUP(Table8[[#This Row],[Mã khách hàng]],'Khách hàng'!A:E,5,0)</f>
        <v>DNTG100</v>
      </c>
    </row>
    <row r="3455" spans="1:9">
      <c r="A3455" s="14">
        <v>5279</v>
      </c>
      <c r="B3455" s="15" t="s">
        <v>5</v>
      </c>
      <c r="C3455" s="16" t="s">
        <v>12132</v>
      </c>
      <c r="D3455" s="21" t="s">
        <v>12133</v>
      </c>
      <c r="E3455" s="15" t="s">
        <v>11450</v>
      </c>
      <c r="F3455" s="22" t="str">
        <f>VLOOKUP(Table8[[#This Row],[Mã khách hàng]],code_khach_hang[],2,0)</f>
        <v>CHI NHÁNH ĐẮK LẮK - CÔNG TY CỔ PHẦN DỊCH VỤ THƯƠNG MẠI TỔNG HỢP WINCOMMERCE</v>
      </c>
      <c r="G3455" s="16" t="str">
        <f>VLOOKUP(Table8[[#This Row],[Mã khách hàng]],code_khach_hang[],3,0)</f>
        <v>Miền Trung đặc biệt 2</v>
      </c>
      <c r="H3455" t="str">
        <f>VLOOKUP(Table8[[#This Row],[Mã khách hàng]],'Khách hàng'!A:D,4,0)</f>
        <v>Food Đức Việt</v>
      </c>
      <c r="I3455" t="str">
        <f>VLOOKUP(Table8[[#This Row],[Mã khách hàng]],'Khách hàng'!A:E,5,0)</f>
        <v>QNTV50</v>
      </c>
    </row>
    <row r="3456" spans="1:9">
      <c r="A3456" s="14">
        <v>5331</v>
      </c>
      <c r="B3456" s="15" t="s">
        <v>5</v>
      </c>
      <c r="C3456" s="16" t="s">
        <v>12134</v>
      </c>
      <c r="D3456" s="21" t="s">
        <v>12135</v>
      </c>
      <c r="E3456" s="15" t="s">
        <v>11442</v>
      </c>
      <c r="F3456" s="22" t="str">
        <f>VLOOKUP(Table8[[#This Row],[Mã khách hàng]],code_khach_hang[],2,0)</f>
        <v>CHI NHÁNH ĐÀ NẴNG - CÔNG TY CỔ PHẦN DỊCH VỤ THƯƠNG MẠI TỔNG HỢP WINCOMMERCE</v>
      </c>
      <c r="G3456" s="16" t="str">
        <f>VLOOKUP(Table8[[#This Row],[Mã khách hàng]],code_khach_hang[],3,0)</f>
        <v>Miền Trung đặc biệt 1</v>
      </c>
      <c r="H3456" t="str">
        <f>VLOOKUP(Table8[[#This Row],[Mã khách hàng]],'Khách hàng'!A:D,4,0)</f>
        <v>Food Đức Việt</v>
      </c>
      <c r="I3456" t="str">
        <f>VLOOKUP(Table8[[#This Row],[Mã khách hàng]],'Khách hàng'!A:E,5,0)</f>
        <v>DNTG100</v>
      </c>
    </row>
    <row r="3457" spans="1:9">
      <c r="A3457" s="14">
        <v>5398</v>
      </c>
      <c r="B3457" s="15" t="s">
        <v>5</v>
      </c>
      <c r="C3457" s="16" t="s">
        <v>12136</v>
      </c>
      <c r="D3457" s="21" t="s">
        <v>12137</v>
      </c>
      <c r="E3457" s="15" t="s">
        <v>11445</v>
      </c>
      <c r="F3457" s="22" t="str">
        <f>VLOOKUP(Table8[[#This Row],[Mã khách hàng]],code_khach_hang[],2,0)</f>
        <v>CHI NHÁNH THỪA THIÊN HUẾ - CÔNG TY CỔ PHẦN DỊCH VỤ THƯƠNG MẠI TỔNG HỢP WINCOMMERCE</v>
      </c>
      <c r="G3457" s="16" t="str">
        <f>VLOOKUP(Table8[[#This Row],[Mã khách hàng]],code_khach_hang[],3,0)</f>
        <v>Miền Trung đặc biệt 1</v>
      </c>
      <c r="H3457" t="str">
        <f>VLOOKUP(Table8[[#This Row],[Mã khách hàng]],'Khách hàng'!A:D,4,0)</f>
        <v>Food Đức Việt</v>
      </c>
      <c r="I3457" t="str">
        <f>VLOOKUP(Table8[[#This Row],[Mã khách hàng]],'Khách hàng'!A:E,5,0)</f>
        <v>DNTG100</v>
      </c>
    </row>
    <row r="3458" spans="1:9">
      <c r="A3458" s="14">
        <v>5412</v>
      </c>
      <c r="B3458" s="15" t="s">
        <v>5</v>
      </c>
      <c r="C3458" s="16" t="s">
        <v>12138</v>
      </c>
      <c r="D3458" s="21" t="s">
        <v>12139</v>
      </c>
      <c r="E3458" s="15" t="s">
        <v>11442</v>
      </c>
      <c r="F3458" s="22" t="str">
        <f>VLOOKUP(Table8[[#This Row],[Mã khách hàng]],code_khach_hang[],2,0)</f>
        <v>CHI NHÁNH ĐÀ NẴNG - CÔNG TY CỔ PHẦN DỊCH VỤ THƯƠNG MẠI TỔNG HỢP WINCOMMERCE</v>
      </c>
      <c r="G3458" s="16" t="str">
        <f>VLOOKUP(Table8[[#This Row],[Mã khách hàng]],code_khach_hang[],3,0)</f>
        <v>Miền Trung đặc biệt 1</v>
      </c>
      <c r="H3458" t="str">
        <f>VLOOKUP(Table8[[#This Row],[Mã khách hàng]],'Khách hàng'!A:D,4,0)</f>
        <v>Food Đức Việt</v>
      </c>
      <c r="I3458" t="str">
        <f>VLOOKUP(Table8[[#This Row],[Mã khách hàng]],'Khách hàng'!A:E,5,0)</f>
        <v>DNTG100</v>
      </c>
    </row>
    <row r="3459" spans="1:9">
      <c r="A3459" s="14">
        <v>5421</v>
      </c>
      <c r="B3459" s="15" t="s">
        <v>5</v>
      </c>
      <c r="C3459" s="16" t="s">
        <v>12140</v>
      </c>
      <c r="D3459" s="21" t="s">
        <v>12141</v>
      </c>
      <c r="E3459" s="15" t="s">
        <v>11442</v>
      </c>
      <c r="F3459" s="22" t="str">
        <f>VLOOKUP(Table8[[#This Row],[Mã khách hàng]],code_khach_hang[],2,0)</f>
        <v>CHI NHÁNH ĐÀ NẴNG - CÔNG TY CỔ PHẦN DỊCH VỤ THƯƠNG MẠI TỔNG HỢP WINCOMMERCE</v>
      </c>
      <c r="G3459" s="16" t="str">
        <f>VLOOKUP(Table8[[#This Row],[Mã khách hàng]],code_khach_hang[],3,0)</f>
        <v>Miền Trung đặc biệt 1</v>
      </c>
      <c r="H3459" t="str">
        <f>VLOOKUP(Table8[[#This Row],[Mã khách hàng]],'Khách hàng'!A:D,4,0)</f>
        <v>Food Đức Việt</v>
      </c>
      <c r="I3459" t="str">
        <f>VLOOKUP(Table8[[#This Row],[Mã khách hàng]],'Khách hàng'!A:E,5,0)</f>
        <v>DNTG100</v>
      </c>
    </row>
    <row r="3460" spans="1:9">
      <c r="A3460" s="14">
        <v>5424</v>
      </c>
      <c r="B3460" s="15" t="s">
        <v>5</v>
      </c>
      <c r="C3460" s="16" t="s">
        <v>12142</v>
      </c>
      <c r="D3460" s="21" t="s">
        <v>12143</v>
      </c>
      <c r="E3460" s="15" t="s">
        <v>11450</v>
      </c>
      <c r="F3460" s="22" t="str">
        <f>VLOOKUP(Table8[[#This Row],[Mã khách hàng]],code_khach_hang[],2,0)</f>
        <v>CHI NHÁNH ĐẮK LẮK - CÔNG TY CỔ PHẦN DỊCH VỤ THƯƠNG MẠI TỔNG HỢP WINCOMMERCE</v>
      </c>
      <c r="G3460" s="16" t="str">
        <f>VLOOKUP(Table8[[#This Row],[Mã khách hàng]],code_khach_hang[],3,0)</f>
        <v>Miền Trung đặc biệt 2</v>
      </c>
      <c r="H3460" t="str">
        <f>VLOOKUP(Table8[[#This Row],[Mã khách hàng]],'Khách hàng'!A:D,4,0)</f>
        <v>Food Đức Việt</v>
      </c>
      <c r="I3460" t="str">
        <f>VLOOKUP(Table8[[#This Row],[Mã khách hàng]],'Khách hàng'!A:E,5,0)</f>
        <v>QNTV50</v>
      </c>
    </row>
    <row r="3461" spans="1:9">
      <c r="A3461" s="14">
        <v>5458</v>
      </c>
      <c r="B3461" s="15" t="s">
        <v>5</v>
      </c>
      <c r="C3461" s="16" t="s">
        <v>12144</v>
      </c>
      <c r="D3461" s="21" t="s">
        <v>12145</v>
      </c>
      <c r="E3461" s="15" t="s">
        <v>11442</v>
      </c>
      <c r="F3461" s="22" t="str">
        <f>VLOOKUP(Table8[[#This Row],[Mã khách hàng]],code_khach_hang[],2,0)</f>
        <v>CHI NHÁNH ĐÀ NẴNG - CÔNG TY CỔ PHẦN DỊCH VỤ THƯƠNG MẠI TỔNG HỢP WINCOMMERCE</v>
      </c>
      <c r="G3461" s="16" t="str">
        <f>VLOOKUP(Table8[[#This Row],[Mã khách hàng]],code_khach_hang[],3,0)</f>
        <v>Miền Trung đặc biệt 1</v>
      </c>
      <c r="H3461" t="str">
        <f>VLOOKUP(Table8[[#This Row],[Mã khách hàng]],'Khách hàng'!A:D,4,0)</f>
        <v>Food Đức Việt</v>
      </c>
      <c r="I3461" t="str">
        <f>VLOOKUP(Table8[[#This Row],[Mã khách hàng]],'Khách hàng'!A:E,5,0)</f>
        <v>DNTG100</v>
      </c>
    </row>
    <row r="3462" spans="1:9">
      <c r="A3462" s="14">
        <v>5527</v>
      </c>
      <c r="B3462" s="15" t="s">
        <v>5</v>
      </c>
      <c r="C3462" s="16" t="s">
        <v>12146</v>
      </c>
      <c r="D3462" s="21" t="s">
        <v>12147</v>
      </c>
      <c r="E3462" s="15" t="s">
        <v>11445</v>
      </c>
      <c r="F3462" s="22" t="str">
        <f>VLOOKUP(Table8[[#This Row],[Mã khách hàng]],code_khach_hang[],2,0)</f>
        <v>CHI NHÁNH THỪA THIÊN HUẾ - CÔNG TY CỔ PHẦN DỊCH VỤ THƯƠNG MẠI TỔNG HỢP WINCOMMERCE</v>
      </c>
      <c r="G3462" s="16" t="str">
        <f>VLOOKUP(Table8[[#This Row],[Mã khách hàng]],code_khach_hang[],3,0)</f>
        <v>Miền Trung đặc biệt 1</v>
      </c>
      <c r="H3462" t="str">
        <f>VLOOKUP(Table8[[#This Row],[Mã khách hàng]],'Khách hàng'!A:D,4,0)</f>
        <v>Food Đức Việt</v>
      </c>
      <c r="I3462" t="str">
        <f>VLOOKUP(Table8[[#This Row],[Mã khách hàng]],'Khách hàng'!A:E,5,0)</f>
        <v>DNTG100</v>
      </c>
    </row>
    <row r="3463" spans="1:9">
      <c r="A3463" s="14">
        <v>5627</v>
      </c>
      <c r="B3463" s="15" t="s">
        <v>5</v>
      </c>
      <c r="C3463" s="16" t="s">
        <v>12148</v>
      </c>
      <c r="D3463" s="21" t="s">
        <v>12149</v>
      </c>
      <c r="E3463" s="15" t="s">
        <v>11442</v>
      </c>
      <c r="F3463" s="22" t="str">
        <f>VLOOKUP(Table8[[#This Row],[Mã khách hàng]],code_khach_hang[],2,0)</f>
        <v>CHI NHÁNH ĐÀ NẴNG - CÔNG TY CỔ PHẦN DỊCH VỤ THƯƠNG MẠI TỔNG HỢP WINCOMMERCE</v>
      </c>
      <c r="G3463" s="16" t="str">
        <f>VLOOKUP(Table8[[#This Row],[Mã khách hàng]],code_khach_hang[],3,0)</f>
        <v>Miền Trung đặc biệt 1</v>
      </c>
      <c r="H3463" t="str">
        <f>VLOOKUP(Table8[[#This Row],[Mã khách hàng]],'Khách hàng'!A:D,4,0)</f>
        <v>Food Đức Việt</v>
      </c>
      <c r="I3463" t="str">
        <f>VLOOKUP(Table8[[#This Row],[Mã khách hàng]],'Khách hàng'!A:E,5,0)</f>
        <v>DNTG100</v>
      </c>
    </row>
    <row r="3464" spans="1:9">
      <c r="A3464" s="14">
        <v>5639</v>
      </c>
      <c r="B3464" s="15" t="s">
        <v>5</v>
      </c>
      <c r="C3464" s="16" t="s">
        <v>12150</v>
      </c>
      <c r="D3464" s="21" t="s">
        <v>12151</v>
      </c>
      <c r="E3464" s="15" t="s">
        <v>11442</v>
      </c>
      <c r="F3464" s="22" t="str">
        <f>VLOOKUP(Table8[[#This Row],[Mã khách hàng]],code_khach_hang[],2,0)</f>
        <v>CHI NHÁNH ĐÀ NẴNG - CÔNG TY CỔ PHẦN DỊCH VỤ THƯƠNG MẠI TỔNG HỢP WINCOMMERCE</v>
      </c>
      <c r="G3464" s="16" t="str">
        <f>VLOOKUP(Table8[[#This Row],[Mã khách hàng]],code_khach_hang[],3,0)</f>
        <v>Miền Trung đặc biệt 1</v>
      </c>
      <c r="H3464" t="str">
        <f>VLOOKUP(Table8[[#This Row],[Mã khách hàng]],'Khách hàng'!A:D,4,0)</f>
        <v>Food Đức Việt</v>
      </c>
      <c r="I3464" t="str">
        <f>VLOOKUP(Table8[[#This Row],[Mã khách hàng]],'Khách hàng'!A:E,5,0)</f>
        <v>DNTG100</v>
      </c>
    </row>
    <row r="3465" spans="1:9">
      <c r="A3465" s="14">
        <v>5641</v>
      </c>
      <c r="B3465" s="15" t="s">
        <v>5</v>
      </c>
      <c r="C3465" s="16" t="s">
        <v>12152</v>
      </c>
      <c r="D3465" s="21" t="s">
        <v>12153</v>
      </c>
      <c r="E3465" s="15" t="s">
        <v>11442</v>
      </c>
      <c r="F3465" s="22" t="str">
        <f>VLOOKUP(Table8[[#This Row],[Mã khách hàng]],code_khach_hang[],2,0)</f>
        <v>CHI NHÁNH ĐÀ NẴNG - CÔNG TY CỔ PHẦN DỊCH VỤ THƯƠNG MẠI TỔNG HỢP WINCOMMERCE</v>
      </c>
      <c r="G3465" s="16" t="str">
        <f>VLOOKUP(Table8[[#This Row],[Mã khách hàng]],code_khach_hang[],3,0)</f>
        <v>Miền Trung đặc biệt 1</v>
      </c>
      <c r="H3465" t="str">
        <f>VLOOKUP(Table8[[#This Row],[Mã khách hàng]],'Khách hàng'!A:D,4,0)</f>
        <v>Food Đức Việt</v>
      </c>
      <c r="I3465" t="str">
        <f>VLOOKUP(Table8[[#This Row],[Mã khách hàng]],'Khách hàng'!A:E,5,0)</f>
        <v>DNTG100</v>
      </c>
    </row>
    <row r="3466" spans="1:9">
      <c r="A3466" s="14">
        <v>5645</v>
      </c>
      <c r="B3466" s="15" t="s">
        <v>5</v>
      </c>
      <c r="C3466" s="16" t="s">
        <v>12154</v>
      </c>
      <c r="D3466" s="21" t="s">
        <v>12155</v>
      </c>
      <c r="E3466" s="15" t="s">
        <v>11442</v>
      </c>
      <c r="F3466" s="22" t="str">
        <f>VLOOKUP(Table8[[#This Row],[Mã khách hàng]],code_khach_hang[],2,0)</f>
        <v>CHI NHÁNH ĐÀ NẴNG - CÔNG TY CỔ PHẦN DỊCH VỤ THƯƠNG MẠI TỔNG HỢP WINCOMMERCE</v>
      </c>
      <c r="G3466" s="16" t="str">
        <f>VLOOKUP(Table8[[#This Row],[Mã khách hàng]],code_khach_hang[],3,0)</f>
        <v>Miền Trung đặc biệt 1</v>
      </c>
      <c r="H3466" t="str">
        <f>VLOOKUP(Table8[[#This Row],[Mã khách hàng]],'Khách hàng'!A:D,4,0)</f>
        <v>Food Đức Việt</v>
      </c>
      <c r="I3466" t="str">
        <f>VLOOKUP(Table8[[#This Row],[Mã khách hàng]],'Khách hàng'!A:E,5,0)</f>
        <v>DNTG100</v>
      </c>
    </row>
    <row r="3467" spans="1:9">
      <c r="A3467" s="14">
        <v>5649</v>
      </c>
      <c r="B3467" s="15" t="s">
        <v>5</v>
      </c>
      <c r="C3467" s="16" t="s">
        <v>12156</v>
      </c>
      <c r="D3467" s="21" t="s">
        <v>12157</v>
      </c>
      <c r="E3467" s="15" t="s">
        <v>11442</v>
      </c>
      <c r="F3467" s="22" t="str">
        <f>VLOOKUP(Table8[[#This Row],[Mã khách hàng]],code_khach_hang[],2,0)</f>
        <v>CHI NHÁNH ĐÀ NẴNG - CÔNG TY CỔ PHẦN DỊCH VỤ THƯƠNG MẠI TỔNG HỢP WINCOMMERCE</v>
      </c>
      <c r="G3467" s="16" t="str">
        <f>VLOOKUP(Table8[[#This Row],[Mã khách hàng]],code_khach_hang[],3,0)</f>
        <v>Miền Trung đặc biệt 1</v>
      </c>
      <c r="H3467" t="str">
        <f>VLOOKUP(Table8[[#This Row],[Mã khách hàng]],'Khách hàng'!A:D,4,0)</f>
        <v>Food Đức Việt</v>
      </c>
      <c r="I3467" t="str">
        <f>VLOOKUP(Table8[[#This Row],[Mã khách hàng]],'Khách hàng'!A:E,5,0)</f>
        <v>DNTG100</v>
      </c>
    </row>
    <row r="3468" spans="1:9">
      <c r="A3468" s="14">
        <v>5769</v>
      </c>
      <c r="B3468" s="15" t="s">
        <v>5</v>
      </c>
      <c r="C3468" s="16" t="s">
        <v>12158</v>
      </c>
      <c r="D3468" s="21" t="s">
        <v>12159</v>
      </c>
      <c r="E3468" s="15" t="s">
        <v>11442</v>
      </c>
      <c r="F3468" s="22" t="str">
        <f>VLOOKUP(Table8[[#This Row],[Mã khách hàng]],code_khach_hang[],2,0)</f>
        <v>CHI NHÁNH ĐÀ NẴNG - CÔNG TY CỔ PHẦN DỊCH VỤ THƯƠNG MẠI TỔNG HỢP WINCOMMERCE</v>
      </c>
      <c r="G3468" s="16" t="str">
        <f>VLOOKUP(Table8[[#This Row],[Mã khách hàng]],code_khach_hang[],3,0)</f>
        <v>Miền Trung đặc biệt 1</v>
      </c>
      <c r="H3468" t="str">
        <f>VLOOKUP(Table8[[#This Row],[Mã khách hàng]],'Khách hàng'!A:D,4,0)</f>
        <v>Food Đức Việt</v>
      </c>
      <c r="I3468" t="str">
        <f>VLOOKUP(Table8[[#This Row],[Mã khách hàng]],'Khách hàng'!A:E,5,0)</f>
        <v>DNTG100</v>
      </c>
    </row>
    <row r="3469" spans="1:9">
      <c r="A3469" s="14">
        <v>5780</v>
      </c>
      <c r="B3469" s="15" t="s">
        <v>5</v>
      </c>
      <c r="C3469" s="16" t="s">
        <v>12160</v>
      </c>
      <c r="D3469" s="21" t="s">
        <v>12161</v>
      </c>
      <c r="E3469" s="15" t="s">
        <v>11442</v>
      </c>
      <c r="F3469" s="22" t="str">
        <f>VLOOKUP(Table8[[#This Row],[Mã khách hàng]],code_khach_hang[],2,0)</f>
        <v>CHI NHÁNH ĐÀ NẴNG - CÔNG TY CỔ PHẦN DỊCH VỤ THƯƠNG MẠI TỔNG HỢP WINCOMMERCE</v>
      </c>
      <c r="G3469" s="16" t="str">
        <f>VLOOKUP(Table8[[#This Row],[Mã khách hàng]],code_khach_hang[],3,0)</f>
        <v>Miền Trung đặc biệt 1</v>
      </c>
      <c r="H3469" t="str">
        <f>VLOOKUP(Table8[[#This Row],[Mã khách hàng]],'Khách hàng'!A:D,4,0)</f>
        <v>Food Đức Việt</v>
      </c>
      <c r="I3469" t="str">
        <f>VLOOKUP(Table8[[#This Row],[Mã khách hàng]],'Khách hàng'!A:E,5,0)</f>
        <v>DNTG100</v>
      </c>
    </row>
    <row r="3470" spans="1:9">
      <c r="A3470" s="14">
        <v>5783</v>
      </c>
      <c r="B3470" s="15" t="s">
        <v>5</v>
      </c>
      <c r="C3470" s="16" t="s">
        <v>12162</v>
      </c>
      <c r="D3470" s="21" t="s">
        <v>12163</v>
      </c>
      <c r="E3470" s="15" t="s">
        <v>11442</v>
      </c>
      <c r="F3470" s="22" t="str">
        <f>VLOOKUP(Table8[[#This Row],[Mã khách hàng]],code_khach_hang[],2,0)</f>
        <v>CHI NHÁNH ĐÀ NẴNG - CÔNG TY CỔ PHẦN DỊCH VỤ THƯƠNG MẠI TỔNG HỢP WINCOMMERCE</v>
      </c>
      <c r="G3470" s="16" t="str">
        <f>VLOOKUP(Table8[[#This Row],[Mã khách hàng]],code_khach_hang[],3,0)</f>
        <v>Miền Trung đặc biệt 1</v>
      </c>
      <c r="H3470" t="str">
        <f>VLOOKUP(Table8[[#This Row],[Mã khách hàng]],'Khách hàng'!A:D,4,0)</f>
        <v>Food Đức Việt</v>
      </c>
      <c r="I3470" t="str">
        <f>VLOOKUP(Table8[[#This Row],[Mã khách hàng]],'Khách hàng'!A:E,5,0)</f>
        <v>DNTG100</v>
      </c>
    </row>
    <row r="3471" spans="1:9">
      <c r="A3471" s="14">
        <v>5834</v>
      </c>
      <c r="B3471" s="15" t="s">
        <v>5</v>
      </c>
      <c r="C3471" s="16" t="s">
        <v>12164</v>
      </c>
      <c r="D3471" s="21" t="s">
        <v>12165</v>
      </c>
      <c r="E3471" s="15" t="s">
        <v>11442</v>
      </c>
      <c r="F3471" s="22" t="str">
        <f>VLOOKUP(Table8[[#This Row],[Mã khách hàng]],code_khach_hang[],2,0)</f>
        <v>CHI NHÁNH ĐÀ NẴNG - CÔNG TY CỔ PHẦN DỊCH VỤ THƯƠNG MẠI TỔNG HỢP WINCOMMERCE</v>
      </c>
      <c r="G3471" s="16" t="str">
        <f>VLOOKUP(Table8[[#This Row],[Mã khách hàng]],code_khach_hang[],3,0)</f>
        <v>Miền Trung đặc biệt 1</v>
      </c>
      <c r="H3471" t="str">
        <f>VLOOKUP(Table8[[#This Row],[Mã khách hàng]],'Khách hàng'!A:D,4,0)</f>
        <v>Food Đức Việt</v>
      </c>
      <c r="I3471" t="str">
        <f>VLOOKUP(Table8[[#This Row],[Mã khách hàng]],'Khách hàng'!A:E,5,0)</f>
        <v>DNTG100</v>
      </c>
    </row>
    <row r="3472" spans="1:9">
      <c r="A3472" s="14">
        <v>5860</v>
      </c>
      <c r="B3472" s="15" t="s">
        <v>5</v>
      </c>
      <c r="C3472" s="16" t="s">
        <v>12166</v>
      </c>
      <c r="D3472" s="21" t="s">
        <v>12167</v>
      </c>
      <c r="E3472" s="15" t="s">
        <v>11444</v>
      </c>
      <c r="F3472" s="22" t="str">
        <f>VLOOKUP(Table8[[#This Row],[Mã khách hàng]],code_khach_hang[],2,0)</f>
        <v>CHI NHÁNH QUẢNG NAM - CÔNG TY CỔ PHẦN DỊCH VỤ THƯƠNG MẠI TỔNG HỢP WINCOMMERCE</v>
      </c>
      <c r="G3472" s="16" t="str">
        <f>VLOOKUP(Table8[[#This Row],[Mã khách hàng]],code_khach_hang[],3,0)</f>
        <v>Miền Trung đặc biệt 1</v>
      </c>
      <c r="H3472" t="str">
        <f>VLOOKUP(Table8[[#This Row],[Mã khách hàng]],'Khách hàng'!A:D,4,0)</f>
        <v>Food Đức Việt</v>
      </c>
      <c r="I3472" t="str">
        <f>VLOOKUP(Table8[[#This Row],[Mã khách hàng]],'Khách hàng'!A:E,5,0)</f>
        <v>DNTG100</v>
      </c>
    </row>
    <row r="3473" spans="1:9">
      <c r="A3473" s="14">
        <v>5864</v>
      </c>
      <c r="B3473" s="15" t="s">
        <v>5</v>
      </c>
      <c r="C3473" s="16" t="s">
        <v>12168</v>
      </c>
      <c r="D3473" s="21" t="s">
        <v>12169</v>
      </c>
      <c r="E3473" s="15" t="s">
        <v>11442</v>
      </c>
      <c r="F3473" s="22" t="str">
        <f>VLOOKUP(Table8[[#This Row],[Mã khách hàng]],code_khach_hang[],2,0)</f>
        <v>CHI NHÁNH ĐÀ NẴNG - CÔNG TY CỔ PHẦN DỊCH VỤ THƯƠNG MẠI TỔNG HỢP WINCOMMERCE</v>
      </c>
      <c r="G3473" s="16" t="str">
        <f>VLOOKUP(Table8[[#This Row],[Mã khách hàng]],code_khach_hang[],3,0)</f>
        <v>Miền Trung đặc biệt 1</v>
      </c>
      <c r="H3473" t="str">
        <f>VLOOKUP(Table8[[#This Row],[Mã khách hàng]],'Khách hàng'!A:D,4,0)</f>
        <v>Food Đức Việt</v>
      </c>
      <c r="I3473" t="str">
        <f>VLOOKUP(Table8[[#This Row],[Mã khách hàng]],'Khách hàng'!A:E,5,0)</f>
        <v>DNTG100</v>
      </c>
    </row>
    <row r="3474" spans="1:9">
      <c r="A3474" s="14">
        <v>5883</v>
      </c>
      <c r="B3474" s="15" t="s">
        <v>5</v>
      </c>
      <c r="C3474" s="16" t="s">
        <v>12170</v>
      </c>
      <c r="D3474" s="21" t="s">
        <v>12171</v>
      </c>
      <c r="E3474" s="15" t="s">
        <v>11446</v>
      </c>
      <c r="F3474" s="22" t="str">
        <f>VLOOKUP(Table8[[#This Row],[Mã khách hàng]],code_khach_hang[],2,0)</f>
        <v>CHI NHÁNH GIA LAI - CÔNG TY CỔ PHẦN DỊCH VỤ THƯƠNG MẠI TỔNG HỢP WINCOMMERCE</v>
      </c>
      <c r="G3474" s="16" t="str">
        <f>VLOOKUP(Table8[[#This Row],[Mã khách hàng]],code_khach_hang[],3,0)</f>
        <v>Miền Bắc đặc biệt 2</v>
      </c>
      <c r="H3474" t="str">
        <f>VLOOKUP(Table8[[#This Row],[Mã khách hàng]],'Khách hàng'!A:D,4,0)</f>
        <v>Food Đức Việt</v>
      </c>
      <c r="I3474" t="str">
        <f>VLOOKUP(Table8[[#This Row],[Mã khách hàng]],'Khách hàng'!A:E,5,0)</f>
        <v>QNTV50</v>
      </c>
    </row>
    <row r="3475" spans="1:9">
      <c r="A3475" s="14">
        <v>5893</v>
      </c>
      <c r="B3475" s="15" t="s">
        <v>5</v>
      </c>
      <c r="C3475" s="16" t="s">
        <v>12172</v>
      </c>
      <c r="D3475" s="21" t="s">
        <v>12173</v>
      </c>
      <c r="E3475" s="15" t="s">
        <v>11445</v>
      </c>
      <c r="F3475" s="22" t="str">
        <f>VLOOKUP(Table8[[#This Row],[Mã khách hàng]],code_khach_hang[],2,0)</f>
        <v>CHI NHÁNH THỪA THIÊN HUẾ - CÔNG TY CỔ PHẦN DỊCH VỤ THƯƠNG MẠI TỔNG HỢP WINCOMMERCE</v>
      </c>
      <c r="G3475" s="16" t="str">
        <f>VLOOKUP(Table8[[#This Row],[Mã khách hàng]],code_khach_hang[],3,0)</f>
        <v>Miền Trung đặc biệt 1</v>
      </c>
      <c r="H3475" t="str">
        <f>VLOOKUP(Table8[[#This Row],[Mã khách hàng]],'Khách hàng'!A:D,4,0)</f>
        <v>Food Đức Việt</v>
      </c>
      <c r="I3475" t="str">
        <f>VLOOKUP(Table8[[#This Row],[Mã khách hàng]],'Khách hàng'!A:E,5,0)</f>
        <v>DNTG100</v>
      </c>
    </row>
    <row r="3476" spans="1:9">
      <c r="A3476" s="14">
        <v>5902</v>
      </c>
      <c r="B3476" s="15" t="s">
        <v>5</v>
      </c>
      <c r="C3476" s="16" t="s">
        <v>12174</v>
      </c>
      <c r="D3476" s="21" t="s">
        <v>12175</v>
      </c>
      <c r="E3476" s="15" t="s">
        <v>11443</v>
      </c>
      <c r="F3476" s="22" t="str">
        <f>VLOOKUP(Table8[[#This Row],[Mã khách hàng]],code_khach_hang[],2,0)</f>
        <v>CHI NHÁNH KHÁNH HÒA - CÔNG TY CỔ PHẦN DỊCH VỤ THƯƠNG MẠI TỔNG HỢP WINCOMMERCE</v>
      </c>
      <c r="G3476" s="16" t="str">
        <f>VLOOKUP(Table8[[#This Row],[Mã khách hàng]],code_khach_hang[],3,0)</f>
        <v>Miền Trung đặc biệt 2</v>
      </c>
      <c r="H3476" t="str">
        <f>VLOOKUP(Table8[[#This Row],[Mã khách hàng]],'Khách hàng'!A:D,4,0)</f>
        <v>Food Đức Việt</v>
      </c>
      <c r="I3476" t="str">
        <f>VLOOKUP(Table8[[#This Row],[Mã khách hàng]],'Khách hàng'!A:E,5,0)</f>
        <v>QNTV50</v>
      </c>
    </row>
    <row r="3477" spans="1:9">
      <c r="A3477" s="14">
        <v>5962</v>
      </c>
      <c r="B3477" s="15" t="s">
        <v>5</v>
      </c>
      <c r="C3477" s="16" t="s">
        <v>12176</v>
      </c>
      <c r="D3477" s="21" t="s">
        <v>12177</v>
      </c>
      <c r="E3477" s="15" t="s">
        <v>11442</v>
      </c>
      <c r="F3477" s="22" t="str">
        <f>VLOOKUP(Table8[[#This Row],[Mã khách hàng]],code_khach_hang[],2,0)</f>
        <v>CHI NHÁNH ĐÀ NẴNG - CÔNG TY CỔ PHẦN DỊCH VỤ THƯƠNG MẠI TỔNG HỢP WINCOMMERCE</v>
      </c>
      <c r="G3477" s="16" t="str">
        <f>VLOOKUP(Table8[[#This Row],[Mã khách hàng]],code_khach_hang[],3,0)</f>
        <v>Miền Trung đặc biệt 1</v>
      </c>
      <c r="H3477" t="str">
        <f>VLOOKUP(Table8[[#This Row],[Mã khách hàng]],'Khách hàng'!A:D,4,0)</f>
        <v>Food Đức Việt</v>
      </c>
      <c r="I3477" t="str">
        <f>VLOOKUP(Table8[[#This Row],[Mã khách hàng]],'Khách hàng'!A:E,5,0)</f>
        <v>DNTG100</v>
      </c>
    </row>
    <row r="3478" spans="1:9">
      <c r="A3478" s="14">
        <v>5975</v>
      </c>
      <c r="B3478" s="15" t="s">
        <v>5</v>
      </c>
      <c r="C3478" s="16" t="s">
        <v>12178</v>
      </c>
      <c r="D3478" s="21" t="s">
        <v>12179</v>
      </c>
      <c r="E3478" s="15" t="s">
        <v>11442</v>
      </c>
      <c r="F3478" s="22" t="str">
        <f>VLOOKUP(Table8[[#This Row],[Mã khách hàng]],code_khach_hang[],2,0)</f>
        <v>CHI NHÁNH ĐÀ NẴNG - CÔNG TY CỔ PHẦN DỊCH VỤ THƯƠNG MẠI TỔNG HỢP WINCOMMERCE</v>
      </c>
      <c r="G3478" s="16" t="str">
        <f>VLOOKUP(Table8[[#This Row],[Mã khách hàng]],code_khach_hang[],3,0)</f>
        <v>Miền Trung đặc biệt 1</v>
      </c>
      <c r="H3478" t="str">
        <f>VLOOKUP(Table8[[#This Row],[Mã khách hàng]],'Khách hàng'!A:D,4,0)</f>
        <v>Food Đức Việt</v>
      </c>
      <c r="I3478" t="str">
        <f>VLOOKUP(Table8[[#This Row],[Mã khách hàng]],'Khách hàng'!A:E,5,0)</f>
        <v>DNTG100</v>
      </c>
    </row>
    <row r="3479" spans="1:9">
      <c r="A3479" s="14">
        <v>6005</v>
      </c>
      <c r="B3479" s="15" t="s">
        <v>5</v>
      </c>
      <c r="C3479" s="16" t="s">
        <v>12180</v>
      </c>
      <c r="D3479" s="21" t="s">
        <v>12181</v>
      </c>
      <c r="E3479" s="15" t="s">
        <v>11443</v>
      </c>
      <c r="F3479" s="22" t="str">
        <f>VLOOKUP(Table8[[#This Row],[Mã khách hàng]],code_khach_hang[],2,0)</f>
        <v>CHI NHÁNH KHÁNH HÒA - CÔNG TY CỔ PHẦN DỊCH VỤ THƯƠNG MẠI TỔNG HỢP WINCOMMERCE</v>
      </c>
      <c r="G3479" s="16" t="str">
        <f>VLOOKUP(Table8[[#This Row],[Mã khách hàng]],code_khach_hang[],3,0)</f>
        <v>Miền Trung đặc biệt 2</v>
      </c>
      <c r="H3479" t="str">
        <f>VLOOKUP(Table8[[#This Row],[Mã khách hàng]],'Khách hàng'!A:D,4,0)</f>
        <v>Food Đức Việt</v>
      </c>
      <c r="I3479" t="str">
        <f>VLOOKUP(Table8[[#This Row],[Mã khách hàng]],'Khách hàng'!A:E,5,0)</f>
        <v>QNTV50</v>
      </c>
    </row>
    <row r="3480" spans="1:9">
      <c r="A3480" s="14">
        <v>6098</v>
      </c>
      <c r="B3480" s="15" t="s">
        <v>5</v>
      </c>
      <c r="C3480" s="16" t="s">
        <v>12182</v>
      </c>
      <c r="D3480" s="21" t="s">
        <v>12183</v>
      </c>
      <c r="E3480" s="15" t="s">
        <v>11442</v>
      </c>
      <c r="F3480" s="22" t="str">
        <f>VLOOKUP(Table8[[#This Row],[Mã khách hàng]],code_khach_hang[],2,0)</f>
        <v>CHI NHÁNH ĐÀ NẴNG - CÔNG TY CỔ PHẦN DỊCH VỤ THƯƠNG MẠI TỔNG HỢP WINCOMMERCE</v>
      </c>
      <c r="G3480" s="16" t="str">
        <f>VLOOKUP(Table8[[#This Row],[Mã khách hàng]],code_khach_hang[],3,0)</f>
        <v>Miền Trung đặc biệt 1</v>
      </c>
      <c r="H3480" t="str">
        <f>VLOOKUP(Table8[[#This Row],[Mã khách hàng]],'Khách hàng'!A:D,4,0)</f>
        <v>Food Đức Việt</v>
      </c>
      <c r="I3480" t="str">
        <f>VLOOKUP(Table8[[#This Row],[Mã khách hàng]],'Khách hàng'!A:E,5,0)</f>
        <v>DNTG100</v>
      </c>
    </row>
    <row r="3481" spans="1:9">
      <c r="A3481" s="14">
        <v>6170</v>
      </c>
      <c r="B3481" s="15" t="s">
        <v>5</v>
      </c>
      <c r="C3481" s="16" t="s">
        <v>12184</v>
      </c>
      <c r="D3481" s="21" t="s">
        <v>12185</v>
      </c>
      <c r="E3481" s="15" t="s">
        <v>11446</v>
      </c>
      <c r="F3481" s="22" t="str">
        <f>VLOOKUP(Table8[[#This Row],[Mã khách hàng]],code_khach_hang[],2,0)</f>
        <v>CHI NHÁNH GIA LAI - CÔNG TY CỔ PHẦN DỊCH VỤ THƯƠNG MẠI TỔNG HỢP WINCOMMERCE</v>
      </c>
      <c r="G3481" s="16" t="str">
        <f>VLOOKUP(Table8[[#This Row],[Mã khách hàng]],code_khach_hang[],3,0)</f>
        <v>Miền Bắc đặc biệt 2</v>
      </c>
      <c r="H3481" t="str">
        <f>VLOOKUP(Table8[[#This Row],[Mã khách hàng]],'Khách hàng'!A:D,4,0)</f>
        <v>Food Đức Việt</v>
      </c>
      <c r="I3481" t="str">
        <f>VLOOKUP(Table8[[#This Row],[Mã khách hàng]],'Khách hàng'!A:E,5,0)</f>
        <v>QNTV50</v>
      </c>
    </row>
    <row r="3482" spans="1:9">
      <c r="A3482" s="14">
        <v>6193</v>
      </c>
      <c r="B3482" s="15" t="s">
        <v>5</v>
      </c>
      <c r="C3482" s="16" t="s">
        <v>12186</v>
      </c>
      <c r="D3482" s="21" t="s">
        <v>12187</v>
      </c>
      <c r="E3482" s="15" t="s">
        <v>11447</v>
      </c>
      <c r="F3482" s="22" t="str">
        <f>VLOOKUP(Table8[[#This Row],[Mã khách hàng]],code_khach_hang[],2,0)</f>
        <v>CHI NHÁNH QUẢNG TRỊ - CÔNG TY CỔ PHẦN DỊCH VỤ THƯƠNG MẠI TỔNG HỢP WINCOMMERCE</v>
      </c>
      <c r="G3482" s="16" t="str">
        <f>VLOOKUP(Table8[[#This Row],[Mã khách hàng]],code_khach_hang[],3,0)</f>
        <v>Miền Trung đặc biệt 1</v>
      </c>
      <c r="H3482" t="str">
        <f>VLOOKUP(Table8[[#This Row],[Mã khách hàng]],'Khách hàng'!A:D,4,0)</f>
        <v>Food Đức Việt</v>
      </c>
      <c r="I3482" t="str">
        <f>VLOOKUP(Table8[[#This Row],[Mã khách hàng]],'Khách hàng'!A:E,5,0)</f>
        <v>DNTG100</v>
      </c>
    </row>
    <row r="3483" spans="1:9">
      <c r="A3483" s="14">
        <v>6198</v>
      </c>
      <c r="B3483" s="15" t="s">
        <v>5</v>
      </c>
      <c r="C3483" s="16" t="s">
        <v>12188</v>
      </c>
      <c r="D3483" s="21" t="s">
        <v>12189</v>
      </c>
      <c r="E3483" s="15" t="s">
        <v>11442</v>
      </c>
      <c r="F3483" s="22" t="str">
        <f>VLOOKUP(Table8[[#This Row],[Mã khách hàng]],code_khach_hang[],2,0)</f>
        <v>CHI NHÁNH ĐÀ NẴNG - CÔNG TY CỔ PHẦN DỊCH VỤ THƯƠNG MẠI TỔNG HỢP WINCOMMERCE</v>
      </c>
      <c r="G3483" s="16" t="str">
        <f>VLOOKUP(Table8[[#This Row],[Mã khách hàng]],code_khach_hang[],3,0)</f>
        <v>Miền Trung đặc biệt 1</v>
      </c>
      <c r="H3483" t="str">
        <f>VLOOKUP(Table8[[#This Row],[Mã khách hàng]],'Khách hàng'!A:D,4,0)</f>
        <v>Food Đức Việt</v>
      </c>
      <c r="I3483" t="str">
        <f>VLOOKUP(Table8[[#This Row],[Mã khách hàng]],'Khách hàng'!A:E,5,0)</f>
        <v>DNTG100</v>
      </c>
    </row>
    <row r="3484" spans="1:9">
      <c r="A3484" s="14">
        <v>6199</v>
      </c>
      <c r="B3484" s="15" t="s">
        <v>5</v>
      </c>
      <c r="C3484" s="16" t="s">
        <v>12190</v>
      </c>
      <c r="D3484" s="21" t="s">
        <v>12191</v>
      </c>
      <c r="E3484" s="15" t="s">
        <v>11442</v>
      </c>
      <c r="F3484" s="22" t="str">
        <f>VLOOKUP(Table8[[#This Row],[Mã khách hàng]],code_khach_hang[],2,0)</f>
        <v>CHI NHÁNH ĐÀ NẴNG - CÔNG TY CỔ PHẦN DỊCH VỤ THƯƠNG MẠI TỔNG HỢP WINCOMMERCE</v>
      </c>
      <c r="G3484" s="16" t="str">
        <f>VLOOKUP(Table8[[#This Row],[Mã khách hàng]],code_khach_hang[],3,0)</f>
        <v>Miền Trung đặc biệt 1</v>
      </c>
      <c r="H3484" t="str">
        <f>VLOOKUP(Table8[[#This Row],[Mã khách hàng]],'Khách hàng'!A:D,4,0)</f>
        <v>Food Đức Việt</v>
      </c>
      <c r="I3484" t="str">
        <f>VLOOKUP(Table8[[#This Row],[Mã khách hàng]],'Khách hàng'!A:E,5,0)</f>
        <v>DNTG100</v>
      </c>
    </row>
    <row r="3485" spans="1:9">
      <c r="A3485" s="14">
        <v>6200</v>
      </c>
      <c r="B3485" s="15" t="s">
        <v>5</v>
      </c>
      <c r="C3485" s="16" t="s">
        <v>12192</v>
      </c>
      <c r="D3485" s="21" t="s">
        <v>12193</v>
      </c>
      <c r="E3485" s="15" t="s">
        <v>11447</v>
      </c>
      <c r="F3485" s="22" t="str">
        <f>VLOOKUP(Table8[[#This Row],[Mã khách hàng]],code_khach_hang[],2,0)</f>
        <v>CHI NHÁNH QUẢNG TRỊ - CÔNG TY CỔ PHẦN DỊCH VỤ THƯƠNG MẠI TỔNG HỢP WINCOMMERCE</v>
      </c>
      <c r="G3485" s="16" t="str">
        <f>VLOOKUP(Table8[[#This Row],[Mã khách hàng]],code_khach_hang[],3,0)</f>
        <v>Miền Trung đặc biệt 1</v>
      </c>
      <c r="H3485" t="str">
        <f>VLOOKUP(Table8[[#This Row],[Mã khách hàng]],'Khách hàng'!A:D,4,0)</f>
        <v>Food Đức Việt</v>
      </c>
      <c r="I3485" t="str">
        <f>VLOOKUP(Table8[[#This Row],[Mã khách hàng]],'Khách hàng'!A:E,5,0)</f>
        <v>DNTG100</v>
      </c>
    </row>
    <row r="3486" spans="1:9">
      <c r="A3486" s="14">
        <v>6268</v>
      </c>
      <c r="B3486" s="15" t="s">
        <v>5</v>
      </c>
      <c r="C3486" s="16" t="s">
        <v>12194</v>
      </c>
      <c r="D3486" s="21" t="s">
        <v>12195</v>
      </c>
      <c r="E3486" s="15" t="s">
        <v>11442</v>
      </c>
      <c r="F3486" s="22" t="str">
        <f>VLOOKUP(Table8[[#This Row],[Mã khách hàng]],code_khach_hang[],2,0)</f>
        <v>CHI NHÁNH ĐÀ NẴNG - CÔNG TY CỔ PHẦN DỊCH VỤ THƯƠNG MẠI TỔNG HỢP WINCOMMERCE</v>
      </c>
      <c r="G3486" s="16" t="str">
        <f>VLOOKUP(Table8[[#This Row],[Mã khách hàng]],code_khach_hang[],3,0)</f>
        <v>Miền Trung đặc biệt 1</v>
      </c>
      <c r="H3486" t="str">
        <f>VLOOKUP(Table8[[#This Row],[Mã khách hàng]],'Khách hàng'!A:D,4,0)</f>
        <v>Food Đức Việt</v>
      </c>
      <c r="I3486" t="str">
        <f>VLOOKUP(Table8[[#This Row],[Mã khách hàng]],'Khách hàng'!A:E,5,0)</f>
        <v>DNTG100</v>
      </c>
    </row>
    <row r="3487" spans="1:9">
      <c r="A3487" s="14">
        <v>6284</v>
      </c>
      <c r="B3487" s="15" t="s">
        <v>5</v>
      </c>
      <c r="C3487" s="16" t="s">
        <v>12196</v>
      </c>
      <c r="D3487" s="21" t="s">
        <v>12197</v>
      </c>
      <c r="E3487" s="15" t="s">
        <v>11445</v>
      </c>
      <c r="F3487" s="22" t="str">
        <f>VLOOKUP(Table8[[#This Row],[Mã khách hàng]],code_khach_hang[],2,0)</f>
        <v>CHI NHÁNH THỪA THIÊN HUẾ - CÔNG TY CỔ PHẦN DỊCH VỤ THƯƠNG MẠI TỔNG HỢP WINCOMMERCE</v>
      </c>
      <c r="G3487" s="16" t="str">
        <f>VLOOKUP(Table8[[#This Row],[Mã khách hàng]],code_khach_hang[],3,0)</f>
        <v>Miền Trung đặc biệt 1</v>
      </c>
      <c r="H3487" t="str">
        <f>VLOOKUP(Table8[[#This Row],[Mã khách hàng]],'Khách hàng'!A:D,4,0)</f>
        <v>Food Đức Việt</v>
      </c>
      <c r="I3487" t="str">
        <f>VLOOKUP(Table8[[#This Row],[Mã khách hàng]],'Khách hàng'!A:E,5,0)</f>
        <v>DNTG100</v>
      </c>
    </row>
    <row r="3488" spans="1:9">
      <c r="A3488" s="14">
        <v>6285</v>
      </c>
      <c r="B3488" s="15" t="s">
        <v>5</v>
      </c>
      <c r="C3488" s="16" t="s">
        <v>12198</v>
      </c>
      <c r="D3488" s="21" t="s">
        <v>12199</v>
      </c>
      <c r="E3488" s="15" t="s">
        <v>11447</v>
      </c>
      <c r="F3488" s="22" t="str">
        <f>VLOOKUP(Table8[[#This Row],[Mã khách hàng]],code_khach_hang[],2,0)</f>
        <v>CHI NHÁNH QUẢNG TRỊ - CÔNG TY CỔ PHẦN DỊCH VỤ THƯƠNG MẠI TỔNG HỢP WINCOMMERCE</v>
      </c>
      <c r="G3488" s="16" t="str">
        <f>VLOOKUP(Table8[[#This Row],[Mã khách hàng]],code_khach_hang[],3,0)</f>
        <v>Miền Trung đặc biệt 1</v>
      </c>
      <c r="H3488" t="str">
        <f>VLOOKUP(Table8[[#This Row],[Mã khách hàng]],'Khách hàng'!A:D,4,0)</f>
        <v>Food Đức Việt</v>
      </c>
      <c r="I3488" t="str">
        <f>VLOOKUP(Table8[[#This Row],[Mã khách hàng]],'Khách hàng'!A:E,5,0)</f>
        <v>DNTG100</v>
      </c>
    </row>
    <row r="3489" spans="1:9">
      <c r="A3489" s="14">
        <v>6286</v>
      </c>
      <c r="B3489" s="15" t="s">
        <v>5</v>
      </c>
      <c r="C3489" s="16" t="s">
        <v>12200</v>
      </c>
      <c r="D3489" s="21" t="s">
        <v>12201</v>
      </c>
      <c r="E3489" s="15" t="s">
        <v>11443</v>
      </c>
      <c r="F3489" s="22" t="str">
        <f>VLOOKUP(Table8[[#This Row],[Mã khách hàng]],code_khach_hang[],2,0)</f>
        <v>CHI NHÁNH KHÁNH HÒA - CÔNG TY CỔ PHẦN DỊCH VỤ THƯƠNG MẠI TỔNG HỢP WINCOMMERCE</v>
      </c>
      <c r="G3489" s="16" t="str">
        <f>VLOOKUP(Table8[[#This Row],[Mã khách hàng]],code_khach_hang[],3,0)</f>
        <v>Miền Trung đặc biệt 2</v>
      </c>
      <c r="H3489" t="str">
        <f>VLOOKUP(Table8[[#This Row],[Mã khách hàng]],'Khách hàng'!A:D,4,0)</f>
        <v>Food Đức Việt</v>
      </c>
      <c r="I3489" t="str">
        <f>VLOOKUP(Table8[[#This Row],[Mã khách hàng]],'Khách hàng'!A:E,5,0)</f>
        <v>QNTV50</v>
      </c>
    </row>
    <row r="3490" spans="1:9">
      <c r="A3490" s="14">
        <v>6299</v>
      </c>
      <c r="B3490" s="15" t="s">
        <v>5</v>
      </c>
      <c r="C3490" s="16" t="s">
        <v>12202</v>
      </c>
      <c r="D3490" s="21" t="s">
        <v>12203</v>
      </c>
      <c r="E3490" s="15" t="s">
        <v>11442</v>
      </c>
      <c r="F3490" s="22" t="str">
        <f>VLOOKUP(Table8[[#This Row],[Mã khách hàng]],code_khach_hang[],2,0)</f>
        <v>CHI NHÁNH ĐÀ NẴNG - CÔNG TY CỔ PHẦN DỊCH VỤ THƯƠNG MẠI TỔNG HỢP WINCOMMERCE</v>
      </c>
      <c r="G3490" s="16" t="str">
        <f>VLOOKUP(Table8[[#This Row],[Mã khách hàng]],code_khach_hang[],3,0)</f>
        <v>Miền Trung đặc biệt 1</v>
      </c>
      <c r="H3490" t="str">
        <f>VLOOKUP(Table8[[#This Row],[Mã khách hàng]],'Khách hàng'!A:D,4,0)</f>
        <v>Food Đức Việt</v>
      </c>
      <c r="I3490" t="str">
        <f>VLOOKUP(Table8[[#This Row],[Mã khách hàng]],'Khách hàng'!A:E,5,0)</f>
        <v>DNTG100</v>
      </c>
    </row>
    <row r="3491" spans="1:9">
      <c r="A3491" s="14">
        <v>6301</v>
      </c>
      <c r="B3491" s="15" t="s">
        <v>5</v>
      </c>
      <c r="C3491" s="16" t="s">
        <v>12204</v>
      </c>
      <c r="D3491" s="21" t="s">
        <v>12205</v>
      </c>
      <c r="E3491" s="15" t="s">
        <v>11442</v>
      </c>
      <c r="F3491" s="22" t="str">
        <f>VLOOKUP(Table8[[#This Row],[Mã khách hàng]],code_khach_hang[],2,0)</f>
        <v>CHI NHÁNH ĐÀ NẴNG - CÔNG TY CỔ PHẦN DỊCH VỤ THƯƠNG MẠI TỔNG HỢP WINCOMMERCE</v>
      </c>
      <c r="G3491" s="16" t="str">
        <f>VLOOKUP(Table8[[#This Row],[Mã khách hàng]],code_khach_hang[],3,0)</f>
        <v>Miền Trung đặc biệt 1</v>
      </c>
      <c r="H3491" t="str">
        <f>VLOOKUP(Table8[[#This Row],[Mã khách hàng]],'Khách hàng'!A:D,4,0)</f>
        <v>Food Đức Việt</v>
      </c>
      <c r="I3491" t="str">
        <f>VLOOKUP(Table8[[#This Row],[Mã khách hàng]],'Khách hàng'!A:E,5,0)</f>
        <v>DNTG100</v>
      </c>
    </row>
    <row r="3492" spans="1:9">
      <c r="A3492" s="14">
        <v>6344</v>
      </c>
      <c r="B3492" s="15" t="s">
        <v>5</v>
      </c>
      <c r="C3492" s="16" t="s">
        <v>12206</v>
      </c>
      <c r="D3492" s="21" t="s">
        <v>12207</v>
      </c>
      <c r="E3492" s="15" t="s">
        <v>11442</v>
      </c>
      <c r="F3492" s="22" t="str">
        <f>VLOOKUP(Table8[[#This Row],[Mã khách hàng]],code_khach_hang[],2,0)</f>
        <v>CHI NHÁNH ĐÀ NẴNG - CÔNG TY CỔ PHẦN DỊCH VỤ THƯƠNG MẠI TỔNG HỢP WINCOMMERCE</v>
      </c>
      <c r="G3492" s="16" t="str">
        <f>VLOOKUP(Table8[[#This Row],[Mã khách hàng]],code_khach_hang[],3,0)</f>
        <v>Miền Trung đặc biệt 1</v>
      </c>
      <c r="H3492" t="str">
        <f>VLOOKUP(Table8[[#This Row],[Mã khách hàng]],'Khách hàng'!A:D,4,0)</f>
        <v>Food Đức Việt</v>
      </c>
      <c r="I3492" t="str">
        <f>VLOOKUP(Table8[[#This Row],[Mã khách hàng]],'Khách hàng'!A:E,5,0)</f>
        <v>DNTG100</v>
      </c>
    </row>
    <row r="3493" spans="1:9">
      <c r="A3493" s="14">
        <v>6349</v>
      </c>
      <c r="B3493" s="15" t="s">
        <v>5</v>
      </c>
      <c r="C3493" s="16" t="s">
        <v>12208</v>
      </c>
      <c r="D3493" s="21" t="s">
        <v>12209</v>
      </c>
      <c r="E3493" s="15" t="s">
        <v>11442</v>
      </c>
      <c r="F3493" s="22" t="str">
        <f>VLOOKUP(Table8[[#This Row],[Mã khách hàng]],code_khach_hang[],2,0)</f>
        <v>CHI NHÁNH ĐÀ NẴNG - CÔNG TY CỔ PHẦN DỊCH VỤ THƯƠNG MẠI TỔNG HỢP WINCOMMERCE</v>
      </c>
      <c r="G3493" s="16" t="str">
        <f>VLOOKUP(Table8[[#This Row],[Mã khách hàng]],code_khach_hang[],3,0)</f>
        <v>Miền Trung đặc biệt 1</v>
      </c>
      <c r="H3493" t="str">
        <f>VLOOKUP(Table8[[#This Row],[Mã khách hàng]],'Khách hàng'!A:D,4,0)</f>
        <v>Food Đức Việt</v>
      </c>
      <c r="I3493" t="str">
        <f>VLOOKUP(Table8[[#This Row],[Mã khách hàng]],'Khách hàng'!A:E,5,0)</f>
        <v>DNTG100</v>
      </c>
    </row>
    <row r="3494" spans="1:9">
      <c r="A3494" s="14">
        <v>6351</v>
      </c>
      <c r="B3494" s="15" t="s">
        <v>5</v>
      </c>
      <c r="C3494" s="16" t="s">
        <v>12210</v>
      </c>
      <c r="D3494" s="21" t="s">
        <v>12211</v>
      </c>
      <c r="E3494" s="15" t="s">
        <v>11446</v>
      </c>
      <c r="F3494" s="22" t="str">
        <f>VLOOKUP(Table8[[#This Row],[Mã khách hàng]],code_khach_hang[],2,0)</f>
        <v>CHI NHÁNH GIA LAI - CÔNG TY CỔ PHẦN DỊCH VỤ THƯƠNG MẠI TỔNG HỢP WINCOMMERCE</v>
      </c>
      <c r="G3494" s="16" t="str">
        <f>VLOOKUP(Table8[[#This Row],[Mã khách hàng]],code_khach_hang[],3,0)</f>
        <v>Miền Bắc đặc biệt 2</v>
      </c>
      <c r="H3494" t="str">
        <f>VLOOKUP(Table8[[#This Row],[Mã khách hàng]],'Khách hàng'!A:D,4,0)</f>
        <v>Food Đức Việt</v>
      </c>
      <c r="I3494" t="str">
        <f>VLOOKUP(Table8[[#This Row],[Mã khách hàng]],'Khách hàng'!A:E,5,0)</f>
        <v>QNTV50</v>
      </c>
    </row>
    <row r="3495" spans="1:9">
      <c r="A3495" s="14">
        <v>6355</v>
      </c>
      <c r="B3495" s="15" t="s">
        <v>5</v>
      </c>
      <c r="C3495" s="16" t="s">
        <v>12212</v>
      </c>
      <c r="D3495" s="21" t="s">
        <v>12213</v>
      </c>
      <c r="E3495" s="15" t="s">
        <v>11442</v>
      </c>
      <c r="F3495" s="22" t="str">
        <f>VLOOKUP(Table8[[#This Row],[Mã khách hàng]],code_khach_hang[],2,0)</f>
        <v>CHI NHÁNH ĐÀ NẴNG - CÔNG TY CỔ PHẦN DỊCH VỤ THƯƠNG MẠI TỔNG HỢP WINCOMMERCE</v>
      </c>
      <c r="G3495" s="16" t="str">
        <f>VLOOKUP(Table8[[#This Row],[Mã khách hàng]],code_khach_hang[],3,0)</f>
        <v>Miền Trung đặc biệt 1</v>
      </c>
      <c r="H3495" t="str">
        <f>VLOOKUP(Table8[[#This Row],[Mã khách hàng]],'Khách hàng'!A:D,4,0)</f>
        <v>Food Đức Việt</v>
      </c>
      <c r="I3495" t="str">
        <f>VLOOKUP(Table8[[#This Row],[Mã khách hàng]],'Khách hàng'!A:E,5,0)</f>
        <v>DNTG100</v>
      </c>
    </row>
    <row r="3496" spans="1:9">
      <c r="A3496" s="14">
        <v>6356</v>
      </c>
      <c r="B3496" s="15" t="s">
        <v>5</v>
      </c>
      <c r="C3496" s="16" t="s">
        <v>12214</v>
      </c>
      <c r="D3496" s="21" t="s">
        <v>12215</v>
      </c>
      <c r="E3496" s="15" t="s">
        <v>11450</v>
      </c>
      <c r="F3496" s="22" t="str">
        <f>VLOOKUP(Table8[[#This Row],[Mã khách hàng]],code_khach_hang[],2,0)</f>
        <v>CHI NHÁNH ĐẮK LẮK - CÔNG TY CỔ PHẦN DỊCH VỤ THƯƠNG MẠI TỔNG HỢP WINCOMMERCE</v>
      </c>
      <c r="G3496" s="16" t="str">
        <f>VLOOKUP(Table8[[#This Row],[Mã khách hàng]],code_khach_hang[],3,0)</f>
        <v>Miền Trung đặc biệt 2</v>
      </c>
      <c r="H3496" t="str">
        <f>VLOOKUP(Table8[[#This Row],[Mã khách hàng]],'Khách hàng'!A:D,4,0)</f>
        <v>Food Đức Việt</v>
      </c>
      <c r="I3496" t="str">
        <f>VLOOKUP(Table8[[#This Row],[Mã khách hàng]],'Khách hàng'!A:E,5,0)</f>
        <v>QNTV50</v>
      </c>
    </row>
    <row r="3497" spans="1:9">
      <c r="A3497" s="14">
        <v>6361</v>
      </c>
      <c r="B3497" s="15" t="s">
        <v>5</v>
      </c>
      <c r="C3497" s="16" t="s">
        <v>12216</v>
      </c>
      <c r="D3497" s="21" t="s">
        <v>12217</v>
      </c>
      <c r="E3497" s="15" t="s">
        <v>11448</v>
      </c>
      <c r="F3497" s="22" t="str">
        <f>VLOOKUP(Table8[[#This Row],[Mã khách hàng]],code_khach_hang[],2,0)</f>
        <v>CHI NHÁNH KON TUM - CÔNG TY CỔ PHẦN DỊCH VỤ THƯƠNG MẠI TỔNG HỢP WINCOMMERCE</v>
      </c>
      <c r="G3497" s="16" t="str">
        <f>VLOOKUP(Table8[[#This Row],[Mã khách hàng]],code_khach_hang[],3,0)</f>
        <v>Miền Trung đặc biệt 2</v>
      </c>
      <c r="H3497" t="str">
        <f>VLOOKUP(Table8[[#This Row],[Mã khách hàng]],'Khách hàng'!A:D,4,0)</f>
        <v>Food Đức Việt</v>
      </c>
      <c r="I3497" t="str">
        <f>VLOOKUP(Table8[[#This Row],[Mã khách hàng]],'Khách hàng'!A:E,5,0)</f>
        <v>QNTV50</v>
      </c>
    </row>
    <row r="3498" spans="1:9">
      <c r="A3498" s="14">
        <v>6365</v>
      </c>
      <c r="B3498" s="15" t="s">
        <v>5</v>
      </c>
      <c r="C3498" s="16" t="s">
        <v>12218</v>
      </c>
      <c r="D3498" s="21" t="s">
        <v>12219</v>
      </c>
      <c r="E3498" s="15" t="s">
        <v>11444</v>
      </c>
      <c r="F3498" s="22" t="str">
        <f>VLOOKUP(Table8[[#This Row],[Mã khách hàng]],code_khach_hang[],2,0)</f>
        <v>CHI NHÁNH QUẢNG NAM - CÔNG TY CỔ PHẦN DỊCH VỤ THƯƠNG MẠI TỔNG HỢP WINCOMMERCE</v>
      </c>
      <c r="G3498" s="16" t="str">
        <f>VLOOKUP(Table8[[#This Row],[Mã khách hàng]],code_khach_hang[],3,0)</f>
        <v>Miền Trung đặc biệt 1</v>
      </c>
      <c r="H3498" t="str">
        <f>VLOOKUP(Table8[[#This Row],[Mã khách hàng]],'Khách hàng'!A:D,4,0)</f>
        <v>Food Đức Việt</v>
      </c>
      <c r="I3498" t="str">
        <f>VLOOKUP(Table8[[#This Row],[Mã khách hàng]],'Khách hàng'!A:E,5,0)</f>
        <v>DNTG100</v>
      </c>
    </row>
    <row r="3499" spans="1:9">
      <c r="A3499" s="14">
        <v>6412</v>
      </c>
      <c r="B3499" s="15" t="s">
        <v>5</v>
      </c>
      <c r="C3499" s="16" t="s">
        <v>12220</v>
      </c>
      <c r="D3499" s="21" t="s">
        <v>12221</v>
      </c>
      <c r="E3499" s="15" t="s">
        <v>11448</v>
      </c>
      <c r="F3499" s="22" t="str">
        <f>VLOOKUP(Table8[[#This Row],[Mã khách hàng]],code_khach_hang[],2,0)</f>
        <v>CHI NHÁNH KON TUM - CÔNG TY CỔ PHẦN DỊCH VỤ THƯƠNG MẠI TỔNG HỢP WINCOMMERCE</v>
      </c>
      <c r="G3499" s="16" t="str">
        <f>VLOOKUP(Table8[[#This Row],[Mã khách hàng]],code_khach_hang[],3,0)</f>
        <v>Miền Trung đặc biệt 2</v>
      </c>
      <c r="H3499" t="str">
        <f>VLOOKUP(Table8[[#This Row],[Mã khách hàng]],'Khách hàng'!A:D,4,0)</f>
        <v>Food Đức Việt</v>
      </c>
      <c r="I3499" t="str">
        <f>VLOOKUP(Table8[[#This Row],[Mã khách hàng]],'Khách hàng'!A:E,5,0)</f>
        <v>QNTV50</v>
      </c>
    </row>
    <row r="3500" spans="1:9">
      <c r="A3500" s="14">
        <v>6420</v>
      </c>
      <c r="B3500" s="15" t="s">
        <v>5</v>
      </c>
      <c r="C3500" s="16" t="s">
        <v>12222</v>
      </c>
      <c r="D3500" s="21" t="s">
        <v>12223</v>
      </c>
      <c r="E3500" s="15" t="s">
        <v>11448</v>
      </c>
      <c r="F3500" s="22" t="str">
        <f>VLOOKUP(Table8[[#This Row],[Mã khách hàng]],code_khach_hang[],2,0)</f>
        <v>CHI NHÁNH KON TUM - CÔNG TY CỔ PHẦN DỊCH VỤ THƯƠNG MẠI TỔNG HỢP WINCOMMERCE</v>
      </c>
      <c r="G3500" s="16" t="str">
        <f>VLOOKUP(Table8[[#This Row],[Mã khách hàng]],code_khach_hang[],3,0)</f>
        <v>Miền Trung đặc biệt 2</v>
      </c>
      <c r="H3500" t="str">
        <f>VLOOKUP(Table8[[#This Row],[Mã khách hàng]],'Khách hàng'!A:D,4,0)</f>
        <v>Food Đức Việt</v>
      </c>
      <c r="I3500" t="str">
        <f>VLOOKUP(Table8[[#This Row],[Mã khách hàng]],'Khách hàng'!A:E,5,0)</f>
        <v>QNTV50</v>
      </c>
    </row>
    <row r="3501" spans="1:9">
      <c r="A3501" s="14">
        <v>6445</v>
      </c>
      <c r="B3501" s="15" t="s">
        <v>5</v>
      </c>
      <c r="C3501" s="16" t="s">
        <v>12224</v>
      </c>
      <c r="D3501" s="21" t="s">
        <v>12225</v>
      </c>
      <c r="E3501" s="15" t="s">
        <v>11442</v>
      </c>
      <c r="F3501" s="22" t="str">
        <f>VLOOKUP(Table8[[#This Row],[Mã khách hàng]],code_khach_hang[],2,0)</f>
        <v>CHI NHÁNH ĐÀ NẴNG - CÔNG TY CỔ PHẦN DỊCH VỤ THƯƠNG MẠI TỔNG HỢP WINCOMMERCE</v>
      </c>
      <c r="G3501" s="16" t="str">
        <f>VLOOKUP(Table8[[#This Row],[Mã khách hàng]],code_khach_hang[],3,0)</f>
        <v>Miền Trung đặc biệt 1</v>
      </c>
      <c r="H3501" t="str">
        <f>VLOOKUP(Table8[[#This Row],[Mã khách hàng]],'Khách hàng'!A:D,4,0)</f>
        <v>Food Đức Việt</v>
      </c>
      <c r="I3501" t="str">
        <f>VLOOKUP(Table8[[#This Row],[Mã khách hàng]],'Khách hàng'!A:E,5,0)</f>
        <v>DNTG100</v>
      </c>
    </row>
    <row r="3502" spans="1:9">
      <c r="A3502" s="14">
        <v>6494</v>
      </c>
      <c r="B3502" s="15" t="s">
        <v>5</v>
      </c>
      <c r="C3502" s="16" t="s">
        <v>12226</v>
      </c>
      <c r="D3502" s="21" t="s">
        <v>12227</v>
      </c>
      <c r="E3502" s="15" t="s">
        <v>11444</v>
      </c>
      <c r="F3502" s="22" t="str">
        <f>VLOOKUP(Table8[[#This Row],[Mã khách hàng]],code_khach_hang[],2,0)</f>
        <v>CHI NHÁNH QUẢNG NAM - CÔNG TY CỔ PHẦN DỊCH VỤ THƯƠNG MẠI TỔNG HỢP WINCOMMERCE</v>
      </c>
      <c r="G3502" s="16" t="str">
        <f>VLOOKUP(Table8[[#This Row],[Mã khách hàng]],code_khach_hang[],3,0)</f>
        <v>Miền Trung đặc biệt 1</v>
      </c>
      <c r="H3502" t="str">
        <f>VLOOKUP(Table8[[#This Row],[Mã khách hàng]],'Khách hàng'!A:D,4,0)</f>
        <v>Food Đức Việt</v>
      </c>
      <c r="I3502" t="str">
        <f>VLOOKUP(Table8[[#This Row],[Mã khách hàng]],'Khách hàng'!A:E,5,0)</f>
        <v>DNTG100</v>
      </c>
    </row>
    <row r="3503" spans="1:9">
      <c r="A3503" s="14">
        <v>6498</v>
      </c>
      <c r="B3503" s="15" t="s">
        <v>5</v>
      </c>
      <c r="C3503" s="16" t="s">
        <v>12228</v>
      </c>
      <c r="D3503" s="21" t="s">
        <v>12229</v>
      </c>
      <c r="E3503" s="15" t="s">
        <v>11447</v>
      </c>
      <c r="F3503" s="22" t="str">
        <f>VLOOKUP(Table8[[#This Row],[Mã khách hàng]],code_khach_hang[],2,0)</f>
        <v>CHI NHÁNH QUẢNG TRỊ - CÔNG TY CỔ PHẦN DỊCH VỤ THƯƠNG MẠI TỔNG HỢP WINCOMMERCE</v>
      </c>
      <c r="G3503" s="16" t="str">
        <f>VLOOKUP(Table8[[#This Row],[Mã khách hàng]],code_khach_hang[],3,0)</f>
        <v>Miền Trung đặc biệt 1</v>
      </c>
      <c r="H3503" t="str">
        <f>VLOOKUP(Table8[[#This Row],[Mã khách hàng]],'Khách hàng'!A:D,4,0)</f>
        <v>Food Đức Việt</v>
      </c>
      <c r="I3503" t="str">
        <f>VLOOKUP(Table8[[#This Row],[Mã khách hàng]],'Khách hàng'!A:E,5,0)</f>
        <v>DNTG100</v>
      </c>
    </row>
    <row r="3504" spans="1:9">
      <c r="A3504" s="14">
        <v>6503</v>
      </c>
      <c r="B3504" s="15" t="s">
        <v>5</v>
      </c>
      <c r="C3504" s="16" t="s">
        <v>12230</v>
      </c>
      <c r="D3504" s="21" t="s">
        <v>12231</v>
      </c>
      <c r="E3504" s="15" t="s">
        <v>11442</v>
      </c>
      <c r="F3504" s="22" t="str">
        <f>VLOOKUP(Table8[[#This Row],[Mã khách hàng]],code_khach_hang[],2,0)</f>
        <v>CHI NHÁNH ĐÀ NẴNG - CÔNG TY CỔ PHẦN DỊCH VỤ THƯƠNG MẠI TỔNG HỢP WINCOMMERCE</v>
      </c>
      <c r="G3504" s="16" t="str">
        <f>VLOOKUP(Table8[[#This Row],[Mã khách hàng]],code_khach_hang[],3,0)</f>
        <v>Miền Trung đặc biệt 1</v>
      </c>
      <c r="H3504" t="str">
        <f>VLOOKUP(Table8[[#This Row],[Mã khách hàng]],'Khách hàng'!A:D,4,0)</f>
        <v>Food Đức Việt</v>
      </c>
      <c r="I3504" t="str">
        <f>VLOOKUP(Table8[[#This Row],[Mã khách hàng]],'Khách hàng'!A:E,5,0)</f>
        <v>DNTG100</v>
      </c>
    </row>
    <row r="3505" spans="1:9">
      <c r="A3505" s="14">
        <v>6514</v>
      </c>
      <c r="B3505" s="15" t="s">
        <v>5</v>
      </c>
      <c r="C3505" s="16" t="s">
        <v>12232</v>
      </c>
      <c r="D3505" s="21" t="s">
        <v>12233</v>
      </c>
      <c r="E3505" s="15" t="s">
        <v>11443</v>
      </c>
      <c r="F3505" s="22" t="str">
        <f>VLOOKUP(Table8[[#This Row],[Mã khách hàng]],code_khach_hang[],2,0)</f>
        <v>CHI NHÁNH KHÁNH HÒA - CÔNG TY CỔ PHẦN DỊCH VỤ THƯƠNG MẠI TỔNG HỢP WINCOMMERCE</v>
      </c>
      <c r="G3505" s="16" t="str">
        <f>VLOOKUP(Table8[[#This Row],[Mã khách hàng]],code_khach_hang[],3,0)</f>
        <v>Miền Trung đặc biệt 2</v>
      </c>
      <c r="H3505" t="str">
        <f>VLOOKUP(Table8[[#This Row],[Mã khách hàng]],'Khách hàng'!A:D,4,0)</f>
        <v>Food Đức Việt</v>
      </c>
      <c r="I3505" t="str">
        <f>VLOOKUP(Table8[[#This Row],[Mã khách hàng]],'Khách hàng'!A:E,5,0)</f>
        <v>QNTV50</v>
      </c>
    </row>
    <row r="3506" spans="1:9">
      <c r="A3506" s="14">
        <v>6553</v>
      </c>
      <c r="B3506" s="15" t="s">
        <v>5</v>
      </c>
      <c r="C3506" s="16" t="s">
        <v>12234</v>
      </c>
      <c r="D3506" s="21" t="s">
        <v>12235</v>
      </c>
      <c r="E3506" s="15" t="s">
        <v>11444</v>
      </c>
      <c r="F3506" s="22" t="str">
        <f>VLOOKUP(Table8[[#This Row],[Mã khách hàng]],code_khach_hang[],2,0)</f>
        <v>CHI NHÁNH QUẢNG NAM - CÔNG TY CỔ PHẦN DỊCH VỤ THƯƠNG MẠI TỔNG HỢP WINCOMMERCE</v>
      </c>
      <c r="G3506" s="16" t="str">
        <f>VLOOKUP(Table8[[#This Row],[Mã khách hàng]],code_khach_hang[],3,0)</f>
        <v>Miền Trung đặc biệt 1</v>
      </c>
      <c r="H3506" t="str">
        <f>VLOOKUP(Table8[[#This Row],[Mã khách hàng]],'Khách hàng'!A:D,4,0)</f>
        <v>Food Đức Việt</v>
      </c>
      <c r="I3506" t="str">
        <f>VLOOKUP(Table8[[#This Row],[Mã khách hàng]],'Khách hàng'!A:E,5,0)</f>
        <v>DNTG100</v>
      </c>
    </row>
    <row r="3507" spans="1:9">
      <c r="A3507" s="14">
        <v>6555</v>
      </c>
      <c r="B3507" s="15" t="s">
        <v>5</v>
      </c>
      <c r="C3507" s="16" t="s">
        <v>12236</v>
      </c>
      <c r="D3507" s="21" t="s">
        <v>12237</v>
      </c>
      <c r="E3507" s="15" t="s">
        <v>11444</v>
      </c>
      <c r="F3507" s="22" t="str">
        <f>VLOOKUP(Table8[[#This Row],[Mã khách hàng]],code_khach_hang[],2,0)</f>
        <v>CHI NHÁNH QUẢNG NAM - CÔNG TY CỔ PHẦN DỊCH VỤ THƯƠNG MẠI TỔNG HỢP WINCOMMERCE</v>
      </c>
      <c r="G3507" s="16" t="str">
        <f>VLOOKUP(Table8[[#This Row],[Mã khách hàng]],code_khach_hang[],3,0)</f>
        <v>Miền Trung đặc biệt 1</v>
      </c>
      <c r="H3507" t="str">
        <f>VLOOKUP(Table8[[#This Row],[Mã khách hàng]],'Khách hàng'!A:D,4,0)</f>
        <v>Food Đức Việt</v>
      </c>
      <c r="I3507" t="str">
        <f>VLOOKUP(Table8[[#This Row],[Mã khách hàng]],'Khách hàng'!A:E,5,0)</f>
        <v>DNTG100</v>
      </c>
    </row>
    <row r="3508" spans="1:9">
      <c r="A3508" s="14">
        <v>6556</v>
      </c>
      <c r="B3508" s="15" t="s">
        <v>5</v>
      </c>
      <c r="C3508" s="16" t="s">
        <v>12238</v>
      </c>
      <c r="D3508" s="21" t="s">
        <v>12239</v>
      </c>
      <c r="E3508" s="15" t="s">
        <v>11444</v>
      </c>
      <c r="F3508" s="22" t="str">
        <f>VLOOKUP(Table8[[#This Row],[Mã khách hàng]],code_khach_hang[],2,0)</f>
        <v>CHI NHÁNH QUẢNG NAM - CÔNG TY CỔ PHẦN DỊCH VỤ THƯƠNG MẠI TỔNG HỢP WINCOMMERCE</v>
      </c>
      <c r="G3508" s="16" t="str">
        <f>VLOOKUP(Table8[[#This Row],[Mã khách hàng]],code_khach_hang[],3,0)</f>
        <v>Miền Trung đặc biệt 1</v>
      </c>
      <c r="H3508" t="str">
        <f>VLOOKUP(Table8[[#This Row],[Mã khách hàng]],'Khách hàng'!A:D,4,0)</f>
        <v>Food Đức Việt</v>
      </c>
      <c r="I3508" t="str">
        <f>VLOOKUP(Table8[[#This Row],[Mã khách hàng]],'Khách hàng'!A:E,5,0)</f>
        <v>DNTG100</v>
      </c>
    </row>
    <row r="3509" spans="1:9">
      <c r="A3509" s="14">
        <v>6599</v>
      </c>
      <c r="B3509" s="15" t="s">
        <v>5</v>
      </c>
      <c r="C3509" s="16" t="s">
        <v>12240</v>
      </c>
      <c r="D3509" s="21" t="s">
        <v>12241</v>
      </c>
      <c r="E3509" s="15" t="s">
        <v>11241</v>
      </c>
      <c r="F3509" s="22" t="str">
        <f>VLOOKUP(Table8[[#This Row],[Mã khách hàng]],code_khach_hang[],2,0)</f>
        <v>CHI NHÁNH BÌNH ĐỊNH - CÔNG TY CỔ PHẦN DỊCH VỤ THƯƠNG MẠI TỔNG HỢP WINCOMMERCE</v>
      </c>
      <c r="G3509" s="16" t="str">
        <f>VLOOKUP(Table8[[#This Row],[Mã khách hàng]],code_khach_hang[],3,0)</f>
        <v>Miền Trung đặc biệt 2</v>
      </c>
      <c r="H3509" t="str">
        <f>VLOOKUP(Table8[[#This Row],[Mã khách hàng]],'Khách hàng'!A:D,4,0)</f>
        <v>Food Đức Việt</v>
      </c>
      <c r="I3509" t="str">
        <f>VLOOKUP(Table8[[#This Row],[Mã khách hàng]],'Khách hàng'!A:E,5,0)</f>
        <v>QNTV50</v>
      </c>
    </row>
    <row r="3510" spans="1:9">
      <c r="A3510" s="14">
        <v>6637</v>
      </c>
      <c r="B3510" s="15" t="s">
        <v>5</v>
      </c>
      <c r="C3510" s="16" t="s">
        <v>12242</v>
      </c>
      <c r="D3510" s="21" t="s">
        <v>12243</v>
      </c>
      <c r="E3510" s="15" t="s">
        <v>11446</v>
      </c>
      <c r="F3510" s="22" t="str">
        <f>VLOOKUP(Table8[[#This Row],[Mã khách hàng]],code_khach_hang[],2,0)</f>
        <v>CHI NHÁNH GIA LAI - CÔNG TY CỔ PHẦN DỊCH VỤ THƯƠNG MẠI TỔNG HỢP WINCOMMERCE</v>
      </c>
      <c r="G3510" s="16" t="str">
        <f>VLOOKUP(Table8[[#This Row],[Mã khách hàng]],code_khach_hang[],3,0)</f>
        <v>Miền Bắc đặc biệt 2</v>
      </c>
      <c r="H3510" t="str">
        <f>VLOOKUP(Table8[[#This Row],[Mã khách hàng]],'Khách hàng'!A:D,4,0)</f>
        <v>Food Đức Việt</v>
      </c>
      <c r="I3510" t="str">
        <f>VLOOKUP(Table8[[#This Row],[Mã khách hàng]],'Khách hàng'!A:E,5,0)</f>
        <v>QNTV50</v>
      </c>
    </row>
    <row r="3511" spans="1:9">
      <c r="A3511" s="14">
        <v>6638</v>
      </c>
      <c r="B3511" s="15" t="s">
        <v>5</v>
      </c>
      <c r="C3511" s="16" t="s">
        <v>12244</v>
      </c>
      <c r="D3511" s="21" t="s">
        <v>12245</v>
      </c>
      <c r="E3511" s="15" t="s">
        <v>11448</v>
      </c>
      <c r="F3511" s="22" t="str">
        <f>VLOOKUP(Table8[[#This Row],[Mã khách hàng]],code_khach_hang[],2,0)</f>
        <v>CHI NHÁNH KON TUM - CÔNG TY CỔ PHẦN DỊCH VỤ THƯƠNG MẠI TỔNG HỢP WINCOMMERCE</v>
      </c>
      <c r="G3511" s="16" t="str">
        <f>VLOOKUP(Table8[[#This Row],[Mã khách hàng]],code_khach_hang[],3,0)</f>
        <v>Miền Trung đặc biệt 2</v>
      </c>
      <c r="H3511" t="str">
        <f>VLOOKUP(Table8[[#This Row],[Mã khách hàng]],'Khách hàng'!A:D,4,0)</f>
        <v>Food Đức Việt</v>
      </c>
      <c r="I3511" t="str">
        <f>VLOOKUP(Table8[[#This Row],[Mã khách hàng]],'Khách hàng'!A:E,5,0)</f>
        <v>QNTV50</v>
      </c>
    </row>
    <row r="3512" spans="1:9">
      <c r="A3512" s="14">
        <v>6640</v>
      </c>
      <c r="B3512" s="15" t="s">
        <v>5</v>
      </c>
      <c r="C3512" s="16" t="s">
        <v>12246</v>
      </c>
      <c r="D3512" s="21" t="s">
        <v>12247</v>
      </c>
      <c r="E3512" s="15" t="s">
        <v>11446</v>
      </c>
      <c r="F3512" s="22" t="str">
        <f>VLOOKUP(Table8[[#This Row],[Mã khách hàng]],code_khach_hang[],2,0)</f>
        <v>CHI NHÁNH GIA LAI - CÔNG TY CỔ PHẦN DỊCH VỤ THƯƠNG MẠI TỔNG HỢP WINCOMMERCE</v>
      </c>
      <c r="G3512" s="16" t="str">
        <f>VLOOKUP(Table8[[#This Row],[Mã khách hàng]],code_khach_hang[],3,0)</f>
        <v>Miền Bắc đặc biệt 2</v>
      </c>
      <c r="H3512" t="str">
        <f>VLOOKUP(Table8[[#This Row],[Mã khách hàng]],'Khách hàng'!A:D,4,0)</f>
        <v>Food Đức Việt</v>
      </c>
      <c r="I3512" t="str">
        <f>VLOOKUP(Table8[[#This Row],[Mã khách hàng]],'Khách hàng'!A:E,5,0)</f>
        <v>QNTV50</v>
      </c>
    </row>
    <row r="3513" spans="1:9">
      <c r="A3513" s="14">
        <v>6645</v>
      </c>
      <c r="B3513" s="15" t="s">
        <v>5</v>
      </c>
      <c r="C3513" s="16" t="s">
        <v>12248</v>
      </c>
      <c r="D3513" s="21" t="s">
        <v>12249</v>
      </c>
      <c r="E3513" s="15" t="s">
        <v>11442</v>
      </c>
      <c r="F3513" s="22" t="str">
        <f>VLOOKUP(Table8[[#This Row],[Mã khách hàng]],code_khach_hang[],2,0)</f>
        <v>CHI NHÁNH ĐÀ NẴNG - CÔNG TY CỔ PHẦN DỊCH VỤ THƯƠNG MẠI TỔNG HỢP WINCOMMERCE</v>
      </c>
      <c r="G3513" s="16" t="str">
        <f>VLOOKUP(Table8[[#This Row],[Mã khách hàng]],code_khach_hang[],3,0)</f>
        <v>Miền Trung đặc biệt 1</v>
      </c>
      <c r="H3513" t="str">
        <f>VLOOKUP(Table8[[#This Row],[Mã khách hàng]],'Khách hàng'!A:D,4,0)</f>
        <v>Food Đức Việt</v>
      </c>
      <c r="I3513" t="str">
        <f>VLOOKUP(Table8[[#This Row],[Mã khách hàng]],'Khách hàng'!A:E,5,0)</f>
        <v>DNTG100</v>
      </c>
    </row>
    <row r="3514" spans="1:9">
      <c r="A3514" s="14">
        <v>6648</v>
      </c>
      <c r="B3514" s="15" t="s">
        <v>5</v>
      </c>
      <c r="C3514" s="16" t="s">
        <v>12250</v>
      </c>
      <c r="D3514" s="21" t="s">
        <v>12251</v>
      </c>
      <c r="E3514" s="15" t="s">
        <v>11446</v>
      </c>
      <c r="F3514" s="22" t="str">
        <f>VLOOKUP(Table8[[#This Row],[Mã khách hàng]],code_khach_hang[],2,0)</f>
        <v>CHI NHÁNH GIA LAI - CÔNG TY CỔ PHẦN DỊCH VỤ THƯƠNG MẠI TỔNG HỢP WINCOMMERCE</v>
      </c>
      <c r="G3514" s="16" t="str">
        <f>VLOOKUP(Table8[[#This Row],[Mã khách hàng]],code_khach_hang[],3,0)</f>
        <v>Miền Bắc đặc biệt 2</v>
      </c>
      <c r="H3514" t="str">
        <f>VLOOKUP(Table8[[#This Row],[Mã khách hàng]],'Khách hàng'!A:D,4,0)</f>
        <v>Food Đức Việt</v>
      </c>
      <c r="I3514" t="str">
        <f>VLOOKUP(Table8[[#This Row],[Mã khách hàng]],'Khách hàng'!A:E,5,0)</f>
        <v>QNTV50</v>
      </c>
    </row>
    <row r="3515" spans="1:9">
      <c r="A3515" s="14">
        <v>6679</v>
      </c>
      <c r="B3515" s="15" t="s">
        <v>5</v>
      </c>
      <c r="C3515" s="16" t="s">
        <v>12252</v>
      </c>
      <c r="D3515" s="21" t="s">
        <v>12253</v>
      </c>
      <c r="E3515" s="15" t="s">
        <v>11450</v>
      </c>
      <c r="F3515" s="22" t="str">
        <f>VLOOKUP(Table8[[#This Row],[Mã khách hàng]],code_khach_hang[],2,0)</f>
        <v>CHI NHÁNH ĐẮK LẮK - CÔNG TY CỔ PHẦN DỊCH VỤ THƯƠNG MẠI TỔNG HỢP WINCOMMERCE</v>
      </c>
      <c r="G3515" s="16" t="str">
        <f>VLOOKUP(Table8[[#This Row],[Mã khách hàng]],code_khach_hang[],3,0)</f>
        <v>Miền Trung đặc biệt 2</v>
      </c>
      <c r="H3515" t="str">
        <f>VLOOKUP(Table8[[#This Row],[Mã khách hàng]],'Khách hàng'!A:D,4,0)</f>
        <v>Food Đức Việt</v>
      </c>
      <c r="I3515" t="str">
        <f>VLOOKUP(Table8[[#This Row],[Mã khách hàng]],'Khách hàng'!A:E,5,0)</f>
        <v>QNTV50</v>
      </c>
    </row>
    <row r="3516" spans="1:9">
      <c r="A3516" s="14">
        <v>6718</v>
      </c>
      <c r="B3516" s="15" t="s">
        <v>5</v>
      </c>
      <c r="C3516" s="16" t="s">
        <v>12254</v>
      </c>
      <c r="D3516" s="21" t="s">
        <v>12255</v>
      </c>
      <c r="E3516" s="15" t="s">
        <v>11442</v>
      </c>
      <c r="F3516" s="22" t="str">
        <f>VLOOKUP(Table8[[#This Row],[Mã khách hàng]],code_khach_hang[],2,0)</f>
        <v>CHI NHÁNH ĐÀ NẴNG - CÔNG TY CỔ PHẦN DỊCH VỤ THƯƠNG MẠI TỔNG HỢP WINCOMMERCE</v>
      </c>
      <c r="G3516" s="16" t="str">
        <f>VLOOKUP(Table8[[#This Row],[Mã khách hàng]],code_khach_hang[],3,0)</f>
        <v>Miền Trung đặc biệt 1</v>
      </c>
      <c r="H3516" t="str">
        <f>VLOOKUP(Table8[[#This Row],[Mã khách hàng]],'Khách hàng'!A:D,4,0)</f>
        <v>Food Đức Việt</v>
      </c>
      <c r="I3516" t="str">
        <f>VLOOKUP(Table8[[#This Row],[Mã khách hàng]],'Khách hàng'!A:E,5,0)</f>
        <v>DNTG100</v>
      </c>
    </row>
    <row r="3517" spans="1:9">
      <c r="A3517" s="14">
        <v>6719</v>
      </c>
      <c r="B3517" s="15" t="s">
        <v>5</v>
      </c>
      <c r="C3517" s="16" t="s">
        <v>12256</v>
      </c>
      <c r="D3517" s="21" t="s">
        <v>12257</v>
      </c>
      <c r="E3517" s="15" t="s">
        <v>11443</v>
      </c>
      <c r="F3517" s="22" t="str">
        <f>VLOOKUP(Table8[[#This Row],[Mã khách hàng]],code_khach_hang[],2,0)</f>
        <v>CHI NHÁNH KHÁNH HÒA - CÔNG TY CỔ PHẦN DỊCH VỤ THƯƠNG MẠI TỔNG HỢP WINCOMMERCE</v>
      </c>
      <c r="G3517" s="16" t="str">
        <f>VLOOKUP(Table8[[#This Row],[Mã khách hàng]],code_khach_hang[],3,0)</f>
        <v>Miền Trung đặc biệt 2</v>
      </c>
      <c r="H3517" t="str">
        <f>VLOOKUP(Table8[[#This Row],[Mã khách hàng]],'Khách hàng'!A:D,4,0)</f>
        <v>Food Đức Việt</v>
      </c>
      <c r="I3517" t="str">
        <f>VLOOKUP(Table8[[#This Row],[Mã khách hàng]],'Khách hàng'!A:E,5,0)</f>
        <v>QNTV50</v>
      </c>
    </row>
    <row r="3518" spans="1:9">
      <c r="A3518" s="14">
        <v>6720</v>
      </c>
      <c r="B3518" s="15" t="s">
        <v>5</v>
      </c>
      <c r="C3518" s="16" t="s">
        <v>12258</v>
      </c>
      <c r="D3518" s="21" t="s">
        <v>12259</v>
      </c>
      <c r="E3518" s="15" t="s">
        <v>11448</v>
      </c>
      <c r="F3518" s="22" t="str">
        <f>VLOOKUP(Table8[[#This Row],[Mã khách hàng]],code_khach_hang[],2,0)</f>
        <v>CHI NHÁNH KON TUM - CÔNG TY CỔ PHẦN DỊCH VỤ THƯƠNG MẠI TỔNG HỢP WINCOMMERCE</v>
      </c>
      <c r="G3518" s="16" t="str">
        <f>VLOOKUP(Table8[[#This Row],[Mã khách hàng]],code_khach_hang[],3,0)</f>
        <v>Miền Trung đặc biệt 2</v>
      </c>
      <c r="H3518" t="str">
        <f>VLOOKUP(Table8[[#This Row],[Mã khách hàng]],'Khách hàng'!A:D,4,0)</f>
        <v>Food Đức Việt</v>
      </c>
      <c r="I3518" t="str">
        <f>VLOOKUP(Table8[[#This Row],[Mã khách hàng]],'Khách hàng'!A:E,5,0)</f>
        <v>QNTV50</v>
      </c>
    </row>
    <row r="3519" spans="1:9">
      <c r="A3519" s="14">
        <v>6732</v>
      </c>
      <c r="B3519" s="15" t="s">
        <v>5</v>
      </c>
      <c r="C3519" s="16" t="s">
        <v>12260</v>
      </c>
      <c r="D3519" s="21" t="s">
        <v>12261</v>
      </c>
      <c r="E3519" s="15" t="s">
        <v>11450</v>
      </c>
      <c r="F3519" s="22" t="str">
        <f>VLOOKUP(Table8[[#This Row],[Mã khách hàng]],code_khach_hang[],2,0)</f>
        <v>CHI NHÁNH ĐẮK LẮK - CÔNG TY CỔ PHẦN DỊCH VỤ THƯƠNG MẠI TỔNG HỢP WINCOMMERCE</v>
      </c>
      <c r="G3519" s="16" t="str">
        <f>VLOOKUP(Table8[[#This Row],[Mã khách hàng]],code_khach_hang[],3,0)</f>
        <v>Miền Trung đặc biệt 2</v>
      </c>
      <c r="H3519" t="str">
        <f>VLOOKUP(Table8[[#This Row],[Mã khách hàng]],'Khách hàng'!A:D,4,0)</f>
        <v>Food Đức Việt</v>
      </c>
      <c r="I3519" t="str">
        <f>VLOOKUP(Table8[[#This Row],[Mã khách hàng]],'Khách hàng'!A:E,5,0)</f>
        <v>QNTV50</v>
      </c>
    </row>
    <row r="3520" spans="1:9">
      <c r="A3520" s="14">
        <v>6733</v>
      </c>
      <c r="B3520" s="15" t="s">
        <v>5</v>
      </c>
      <c r="C3520" s="16" t="s">
        <v>12262</v>
      </c>
      <c r="D3520" s="21" t="s">
        <v>12263</v>
      </c>
      <c r="E3520" s="15" t="s">
        <v>11241</v>
      </c>
      <c r="F3520" s="22" t="str">
        <f>VLOOKUP(Table8[[#This Row],[Mã khách hàng]],code_khach_hang[],2,0)</f>
        <v>CHI NHÁNH BÌNH ĐỊNH - CÔNG TY CỔ PHẦN DỊCH VỤ THƯƠNG MẠI TỔNG HỢP WINCOMMERCE</v>
      </c>
      <c r="G3520" s="16" t="str">
        <f>VLOOKUP(Table8[[#This Row],[Mã khách hàng]],code_khach_hang[],3,0)</f>
        <v>Miền Trung đặc biệt 2</v>
      </c>
      <c r="H3520" t="str">
        <f>VLOOKUP(Table8[[#This Row],[Mã khách hàng]],'Khách hàng'!A:D,4,0)</f>
        <v>Food Đức Việt</v>
      </c>
      <c r="I3520" t="str">
        <f>VLOOKUP(Table8[[#This Row],[Mã khách hàng]],'Khách hàng'!A:E,5,0)</f>
        <v>QNTV50</v>
      </c>
    </row>
    <row r="3521" spans="1:9">
      <c r="A3521" s="14">
        <v>6736</v>
      </c>
      <c r="B3521" s="15" t="s">
        <v>5</v>
      </c>
      <c r="C3521" s="16" t="s">
        <v>12264</v>
      </c>
      <c r="D3521" s="21" t="s">
        <v>12265</v>
      </c>
      <c r="E3521" s="15" t="s">
        <v>11443</v>
      </c>
      <c r="F3521" s="22" t="str">
        <f>VLOOKUP(Table8[[#This Row],[Mã khách hàng]],code_khach_hang[],2,0)</f>
        <v>CHI NHÁNH KHÁNH HÒA - CÔNG TY CỔ PHẦN DỊCH VỤ THƯƠNG MẠI TỔNG HỢP WINCOMMERCE</v>
      </c>
      <c r="G3521" s="16" t="str">
        <f>VLOOKUP(Table8[[#This Row],[Mã khách hàng]],code_khach_hang[],3,0)</f>
        <v>Miền Trung đặc biệt 2</v>
      </c>
      <c r="H3521" t="str">
        <f>VLOOKUP(Table8[[#This Row],[Mã khách hàng]],'Khách hàng'!A:D,4,0)</f>
        <v>Food Đức Việt</v>
      </c>
      <c r="I3521" t="str">
        <f>VLOOKUP(Table8[[#This Row],[Mã khách hàng]],'Khách hàng'!A:E,5,0)</f>
        <v>QNTV50</v>
      </c>
    </row>
    <row r="3522" spans="1:9">
      <c r="A3522" s="14">
        <v>6745</v>
      </c>
      <c r="B3522" s="15" t="s">
        <v>5</v>
      </c>
      <c r="C3522" s="16" t="s">
        <v>12266</v>
      </c>
      <c r="D3522" s="21" t="s">
        <v>12267</v>
      </c>
      <c r="E3522" s="15" t="s">
        <v>11442</v>
      </c>
      <c r="F3522" s="22" t="str">
        <f>VLOOKUP(Table8[[#This Row],[Mã khách hàng]],code_khach_hang[],2,0)</f>
        <v>CHI NHÁNH ĐÀ NẴNG - CÔNG TY CỔ PHẦN DỊCH VỤ THƯƠNG MẠI TỔNG HỢP WINCOMMERCE</v>
      </c>
      <c r="G3522" s="16" t="str">
        <f>VLOOKUP(Table8[[#This Row],[Mã khách hàng]],code_khach_hang[],3,0)</f>
        <v>Miền Trung đặc biệt 1</v>
      </c>
      <c r="H3522" t="str">
        <f>VLOOKUP(Table8[[#This Row],[Mã khách hàng]],'Khách hàng'!A:D,4,0)</f>
        <v>Food Đức Việt</v>
      </c>
      <c r="I3522" t="str">
        <f>VLOOKUP(Table8[[#This Row],[Mã khách hàng]],'Khách hàng'!A:E,5,0)</f>
        <v>DNTG100</v>
      </c>
    </row>
    <row r="3523" spans="1:9">
      <c r="A3523" s="14">
        <v>6811</v>
      </c>
      <c r="B3523" s="15" t="s">
        <v>5</v>
      </c>
      <c r="C3523" s="16" t="s">
        <v>12268</v>
      </c>
      <c r="D3523" s="21" t="s">
        <v>12269</v>
      </c>
      <c r="E3523" s="15" t="s">
        <v>11442</v>
      </c>
      <c r="F3523" s="22" t="str">
        <f>VLOOKUP(Table8[[#This Row],[Mã khách hàng]],code_khach_hang[],2,0)</f>
        <v>CHI NHÁNH ĐÀ NẴNG - CÔNG TY CỔ PHẦN DỊCH VỤ THƯƠNG MẠI TỔNG HỢP WINCOMMERCE</v>
      </c>
      <c r="G3523" s="16" t="str">
        <f>VLOOKUP(Table8[[#This Row],[Mã khách hàng]],code_khach_hang[],3,0)</f>
        <v>Miền Trung đặc biệt 1</v>
      </c>
      <c r="H3523" t="str">
        <f>VLOOKUP(Table8[[#This Row],[Mã khách hàng]],'Khách hàng'!A:D,4,0)</f>
        <v>Food Đức Việt</v>
      </c>
      <c r="I3523" t="str">
        <f>VLOOKUP(Table8[[#This Row],[Mã khách hàng]],'Khách hàng'!A:E,5,0)</f>
        <v>DNTG100</v>
      </c>
    </row>
    <row r="3524" spans="1:9">
      <c r="A3524" s="14">
        <v>6901</v>
      </c>
      <c r="B3524" s="15" t="s">
        <v>5</v>
      </c>
      <c r="C3524" s="16" t="s">
        <v>12270</v>
      </c>
      <c r="D3524" s="21" t="s">
        <v>12271</v>
      </c>
      <c r="E3524" s="15" t="s">
        <v>11447</v>
      </c>
      <c r="F3524" s="22" t="str">
        <f>VLOOKUP(Table8[[#This Row],[Mã khách hàng]],code_khach_hang[],2,0)</f>
        <v>CHI NHÁNH QUẢNG TRỊ - CÔNG TY CỔ PHẦN DỊCH VỤ THƯƠNG MẠI TỔNG HỢP WINCOMMERCE</v>
      </c>
      <c r="G3524" s="16" t="str">
        <f>VLOOKUP(Table8[[#This Row],[Mã khách hàng]],code_khach_hang[],3,0)</f>
        <v>Miền Trung đặc biệt 1</v>
      </c>
      <c r="H3524" t="str">
        <f>VLOOKUP(Table8[[#This Row],[Mã khách hàng]],'Khách hàng'!A:D,4,0)</f>
        <v>Food Đức Việt</v>
      </c>
      <c r="I3524" t="str">
        <f>VLOOKUP(Table8[[#This Row],[Mã khách hàng]],'Khách hàng'!A:E,5,0)</f>
        <v>DNTG100</v>
      </c>
    </row>
    <row r="3525" spans="1:9">
      <c r="A3525" s="14">
        <v>6902</v>
      </c>
      <c r="B3525" s="15" t="s">
        <v>5</v>
      </c>
      <c r="C3525" s="16" t="s">
        <v>12272</v>
      </c>
      <c r="D3525" s="21" t="s">
        <v>12273</v>
      </c>
      <c r="E3525" s="15" t="s">
        <v>11447</v>
      </c>
      <c r="F3525" s="22" t="str">
        <f>VLOOKUP(Table8[[#This Row],[Mã khách hàng]],code_khach_hang[],2,0)</f>
        <v>CHI NHÁNH QUẢNG TRỊ - CÔNG TY CỔ PHẦN DỊCH VỤ THƯƠNG MẠI TỔNG HỢP WINCOMMERCE</v>
      </c>
      <c r="G3525" s="16" t="str">
        <f>VLOOKUP(Table8[[#This Row],[Mã khách hàng]],code_khach_hang[],3,0)</f>
        <v>Miền Trung đặc biệt 1</v>
      </c>
      <c r="H3525" t="str">
        <f>VLOOKUP(Table8[[#This Row],[Mã khách hàng]],'Khách hàng'!A:D,4,0)</f>
        <v>Food Đức Việt</v>
      </c>
      <c r="I3525" t="str">
        <f>VLOOKUP(Table8[[#This Row],[Mã khách hàng]],'Khách hàng'!A:E,5,0)</f>
        <v>DNTG100</v>
      </c>
    </row>
    <row r="3526" spans="1:9">
      <c r="A3526" s="14">
        <v>6903</v>
      </c>
      <c r="B3526" s="15" t="s">
        <v>5</v>
      </c>
      <c r="C3526" s="16" t="s">
        <v>12274</v>
      </c>
      <c r="D3526" s="21" t="s">
        <v>12275</v>
      </c>
      <c r="E3526" s="15" t="s">
        <v>11447</v>
      </c>
      <c r="F3526" s="22" t="str">
        <f>VLOOKUP(Table8[[#This Row],[Mã khách hàng]],code_khach_hang[],2,0)</f>
        <v>CHI NHÁNH QUẢNG TRỊ - CÔNG TY CỔ PHẦN DỊCH VỤ THƯƠNG MẠI TỔNG HỢP WINCOMMERCE</v>
      </c>
      <c r="G3526" s="16" t="str">
        <f>VLOOKUP(Table8[[#This Row],[Mã khách hàng]],code_khach_hang[],3,0)</f>
        <v>Miền Trung đặc biệt 1</v>
      </c>
      <c r="H3526" t="str">
        <f>VLOOKUP(Table8[[#This Row],[Mã khách hàng]],'Khách hàng'!A:D,4,0)</f>
        <v>Food Đức Việt</v>
      </c>
      <c r="I3526" t="str">
        <f>VLOOKUP(Table8[[#This Row],[Mã khách hàng]],'Khách hàng'!A:E,5,0)</f>
        <v>DNTG100</v>
      </c>
    </row>
    <row r="3527" spans="1:9">
      <c r="A3527" s="14">
        <v>6904</v>
      </c>
      <c r="B3527" s="15" t="s">
        <v>5</v>
      </c>
      <c r="C3527" s="16" t="s">
        <v>12276</v>
      </c>
      <c r="D3527" s="21" t="s">
        <v>12277</v>
      </c>
      <c r="E3527" s="15" t="s">
        <v>11447</v>
      </c>
      <c r="F3527" s="22" t="str">
        <f>VLOOKUP(Table8[[#This Row],[Mã khách hàng]],code_khach_hang[],2,0)</f>
        <v>CHI NHÁNH QUẢNG TRỊ - CÔNG TY CỔ PHẦN DỊCH VỤ THƯƠNG MẠI TỔNG HỢP WINCOMMERCE</v>
      </c>
      <c r="G3527" s="16" t="str">
        <f>VLOOKUP(Table8[[#This Row],[Mã khách hàng]],code_khach_hang[],3,0)</f>
        <v>Miền Trung đặc biệt 1</v>
      </c>
      <c r="H3527" t="str">
        <f>VLOOKUP(Table8[[#This Row],[Mã khách hàng]],'Khách hàng'!A:D,4,0)</f>
        <v>Food Đức Việt</v>
      </c>
      <c r="I3527" t="str">
        <f>VLOOKUP(Table8[[#This Row],[Mã khách hàng]],'Khách hàng'!A:E,5,0)</f>
        <v>DNTG100</v>
      </c>
    </row>
    <row r="3528" spans="1:9">
      <c r="A3528" s="14">
        <v>6905</v>
      </c>
      <c r="B3528" s="15" t="s">
        <v>5</v>
      </c>
      <c r="C3528" s="16" t="s">
        <v>12278</v>
      </c>
      <c r="D3528" s="21" t="s">
        <v>12279</v>
      </c>
      <c r="E3528" s="15" t="s">
        <v>11447</v>
      </c>
      <c r="F3528" s="22" t="str">
        <f>VLOOKUP(Table8[[#This Row],[Mã khách hàng]],code_khach_hang[],2,0)</f>
        <v>CHI NHÁNH QUẢNG TRỊ - CÔNG TY CỔ PHẦN DỊCH VỤ THƯƠNG MẠI TỔNG HỢP WINCOMMERCE</v>
      </c>
      <c r="G3528" s="16" t="str">
        <f>VLOOKUP(Table8[[#This Row],[Mã khách hàng]],code_khach_hang[],3,0)</f>
        <v>Miền Trung đặc biệt 1</v>
      </c>
      <c r="H3528" t="str">
        <f>VLOOKUP(Table8[[#This Row],[Mã khách hàng]],'Khách hàng'!A:D,4,0)</f>
        <v>Food Đức Việt</v>
      </c>
      <c r="I3528" t="str">
        <f>VLOOKUP(Table8[[#This Row],[Mã khách hàng]],'Khách hàng'!A:E,5,0)</f>
        <v>DNTG100</v>
      </c>
    </row>
    <row r="3529" spans="1:9">
      <c r="A3529" s="14">
        <v>6906</v>
      </c>
      <c r="B3529" s="15" t="s">
        <v>5</v>
      </c>
      <c r="C3529" s="16" t="s">
        <v>12280</v>
      </c>
      <c r="D3529" s="21" t="s">
        <v>12281</v>
      </c>
      <c r="E3529" s="15" t="s">
        <v>11447</v>
      </c>
      <c r="F3529" s="22" t="str">
        <f>VLOOKUP(Table8[[#This Row],[Mã khách hàng]],code_khach_hang[],2,0)</f>
        <v>CHI NHÁNH QUẢNG TRỊ - CÔNG TY CỔ PHẦN DỊCH VỤ THƯƠNG MẠI TỔNG HỢP WINCOMMERCE</v>
      </c>
      <c r="G3529" s="16" t="str">
        <f>VLOOKUP(Table8[[#This Row],[Mã khách hàng]],code_khach_hang[],3,0)</f>
        <v>Miền Trung đặc biệt 1</v>
      </c>
      <c r="H3529" t="str">
        <f>VLOOKUP(Table8[[#This Row],[Mã khách hàng]],'Khách hàng'!A:D,4,0)</f>
        <v>Food Đức Việt</v>
      </c>
      <c r="I3529" t="str">
        <f>VLOOKUP(Table8[[#This Row],[Mã khách hàng]],'Khách hàng'!A:E,5,0)</f>
        <v>DNTG100</v>
      </c>
    </row>
    <row r="3530" spans="1:9">
      <c r="A3530" s="14">
        <v>6936</v>
      </c>
      <c r="B3530" s="15" t="s">
        <v>5</v>
      </c>
      <c r="C3530" s="16" t="s">
        <v>12282</v>
      </c>
      <c r="D3530" s="21" t="s">
        <v>12283</v>
      </c>
      <c r="E3530" s="15" t="s">
        <v>11447</v>
      </c>
      <c r="F3530" s="22" t="str">
        <f>VLOOKUP(Table8[[#This Row],[Mã khách hàng]],code_khach_hang[],2,0)</f>
        <v>CHI NHÁNH QUẢNG TRỊ - CÔNG TY CỔ PHẦN DỊCH VỤ THƯƠNG MẠI TỔNG HỢP WINCOMMERCE</v>
      </c>
      <c r="G3530" s="16" t="str">
        <f>VLOOKUP(Table8[[#This Row],[Mã khách hàng]],code_khach_hang[],3,0)</f>
        <v>Miền Trung đặc biệt 1</v>
      </c>
      <c r="H3530" t="str">
        <f>VLOOKUP(Table8[[#This Row],[Mã khách hàng]],'Khách hàng'!A:D,4,0)</f>
        <v>Food Đức Việt</v>
      </c>
      <c r="I3530" t="str">
        <f>VLOOKUP(Table8[[#This Row],[Mã khách hàng]],'Khách hàng'!A:E,5,0)</f>
        <v>DNTG100</v>
      </c>
    </row>
    <row r="3531" spans="1:9">
      <c r="A3531" s="14">
        <v>6944</v>
      </c>
      <c r="B3531" s="15" t="s">
        <v>5</v>
      </c>
      <c r="C3531" s="16" t="s">
        <v>12284</v>
      </c>
      <c r="D3531" s="21" t="s">
        <v>12285</v>
      </c>
      <c r="E3531" s="15" t="s">
        <v>11450</v>
      </c>
      <c r="F3531" s="22" t="str">
        <f>VLOOKUP(Table8[[#This Row],[Mã khách hàng]],code_khach_hang[],2,0)</f>
        <v>CHI NHÁNH ĐẮK LẮK - CÔNG TY CỔ PHẦN DỊCH VỤ THƯƠNG MẠI TỔNG HỢP WINCOMMERCE</v>
      </c>
      <c r="G3531" s="16" t="str">
        <f>VLOOKUP(Table8[[#This Row],[Mã khách hàng]],code_khach_hang[],3,0)</f>
        <v>Miền Trung đặc biệt 2</v>
      </c>
      <c r="H3531" t="str">
        <f>VLOOKUP(Table8[[#This Row],[Mã khách hàng]],'Khách hàng'!A:D,4,0)</f>
        <v>Food Đức Việt</v>
      </c>
      <c r="I3531" t="str">
        <f>VLOOKUP(Table8[[#This Row],[Mã khách hàng]],'Khách hàng'!A:E,5,0)</f>
        <v>QNTV50</v>
      </c>
    </row>
    <row r="3532" spans="1:9">
      <c r="A3532" s="14">
        <v>6945</v>
      </c>
      <c r="B3532" s="15" t="s">
        <v>5</v>
      </c>
      <c r="C3532" s="16" t="s">
        <v>12286</v>
      </c>
      <c r="D3532" s="21" t="s">
        <v>12287</v>
      </c>
      <c r="E3532" s="15" t="s">
        <v>11442</v>
      </c>
      <c r="F3532" s="22" t="str">
        <f>VLOOKUP(Table8[[#This Row],[Mã khách hàng]],code_khach_hang[],2,0)</f>
        <v>CHI NHÁNH ĐÀ NẴNG - CÔNG TY CỔ PHẦN DỊCH VỤ THƯƠNG MẠI TỔNG HỢP WINCOMMERCE</v>
      </c>
      <c r="G3532" s="16" t="str">
        <f>VLOOKUP(Table8[[#This Row],[Mã khách hàng]],code_khach_hang[],3,0)</f>
        <v>Miền Trung đặc biệt 1</v>
      </c>
      <c r="H3532" t="str">
        <f>VLOOKUP(Table8[[#This Row],[Mã khách hàng]],'Khách hàng'!A:D,4,0)</f>
        <v>Food Đức Việt</v>
      </c>
      <c r="I3532" t="str">
        <f>VLOOKUP(Table8[[#This Row],[Mã khách hàng]],'Khách hàng'!A:E,5,0)</f>
        <v>DNTG100</v>
      </c>
    </row>
    <row r="3533" spans="1:9">
      <c r="A3533" s="14">
        <v>6955</v>
      </c>
      <c r="B3533" s="15" t="s">
        <v>5</v>
      </c>
      <c r="C3533" s="16" t="s">
        <v>12288</v>
      </c>
      <c r="D3533" s="21" t="s">
        <v>12289</v>
      </c>
      <c r="E3533" s="15" t="s">
        <v>11442</v>
      </c>
      <c r="F3533" s="22" t="str">
        <f>VLOOKUP(Table8[[#This Row],[Mã khách hàng]],code_khach_hang[],2,0)</f>
        <v>CHI NHÁNH ĐÀ NẴNG - CÔNG TY CỔ PHẦN DỊCH VỤ THƯƠNG MẠI TỔNG HỢP WINCOMMERCE</v>
      </c>
      <c r="G3533" s="16" t="str">
        <f>VLOOKUP(Table8[[#This Row],[Mã khách hàng]],code_khach_hang[],3,0)</f>
        <v>Miền Trung đặc biệt 1</v>
      </c>
      <c r="H3533" t="str">
        <f>VLOOKUP(Table8[[#This Row],[Mã khách hàng]],'Khách hàng'!A:D,4,0)</f>
        <v>Food Đức Việt</v>
      </c>
      <c r="I3533" t="str">
        <f>VLOOKUP(Table8[[#This Row],[Mã khách hàng]],'Khách hàng'!A:E,5,0)</f>
        <v>DNTG100</v>
      </c>
    </row>
    <row r="3534" spans="1:9">
      <c r="A3534" s="14">
        <v>6963</v>
      </c>
      <c r="B3534" s="15" t="s">
        <v>5</v>
      </c>
      <c r="C3534" s="16" t="s">
        <v>12290</v>
      </c>
      <c r="D3534" s="21" t="s">
        <v>12291</v>
      </c>
      <c r="E3534" s="15" t="s">
        <v>11448</v>
      </c>
      <c r="F3534" s="22" t="str">
        <f>VLOOKUP(Table8[[#This Row],[Mã khách hàng]],code_khach_hang[],2,0)</f>
        <v>CHI NHÁNH KON TUM - CÔNG TY CỔ PHẦN DỊCH VỤ THƯƠNG MẠI TỔNG HỢP WINCOMMERCE</v>
      </c>
      <c r="G3534" s="16" t="str">
        <f>VLOOKUP(Table8[[#This Row],[Mã khách hàng]],code_khach_hang[],3,0)</f>
        <v>Miền Trung đặc biệt 2</v>
      </c>
      <c r="H3534" t="str">
        <f>VLOOKUP(Table8[[#This Row],[Mã khách hàng]],'Khách hàng'!A:D,4,0)</f>
        <v>Food Đức Việt</v>
      </c>
      <c r="I3534" t="str">
        <f>VLOOKUP(Table8[[#This Row],[Mã khách hàng]],'Khách hàng'!A:E,5,0)</f>
        <v>QNTV50</v>
      </c>
    </row>
    <row r="3535" spans="1:9">
      <c r="A3535" s="14">
        <v>6971</v>
      </c>
      <c r="B3535" s="15" t="s">
        <v>5</v>
      </c>
      <c r="C3535" s="16" t="s">
        <v>12292</v>
      </c>
      <c r="D3535" s="21" t="s">
        <v>12293</v>
      </c>
      <c r="E3535" s="15" t="s">
        <v>11446</v>
      </c>
      <c r="F3535" s="22" t="str">
        <f>VLOOKUP(Table8[[#This Row],[Mã khách hàng]],code_khach_hang[],2,0)</f>
        <v>CHI NHÁNH GIA LAI - CÔNG TY CỔ PHẦN DỊCH VỤ THƯƠNG MẠI TỔNG HỢP WINCOMMERCE</v>
      </c>
      <c r="G3535" s="16" t="str">
        <f>VLOOKUP(Table8[[#This Row],[Mã khách hàng]],code_khach_hang[],3,0)</f>
        <v>Miền Bắc đặc biệt 2</v>
      </c>
      <c r="H3535" t="str">
        <f>VLOOKUP(Table8[[#This Row],[Mã khách hàng]],'Khách hàng'!A:D,4,0)</f>
        <v>Food Đức Việt</v>
      </c>
      <c r="I3535" t="str">
        <f>VLOOKUP(Table8[[#This Row],[Mã khách hàng]],'Khách hàng'!A:E,5,0)</f>
        <v>QNTV50</v>
      </c>
    </row>
    <row r="3536" spans="1:9">
      <c r="A3536" s="14">
        <v>6972</v>
      </c>
      <c r="B3536" s="15" t="s">
        <v>5</v>
      </c>
      <c r="C3536" s="16" t="s">
        <v>12294</v>
      </c>
      <c r="D3536" s="21" t="s">
        <v>12295</v>
      </c>
      <c r="E3536" s="15" t="s">
        <v>11446</v>
      </c>
      <c r="F3536" s="22" t="str">
        <f>VLOOKUP(Table8[[#This Row],[Mã khách hàng]],code_khach_hang[],2,0)</f>
        <v>CHI NHÁNH GIA LAI - CÔNG TY CỔ PHẦN DỊCH VỤ THƯƠNG MẠI TỔNG HỢP WINCOMMERCE</v>
      </c>
      <c r="G3536" s="16" t="str">
        <f>VLOOKUP(Table8[[#This Row],[Mã khách hàng]],code_khach_hang[],3,0)</f>
        <v>Miền Bắc đặc biệt 2</v>
      </c>
      <c r="H3536" t="str">
        <f>VLOOKUP(Table8[[#This Row],[Mã khách hàng]],'Khách hàng'!A:D,4,0)</f>
        <v>Food Đức Việt</v>
      </c>
      <c r="I3536" t="str">
        <f>VLOOKUP(Table8[[#This Row],[Mã khách hàng]],'Khách hàng'!A:E,5,0)</f>
        <v>QNTV50</v>
      </c>
    </row>
    <row r="3537" spans="1:9">
      <c r="A3537" s="14">
        <v>6973</v>
      </c>
      <c r="B3537" s="15" t="s">
        <v>5</v>
      </c>
      <c r="C3537" s="16" t="s">
        <v>12296</v>
      </c>
      <c r="D3537" s="21" t="s">
        <v>12297</v>
      </c>
      <c r="E3537" s="15" t="s">
        <v>11447</v>
      </c>
      <c r="F3537" s="22" t="str">
        <f>VLOOKUP(Table8[[#This Row],[Mã khách hàng]],code_khach_hang[],2,0)</f>
        <v>CHI NHÁNH QUẢNG TRỊ - CÔNG TY CỔ PHẦN DỊCH VỤ THƯƠNG MẠI TỔNG HỢP WINCOMMERCE</v>
      </c>
      <c r="G3537" s="16" t="str">
        <f>VLOOKUP(Table8[[#This Row],[Mã khách hàng]],code_khach_hang[],3,0)</f>
        <v>Miền Trung đặc biệt 1</v>
      </c>
      <c r="H3537" t="str">
        <f>VLOOKUP(Table8[[#This Row],[Mã khách hàng]],'Khách hàng'!A:D,4,0)</f>
        <v>Food Đức Việt</v>
      </c>
      <c r="I3537" t="str">
        <f>VLOOKUP(Table8[[#This Row],[Mã khách hàng]],'Khách hàng'!A:E,5,0)</f>
        <v>DNTG100</v>
      </c>
    </row>
    <row r="3538" spans="1:9">
      <c r="A3538" s="14">
        <v>6979</v>
      </c>
      <c r="B3538" s="15" t="s">
        <v>5</v>
      </c>
      <c r="C3538" s="16" t="s">
        <v>12298</v>
      </c>
      <c r="D3538" s="21" t="s">
        <v>12299</v>
      </c>
      <c r="E3538" s="15" t="s">
        <v>11442</v>
      </c>
      <c r="F3538" s="22" t="str">
        <f>VLOOKUP(Table8[[#This Row],[Mã khách hàng]],code_khach_hang[],2,0)</f>
        <v>CHI NHÁNH ĐÀ NẴNG - CÔNG TY CỔ PHẦN DỊCH VỤ THƯƠNG MẠI TỔNG HỢP WINCOMMERCE</v>
      </c>
      <c r="G3538" s="16" t="str">
        <f>VLOOKUP(Table8[[#This Row],[Mã khách hàng]],code_khach_hang[],3,0)</f>
        <v>Miền Trung đặc biệt 1</v>
      </c>
      <c r="H3538" t="str">
        <f>VLOOKUP(Table8[[#This Row],[Mã khách hàng]],'Khách hàng'!A:D,4,0)</f>
        <v>Food Đức Việt</v>
      </c>
      <c r="I3538" t="str">
        <f>VLOOKUP(Table8[[#This Row],[Mã khách hàng]],'Khách hàng'!A:E,5,0)</f>
        <v>DNTG100</v>
      </c>
    </row>
    <row r="3539" spans="1:9">
      <c r="A3539" s="11" t="s">
        <v>12318</v>
      </c>
      <c r="B3539" s="15" t="s">
        <v>5</v>
      </c>
      <c r="C3539" s="10" t="s">
        <v>12324</v>
      </c>
      <c r="D3539" s="21"/>
      <c r="E3539" s="31" t="s">
        <v>11215</v>
      </c>
      <c r="F3539" s="22" t="str">
        <f>VLOOKUP(Table8[[#This Row],[Mã khách hàng]],code_khach_hang[],2,0)</f>
        <v>CHI NHÁNH HÀ NỘI - CÔNG TY CỔ PHẦN DỊCH VỤ THƯƠNG MẠI TỔNG HỢP WINCOMMERCE</v>
      </c>
      <c r="G3539" s="10" t="str">
        <f>VLOOKUP(Table8[[#This Row],[Mã khách hàng]],code_khach_hang[],3,0)</f>
        <v>Miền Bắc đặc biệt 1</v>
      </c>
      <c r="H3539" t="str">
        <f>VLOOKUP(Table8[[#This Row],[Mã khách hàng]],'Khách hàng'!A:D,4,0)</f>
        <v>Food Đức Việt</v>
      </c>
      <c r="I3539" t="str">
        <f>VLOOKUP(Table8[[#This Row],[Mã khách hàng]],'Khách hàng'!A:E,5,0)</f>
        <v>HN0040</v>
      </c>
    </row>
    <row r="3540" spans="1:9">
      <c r="A3540" s="14" t="s">
        <v>12319</v>
      </c>
      <c r="B3540" s="15" t="s">
        <v>5</v>
      </c>
      <c r="C3540" s="16" t="s">
        <v>12325</v>
      </c>
      <c r="D3540" s="21"/>
      <c r="E3540" s="32" t="s">
        <v>11205</v>
      </c>
      <c r="F3540" s="22" t="str">
        <f>VLOOKUP(Table8[[#This Row],[Mã khách hàng]],code_khach_hang[],2,0)</f>
        <v>CHI NHÁNH HÀ TĨNH - CÔNG TY CỔ PHẦN DỊCH VỤ THƯƠNG MẠI TỔNG HỢP WINCOMMERCE</v>
      </c>
      <c r="G3540" s="16" t="str">
        <f>VLOOKUP(Table8[[#This Row],[Mã khách hàng]],code_khach_hang[],3,0)</f>
        <v>Miền Trung đặc biệt 1</v>
      </c>
      <c r="H3540" t="str">
        <f>VLOOKUP(Table8[[#This Row],[Mã khách hàng]],'Khách hàng'!A:D,4,0)</f>
        <v>Food Đức Việt</v>
      </c>
      <c r="I3540" t="str">
        <f>VLOOKUP(Table8[[#This Row],[Mã khách hàng]],'Khách hàng'!A:E,5,0)</f>
        <v>HN0040</v>
      </c>
    </row>
    <row r="3541" spans="1:9">
      <c r="A3541" s="14" t="s">
        <v>12320</v>
      </c>
      <c r="B3541" s="15" t="s">
        <v>5</v>
      </c>
      <c r="C3541" s="16" t="s">
        <v>12326</v>
      </c>
      <c r="D3541" s="21"/>
      <c r="E3541" s="32" t="s">
        <v>11207</v>
      </c>
      <c r="F3541" s="22" t="str">
        <f>VLOOKUP(Table8[[#This Row],[Mã khách hàng]],code_khach_hang[],2,0)</f>
        <v>CHI NHÁNH THÁI NGUYÊN - CÔNG TY CỔ PHẦN DỊCH VỤ THƯƠNG MẠI TỔNG HỢP WINCOMMERCE</v>
      </c>
      <c r="G3541" s="16" t="str">
        <f>VLOOKUP(Table8[[#This Row],[Mã khách hàng]],code_khach_hang[],3,0)</f>
        <v>Miền Bắc đặc biệt 2</v>
      </c>
      <c r="H3541" t="str">
        <f>VLOOKUP(Table8[[#This Row],[Mã khách hàng]],'Khách hàng'!A:D,4,0)</f>
        <v>Food Đức Việt</v>
      </c>
      <c r="I3541" t="str">
        <f>VLOOKUP(Table8[[#This Row],[Mã khách hàng]],'Khách hàng'!A:E,5,0)</f>
        <v>HN0040</v>
      </c>
    </row>
    <row r="3542" spans="1:9">
      <c r="A3542" s="14" t="s">
        <v>12321</v>
      </c>
      <c r="B3542" s="15" t="s">
        <v>5</v>
      </c>
      <c r="C3542" s="16" t="s">
        <v>12327</v>
      </c>
      <c r="D3542" s="21"/>
      <c r="E3542" s="32" t="s">
        <v>11193</v>
      </c>
      <c r="F3542" s="22" t="str">
        <f>VLOOKUP(Table8[[#This Row],[Mã khách hàng]],code_khach_hang[],2,0)</f>
        <v>CHI NHÁNH BẮC NINH - CÔNG TY CỔ PHẦN DỊCH VỤ THƯƠNG MẠI TỔNG HỢP WINCOMMERCE</v>
      </c>
      <c r="G3542" s="16" t="str">
        <f>VLOOKUP(Table8[[#This Row],[Mã khách hàng]],code_khach_hang[],3,0)</f>
        <v>Miền Bắc đặc biệt 2</v>
      </c>
      <c r="H3542" t="str">
        <f>VLOOKUP(Table8[[#This Row],[Mã khách hàng]],'Khách hàng'!A:D,4,0)</f>
        <v>Food Đức Việt</v>
      </c>
      <c r="I3542" t="str">
        <f>VLOOKUP(Table8[[#This Row],[Mã khách hàng]],'Khách hàng'!A:E,5,0)</f>
        <v>HN0040</v>
      </c>
    </row>
    <row r="3543" spans="1:9">
      <c r="A3543" s="14" t="s">
        <v>12322</v>
      </c>
      <c r="B3543" s="15" t="s">
        <v>5</v>
      </c>
      <c r="C3543" s="16" t="s">
        <v>12328</v>
      </c>
      <c r="D3543" s="21"/>
      <c r="E3543" s="32" t="s">
        <v>11198</v>
      </c>
      <c r="F3543" s="22" t="str">
        <f>VLOOKUP(Table8[[#This Row],[Mã khách hàng]],code_khach_hang[],2,0)</f>
        <v>CHI NHÁNH HẢI PHÒNG - CÔNG TY CỔ PHẦN DỊCH VỤ THƯƠNG MẠI TỔNG HỢP WINCOMMERCE</v>
      </c>
      <c r="G3543" s="16" t="str">
        <f>VLOOKUP(Table8[[#This Row],[Mã khách hàng]],code_khach_hang[],3,0)</f>
        <v>Miền Bắc đặc biệt 3</v>
      </c>
      <c r="H3543" t="str">
        <f>VLOOKUP(Table8[[#This Row],[Mã khách hàng]],'Khách hàng'!A:D,4,0)</f>
        <v>Food Đức Việt</v>
      </c>
      <c r="I3543" t="str">
        <f>VLOOKUP(Table8[[#This Row],[Mã khách hàng]],'Khách hàng'!A:E,5,0)</f>
        <v>HN0040</v>
      </c>
    </row>
    <row r="3544" spans="1:9">
      <c r="A3544" s="14" t="s">
        <v>12323</v>
      </c>
      <c r="B3544" s="15" t="s">
        <v>5</v>
      </c>
      <c r="C3544" s="16" t="s">
        <v>12329</v>
      </c>
      <c r="D3544" s="21"/>
      <c r="E3544" s="32" t="s">
        <v>11198</v>
      </c>
      <c r="F3544" s="22" t="str">
        <f>VLOOKUP(Table8[[#This Row],[Mã khách hàng]],code_khach_hang[],2,0)</f>
        <v>CHI NHÁNH HẢI PHÒNG - CÔNG TY CỔ PHẦN DỊCH VỤ THƯƠNG MẠI TỔNG HỢP WINCOMMERCE</v>
      </c>
      <c r="G3544" s="16" t="str">
        <f>VLOOKUP(Table8[[#This Row],[Mã khách hàng]],code_khach_hang[],3,0)</f>
        <v>Miền Bắc đặc biệt 3</v>
      </c>
      <c r="H3544" t="str">
        <f>VLOOKUP(Table8[[#This Row],[Mã khách hàng]],'Khách hàng'!A:D,4,0)</f>
        <v>Food Đức Việt</v>
      </c>
      <c r="I3544" t="str">
        <f>VLOOKUP(Table8[[#This Row],[Mã khách hàng]],'Khách hàng'!A:E,5,0)</f>
        <v>HN0040</v>
      </c>
    </row>
    <row r="3545" spans="1:9">
      <c r="A3545" s="11" t="s">
        <v>12330</v>
      </c>
      <c r="B3545" s="15" t="s">
        <v>5</v>
      </c>
      <c r="C3545" s="10" t="s">
        <v>12336</v>
      </c>
      <c r="D3545" s="21"/>
      <c r="E3545" s="31" t="s">
        <v>11215</v>
      </c>
      <c r="F3545" s="22" t="str">
        <f>VLOOKUP(Table8[[#This Row],[Mã khách hàng]],code_khach_hang[],2,0)</f>
        <v>CHI NHÁNH HÀ NỘI - CÔNG TY CỔ PHẦN DỊCH VỤ THƯƠNG MẠI TỔNG HỢP WINCOMMERCE</v>
      </c>
      <c r="G3545" s="10" t="str">
        <f>VLOOKUP(Table8[[#This Row],[Mã khách hàng]],code_khach_hang[],3,0)</f>
        <v>Miền Bắc đặc biệt 1</v>
      </c>
      <c r="H3545" t="str">
        <f>VLOOKUP(Table8[[#This Row],[Mã khách hàng]],'Khách hàng'!A:D,4,0)</f>
        <v>Food Đức Việt</v>
      </c>
      <c r="I3545" t="str">
        <f>VLOOKUP(Table8[[#This Row],[Mã khách hàng]],'Khách hàng'!A:E,5,0)</f>
        <v>HN0040</v>
      </c>
    </row>
    <row r="3546" spans="1:9">
      <c r="A3546" s="14" t="s">
        <v>12331</v>
      </c>
      <c r="B3546" s="15" t="s">
        <v>5</v>
      </c>
      <c r="C3546" s="16" t="s">
        <v>12337</v>
      </c>
      <c r="D3546" s="21"/>
      <c r="E3546" s="32" t="s">
        <v>11197</v>
      </c>
      <c r="F3546" s="22" t="str">
        <f>VLOOKUP(Table8[[#This Row],[Mã khách hàng]],code_khach_hang[],2,0)</f>
        <v>CHI NHÁNH QUẢNG NINH - CÔNG TY CỔ PHẦN DỊCH VỤ THƯƠNG MẠI TỔNG HỢP WINCOMMERCE</v>
      </c>
      <c r="G3546" s="16" t="str">
        <f>VLOOKUP(Table8[[#This Row],[Mã khách hàng]],code_khach_hang[],3,0)</f>
        <v>Miền Bắc đặc biệt 3</v>
      </c>
      <c r="H3546" t="str">
        <f>VLOOKUP(Table8[[#This Row],[Mã khách hàng]],'Khách hàng'!A:D,4,0)</f>
        <v>Food Đức Việt</v>
      </c>
      <c r="I3546" t="str">
        <f>VLOOKUP(Table8[[#This Row],[Mã khách hàng]],'Khách hàng'!A:E,5,0)</f>
        <v>HN0040</v>
      </c>
    </row>
    <row r="3547" spans="1:9">
      <c r="A3547" s="14" t="s">
        <v>12332</v>
      </c>
      <c r="B3547" s="15" t="s">
        <v>5</v>
      </c>
      <c r="C3547" s="16" t="s">
        <v>12338</v>
      </c>
      <c r="D3547" s="21"/>
      <c r="E3547" s="32" t="s">
        <v>11198</v>
      </c>
      <c r="F3547" s="22" t="str">
        <f>VLOOKUP(Table8[[#This Row],[Mã khách hàng]],code_khach_hang[],2,0)</f>
        <v>CHI NHÁNH HẢI PHÒNG - CÔNG TY CỔ PHẦN DỊCH VỤ THƯƠNG MẠI TỔNG HỢP WINCOMMERCE</v>
      </c>
      <c r="G3547" s="16" t="str">
        <f>VLOOKUP(Table8[[#This Row],[Mã khách hàng]],code_khach_hang[],3,0)</f>
        <v>Miền Bắc đặc biệt 3</v>
      </c>
      <c r="H3547" t="str">
        <f>VLOOKUP(Table8[[#This Row],[Mã khách hàng]],'Khách hàng'!A:D,4,0)</f>
        <v>Food Đức Việt</v>
      </c>
      <c r="I3547" t="str">
        <f>VLOOKUP(Table8[[#This Row],[Mã khách hàng]],'Khách hàng'!A:E,5,0)</f>
        <v>HN0040</v>
      </c>
    </row>
    <row r="3548" spans="1:9">
      <c r="A3548" s="14" t="s">
        <v>12333</v>
      </c>
      <c r="B3548" s="15" t="s">
        <v>5</v>
      </c>
      <c r="C3548" s="16" t="s">
        <v>12339</v>
      </c>
      <c r="D3548" s="21"/>
      <c r="E3548" s="32" t="s">
        <v>11215</v>
      </c>
      <c r="F3548" s="22" t="str">
        <f>VLOOKUP(Table8[[#This Row],[Mã khách hàng]],code_khach_hang[],2,0)</f>
        <v>CHI NHÁNH HÀ NỘI - CÔNG TY CỔ PHẦN DỊCH VỤ THƯƠNG MẠI TỔNG HỢP WINCOMMERCE</v>
      </c>
      <c r="G3548" s="16" t="str">
        <f>VLOOKUP(Table8[[#This Row],[Mã khách hàng]],code_khach_hang[],3,0)</f>
        <v>Miền Bắc đặc biệt 1</v>
      </c>
      <c r="H3548" t="str">
        <f>VLOOKUP(Table8[[#This Row],[Mã khách hàng]],'Khách hàng'!A:D,4,0)</f>
        <v>Food Đức Việt</v>
      </c>
      <c r="I3548" t="str">
        <f>VLOOKUP(Table8[[#This Row],[Mã khách hàng]],'Khách hàng'!A:E,5,0)</f>
        <v>HN0040</v>
      </c>
    </row>
    <row r="3549" spans="1:9">
      <c r="A3549" s="14" t="s">
        <v>12334</v>
      </c>
      <c r="B3549" s="15" t="s">
        <v>5</v>
      </c>
      <c r="C3549" s="16" t="s">
        <v>12340</v>
      </c>
      <c r="D3549" s="21"/>
      <c r="E3549" s="32" t="s">
        <v>11198</v>
      </c>
      <c r="F3549" s="22" t="str">
        <f>VLOOKUP(Table8[[#This Row],[Mã khách hàng]],code_khach_hang[],2,0)</f>
        <v>CHI NHÁNH HẢI PHÒNG - CÔNG TY CỔ PHẦN DỊCH VỤ THƯƠNG MẠI TỔNG HỢP WINCOMMERCE</v>
      </c>
      <c r="G3549" s="16" t="str">
        <f>VLOOKUP(Table8[[#This Row],[Mã khách hàng]],code_khach_hang[],3,0)</f>
        <v>Miền Bắc đặc biệt 3</v>
      </c>
      <c r="H3549" t="str">
        <f>VLOOKUP(Table8[[#This Row],[Mã khách hàng]],'Khách hàng'!A:D,4,0)</f>
        <v>Food Đức Việt</v>
      </c>
      <c r="I3549" t="str">
        <f>VLOOKUP(Table8[[#This Row],[Mã khách hàng]],'Khách hàng'!A:E,5,0)</f>
        <v>HN0040</v>
      </c>
    </row>
    <row r="3550" spans="1:9">
      <c r="A3550" s="14" t="s">
        <v>12335</v>
      </c>
      <c r="B3550" s="15" t="s">
        <v>5</v>
      </c>
      <c r="C3550" s="16" t="s">
        <v>12341</v>
      </c>
      <c r="D3550" s="21"/>
      <c r="E3550" s="32" t="s">
        <v>11203</v>
      </c>
      <c r="F3550" s="22" t="str">
        <f>VLOOKUP(Table8[[#This Row],[Mã khách hàng]],code_khach_hang[],2,0)</f>
        <v>CHI NHÁNH THANH HÓA - CÔNG TY CỔ PHẦN DỊCH VỤ THƯƠNG MẠI TỔNG HỢP WINCOMMERCE</v>
      </c>
      <c r="G3550" s="16" t="str">
        <f>VLOOKUP(Table8[[#This Row],[Mã khách hàng]],code_khach_hang[],3,0)</f>
        <v>Miền Trung đặc biệt 1</v>
      </c>
      <c r="H3550" t="str">
        <f>VLOOKUP(Table8[[#This Row],[Mã khách hàng]],'Khách hàng'!A:D,4,0)</f>
        <v>Food Đức Việt</v>
      </c>
      <c r="I3550" t="str">
        <f>VLOOKUP(Table8[[#This Row],[Mã khách hàng]],'Khách hàng'!A:E,5,0)</f>
        <v>HN0040</v>
      </c>
    </row>
    <row r="3551" spans="1:9">
      <c r="A3551" s="11" t="s">
        <v>12346</v>
      </c>
      <c r="B3551" s="15" t="s">
        <v>5</v>
      </c>
      <c r="C3551" s="10" t="s">
        <v>12363</v>
      </c>
      <c r="D3551" s="21"/>
      <c r="E3551" s="31" t="s">
        <v>11218</v>
      </c>
      <c r="F3551" s="22" t="str">
        <f>VLOOKUP(Table8[[#This Row],[Mã khách hàng]],code_khach_hang[],2,0)</f>
        <v>CHI NHÁNH LÀO CAI - CÔNG TY CỔ PHẦN DỊCH VỤ THƯƠNG MẠI TỔNG HỢP WINCOMMERCE</v>
      </c>
      <c r="G3551" s="10" t="str">
        <f>VLOOKUP(Table8[[#This Row],[Mã khách hàng]],code_khach_hang[],3,0)</f>
        <v>Miền Bắc đặc biệt 1</v>
      </c>
      <c r="H3551" t="str">
        <f>VLOOKUP(Table8[[#This Row],[Mã khách hàng]],'Khách hàng'!A:D,4,0)</f>
        <v>Food Đức Việt</v>
      </c>
      <c r="I3551" t="str">
        <f>VLOOKUP(Table8[[#This Row],[Mã khách hàng]],'Khách hàng'!A:E,5,0)</f>
        <v>HN0040</v>
      </c>
    </row>
    <row r="3552" spans="1:9">
      <c r="A3552" s="14" t="s">
        <v>12347</v>
      </c>
      <c r="B3552" s="15" t="s">
        <v>5</v>
      </c>
      <c r="C3552" s="16" t="s">
        <v>12364</v>
      </c>
      <c r="D3552" s="21"/>
      <c r="E3552" s="32" t="s">
        <v>11215</v>
      </c>
      <c r="F3552" s="22" t="str">
        <f>VLOOKUP(Table8[[#This Row],[Mã khách hàng]],code_khach_hang[],2,0)</f>
        <v>CHI NHÁNH HÀ NỘI - CÔNG TY CỔ PHẦN DỊCH VỤ THƯƠNG MẠI TỔNG HỢP WINCOMMERCE</v>
      </c>
      <c r="G3552" s="16" t="str">
        <f>VLOOKUP(Table8[[#This Row],[Mã khách hàng]],code_khach_hang[],3,0)</f>
        <v>Miền Bắc đặc biệt 1</v>
      </c>
      <c r="H3552" t="str">
        <f>VLOOKUP(Table8[[#This Row],[Mã khách hàng]],'Khách hàng'!A:D,4,0)</f>
        <v>Food Đức Việt</v>
      </c>
      <c r="I3552" t="str">
        <f>VLOOKUP(Table8[[#This Row],[Mã khách hàng]],'Khách hàng'!A:E,5,0)</f>
        <v>HN0040</v>
      </c>
    </row>
    <row r="3553" spans="1:9">
      <c r="A3553" s="14" t="s">
        <v>12348</v>
      </c>
      <c r="B3553" s="15" t="s">
        <v>5</v>
      </c>
      <c r="C3553" s="16" t="s">
        <v>12365</v>
      </c>
      <c r="D3553" s="21"/>
      <c r="E3553" s="32" t="s">
        <v>11216</v>
      </c>
      <c r="F3553" s="22" t="str">
        <f>VLOOKUP(Table8[[#This Row],[Mã khách hàng]],code_khach_hang[],2,0)</f>
        <v>CHI NHÁNH HƯNG YÊN - CÔNG TY CỔ PHẦN DỊCH VỤ THƯƠNG MẠI TỔNG HỢP WINCOMMERCE</v>
      </c>
      <c r="G3553" s="16" t="str">
        <f>VLOOKUP(Table8[[#This Row],[Mã khách hàng]],code_khach_hang[],3,0)</f>
        <v>Miền Bắc đặc biệt 1</v>
      </c>
      <c r="H3553" t="str">
        <f>VLOOKUP(Table8[[#This Row],[Mã khách hàng]],'Khách hàng'!A:D,4,0)</f>
        <v>Food Đức Việt</v>
      </c>
      <c r="I3553" t="str">
        <f>VLOOKUP(Table8[[#This Row],[Mã khách hàng]],'Khách hàng'!A:E,5,0)</f>
        <v>HN0040</v>
      </c>
    </row>
    <row r="3554" spans="1:9">
      <c r="A3554" s="14" t="s">
        <v>12349</v>
      </c>
      <c r="B3554" s="15" t="s">
        <v>5</v>
      </c>
      <c r="C3554" s="16" t="s">
        <v>12366</v>
      </c>
      <c r="D3554" s="21"/>
      <c r="E3554" s="32" t="s">
        <v>11215</v>
      </c>
      <c r="F3554" s="22" t="str">
        <f>VLOOKUP(Table8[[#This Row],[Mã khách hàng]],code_khach_hang[],2,0)</f>
        <v>CHI NHÁNH HÀ NỘI - CÔNG TY CỔ PHẦN DỊCH VỤ THƯƠNG MẠI TỔNG HỢP WINCOMMERCE</v>
      </c>
      <c r="G3554" s="16" t="str">
        <f>VLOOKUP(Table8[[#This Row],[Mã khách hàng]],code_khach_hang[],3,0)</f>
        <v>Miền Bắc đặc biệt 1</v>
      </c>
      <c r="H3554" t="str">
        <f>VLOOKUP(Table8[[#This Row],[Mã khách hàng]],'Khách hàng'!A:D,4,0)</f>
        <v>Food Đức Việt</v>
      </c>
      <c r="I3554" t="str">
        <f>VLOOKUP(Table8[[#This Row],[Mã khách hàng]],'Khách hàng'!A:E,5,0)</f>
        <v>HN0040</v>
      </c>
    </row>
    <row r="3555" spans="1:9">
      <c r="A3555" s="14" t="s">
        <v>12350</v>
      </c>
      <c r="B3555" s="15" t="s">
        <v>5</v>
      </c>
      <c r="C3555" s="16" t="s">
        <v>12367</v>
      </c>
      <c r="D3555" s="21"/>
      <c r="E3555" s="32" t="s">
        <v>11199</v>
      </c>
      <c r="F3555" s="22" t="str">
        <f>VLOOKUP(Table8[[#This Row],[Mã khách hàng]],code_khach_hang[],2,0)</f>
        <v>CHI NHÁNH PHÚ THỌ - CÔNG TY CỔ PHẦN DỊCH VỤ THƯƠNG MẠI TỔNG HỢP WINCOMMERCE</v>
      </c>
      <c r="G3555" s="16" t="str">
        <f>VLOOKUP(Table8[[#This Row],[Mã khách hàng]],code_khach_hang[],3,0)</f>
        <v>Miền Bắc đặc biệt 1</v>
      </c>
      <c r="H3555" t="str">
        <f>VLOOKUP(Table8[[#This Row],[Mã khách hàng]],'Khách hàng'!A:D,4,0)</f>
        <v>Food Đức Việt</v>
      </c>
      <c r="I3555" t="str">
        <f>VLOOKUP(Table8[[#This Row],[Mã khách hàng]],'Khách hàng'!A:E,5,0)</f>
        <v>HN0040</v>
      </c>
    </row>
    <row r="3556" spans="1:9">
      <c r="A3556" s="14" t="s">
        <v>12351</v>
      </c>
      <c r="B3556" s="15" t="s">
        <v>5</v>
      </c>
      <c r="C3556" s="16" t="s">
        <v>12368</v>
      </c>
      <c r="D3556" s="21"/>
      <c r="E3556" s="32" t="s">
        <v>11203</v>
      </c>
      <c r="F3556" s="22" t="str">
        <f>VLOOKUP(Table8[[#This Row],[Mã khách hàng]],code_khach_hang[],2,0)</f>
        <v>CHI NHÁNH THANH HÓA - CÔNG TY CỔ PHẦN DỊCH VỤ THƯƠNG MẠI TỔNG HỢP WINCOMMERCE</v>
      </c>
      <c r="G3556" s="16" t="str">
        <f>VLOOKUP(Table8[[#This Row],[Mã khách hàng]],code_khach_hang[],3,0)</f>
        <v>Miền Trung đặc biệt 1</v>
      </c>
      <c r="H3556" t="str">
        <f>VLOOKUP(Table8[[#This Row],[Mã khách hàng]],'Khách hàng'!A:D,4,0)</f>
        <v>Food Đức Việt</v>
      </c>
      <c r="I3556" t="str">
        <f>VLOOKUP(Table8[[#This Row],[Mã khách hàng]],'Khách hàng'!A:E,5,0)</f>
        <v>HN0040</v>
      </c>
    </row>
    <row r="3557" spans="1:9">
      <c r="A3557" s="14" t="s">
        <v>12352</v>
      </c>
      <c r="B3557" s="15" t="s">
        <v>5</v>
      </c>
      <c r="C3557" s="16" t="s">
        <v>12369</v>
      </c>
      <c r="D3557" s="21"/>
      <c r="E3557" s="32" t="s">
        <v>11216</v>
      </c>
      <c r="F3557" s="22" t="str">
        <f>VLOOKUP(Table8[[#This Row],[Mã khách hàng]],code_khach_hang[],2,0)</f>
        <v>CHI NHÁNH HƯNG YÊN - CÔNG TY CỔ PHẦN DỊCH VỤ THƯƠNG MẠI TỔNG HỢP WINCOMMERCE</v>
      </c>
      <c r="G3557" s="16" t="str">
        <f>VLOOKUP(Table8[[#This Row],[Mã khách hàng]],code_khach_hang[],3,0)</f>
        <v>Miền Bắc đặc biệt 1</v>
      </c>
      <c r="H3557" t="str">
        <f>VLOOKUP(Table8[[#This Row],[Mã khách hàng]],'Khách hàng'!A:D,4,0)</f>
        <v>Food Đức Việt</v>
      </c>
      <c r="I3557" t="str">
        <f>VLOOKUP(Table8[[#This Row],[Mã khách hàng]],'Khách hàng'!A:E,5,0)</f>
        <v>HN0040</v>
      </c>
    </row>
    <row r="3558" spans="1:9">
      <c r="A3558" s="14" t="s">
        <v>12353</v>
      </c>
      <c r="B3558" s="15" t="s">
        <v>5</v>
      </c>
      <c r="C3558" s="16" t="s">
        <v>12370</v>
      </c>
      <c r="D3558" s="21"/>
      <c r="E3558" s="32" t="s">
        <v>11193</v>
      </c>
      <c r="F3558" s="22" t="str">
        <f>VLOOKUP(Table8[[#This Row],[Mã khách hàng]],code_khach_hang[],2,0)</f>
        <v>CHI NHÁNH BẮC NINH - CÔNG TY CỔ PHẦN DỊCH VỤ THƯƠNG MẠI TỔNG HỢP WINCOMMERCE</v>
      </c>
      <c r="G3558" s="16" t="str">
        <f>VLOOKUP(Table8[[#This Row],[Mã khách hàng]],code_khach_hang[],3,0)</f>
        <v>Miền Bắc đặc biệt 2</v>
      </c>
      <c r="H3558" t="str">
        <f>VLOOKUP(Table8[[#This Row],[Mã khách hàng]],'Khách hàng'!A:D,4,0)</f>
        <v>Food Đức Việt</v>
      </c>
      <c r="I3558" t="str">
        <f>VLOOKUP(Table8[[#This Row],[Mã khách hàng]],'Khách hàng'!A:E,5,0)</f>
        <v>HN0040</v>
      </c>
    </row>
    <row r="3559" spans="1:9">
      <c r="A3559" s="14" t="s">
        <v>12354</v>
      </c>
      <c r="B3559" s="15" t="s">
        <v>5</v>
      </c>
      <c r="C3559" s="16" t="s">
        <v>12371</v>
      </c>
      <c r="D3559" s="21"/>
      <c r="E3559" s="32" t="s">
        <v>11211</v>
      </c>
      <c r="F3559" s="22" t="str">
        <f>VLOOKUP(Table8[[#This Row],[Mã khách hàng]],code_khach_hang[],2,0)</f>
        <v>CHI NHÁNH NGHỆ AN - CÔNG TY CỔ PHẦN DỊCH VỤ THƯƠNG MẠI TỔNG HỢP WINCOMMERCE</v>
      </c>
      <c r="G3559" s="16" t="str">
        <f>VLOOKUP(Table8[[#This Row],[Mã khách hàng]],code_khach_hang[],3,0)</f>
        <v>Miền Trung đặc biệt 1</v>
      </c>
      <c r="H3559" t="str">
        <f>VLOOKUP(Table8[[#This Row],[Mã khách hàng]],'Khách hàng'!A:D,4,0)</f>
        <v>Food Đức Việt</v>
      </c>
      <c r="I3559" t="str">
        <f>VLOOKUP(Table8[[#This Row],[Mã khách hàng]],'Khách hàng'!A:E,5,0)</f>
        <v>HN0040</v>
      </c>
    </row>
    <row r="3560" spans="1:9">
      <c r="A3560" s="14" t="s">
        <v>12355</v>
      </c>
      <c r="B3560" s="15" t="s">
        <v>5</v>
      </c>
      <c r="C3560" s="16" t="s">
        <v>12372</v>
      </c>
      <c r="D3560" s="21"/>
      <c r="E3560" s="32" t="s">
        <v>11198</v>
      </c>
      <c r="F3560" s="22" t="str">
        <f>VLOOKUP(Table8[[#This Row],[Mã khách hàng]],code_khach_hang[],2,0)</f>
        <v>CHI NHÁNH HẢI PHÒNG - CÔNG TY CỔ PHẦN DỊCH VỤ THƯƠNG MẠI TỔNG HỢP WINCOMMERCE</v>
      </c>
      <c r="G3560" s="16" t="str">
        <f>VLOOKUP(Table8[[#This Row],[Mã khách hàng]],code_khach_hang[],3,0)</f>
        <v>Miền Bắc đặc biệt 3</v>
      </c>
      <c r="H3560" t="str">
        <f>VLOOKUP(Table8[[#This Row],[Mã khách hàng]],'Khách hàng'!A:D,4,0)</f>
        <v>Food Đức Việt</v>
      </c>
      <c r="I3560" t="str">
        <f>VLOOKUP(Table8[[#This Row],[Mã khách hàng]],'Khách hàng'!A:E,5,0)</f>
        <v>HN0040</v>
      </c>
    </row>
    <row r="3561" spans="1:9">
      <c r="A3561" s="14" t="s">
        <v>12356</v>
      </c>
      <c r="B3561" s="15" t="s">
        <v>5</v>
      </c>
      <c r="C3561" s="16" t="s">
        <v>12373</v>
      </c>
      <c r="D3561" s="21"/>
      <c r="E3561" s="32" t="s">
        <v>11198</v>
      </c>
      <c r="F3561" s="22" t="str">
        <f>VLOOKUP(Table8[[#This Row],[Mã khách hàng]],code_khach_hang[],2,0)</f>
        <v>CHI NHÁNH HẢI PHÒNG - CÔNG TY CỔ PHẦN DỊCH VỤ THƯƠNG MẠI TỔNG HỢP WINCOMMERCE</v>
      </c>
      <c r="G3561" s="16" t="str">
        <f>VLOOKUP(Table8[[#This Row],[Mã khách hàng]],code_khach_hang[],3,0)</f>
        <v>Miền Bắc đặc biệt 3</v>
      </c>
      <c r="H3561" t="str">
        <f>VLOOKUP(Table8[[#This Row],[Mã khách hàng]],'Khách hàng'!A:D,4,0)</f>
        <v>Food Đức Việt</v>
      </c>
      <c r="I3561" t="str">
        <f>VLOOKUP(Table8[[#This Row],[Mã khách hàng]],'Khách hàng'!A:E,5,0)</f>
        <v>HN0040</v>
      </c>
    </row>
    <row r="3562" spans="1:9">
      <c r="A3562" s="14" t="s">
        <v>12357</v>
      </c>
      <c r="B3562" s="15" t="s">
        <v>5</v>
      </c>
      <c r="C3562" s="16" t="s">
        <v>12374</v>
      </c>
      <c r="D3562" s="21"/>
      <c r="E3562" s="32" t="s">
        <v>11216</v>
      </c>
      <c r="F3562" s="22" t="str">
        <f>VLOOKUP(Table8[[#This Row],[Mã khách hàng]],code_khach_hang[],2,0)</f>
        <v>CHI NHÁNH HƯNG YÊN - CÔNG TY CỔ PHẦN DỊCH VỤ THƯƠNG MẠI TỔNG HỢP WINCOMMERCE</v>
      </c>
      <c r="G3562" s="16" t="str">
        <f>VLOOKUP(Table8[[#This Row],[Mã khách hàng]],code_khach_hang[],3,0)</f>
        <v>Miền Bắc đặc biệt 1</v>
      </c>
      <c r="H3562" t="str">
        <f>VLOOKUP(Table8[[#This Row],[Mã khách hàng]],'Khách hàng'!A:D,4,0)</f>
        <v>Food Đức Việt</v>
      </c>
      <c r="I3562" t="str">
        <f>VLOOKUP(Table8[[#This Row],[Mã khách hàng]],'Khách hàng'!A:E,5,0)</f>
        <v>HN0040</v>
      </c>
    </row>
    <row r="3563" spans="1:9">
      <c r="A3563" s="14" t="s">
        <v>12358</v>
      </c>
      <c r="B3563" s="15" t="s">
        <v>5</v>
      </c>
      <c r="C3563" s="16" t="s">
        <v>12375</v>
      </c>
      <c r="D3563" s="21"/>
      <c r="E3563" s="32" t="s">
        <v>11203</v>
      </c>
      <c r="F3563" s="22" t="str">
        <f>VLOOKUP(Table8[[#This Row],[Mã khách hàng]],code_khach_hang[],2,0)</f>
        <v>CHI NHÁNH THANH HÓA - CÔNG TY CỔ PHẦN DỊCH VỤ THƯƠNG MẠI TỔNG HỢP WINCOMMERCE</v>
      </c>
      <c r="G3563" s="16" t="str">
        <f>VLOOKUP(Table8[[#This Row],[Mã khách hàng]],code_khach_hang[],3,0)</f>
        <v>Miền Trung đặc biệt 1</v>
      </c>
      <c r="H3563" t="str">
        <f>VLOOKUP(Table8[[#This Row],[Mã khách hàng]],'Khách hàng'!A:D,4,0)</f>
        <v>Food Đức Việt</v>
      </c>
      <c r="I3563" t="str">
        <f>VLOOKUP(Table8[[#This Row],[Mã khách hàng]],'Khách hàng'!A:E,5,0)</f>
        <v>HN0040</v>
      </c>
    </row>
    <row r="3564" spans="1:9">
      <c r="A3564" s="14" t="s">
        <v>12359</v>
      </c>
      <c r="B3564" s="15" t="s">
        <v>5</v>
      </c>
      <c r="C3564" s="16" t="s">
        <v>12376</v>
      </c>
      <c r="D3564" s="21"/>
      <c r="E3564" s="32" t="s">
        <v>11216</v>
      </c>
      <c r="F3564" s="22" t="str">
        <f>VLOOKUP(Table8[[#This Row],[Mã khách hàng]],code_khach_hang[],2,0)</f>
        <v>CHI NHÁNH HƯNG YÊN - CÔNG TY CỔ PHẦN DỊCH VỤ THƯƠNG MẠI TỔNG HỢP WINCOMMERCE</v>
      </c>
      <c r="G3564" s="16" t="str">
        <f>VLOOKUP(Table8[[#This Row],[Mã khách hàng]],code_khach_hang[],3,0)</f>
        <v>Miền Bắc đặc biệt 1</v>
      </c>
      <c r="H3564" t="str">
        <f>VLOOKUP(Table8[[#This Row],[Mã khách hàng]],'Khách hàng'!A:D,4,0)</f>
        <v>Food Đức Việt</v>
      </c>
      <c r="I3564" t="str">
        <f>VLOOKUP(Table8[[#This Row],[Mã khách hàng]],'Khách hàng'!A:E,5,0)</f>
        <v>HN0040</v>
      </c>
    </row>
    <row r="3565" spans="1:9">
      <c r="A3565" s="14" t="s">
        <v>12360</v>
      </c>
      <c r="B3565" s="15" t="s">
        <v>5</v>
      </c>
      <c r="C3565" s="16" t="s">
        <v>12377</v>
      </c>
      <c r="D3565" s="21"/>
      <c r="E3565" s="32" t="s">
        <v>11196</v>
      </c>
      <c r="F3565" s="22" t="str">
        <f>VLOOKUP(Table8[[#This Row],[Mã khách hàng]],code_khach_hang[],2,0)</f>
        <v>CHI NHÁNH NINH BÌNH - CÔNG TY CỔ PHẦN DỊCH VỤ THƯƠNG MẠI TỔNG HỢP WINCOMMERCE</v>
      </c>
      <c r="G3565" s="16" t="str">
        <f>VLOOKUP(Table8[[#This Row],[Mã khách hàng]],code_khach_hang[],3,0)</f>
        <v>Miền Bắc đặc biệt 3</v>
      </c>
      <c r="H3565" t="str">
        <f>VLOOKUP(Table8[[#This Row],[Mã khách hàng]],'Khách hàng'!A:D,4,0)</f>
        <v>Food Đức Việt</v>
      </c>
      <c r="I3565" t="str">
        <f>VLOOKUP(Table8[[#This Row],[Mã khách hàng]],'Khách hàng'!A:E,5,0)</f>
        <v>HN0040</v>
      </c>
    </row>
    <row r="3566" spans="1:9">
      <c r="A3566" s="14" t="s">
        <v>12361</v>
      </c>
      <c r="B3566" s="15" t="s">
        <v>5</v>
      </c>
      <c r="C3566" s="16" t="s">
        <v>12378</v>
      </c>
      <c r="D3566" s="21"/>
      <c r="E3566" s="32" t="s">
        <v>11198</v>
      </c>
      <c r="F3566" s="22" t="str">
        <f>VLOOKUP(Table8[[#This Row],[Mã khách hàng]],code_khach_hang[],2,0)</f>
        <v>CHI NHÁNH HẢI PHÒNG - CÔNG TY CỔ PHẦN DỊCH VỤ THƯƠNG MẠI TỔNG HỢP WINCOMMERCE</v>
      </c>
      <c r="G3566" s="16" t="str">
        <f>VLOOKUP(Table8[[#This Row],[Mã khách hàng]],code_khach_hang[],3,0)</f>
        <v>Miền Bắc đặc biệt 3</v>
      </c>
      <c r="H3566" t="str">
        <f>VLOOKUP(Table8[[#This Row],[Mã khách hàng]],'Khách hàng'!A:D,4,0)</f>
        <v>Food Đức Việt</v>
      </c>
      <c r="I3566" t="str">
        <f>VLOOKUP(Table8[[#This Row],[Mã khách hàng]],'Khách hàng'!A:E,5,0)</f>
        <v>HN0040</v>
      </c>
    </row>
    <row r="3567" spans="1:9">
      <c r="A3567" s="14" t="s">
        <v>12362</v>
      </c>
      <c r="B3567" s="15" t="s">
        <v>5</v>
      </c>
      <c r="C3567" s="16" t="s">
        <v>12379</v>
      </c>
      <c r="D3567" s="21"/>
      <c r="E3567" s="32" t="s">
        <v>11198</v>
      </c>
      <c r="F3567" s="22" t="str">
        <f>VLOOKUP(Table8[[#This Row],[Mã khách hàng]],code_khach_hang[],2,0)</f>
        <v>CHI NHÁNH HẢI PHÒNG - CÔNG TY CỔ PHẦN DỊCH VỤ THƯƠNG MẠI TỔNG HỢP WINCOMMERCE</v>
      </c>
      <c r="G3567" s="16" t="str">
        <f>VLOOKUP(Table8[[#This Row],[Mã khách hàng]],code_khach_hang[],3,0)</f>
        <v>Miền Bắc đặc biệt 3</v>
      </c>
      <c r="H3567" t="str">
        <f>VLOOKUP(Table8[[#This Row],[Mã khách hàng]],'Khách hàng'!A:D,4,0)</f>
        <v>Food Đức Việt</v>
      </c>
      <c r="I3567" t="str">
        <f>VLOOKUP(Table8[[#This Row],[Mã khách hàng]],'Khách hàng'!A:E,5,0)</f>
        <v>HN0040</v>
      </c>
    </row>
    <row r="3568" spans="1:9">
      <c r="A3568" s="11" t="s">
        <v>12380</v>
      </c>
      <c r="B3568" s="9" t="s">
        <v>5</v>
      </c>
      <c r="C3568" s="10"/>
      <c r="D3568" s="21"/>
      <c r="E3568" s="32" t="s">
        <v>11211</v>
      </c>
      <c r="F3568" s="22" t="str">
        <f>VLOOKUP(Table8[[#This Row],[Mã khách hàng]],code_khach_hang[],2,0)</f>
        <v>CHI NHÁNH NGHỆ AN - CÔNG TY CỔ PHẦN DỊCH VỤ THƯƠNG MẠI TỔNG HỢP WINCOMMERCE</v>
      </c>
      <c r="G3568" s="10" t="str">
        <f>VLOOKUP(Table8[[#This Row],[Mã khách hàng]],code_khach_hang[],3,0)</f>
        <v>Miền Trung đặc biệt 1</v>
      </c>
      <c r="H3568" t="str">
        <f>VLOOKUP(Table8[[#This Row],[Mã khách hàng]],'Khách hàng'!A:D,4,0)</f>
        <v>Food Đức Việt</v>
      </c>
      <c r="I3568" t="str">
        <f>VLOOKUP(Table8[[#This Row],[Mã khách hàng]],'Khách hàng'!A:E,5,0)</f>
        <v>HN0040</v>
      </c>
    </row>
    <row r="3569" spans="1:9">
      <c r="A3569" s="14" t="s">
        <v>12381</v>
      </c>
      <c r="B3569" s="9" t="s">
        <v>5</v>
      </c>
      <c r="C3569" s="16"/>
      <c r="D3569" s="21"/>
      <c r="E3569" s="32" t="s">
        <v>11203</v>
      </c>
      <c r="F3569" s="22" t="str">
        <f>VLOOKUP(Table8[[#This Row],[Mã khách hàng]],code_khach_hang[],2,0)</f>
        <v>CHI NHÁNH THANH HÓA - CÔNG TY CỔ PHẦN DỊCH VỤ THƯƠNG MẠI TỔNG HỢP WINCOMMERCE</v>
      </c>
      <c r="G3569" s="16" t="str">
        <f>VLOOKUP(Table8[[#This Row],[Mã khách hàng]],code_khach_hang[],3,0)</f>
        <v>Miền Trung đặc biệt 1</v>
      </c>
      <c r="H3569" t="str">
        <f>VLOOKUP(Table8[[#This Row],[Mã khách hàng]],'Khách hàng'!A:D,4,0)</f>
        <v>Food Đức Việt</v>
      </c>
      <c r="I3569" t="str">
        <f>VLOOKUP(Table8[[#This Row],[Mã khách hàng]],'Khách hàng'!A:E,5,0)</f>
        <v>HN0040</v>
      </c>
    </row>
    <row r="3570" spans="1:9">
      <c r="A3570" s="14" t="s">
        <v>12382</v>
      </c>
      <c r="B3570" s="9" t="s">
        <v>5</v>
      </c>
      <c r="C3570" s="16"/>
      <c r="D3570" s="21"/>
      <c r="E3570" s="32" t="s">
        <v>11203</v>
      </c>
      <c r="F3570" s="22" t="str">
        <f>VLOOKUP(Table8[[#This Row],[Mã khách hàng]],code_khach_hang[],2,0)</f>
        <v>CHI NHÁNH THANH HÓA - CÔNG TY CỔ PHẦN DỊCH VỤ THƯƠNG MẠI TỔNG HỢP WINCOMMERCE</v>
      </c>
      <c r="G3570" s="16" t="str">
        <f>VLOOKUP(Table8[[#This Row],[Mã khách hàng]],code_khach_hang[],3,0)</f>
        <v>Miền Trung đặc biệt 1</v>
      </c>
      <c r="H3570" t="str">
        <f>VLOOKUP(Table8[[#This Row],[Mã khách hàng]],'Khách hàng'!A:D,4,0)</f>
        <v>Food Đức Việt</v>
      </c>
      <c r="I3570" t="str">
        <f>VLOOKUP(Table8[[#This Row],[Mã khách hàng]],'Khách hàng'!A:E,5,0)</f>
        <v>HN0040</v>
      </c>
    </row>
    <row r="3571" spans="1:9">
      <c r="A3571" s="14" t="s">
        <v>12383</v>
      </c>
      <c r="B3571" s="9" t="s">
        <v>5</v>
      </c>
      <c r="C3571" s="16"/>
      <c r="D3571" s="21"/>
      <c r="E3571" s="32" t="s">
        <v>11203</v>
      </c>
      <c r="F3571" s="22" t="str">
        <f>VLOOKUP(Table8[[#This Row],[Mã khách hàng]],code_khach_hang[],2,0)</f>
        <v>CHI NHÁNH THANH HÓA - CÔNG TY CỔ PHẦN DỊCH VỤ THƯƠNG MẠI TỔNG HỢP WINCOMMERCE</v>
      </c>
      <c r="G3571" s="16" t="str">
        <f>VLOOKUP(Table8[[#This Row],[Mã khách hàng]],code_khach_hang[],3,0)</f>
        <v>Miền Trung đặc biệt 1</v>
      </c>
      <c r="H3571" t="str">
        <f>VLOOKUP(Table8[[#This Row],[Mã khách hàng]],'Khách hàng'!A:D,4,0)</f>
        <v>Food Đức Việt</v>
      </c>
      <c r="I3571" t="str">
        <f>VLOOKUP(Table8[[#This Row],[Mã khách hàng]],'Khách hàng'!A:E,5,0)</f>
        <v>HN0040</v>
      </c>
    </row>
    <row r="3572" spans="1:9">
      <c r="A3572" s="14" t="s">
        <v>12384</v>
      </c>
      <c r="B3572" s="9" t="s">
        <v>5</v>
      </c>
      <c r="C3572" s="16"/>
      <c r="D3572" s="21"/>
      <c r="E3572" s="32" t="s">
        <v>11211</v>
      </c>
      <c r="F3572" s="22" t="str">
        <f>VLOOKUP(Table8[[#This Row],[Mã khách hàng]],code_khach_hang[],2,0)</f>
        <v>CHI NHÁNH NGHỆ AN - CÔNG TY CỔ PHẦN DỊCH VỤ THƯƠNG MẠI TỔNG HỢP WINCOMMERCE</v>
      </c>
      <c r="G3572" s="16" t="str">
        <f>VLOOKUP(Table8[[#This Row],[Mã khách hàng]],code_khach_hang[],3,0)</f>
        <v>Miền Trung đặc biệt 1</v>
      </c>
      <c r="H3572" t="str">
        <f>VLOOKUP(Table8[[#This Row],[Mã khách hàng]],'Khách hàng'!A:D,4,0)</f>
        <v>Food Đức Việt</v>
      </c>
      <c r="I3572" t="str">
        <f>VLOOKUP(Table8[[#This Row],[Mã khách hàng]],'Khách hàng'!A:E,5,0)</f>
        <v>HN0040</v>
      </c>
    </row>
    <row r="3573" spans="1:9">
      <c r="A3573" s="14" t="s">
        <v>12385</v>
      </c>
      <c r="B3573" s="9" t="s">
        <v>5</v>
      </c>
      <c r="C3573" s="16"/>
      <c r="D3573" s="21"/>
      <c r="E3573" s="32" t="s">
        <v>11205</v>
      </c>
      <c r="F3573" s="22" t="str">
        <f>VLOOKUP(Table8[[#This Row],[Mã khách hàng]],code_khach_hang[],2,0)</f>
        <v>CHI NHÁNH HÀ TĨNH - CÔNG TY CỔ PHẦN DỊCH VỤ THƯƠNG MẠI TỔNG HỢP WINCOMMERCE</v>
      </c>
      <c r="G3573" s="16" t="str">
        <f>VLOOKUP(Table8[[#This Row],[Mã khách hàng]],code_khach_hang[],3,0)</f>
        <v>Miền Trung đặc biệt 1</v>
      </c>
      <c r="H3573" t="str">
        <f>VLOOKUP(Table8[[#This Row],[Mã khách hàng]],'Khách hàng'!A:D,4,0)</f>
        <v>Food Đức Việt</v>
      </c>
      <c r="I3573" t="str">
        <f>VLOOKUP(Table8[[#This Row],[Mã khách hàng]],'Khách hàng'!A:E,5,0)</f>
        <v>HN0040</v>
      </c>
    </row>
    <row r="3574" spans="1:9">
      <c r="A3574" s="14" t="s">
        <v>12386</v>
      </c>
      <c r="B3574" s="9" t="s">
        <v>5</v>
      </c>
      <c r="C3574" s="16"/>
      <c r="D3574" s="21"/>
      <c r="E3574" s="32" t="s">
        <v>11216</v>
      </c>
      <c r="F3574" s="22" t="str">
        <f>VLOOKUP(Table8[[#This Row],[Mã khách hàng]],code_khach_hang[],2,0)</f>
        <v>CHI NHÁNH HƯNG YÊN - CÔNG TY CỔ PHẦN DỊCH VỤ THƯƠNG MẠI TỔNG HỢP WINCOMMERCE</v>
      </c>
      <c r="G3574" s="16" t="str">
        <f>VLOOKUP(Table8[[#This Row],[Mã khách hàng]],code_khach_hang[],3,0)</f>
        <v>Miền Bắc đặc biệt 1</v>
      </c>
      <c r="H3574" t="str">
        <f>VLOOKUP(Table8[[#This Row],[Mã khách hàng]],'Khách hàng'!A:D,4,0)</f>
        <v>Food Đức Việt</v>
      </c>
      <c r="I3574" t="str">
        <f>VLOOKUP(Table8[[#This Row],[Mã khách hàng]],'Khách hàng'!A:E,5,0)</f>
        <v>HN0040</v>
      </c>
    </row>
    <row r="3575" spans="1:9">
      <c r="A3575" s="14" t="s">
        <v>12387</v>
      </c>
      <c r="B3575" s="9" t="s">
        <v>5</v>
      </c>
      <c r="C3575" s="16"/>
      <c r="D3575" s="21"/>
      <c r="E3575" s="32" t="s">
        <v>11196</v>
      </c>
      <c r="F3575" s="22" t="str">
        <f>VLOOKUP(Table8[[#This Row],[Mã khách hàng]],code_khach_hang[],2,0)</f>
        <v>CHI NHÁNH NINH BÌNH - CÔNG TY CỔ PHẦN DỊCH VỤ THƯƠNG MẠI TỔNG HỢP WINCOMMERCE</v>
      </c>
      <c r="G3575" s="16" t="str">
        <f>VLOOKUP(Table8[[#This Row],[Mã khách hàng]],code_khach_hang[],3,0)</f>
        <v>Miền Bắc đặc biệt 3</v>
      </c>
      <c r="H3575" t="str">
        <f>VLOOKUP(Table8[[#This Row],[Mã khách hàng]],'Khách hàng'!A:D,4,0)</f>
        <v>Food Đức Việt</v>
      </c>
      <c r="I3575" t="str">
        <f>VLOOKUP(Table8[[#This Row],[Mã khách hàng]],'Khách hàng'!A:E,5,0)</f>
        <v>HN0040</v>
      </c>
    </row>
    <row r="3576" spans="1:9">
      <c r="A3576" s="14" t="s">
        <v>12388</v>
      </c>
      <c r="B3576" s="9" t="s">
        <v>5</v>
      </c>
      <c r="C3576" s="16"/>
      <c r="D3576" s="21"/>
      <c r="E3576" s="32" t="s">
        <v>11198</v>
      </c>
      <c r="F3576" s="22" t="str">
        <f>VLOOKUP(Table8[[#This Row],[Mã khách hàng]],code_khach_hang[],2,0)</f>
        <v>CHI NHÁNH HẢI PHÒNG - CÔNG TY CỔ PHẦN DỊCH VỤ THƯƠNG MẠI TỔNG HỢP WINCOMMERCE</v>
      </c>
      <c r="G3576" s="16" t="str">
        <f>VLOOKUP(Table8[[#This Row],[Mã khách hàng]],code_khach_hang[],3,0)</f>
        <v>Miền Bắc đặc biệt 3</v>
      </c>
      <c r="H3576" t="str">
        <f>VLOOKUP(Table8[[#This Row],[Mã khách hàng]],'Khách hàng'!A:D,4,0)</f>
        <v>Food Đức Việt</v>
      </c>
      <c r="I3576" t="str">
        <f>VLOOKUP(Table8[[#This Row],[Mã khách hàng]],'Khách hàng'!A:E,5,0)</f>
        <v>HN0040</v>
      </c>
    </row>
    <row r="3577" spans="1:9">
      <c r="A3577" s="14" t="s">
        <v>12389</v>
      </c>
      <c r="B3577" s="9" t="s">
        <v>5</v>
      </c>
      <c r="C3577" s="16"/>
      <c r="D3577" s="21"/>
      <c r="E3577" s="32" t="s">
        <v>11207</v>
      </c>
      <c r="F3577" s="22" t="str">
        <f>VLOOKUP(Table8[[#This Row],[Mã khách hàng]],code_khach_hang[],2,0)</f>
        <v>CHI NHÁNH THÁI NGUYÊN - CÔNG TY CỔ PHẦN DỊCH VỤ THƯƠNG MẠI TỔNG HỢP WINCOMMERCE</v>
      </c>
      <c r="G3577" s="16" t="str">
        <f>VLOOKUP(Table8[[#This Row],[Mã khách hàng]],code_khach_hang[],3,0)</f>
        <v>Miền Bắc đặc biệt 2</v>
      </c>
      <c r="H3577" t="str">
        <f>VLOOKUP(Table8[[#This Row],[Mã khách hàng]],'Khách hàng'!A:D,4,0)</f>
        <v>Food Đức Việt</v>
      </c>
      <c r="I3577" t="str">
        <f>VLOOKUP(Table8[[#This Row],[Mã khách hàng]],'Khách hàng'!A:E,5,0)</f>
        <v>HN0040</v>
      </c>
    </row>
    <row r="3578" spans="1:9">
      <c r="A3578" s="14" t="s">
        <v>12390</v>
      </c>
      <c r="B3578" s="9" t="s">
        <v>5</v>
      </c>
      <c r="C3578" s="16"/>
      <c r="D3578" s="21"/>
      <c r="E3578" s="32" t="s">
        <v>11196</v>
      </c>
      <c r="F3578" s="22" t="str">
        <f>VLOOKUP(Table8[[#This Row],[Mã khách hàng]],code_khach_hang[],2,0)</f>
        <v>CHI NHÁNH NINH BÌNH - CÔNG TY CỔ PHẦN DỊCH VỤ THƯƠNG MẠI TỔNG HỢP WINCOMMERCE</v>
      </c>
      <c r="G3578" s="16" t="str">
        <f>VLOOKUP(Table8[[#This Row],[Mã khách hàng]],code_khach_hang[],3,0)</f>
        <v>Miền Bắc đặc biệt 3</v>
      </c>
      <c r="H3578" t="str">
        <f>VLOOKUP(Table8[[#This Row],[Mã khách hàng]],'Khách hàng'!A:D,4,0)</f>
        <v>Food Đức Việt</v>
      </c>
      <c r="I3578" t="str">
        <f>VLOOKUP(Table8[[#This Row],[Mã khách hàng]],'Khách hàng'!A:E,5,0)</f>
        <v>HN0040</v>
      </c>
    </row>
    <row r="3579" spans="1:9">
      <c r="A3579" s="14" t="s">
        <v>12391</v>
      </c>
      <c r="B3579" s="9" t="s">
        <v>5</v>
      </c>
      <c r="C3579" s="16"/>
      <c r="D3579" s="21"/>
      <c r="E3579" s="32" t="s">
        <v>11196</v>
      </c>
      <c r="F3579" s="22" t="str">
        <f>VLOOKUP(Table8[[#This Row],[Mã khách hàng]],code_khach_hang[],2,0)</f>
        <v>CHI NHÁNH NINH BÌNH - CÔNG TY CỔ PHẦN DỊCH VỤ THƯƠNG MẠI TỔNG HỢP WINCOMMERCE</v>
      </c>
      <c r="G3579" s="16" t="str">
        <f>VLOOKUP(Table8[[#This Row],[Mã khách hàng]],code_khach_hang[],3,0)</f>
        <v>Miền Bắc đặc biệt 3</v>
      </c>
      <c r="H3579" t="str">
        <f>VLOOKUP(Table8[[#This Row],[Mã khách hàng]],'Khách hàng'!A:D,4,0)</f>
        <v>Food Đức Việt</v>
      </c>
      <c r="I3579" t="str">
        <f>VLOOKUP(Table8[[#This Row],[Mã khách hàng]],'Khách hàng'!A:E,5,0)</f>
        <v>HN0040</v>
      </c>
    </row>
    <row r="3580" spans="1:9">
      <c r="A3580" s="14" t="s">
        <v>12392</v>
      </c>
      <c r="B3580" s="9" t="s">
        <v>5</v>
      </c>
      <c r="C3580" s="16"/>
      <c r="D3580" s="21"/>
      <c r="E3580" s="32" t="s">
        <v>11199</v>
      </c>
      <c r="F3580" s="22" t="str">
        <f>VLOOKUP(Table8[[#This Row],[Mã khách hàng]],code_khach_hang[],2,0)</f>
        <v>CHI NHÁNH PHÚ THỌ - CÔNG TY CỔ PHẦN DỊCH VỤ THƯƠNG MẠI TỔNG HỢP WINCOMMERCE</v>
      </c>
      <c r="G3580" s="16" t="str">
        <f>VLOOKUP(Table8[[#This Row],[Mã khách hàng]],code_khach_hang[],3,0)</f>
        <v>Miền Bắc đặc biệt 1</v>
      </c>
      <c r="H3580" t="str">
        <f>VLOOKUP(Table8[[#This Row],[Mã khách hàng]],'Khách hàng'!A:D,4,0)</f>
        <v>Food Đức Việt</v>
      </c>
      <c r="I3580" t="str">
        <f>VLOOKUP(Table8[[#This Row],[Mã khách hàng]],'Khách hàng'!A:E,5,0)</f>
        <v>HN0040</v>
      </c>
    </row>
    <row r="3581" spans="1:9">
      <c r="A3581" s="14" t="s">
        <v>12393</v>
      </c>
      <c r="B3581" s="9" t="s">
        <v>5</v>
      </c>
      <c r="C3581" s="16"/>
      <c r="D3581" s="21"/>
      <c r="E3581" s="32" t="s">
        <v>11198</v>
      </c>
      <c r="F3581" s="22" t="str">
        <f>VLOOKUP(Table8[[#This Row],[Mã khách hàng]],code_khach_hang[],2,0)</f>
        <v>CHI NHÁNH HẢI PHÒNG - CÔNG TY CỔ PHẦN DỊCH VỤ THƯƠNG MẠI TỔNG HỢP WINCOMMERCE</v>
      </c>
      <c r="G3581" s="16" t="str">
        <f>VLOOKUP(Table8[[#This Row],[Mã khách hàng]],code_khach_hang[],3,0)</f>
        <v>Miền Bắc đặc biệt 3</v>
      </c>
      <c r="H3581" t="str">
        <f>VLOOKUP(Table8[[#This Row],[Mã khách hàng]],'Khách hàng'!A:D,4,0)</f>
        <v>Food Đức Việt</v>
      </c>
      <c r="I3581" t="str">
        <f>VLOOKUP(Table8[[#This Row],[Mã khách hàng]],'Khách hàng'!A:E,5,0)</f>
        <v>HN0040</v>
      </c>
    </row>
    <row r="3582" spans="1:9">
      <c r="A3582" s="14" t="s">
        <v>12394</v>
      </c>
      <c r="B3582" s="9" t="s">
        <v>5</v>
      </c>
      <c r="C3582" s="16"/>
      <c r="D3582" s="21"/>
      <c r="E3582" s="32" t="s">
        <v>11196</v>
      </c>
      <c r="F3582" s="22" t="str">
        <f>VLOOKUP(Table8[[#This Row],[Mã khách hàng]],code_khach_hang[],2,0)</f>
        <v>CHI NHÁNH NINH BÌNH - CÔNG TY CỔ PHẦN DỊCH VỤ THƯƠNG MẠI TỔNG HỢP WINCOMMERCE</v>
      </c>
      <c r="G3582" s="16" t="str">
        <f>VLOOKUP(Table8[[#This Row],[Mã khách hàng]],code_khach_hang[],3,0)</f>
        <v>Miền Bắc đặc biệt 3</v>
      </c>
      <c r="H3582" t="str">
        <f>VLOOKUP(Table8[[#This Row],[Mã khách hàng]],'Khách hàng'!A:D,4,0)</f>
        <v>Food Đức Việt</v>
      </c>
      <c r="I3582" t="str">
        <f>VLOOKUP(Table8[[#This Row],[Mã khách hàng]],'Khách hàng'!A:E,5,0)</f>
        <v>HN0040</v>
      </c>
    </row>
    <row r="3583" spans="1:9">
      <c r="A3583" s="14" t="s">
        <v>12395</v>
      </c>
      <c r="B3583" s="9" t="s">
        <v>5</v>
      </c>
      <c r="C3583" s="16"/>
      <c r="D3583" s="21"/>
      <c r="E3583" s="32" t="s">
        <v>11215</v>
      </c>
      <c r="F3583" s="22" t="str">
        <f>VLOOKUP(Table8[[#This Row],[Mã khách hàng]],code_khach_hang[],2,0)</f>
        <v>CHI NHÁNH HÀ NỘI - CÔNG TY CỔ PHẦN DỊCH VỤ THƯƠNG MẠI TỔNG HỢP WINCOMMERCE</v>
      </c>
      <c r="G3583" s="16" t="str">
        <f>VLOOKUP(Table8[[#This Row],[Mã khách hàng]],code_khach_hang[],3,0)</f>
        <v>Miền Bắc đặc biệt 1</v>
      </c>
      <c r="H3583" t="str">
        <f>VLOOKUP(Table8[[#This Row],[Mã khách hàng]],'Khách hàng'!A:D,4,0)</f>
        <v>Food Đức Việt</v>
      </c>
      <c r="I3583" t="str">
        <f>VLOOKUP(Table8[[#This Row],[Mã khách hàng]],'Khách hàng'!A:E,5,0)</f>
        <v>HN0040</v>
      </c>
    </row>
    <row r="3584" spans="1:9">
      <c r="A3584" s="14" t="s">
        <v>12396</v>
      </c>
      <c r="B3584" s="9" t="s">
        <v>5</v>
      </c>
      <c r="C3584" s="16"/>
      <c r="D3584" s="21"/>
      <c r="E3584" s="32" t="s">
        <v>11193</v>
      </c>
      <c r="F3584" s="22" t="str">
        <f>VLOOKUP(Table8[[#This Row],[Mã khách hàng]],code_khach_hang[],2,0)</f>
        <v>CHI NHÁNH BẮC NINH - CÔNG TY CỔ PHẦN DỊCH VỤ THƯƠNG MẠI TỔNG HỢP WINCOMMERCE</v>
      </c>
      <c r="G3584" s="16" t="str">
        <f>VLOOKUP(Table8[[#This Row],[Mã khách hàng]],code_khach_hang[],3,0)</f>
        <v>Miền Bắc đặc biệt 2</v>
      </c>
      <c r="H3584" t="str">
        <f>VLOOKUP(Table8[[#This Row],[Mã khách hàng]],'Khách hàng'!A:D,4,0)</f>
        <v>Food Đức Việt</v>
      </c>
      <c r="I3584" t="str">
        <f>VLOOKUP(Table8[[#This Row],[Mã khách hàng]],'Khách hàng'!A:E,5,0)</f>
        <v>HN0040</v>
      </c>
    </row>
    <row r="3585" spans="1:9">
      <c r="A3585" s="14" t="s">
        <v>12397</v>
      </c>
      <c r="B3585" s="9" t="s">
        <v>5</v>
      </c>
      <c r="C3585" s="16"/>
      <c r="D3585" s="21"/>
      <c r="E3585" s="32" t="s">
        <v>11193</v>
      </c>
      <c r="F3585" s="22" t="str">
        <f>VLOOKUP(Table8[[#This Row],[Mã khách hàng]],code_khach_hang[],2,0)</f>
        <v>CHI NHÁNH BẮC NINH - CÔNG TY CỔ PHẦN DỊCH VỤ THƯƠNG MẠI TỔNG HỢP WINCOMMERCE</v>
      </c>
      <c r="G3585" s="16" t="str">
        <f>VLOOKUP(Table8[[#This Row],[Mã khách hàng]],code_khach_hang[],3,0)</f>
        <v>Miền Bắc đặc biệt 2</v>
      </c>
      <c r="H3585" t="str">
        <f>VLOOKUP(Table8[[#This Row],[Mã khách hàng]],'Khách hàng'!A:D,4,0)</f>
        <v>Food Đức Việt</v>
      </c>
      <c r="I3585" t="str">
        <f>VLOOKUP(Table8[[#This Row],[Mã khách hàng]],'Khách hàng'!A:E,5,0)</f>
        <v>HN0040</v>
      </c>
    </row>
    <row r="3586" spans="1:9">
      <c r="A3586" s="14" t="s">
        <v>12398</v>
      </c>
      <c r="B3586" s="9" t="s">
        <v>5</v>
      </c>
      <c r="C3586" s="16"/>
      <c r="D3586" s="21"/>
      <c r="E3586" s="32" t="s">
        <v>11196</v>
      </c>
      <c r="F3586" s="22" t="str">
        <f>VLOOKUP(Table8[[#This Row],[Mã khách hàng]],code_khach_hang[],2,0)</f>
        <v>CHI NHÁNH NINH BÌNH - CÔNG TY CỔ PHẦN DỊCH VỤ THƯƠNG MẠI TỔNG HỢP WINCOMMERCE</v>
      </c>
      <c r="G3586" s="16" t="str">
        <f>VLOOKUP(Table8[[#This Row],[Mã khách hàng]],code_khach_hang[],3,0)</f>
        <v>Miền Bắc đặc biệt 3</v>
      </c>
      <c r="H3586" t="str">
        <f>VLOOKUP(Table8[[#This Row],[Mã khách hàng]],'Khách hàng'!A:D,4,0)</f>
        <v>Food Đức Việt</v>
      </c>
      <c r="I3586" t="str">
        <f>VLOOKUP(Table8[[#This Row],[Mã khách hàng]],'Khách hàng'!A:E,5,0)</f>
        <v>HN0040</v>
      </c>
    </row>
    <row r="3587" spans="1:9">
      <c r="A3587" s="14" t="s">
        <v>12399</v>
      </c>
      <c r="B3587" s="9" t="s">
        <v>5</v>
      </c>
      <c r="C3587" s="16"/>
      <c r="D3587" s="21"/>
      <c r="E3587" s="32" t="s">
        <v>11216</v>
      </c>
      <c r="F3587" s="22" t="str">
        <f>VLOOKUP(Table8[[#This Row],[Mã khách hàng]],code_khach_hang[],2,0)</f>
        <v>CHI NHÁNH HƯNG YÊN - CÔNG TY CỔ PHẦN DỊCH VỤ THƯƠNG MẠI TỔNG HỢP WINCOMMERCE</v>
      </c>
      <c r="G3587" s="16" t="str">
        <f>VLOOKUP(Table8[[#This Row],[Mã khách hàng]],code_khach_hang[],3,0)</f>
        <v>Miền Bắc đặc biệt 1</v>
      </c>
      <c r="H3587" t="str">
        <f>VLOOKUP(Table8[[#This Row],[Mã khách hàng]],'Khách hàng'!A:D,4,0)</f>
        <v>Food Đức Việt</v>
      </c>
      <c r="I3587" t="str">
        <f>VLOOKUP(Table8[[#This Row],[Mã khách hàng]],'Khách hàng'!A:E,5,0)</f>
        <v>HN0040</v>
      </c>
    </row>
    <row r="3588" spans="1:9">
      <c r="A3588" s="14" t="s">
        <v>12400</v>
      </c>
      <c r="B3588" s="9" t="s">
        <v>5</v>
      </c>
      <c r="C3588" s="16"/>
      <c r="D3588" s="21"/>
      <c r="E3588" s="32" t="s">
        <v>11198</v>
      </c>
      <c r="F3588" s="22" t="str">
        <f>VLOOKUP(Table8[[#This Row],[Mã khách hàng]],code_khach_hang[],2,0)</f>
        <v>CHI NHÁNH HẢI PHÒNG - CÔNG TY CỔ PHẦN DỊCH VỤ THƯƠNG MẠI TỔNG HỢP WINCOMMERCE</v>
      </c>
      <c r="G3588" s="16" t="str">
        <f>VLOOKUP(Table8[[#This Row],[Mã khách hàng]],code_khach_hang[],3,0)</f>
        <v>Miền Bắc đặc biệt 3</v>
      </c>
      <c r="H3588" t="str">
        <f>VLOOKUP(Table8[[#This Row],[Mã khách hàng]],'Khách hàng'!A:D,4,0)</f>
        <v>Food Đức Việt</v>
      </c>
      <c r="I3588" t="str">
        <f>VLOOKUP(Table8[[#This Row],[Mã khách hàng]],'Khách hàng'!A:E,5,0)</f>
        <v>HN0040</v>
      </c>
    </row>
    <row r="3589" spans="1:9">
      <c r="A3589" s="14" t="s">
        <v>12401</v>
      </c>
      <c r="B3589" s="9" t="s">
        <v>5</v>
      </c>
      <c r="C3589" s="16"/>
      <c r="D3589" s="21"/>
      <c r="E3589" s="32" t="s">
        <v>11216</v>
      </c>
      <c r="F3589" s="22" t="str">
        <f>VLOOKUP(Table8[[#This Row],[Mã khách hàng]],code_khach_hang[],2,0)</f>
        <v>CHI NHÁNH HƯNG YÊN - CÔNG TY CỔ PHẦN DỊCH VỤ THƯƠNG MẠI TỔNG HỢP WINCOMMERCE</v>
      </c>
      <c r="G3589" s="16" t="str">
        <f>VLOOKUP(Table8[[#This Row],[Mã khách hàng]],code_khach_hang[],3,0)</f>
        <v>Miền Bắc đặc biệt 1</v>
      </c>
      <c r="H3589" t="str">
        <f>VLOOKUP(Table8[[#This Row],[Mã khách hàng]],'Khách hàng'!A:D,4,0)</f>
        <v>Food Đức Việt</v>
      </c>
      <c r="I3589" t="str">
        <f>VLOOKUP(Table8[[#This Row],[Mã khách hàng]],'Khách hàng'!A:E,5,0)</f>
        <v>HN0040</v>
      </c>
    </row>
    <row r="3590" spans="1:9">
      <c r="A3590" s="14" t="s">
        <v>12402</v>
      </c>
      <c r="B3590" s="9" t="s">
        <v>5</v>
      </c>
      <c r="C3590" s="16"/>
      <c r="D3590" s="21"/>
      <c r="E3590" s="32" t="s">
        <v>11211</v>
      </c>
      <c r="F3590" s="22" t="str">
        <f>VLOOKUP(Table8[[#This Row],[Mã khách hàng]],code_khach_hang[],2,0)</f>
        <v>CHI NHÁNH NGHỆ AN - CÔNG TY CỔ PHẦN DỊCH VỤ THƯƠNG MẠI TỔNG HỢP WINCOMMERCE</v>
      </c>
      <c r="G3590" s="16" t="str">
        <f>VLOOKUP(Table8[[#This Row],[Mã khách hàng]],code_khach_hang[],3,0)</f>
        <v>Miền Trung đặc biệt 1</v>
      </c>
      <c r="H3590" t="str">
        <f>VLOOKUP(Table8[[#This Row],[Mã khách hàng]],'Khách hàng'!A:D,4,0)</f>
        <v>Food Đức Việt</v>
      </c>
      <c r="I3590" t="str">
        <f>VLOOKUP(Table8[[#This Row],[Mã khách hàng]],'Khách hàng'!A:E,5,0)</f>
        <v>HN0040</v>
      </c>
    </row>
    <row r="3591" spans="1:9">
      <c r="A3591" s="14" t="s">
        <v>12403</v>
      </c>
      <c r="B3591" s="9" t="s">
        <v>5</v>
      </c>
      <c r="C3591" s="16"/>
      <c r="D3591" s="21"/>
      <c r="E3591" s="32" t="s">
        <v>11196</v>
      </c>
      <c r="F3591" s="22" t="str">
        <f>VLOOKUP(Table8[[#This Row],[Mã khách hàng]],code_khach_hang[],2,0)</f>
        <v>CHI NHÁNH NINH BÌNH - CÔNG TY CỔ PHẦN DỊCH VỤ THƯƠNG MẠI TỔNG HỢP WINCOMMERCE</v>
      </c>
      <c r="G3591" s="16" t="str">
        <f>VLOOKUP(Table8[[#This Row],[Mã khách hàng]],code_khach_hang[],3,0)</f>
        <v>Miền Bắc đặc biệt 3</v>
      </c>
      <c r="H3591" t="str">
        <f>VLOOKUP(Table8[[#This Row],[Mã khách hàng]],'Khách hàng'!A:D,4,0)</f>
        <v>Food Đức Việt</v>
      </c>
      <c r="I3591" t="str">
        <f>VLOOKUP(Table8[[#This Row],[Mã khách hàng]],'Khách hàng'!A:E,5,0)</f>
        <v>HN0040</v>
      </c>
    </row>
    <row r="3592" spans="1:9">
      <c r="A3592" s="14" t="s">
        <v>12404</v>
      </c>
      <c r="B3592" s="9" t="s">
        <v>5</v>
      </c>
      <c r="C3592" s="16"/>
      <c r="D3592" s="21"/>
      <c r="E3592" s="32" t="s">
        <v>11216</v>
      </c>
      <c r="F3592" s="22" t="str">
        <f>VLOOKUP(Table8[[#This Row],[Mã khách hàng]],code_khach_hang[],2,0)</f>
        <v>CHI NHÁNH HƯNG YÊN - CÔNG TY CỔ PHẦN DỊCH VỤ THƯƠNG MẠI TỔNG HỢP WINCOMMERCE</v>
      </c>
      <c r="G3592" s="16" t="str">
        <f>VLOOKUP(Table8[[#This Row],[Mã khách hàng]],code_khach_hang[],3,0)</f>
        <v>Miền Bắc đặc biệt 1</v>
      </c>
      <c r="H3592" t="str">
        <f>VLOOKUP(Table8[[#This Row],[Mã khách hàng]],'Khách hàng'!A:D,4,0)</f>
        <v>Food Đức Việt</v>
      </c>
      <c r="I3592" t="str">
        <f>VLOOKUP(Table8[[#This Row],[Mã khách hàng]],'Khách hàng'!A:E,5,0)</f>
        <v>HN0040</v>
      </c>
    </row>
    <row r="3593" spans="1:9">
      <c r="A3593" s="14" t="s">
        <v>12405</v>
      </c>
      <c r="B3593" s="9" t="s">
        <v>5</v>
      </c>
      <c r="C3593" s="16"/>
      <c r="D3593" s="21"/>
      <c r="E3593" s="32" t="s">
        <v>11215</v>
      </c>
      <c r="F3593" s="22" t="str">
        <f>VLOOKUP(Table8[[#This Row],[Mã khách hàng]],code_khach_hang[],2,0)</f>
        <v>CHI NHÁNH HÀ NỘI - CÔNG TY CỔ PHẦN DỊCH VỤ THƯƠNG MẠI TỔNG HỢP WINCOMMERCE</v>
      </c>
      <c r="G3593" s="16" t="str">
        <f>VLOOKUP(Table8[[#This Row],[Mã khách hàng]],code_khach_hang[],3,0)</f>
        <v>Miền Bắc đặc biệt 1</v>
      </c>
      <c r="H3593" t="str">
        <f>VLOOKUP(Table8[[#This Row],[Mã khách hàng]],'Khách hàng'!A:D,4,0)</f>
        <v>Food Đức Việt</v>
      </c>
      <c r="I3593" t="str">
        <f>VLOOKUP(Table8[[#This Row],[Mã khách hàng]],'Khách hàng'!A:E,5,0)</f>
        <v>HN0040</v>
      </c>
    </row>
    <row r="3594" spans="1:9">
      <c r="A3594" s="14" t="s">
        <v>12406</v>
      </c>
      <c r="B3594" s="9" t="s">
        <v>5</v>
      </c>
      <c r="C3594" s="16"/>
      <c r="D3594" s="21"/>
      <c r="E3594" s="32" t="s">
        <v>11215</v>
      </c>
      <c r="F3594" s="22" t="str">
        <f>VLOOKUP(Table8[[#This Row],[Mã khách hàng]],code_khach_hang[],2,0)</f>
        <v>CHI NHÁNH HÀ NỘI - CÔNG TY CỔ PHẦN DỊCH VỤ THƯƠNG MẠI TỔNG HỢP WINCOMMERCE</v>
      </c>
      <c r="G3594" s="16" t="str">
        <f>VLOOKUP(Table8[[#This Row],[Mã khách hàng]],code_khach_hang[],3,0)</f>
        <v>Miền Bắc đặc biệt 1</v>
      </c>
      <c r="H3594" t="str">
        <f>VLOOKUP(Table8[[#This Row],[Mã khách hàng]],'Khách hàng'!A:D,4,0)</f>
        <v>Food Đức Việt</v>
      </c>
      <c r="I3594" t="str">
        <f>VLOOKUP(Table8[[#This Row],[Mã khách hàng]],'Khách hàng'!A:E,5,0)</f>
        <v>HN0040</v>
      </c>
    </row>
    <row r="3595" spans="1:9">
      <c r="A3595" s="14" t="s">
        <v>12407</v>
      </c>
      <c r="B3595" s="9" t="s">
        <v>5</v>
      </c>
      <c r="C3595" s="16"/>
      <c r="D3595" s="21"/>
      <c r="E3595" s="32" t="s">
        <v>11215</v>
      </c>
      <c r="F3595" s="22" t="str">
        <f>VLOOKUP(Table8[[#This Row],[Mã khách hàng]],code_khach_hang[],2,0)</f>
        <v>CHI NHÁNH HÀ NỘI - CÔNG TY CỔ PHẦN DỊCH VỤ THƯƠNG MẠI TỔNG HỢP WINCOMMERCE</v>
      </c>
      <c r="G3595" s="16" t="str">
        <f>VLOOKUP(Table8[[#This Row],[Mã khách hàng]],code_khach_hang[],3,0)</f>
        <v>Miền Bắc đặc biệt 1</v>
      </c>
      <c r="H3595" t="str">
        <f>VLOOKUP(Table8[[#This Row],[Mã khách hàng]],'Khách hàng'!A:D,4,0)</f>
        <v>Food Đức Việt</v>
      </c>
      <c r="I3595" t="str">
        <f>VLOOKUP(Table8[[#This Row],[Mã khách hàng]],'Khách hàng'!A:E,5,0)</f>
        <v>HN0040</v>
      </c>
    </row>
    <row r="3596" spans="1:9">
      <c r="A3596" s="14" t="s">
        <v>12408</v>
      </c>
      <c r="B3596" s="9" t="s">
        <v>5</v>
      </c>
      <c r="C3596" s="16"/>
      <c r="D3596" s="21"/>
      <c r="E3596" s="32" t="s">
        <v>11198</v>
      </c>
      <c r="F3596" s="22" t="str">
        <f>VLOOKUP(Table8[[#This Row],[Mã khách hàng]],code_khach_hang[],2,0)</f>
        <v>CHI NHÁNH HẢI PHÒNG - CÔNG TY CỔ PHẦN DỊCH VỤ THƯƠNG MẠI TỔNG HỢP WINCOMMERCE</v>
      </c>
      <c r="G3596" s="16" t="str">
        <f>VLOOKUP(Table8[[#This Row],[Mã khách hàng]],code_khach_hang[],3,0)</f>
        <v>Miền Bắc đặc biệt 3</v>
      </c>
      <c r="H3596" t="str">
        <f>VLOOKUP(Table8[[#This Row],[Mã khách hàng]],'Khách hàng'!A:D,4,0)</f>
        <v>Food Đức Việt</v>
      </c>
      <c r="I3596" t="str">
        <f>VLOOKUP(Table8[[#This Row],[Mã khách hàng]],'Khách hàng'!A:E,5,0)</f>
        <v>HN0040</v>
      </c>
    </row>
    <row r="3597" spans="1:9">
      <c r="A3597" s="14" t="s">
        <v>12409</v>
      </c>
      <c r="B3597" s="9" t="s">
        <v>5</v>
      </c>
      <c r="C3597" s="16"/>
      <c r="D3597" s="21"/>
      <c r="E3597" s="32" t="s">
        <v>11215</v>
      </c>
      <c r="F3597" s="22" t="str">
        <f>VLOOKUP(Table8[[#This Row],[Mã khách hàng]],code_khach_hang[],2,0)</f>
        <v>CHI NHÁNH HÀ NỘI - CÔNG TY CỔ PHẦN DỊCH VỤ THƯƠNG MẠI TỔNG HỢP WINCOMMERCE</v>
      </c>
      <c r="G3597" s="16" t="str">
        <f>VLOOKUP(Table8[[#This Row],[Mã khách hàng]],code_khach_hang[],3,0)</f>
        <v>Miền Bắc đặc biệt 1</v>
      </c>
      <c r="H3597" t="str">
        <f>VLOOKUP(Table8[[#This Row],[Mã khách hàng]],'Khách hàng'!A:D,4,0)</f>
        <v>Food Đức Việt</v>
      </c>
      <c r="I3597" t="str">
        <f>VLOOKUP(Table8[[#This Row],[Mã khách hàng]],'Khách hàng'!A:E,5,0)</f>
        <v>HN0040</v>
      </c>
    </row>
    <row r="3598" spans="1:9">
      <c r="A3598" s="14" t="s">
        <v>12410</v>
      </c>
      <c r="B3598" s="9" t="s">
        <v>5</v>
      </c>
      <c r="C3598" s="16"/>
      <c r="D3598" s="21"/>
      <c r="E3598" s="33" t="s">
        <v>11207</v>
      </c>
      <c r="F3598" s="22" t="str">
        <f>VLOOKUP(Table8[[#This Row],[Mã khách hàng]],code_khach_hang[],2,0)</f>
        <v>CHI NHÁNH THÁI NGUYÊN - CÔNG TY CỔ PHẦN DỊCH VỤ THƯƠNG MẠI TỔNG HỢP WINCOMMERCE</v>
      </c>
      <c r="G3598" s="16" t="str">
        <f>VLOOKUP(Table8[[#This Row],[Mã khách hàng]],code_khach_hang[],3,0)</f>
        <v>Miền Bắc đặc biệt 2</v>
      </c>
      <c r="H3598" t="str">
        <f>VLOOKUP(Table8[[#This Row],[Mã khách hàng]],'Khách hàng'!A:D,4,0)</f>
        <v>Food Đức Việt</v>
      </c>
      <c r="I3598" t="str">
        <f>VLOOKUP(Table8[[#This Row],[Mã khách hàng]],'Khách hàng'!A:E,5,0)</f>
        <v>HN0040</v>
      </c>
    </row>
    <row r="3599" spans="1:9">
      <c r="A3599" s="14" t="s">
        <v>12411</v>
      </c>
      <c r="B3599" s="9" t="s">
        <v>5</v>
      </c>
      <c r="C3599" s="16"/>
      <c r="D3599" s="21"/>
      <c r="E3599" s="32" t="s">
        <v>11216</v>
      </c>
      <c r="F3599" s="22" t="str">
        <f>VLOOKUP(Table8[[#This Row],[Mã khách hàng]],code_khach_hang[],2,0)</f>
        <v>CHI NHÁNH HƯNG YÊN - CÔNG TY CỔ PHẦN DỊCH VỤ THƯƠNG MẠI TỔNG HỢP WINCOMMERCE</v>
      </c>
      <c r="G3599" s="16" t="str">
        <f>VLOOKUP(Table8[[#This Row],[Mã khách hàng]],code_khach_hang[],3,0)</f>
        <v>Miền Bắc đặc biệt 1</v>
      </c>
      <c r="H3599" t="str">
        <f>VLOOKUP(Table8[[#This Row],[Mã khách hàng]],'Khách hàng'!A:D,4,0)</f>
        <v>Food Đức Việt</v>
      </c>
      <c r="I3599" t="str">
        <f>VLOOKUP(Table8[[#This Row],[Mã khách hàng]],'Khách hàng'!A:E,5,0)</f>
        <v>HN0040</v>
      </c>
    </row>
    <row r="3600" spans="1:9">
      <c r="A3600" s="14" t="s">
        <v>12412</v>
      </c>
      <c r="B3600" s="9" t="s">
        <v>5</v>
      </c>
      <c r="C3600" s="16"/>
      <c r="D3600" s="21"/>
      <c r="E3600" s="32" t="s">
        <v>11216</v>
      </c>
      <c r="F3600" s="22" t="str">
        <f>VLOOKUP(Table8[[#This Row],[Mã khách hàng]],code_khach_hang[],2,0)</f>
        <v>CHI NHÁNH HƯNG YÊN - CÔNG TY CỔ PHẦN DỊCH VỤ THƯƠNG MẠI TỔNG HỢP WINCOMMERCE</v>
      </c>
      <c r="G3600" s="16" t="str">
        <f>VLOOKUP(Table8[[#This Row],[Mã khách hàng]],code_khach_hang[],3,0)</f>
        <v>Miền Bắc đặc biệt 1</v>
      </c>
      <c r="H3600" t="str">
        <f>VLOOKUP(Table8[[#This Row],[Mã khách hàng]],'Khách hàng'!A:D,4,0)</f>
        <v>Food Đức Việt</v>
      </c>
      <c r="I3600" t="str">
        <f>VLOOKUP(Table8[[#This Row],[Mã khách hàng]],'Khách hàng'!A:E,5,0)</f>
        <v>HN0040</v>
      </c>
    </row>
    <row r="3601" spans="1:9">
      <c r="A3601" s="14" t="s">
        <v>12413</v>
      </c>
      <c r="B3601" s="9" t="s">
        <v>5</v>
      </c>
      <c r="C3601" s="16"/>
      <c r="D3601" s="21"/>
      <c r="E3601" s="32" t="s">
        <v>11196</v>
      </c>
      <c r="F3601" s="22" t="str">
        <f>VLOOKUP(Table8[[#This Row],[Mã khách hàng]],code_khach_hang[],2,0)</f>
        <v>CHI NHÁNH NINH BÌNH - CÔNG TY CỔ PHẦN DỊCH VỤ THƯƠNG MẠI TỔNG HỢP WINCOMMERCE</v>
      </c>
      <c r="G3601" s="16" t="str">
        <f>VLOOKUP(Table8[[#This Row],[Mã khách hàng]],code_khach_hang[],3,0)</f>
        <v>Miền Bắc đặc biệt 3</v>
      </c>
      <c r="H3601" t="str">
        <f>VLOOKUP(Table8[[#This Row],[Mã khách hàng]],'Khách hàng'!A:D,4,0)</f>
        <v>Food Đức Việt</v>
      </c>
      <c r="I3601" t="str">
        <f>VLOOKUP(Table8[[#This Row],[Mã khách hàng]],'Khách hàng'!A:E,5,0)</f>
        <v>HN0040</v>
      </c>
    </row>
    <row r="3602" spans="1:9">
      <c r="A3602" s="14" t="s">
        <v>12414</v>
      </c>
      <c r="B3602" s="9" t="s">
        <v>5</v>
      </c>
      <c r="C3602" s="16"/>
      <c r="D3602" s="21"/>
      <c r="E3602" s="15" t="s">
        <v>11199</v>
      </c>
      <c r="F3602" s="22" t="str">
        <f>VLOOKUP(Table8[[#This Row],[Mã khách hàng]],code_khach_hang[],2,0)</f>
        <v>CHI NHÁNH PHÚ THỌ - CÔNG TY CỔ PHẦN DỊCH VỤ THƯƠNG MẠI TỔNG HỢP WINCOMMERCE</v>
      </c>
      <c r="G3602" s="16" t="str">
        <f>VLOOKUP(Table8[[#This Row],[Mã khách hàng]],code_khach_hang[],3,0)</f>
        <v>Miền Bắc đặc biệt 1</v>
      </c>
      <c r="H3602" t="str">
        <f>VLOOKUP(Table8[[#This Row],[Mã khách hàng]],'Khách hàng'!A:D,4,0)</f>
        <v>Food Đức Việt</v>
      </c>
      <c r="I3602" t="str">
        <f>VLOOKUP(Table8[[#This Row],[Mã khách hàng]],'Khách hàng'!A:E,5,0)</f>
        <v>HN0040</v>
      </c>
    </row>
    <row r="3603" spans="1:9">
      <c r="A3603" s="14" t="s">
        <v>12415</v>
      </c>
      <c r="B3603" s="9" t="s">
        <v>5</v>
      </c>
      <c r="C3603" s="16"/>
      <c r="D3603" s="21"/>
      <c r="E3603" s="32" t="s">
        <v>11198</v>
      </c>
      <c r="F3603" s="22" t="str">
        <f>VLOOKUP(Table8[[#This Row],[Mã khách hàng]],code_khach_hang[],2,0)</f>
        <v>CHI NHÁNH HẢI PHÒNG - CÔNG TY CỔ PHẦN DỊCH VỤ THƯƠNG MẠI TỔNG HỢP WINCOMMERCE</v>
      </c>
      <c r="G3603" s="16" t="str">
        <f>VLOOKUP(Table8[[#This Row],[Mã khách hàng]],code_khach_hang[],3,0)</f>
        <v>Miền Bắc đặc biệt 3</v>
      </c>
      <c r="H3603" t="str">
        <f>VLOOKUP(Table8[[#This Row],[Mã khách hàng]],'Khách hàng'!A:D,4,0)</f>
        <v>Food Đức Việt</v>
      </c>
      <c r="I3603" t="str">
        <f>VLOOKUP(Table8[[#This Row],[Mã khách hàng]],'Khách hàng'!A:E,5,0)</f>
        <v>HN0040</v>
      </c>
    </row>
    <row r="3604" spans="1:9">
      <c r="A3604" s="14" t="s">
        <v>12416</v>
      </c>
      <c r="B3604" s="9" t="s">
        <v>5</v>
      </c>
      <c r="C3604" s="16"/>
      <c r="D3604" s="21"/>
      <c r="E3604" s="32" t="s">
        <v>11196</v>
      </c>
      <c r="F3604" s="22" t="str">
        <f>VLOOKUP(Table8[[#This Row],[Mã khách hàng]],code_khach_hang[],2,0)</f>
        <v>CHI NHÁNH NINH BÌNH - CÔNG TY CỔ PHẦN DỊCH VỤ THƯƠNG MẠI TỔNG HỢP WINCOMMERCE</v>
      </c>
      <c r="G3604" s="16" t="str">
        <f>VLOOKUP(Table8[[#This Row],[Mã khách hàng]],code_khach_hang[],3,0)</f>
        <v>Miền Bắc đặc biệt 3</v>
      </c>
      <c r="H3604" t="str">
        <f>VLOOKUP(Table8[[#This Row],[Mã khách hàng]],'Khách hàng'!A:D,4,0)</f>
        <v>Food Đức Việt</v>
      </c>
      <c r="I3604" t="str">
        <f>VLOOKUP(Table8[[#This Row],[Mã khách hàng]],'Khách hàng'!A:E,5,0)</f>
        <v>HN0040</v>
      </c>
    </row>
    <row r="3605" spans="1:9">
      <c r="A3605" s="14" t="s">
        <v>12417</v>
      </c>
      <c r="B3605" s="9" t="s">
        <v>5</v>
      </c>
      <c r="C3605" s="16"/>
      <c r="D3605" s="21"/>
      <c r="E3605" s="32" t="s">
        <v>11196</v>
      </c>
      <c r="F3605" s="22" t="str">
        <f>VLOOKUP(Table8[[#This Row],[Mã khách hàng]],code_khach_hang[],2,0)</f>
        <v>CHI NHÁNH NINH BÌNH - CÔNG TY CỔ PHẦN DỊCH VỤ THƯƠNG MẠI TỔNG HỢP WINCOMMERCE</v>
      </c>
      <c r="G3605" s="16" t="str">
        <f>VLOOKUP(Table8[[#This Row],[Mã khách hàng]],code_khach_hang[],3,0)</f>
        <v>Miền Bắc đặc biệt 3</v>
      </c>
      <c r="H3605" t="str">
        <f>VLOOKUP(Table8[[#This Row],[Mã khách hàng]],'Khách hàng'!A:D,4,0)</f>
        <v>Food Đức Việt</v>
      </c>
      <c r="I3605" t="str">
        <f>VLOOKUP(Table8[[#This Row],[Mã khách hàng]],'Khách hàng'!A:E,5,0)</f>
        <v>HN0040</v>
      </c>
    </row>
    <row r="3606" spans="1:9">
      <c r="A3606" s="14" t="s">
        <v>12418</v>
      </c>
      <c r="B3606" s="9" t="s">
        <v>5</v>
      </c>
      <c r="C3606" s="16"/>
      <c r="D3606" s="21"/>
      <c r="E3606" s="32" t="s">
        <v>11206</v>
      </c>
      <c r="F3606" s="22" t="str">
        <f>VLOOKUP(Table8[[#This Row],[Mã khách hàng]],code_khach_hang[],2,0)</f>
        <v>CHI NHÁNH SƠN LA - CÔNG TY CỔ PHẦN DỊCH VỤ THƯƠNG MẠI TỔNG HỢP WINCOMMERCE</v>
      </c>
      <c r="G3606" s="16" t="str">
        <f>VLOOKUP(Table8[[#This Row],[Mã khách hàng]],code_khach_hang[],3,0)</f>
        <v>Miền Bắc đặc biệt 1</v>
      </c>
      <c r="H3606" t="str">
        <f>VLOOKUP(Table8[[#This Row],[Mã khách hàng]],'Khách hàng'!A:D,4,0)</f>
        <v>Food Đức Việt</v>
      </c>
      <c r="I3606" t="str">
        <f>VLOOKUP(Table8[[#This Row],[Mã khách hàng]],'Khách hàng'!A:E,5,0)</f>
        <v>HN0040</v>
      </c>
    </row>
    <row r="3607" spans="1:9">
      <c r="A3607" s="14" t="s">
        <v>12419</v>
      </c>
      <c r="B3607" s="9" t="s">
        <v>5</v>
      </c>
      <c r="C3607" s="16"/>
      <c r="D3607" s="21"/>
      <c r="E3607" s="32" t="s">
        <v>11204</v>
      </c>
      <c r="F3607" s="22" t="str">
        <f>VLOOKUP(Table8[[#This Row],[Mã khách hàng]],code_khach_hang[],2,0)</f>
        <v>CHI NHÁNH TUYÊN QUANG - CÔNG TY CỔ PHẦN DỊCH VỤ THƯƠNG MẠI TỔNG HỢP WINCOMMERCE</v>
      </c>
      <c r="G3607" s="16" t="str">
        <f>VLOOKUP(Table8[[#This Row],[Mã khách hàng]],code_khach_hang[],3,0)</f>
        <v>Miền Bắc đặc biệt 2</v>
      </c>
      <c r="H3607" t="str">
        <f>VLOOKUP(Table8[[#This Row],[Mã khách hàng]],'Khách hàng'!A:D,4,0)</f>
        <v>Food Đức Việt</v>
      </c>
      <c r="I3607" t="str">
        <f>VLOOKUP(Table8[[#This Row],[Mã khách hàng]],'Khách hàng'!A:E,5,0)</f>
        <v>HN0040</v>
      </c>
    </row>
    <row r="3608" spans="1:9">
      <c r="A3608" s="14" t="s">
        <v>12420</v>
      </c>
      <c r="B3608" s="9" t="s">
        <v>5</v>
      </c>
      <c r="C3608" s="16"/>
      <c r="D3608" s="21"/>
      <c r="E3608" s="32" t="s">
        <v>11211</v>
      </c>
      <c r="F3608" s="22" t="str">
        <f>VLOOKUP(Table8[[#This Row],[Mã khách hàng]],code_khach_hang[],2,0)</f>
        <v>CHI NHÁNH NGHỆ AN - CÔNG TY CỔ PHẦN DỊCH VỤ THƯƠNG MẠI TỔNG HỢP WINCOMMERCE</v>
      </c>
      <c r="G3608" s="16" t="str">
        <f>VLOOKUP(Table8[[#This Row],[Mã khách hàng]],code_khach_hang[],3,0)</f>
        <v>Miền Trung đặc biệt 1</v>
      </c>
      <c r="H3608" t="str">
        <f>VLOOKUP(Table8[[#This Row],[Mã khách hàng]],'Khách hàng'!A:D,4,0)</f>
        <v>Food Đức Việt</v>
      </c>
      <c r="I3608" t="str">
        <f>VLOOKUP(Table8[[#This Row],[Mã khách hàng]],'Khách hàng'!A:E,5,0)</f>
        <v>HN0040</v>
      </c>
    </row>
    <row r="3609" spans="1:9">
      <c r="A3609" s="14" t="s">
        <v>12421</v>
      </c>
      <c r="B3609" s="9" t="s">
        <v>5</v>
      </c>
      <c r="C3609" s="16"/>
      <c r="D3609" s="21"/>
      <c r="E3609" s="32" t="s">
        <v>11196</v>
      </c>
      <c r="F3609" s="22" t="str">
        <f>VLOOKUP(Table8[[#This Row],[Mã khách hàng]],code_khach_hang[],2,0)</f>
        <v>CHI NHÁNH NINH BÌNH - CÔNG TY CỔ PHẦN DỊCH VỤ THƯƠNG MẠI TỔNG HỢP WINCOMMERCE</v>
      </c>
      <c r="G3609" s="16" t="str">
        <f>VLOOKUP(Table8[[#This Row],[Mã khách hàng]],code_khach_hang[],3,0)</f>
        <v>Miền Bắc đặc biệt 3</v>
      </c>
      <c r="H3609" t="str">
        <f>VLOOKUP(Table8[[#This Row],[Mã khách hàng]],'Khách hàng'!A:D,4,0)</f>
        <v>Food Đức Việt</v>
      </c>
      <c r="I3609" t="str">
        <f>VLOOKUP(Table8[[#This Row],[Mã khách hàng]],'Khách hàng'!A:E,5,0)</f>
        <v>HN0040</v>
      </c>
    </row>
    <row r="3610" spans="1:9">
      <c r="A3610" s="14" t="s">
        <v>12422</v>
      </c>
      <c r="B3610" s="9" t="s">
        <v>5</v>
      </c>
      <c r="C3610" s="16"/>
      <c r="D3610" s="21"/>
      <c r="E3610" s="32" t="s">
        <v>11197</v>
      </c>
      <c r="F3610" s="22" t="str">
        <f>VLOOKUP(Table8[[#This Row],[Mã khách hàng]],code_khach_hang[],2,0)</f>
        <v>CHI NHÁNH QUẢNG NINH - CÔNG TY CỔ PHẦN DỊCH VỤ THƯƠNG MẠI TỔNG HỢP WINCOMMERCE</v>
      </c>
      <c r="G3610" s="16" t="str">
        <f>VLOOKUP(Table8[[#This Row],[Mã khách hàng]],code_khach_hang[],3,0)</f>
        <v>Miền Bắc đặc biệt 3</v>
      </c>
      <c r="H3610" t="str">
        <f>VLOOKUP(Table8[[#This Row],[Mã khách hàng]],'Khách hàng'!A:D,4,0)</f>
        <v>Food Đức Việt</v>
      </c>
      <c r="I3610" t="str">
        <f>VLOOKUP(Table8[[#This Row],[Mã khách hàng]],'Khách hàng'!A:E,5,0)</f>
        <v>HN0040</v>
      </c>
    </row>
    <row r="3611" spans="1:9">
      <c r="A3611" s="14" t="s">
        <v>12423</v>
      </c>
      <c r="B3611" s="9" t="s">
        <v>5</v>
      </c>
      <c r="C3611" s="16"/>
      <c r="D3611" s="21"/>
      <c r="E3611" s="32" t="s">
        <v>11215</v>
      </c>
      <c r="F3611" s="22" t="str">
        <f>VLOOKUP(Table8[[#This Row],[Mã khách hàng]],code_khach_hang[],2,0)</f>
        <v>CHI NHÁNH HÀ NỘI - CÔNG TY CỔ PHẦN DỊCH VỤ THƯƠNG MẠI TỔNG HỢP WINCOMMERCE</v>
      </c>
      <c r="G3611" s="16" t="str">
        <f>VLOOKUP(Table8[[#This Row],[Mã khách hàng]],code_khach_hang[],3,0)</f>
        <v>Miền Bắc đặc biệt 1</v>
      </c>
      <c r="H3611" t="str">
        <f>VLOOKUP(Table8[[#This Row],[Mã khách hàng]],'Khách hàng'!A:D,4,0)</f>
        <v>Food Đức Việt</v>
      </c>
      <c r="I3611" t="str">
        <f>VLOOKUP(Table8[[#This Row],[Mã khách hàng]],'Khách hàng'!A:E,5,0)</f>
        <v>HN0040</v>
      </c>
    </row>
    <row r="3612" spans="1:9">
      <c r="A3612" s="14" t="s">
        <v>12424</v>
      </c>
      <c r="B3612" s="9" t="s">
        <v>5</v>
      </c>
      <c r="C3612" s="16"/>
      <c r="D3612" s="21"/>
      <c r="E3612" s="32" t="s">
        <v>11215</v>
      </c>
      <c r="F3612" s="22" t="str">
        <f>VLOOKUP(Table8[[#This Row],[Mã khách hàng]],code_khach_hang[],2,0)</f>
        <v>CHI NHÁNH HÀ NỘI - CÔNG TY CỔ PHẦN DỊCH VỤ THƯƠNG MẠI TỔNG HỢP WINCOMMERCE</v>
      </c>
      <c r="G3612" s="16" t="str">
        <f>VLOOKUP(Table8[[#This Row],[Mã khách hàng]],code_khach_hang[],3,0)</f>
        <v>Miền Bắc đặc biệt 1</v>
      </c>
      <c r="H3612" t="str">
        <f>VLOOKUP(Table8[[#This Row],[Mã khách hàng]],'Khách hàng'!A:D,4,0)</f>
        <v>Food Đức Việt</v>
      </c>
      <c r="I3612" t="str">
        <f>VLOOKUP(Table8[[#This Row],[Mã khách hàng]],'Khách hàng'!A:E,5,0)</f>
        <v>HN0040</v>
      </c>
    </row>
    <row r="3613" spans="1:9">
      <c r="A3613" s="14" t="s">
        <v>12425</v>
      </c>
      <c r="B3613" s="9" t="s">
        <v>5</v>
      </c>
      <c r="C3613" s="16"/>
      <c r="D3613" s="21"/>
      <c r="E3613" s="32" t="s">
        <v>11215</v>
      </c>
      <c r="F3613" s="22" t="str">
        <f>VLOOKUP(Table8[[#This Row],[Mã khách hàng]],code_khach_hang[],2,0)</f>
        <v>CHI NHÁNH HÀ NỘI - CÔNG TY CỔ PHẦN DỊCH VỤ THƯƠNG MẠI TỔNG HỢP WINCOMMERCE</v>
      </c>
      <c r="G3613" s="16" t="str">
        <f>VLOOKUP(Table8[[#This Row],[Mã khách hàng]],code_khach_hang[],3,0)</f>
        <v>Miền Bắc đặc biệt 1</v>
      </c>
      <c r="H3613" t="str">
        <f>VLOOKUP(Table8[[#This Row],[Mã khách hàng]],'Khách hàng'!A:D,4,0)</f>
        <v>Food Đức Việt</v>
      </c>
      <c r="I3613" t="str">
        <f>VLOOKUP(Table8[[#This Row],[Mã khách hàng]],'Khách hàng'!A:E,5,0)</f>
        <v>HN0040</v>
      </c>
    </row>
    <row r="3614" spans="1:9">
      <c r="A3614" s="14" t="s">
        <v>12426</v>
      </c>
      <c r="B3614" s="9" t="s">
        <v>5</v>
      </c>
      <c r="C3614" s="16"/>
      <c r="D3614" s="21"/>
      <c r="E3614" s="32" t="s">
        <v>11196</v>
      </c>
      <c r="F3614" s="22" t="str">
        <f>VLOOKUP(Table8[[#This Row],[Mã khách hàng]],code_khach_hang[],2,0)</f>
        <v>CHI NHÁNH NINH BÌNH - CÔNG TY CỔ PHẦN DỊCH VỤ THƯƠNG MẠI TỔNG HỢP WINCOMMERCE</v>
      </c>
      <c r="G3614" s="16" t="str">
        <f>VLOOKUP(Table8[[#This Row],[Mã khách hàng]],code_khach_hang[],3,0)</f>
        <v>Miền Bắc đặc biệt 3</v>
      </c>
      <c r="H3614" t="str">
        <f>VLOOKUP(Table8[[#This Row],[Mã khách hàng]],'Khách hàng'!A:D,4,0)</f>
        <v>Food Đức Việt</v>
      </c>
      <c r="I3614" t="str">
        <f>VLOOKUP(Table8[[#This Row],[Mã khách hàng]],'Khách hàng'!A:E,5,0)</f>
        <v>HN0040</v>
      </c>
    </row>
    <row r="3615" spans="1:9">
      <c r="A3615" s="14" t="s">
        <v>12427</v>
      </c>
      <c r="B3615" s="9" t="s">
        <v>5</v>
      </c>
      <c r="C3615" s="16"/>
      <c r="D3615" s="21"/>
      <c r="E3615" s="32" t="s">
        <v>11216</v>
      </c>
      <c r="F3615" s="22" t="str">
        <f>VLOOKUP(Table8[[#This Row],[Mã khách hàng]],code_khach_hang[],2,0)</f>
        <v>CHI NHÁNH HƯNG YÊN - CÔNG TY CỔ PHẦN DỊCH VỤ THƯƠNG MẠI TỔNG HỢP WINCOMMERCE</v>
      </c>
      <c r="G3615" s="16" t="str">
        <f>VLOOKUP(Table8[[#This Row],[Mã khách hàng]],code_khach_hang[],3,0)</f>
        <v>Miền Bắc đặc biệt 1</v>
      </c>
      <c r="H3615" t="str">
        <f>VLOOKUP(Table8[[#This Row],[Mã khách hàng]],'Khách hàng'!A:D,4,0)</f>
        <v>Food Đức Việt</v>
      </c>
      <c r="I3615" t="str">
        <f>VLOOKUP(Table8[[#This Row],[Mã khách hàng]],'Khách hàng'!A:E,5,0)</f>
        <v>HN0040</v>
      </c>
    </row>
    <row r="3616" spans="1:9">
      <c r="A3616" s="14" t="s">
        <v>12428</v>
      </c>
      <c r="B3616" s="9" t="s">
        <v>5</v>
      </c>
      <c r="C3616" s="16"/>
      <c r="D3616" s="21"/>
      <c r="E3616" s="32" t="s">
        <v>11216</v>
      </c>
      <c r="F3616" s="22" t="str">
        <f>VLOOKUP(Table8[[#This Row],[Mã khách hàng]],code_khach_hang[],2,0)</f>
        <v>CHI NHÁNH HƯNG YÊN - CÔNG TY CỔ PHẦN DỊCH VỤ THƯƠNG MẠI TỔNG HỢP WINCOMMERCE</v>
      </c>
      <c r="G3616" s="16" t="str">
        <f>VLOOKUP(Table8[[#This Row],[Mã khách hàng]],code_khach_hang[],3,0)</f>
        <v>Miền Bắc đặc biệt 1</v>
      </c>
      <c r="H3616" t="str">
        <f>VLOOKUP(Table8[[#This Row],[Mã khách hàng]],'Khách hàng'!A:D,4,0)</f>
        <v>Food Đức Việt</v>
      </c>
      <c r="I3616" t="str">
        <f>VLOOKUP(Table8[[#This Row],[Mã khách hàng]],'Khách hàng'!A:E,5,0)</f>
        <v>HN0040</v>
      </c>
    </row>
    <row r="3617" spans="1:9">
      <c r="A3617" s="14" t="s">
        <v>12429</v>
      </c>
      <c r="B3617" s="9" t="s">
        <v>5</v>
      </c>
      <c r="C3617" s="16"/>
      <c r="D3617" s="21"/>
      <c r="E3617" s="32" t="s">
        <v>11198</v>
      </c>
      <c r="F3617" s="22" t="str">
        <f>VLOOKUP(Table8[[#This Row],[Mã khách hàng]],code_khach_hang[],2,0)</f>
        <v>CHI NHÁNH HẢI PHÒNG - CÔNG TY CỔ PHẦN DỊCH VỤ THƯƠNG MẠI TỔNG HỢP WINCOMMERCE</v>
      </c>
      <c r="G3617" s="16" t="str">
        <f>VLOOKUP(Table8[[#This Row],[Mã khách hàng]],code_khach_hang[],3,0)</f>
        <v>Miền Bắc đặc biệt 3</v>
      </c>
      <c r="H3617" t="str">
        <f>VLOOKUP(Table8[[#This Row],[Mã khách hàng]],'Khách hàng'!A:D,4,0)</f>
        <v>Food Đức Việt</v>
      </c>
      <c r="I3617" t="str">
        <f>VLOOKUP(Table8[[#This Row],[Mã khách hàng]],'Khách hàng'!A:E,5,0)</f>
        <v>HN0040</v>
      </c>
    </row>
    <row r="3618" spans="1:9">
      <c r="A3618" s="14" t="s">
        <v>12430</v>
      </c>
      <c r="B3618" s="9" t="s">
        <v>5</v>
      </c>
      <c r="C3618" s="16"/>
      <c r="D3618" s="21"/>
      <c r="E3618" s="32" t="s">
        <v>11193</v>
      </c>
      <c r="F3618" s="22" t="str">
        <f>VLOOKUP(Table8[[#This Row],[Mã khách hàng]],code_khach_hang[],2,0)</f>
        <v>CHI NHÁNH BẮC NINH - CÔNG TY CỔ PHẦN DỊCH VỤ THƯƠNG MẠI TỔNG HỢP WINCOMMERCE</v>
      </c>
      <c r="G3618" s="16" t="str">
        <f>VLOOKUP(Table8[[#This Row],[Mã khách hàng]],code_khach_hang[],3,0)</f>
        <v>Miền Bắc đặc biệt 2</v>
      </c>
      <c r="H3618" t="str">
        <f>VLOOKUP(Table8[[#This Row],[Mã khách hàng]],'Khách hàng'!A:D,4,0)</f>
        <v>Food Đức Việt</v>
      </c>
      <c r="I3618" t="str">
        <f>VLOOKUP(Table8[[#This Row],[Mã khách hàng]],'Khách hàng'!A:E,5,0)</f>
        <v>HN0040</v>
      </c>
    </row>
    <row r="3619" spans="1:9">
      <c r="A3619" s="14" t="s">
        <v>12431</v>
      </c>
      <c r="B3619" s="9" t="s">
        <v>5</v>
      </c>
      <c r="C3619" s="16"/>
      <c r="D3619" s="21"/>
      <c r="E3619" s="32" t="s">
        <v>11193</v>
      </c>
      <c r="F3619" s="22" t="str">
        <f>VLOOKUP(Table8[[#This Row],[Mã khách hàng]],code_khach_hang[],2,0)</f>
        <v>CHI NHÁNH BẮC NINH - CÔNG TY CỔ PHẦN DỊCH VỤ THƯƠNG MẠI TỔNG HỢP WINCOMMERCE</v>
      </c>
      <c r="G3619" s="16" t="str">
        <f>VLOOKUP(Table8[[#This Row],[Mã khách hàng]],code_khach_hang[],3,0)</f>
        <v>Miền Bắc đặc biệt 2</v>
      </c>
      <c r="H3619" t="str">
        <f>VLOOKUP(Table8[[#This Row],[Mã khách hàng]],'Khách hàng'!A:D,4,0)</f>
        <v>Food Đức Việt</v>
      </c>
      <c r="I3619" t="str">
        <f>VLOOKUP(Table8[[#This Row],[Mã khách hàng]],'Khách hàng'!A:E,5,0)</f>
        <v>HN0040</v>
      </c>
    </row>
    <row r="3620" spans="1:9">
      <c r="A3620" s="11" t="s">
        <v>12432</v>
      </c>
      <c r="B3620" s="9" t="s">
        <v>5</v>
      </c>
      <c r="C3620" s="10"/>
      <c r="D3620" s="21"/>
      <c r="E3620" s="31" t="s">
        <v>11211</v>
      </c>
      <c r="F3620" s="22" t="str">
        <f>VLOOKUP(Table8[[#This Row],[Mã khách hàng]],code_khach_hang[],2,0)</f>
        <v>CHI NHÁNH NGHỆ AN - CÔNG TY CỔ PHẦN DỊCH VỤ THƯƠNG MẠI TỔNG HỢP WINCOMMERCE</v>
      </c>
      <c r="G3620" s="10" t="str">
        <f>VLOOKUP(Table8[[#This Row],[Mã khách hàng]],code_khach_hang[],3,0)</f>
        <v>Miền Trung đặc biệt 1</v>
      </c>
      <c r="H3620" t="str">
        <f>VLOOKUP(Table8[[#This Row],[Mã khách hàng]],'Khách hàng'!A:D,4,0)</f>
        <v>Food Đức Việt</v>
      </c>
      <c r="I3620" t="str">
        <f>VLOOKUP(Table8[[#This Row],[Mã khách hàng]],'Khách hàng'!A:E,5,0)</f>
        <v>HN0040</v>
      </c>
    </row>
    <row r="3621" spans="1:9">
      <c r="A3621" s="14" t="s">
        <v>12433</v>
      </c>
      <c r="B3621" s="9" t="s">
        <v>5</v>
      </c>
      <c r="C3621" s="16"/>
      <c r="D3621" s="21"/>
      <c r="E3621" s="32" t="s">
        <v>11193</v>
      </c>
      <c r="F3621" s="22" t="str">
        <f>VLOOKUP(Table8[[#This Row],[Mã khách hàng]],code_khach_hang[],2,0)</f>
        <v>CHI NHÁNH BẮC NINH - CÔNG TY CỔ PHẦN DỊCH VỤ THƯƠNG MẠI TỔNG HỢP WINCOMMERCE</v>
      </c>
      <c r="G3621" s="16" t="str">
        <f>VLOOKUP(Table8[[#This Row],[Mã khách hàng]],code_khach_hang[],3,0)</f>
        <v>Miền Bắc đặc biệt 2</v>
      </c>
      <c r="H3621" t="str">
        <f>VLOOKUP(Table8[[#This Row],[Mã khách hàng]],'Khách hàng'!A:D,4,0)</f>
        <v>Food Đức Việt</v>
      </c>
      <c r="I3621" t="str">
        <f>VLOOKUP(Table8[[#This Row],[Mã khách hàng]],'Khách hàng'!A:E,5,0)</f>
        <v>HN0040</v>
      </c>
    </row>
    <row r="3622" spans="1:9">
      <c r="A3622" s="14" t="s">
        <v>12434</v>
      </c>
      <c r="B3622" s="9" t="s">
        <v>5</v>
      </c>
      <c r="C3622" s="16"/>
      <c r="D3622" s="21"/>
      <c r="E3622" s="32" t="s">
        <v>11193</v>
      </c>
      <c r="F3622" s="22" t="str">
        <f>VLOOKUP(Table8[[#This Row],[Mã khách hàng]],code_khach_hang[],2,0)</f>
        <v>CHI NHÁNH BẮC NINH - CÔNG TY CỔ PHẦN DỊCH VỤ THƯƠNG MẠI TỔNG HỢP WINCOMMERCE</v>
      </c>
      <c r="G3622" s="16" t="str">
        <f>VLOOKUP(Table8[[#This Row],[Mã khách hàng]],code_khach_hang[],3,0)</f>
        <v>Miền Bắc đặc biệt 2</v>
      </c>
      <c r="H3622" t="str">
        <f>VLOOKUP(Table8[[#This Row],[Mã khách hàng]],'Khách hàng'!A:D,4,0)</f>
        <v>Food Đức Việt</v>
      </c>
      <c r="I3622" t="str">
        <f>VLOOKUP(Table8[[#This Row],[Mã khách hàng]],'Khách hàng'!A:E,5,0)</f>
        <v>HN0040</v>
      </c>
    </row>
    <row r="3623" spans="1:9">
      <c r="A3623" s="14" t="s">
        <v>12435</v>
      </c>
      <c r="B3623" s="9" t="s">
        <v>5</v>
      </c>
      <c r="C3623" s="16"/>
      <c r="D3623" s="21"/>
      <c r="E3623" s="32" t="s">
        <v>11196</v>
      </c>
      <c r="F3623" s="22" t="str">
        <f>VLOOKUP(Table8[[#This Row],[Mã khách hàng]],code_khach_hang[],2,0)</f>
        <v>CHI NHÁNH NINH BÌNH - CÔNG TY CỔ PHẦN DỊCH VỤ THƯƠNG MẠI TỔNG HỢP WINCOMMERCE</v>
      </c>
      <c r="G3623" s="16" t="str">
        <f>VLOOKUP(Table8[[#This Row],[Mã khách hàng]],code_khach_hang[],3,0)</f>
        <v>Miền Bắc đặc biệt 3</v>
      </c>
      <c r="H3623" t="str">
        <f>VLOOKUP(Table8[[#This Row],[Mã khách hàng]],'Khách hàng'!A:D,4,0)</f>
        <v>Food Đức Việt</v>
      </c>
      <c r="I3623" t="str">
        <f>VLOOKUP(Table8[[#This Row],[Mã khách hàng]],'Khách hàng'!A:E,5,0)</f>
        <v>HN0040</v>
      </c>
    </row>
    <row r="3624" spans="1:9">
      <c r="A3624" s="14" t="s">
        <v>12436</v>
      </c>
      <c r="B3624" s="9" t="s">
        <v>5</v>
      </c>
      <c r="C3624" s="16"/>
      <c r="D3624" s="21"/>
      <c r="E3624" s="32" t="s">
        <v>11199</v>
      </c>
      <c r="F3624" s="22" t="str">
        <f>VLOOKUP(Table8[[#This Row],[Mã khách hàng]],code_khach_hang[],2,0)</f>
        <v>CHI NHÁNH PHÚ THỌ - CÔNG TY CỔ PHẦN DỊCH VỤ THƯƠNG MẠI TỔNG HỢP WINCOMMERCE</v>
      </c>
      <c r="G3624" s="16" t="str">
        <f>VLOOKUP(Table8[[#This Row],[Mã khách hàng]],code_khach_hang[],3,0)</f>
        <v>Miền Bắc đặc biệt 1</v>
      </c>
      <c r="H3624" t="str">
        <f>VLOOKUP(Table8[[#This Row],[Mã khách hàng]],'Khách hàng'!A:D,4,0)</f>
        <v>Food Đức Việt</v>
      </c>
      <c r="I3624" t="str">
        <f>VLOOKUP(Table8[[#This Row],[Mã khách hàng]],'Khách hàng'!A:E,5,0)</f>
        <v>HN0040</v>
      </c>
    </row>
    <row r="3625" spans="1:9">
      <c r="A3625" s="14" t="s">
        <v>12437</v>
      </c>
      <c r="B3625" s="9" t="s">
        <v>5</v>
      </c>
      <c r="C3625" s="16"/>
      <c r="D3625" s="21"/>
      <c r="E3625" s="32" t="s">
        <v>11196</v>
      </c>
      <c r="F3625" s="22" t="str">
        <f>VLOOKUP(Table8[[#This Row],[Mã khách hàng]],code_khach_hang[],2,0)</f>
        <v>CHI NHÁNH NINH BÌNH - CÔNG TY CỔ PHẦN DỊCH VỤ THƯƠNG MẠI TỔNG HỢP WINCOMMERCE</v>
      </c>
      <c r="G3625" s="16" t="str">
        <f>VLOOKUP(Table8[[#This Row],[Mã khách hàng]],code_khach_hang[],3,0)</f>
        <v>Miền Bắc đặc biệt 3</v>
      </c>
      <c r="H3625" t="str">
        <f>VLOOKUP(Table8[[#This Row],[Mã khách hàng]],'Khách hàng'!A:D,4,0)</f>
        <v>Food Đức Việt</v>
      </c>
      <c r="I3625" t="str">
        <f>VLOOKUP(Table8[[#This Row],[Mã khách hàng]],'Khách hàng'!A:E,5,0)</f>
        <v>HN0040</v>
      </c>
    </row>
    <row r="3626" spans="1:9">
      <c r="A3626" s="11" t="s">
        <v>12441</v>
      </c>
      <c r="B3626" s="9" t="s">
        <v>5</v>
      </c>
      <c r="C3626" s="10"/>
      <c r="D3626" s="21"/>
      <c r="E3626" s="31" t="s">
        <v>11211</v>
      </c>
      <c r="F3626" s="22" t="str">
        <f>VLOOKUP(Table8[[#This Row],[Mã khách hàng]],code_khach_hang[],2,0)</f>
        <v>CHI NHÁNH NGHỆ AN - CÔNG TY CỔ PHẦN DỊCH VỤ THƯƠNG MẠI TỔNG HỢP WINCOMMERCE</v>
      </c>
      <c r="G3626" s="10" t="str">
        <f>VLOOKUP(Table8[[#This Row],[Mã khách hàng]],code_khach_hang[],3,0)</f>
        <v>Miền Trung đặc biệt 1</v>
      </c>
      <c r="H3626" t="str">
        <f>VLOOKUP(Table8[[#This Row],[Mã khách hàng]],'Khách hàng'!A:D,4,0)</f>
        <v>Food Đức Việt</v>
      </c>
      <c r="I3626" t="str">
        <f>VLOOKUP(Table8[[#This Row],[Mã khách hàng]],'Khách hàng'!A:E,5,0)</f>
        <v>HN0040</v>
      </c>
    </row>
    <row r="3627" spans="1:9">
      <c r="A3627" s="14" t="s">
        <v>12442</v>
      </c>
      <c r="B3627" s="9" t="s">
        <v>5</v>
      </c>
      <c r="C3627" s="16"/>
      <c r="D3627" s="21"/>
      <c r="E3627" s="32" t="s">
        <v>11193</v>
      </c>
      <c r="F3627" s="22" t="str">
        <f>VLOOKUP(Table8[[#This Row],[Mã khách hàng]],code_khach_hang[],2,0)</f>
        <v>CHI NHÁNH BẮC NINH - CÔNG TY CỔ PHẦN DỊCH VỤ THƯƠNG MẠI TỔNG HỢP WINCOMMERCE</v>
      </c>
      <c r="G3627" s="16" t="str">
        <f>VLOOKUP(Table8[[#This Row],[Mã khách hàng]],code_khach_hang[],3,0)</f>
        <v>Miền Bắc đặc biệt 2</v>
      </c>
      <c r="H3627" t="str">
        <f>VLOOKUP(Table8[[#This Row],[Mã khách hàng]],'Khách hàng'!A:D,4,0)</f>
        <v>Food Đức Việt</v>
      </c>
      <c r="I3627" t="str">
        <f>VLOOKUP(Table8[[#This Row],[Mã khách hàng]],'Khách hàng'!A:E,5,0)</f>
        <v>HN0040</v>
      </c>
    </row>
    <row r="3628" spans="1:9">
      <c r="A3628" s="14" t="s">
        <v>12443</v>
      </c>
      <c r="B3628" s="9" t="s">
        <v>5</v>
      </c>
      <c r="C3628" s="16"/>
      <c r="D3628" s="21"/>
      <c r="E3628" s="32" t="s">
        <v>11215</v>
      </c>
      <c r="F3628" s="22" t="str">
        <f>VLOOKUP(Table8[[#This Row],[Mã khách hàng]],code_khach_hang[],2,0)</f>
        <v>CHI NHÁNH HÀ NỘI - CÔNG TY CỔ PHẦN DỊCH VỤ THƯƠNG MẠI TỔNG HỢP WINCOMMERCE</v>
      </c>
      <c r="G3628" s="16" t="str">
        <f>VLOOKUP(Table8[[#This Row],[Mã khách hàng]],code_khach_hang[],3,0)</f>
        <v>Miền Bắc đặc biệt 1</v>
      </c>
      <c r="H3628" t="str">
        <f>VLOOKUP(Table8[[#This Row],[Mã khách hàng]],'Khách hàng'!A:D,4,0)</f>
        <v>Food Đức Việt</v>
      </c>
      <c r="I3628" t="str">
        <f>VLOOKUP(Table8[[#This Row],[Mã khách hàng]],'Khách hàng'!A:E,5,0)</f>
        <v>HN0040</v>
      </c>
    </row>
    <row r="3629" spans="1:9">
      <c r="A3629" s="14" t="s">
        <v>12444</v>
      </c>
      <c r="B3629" s="9" t="s">
        <v>5</v>
      </c>
      <c r="C3629" s="16"/>
      <c r="D3629" s="21"/>
      <c r="E3629" s="32" t="s">
        <v>11198</v>
      </c>
      <c r="F3629" s="22" t="str">
        <f>VLOOKUP(Table8[[#This Row],[Mã khách hàng]],code_khach_hang[],2,0)</f>
        <v>CHI NHÁNH HẢI PHÒNG - CÔNG TY CỔ PHẦN DỊCH VỤ THƯƠNG MẠI TỔNG HỢP WINCOMMERCE</v>
      </c>
      <c r="G3629" s="16" t="str">
        <f>VLOOKUP(Table8[[#This Row],[Mã khách hàng]],code_khach_hang[],3,0)</f>
        <v>Miền Bắc đặc biệt 3</v>
      </c>
      <c r="H3629" t="str">
        <f>VLOOKUP(Table8[[#This Row],[Mã khách hàng]],'Khách hàng'!A:D,4,0)</f>
        <v>Food Đức Việt</v>
      </c>
      <c r="I3629" t="str">
        <f>VLOOKUP(Table8[[#This Row],[Mã khách hàng]],'Khách hàng'!A:E,5,0)</f>
        <v>HN0040</v>
      </c>
    </row>
    <row r="3630" spans="1:9">
      <c r="A3630" s="14" t="s">
        <v>12445</v>
      </c>
      <c r="B3630" s="9" t="s">
        <v>5</v>
      </c>
      <c r="C3630" s="16"/>
      <c r="D3630" s="21"/>
      <c r="E3630" s="32" t="s">
        <v>11211</v>
      </c>
      <c r="F3630" s="22" t="str">
        <f>VLOOKUP(Table8[[#This Row],[Mã khách hàng]],code_khach_hang[],2,0)</f>
        <v>CHI NHÁNH NGHỆ AN - CÔNG TY CỔ PHẦN DỊCH VỤ THƯƠNG MẠI TỔNG HỢP WINCOMMERCE</v>
      </c>
      <c r="G3630" s="16" t="str">
        <f>VLOOKUP(Table8[[#This Row],[Mã khách hàng]],code_khach_hang[],3,0)</f>
        <v>Miền Trung đặc biệt 1</v>
      </c>
      <c r="H3630" t="str">
        <f>VLOOKUP(Table8[[#This Row],[Mã khách hàng]],'Khách hàng'!A:D,4,0)</f>
        <v>Food Đức Việt</v>
      </c>
      <c r="I3630" t="str">
        <f>VLOOKUP(Table8[[#This Row],[Mã khách hàng]],'Khách hàng'!A:E,5,0)</f>
        <v>HN0040</v>
      </c>
    </row>
    <row r="3631" spans="1:9">
      <c r="A3631" s="14" t="s">
        <v>12446</v>
      </c>
      <c r="B3631" s="9" t="s">
        <v>5</v>
      </c>
      <c r="C3631" s="16"/>
      <c r="D3631" s="21"/>
      <c r="E3631" s="32" t="s">
        <v>11203</v>
      </c>
      <c r="F3631" s="22" t="str">
        <f>VLOOKUP(Table8[[#This Row],[Mã khách hàng]],code_khach_hang[],2,0)</f>
        <v>CHI NHÁNH THANH HÓA - CÔNG TY CỔ PHẦN DỊCH VỤ THƯƠNG MẠI TỔNG HỢP WINCOMMERCE</v>
      </c>
      <c r="G3631" s="16" t="str">
        <f>VLOOKUP(Table8[[#This Row],[Mã khách hàng]],code_khach_hang[],3,0)</f>
        <v>Miền Trung đặc biệt 1</v>
      </c>
      <c r="H3631" t="str">
        <f>VLOOKUP(Table8[[#This Row],[Mã khách hàng]],'Khách hàng'!A:D,4,0)</f>
        <v>Food Đức Việt</v>
      </c>
      <c r="I3631" t="str">
        <f>VLOOKUP(Table8[[#This Row],[Mã khách hàng]],'Khách hàng'!A:E,5,0)</f>
        <v>HN0040</v>
      </c>
    </row>
    <row r="3632" spans="1:9">
      <c r="A3632" s="14" t="s">
        <v>12447</v>
      </c>
      <c r="B3632" s="9" t="s">
        <v>5</v>
      </c>
      <c r="C3632" s="16"/>
      <c r="D3632" s="21"/>
      <c r="E3632" s="32" t="s">
        <v>11193</v>
      </c>
      <c r="F3632" s="22" t="str">
        <f>VLOOKUP(Table8[[#This Row],[Mã khách hàng]],code_khach_hang[],2,0)</f>
        <v>CHI NHÁNH BẮC NINH - CÔNG TY CỔ PHẦN DỊCH VỤ THƯƠNG MẠI TỔNG HỢP WINCOMMERCE</v>
      </c>
      <c r="G3632" s="16" t="str">
        <f>VLOOKUP(Table8[[#This Row],[Mã khách hàng]],code_khach_hang[],3,0)</f>
        <v>Miền Bắc đặc biệt 2</v>
      </c>
      <c r="H3632" t="str">
        <f>VLOOKUP(Table8[[#This Row],[Mã khách hàng]],'Khách hàng'!A:D,4,0)</f>
        <v>Food Đức Việt</v>
      </c>
      <c r="I3632" t="str">
        <f>VLOOKUP(Table8[[#This Row],[Mã khách hàng]],'Khách hàng'!A:E,5,0)</f>
        <v>HN0040</v>
      </c>
    </row>
    <row r="3633" spans="1:9">
      <c r="A3633" s="14" t="s">
        <v>12448</v>
      </c>
      <c r="B3633" s="9" t="s">
        <v>5</v>
      </c>
      <c r="C3633" s="16"/>
      <c r="D3633" s="21"/>
      <c r="E3633" s="32" t="s">
        <v>11199</v>
      </c>
      <c r="F3633" s="22" t="str">
        <f>VLOOKUP(Table8[[#This Row],[Mã khách hàng]],code_khach_hang[],2,0)</f>
        <v>CHI NHÁNH PHÚ THỌ - CÔNG TY CỔ PHẦN DỊCH VỤ THƯƠNG MẠI TỔNG HỢP WINCOMMERCE</v>
      </c>
      <c r="G3633" s="16" t="str">
        <f>VLOOKUP(Table8[[#This Row],[Mã khách hàng]],code_khach_hang[],3,0)</f>
        <v>Miền Bắc đặc biệt 1</v>
      </c>
      <c r="H3633" t="str">
        <f>VLOOKUP(Table8[[#This Row],[Mã khách hàng]],'Khách hàng'!A:D,4,0)</f>
        <v>Food Đức Việt</v>
      </c>
      <c r="I3633" t="str">
        <f>VLOOKUP(Table8[[#This Row],[Mã khách hàng]],'Khách hàng'!A:E,5,0)</f>
        <v>HN0040</v>
      </c>
    </row>
    <row r="3634" spans="1:9">
      <c r="A3634" s="14" t="s">
        <v>12449</v>
      </c>
      <c r="B3634" s="9" t="s">
        <v>5</v>
      </c>
      <c r="C3634" s="16"/>
      <c r="D3634" s="21"/>
      <c r="E3634" s="32" t="s">
        <v>11215</v>
      </c>
      <c r="F3634" s="22" t="str">
        <f>VLOOKUP(Table8[[#This Row],[Mã khách hàng]],code_khach_hang[],2,0)</f>
        <v>CHI NHÁNH HÀ NỘI - CÔNG TY CỔ PHẦN DỊCH VỤ THƯƠNG MẠI TỔNG HỢP WINCOMMERCE</v>
      </c>
      <c r="G3634" s="16" t="str">
        <f>VLOOKUP(Table8[[#This Row],[Mã khách hàng]],code_khach_hang[],3,0)</f>
        <v>Miền Bắc đặc biệt 1</v>
      </c>
      <c r="H3634" t="str">
        <f>VLOOKUP(Table8[[#This Row],[Mã khách hàng]],'Khách hàng'!A:D,4,0)</f>
        <v>Food Đức Việt</v>
      </c>
      <c r="I3634" t="str">
        <f>VLOOKUP(Table8[[#This Row],[Mã khách hàng]],'Khách hàng'!A:E,5,0)</f>
        <v>HN0040</v>
      </c>
    </row>
    <row r="3635" spans="1:9">
      <c r="A3635" s="14" t="s">
        <v>12450</v>
      </c>
      <c r="B3635" s="9" t="s">
        <v>5</v>
      </c>
      <c r="C3635" s="16"/>
      <c r="D3635" s="21"/>
      <c r="E3635" s="32" t="s">
        <v>11199</v>
      </c>
      <c r="F3635" s="22" t="str">
        <f>VLOOKUP(Table8[[#This Row],[Mã khách hàng]],code_khach_hang[],2,0)</f>
        <v>CHI NHÁNH PHÚ THỌ - CÔNG TY CỔ PHẦN DỊCH VỤ THƯƠNG MẠI TỔNG HỢP WINCOMMERCE</v>
      </c>
      <c r="G3635" s="16" t="str">
        <f>VLOOKUP(Table8[[#This Row],[Mã khách hàng]],code_khach_hang[],3,0)</f>
        <v>Miền Bắc đặc biệt 1</v>
      </c>
      <c r="H3635" t="str">
        <f>VLOOKUP(Table8[[#This Row],[Mã khách hàng]],'Khách hàng'!A:D,4,0)</f>
        <v>Food Đức Việt</v>
      </c>
      <c r="I3635" t="str">
        <f>VLOOKUP(Table8[[#This Row],[Mã khách hàng]],'Khách hàng'!A:E,5,0)</f>
        <v>HN0040</v>
      </c>
    </row>
    <row r="3636" spans="1:9">
      <c r="A3636" s="14" t="s">
        <v>12451</v>
      </c>
      <c r="B3636" s="9" t="s">
        <v>5</v>
      </c>
      <c r="C3636" s="16"/>
      <c r="D3636" s="21"/>
      <c r="E3636" s="32" t="s">
        <v>11193</v>
      </c>
      <c r="F3636" s="22" t="str">
        <f>VLOOKUP(Table8[[#This Row],[Mã khách hàng]],code_khach_hang[],2,0)</f>
        <v>CHI NHÁNH BẮC NINH - CÔNG TY CỔ PHẦN DỊCH VỤ THƯƠNG MẠI TỔNG HỢP WINCOMMERCE</v>
      </c>
      <c r="G3636" s="16" t="str">
        <f>VLOOKUP(Table8[[#This Row],[Mã khách hàng]],code_khach_hang[],3,0)</f>
        <v>Miền Bắc đặc biệt 2</v>
      </c>
      <c r="H3636" t="str">
        <f>VLOOKUP(Table8[[#This Row],[Mã khách hàng]],'Khách hàng'!A:D,4,0)</f>
        <v>Food Đức Việt</v>
      </c>
      <c r="I3636" t="str">
        <f>VLOOKUP(Table8[[#This Row],[Mã khách hàng]],'Khách hàng'!A:E,5,0)</f>
        <v>HN0040</v>
      </c>
    </row>
    <row r="3637" spans="1:9">
      <c r="A3637" s="14" t="s">
        <v>12452</v>
      </c>
      <c r="B3637" s="9" t="s">
        <v>5</v>
      </c>
      <c r="C3637" s="16"/>
      <c r="D3637" s="21"/>
      <c r="E3637" s="32" t="s">
        <v>11196</v>
      </c>
      <c r="F3637" s="22" t="str">
        <f>VLOOKUP(Table8[[#This Row],[Mã khách hàng]],code_khach_hang[],2,0)</f>
        <v>CHI NHÁNH NINH BÌNH - CÔNG TY CỔ PHẦN DỊCH VỤ THƯƠNG MẠI TỔNG HỢP WINCOMMERCE</v>
      </c>
      <c r="G3637" s="16" t="str">
        <f>VLOOKUP(Table8[[#This Row],[Mã khách hàng]],code_khach_hang[],3,0)</f>
        <v>Miền Bắc đặc biệt 3</v>
      </c>
      <c r="H3637" t="str">
        <f>VLOOKUP(Table8[[#This Row],[Mã khách hàng]],'Khách hàng'!A:D,4,0)</f>
        <v>Food Đức Việt</v>
      </c>
      <c r="I3637" t="str">
        <f>VLOOKUP(Table8[[#This Row],[Mã khách hàng]],'Khách hàng'!A:E,5,0)</f>
        <v>HN0040</v>
      </c>
    </row>
    <row r="3638" spans="1:9">
      <c r="A3638" s="14" t="s">
        <v>12453</v>
      </c>
      <c r="B3638" s="9" t="s">
        <v>5</v>
      </c>
      <c r="C3638" s="16"/>
      <c r="D3638" s="21"/>
      <c r="E3638" s="32" t="s">
        <v>11218</v>
      </c>
      <c r="F3638" s="22" t="str">
        <f>VLOOKUP(Table8[[#This Row],[Mã khách hàng]],code_khach_hang[],2,0)</f>
        <v>CHI NHÁNH LÀO CAI - CÔNG TY CỔ PHẦN DỊCH VỤ THƯƠNG MẠI TỔNG HỢP WINCOMMERCE</v>
      </c>
      <c r="G3638" s="16" t="str">
        <f>VLOOKUP(Table8[[#This Row],[Mã khách hàng]],code_khach_hang[],3,0)</f>
        <v>Miền Bắc đặc biệt 1</v>
      </c>
      <c r="H3638" t="str">
        <f>VLOOKUP(Table8[[#This Row],[Mã khách hàng]],'Khách hàng'!A:D,4,0)</f>
        <v>Food Đức Việt</v>
      </c>
      <c r="I3638" t="str">
        <f>VLOOKUP(Table8[[#This Row],[Mã khách hàng]],'Khách hàng'!A:E,5,0)</f>
        <v>HN0040</v>
      </c>
    </row>
    <row r="3639" spans="1:9">
      <c r="A3639" s="14" t="s">
        <v>12454</v>
      </c>
      <c r="B3639" s="9" t="s">
        <v>5</v>
      </c>
      <c r="C3639" s="16"/>
      <c r="D3639" s="21"/>
      <c r="E3639" s="32" t="s">
        <v>11203</v>
      </c>
      <c r="F3639" s="22" t="str">
        <f>VLOOKUP(Table8[[#This Row],[Mã khách hàng]],code_khach_hang[],2,0)</f>
        <v>CHI NHÁNH THANH HÓA - CÔNG TY CỔ PHẦN DỊCH VỤ THƯƠNG MẠI TỔNG HỢP WINCOMMERCE</v>
      </c>
      <c r="G3639" s="16" t="str">
        <f>VLOOKUP(Table8[[#This Row],[Mã khách hàng]],code_khach_hang[],3,0)</f>
        <v>Miền Trung đặc biệt 1</v>
      </c>
      <c r="H3639" t="str">
        <f>VLOOKUP(Table8[[#This Row],[Mã khách hàng]],'Khách hàng'!A:D,4,0)</f>
        <v>Food Đức Việt</v>
      </c>
      <c r="I3639" t="str">
        <f>VLOOKUP(Table8[[#This Row],[Mã khách hàng]],'Khách hàng'!A:E,5,0)</f>
        <v>HN0040</v>
      </c>
    </row>
    <row r="3640" spans="1:9">
      <c r="A3640" s="11" t="s">
        <v>12477</v>
      </c>
      <c r="B3640" s="9" t="s">
        <v>5</v>
      </c>
      <c r="C3640" s="10"/>
      <c r="D3640" s="21"/>
      <c r="E3640" s="31" t="s">
        <v>11207</v>
      </c>
      <c r="F3640" s="22" t="str">
        <f>VLOOKUP(Table8[[#This Row],[Mã khách hàng]],code_khach_hang[],2,0)</f>
        <v>CHI NHÁNH THÁI NGUYÊN - CÔNG TY CỔ PHẦN DỊCH VỤ THƯƠNG MẠI TỔNG HỢP WINCOMMERCE</v>
      </c>
      <c r="G3640" s="10" t="str">
        <f>VLOOKUP(Table8[[#This Row],[Mã khách hàng]],code_khach_hang[],3,0)</f>
        <v>Miền Bắc đặc biệt 2</v>
      </c>
      <c r="H3640" t="str">
        <f>VLOOKUP(Table8[[#This Row],[Mã khách hàng]],'Khách hàng'!A:D,4,0)</f>
        <v>Food Đức Việt</v>
      </c>
      <c r="I3640" t="str">
        <f>VLOOKUP(Table8[[#This Row],[Mã khách hàng]],'Khách hàng'!A:E,5,0)</f>
        <v>HN0040</v>
      </c>
    </row>
    <row r="3641" spans="1:9">
      <c r="A3641" s="14" t="s">
        <v>12478</v>
      </c>
      <c r="B3641" s="9" t="s">
        <v>5</v>
      </c>
      <c r="C3641" s="16"/>
      <c r="D3641" s="21"/>
      <c r="E3641" s="32" t="s">
        <v>11215</v>
      </c>
      <c r="F3641" s="22" t="str">
        <f>VLOOKUP(Table8[[#This Row],[Mã khách hàng]],code_khach_hang[],2,0)</f>
        <v>CHI NHÁNH HÀ NỘI - CÔNG TY CỔ PHẦN DỊCH VỤ THƯƠNG MẠI TỔNG HỢP WINCOMMERCE</v>
      </c>
      <c r="G3641" s="16" t="str">
        <f>VLOOKUP(Table8[[#This Row],[Mã khách hàng]],code_khach_hang[],3,0)</f>
        <v>Miền Bắc đặc biệt 1</v>
      </c>
      <c r="H3641" t="str">
        <f>VLOOKUP(Table8[[#This Row],[Mã khách hàng]],'Khách hàng'!A:D,4,0)</f>
        <v>Food Đức Việt</v>
      </c>
      <c r="I3641" t="str">
        <f>VLOOKUP(Table8[[#This Row],[Mã khách hàng]],'Khách hàng'!A:E,5,0)</f>
        <v>HN0040</v>
      </c>
    </row>
    <row r="3642" spans="1:9">
      <c r="A3642" s="14" t="s">
        <v>12479</v>
      </c>
      <c r="B3642" s="9" t="s">
        <v>5</v>
      </c>
      <c r="C3642" s="16"/>
      <c r="D3642" s="21"/>
      <c r="E3642" s="32" t="s">
        <v>11193</v>
      </c>
      <c r="F3642" s="22" t="str">
        <f>VLOOKUP(Table8[[#This Row],[Mã khách hàng]],code_khach_hang[],2,0)</f>
        <v>CHI NHÁNH BẮC NINH - CÔNG TY CỔ PHẦN DỊCH VỤ THƯƠNG MẠI TỔNG HỢP WINCOMMERCE</v>
      </c>
      <c r="G3642" s="16" t="str">
        <f>VLOOKUP(Table8[[#This Row],[Mã khách hàng]],code_khach_hang[],3,0)</f>
        <v>Miền Bắc đặc biệt 2</v>
      </c>
      <c r="H3642" t="str">
        <f>VLOOKUP(Table8[[#This Row],[Mã khách hàng]],'Khách hàng'!A:D,4,0)</f>
        <v>Food Đức Việt</v>
      </c>
      <c r="I3642" t="str">
        <f>VLOOKUP(Table8[[#This Row],[Mã khách hàng]],'Khách hàng'!A:E,5,0)</f>
        <v>HN0040</v>
      </c>
    </row>
    <row r="3643" spans="1:9">
      <c r="A3643" s="14" t="s">
        <v>12480</v>
      </c>
      <c r="B3643" s="9" t="s">
        <v>5</v>
      </c>
      <c r="C3643" s="16"/>
      <c r="D3643" s="21"/>
      <c r="E3643" s="32" t="s">
        <v>11216</v>
      </c>
      <c r="F3643" s="22" t="str">
        <f>VLOOKUP(Table8[[#This Row],[Mã khách hàng]],code_khach_hang[],2,0)</f>
        <v>CHI NHÁNH HƯNG YÊN - CÔNG TY CỔ PHẦN DỊCH VỤ THƯƠNG MẠI TỔNG HỢP WINCOMMERCE</v>
      </c>
      <c r="G3643" s="16" t="str">
        <f>VLOOKUP(Table8[[#This Row],[Mã khách hàng]],code_khach_hang[],3,0)</f>
        <v>Miền Bắc đặc biệt 1</v>
      </c>
      <c r="H3643" t="str">
        <f>VLOOKUP(Table8[[#This Row],[Mã khách hàng]],'Khách hàng'!A:D,4,0)</f>
        <v>Food Đức Việt</v>
      </c>
      <c r="I3643" t="str">
        <f>VLOOKUP(Table8[[#This Row],[Mã khách hàng]],'Khách hàng'!A:E,5,0)</f>
        <v>HN0040</v>
      </c>
    </row>
    <row r="3644" spans="1:9">
      <c r="A3644" s="14" t="s">
        <v>12481</v>
      </c>
      <c r="B3644" s="9" t="s">
        <v>5</v>
      </c>
      <c r="C3644" s="16"/>
      <c r="D3644" s="21"/>
      <c r="E3644" s="32" t="s">
        <v>11203</v>
      </c>
      <c r="F3644" s="22" t="str">
        <f>VLOOKUP(Table8[[#This Row],[Mã khách hàng]],code_khach_hang[],2,0)</f>
        <v>CHI NHÁNH THANH HÓA - CÔNG TY CỔ PHẦN DỊCH VỤ THƯƠNG MẠI TỔNG HỢP WINCOMMERCE</v>
      </c>
      <c r="G3644" s="16" t="str">
        <f>VLOOKUP(Table8[[#This Row],[Mã khách hàng]],code_khach_hang[],3,0)</f>
        <v>Miền Trung đặc biệt 1</v>
      </c>
      <c r="H3644" t="str">
        <f>VLOOKUP(Table8[[#This Row],[Mã khách hàng]],'Khách hàng'!A:D,4,0)</f>
        <v>Food Đức Việt</v>
      </c>
      <c r="I3644" t="str">
        <f>VLOOKUP(Table8[[#This Row],[Mã khách hàng]],'Khách hàng'!A:E,5,0)</f>
        <v>HN0040</v>
      </c>
    </row>
    <row r="3645" spans="1:9">
      <c r="A3645" s="14" t="s">
        <v>12482</v>
      </c>
      <c r="B3645" s="9" t="s">
        <v>5</v>
      </c>
      <c r="C3645" s="16"/>
      <c r="D3645" s="21"/>
      <c r="E3645" s="32" t="s">
        <v>11197</v>
      </c>
      <c r="F3645" s="22" t="str">
        <f>VLOOKUP(Table8[[#This Row],[Mã khách hàng]],code_khach_hang[],2,0)</f>
        <v>CHI NHÁNH QUẢNG NINH - CÔNG TY CỔ PHẦN DỊCH VỤ THƯƠNG MẠI TỔNG HỢP WINCOMMERCE</v>
      </c>
      <c r="G3645" s="16" t="str">
        <f>VLOOKUP(Table8[[#This Row],[Mã khách hàng]],code_khach_hang[],3,0)</f>
        <v>Miền Bắc đặc biệt 3</v>
      </c>
      <c r="H3645" t="str">
        <f>VLOOKUP(Table8[[#This Row],[Mã khách hàng]],'Khách hàng'!A:D,4,0)</f>
        <v>Food Đức Việt</v>
      </c>
      <c r="I3645" t="str">
        <f>VLOOKUP(Table8[[#This Row],[Mã khách hàng]],'Khách hàng'!A:E,5,0)</f>
        <v>HN0040</v>
      </c>
    </row>
    <row r="3646" spans="1:9">
      <c r="A3646" s="14" t="s">
        <v>12483</v>
      </c>
      <c r="B3646" s="9" t="s">
        <v>5</v>
      </c>
      <c r="C3646" s="16"/>
      <c r="D3646" s="21"/>
      <c r="E3646" s="32" t="s">
        <v>11193</v>
      </c>
      <c r="F3646" s="22" t="str">
        <f>VLOOKUP(Table8[[#This Row],[Mã khách hàng]],code_khach_hang[],2,0)</f>
        <v>CHI NHÁNH BẮC NINH - CÔNG TY CỔ PHẦN DỊCH VỤ THƯƠNG MẠI TỔNG HỢP WINCOMMERCE</v>
      </c>
      <c r="G3646" s="16" t="str">
        <f>VLOOKUP(Table8[[#This Row],[Mã khách hàng]],code_khach_hang[],3,0)</f>
        <v>Miền Bắc đặc biệt 2</v>
      </c>
      <c r="H3646" t="str">
        <f>VLOOKUP(Table8[[#This Row],[Mã khách hàng]],'Khách hàng'!A:D,4,0)</f>
        <v>Food Đức Việt</v>
      </c>
      <c r="I3646" t="str">
        <f>VLOOKUP(Table8[[#This Row],[Mã khách hàng]],'Khách hàng'!A:E,5,0)</f>
        <v>HN0040</v>
      </c>
    </row>
    <row r="3647" spans="1:9">
      <c r="A3647" s="14" t="s">
        <v>12484</v>
      </c>
      <c r="B3647" s="9" t="s">
        <v>5</v>
      </c>
      <c r="C3647" s="16"/>
      <c r="D3647" s="21"/>
      <c r="E3647" s="32" t="s">
        <v>11196</v>
      </c>
      <c r="F3647" s="22" t="str">
        <f>VLOOKUP(Table8[[#This Row],[Mã khách hàng]],code_khach_hang[],2,0)</f>
        <v>CHI NHÁNH NINH BÌNH - CÔNG TY CỔ PHẦN DỊCH VỤ THƯƠNG MẠI TỔNG HỢP WINCOMMERCE</v>
      </c>
      <c r="G3647" s="16" t="str">
        <f>VLOOKUP(Table8[[#This Row],[Mã khách hàng]],code_khach_hang[],3,0)</f>
        <v>Miền Bắc đặc biệt 3</v>
      </c>
      <c r="H3647" t="str">
        <f>VLOOKUP(Table8[[#This Row],[Mã khách hàng]],'Khách hàng'!A:D,4,0)</f>
        <v>Food Đức Việt</v>
      </c>
      <c r="I3647" t="str">
        <f>VLOOKUP(Table8[[#This Row],[Mã khách hàng]],'Khách hàng'!A:E,5,0)</f>
        <v>HN0040</v>
      </c>
    </row>
    <row r="3648" spans="1:9">
      <c r="A3648" s="14" t="s">
        <v>12485</v>
      </c>
      <c r="B3648" s="9" t="s">
        <v>5</v>
      </c>
      <c r="C3648" s="16"/>
      <c r="D3648" s="21"/>
      <c r="E3648" s="32" t="s">
        <v>11197</v>
      </c>
      <c r="F3648" s="22" t="str">
        <f>VLOOKUP(Table8[[#This Row],[Mã khách hàng]],code_khach_hang[],2,0)</f>
        <v>CHI NHÁNH QUẢNG NINH - CÔNG TY CỔ PHẦN DỊCH VỤ THƯƠNG MẠI TỔNG HỢP WINCOMMERCE</v>
      </c>
      <c r="G3648" s="16" t="str">
        <f>VLOOKUP(Table8[[#This Row],[Mã khách hàng]],code_khach_hang[],3,0)</f>
        <v>Miền Bắc đặc biệt 3</v>
      </c>
      <c r="H3648" t="str">
        <f>VLOOKUP(Table8[[#This Row],[Mã khách hàng]],'Khách hàng'!A:D,4,0)</f>
        <v>Food Đức Việt</v>
      </c>
      <c r="I3648" t="str">
        <f>VLOOKUP(Table8[[#This Row],[Mã khách hàng]],'Khách hàng'!A:E,5,0)</f>
        <v>HN0040</v>
      </c>
    </row>
    <row r="3649" spans="1:9">
      <c r="A3649" s="14" t="s">
        <v>12486</v>
      </c>
      <c r="B3649" s="9" t="s">
        <v>5</v>
      </c>
      <c r="C3649" s="16"/>
      <c r="D3649" s="21"/>
      <c r="E3649" s="32" t="s">
        <v>11215</v>
      </c>
      <c r="F3649" s="22" t="str">
        <f>VLOOKUP(Table8[[#This Row],[Mã khách hàng]],code_khach_hang[],2,0)</f>
        <v>CHI NHÁNH HÀ NỘI - CÔNG TY CỔ PHẦN DỊCH VỤ THƯƠNG MẠI TỔNG HỢP WINCOMMERCE</v>
      </c>
      <c r="G3649" s="16" t="str">
        <f>VLOOKUP(Table8[[#This Row],[Mã khách hàng]],code_khach_hang[],3,0)</f>
        <v>Miền Bắc đặc biệt 1</v>
      </c>
      <c r="H3649" t="str">
        <f>VLOOKUP(Table8[[#This Row],[Mã khách hàng]],'Khách hàng'!A:D,4,0)</f>
        <v>Food Đức Việt</v>
      </c>
      <c r="I3649" t="str">
        <f>VLOOKUP(Table8[[#This Row],[Mã khách hàng]],'Khách hàng'!A:E,5,0)</f>
        <v>HN0040</v>
      </c>
    </row>
    <row r="3650" spans="1:9">
      <c r="A3650" s="14" t="s">
        <v>12487</v>
      </c>
      <c r="B3650" s="9" t="s">
        <v>5</v>
      </c>
      <c r="C3650" s="16"/>
      <c r="D3650" s="21"/>
      <c r="E3650" s="32" t="s">
        <v>11196</v>
      </c>
      <c r="F3650" s="22" t="str">
        <f>VLOOKUP(Table8[[#This Row],[Mã khách hàng]],code_khach_hang[],2,0)</f>
        <v>CHI NHÁNH NINH BÌNH - CÔNG TY CỔ PHẦN DỊCH VỤ THƯƠNG MẠI TỔNG HỢP WINCOMMERCE</v>
      </c>
      <c r="G3650" s="16" t="str">
        <f>VLOOKUP(Table8[[#This Row],[Mã khách hàng]],code_khach_hang[],3,0)</f>
        <v>Miền Bắc đặc biệt 3</v>
      </c>
      <c r="H3650" t="str">
        <f>VLOOKUP(Table8[[#This Row],[Mã khách hàng]],'Khách hàng'!A:D,4,0)</f>
        <v>Food Đức Việt</v>
      </c>
      <c r="I3650" t="str">
        <f>VLOOKUP(Table8[[#This Row],[Mã khách hàng]],'Khách hàng'!A:E,5,0)</f>
        <v>HN0040</v>
      </c>
    </row>
    <row r="3651" spans="1:9">
      <c r="A3651" s="14" t="s">
        <v>12488</v>
      </c>
      <c r="B3651" s="9" t="s">
        <v>5</v>
      </c>
      <c r="C3651" s="16"/>
      <c r="D3651" s="21"/>
      <c r="E3651" s="32" t="s">
        <v>11199</v>
      </c>
      <c r="F3651" s="22" t="str">
        <f>VLOOKUP(Table8[[#This Row],[Mã khách hàng]],code_khach_hang[],2,0)</f>
        <v>CHI NHÁNH PHÚ THỌ - CÔNG TY CỔ PHẦN DỊCH VỤ THƯƠNG MẠI TỔNG HỢP WINCOMMERCE</v>
      </c>
      <c r="G3651" s="16" t="str">
        <f>VLOOKUP(Table8[[#This Row],[Mã khách hàng]],code_khach_hang[],3,0)</f>
        <v>Miền Bắc đặc biệt 1</v>
      </c>
      <c r="H3651" t="str">
        <f>VLOOKUP(Table8[[#This Row],[Mã khách hàng]],'Khách hàng'!A:D,4,0)</f>
        <v>Food Đức Việt</v>
      </c>
      <c r="I3651" t="str">
        <f>VLOOKUP(Table8[[#This Row],[Mã khách hàng]],'Khách hàng'!A:E,5,0)</f>
        <v>HN0040</v>
      </c>
    </row>
    <row r="3652" spans="1:9">
      <c r="A3652" s="14" t="s">
        <v>12489</v>
      </c>
      <c r="B3652" s="9" t="s">
        <v>5</v>
      </c>
      <c r="C3652" s="16"/>
      <c r="D3652" s="21"/>
      <c r="E3652" s="32" t="s">
        <v>11216</v>
      </c>
      <c r="F3652" s="22" t="str">
        <f>VLOOKUP(Table8[[#This Row],[Mã khách hàng]],code_khach_hang[],2,0)</f>
        <v>CHI NHÁNH HƯNG YÊN - CÔNG TY CỔ PHẦN DỊCH VỤ THƯƠNG MẠI TỔNG HỢP WINCOMMERCE</v>
      </c>
      <c r="G3652" s="16" t="str">
        <f>VLOOKUP(Table8[[#This Row],[Mã khách hàng]],code_khach_hang[],3,0)</f>
        <v>Miền Bắc đặc biệt 1</v>
      </c>
      <c r="H3652" t="str">
        <f>VLOOKUP(Table8[[#This Row],[Mã khách hàng]],'Khách hàng'!A:D,4,0)</f>
        <v>Food Đức Việt</v>
      </c>
      <c r="I3652" t="str">
        <f>VLOOKUP(Table8[[#This Row],[Mã khách hàng]],'Khách hàng'!A:E,5,0)</f>
        <v>HN0040</v>
      </c>
    </row>
    <row r="3653" spans="1:9">
      <c r="A3653" s="14" t="s">
        <v>12490</v>
      </c>
      <c r="B3653" s="9" t="s">
        <v>5</v>
      </c>
      <c r="C3653" s="16"/>
      <c r="D3653" s="21"/>
      <c r="E3653" s="32" t="s">
        <v>11198</v>
      </c>
      <c r="F3653" s="22" t="str">
        <f>VLOOKUP(Table8[[#This Row],[Mã khách hàng]],code_khach_hang[],2,0)</f>
        <v>CHI NHÁNH HẢI PHÒNG - CÔNG TY CỔ PHẦN DỊCH VỤ THƯƠNG MẠI TỔNG HỢP WINCOMMERCE</v>
      </c>
      <c r="G3653" s="16" t="str">
        <f>VLOOKUP(Table8[[#This Row],[Mã khách hàng]],code_khach_hang[],3,0)</f>
        <v>Miền Bắc đặc biệt 3</v>
      </c>
      <c r="H3653" t="str">
        <f>VLOOKUP(Table8[[#This Row],[Mã khách hàng]],'Khách hàng'!A:D,4,0)</f>
        <v>Food Đức Việt</v>
      </c>
      <c r="I3653" t="str">
        <f>VLOOKUP(Table8[[#This Row],[Mã khách hàng]],'Khách hàng'!A:E,5,0)</f>
        <v>HN0040</v>
      </c>
    </row>
    <row r="3654" spans="1:9">
      <c r="A3654" s="14" t="s">
        <v>12491</v>
      </c>
      <c r="B3654" s="9" t="s">
        <v>5</v>
      </c>
      <c r="C3654" s="16"/>
      <c r="D3654" s="21"/>
      <c r="E3654" s="32" t="s">
        <v>11204</v>
      </c>
      <c r="F3654" s="22" t="str">
        <f>VLOOKUP(Table8[[#This Row],[Mã khách hàng]],code_khach_hang[],2,0)</f>
        <v>CHI NHÁNH TUYÊN QUANG - CÔNG TY CỔ PHẦN DỊCH VỤ THƯƠNG MẠI TỔNG HỢP WINCOMMERCE</v>
      </c>
      <c r="G3654" s="16" t="str">
        <f>VLOOKUP(Table8[[#This Row],[Mã khách hàng]],code_khach_hang[],3,0)</f>
        <v>Miền Bắc đặc biệt 2</v>
      </c>
      <c r="H3654" t="str">
        <f>VLOOKUP(Table8[[#This Row],[Mã khách hàng]],'Khách hàng'!A:D,4,0)</f>
        <v>Food Đức Việt</v>
      </c>
      <c r="I3654" t="str">
        <f>VLOOKUP(Table8[[#This Row],[Mã khách hàng]],'Khách hàng'!A:E,5,0)</f>
        <v>HN0040</v>
      </c>
    </row>
    <row r="3655" spans="1:9">
      <c r="A3655" s="14" t="s">
        <v>12492</v>
      </c>
      <c r="B3655" s="9" t="s">
        <v>5</v>
      </c>
      <c r="C3655" s="16"/>
      <c r="D3655" s="21"/>
      <c r="E3655" s="32" t="s">
        <v>11216</v>
      </c>
      <c r="F3655" s="22" t="str">
        <f>VLOOKUP(Table8[[#This Row],[Mã khách hàng]],code_khach_hang[],2,0)</f>
        <v>CHI NHÁNH HƯNG YÊN - CÔNG TY CỔ PHẦN DỊCH VỤ THƯƠNG MẠI TỔNG HỢP WINCOMMERCE</v>
      </c>
      <c r="G3655" s="16" t="str">
        <f>VLOOKUP(Table8[[#This Row],[Mã khách hàng]],code_khach_hang[],3,0)</f>
        <v>Miền Bắc đặc biệt 1</v>
      </c>
      <c r="H3655" t="str">
        <f>VLOOKUP(Table8[[#This Row],[Mã khách hàng]],'Khách hàng'!A:D,4,0)</f>
        <v>Food Đức Việt</v>
      </c>
      <c r="I3655" t="str">
        <f>VLOOKUP(Table8[[#This Row],[Mã khách hàng]],'Khách hàng'!A:E,5,0)</f>
        <v>HN0040</v>
      </c>
    </row>
    <row r="3656" spans="1:9">
      <c r="A3656" s="14" t="s">
        <v>12493</v>
      </c>
      <c r="B3656" s="9" t="s">
        <v>5</v>
      </c>
      <c r="C3656" s="16"/>
      <c r="D3656" s="21"/>
      <c r="E3656" s="32" t="s">
        <v>11215</v>
      </c>
      <c r="F3656" s="22" t="str">
        <f>VLOOKUP(Table8[[#This Row],[Mã khách hàng]],code_khach_hang[],2,0)</f>
        <v>CHI NHÁNH HÀ NỘI - CÔNG TY CỔ PHẦN DỊCH VỤ THƯƠNG MẠI TỔNG HỢP WINCOMMERCE</v>
      </c>
      <c r="G3656" s="16" t="str">
        <f>VLOOKUP(Table8[[#This Row],[Mã khách hàng]],code_khach_hang[],3,0)</f>
        <v>Miền Bắc đặc biệt 1</v>
      </c>
      <c r="H3656" t="str">
        <f>VLOOKUP(Table8[[#This Row],[Mã khách hàng]],'Khách hàng'!A:D,4,0)</f>
        <v>Food Đức Việt</v>
      </c>
      <c r="I3656" t="str">
        <f>VLOOKUP(Table8[[#This Row],[Mã khách hàng]],'Khách hàng'!A:E,5,0)</f>
        <v>HN0040</v>
      </c>
    </row>
    <row r="3657" spans="1:9">
      <c r="A3657" s="14" t="s">
        <v>12494</v>
      </c>
      <c r="B3657" s="9" t="s">
        <v>5</v>
      </c>
      <c r="C3657" s="16"/>
      <c r="D3657" s="21"/>
      <c r="E3657" s="32" t="s">
        <v>11204</v>
      </c>
      <c r="F3657" s="22" t="str">
        <f>VLOOKUP(Table8[[#This Row],[Mã khách hàng]],code_khach_hang[],2,0)</f>
        <v>CHI NHÁNH TUYÊN QUANG - CÔNG TY CỔ PHẦN DỊCH VỤ THƯƠNG MẠI TỔNG HỢP WINCOMMERCE</v>
      </c>
      <c r="G3657" s="16" t="str">
        <f>VLOOKUP(Table8[[#This Row],[Mã khách hàng]],code_khach_hang[],3,0)</f>
        <v>Miền Bắc đặc biệt 2</v>
      </c>
      <c r="H3657" t="str">
        <f>VLOOKUP(Table8[[#This Row],[Mã khách hàng]],'Khách hàng'!A:D,4,0)</f>
        <v>Food Đức Việt</v>
      </c>
      <c r="I3657" t="str">
        <f>VLOOKUP(Table8[[#This Row],[Mã khách hàng]],'Khách hàng'!A:E,5,0)</f>
        <v>HN0040</v>
      </c>
    </row>
    <row r="3658" spans="1:9">
      <c r="A3658" s="14" t="s">
        <v>12495</v>
      </c>
      <c r="B3658" s="9" t="s">
        <v>5</v>
      </c>
      <c r="C3658" s="16"/>
      <c r="D3658" s="21"/>
      <c r="E3658" s="32" t="s">
        <v>11193</v>
      </c>
      <c r="F3658" s="22" t="str">
        <f>VLOOKUP(Table8[[#This Row],[Mã khách hàng]],code_khach_hang[],2,0)</f>
        <v>CHI NHÁNH BẮC NINH - CÔNG TY CỔ PHẦN DỊCH VỤ THƯƠNG MẠI TỔNG HỢP WINCOMMERCE</v>
      </c>
      <c r="G3658" s="16" t="str">
        <f>VLOOKUP(Table8[[#This Row],[Mã khách hàng]],code_khach_hang[],3,0)</f>
        <v>Miền Bắc đặc biệt 2</v>
      </c>
      <c r="H3658" t="str">
        <f>VLOOKUP(Table8[[#This Row],[Mã khách hàng]],'Khách hàng'!A:D,4,0)</f>
        <v>Food Đức Việt</v>
      </c>
      <c r="I3658" t="str">
        <f>VLOOKUP(Table8[[#This Row],[Mã khách hàng]],'Khách hàng'!A:E,5,0)</f>
        <v>HN0040</v>
      </c>
    </row>
    <row r="3659" spans="1:9">
      <c r="A3659" s="14" t="s">
        <v>12496</v>
      </c>
      <c r="B3659" s="9" t="s">
        <v>5</v>
      </c>
      <c r="C3659" s="16" t="s">
        <v>12527</v>
      </c>
      <c r="D3659" s="21"/>
      <c r="E3659" s="32" t="s">
        <v>11199</v>
      </c>
      <c r="F3659" s="22" t="str">
        <f>VLOOKUP(Table8[[#This Row],[Mã khách hàng]],code_khach_hang[],2,0)</f>
        <v>CHI NHÁNH PHÚ THỌ - CÔNG TY CỔ PHẦN DỊCH VỤ THƯƠNG MẠI TỔNG HỢP WINCOMMERCE</v>
      </c>
      <c r="G3659" s="16" t="str">
        <f>VLOOKUP(Table8[[#This Row],[Mã khách hàng]],code_khach_hang[],3,0)</f>
        <v>Miền Bắc đặc biệt 1</v>
      </c>
      <c r="H3659" t="str">
        <f>VLOOKUP(Table8[[#This Row],[Mã khách hàng]],'Khách hàng'!A:D,4,0)</f>
        <v>Food Đức Việt</v>
      </c>
      <c r="I3659" t="str">
        <f>VLOOKUP(Table8[[#This Row],[Mã khách hàng]],'Khách hàng'!A:E,5,0)</f>
        <v>HN0040</v>
      </c>
    </row>
    <row r="3660" spans="1:9">
      <c r="A3660" s="14" t="s">
        <v>12497</v>
      </c>
      <c r="B3660" s="9" t="s">
        <v>5</v>
      </c>
      <c r="C3660" s="16" t="s">
        <v>12528</v>
      </c>
      <c r="D3660" s="21"/>
      <c r="E3660" s="32" t="s">
        <v>11199</v>
      </c>
      <c r="F3660" s="22" t="str">
        <f>VLOOKUP(Table8[[#This Row],[Mã khách hàng]],code_khach_hang[],2,0)</f>
        <v>CHI NHÁNH PHÚ THỌ - CÔNG TY CỔ PHẦN DỊCH VỤ THƯƠNG MẠI TỔNG HỢP WINCOMMERCE</v>
      </c>
      <c r="G3660" s="16" t="str">
        <f>VLOOKUP(Table8[[#This Row],[Mã khách hàng]],code_khach_hang[],3,0)</f>
        <v>Miền Bắc đặc biệt 1</v>
      </c>
      <c r="H3660" t="str">
        <f>VLOOKUP(Table8[[#This Row],[Mã khách hàng]],'Khách hàng'!A:D,4,0)</f>
        <v>Food Đức Việt</v>
      </c>
      <c r="I3660" t="str">
        <f>VLOOKUP(Table8[[#This Row],[Mã khách hàng]],'Khách hàng'!A:E,5,0)</f>
        <v>HN0040</v>
      </c>
    </row>
    <row r="3661" spans="1:9">
      <c r="A3661" s="14" t="s">
        <v>12498</v>
      </c>
      <c r="B3661" s="9" t="s">
        <v>5</v>
      </c>
      <c r="C3661" s="16" t="s">
        <v>12529</v>
      </c>
      <c r="D3661" s="21"/>
      <c r="E3661" s="32" t="s">
        <v>11196</v>
      </c>
      <c r="F3661" s="22" t="str">
        <f>VLOOKUP(Table8[[#This Row],[Mã khách hàng]],code_khach_hang[],2,0)</f>
        <v>CHI NHÁNH NINH BÌNH - CÔNG TY CỔ PHẦN DỊCH VỤ THƯƠNG MẠI TỔNG HỢP WINCOMMERCE</v>
      </c>
      <c r="G3661" s="16" t="str">
        <f>VLOOKUP(Table8[[#This Row],[Mã khách hàng]],code_khach_hang[],3,0)</f>
        <v>Miền Bắc đặc biệt 3</v>
      </c>
      <c r="H3661" t="str">
        <f>VLOOKUP(Table8[[#This Row],[Mã khách hàng]],'Khách hàng'!A:D,4,0)</f>
        <v>Food Đức Việt</v>
      </c>
      <c r="I3661" t="str">
        <f>VLOOKUP(Table8[[#This Row],[Mã khách hàng]],'Khách hàng'!A:E,5,0)</f>
        <v>HN0040</v>
      </c>
    </row>
    <row r="3662" spans="1:9">
      <c r="A3662" s="14" t="s">
        <v>12499</v>
      </c>
      <c r="B3662" s="9" t="s">
        <v>5</v>
      </c>
      <c r="C3662" s="16" t="s">
        <v>12530</v>
      </c>
      <c r="D3662" s="21"/>
      <c r="E3662" s="32" t="s">
        <v>11215</v>
      </c>
      <c r="F3662" s="22" t="str">
        <f>VLOOKUP(Table8[[#This Row],[Mã khách hàng]],code_khach_hang[],2,0)</f>
        <v>CHI NHÁNH HÀ NỘI - CÔNG TY CỔ PHẦN DỊCH VỤ THƯƠNG MẠI TỔNG HỢP WINCOMMERCE</v>
      </c>
      <c r="G3662" s="16" t="str">
        <f>VLOOKUP(Table8[[#This Row],[Mã khách hàng]],code_khach_hang[],3,0)</f>
        <v>Miền Bắc đặc biệt 1</v>
      </c>
      <c r="H3662" t="str">
        <f>VLOOKUP(Table8[[#This Row],[Mã khách hàng]],'Khách hàng'!A:D,4,0)</f>
        <v>Food Đức Việt</v>
      </c>
      <c r="I3662" t="str">
        <f>VLOOKUP(Table8[[#This Row],[Mã khách hàng]],'Khách hàng'!A:E,5,0)</f>
        <v>HN0040</v>
      </c>
    </row>
    <row r="3663" spans="1:9">
      <c r="A3663" s="14" t="s">
        <v>12500</v>
      </c>
      <c r="B3663" s="9" t="s">
        <v>5</v>
      </c>
      <c r="C3663" s="16" t="s">
        <v>12531</v>
      </c>
      <c r="D3663" s="21"/>
      <c r="E3663" s="32" t="s">
        <v>11215</v>
      </c>
      <c r="F3663" s="22" t="str">
        <f>VLOOKUP(Table8[[#This Row],[Mã khách hàng]],code_khach_hang[],2,0)</f>
        <v>CHI NHÁNH HÀ NỘI - CÔNG TY CỔ PHẦN DỊCH VỤ THƯƠNG MẠI TỔNG HỢP WINCOMMERCE</v>
      </c>
      <c r="G3663" s="16" t="str">
        <f>VLOOKUP(Table8[[#This Row],[Mã khách hàng]],code_khach_hang[],3,0)</f>
        <v>Miền Bắc đặc biệt 1</v>
      </c>
      <c r="H3663" t="str">
        <f>VLOOKUP(Table8[[#This Row],[Mã khách hàng]],'Khách hàng'!A:D,4,0)</f>
        <v>Food Đức Việt</v>
      </c>
      <c r="I3663" t="str">
        <f>VLOOKUP(Table8[[#This Row],[Mã khách hàng]],'Khách hàng'!A:E,5,0)</f>
        <v>HN0040</v>
      </c>
    </row>
    <row r="3664" spans="1:9">
      <c r="A3664" s="14" t="s">
        <v>12501</v>
      </c>
      <c r="B3664" s="9" t="s">
        <v>5</v>
      </c>
      <c r="C3664" s="16" t="s">
        <v>12532</v>
      </c>
      <c r="D3664" s="21"/>
      <c r="E3664" s="32" t="s">
        <v>11215</v>
      </c>
      <c r="F3664" s="22" t="str">
        <f>VLOOKUP(Table8[[#This Row],[Mã khách hàng]],code_khach_hang[],2,0)</f>
        <v>CHI NHÁNH HÀ NỘI - CÔNG TY CỔ PHẦN DỊCH VỤ THƯƠNG MẠI TỔNG HỢP WINCOMMERCE</v>
      </c>
      <c r="G3664" s="16" t="str">
        <f>VLOOKUP(Table8[[#This Row],[Mã khách hàng]],code_khach_hang[],3,0)</f>
        <v>Miền Bắc đặc biệt 1</v>
      </c>
      <c r="H3664" t="str">
        <f>VLOOKUP(Table8[[#This Row],[Mã khách hàng]],'Khách hàng'!A:D,4,0)</f>
        <v>Food Đức Việt</v>
      </c>
      <c r="I3664" t="str">
        <f>VLOOKUP(Table8[[#This Row],[Mã khách hàng]],'Khách hàng'!A:E,5,0)</f>
        <v>HN0040</v>
      </c>
    </row>
    <row r="3665" spans="1:9">
      <c r="A3665" s="14" t="s">
        <v>12502</v>
      </c>
      <c r="B3665" s="9" t="s">
        <v>5</v>
      </c>
      <c r="C3665" s="16" t="s">
        <v>12533</v>
      </c>
      <c r="D3665" s="21"/>
      <c r="E3665" s="32" t="s">
        <v>11196</v>
      </c>
      <c r="F3665" s="22" t="str">
        <f>VLOOKUP(Table8[[#This Row],[Mã khách hàng]],code_khach_hang[],2,0)</f>
        <v>CHI NHÁNH NINH BÌNH - CÔNG TY CỔ PHẦN DỊCH VỤ THƯƠNG MẠI TỔNG HỢP WINCOMMERCE</v>
      </c>
      <c r="G3665" s="16" t="str">
        <f>VLOOKUP(Table8[[#This Row],[Mã khách hàng]],code_khach_hang[],3,0)</f>
        <v>Miền Bắc đặc biệt 3</v>
      </c>
      <c r="H3665" t="str">
        <f>VLOOKUP(Table8[[#This Row],[Mã khách hàng]],'Khách hàng'!A:D,4,0)</f>
        <v>Food Đức Việt</v>
      </c>
      <c r="I3665" t="str">
        <f>VLOOKUP(Table8[[#This Row],[Mã khách hàng]],'Khách hàng'!A:E,5,0)</f>
        <v>HN0040</v>
      </c>
    </row>
    <row r="3666" spans="1:9">
      <c r="A3666" s="14" t="s">
        <v>12503</v>
      </c>
      <c r="B3666" s="9" t="s">
        <v>5</v>
      </c>
      <c r="C3666" s="16" t="s">
        <v>12534</v>
      </c>
      <c r="D3666" s="21"/>
      <c r="E3666" s="32" t="s">
        <v>11204</v>
      </c>
      <c r="F3666" s="22" t="str">
        <f>VLOOKUP(Table8[[#This Row],[Mã khách hàng]],code_khach_hang[],2,0)</f>
        <v>CHI NHÁNH TUYÊN QUANG - CÔNG TY CỔ PHẦN DỊCH VỤ THƯƠNG MẠI TỔNG HỢP WINCOMMERCE</v>
      </c>
      <c r="G3666" s="16" t="str">
        <f>VLOOKUP(Table8[[#This Row],[Mã khách hàng]],code_khach_hang[],3,0)</f>
        <v>Miền Bắc đặc biệt 2</v>
      </c>
      <c r="H3666" t="str">
        <f>VLOOKUP(Table8[[#This Row],[Mã khách hàng]],'Khách hàng'!A:D,4,0)</f>
        <v>Food Đức Việt</v>
      </c>
      <c r="I3666" t="str">
        <f>VLOOKUP(Table8[[#This Row],[Mã khách hàng]],'Khách hàng'!A:E,5,0)</f>
        <v>HN0040</v>
      </c>
    </row>
    <row r="3667" spans="1:9">
      <c r="A3667" s="14" t="s">
        <v>12504</v>
      </c>
      <c r="B3667" s="9" t="s">
        <v>5</v>
      </c>
      <c r="C3667" s="16" t="s">
        <v>12535</v>
      </c>
      <c r="D3667" s="21"/>
      <c r="E3667" s="32" t="s">
        <v>11215</v>
      </c>
      <c r="F3667" s="22" t="str">
        <f>VLOOKUP(Table8[[#This Row],[Mã khách hàng]],code_khach_hang[],2,0)</f>
        <v>CHI NHÁNH HÀ NỘI - CÔNG TY CỔ PHẦN DỊCH VỤ THƯƠNG MẠI TỔNG HỢP WINCOMMERCE</v>
      </c>
      <c r="G3667" s="16" t="str">
        <f>VLOOKUP(Table8[[#This Row],[Mã khách hàng]],code_khach_hang[],3,0)</f>
        <v>Miền Bắc đặc biệt 1</v>
      </c>
      <c r="H3667" t="str">
        <f>VLOOKUP(Table8[[#This Row],[Mã khách hàng]],'Khách hàng'!A:D,4,0)</f>
        <v>Food Đức Việt</v>
      </c>
      <c r="I3667" t="str">
        <f>VLOOKUP(Table8[[#This Row],[Mã khách hàng]],'Khách hàng'!A:E,5,0)</f>
        <v>HN0040</v>
      </c>
    </row>
    <row r="3668" spans="1:9">
      <c r="A3668" s="14" t="s">
        <v>12505</v>
      </c>
      <c r="B3668" s="9" t="s">
        <v>5</v>
      </c>
      <c r="C3668" s="16" t="s">
        <v>12536</v>
      </c>
      <c r="D3668" s="21"/>
      <c r="E3668" s="32" t="s">
        <v>11199</v>
      </c>
      <c r="F3668" s="22" t="str">
        <f>VLOOKUP(Table8[[#This Row],[Mã khách hàng]],code_khach_hang[],2,0)</f>
        <v>CHI NHÁNH PHÚ THỌ - CÔNG TY CỔ PHẦN DỊCH VỤ THƯƠNG MẠI TỔNG HỢP WINCOMMERCE</v>
      </c>
      <c r="G3668" s="16" t="str">
        <f>VLOOKUP(Table8[[#This Row],[Mã khách hàng]],code_khach_hang[],3,0)</f>
        <v>Miền Bắc đặc biệt 1</v>
      </c>
      <c r="H3668" t="str">
        <f>VLOOKUP(Table8[[#This Row],[Mã khách hàng]],'Khách hàng'!A:D,4,0)</f>
        <v>Food Đức Việt</v>
      </c>
      <c r="I3668" t="str">
        <f>VLOOKUP(Table8[[#This Row],[Mã khách hàng]],'Khách hàng'!A:E,5,0)</f>
        <v>HN0040</v>
      </c>
    </row>
    <row r="3669" spans="1:9">
      <c r="A3669" s="14" t="s">
        <v>12506</v>
      </c>
      <c r="B3669" s="9" t="s">
        <v>5</v>
      </c>
      <c r="C3669" s="16" t="s">
        <v>12537</v>
      </c>
      <c r="D3669" s="21"/>
      <c r="E3669" s="32" t="s">
        <v>11204</v>
      </c>
      <c r="F3669" s="22" t="str">
        <f>VLOOKUP(Table8[[#This Row],[Mã khách hàng]],code_khach_hang[],2,0)</f>
        <v>CHI NHÁNH TUYÊN QUANG - CÔNG TY CỔ PHẦN DỊCH VỤ THƯƠNG MẠI TỔNG HỢP WINCOMMERCE</v>
      </c>
      <c r="G3669" s="16" t="str">
        <f>VLOOKUP(Table8[[#This Row],[Mã khách hàng]],code_khach_hang[],3,0)</f>
        <v>Miền Bắc đặc biệt 2</v>
      </c>
      <c r="H3669" t="str">
        <f>VLOOKUP(Table8[[#This Row],[Mã khách hàng]],'Khách hàng'!A:D,4,0)</f>
        <v>Food Đức Việt</v>
      </c>
      <c r="I3669" t="str">
        <f>VLOOKUP(Table8[[#This Row],[Mã khách hàng]],'Khách hàng'!A:E,5,0)</f>
        <v>HN0040</v>
      </c>
    </row>
    <row r="3670" spans="1:9">
      <c r="A3670" s="14" t="s">
        <v>12507</v>
      </c>
      <c r="B3670" s="9" t="s">
        <v>5</v>
      </c>
      <c r="C3670" s="16" t="s">
        <v>12538</v>
      </c>
      <c r="D3670" s="21"/>
      <c r="E3670" s="32" t="s">
        <v>11196</v>
      </c>
      <c r="F3670" s="22" t="str">
        <f>VLOOKUP(Table8[[#This Row],[Mã khách hàng]],code_khach_hang[],2,0)</f>
        <v>CHI NHÁNH NINH BÌNH - CÔNG TY CỔ PHẦN DỊCH VỤ THƯƠNG MẠI TỔNG HỢP WINCOMMERCE</v>
      </c>
      <c r="G3670" s="16" t="str">
        <f>VLOOKUP(Table8[[#This Row],[Mã khách hàng]],code_khach_hang[],3,0)</f>
        <v>Miền Bắc đặc biệt 3</v>
      </c>
      <c r="H3670" t="str">
        <f>VLOOKUP(Table8[[#This Row],[Mã khách hàng]],'Khách hàng'!A:D,4,0)</f>
        <v>Food Đức Việt</v>
      </c>
      <c r="I3670" t="str">
        <f>VLOOKUP(Table8[[#This Row],[Mã khách hàng]],'Khách hàng'!A:E,5,0)</f>
        <v>HN0040</v>
      </c>
    </row>
    <row r="3671" spans="1:9">
      <c r="A3671" s="14" t="s">
        <v>12508</v>
      </c>
      <c r="B3671" s="9" t="s">
        <v>5</v>
      </c>
      <c r="C3671" s="16" t="s">
        <v>12539</v>
      </c>
      <c r="D3671" s="21"/>
      <c r="E3671" s="32" t="s">
        <v>11197</v>
      </c>
      <c r="F3671" s="22" t="str">
        <f>VLOOKUP(Table8[[#This Row],[Mã khách hàng]],code_khach_hang[],2,0)</f>
        <v>CHI NHÁNH QUẢNG NINH - CÔNG TY CỔ PHẦN DỊCH VỤ THƯƠNG MẠI TỔNG HỢP WINCOMMERCE</v>
      </c>
      <c r="G3671" s="16" t="str">
        <f>VLOOKUP(Table8[[#This Row],[Mã khách hàng]],code_khach_hang[],3,0)</f>
        <v>Miền Bắc đặc biệt 3</v>
      </c>
      <c r="H3671" t="str">
        <f>VLOOKUP(Table8[[#This Row],[Mã khách hàng]],'Khách hàng'!A:D,4,0)</f>
        <v>Food Đức Việt</v>
      </c>
      <c r="I3671" t="str">
        <f>VLOOKUP(Table8[[#This Row],[Mã khách hàng]],'Khách hàng'!A:E,5,0)</f>
        <v>HN0040</v>
      </c>
    </row>
    <row r="3672" spans="1:9">
      <c r="A3672" s="14" t="s">
        <v>12509</v>
      </c>
      <c r="B3672" s="9" t="s">
        <v>5</v>
      </c>
      <c r="C3672" s="16" t="s">
        <v>12540</v>
      </c>
      <c r="D3672" s="21"/>
      <c r="E3672" s="32" t="s">
        <v>11197</v>
      </c>
      <c r="F3672" s="22" t="str">
        <f>VLOOKUP(Table8[[#This Row],[Mã khách hàng]],code_khach_hang[],2,0)</f>
        <v>CHI NHÁNH QUẢNG NINH - CÔNG TY CỔ PHẦN DỊCH VỤ THƯƠNG MẠI TỔNG HỢP WINCOMMERCE</v>
      </c>
      <c r="G3672" s="16" t="str">
        <f>VLOOKUP(Table8[[#This Row],[Mã khách hàng]],code_khach_hang[],3,0)</f>
        <v>Miền Bắc đặc biệt 3</v>
      </c>
      <c r="H3672" t="str">
        <f>VLOOKUP(Table8[[#This Row],[Mã khách hàng]],'Khách hàng'!A:D,4,0)</f>
        <v>Food Đức Việt</v>
      </c>
      <c r="I3672" t="str">
        <f>VLOOKUP(Table8[[#This Row],[Mã khách hàng]],'Khách hàng'!A:E,5,0)</f>
        <v>HN0040</v>
      </c>
    </row>
    <row r="3673" spans="1:9">
      <c r="A3673" s="14" t="s">
        <v>12510</v>
      </c>
      <c r="B3673" s="9" t="s">
        <v>5</v>
      </c>
      <c r="C3673" s="16" t="s">
        <v>12541</v>
      </c>
      <c r="D3673" s="21"/>
      <c r="E3673" s="32" t="s">
        <v>11206</v>
      </c>
      <c r="F3673" s="22" t="str">
        <f>VLOOKUP(Table8[[#This Row],[Mã khách hàng]],code_khach_hang[],2,0)</f>
        <v>CHI NHÁNH SƠN LA - CÔNG TY CỔ PHẦN DỊCH VỤ THƯƠNG MẠI TỔNG HỢP WINCOMMERCE</v>
      </c>
      <c r="G3673" s="16" t="str">
        <f>VLOOKUP(Table8[[#This Row],[Mã khách hàng]],code_khach_hang[],3,0)</f>
        <v>Miền Bắc đặc biệt 1</v>
      </c>
      <c r="H3673" t="str">
        <f>VLOOKUP(Table8[[#This Row],[Mã khách hàng]],'Khách hàng'!A:D,4,0)</f>
        <v>Food Đức Việt</v>
      </c>
      <c r="I3673" t="str">
        <f>VLOOKUP(Table8[[#This Row],[Mã khách hàng]],'Khách hàng'!A:E,5,0)</f>
        <v>HN0040</v>
      </c>
    </row>
    <row r="3674" spans="1:9">
      <c r="A3674" s="14" t="s">
        <v>12511</v>
      </c>
      <c r="B3674" s="9" t="s">
        <v>5</v>
      </c>
      <c r="C3674" s="16" t="s">
        <v>12542</v>
      </c>
      <c r="D3674" s="21"/>
      <c r="E3674" s="32" t="s">
        <v>11216</v>
      </c>
      <c r="F3674" s="22" t="str">
        <f>VLOOKUP(Table8[[#This Row],[Mã khách hàng]],code_khach_hang[],2,0)</f>
        <v>CHI NHÁNH HƯNG YÊN - CÔNG TY CỔ PHẦN DỊCH VỤ THƯƠNG MẠI TỔNG HỢP WINCOMMERCE</v>
      </c>
      <c r="G3674" s="16" t="str">
        <f>VLOOKUP(Table8[[#This Row],[Mã khách hàng]],code_khach_hang[],3,0)</f>
        <v>Miền Bắc đặc biệt 1</v>
      </c>
      <c r="H3674" t="str">
        <f>VLOOKUP(Table8[[#This Row],[Mã khách hàng]],'Khách hàng'!A:D,4,0)</f>
        <v>Food Đức Việt</v>
      </c>
      <c r="I3674" t="str">
        <f>VLOOKUP(Table8[[#This Row],[Mã khách hàng]],'Khách hàng'!A:E,5,0)</f>
        <v>HN0040</v>
      </c>
    </row>
    <row r="3675" spans="1:9">
      <c r="A3675" s="14" t="s">
        <v>12512</v>
      </c>
      <c r="B3675" s="9" t="s">
        <v>5</v>
      </c>
      <c r="C3675" s="16" t="s">
        <v>12543</v>
      </c>
      <c r="D3675" s="21"/>
      <c r="E3675" s="32" t="s">
        <v>11216</v>
      </c>
      <c r="F3675" s="22" t="str">
        <f>VLOOKUP(Table8[[#This Row],[Mã khách hàng]],code_khach_hang[],2,0)</f>
        <v>CHI NHÁNH HƯNG YÊN - CÔNG TY CỔ PHẦN DỊCH VỤ THƯƠNG MẠI TỔNG HỢP WINCOMMERCE</v>
      </c>
      <c r="G3675" s="16" t="str">
        <f>VLOOKUP(Table8[[#This Row],[Mã khách hàng]],code_khach_hang[],3,0)</f>
        <v>Miền Bắc đặc biệt 1</v>
      </c>
      <c r="H3675" t="str">
        <f>VLOOKUP(Table8[[#This Row],[Mã khách hàng]],'Khách hàng'!A:D,4,0)</f>
        <v>Food Đức Việt</v>
      </c>
      <c r="I3675" t="str">
        <f>VLOOKUP(Table8[[#This Row],[Mã khách hàng]],'Khách hàng'!A:E,5,0)</f>
        <v>HN0040</v>
      </c>
    </row>
    <row r="3676" spans="1:9">
      <c r="A3676" s="14" t="s">
        <v>12513</v>
      </c>
      <c r="B3676" s="9" t="s">
        <v>5</v>
      </c>
      <c r="C3676" s="16" t="s">
        <v>12544</v>
      </c>
      <c r="D3676" s="21"/>
      <c r="E3676" s="32" t="s">
        <v>11199</v>
      </c>
      <c r="F3676" s="22" t="str">
        <f>VLOOKUP(Table8[[#This Row],[Mã khách hàng]],code_khach_hang[],2,0)</f>
        <v>CHI NHÁNH PHÚ THỌ - CÔNG TY CỔ PHẦN DỊCH VỤ THƯƠNG MẠI TỔNG HỢP WINCOMMERCE</v>
      </c>
      <c r="G3676" s="16" t="str">
        <f>VLOOKUP(Table8[[#This Row],[Mã khách hàng]],code_khach_hang[],3,0)</f>
        <v>Miền Bắc đặc biệt 1</v>
      </c>
      <c r="H3676" t="str">
        <f>VLOOKUP(Table8[[#This Row],[Mã khách hàng]],'Khách hàng'!A:D,4,0)</f>
        <v>Food Đức Việt</v>
      </c>
      <c r="I3676" t="str">
        <f>VLOOKUP(Table8[[#This Row],[Mã khách hàng]],'Khách hàng'!A:E,5,0)</f>
        <v>HN0040</v>
      </c>
    </row>
    <row r="3677" spans="1:9">
      <c r="A3677" s="14" t="s">
        <v>12514</v>
      </c>
      <c r="B3677" s="9" t="s">
        <v>5</v>
      </c>
      <c r="C3677" s="16" t="s">
        <v>12545</v>
      </c>
      <c r="D3677" s="21"/>
      <c r="E3677" s="32" t="s">
        <v>11193</v>
      </c>
      <c r="F3677" s="22" t="str">
        <f>VLOOKUP(Table8[[#This Row],[Mã khách hàng]],code_khach_hang[],2,0)</f>
        <v>CHI NHÁNH BẮC NINH - CÔNG TY CỔ PHẦN DỊCH VỤ THƯƠNG MẠI TỔNG HỢP WINCOMMERCE</v>
      </c>
      <c r="G3677" s="16" t="str">
        <f>VLOOKUP(Table8[[#This Row],[Mã khách hàng]],code_khach_hang[],3,0)</f>
        <v>Miền Bắc đặc biệt 2</v>
      </c>
      <c r="H3677" t="str">
        <f>VLOOKUP(Table8[[#This Row],[Mã khách hàng]],'Khách hàng'!A:D,4,0)</f>
        <v>Food Đức Việt</v>
      </c>
      <c r="I3677" t="str">
        <f>VLOOKUP(Table8[[#This Row],[Mã khách hàng]],'Khách hàng'!A:E,5,0)</f>
        <v>HN0040</v>
      </c>
    </row>
    <row r="3678" spans="1:9">
      <c r="A3678" s="14" t="s">
        <v>12515</v>
      </c>
      <c r="B3678" s="9" t="s">
        <v>5</v>
      </c>
      <c r="C3678" s="16" t="s">
        <v>12546</v>
      </c>
      <c r="D3678" s="21"/>
      <c r="E3678" s="32" t="s">
        <v>11198</v>
      </c>
      <c r="F3678" s="22" t="str">
        <f>VLOOKUP(Table8[[#This Row],[Mã khách hàng]],code_khach_hang[],2,0)</f>
        <v>CHI NHÁNH HẢI PHÒNG - CÔNG TY CỔ PHẦN DỊCH VỤ THƯƠNG MẠI TỔNG HỢP WINCOMMERCE</v>
      </c>
      <c r="G3678" s="16" t="str">
        <f>VLOOKUP(Table8[[#This Row],[Mã khách hàng]],code_khach_hang[],3,0)</f>
        <v>Miền Bắc đặc biệt 3</v>
      </c>
      <c r="H3678" t="str">
        <f>VLOOKUP(Table8[[#This Row],[Mã khách hàng]],'Khách hàng'!A:D,4,0)</f>
        <v>Food Đức Việt</v>
      </c>
      <c r="I3678" t="str">
        <f>VLOOKUP(Table8[[#This Row],[Mã khách hàng]],'Khách hàng'!A:E,5,0)</f>
        <v>HN0040</v>
      </c>
    </row>
    <row r="3679" spans="1:9">
      <c r="A3679" s="14" t="s">
        <v>12516</v>
      </c>
      <c r="B3679" s="9" t="s">
        <v>5</v>
      </c>
      <c r="C3679" s="16" t="s">
        <v>12547</v>
      </c>
      <c r="D3679" s="21"/>
      <c r="E3679" s="32" t="s">
        <v>11215</v>
      </c>
      <c r="F3679" s="22" t="str">
        <f>VLOOKUP(Table8[[#This Row],[Mã khách hàng]],code_khach_hang[],2,0)</f>
        <v>CHI NHÁNH HÀ NỘI - CÔNG TY CỔ PHẦN DỊCH VỤ THƯƠNG MẠI TỔNG HỢP WINCOMMERCE</v>
      </c>
      <c r="G3679" s="16" t="str">
        <f>VLOOKUP(Table8[[#This Row],[Mã khách hàng]],code_khach_hang[],3,0)</f>
        <v>Miền Bắc đặc biệt 1</v>
      </c>
      <c r="H3679" t="str">
        <f>VLOOKUP(Table8[[#This Row],[Mã khách hàng]],'Khách hàng'!A:D,4,0)</f>
        <v>Food Đức Việt</v>
      </c>
      <c r="I3679" t="str">
        <f>VLOOKUP(Table8[[#This Row],[Mã khách hàng]],'Khách hàng'!A:E,5,0)</f>
        <v>HN0040</v>
      </c>
    </row>
    <row r="3680" spans="1:9">
      <c r="A3680" s="14" t="s">
        <v>12517</v>
      </c>
      <c r="B3680" s="9" t="s">
        <v>5</v>
      </c>
      <c r="C3680" s="16" t="s">
        <v>12548</v>
      </c>
      <c r="D3680" s="21"/>
      <c r="E3680" s="32" t="s">
        <v>11196</v>
      </c>
      <c r="F3680" s="22" t="str">
        <f>VLOOKUP(Table8[[#This Row],[Mã khách hàng]],code_khach_hang[],2,0)</f>
        <v>CHI NHÁNH NINH BÌNH - CÔNG TY CỔ PHẦN DỊCH VỤ THƯƠNG MẠI TỔNG HỢP WINCOMMERCE</v>
      </c>
      <c r="G3680" s="16" t="str">
        <f>VLOOKUP(Table8[[#This Row],[Mã khách hàng]],code_khach_hang[],3,0)</f>
        <v>Miền Bắc đặc biệt 3</v>
      </c>
      <c r="H3680" t="str">
        <f>VLOOKUP(Table8[[#This Row],[Mã khách hàng]],'Khách hàng'!A:D,4,0)</f>
        <v>Food Đức Việt</v>
      </c>
      <c r="I3680" t="str">
        <f>VLOOKUP(Table8[[#This Row],[Mã khách hàng]],'Khách hàng'!A:E,5,0)</f>
        <v>HN0040</v>
      </c>
    </row>
    <row r="3681" spans="1:9">
      <c r="A3681" s="14" t="s">
        <v>12518</v>
      </c>
      <c r="B3681" s="9" t="s">
        <v>5</v>
      </c>
      <c r="C3681" s="16" t="s">
        <v>12549</v>
      </c>
      <c r="D3681" s="21"/>
      <c r="E3681" s="32" t="s">
        <v>11216</v>
      </c>
      <c r="F3681" s="22" t="str">
        <f>VLOOKUP(Table8[[#This Row],[Mã khách hàng]],code_khach_hang[],2,0)</f>
        <v>CHI NHÁNH HƯNG YÊN - CÔNG TY CỔ PHẦN DỊCH VỤ THƯƠNG MẠI TỔNG HỢP WINCOMMERCE</v>
      </c>
      <c r="G3681" s="16" t="str">
        <f>VLOOKUP(Table8[[#This Row],[Mã khách hàng]],code_khach_hang[],3,0)</f>
        <v>Miền Bắc đặc biệt 1</v>
      </c>
      <c r="H3681" t="str">
        <f>VLOOKUP(Table8[[#This Row],[Mã khách hàng]],'Khách hàng'!A:D,4,0)</f>
        <v>Food Đức Việt</v>
      </c>
      <c r="I3681" t="str">
        <f>VLOOKUP(Table8[[#This Row],[Mã khách hàng]],'Khách hàng'!A:E,5,0)</f>
        <v>HN0040</v>
      </c>
    </row>
    <row r="3682" spans="1:9">
      <c r="A3682" s="14" t="s">
        <v>12519</v>
      </c>
      <c r="B3682" s="9" t="s">
        <v>5</v>
      </c>
      <c r="C3682" s="16" t="s">
        <v>12550</v>
      </c>
      <c r="D3682" s="21"/>
      <c r="E3682" s="32" t="s">
        <v>11199</v>
      </c>
      <c r="F3682" s="22" t="str">
        <f>VLOOKUP(Table8[[#This Row],[Mã khách hàng]],code_khach_hang[],2,0)</f>
        <v>CHI NHÁNH PHÚ THỌ - CÔNG TY CỔ PHẦN DỊCH VỤ THƯƠNG MẠI TỔNG HỢP WINCOMMERCE</v>
      </c>
      <c r="G3682" s="16" t="str">
        <f>VLOOKUP(Table8[[#This Row],[Mã khách hàng]],code_khach_hang[],3,0)</f>
        <v>Miền Bắc đặc biệt 1</v>
      </c>
      <c r="H3682" t="str">
        <f>VLOOKUP(Table8[[#This Row],[Mã khách hàng]],'Khách hàng'!A:D,4,0)</f>
        <v>Food Đức Việt</v>
      </c>
      <c r="I3682" t="str">
        <f>VLOOKUP(Table8[[#This Row],[Mã khách hàng]],'Khách hàng'!A:E,5,0)</f>
        <v>HN0040</v>
      </c>
    </row>
    <row r="3683" spans="1:9">
      <c r="A3683" s="14" t="s">
        <v>12520</v>
      </c>
      <c r="B3683" s="9" t="s">
        <v>5</v>
      </c>
      <c r="C3683" s="16" t="s">
        <v>12551</v>
      </c>
      <c r="D3683" s="21"/>
      <c r="E3683" s="32" t="s">
        <v>11215</v>
      </c>
      <c r="F3683" s="22" t="str">
        <f>VLOOKUP(Table8[[#This Row],[Mã khách hàng]],code_khach_hang[],2,0)</f>
        <v>CHI NHÁNH HÀ NỘI - CÔNG TY CỔ PHẦN DỊCH VỤ THƯƠNG MẠI TỔNG HỢP WINCOMMERCE</v>
      </c>
      <c r="G3683" s="16" t="str">
        <f>VLOOKUP(Table8[[#This Row],[Mã khách hàng]],code_khach_hang[],3,0)</f>
        <v>Miền Bắc đặc biệt 1</v>
      </c>
      <c r="H3683" t="str">
        <f>VLOOKUP(Table8[[#This Row],[Mã khách hàng]],'Khách hàng'!A:D,4,0)</f>
        <v>Food Đức Việt</v>
      </c>
      <c r="I3683" t="str">
        <f>VLOOKUP(Table8[[#This Row],[Mã khách hàng]],'Khách hàng'!A:E,5,0)</f>
        <v>HN0040</v>
      </c>
    </row>
    <row r="3684" spans="1:9">
      <c r="A3684" s="14" t="s">
        <v>12521</v>
      </c>
      <c r="B3684" s="9" t="s">
        <v>5</v>
      </c>
      <c r="C3684" s="16" t="s">
        <v>12552</v>
      </c>
      <c r="D3684" s="21"/>
      <c r="E3684" s="32" t="s">
        <v>11215</v>
      </c>
      <c r="F3684" s="22" t="str">
        <f>VLOOKUP(Table8[[#This Row],[Mã khách hàng]],code_khach_hang[],2,0)</f>
        <v>CHI NHÁNH HÀ NỘI - CÔNG TY CỔ PHẦN DỊCH VỤ THƯƠNG MẠI TỔNG HỢP WINCOMMERCE</v>
      </c>
      <c r="G3684" s="16" t="str">
        <f>VLOOKUP(Table8[[#This Row],[Mã khách hàng]],code_khach_hang[],3,0)</f>
        <v>Miền Bắc đặc biệt 1</v>
      </c>
      <c r="H3684" t="str">
        <f>VLOOKUP(Table8[[#This Row],[Mã khách hàng]],'Khách hàng'!A:D,4,0)</f>
        <v>Food Đức Việt</v>
      </c>
      <c r="I3684" t="str">
        <f>VLOOKUP(Table8[[#This Row],[Mã khách hàng]],'Khách hàng'!A:E,5,0)</f>
        <v>HN0040</v>
      </c>
    </row>
    <row r="3685" spans="1:9">
      <c r="A3685" s="14" t="s">
        <v>12522</v>
      </c>
      <c r="B3685" s="9" t="s">
        <v>5</v>
      </c>
      <c r="C3685" s="16" t="s">
        <v>12553</v>
      </c>
      <c r="D3685" s="21"/>
      <c r="E3685" s="32" t="s">
        <v>11193</v>
      </c>
      <c r="F3685" s="22" t="str">
        <f>VLOOKUP(Table8[[#This Row],[Mã khách hàng]],code_khach_hang[],2,0)</f>
        <v>CHI NHÁNH BẮC NINH - CÔNG TY CỔ PHẦN DỊCH VỤ THƯƠNG MẠI TỔNG HỢP WINCOMMERCE</v>
      </c>
      <c r="G3685" s="16" t="str">
        <f>VLOOKUP(Table8[[#This Row],[Mã khách hàng]],code_khach_hang[],3,0)</f>
        <v>Miền Bắc đặc biệt 2</v>
      </c>
      <c r="H3685" t="str">
        <f>VLOOKUP(Table8[[#This Row],[Mã khách hàng]],'Khách hàng'!A:D,4,0)</f>
        <v>Food Đức Việt</v>
      </c>
      <c r="I3685" t="str">
        <f>VLOOKUP(Table8[[#This Row],[Mã khách hàng]],'Khách hàng'!A:E,5,0)</f>
        <v>HN0040</v>
      </c>
    </row>
    <row r="3686" spans="1:9">
      <c r="A3686" s="14" t="s">
        <v>12523</v>
      </c>
      <c r="B3686" s="9" t="s">
        <v>5</v>
      </c>
      <c r="C3686" s="16" t="s">
        <v>12554</v>
      </c>
      <c r="D3686" s="21"/>
      <c r="E3686" s="32" t="s">
        <v>11218</v>
      </c>
      <c r="F3686" s="22" t="str">
        <f>VLOOKUP(Table8[[#This Row],[Mã khách hàng]],code_khach_hang[],2,0)</f>
        <v>CHI NHÁNH LÀO CAI - CÔNG TY CỔ PHẦN DỊCH VỤ THƯƠNG MẠI TỔNG HỢP WINCOMMERCE</v>
      </c>
      <c r="G3686" s="16" t="str">
        <f>VLOOKUP(Table8[[#This Row],[Mã khách hàng]],code_khach_hang[],3,0)</f>
        <v>Miền Bắc đặc biệt 1</v>
      </c>
      <c r="H3686" t="str">
        <f>VLOOKUP(Table8[[#This Row],[Mã khách hàng]],'Khách hàng'!A:D,4,0)</f>
        <v>Food Đức Việt</v>
      </c>
      <c r="I3686" t="str">
        <f>VLOOKUP(Table8[[#This Row],[Mã khách hàng]],'Khách hàng'!A:E,5,0)</f>
        <v>HN0040</v>
      </c>
    </row>
    <row r="3687" spans="1:9">
      <c r="A3687" s="14" t="s">
        <v>12524</v>
      </c>
      <c r="B3687" s="9" t="s">
        <v>5</v>
      </c>
      <c r="C3687" s="16" t="s">
        <v>12555</v>
      </c>
      <c r="D3687" s="21"/>
      <c r="E3687" s="32" t="s">
        <v>11198</v>
      </c>
      <c r="F3687" s="22" t="str">
        <f>VLOOKUP(Table8[[#This Row],[Mã khách hàng]],code_khach_hang[],2,0)</f>
        <v>CHI NHÁNH HẢI PHÒNG - CÔNG TY CỔ PHẦN DỊCH VỤ THƯƠNG MẠI TỔNG HỢP WINCOMMERCE</v>
      </c>
      <c r="G3687" s="16" t="str">
        <f>VLOOKUP(Table8[[#This Row],[Mã khách hàng]],code_khach_hang[],3,0)</f>
        <v>Miền Bắc đặc biệt 3</v>
      </c>
      <c r="H3687" t="str">
        <f>VLOOKUP(Table8[[#This Row],[Mã khách hàng]],'Khách hàng'!A:D,4,0)</f>
        <v>Food Đức Việt</v>
      </c>
      <c r="I3687" t="str">
        <f>VLOOKUP(Table8[[#This Row],[Mã khách hàng]],'Khách hàng'!A:E,5,0)</f>
        <v>HN0040</v>
      </c>
    </row>
    <row r="3688" spans="1:9">
      <c r="A3688" s="14" t="s">
        <v>12525</v>
      </c>
      <c r="B3688" s="9" t="s">
        <v>5</v>
      </c>
      <c r="C3688" s="16" t="s">
        <v>12556</v>
      </c>
      <c r="D3688" s="21"/>
      <c r="E3688" s="32" t="s">
        <v>11193</v>
      </c>
      <c r="F3688" s="22" t="str">
        <f>VLOOKUP(Table8[[#This Row],[Mã khách hàng]],code_khach_hang[],2,0)</f>
        <v>CHI NHÁNH BẮC NINH - CÔNG TY CỔ PHẦN DỊCH VỤ THƯƠNG MẠI TỔNG HỢP WINCOMMERCE</v>
      </c>
      <c r="G3688" s="16" t="str">
        <f>VLOOKUP(Table8[[#This Row],[Mã khách hàng]],code_khach_hang[],3,0)</f>
        <v>Miền Bắc đặc biệt 2</v>
      </c>
      <c r="H3688" t="str">
        <f>VLOOKUP(Table8[[#This Row],[Mã khách hàng]],'Khách hàng'!A:D,4,0)</f>
        <v>Food Đức Việt</v>
      </c>
      <c r="I3688" t="str">
        <f>VLOOKUP(Table8[[#This Row],[Mã khách hàng]],'Khách hàng'!A:E,5,0)</f>
        <v>HN0040</v>
      </c>
    </row>
    <row r="3689" spans="1:9">
      <c r="A3689" s="14" t="s">
        <v>12526</v>
      </c>
      <c r="B3689" s="9" t="s">
        <v>5</v>
      </c>
      <c r="C3689" s="16" t="s">
        <v>12557</v>
      </c>
      <c r="D3689" s="21"/>
      <c r="E3689" s="32" t="s">
        <v>11215</v>
      </c>
      <c r="F3689" s="22" t="str">
        <f>VLOOKUP(Table8[[#This Row],[Mã khách hàng]],code_khach_hang[],2,0)</f>
        <v>CHI NHÁNH HÀ NỘI - CÔNG TY CỔ PHẦN DỊCH VỤ THƯƠNG MẠI TỔNG HỢP WINCOMMERCE</v>
      </c>
      <c r="G3689" s="16" t="str">
        <f>VLOOKUP(Table8[[#This Row],[Mã khách hàng]],code_khach_hang[],3,0)</f>
        <v>Miền Bắc đặc biệt 1</v>
      </c>
      <c r="H3689" t="str">
        <f>VLOOKUP(Table8[[#This Row],[Mã khách hàng]],'Khách hàng'!A:D,4,0)</f>
        <v>Food Đức Việt</v>
      </c>
      <c r="I3689" t="str">
        <f>VLOOKUP(Table8[[#This Row],[Mã khách hàng]],'Khách hàng'!A:E,5,0)</f>
        <v>HN0040</v>
      </c>
    </row>
    <row r="3690" spans="1:9">
      <c r="A3690" s="11" t="s">
        <v>12558</v>
      </c>
      <c r="B3690" s="9" t="s">
        <v>5</v>
      </c>
      <c r="C3690" s="10" t="s">
        <v>12593</v>
      </c>
      <c r="D3690" s="21"/>
      <c r="E3690" s="31" t="s">
        <v>11203</v>
      </c>
      <c r="F3690" s="22" t="str">
        <f>VLOOKUP(Table8[[#This Row],[Mã khách hàng]],code_khach_hang[],2,0)</f>
        <v>CHI NHÁNH THANH HÓA - CÔNG TY CỔ PHẦN DỊCH VỤ THƯƠNG MẠI TỔNG HỢP WINCOMMERCE</v>
      </c>
      <c r="G3690" s="10" t="str">
        <f>VLOOKUP(Table8[[#This Row],[Mã khách hàng]],code_khach_hang[],3,0)</f>
        <v>Miền Trung đặc biệt 1</v>
      </c>
      <c r="H3690" t="str">
        <f>VLOOKUP(Table8[[#This Row],[Mã khách hàng]],'Khách hàng'!A:D,4,0)</f>
        <v>Food Đức Việt</v>
      </c>
      <c r="I3690" t="str">
        <f>VLOOKUP(Table8[[#This Row],[Mã khách hàng]],'Khách hàng'!A:E,5,0)</f>
        <v>HN0040</v>
      </c>
    </row>
    <row r="3691" spans="1:9">
      <c r="A3691" s="14" t="s">
        <v>12559</v>
      </c>
      <c r="B3691" s="9" t="s">
        <v>5</v>
      </c>
      <c r="C3691" s="16" t="s">
        <v>12594</v>
      </c>
      <c r="D3691" s="21"/>
      <c r="E3691" s="32" t="s">
        <v>11204</v>
      </c>
      <c r="F3691" s="22" t="str">
        <f>VLOOKUP(Table8[[#This Row],[Mã khách hàng]],code_khach_hang[],2,0)</f>
        <v>CHI NHÁNH TUYÊN QUANG - CÔNG TY CỔ PHẦN DỊCH VỤ THƯƠNG MẠI TỔNG HỢP WINCOMMERCE</v>
      </c>
      <c r="G3691" s="16" t="str">
        <f>VLOOKUP(Table8[[#This Row],[Mã khách hàng]],code_khach_hang[],3,0)</f>
        <v>Miền Bắc đặc biệt 2</v>
      </c>
      <c r="H3691" t="str">
        <f>VLOOKUP(Table8[[#This Row],[Mã khách hàng]],'Khách hàng'!A:D,4,0)</f>
        <v>Food Đức Việt</v>
      </c>
      <c r="I3691" t="str">
        <f>VLOOKUP(Table8[[#This Row],[Mã khách hàng]],'Khách hàng'!A:E,5,0)</f>
        <v>HN0040</v>
      </c>
    </row>
    <row r="3692" spans="1:9">
      <c r="A3692" s="14" t="s">
        <v>12560</v>
      </c>
      <c r="B3692" s="9" t="s">
        <v>5</v>
      </c>
      <c r="C3692" s="16" t="s">
        <v>12595</v>
      </c>
      <c r="D3692" s="21"/>
      <c r="E3692" s="32" t="s">
        <v>11205</v>
      </c>
      <c r="F3692" s="22" t="str">
        <f>VLOOKUP(Table8[[#This Row],[Mã khách hàng]],code_khach_hang[],2,0)</f>
        <v>CHI NHÁNH HÀ TĨNH - CÔNG TY CỔ PHẦN DỊCH VỤ THƯƠNG MẠI TỔNG HỢP WINCOMMERCE</v>
      </c>
      <c r="G3692" s="16" t="str">
        <f>VLOOKUP(Table8[[#This Row],[Mã khách hàng]],code_khach_hang[],3,0)</f>
        <v>Miền Trung đặc biệt 1</v>
      </c>
      <c r="H3692" t="str">
        <f>VLOOKUP(Table8[[#This Row],[Mã khách hàng]],'Khách hàng'!A:D,4,0)</f>
        <v>Food Đức Việt</v>
      </c>
      <c r="I3692" t="str">
        <f>VLOOKUP(Table8[[#This Row],[Mã khách hàng]],'Khách hàng'!A:E,5,0)</f>
        <v>HN0040</v>
      </c>
    </row>
    <row r="3693" spans="1:9">
      <c r="A3693" s="14" t="s">
        <v>12561</v>
      </c>
      <c r="B3693" s="9" t="s">
        <v>5</v>
      </c>
      <c r="C3693" s="16" t="s">
        <v>12596</v>
      </c>
      <c r="D3693" s="21"/>
      <c r="E3693" s="32" t="s">
        <v>11193</v>
      </c>
      <c r="F3693" s="22" t="str">
        <f>VLOOKUP(Table8[[#This Row],[Mã khách hàng]],code_khach_hang[],2,0)</f>
        <v>CHI NHÁNH BẮC NINH - CÔNG TY CỔ PHẦN DỊCH VỤ THƯƠNG MẠI TỔNG HỢP WINCOMMERCE</v>
      </c>
      <c r="G3693" s="16" t="str">
        <f>VLOOKUP(Table8[[#This Row],[Mã khách hàng]],code_khach_hang[],3,0)</f>
        <v>Miền Bắc đặc biệt 2</v>
      </c>
      <c r="H3693" t="str">
        <f>VLOOKUP(Table8[[#This Row],[Mã khách hàng]],'Khách hàng'!A:D,4,0)</f>
        <v>Food Đức Việt</v>
      </c>
      <c r="I3693" t="str">
        <f>VLOOKUP(Table8[[#This Row],[Mã khách hàng]],'Khách hàng'!A:E,5,0)</f>
        <v>HN0040</v>
      </c>
    </row>
    <row r="3694" spans="1:9">
      <c r="A3694" s="14" t="s">
        <v>12562</v>
      </c>
      <c r="B3694" s="9" t="s">
        <v>5</v>
      </c>
      <c r="C3694" s="16" t="s">
        <v>12597</v>
      </c>
      <c r="D3694" s="21"/>
      <c r="E3694" s="32" t="s">
        <v>11215</v>
      </c>
      <c r="F3694" s="22" t="str">
        <f>VLOOKUP(Table8[[#This Row],[Mã khách hàng]],code_khach_hang[],2,0)</f>
        <v>CHI NHÁNH HÀ NỘI - CÔNG TY CỔ PHẦN DỊCH VỤ THƯƠNG MẠI TỔNG HỢP WINCOMMERCE</v>
      </c>
      <c r="G3694" s="16" t="str">
        <f>VLOOKUP(Table8[[#This Row],[Mã khách hàng]],code_khach_hang[],3,0)</f>
        <v>Miền Bắc đặc biệt 1</v>
      </c>
      <c r="H3694" t="str">
        <f>VLOOKUP(Table8[[#This Row],[Mã khách hàng]],'Khách hàng'!A:D,4,0)</f>
        <v>Food Đức Việt</v>
      </c>
      <c r="I3694" t="str">
        <f>VLOOKUP(Table8[[#This Row],[Mã khách hàng]],'Khách hàng'!A:E,5,0)</f>
        <v>HN0040</v>
      </c>
    </row>
    <row r="3695" spans="1:9">
      <c r="A3695" s="14" t="s">
        <v>12563</v>
      </c>
      <c r="B3695" s="9" t="s">
        <v>5</v>
      </c>
      <c r="C3695" s="16" t="s">
        <v>12598</v>
      </c>
      <c r="D3695" s="21"/>
      <c r="E3695" s="32" t="s">
        <v>11215</v>
      </c>
      <c r="F3695" s="22" t="str">
        <f>VLOOKUP(Table8[[#This Row],[Mã khách hàng]],code_khach_hang[],2,0)</f>
        <v>CHI NHÁNH HÀ NỘI - CÔNG TY CỔ PHẦN DỊCH VỤ THƯƠNG MẠI TỔNG HỢP WINCOMMERCE</v>
      </c>
      <c r="G3695" s="16" t="str">
        <f>VLOOKUP(Table8[[#This Row],[Mã khách hàng]],code_khach_hang[],3,0)</f>
        <v>Miền Bắc đặc biệt 1</v>
      </c>
      <c r="H3695" t="str">
        <f>VLOOKUP(Table8[[#This Row],[Mã khách hàng]],'Khách hàng'!A:D,4,0)</f>
        <v>Food Đức Việt</v>
      </c>
      <c r="I3695" t="str">
        <f>VLOOKUP(Table8[[#This Row],[Mã khách hàng]],'Khách hàng'!A:E,5,0)</f>
        <v>HN0040</v>
      </c>
    </row>
    <row r="3696" spans="1:9">
      <c r="A3696" s="14" t="s">
        <v>12564</v>
      </c>
      <c r="B3696" s="9" t="s">
        <v>5</v>
      </c>
      <c r="C3696" s="16" t="s">
        <v>12599</v>
      </c>
      <c r="D3696" s="21"/>
      <c r="E3696" s="32" t="s">
        <v>11203</v>
      </c>
      <c r="F3696" s="22" t="str">
        <f>VLOOKUP(Table8[[#This Row],[Mã khách hàng]],code_khach_hang[],2,0)</f>
        <v>CHI NHÁNH THANH HÓA - CÔNG TY CỔ PHẦN DỊCH VỤ THƯƠNG MẠI TỔNG HỢP WINCOMMERCE</v>
      </c>
      <c r="G3696" s="16" t="str">
        <f>VLOOKUP(Table8[[#This Row],[Mã khách hàng]],code_khach_hang[],3,0)</f>
        <v>Miền Trung đặc biệt 1</v>
      </c>
      <c r="H3696" t="str">
        <f>VLOOKUP(Table8[[#This Row],[Mã khách hàng]],'Khách hàng'!A:D,4,0)</f>
        <v>Food Đức Việt</v>
      </c>
      <c r="I3696" t="str">
        <f>VLOOKUP(Table8[[#This Row],[Mã khách hàng]],'Khách hàng'!A:E,5,0)</f>
        <v>HN0040</v>
      </c>
    </row>
    <row r="3697" spans="1:9">
      <c r="A3697" s="14" t="s">
        <v>12565</v>
      </c>
      <c r="B3697" s="9" t="s">
        <v>5</v>
      </c>
      <c r="C3697" s="16" t="s">
        <v>12600</v>
      </c>
      <c r="D3697" s="21"/>
      <c r="E3697" s="32" t="s">
        <v>11205</v>
      </c>
      <c r="F3697" s="22" t="str">
        <f>VLOOKUP(Table8[[#This Row],[Mã khách hàng]],code_khach_hang[],2,0)</f>
        <v>CHI NHÁNH HÀ TĨNH - CÔNG TY CỔ PHẦN DỊCH VỤ THƯƠNG MẠI TỔNG HỢP WINCOMMERCE</v>
      </c>
      <c r="G3697" s="16" t="str">
        <f>VLOOKUP(Table8[[#This Row],[Mã khách hàng]],code_khach_hang[],3,0)</f>
        <v>Miền Trung đặc biệt 1</v>
      </c>
      <c r="H3697" t="str">
        <f>VLOOKUP(Table8[[#This Row],[Mã khách hàng]],'Khách hàng'!A:D,4,0)</f>
        <v>Food Đức Việt</v>
      </c>
      <c r="I3697" t="str">
        <f>VLOOKUP(Table8[[#This Row],[Mã khách hàng]],'Khách hàng'!A:E,5,0)</f>
        <v>HN0040</v>
      </c>
    </row>
    <row r="3698" spans="1:9">
      <c r="A3698" s="14" t="s">
        <v>12566</v>
      </c>
      <c r="B3698" s="9" t="s">
        <v>5</v>
      </c>
      <c r="C3698" s="16" t="s">
        <v>12601</v>
      </c>
      <c r="D3698" s="21"/>
      <c r="E3698" s="32" t="s">
        <v>11203</v>
      </c>
      <c r="F3698" s="22" t="str">
        <f>VLOOKUP(Table8[[#This Row],[Mã khách hàng]],code_khach_hang[],2,0)</f>
        <v>CHI NHÁNH THANH HÓA - CÔNG TY CỔ PHẦN DỊCH VỤ THƯƠNG MẠI TỔNG HỢP WINCOMMERCE</v>
      </c>
      <c r="G3698" s="16" t="str">
        <f>VLOOKUP(Table8[[#This Row],[Mã khách hàng]],code_khach_hang[],3,0)</f>
        <v>Miền Trung đặc biệt 1</v>
      </c>
      <c r="H3698" t="str">
        <f>VLOOKUP(Table8[[#This Row],[Mã khách hàng]],'Khách hàng'!A:D,4,0)</f>
        <v>Food Đức Việt</v>
      </c>
      <c r="I3698" t="str">
        <f>VLOOKUP(Table8[[#This Row],[Mã khách hàng]],'Khách hàng'!A:E,5,0)</f>
        <v>HN0040</v>
      </c>
    </row>
    <row r="3699" spans="1:9">
      <c r="A3699" s="14" t="s">
        <v>12567</v>
      </c>
      <c r="B3699" s="9" t="s">
        <v>5</v>
      </c>
      <c r="C3699" s="16" t="s">
        <v>12602</v>
      </c>
      <c r="D3699" s="21"/>
      <c r="E3699" s="32" t="s">
        <v>11199</v>
      </c>
      <c r="F3699" s="22" t="str">
        <f>VLOOKUP(Table8[[#This Row],[Mã khách hàng]],code_khach_hang[],2,0)</f>
        <v>CHI NHÁNH PHÚ THỌ - CÔNG TY CỔ PHẦN DỊCH VỤ THƯƠNG MẠI TỔNG HỢP WINCOMMERCE</v>
      </c>
      <c r="G3699" s="16" t="str">
        <f>VLOOKUP(Table8[[#This Row],[Mã khách hàng]],code_khach_hang[],3,0)</f>
        <v>Miền Bắc đặc biệt 1</v>
      </c>
      <c r="H3699" t="str">
        <f>VLOOKUP(Table8[[#This Row],[Mã khách hàng]],'Khách hàng'!A:D,4,0)</f>
        <v>Food Đức Việt</v>
      </c>
      <c r="I3699" t="str">
        <f>VLOOKUP(Table8[[#This Row],[Mã khách hàng]],'Khách hàng'!A:E,5,0)</f>
        <v>HN0040</v>
      </c>
    </row>
    <row r="3700" spans="1:9">
      <c r="A3700" s="14" t="s">
        <v>12568</v>
      </c>
      <c r="B3700" s="9" t="s">
        <v>5</v>
      </c>
      <c r="C3700" s="16" t="s">
        <v>12603</v>
      </c>
      <c r="D3700" s="21"/>
      <c r="E3700" s="32" t="s">
        <v>11207</v>
      </c>
      <c r="F3700" s="22" t="str">
        <f>VLOOKUP(Table8[[#This Row],[Mã khách hàng]],code_khach_hang[],2,0)</f>
        <v>CHI NHÁNH THÁI NGUYÊN - CÔNG TY CỔ PHẦN DỊCH VỤ THƯƠNG MẠI TỔNG HỢP WINCOMMERCE</v>
      </c>
      <c r="G3700" s="16" t="str">
        <f>VLOOKUP(Table8[[#This Row],[Mã khách hàng]],code_khach_hang[],3,0)</f>
        <v>Miền Bắc đặc biệt 2</v>
      </c>
      <c r="H3700" t="str">
        <f>VLOOKUP(Table8[[#This Row],[Mã khách hàng]],'Khách hàng'!A:D,4,0)</f>
        <v>Food Đức Việt</v>
      </c>
      <c r="I3700" t="str">
        <f>VLOOKUP(Table8[[#This Row],[Mã khách hàng]],'Khách hàng'!A:E,5,0)</f>
        <v>HN0040</v>
      </c>
    </row>
    <row r="3701" spans="1:9">
      <c r="A3701" s="14" t="s">
        <v>12569</v>
      </c>
      <c r="B3701" s="9" t="s">
        <v>5</v>
      </c>
      <c r="C3701" s="16" t="s">
        <v>12604</v>
      </c>
      <c r="D3701" s="21"/>
      <c r="E3701" s="32" t="s">
        <v>11196</v>
      </c>
      <c r="F3701" s="22" t="str">
        <f>VLOOKUP(Table8[[#This Row],[Mã khách hàng]],code_khach_hang[],2,0)</f>
        <v>CHI NHÁNH NINH BÌNH - CÔNG TY CỔ PHẦN DỊCH VỤ THƯƠNG MẠI TỔNG HỢP WINCOMMERCE</v>
      </c>
      <c r="G3701" s="16" t="str">
        <f>VLOOKUP(Table8[[#This Row],[Mã khách hàng]],code_khach_hang[],3,0)</f>
        <v>Miền Bắc đặc biệt 3</v>
      </c>
      <c r="H3701" t="str">
        <f>VLOOKUP(Table8[[#This Row],[Mã khách hàng]],'Khách hàng'!A:D,4,0)</f>
        <v>Food Đức Việt</v>
      </c>
      <c r="I3701" t="str">
        <f>VLOOKUP(Table8[[#This Row],[Mã khách hàng]],'Khách hàng'!A:E,5,0)</f>
        <v>HN0040</v>
      </c>
    </row>
    <row r="3702" spans="1:9">
      <c r="A3702" s="14" t="s">
        <v>12570</v>
      </c>
      <c r="B3702" s="9" t="s">
        <v>5</v>
      </c>
      <c r="C3702" s="16" t="s">
        <v>12605</v>
      </c>
      <c r="D3702" s="21"/>
      <c r="E3702" s="32" t="s">
        <v>11196</v>
      </c>
      <c r="F3702" s="22" t="str">
        <f>VLOOKUP(Table8[[#This Row],[Mã khách hàng]],code_khach_hang[],2,0)</f>
        <v>CHI NHÁNH NINH BÌNH - CÔNG TY CỔ PHẦN DỊCH VỤ THƯƠNG MẠI TỔNG HỢP WINCOMMERCE</v>
      </c>
      <c r="G3702" s="16" t="str">
        <f>VLOOKUP(Table8[[#This Row],[Mã khách hàng]],code_khach_hang[],3,0)</f>
        <v>Miền Bắc đặc biệt 3</v>
      </c>
      <c r="H3702" t="str">
        <f>VLOOKUP(Table8[[#This Row],[Mã khách hàng]],'Khách hàng'!A:D,4,0)</f>
        <v>Food Đức Việt</v>
      </c>
      <c r="I3702" t="str">
        <f>VLOOKUP(Table8[[#This Row],[Mã khách hàng]],'Khách hàng'!A:E,5,0)</f>
        <v>HN0040</v>
      </c>
    </row>
    <row r="3703" spans="1:9">
      <c r="A3703" s="14" t="s">
        <v>12571</v>
      </c>
      <c r="B3703" s="9" t="s">
        <v>5</v>
      </c>
      <c r="C3703" s="16" t="s">
        <v>12606</v>
      </c>
      <c r="D3703" s="21"/>
      <c r="E3703" s="32" t="s">
        <v>11211</v>
      </c>
      <c r="F3703" s="22" t="str">
        <f>VLOOKUP(Table8[[#This Row],[Mã khách hàng]],code_khach_hang[],2,0)</f>
        <v>CHI NHÁNH NGHỆ AN - CÔNG TY CỔ PHẦN DỊCH VỤ THƯƠNG MẠI TỔNG HỢP WINCOMMERCE</v>
      </c>
      <c r="G3703" s="16" t="str">
        <f>VLOOKUP(Table8[[#This Row],[Mã khách hàng]],code_khach_hang[],3,0)</f>
        <v>Miền Trung đặc biệt 1</v>
      </c>
      <c r="H3703" t="str">
        <f>VLOOKUP(Table8[[#This Row],[Mã khách hàng]],'Khách hàng'!A:D,4,0)</f>
        <v>Food Đức Việt</v>
      </c>
      <c r="I3703" t="str">
        <f>VLOOKUP(Table8[[#This Row],[Mã khách hàng]],'Khách hàng'!A:E,5,0)</f>
        <v>HN0040</v>
      </c>
    </row>
    <row r="3704" spans="1:9">
      <c r="A3704" s="14" t="s">
        <v>12572</v>
      </c>
      <c r="B3704" s="9" t="s">
        <v>5</v>
      </c>
      <c r="C3704" s="16" t="s">
        <v>12607</v>
      </c>
      <c r="D3704" s="21"/>
      <c r="E3704" s="32" t="s">
        <v>11198</v>
      </c>
      <c r="F3704" s="22" t="str">
        <f>VLOOKUP(Table8[[#This Row],[Mã khách hàng]],code_khach_hang[],2,0)</f>
        <v>CHI NHÁNH HẢI PHÒNG - CÔNG TY CỔ PHẦN DỊCH VỤ THƯƠNG MẠI TỔNG HỢP WINCOMMERCE</v>
      </c>
      <c r="G3704" s="16" t="str">
        <f>VLOOKUP(Table8[[#This Row],[Mã khách hàng]],code_khach_hang[],3,0)</f>
        <v>Miền Bắc đặc biệt 3</v>
      </c>
      <c r="H3704" t="str">
        <f>VLOOKUP(Table8[[#This Row],[Mã khách hàng]],'Khách hàng'!A:D,4,0)</f>
        <v>Food Đức Việt</v>
      </c>
      <c r="I3704" t="str">
        <f>VLOOKUP(Table8[[#This Row],[Mã khách hàng]],'Khách hàng'!A:E,5,0)</f>
        <v>HN0040</v>
      </c>
    </row>
    <row r="3705" spans="1:9">
      <c r="A3705" s="14" t="s">
        <v>12573</v>
      </c>
      <c r="B3705" s="9" t="s">
        <v>5</v>
      </c>
      <c r="C3705" s="16" t="s">
        <v>12608</v>
      </c>
      <c r="D3705" s="21"/>
      <c r="E3705" s="32" t="s">
        <v>11199</v>
      </c>
      <c r="F3705" s="22" t="str">
        <f>VLOOKUP(Table8[[#This Row],[Mã khách hàng]],code_khach_hang[],2,0)</f>
        <v>CHI NHÁNH PHÚ THỌ - CÔNG TY CỔ PHẦN DỊCH VỤ THƯƠNG MẠI TỔNG HỢP WINCOMMERCE</v>
      </c>
      <c r="G3705" s="16" t="str">
        <f>VLOOKUP(Table8[[#This Row],[Mã khách hàng]],code_khach_hang[],3,0)</f>
        <v>Miền Bắc đặc biệt 1</v>
      </c>
      <c r="H3705" t="str">
        <f>VLOOKUP(Table8[[#This Row],[Mã khách hàng]],'Khách hàng'!A:D,4,0)</f>
        <v>Food Đức Việt</v>
      </c>
      <c r="I3705" t="str">
        <f>VLOOKUP(Table8[[#This Row],[Mã khách hàng]],'Khách hàng'!A:E,5,0)</f>
        <v>HN0040</v>
      </c>
    </row>
    <row r="3706" spans="1:9">
      <c r="A3706" s="14" t="s">
        <v>12574</v>
      </c>
      <c r="B3706" s="9" t="s">
        <v>5</v>
      </c>
      <c r="C3706" s="16" t="s">
        <v>12609</v>
      </c>
      <c r="D3706" s="21"/>
      <c r="E3706" s="32" t="s">
        <v>11196</v>
      </c>
      <c r="F3706" s="22" t="str">
        <f>VLOOKUP(Table8[[#This Row],[Mã khách hàng]],code_khach_hang[],2,0)</f>
        <v>CHI NHÁNH NINH BÌNH - CÔNG TY CỔ PHẦN DỊCH VỤ THƯƠNG MẠI TỔNG HỢP WINCOMMERCE</v>
      </c>
      <c r="G3706" s="16" t="str">
        <f>VLOOKUP(Table8[[#This Row],[Mã khách hàng]],code_khach_hang[],3,0)</f>
        <v>Miền Bắc đặc biệt 3</v>
      </c>
      <c r="H3706" t="str">
        <f>VLOOKUP(Table8[[#This Row],[Mã khách hàng]],'Khách hàng'!A:D,4,0)</f>
        <v>Food Đức Việt</v>
      </c>
      <c r="I3706" t="str">
        <f>VLOOKUP(Table8[[#This Row],[Mã khách hàng]],'Khách hàng'!A:E,5,0)</f>
        <v>HN0040</v>
      </c>
    </row>
    <row r="3707" spans="1:9">
      <c r="A3707" s="14" t="s">
        <v>12575</v>
      </c>
      <c r="B3707" s="9" t="s">
        <v>5</v>
      </c>
      <c r="C3707" s="16" t="s">
        <v>12610</v>
      </c>
      <c r="D3707" s="21"/>
      <c r="E3707" s="32" t="s">
        <v>11203</v>
      </c>
      <c r="F3707" s="22" t="str">
        <f>VLOOKUP(Table8[[#This Row],[Mã khách hàng]],code_khach_hang[],2,0)</f>
        <v>CHI NHÁNH THANH HÓA - CÔNG TY CỔ PHẦN DỊCH VỤ THƯƠNG MẠI TỔNG HỢP WINCOMMERCE</v>
      </c>
      <c r="G3707" s="16" t="str">
        <f>VLOOKUP(Table8[[#This Row],[Mã khách hàng]],code_khach_hang[],3,0)</f>
        <v>Miền Trung đặc biệt 1</v>
      </c>
      <c r="H3707" t="str">
        <f>VLOOKUP(Table8[[#This Row],[Mã khách hàng]],'Khách hàng'!A:D,4,0)</f>
        <v>Food Đức Việt</v>
      </c>
      <c r="I3707" t="str">
        <f>VLOOKUP(Table8[[#This Row],[Mã khách hàng]],'Khách hàng'!A:E,5,0)</f>
        <v>HN0040</v>
      </c>
    </row>
    <row r="3708" spans="1:9">
      <c r="A3708" s="14" t="s">
        <v>12576</v>
      </c>
      <c r="B3708" s="9" t="s">
        <v>5</v>
      </c>
      <c r="C3708" s="16" t="s">
        <v>12611</v>
      </c>
      <c r="D3708" s="21"/>
      <c r="E3708" s="32" t="s">
        <v>11196</v>
      </c>
      <c r="F3708" s="22" t="str">
        <f>VLOOKUP(Table8[[#This Row],[Mã khách hàng]],code_khach_hang[],2,0)</f>
        <v>CHI NHÁNH NINH BÌNH - CÔNG TY CỔ PHẦN DỊCH VỤ THƯƠNG MẠI TỔNG HỢP WINCOMMERCE</v>
      </c>
      <c r="G3708" s="16" t="str">
        <f>VLOOKUP(Table8[[#This Row],[Mã khách hàng]],code_khach_hang[],3,0)</f>
        <v>Miền Bắc đặc biệt 3</v>
      </c>
      <c r="H3708" t="str">
        <f>VLOOKUP(Table8[[#This Row],[Mã khách hàng]],'Khách hàng'!A:D,4,0)</f>
        <v>Food Đức Việt</v>
      </c>
      <c r="I3708" t="str">
        <f>VLOOKUP(Table8[[#This Row],[Mã khách hàng]],'Khách hàng'!A:E,5,0)</f>
        <v>HN0040</v>
      </c>
    </row>
    <row r="3709" spans="1:9">
      <c r="A3709" s="14" t="s">
        <v>12577</v>
      </c>
      <c r="B3709" s="9" t="s">
        <v>5</v>
      </c>
      <c r="C3709" s="16" t="s">
        <v>12612</v>
      </c>
      <c r="D3709" s="21"/>
      <c r="E3709" s="32" t="s">
        <v>11215</v>
      </c>
      <c r="F3709" s="22" t="str">
        <f>VLOOKUP(Table8[[#This Row],[Mã khách hàng]],code_khach_hang[],2,0)</f>
        <v>CHI NHÁNH HÀ NỘI - CÔNG TY CỔ PHẦN DỊCH VỤ THƯƠNG MẠI TỔNG HỢP WINCOMMERCE</v>
      </c>
      <c r="G3709" s="16" t="str">
        <f>VLOOKUP(Table8[[#This Row],[Mã khách hàng]],code_khach_hang[],3,0)</f>
        <v>Miền Bắc đặc biệt 1</v>
      </c>
      <c r="H3709" t="str">
        <f>VLOOKUP(Table8[[#This Row],[Mã khách hàng]],'Khách hàng'!A:D,4,0)</f>
        <v>Food Đức Việt</v>
      </c>
      <c r="I3709" t="str">
        <f>VLOOKUP(Table8[[#This Row],[Mã khách hàng]],'Khách hàng'!A:E,5,0)</f>
        <v>HN0040</v>
      </c>
    </row>
    <row r="3710" spans="1:9">
      <c r="A3710" s="14" t="s">
        <v>12578</v>
      </c>
      <c r="B3710" s="9" t="s">
        <v>5</v>
      </c>
      <c r="C3710" s="16" t="s">
        <v>12613</v>
      </c>
      <c r="D3710" s="21"/>
      <c r="E3710" s="32" t="s">
        <v>11205</v>
      </c>
      <c r="F3710" s="22" t="str">
        <f>VLOOKUP(Table8[[#This Row],[Mã khách hàng]],code_khach_hang[],2,0)</f>
        <v>CHI NHÁNH HÀ TĨNH - CÔNG TY CỔ PHẦN DỊCH VỤ THƯƠNG MẠI TỔNG HỢP WINCOMMERCE</v>
      </c>
      <c r="G3710" s="16" t="str">
        <f>VLOOKUP(Table8[[#This Row],[Mã khách hàng]],code_khach_hang[],3,0)</f>
        <v>Miền Trung đặc biệt 1</v>
      </c>
      <c r="H3710" t="str">
        <f>VLOOKUP(Table8[[#This Row],[Mã khách hàng]],'Khách hàng'!A:D,4,0)</f>
        <v>Food Đức Việt</v>
      </c>
      <c r="I3710" t="str">
        <f>VLOOKUP(Table8[[#This Row],[Mã khách hàng]],'Khách hàng'!A:E,5,0)</f>
        <v>HN0040</v>
      </c>
    </row>
    <row r="3711" spans="1:9">
      <c r="A3711" s="14" t="s">
        <v>12579</v>
      </c>
      <c r="B3711" s="9" t="s">
        <v>5</v>
      </c>
      <c r="C3711" s="16" t="s">
        <v>12614</v>
      </c>
      <c r="D3711" s="21"/>
      <c r="E3711" s="32" t="s">
        <v>11197</v>
      </c>
      <c r="F3711" s="22" t="str">
        <f>VLOOKUP(Table8[[#This Row],[Mã khách hàng]],code_khach_hang[],2,0)</f>
        <v>CHI NHÁNH QUẢNG NINH - CÔNG TY CỔ PHẦN DỊCH VỤ THƯƠNG MẠI TỔNG HỢP WINCOMMERCE</v>
      </c>
      <c r="G3711" s="16" t="str">
        <f>VLOOKUP(Table8[[#This Row],[Mã khách hàng]],code_khach_hang[],3,0)</f>
        <v>Miền Bắc đặc biệt 3</v>
      </c>
      <c r="H3711" t="str">
        <f>VLOOKUP(Table8[[#This Row],[Mã khách hàng]],'Khách hàng'!A:D,4,0)</f>
        <v>Food Đức Việt</v>
      </c>
      <c r="I3711" t="str">
        <f>VLOOKUP(Table8[[#This Row],[Mã khách hàng]],'Khách hàng'!A:E,5,0)</f>
        <v>HN0040</v>
      </c>
    </row>
    <row r="3712" spans="1:9">
      <c r="A3712" s="14" t="s">
        <v>12580</v>
      </c>
      <c r="B3712" s="9" t="s">
        <v>5</v>
      </c>
      <c r="C3712" s="16" t="s">
        <v>12615</v>
      </c>
      <c r="D3712" s="21"/>
      <c r="E3712" s="32" t="s">
        <v>11204</v>
      </c>
      <c r="F3712" s="22" t="str">
        <f>VLOOKUP(Table8[[#This Row],[Mã khách hàng]],code_khach_hang[],2,0)</f>
        <v>CHI NHÁNH TUYÊN QUANG - CÔNG TY CỔ PHẦN DỊCH VỤ THƯƠNG MẠI TỔNG HỢP WINCOMMERCE</v>
      </c>
      <c r="G3712" s="16" t="str">
        <f>VLOOKUP(Table8[[#This Row],[Mã khách hàng]],code_khach_hang[],3,0)</f>
        <v>Miền Bắc đặc biệt 2</v>
      </c>
      <c r="H3712" t="str">
        <f>VLOOKUP(Table8[[#This Row],[Mã khách hàng]],'Khách hàng'!A:D,4,0)</f>
        <v>Food Đức Việt</v>
      </c>
      <c r="I3712" t="str">
        <f>VLOOKUP(Table8[[#This Row],[Mã khách hàng]],'Khách hàng'!A:E,5,0)</f>
        <v>HN0040</v>
      </c>
    </row>
    <row r="3713" spans="1:9">
      <c r="A3713" s="14" t="s">
        <v>12581</v>
      </c>
      <c r="B3713" s="9" t="s">
        <v>5</v>
      </c>
      <c r="C3713" s="16" t="s">
        <v>12616</v>
      </c>
      <c r="D3713" s="21"/>
      <c r="E3713" s="32" t="s">
        <v>11203</v>
      </c>
      <c r="F3713" s="22" t="str">
        <f>VLOOKUP(Table8[[#This Row],[Mã khách hàng]],code_khach_hang[],2,0)</f>
        <v>CHI NHÁNH THANH HÓA - CÔNG TY CỔ PHẦN DỊCH VỤ THƯƠNG MẠI TỔNG HỢP WINCOMMERCE</v>
      </c>
      <c r="G3713" s="16" t="str">
        <f>VLOOKUP(Table8[[#This Row],[Mã khách hàng]],code_khach_hang[],3,0)</f>
        <v>Miền Trung đặc biệt 1</v>
      </c>
      <c r="H3713" t="str">
        <f>VLOOKUP(Table8[[#This Row],[Mã khách hàng]],'Khách hàng'!A:D,4,0)</f>
        <v>Food Đức Việt</v>
      </c>
      <c r="I3713" t="str">
        <f>VLOOKUP(Table8[[#This Row],[Mã khách hàng]],'Khách hàng'!A:E,5,0)</f>
        <v>HN0040</v>
      </c>
    </row>
    <row r="3714" spans="1:9">
      <c r="A3714" s="14" t="s">
        <v>12582</v>
      </c>
      <c r="B3714" s="9" t="s">
        <v>5</v>
      </c>
      <c r="C3714" s="16" t="s">
        <v>12617</v>
      </c>
      <c r="D3714" s="21"/>
      <c r="E3714" s="32" t="s">
        <v>11203</v>
      </c>
      <c r="F3714" s="22" t="str">
        <f>VLOOKUP(Table8[[#This Row],[Mã khách hàng]],code_khach_hang[],2,0)</f>
        <v>CHI NHÁNH THANH HÓA - CÔNG TY CỔ PHẦN DỊCH VỤ THƯƠNG MẠI TỔNG HỢP WINCOMMERCE</v>
      </c>
      <c r="G3714" s="16" t="str">
        <f>VLOOKUP(Table8[[#This Row],[Mã khách hàng]],code_khach_hang[],3,0)</f>
        <v>Miền Trung đặc biệt 1</v>
      </c>
      <c r="H3714" t="str">
        <f>VLOOKUP(Table8[[#This Row],[Mã khách hàng]],'Khách hàng'!A:D,4,0)</f>
        <v>Food Đức Việt</v>
      </c>
      <c r="I3714" t="str">
        <f>VLOOKUP(Table8[[#This Row],[Mã khách hàng]],'Khách hàng'!A:E,5,0)</f>
        <v>HN0040</v>
      </c>
    </row>
    <row r="3715" spans="1:9">
      <c r="A3715" s="14" t="s">
        <v>12583</v>
      </c>
      <c r="B3715" s="9" t="s">
        <v>5</v>
      </c>
      <c r="C3715" s="16" t="s">
        <v>12618</v>
      </c>
      <c r="D3715" s="21"/>
      <c r="E3715" s="32" t="s">
        <v>11198</v>
      </c>
      <c r="F3715" s="22" t="str">
        <f>VLOOKUP(Table8[[#This Row],[Mã khách hàng]],code_khach_hang[],2,0)</f>
        <v>CHI NHÁNH HẢI PHÒNG - CÔNG TY CỔ PHẦN DỊCH VỤ THƯƠNG MẠI TỔNG HỢP WINCOMMERCE</v>
      </c>
      <c r="G3715" s="16" t="str">
        <f>VLOOKUP(Table8[[#This Row],[Mã khách hàng]],code_khach_hang[],3,0)</f>
        <v>Miền Bắc đặc biệt 3</v>
      </c>
      <c r="H3715" t="str">
        <f>VLOOKUP(Table8[[#This Row],[Mã khách hàng]],'Khách hàng'!A:D,4,0)</f>
        <v>Food Đức Việt</v>
      </c>
      <c r="I3715" t="str">
        <f>VLOOKUP(Table8[[#This Row],[Mã khách hàng]],'Khách hàng'!A:E,5,0)</f>
        <v>HN0040</v>
      </c>
    </row>
    <row r="3716" spans="1:9">
      <c r="A3716" s="14" t="s">
        <v>12584</v>
      </c>
      <c r="B3716" s="9" t="s">
        <v>5</v>
      </c>
      <c r="C3716" s="16" t="s">
        <v>12619</v>
      </c>
      <c r="D3716" s="21"/>
      <c r="E3716" s="32" t="s">
        <v>11204</v>
      </c>
      <c r="F3716" s="22" t="str">
        <f>VLOOKUP(Table8[[#This Row],[Mã khách hàng]],code_khach_hang[],2,0)</f>
        <v>CHI NHÁNH TUYÊN QUANG - CÔNG TY CỔ PHẦN DỊCH VỤ THƯƠNG MẠI TỔNG HỢP WINCOMMERCE</v>
      </c>
      <c r="G3716" s="16" t="str">
        <f>VLOOKUP(Table8[[#This Row],[Mã khách hàng]],code_khach_hang[],3,0)</f>
        <v>Miền Bắc đặc biệt 2</v>
      </c>
      <c r="H3716" t="str">
        <f>VLOOKUP(Table8[[#This Row],[Mã khách hàng]],'Khách hàng'!A:D,4,0)</f>
        <v>Food Đức Việt</v>
      </c>
      <c r="I3716" t="str">
        <f>VLOOKUP(Table8[[#This Row],[Mã khách hàng]],'Khách hàng'!A:E,5,0)</f>
        <v>HN0040</v>
      </c>
    </row>
    <row r="3717" spans="1:9">
      <c r="A3717" s="14" t="s">
        <v>12585</v>
      </c>
      <c r="B3717" s="9" t="s">
        <v>5</v>
      </c>
      <c r="C3717" s="16" t="s">
        <v>12620</v>
      </c>
      <c r="D3717" s="21"/>
      <c r="E3717" s="32" t="s">
        <v>11196</v>
      </c>
      <c r="F3717" s="22" t="str">
        <f>VLOOKUP(Table8[[#This Row],[Mã khách hàng]],code_khach_hang[],2,0)</f>
        <v>CHI NHÁNH NINH BÌNH - CÔNG TY CỔ PHẦN DỊCH VỤ THƯƠNG MẠI TỔNG HỢP WINCOMMERCE</v>
      </c>
      <c r="G3717" s="16" t="str">
        <f>VLOOKUP(Table8[[#This Row],[Mã khách hàng]],code_khach_hang[],3,0)</f>
        <v>Miền Bắc đặc biệt 3</v>
      </c>
      <c r="H3717" t="str">
        <f>VLOOKUP(Table8[[#This Row],[Mã khách hàng]],'Khách hàng'!A:D,4,0)</f>
        <v>Food Đức Việt</v>
      </c>
      <c r="I3717" t="str">
        <f>VLOOKUP(Table8[[#This Row],[Mã khách hàng]],'Khách hàng'!A:E,5,0)</f>
        <v>HN0040</v>
      </c>
    </row>
    <row r="3718" spans="1:9">
      <c r="A3718" s="14" t="s">
        <v>12586</v>
      </c>
      <c r="B3718" s="9" t="s">
        <v>5</v>
      </c>
      <c r="C3718" s="16" t="s">
        <v>12621</v>
      </c>
      <c r="D3718" s="21"/>
      <c r="E3718" s="32" t="s">
        <v>11197</v>
      </c>
      <c r="F3718" s="22" t="str">
        <f>VLOOKUP(Table8[[#This Row],[Mã khách hàng]],code_khach_hang[],2,0)</f>
        <v>CHI NHÁNH QUẢNG NINH - CÔNG TY CỔ PHẦN DỊCH VỤ THƯƠNG MẠI TỔNG HỢP WINCOMMERCE</v>
      </c>
      <c r="G3718" s="16" t="str">
        <f>VLOOKUP(Table8[[#This Row],[Mã khách hàng]],code_khach_hang[],3,0)</f>
        <v>Miền Bắc đặc biệt 3</v>
      </c>
      <c r="H3718" t="str">
        <f>VLOOKUP(Table8[[#This Row],[Mã khách hàng]],'Khách hàng'!A:D,4,0)</f>
        <v>Food Đức Việt</v>
      </c>
      <c r="I3718" t="str">
        <f>VLOOKUP(Table8[[#This Row],[Mã khách hàng]],'Khách hàng'!A:E,5,0)</f>
        <v>HN0040</v>
      </c>
    </row>
    <row r="3719" spans="1:9">
      <c r="A3719" s="14" t="s">
        <v>12587</v>
      </c>
      <c r="B3719" s="9" t="s">
        <v>5</v>
      </c>
      <c r="C3719" s="16" t="s">
        <v>12622</v>
      </c>
      <c r="D3719" s="21"/>
      <c r="E3719" s="32" t="s">
        <v>11216</v>
      </c>
      <c r="F3719" s="22" t="str">
        <f>VLOOKUP(Table8[[#This Row],[Mã khách hàng]],code_khach_hang[],2,0)</f>
        <v>CHI NHÁNH HƯNG YÊN - CÔNG TY CỔ PHẦN DỊCH VỤ THƯƠNG MẠI TỔNG HỢP WINCOMMERCE</v>
      </c>
      <c r="G3719" s="16" t="str">
        <f>VLOOKUP(Table8[[#This Row],[Mã khách hàng]],code_khach_hang[],3,0)</f>
        <v>Miền Bắc đặc biệt 1</v>
      </c>
      <c r="H3719" t="str">
        <f>VLOOKUP(Table8[[#This Row],[Mã khách hàng]],'Khách hàng'!A:D,4,0)</f>
        <v>Food Đức Việt</v>
      </c>
      <c r="I3719" t="str">
        <f>VLOOKUP(Table8[[#This Row],[Mã khách hàng]],'Khách hàng'!A:E,5,0)</f>
        <v>HN0040</v>
      </c>
    </row>
    <row r="3720" spans="1:9">
      <c r="A3720" s="14" t="s">
        <v>12588</v>
      </c>
      <c r="B3720" s="9" t="s">
        <v>5</v>
      </c>
      <c r="C3720" s="16" t="s">
        <v>12623</v>
      </c>
      <c r="D3720" s="21"/>
      <c r="E3720" s="32" t="s">
        <v>11216</v>
      </c>
      <c r="F3720" s="22" t="str">
        <f>VLOOKUP(Table8[[#This Row],[Mã khách hàng]],code_khach_hang[],2,0)</f>
        <v>CHI NHÁNH HƯNG YÊN - CÔNG TY CỔ PHẦN DỊCH VỤ THƯƠNG MẠI TỔNG HỢP WINCOMMERCE</v>
      </c>
      <c r="G3720" s="16" t="str">
        <f>VLOOKUP(Table8[[#This Row],[Mã khách hàng]],code_khach_hang[],3,0)</f>
        <v>Miền Bắc đặc biệt 1</v>
      </c>
      <c r="H3720" t="str">
        <f>VLOOKUP(Table8[[#This Row],[Mã khách hàng]],'Khách hàng'!A:D,4,0)</f>
        <v>Food Đức Việt</v>
      </c>
      <c r="I3720" t="str">
        <f>VLOOKUP(Table8[[#This Row],[Mã khách hàng]],'Khách hàng'!A:E,5,0)</f>
        <v>HN0040</v>
      </c>
    </row>
    <row r="3721" spans="1:9">
      <c r="A3721" s="14" t="s">
        <v>12589</v>
      </c>
      <c r="B3721" s="9" t="s">
        <v>5</v>
      </c>
      <c r="C3721" s="16" t="s">
        <v>12624</v>
      </c>
      <c r="D3721" s="21"/>
      <c r="E3721" s="32" t="s">
        <v>11205</v>
      </c>
      <c r="F3721" s="22" t="str">
        <f>VLOOKUP(Table8[[#This Row],[Mã khách hàng]],code_khach_hang[],2,0)</f>
        <v>CHI NHÁNH HÀ TĨNH - CÔNG TY CỔ PHẦN DỊCH VỤ THƯƠNG MẠI TỔNG HỢP WINCOMMERCE</v>
      </c>
      <c r="G3721" s="16" t="str">
        <f>VLOOKUP(Table8[[#This Row],[Mã khách hàng]],code_khach_hang[],3,0)</f>
        <v>Miền Trung đặc biệt 1</v>
      </c>
      <c r="H3721" t="str">
        <f>VLOOKUP(Table8[[#This Row],[Mã khách hàng]],'Khách hàng'!A:D,4,0)</f>
        <v>Food Đức Việt</v>
      </c>
      <c r="I3721" t="str">
        <f>VLOOKUP(Table8[[#This Row],[Mã khách hàng]],'Khách hàng'!A:E,5,0)</f>
        <v>HN0040</v>
      </c>
    </row>
    <row r="3722" spans="1:9">
      <c r="A3722" s="14" t="s">
        <v>12590</v>
      </c>
      <c r="B3722" s="9" t="s">
        <v>5</v>
      </c>
      <c r="C3722" s="16" t="s">
        <v>12625</v>
      </c>
      <c r="D3722" s="21"/>
      <c r="E3722" s="32" t="s">
        <v>11218</v>
      </c>
      <c r="F3722" s="22" t="str">
        <f>VLOOKUP(Table8[[#This Row],[Mã khách hàng]],code_khach_hang[],2,0)</f>
        <v>CHI NHÁNH LÀO CAI - CÔNG TY CỔ PHẦN DỊCH VỤ THƯƠNG MẠI TỔNG HỢP WINCOMMERCE</v>
      </c>
      <c r="G3722" s="16" t="str">
        <f>VLOOKUP(Table8[[#This Row],[Mã khách hàng]],code_khach_hang[],3,0)</f>
        <v>Miền Bắc đặc biệt 1</v>
      </c>
      <c r="H3722" t="str">
        <f>VLOOKUP(Table8[[#This Row],[Mã khách hàng]],'Khách hàng'!A:D,4,0)</f>
        <v>Food Đức Việt</v>
      </c>
      <c r="I3722" t="str">
        <f>VLOOKUP(Table8[[#This Row],[Mã khách hàng]],'Khách hàng'!A:E,5,0)</f>
        <v>HN0040</v>
      </c>
    </row>
    <row r="3723" spans="1:9">
      <c r="A3723" s="14" t="s">
        <v>12591</v>
      </c>
      <c r="B3723" s="9" t="s">
        <v>5</v>
      </c>
      <c r="C3723" s="16" t="s">
        <v>12626</v>
      </c>
      <c r="D3723" s="21"/>
      <c r="E3723" s="32" t="s">
        <v>11216</v>
      </c>
      <c r="F3723" s="22" t="str">
        <f>VLOOKUP(Table8[[#This Row],[Mã khách hàng]],code_khach_hang[],2,0)</f>
        <v>CHI NHÁNH HƯNG YÊN - CÔNG TY CỔ PHẦN DỊCH VỤ THƯƠNG MẠI TỔNG HỢP WINCOMMERCE</v>
      </c>
      <c r="G3723" s="16" t="str">
        <f>VLOOKUP(Table8[[#This Row],[Mã khách hàng]],code_khach_hang[],3,0)</f>
        <v>Miền Bắc đặc biệt 1</v>
      </c>
      <c r="H3723" t="str">
        <f>VLOOKUP(Table8[[#This Row],[Mã khách hàng]],'Khách hàng'!A:D,4,0)</f>
        <v>Food Đức Việt</v>
      </c>
      <c r="I3723" t="str">
        <f>VLOOKUP(Table8[[#This Row],[Mã khách hàng]],'Khách hàng'!A:E,5,0)</f>
        <v>HN0040</v>
      </c>
    </row>
    <row r="3724" spans="1:9">
      <c r="A3724" s="14" t="s">
        <v>12592</v>
      </c>
      <c r="B3724" s="9" t="s">
        <v>5</v>
      </c>
      <c r="C3724" s="16" t="s">
        <v>12627</v>
      </c>
      <c r="D3724" s="21"/>
      <c r="E3724" s="32" t="s">
        <v>11211</v>
      </c>
      <c r="F3724" s="22" t="str">
        <f>VLOOKUP(Table8[[#This Row],[Mã khách hàng]],code_khach_hang[],2,0)</f>
        <v>CHI NHÁNH NGHỆ AN - CÔNG TY CỔ PHẦN DỊCH VỤ THƯƠNG MẠI TỔNG HỢP WINCOMMERCE</v>
      </c>
      <c r="G3724" s="16" t="str">
        <f>VLOOKUP(Table8[[#This Row],[Mã khách hàng]],code_khach_hang[],3,0)</f>
        <v>Miền Trung đặc biệt 1</v>
      </c>
      <c r="H3724" t="str">
        <f>VLOOKUP(Table8[[#This Row],[Mã khách hàng]],'Khách hàng'!A:D,4,0)</f>
        <v>Food Đức Việt</v>
      </c>
      <c r="I3724" t="str">
        <f>VLOOKUP(Table8[[#This Row],[Mã khách hàng]],'Khách hàng'!A:E,5,0)</f>
        <v>HN0040</v>
      </c>
    </row>
    <row r="3725" spans="1:9">
      <c r="A3725" s="11" t="s">
        <v>12634</v>
      </c>
      <c r="B3725" s="9" t="s">
        <v>5</v>
      </c>
      <c r="C3725" s="10" t="s">
        <v>12675</v>
      </c>
      <c r="D3725" s="21"/>
      <c r="E3725" s="31" t="s">
        <v>11203</v>
      </c>
      <c r="F3725" s="22" t="str">
        <f>VLOOKUP(Table8[[#This Row],[Mã khách hàng]],code_khach_hang[],2,0)</f>
        <v>CHI NHÁNH THANH HÓA - CÔNG TY CỔ PHẦN DỊCH VỤ THƯƠNG MẠI TỔNG HỢP WINCOMMERCE</v>
      </c>
      <c r="G3725" s="10" t="str">
        <f>VLOOKUP(Table8[[#This Row],[Mã khách hàng]],code_khach_hang[],3,0)</f>
        <v>Miền Trung đặc biệt 1</v>
      </c>
      <c r="H3725" t="str">
        <f>VLOOKUP(Table8[[#This Row],[Mã khách hàng]],'Khách hàng'!A:D,4,0)</f>
        <v>Food Đức Việt</v>
      </c>
      <c r="I3725" t="str">
        <f>VLOOKUP(Table8[[#This Row],[Mã khách hàng]],'Khách hàng'!A:E,5,0)</f>
        <v>HN0040</v>
      </c>
    </row>
    <row r="3726" spans="1:9">
      <c r="A3726" s="11" t="s">
        <v>12635</v>
      </c>
      <c r="B3726" s="9" t="s">
        <v>5</v>
      </c>
      <c r="C3726" s="10" t="s">
        <v>12676</v>
      </c>
      <c r="D3726" s="21"/>
      <c r="E3726" s="31" t="s">
        <v>11203</v>
      </c>
      <c r="F3726" s="22" t="str">
        <f>VLOOKUP(Table8[[#This Row],[Mã khách hàng]],code_khach_hang[],2,0)</f>
        <v>CHI NHÁNH THANH HÓA - CÔNG TY CỔ PHẦN DỊCH VỤ THƯƠNG MẠI TỔNG HỢP WINCOMMERCE</v>
      </c>
      <c r="G3726" s="10" t="str">
        <f>VLOOKUP(Table8[[#This Row],[Mã khách hàng]],code_khach_hang[],3,0)</f>
        <v>Miền Trung đặc biệt 1</v>
      </c>
      <c r="H3726" t="str">
        <f>VLOOKUP(Table8[[#This Row],[Mã khách hàng]],'Khách hàng'!A:D,4,0)</f>
        <v>Food Đức Việt</v>
      </c>
      <c r="I3726" t="str">
        <f>VLOOKUP(Table8[[#This Row],[Mã khách hàng]],'Khách hàng'!A:E,5,0)</f>
        <v>HN0040</v>
      </c>
    </row>
    <row r="3727" spans="1:9">
      <c r="A3727" s="11" t="s">
        <v>12636</v>
      </c>
      <c r="B3727" s="9" t="s">
        <v>5</v>
      </c>
      <c r="C3727" s="10" t="s">
        <v>12677</v>
      </c>
      <c r="D3727" s="21"/>
      <c r="E3727" s="31" t="s">
        <v>11203</v>
      </c>
      <c r="F3727" s="22" t="str">
        <f>VLOOKUP(Table8[[#This Row],[Mã khách hàng]],code_khach_hang[],2,0)</f>
        <v>CHI NHÁNH THANH HÓA - CÔNG TY CỔ PHẦN DỊCH VỤ THƯƠNG MẠI TỔNG HỢP WINCOMMERCE</v>
      </c>
      <c r="G3727" s="10" t="str">
        <f>VLOOKUP(Table8[[#This Row],[Mã khách hàng]],code_khach_hang[],3,0)</f>
        <v>Miền Trung đặc biệt 1</v>
      </c>
      <c r="H3727" t="str">
        <f>VLOOKUP(Table8[[#This Row],[Mã khách hàng]],'Khách hàng'!A:D,4,0)</f>
        <v>Food Đức Việt</v>
      </c>
      <c r="I3727" t="str">
        <f>VLOOKUP(Table8[[#This Row],[Mã khách hàng]],'Khách hàng'!A:E,5,0)</f>
        <v>HN0040</v>
      </c>
    </row>
    <row r="3728" spans="1:9">
      <c r="A3728" s="14" t="s">
        <v>12637</v>
      </c>
      <c r="B3728" s="9" t="s">
        <v>5</v>
      </c>
      <c r="C3728" s="16" t="s">
        <v>12678</v>
      </c>
      <c r="D3728" s="21"/>
      <c r="E3728" s="32" t="s">
        <v>11211</v>
      </c>
      <c r="F3728" s="22" t="str">
        <f>VLOOKUP(Table8[[#This Row],[Mã khách hàng]],code_khach_hang[],2,0)</f>
        <v>CHI NHÁNH NGHỆ AN - CÔNG TY CỔ PHẦN DỊCH VỤ THƯƠNG MẠI TỔNG HỢP WINCOMMERCE</v>
      </c>
      <c r="G3728" s="16" t="str">
        <f>VLOOKUP(Table8[[#This Row],[Mã khách hàng]],code_khach_hang[],3,0)</f>
        <v>Miền Trung đặc biệt 1</v>
      </c>
      <c r="H3728" t="str">
        <f>VLOOKUP(Table8[[#This Row],[Mã khách hàng]],'Khách hàng'!A:D,4,0)</f>
        <v>Food Đức Việt</v>
      </c>
      <c r="I3728" t="str">
        <f>VLOOKUP(Table8[[#This Row],[Mã khách hàng]],'Khách hàng'!A:E,5,0)</f>
        <v>HN0040</v>
      </c>
    </row>
    <row r="3729" spans="1:9">
      <c r="A3729" s="11" t="s">
        <v>12638</v>
      </c>
      <c r="B3729" s="9" t="s">
        <v>5</v>
      </c>
      <c r="C3729" s="10" t="s">
        <v>12679</v>
      </c>
      <c r="D3729" s="21"/>
      <c r="E3729" s="31" t="s">
        <v>11211</v>
      </c>
      <c r="F3729" s="22" t="str">
        <f>VLOOKUP(Table8[[#This Row],[Mã khách hàng]],code_khach_hang[],2,0)</f>
        <v>CHI NHÁNH NGHỆ AN - CÔNG TY CỔ PHẦN DỊCH VỤ THƯƠNG MẠI TỔNG HỢP WINCOMMERCE</v>
      </c>
      <c r="G3729" s="10" t="str">
        <f>VLOOKUP(Table8[[#This Row],[Mã khách hàng]],code_khach_hang[],3,0)</f>
        <v>Miền Trung đặc biệt 1</v>
      </c>
      <c r="H3729" t="str">
        <f>VLOOKUP(Table8[[#This Row],[Mã khách hàng]],'Khách hàng'!A:D,4,0)</f>
        <v>Food Đức Việt</v>
      </c>
      <c r="I3729" t="str">
        <f>VLOOKUP(Table8[[#This Row],[Mã khách hàng]],'Khách hàng'!A:E,5,0)</f>
        <v>HN0040</v>
      </c>
    </row>
    <row r="3730" spans="1:9">
      <c r="A3730" s="11" t="s">
        <v>12639</v>
      </c>
      <c r="B3730" s="9" t="s">
        <v>5</v>
      </c>
      <c r="C3730" s="10" t="s">
        <v>12680</v>
      </c>
      <c r="D3730" s="21"/>
      <c r="E3730" s="31" t="s">
        <v>11205</v>
      </c>
      <c r="F3730" s="22" t="str">
        <f>VLOOKUP(Table8[[#This Row],[Mã khách hàng]],code_khach_hang[],2,0)</f>
        <v>CHI NHÁNH HÀ TĨNH - CÔNG TY CỔ PHẦN DỊCH VỤ THƯƠNG MẠI TỔNG HỢP WINCOMMERCE</v>
      </c>
      <c r="G3730" s="10" t="str">
        <f>VLOOKUP(Table8[[#This Row],[Mã khách hàng]],code_khach_hang[],3,0)</f>
        <v>Miền Trung đặc biệt 1</v>
      </c>
      <c r="H3730" t="str">
        <f>VLOOKUP(Table8[[#This Row],[Mã khách hàng]],'Khách hàng'!A:D,4,0)</f>
        <v>Food Đức Việt</v>
      </c>
      <c r="I3730" t="str">
        <f>VLOOKUP(Table8[[#This Row],[Mã khách hàng]],'Khách hàng'!A:E,5,0)</f>
        <v>HN0040</v>
      </c>
    </row>
    <row r="3731" spans="1:9">
      <c r="A3731" s="11" t="s">
        <v>12640</v>
      </c>
      <c r="B3731" s="9" t="s">
        <v>5</v>
      </c>
      <c r="C3731" s="10" t="s">
        <v>12681</v>
      </c>
      <c r="D3731" s="21"/>
      <c r="E3731" s="31" t="s">
        <v>11197</v>
      </c>
      <c r="F3731" s="22" t="str">
        <f>VLOOKUP(Table8[[#This Row],[Mã khách hàng]],code_khach_hang[],2,0)</f>
        <v>CHI NHÁNH QUẢNG NINH - CÔNG TY CỔ PHẦN DỊCH VỤ THƯƠNG MẠI TỔNG HỢP WINCOMMERCE</v>
      </c>
      <c r="G3731" s="10" t="str">
        <f>VLOOKUP(Table8[[#This Row],[Mã khách hàng]],code_khach_hang[],3,0)</f>
        <v>Miền Bắc đặc biệt 3</v>
      </c>
      <c r="H3731" t="str">
        <f>VLOOKUP(Table8[[#This Row],[Mã khách hàng]],'Khách hàng'!A:D,4,0)</f>
        <v>Food Đức Việt</v>
      </c>
      <c r="I3731" t="str">
        <f>VLOOKUP(Table8[[#This Row],[Mã khách hàng]],'Khách hàng'!A:E,5,0)</f>
        <v>HN0040</v>
      </c>
    </row>
    <row r="3732" spans="1:9">
      <c r="A3732" s="14" t="s">
        <v>12641</v>
      </c>
      <c r="B3732" s="9" t="s">
        <v>5</v>
      </c>
      <c r="C3732" s="16" t="s">
        <v>12682</v>
      </c>
      <c r="D3732" s="21"/>
      <c r="E3732" s="32" t="s">
        <v>11193</v>
      </c>
      <c r="F3732" s="22" t="str">
        <f>VLOOKUP(Table8[[#This Row],[Mã khách hàng]],code_khach_hang[],2,0)</f>
        <v>CHI NHÁNH BẮC NINH - CÔNG TY CỔ PHẦN DỊCH VỤ THƯƠNG MẠI TỔNG HỢP WINCOMMERCE</v>
      </c>
      <c r="G3732" s="16" t="str">
        <f>VLOOKUP(Table8[[#This Row],[Mã khách hàng]],code_khach_hang[],3,0)</f>
        <v>Miền Bắc đặc biệt 2</v>
      </c>
      <c r="H3732" t="str">
        <f>VLOOKUP(Table8[[#This Row],[Mã khách hàng]],'Khách hàng'!A:D,4,0)</f>
        <v>Food Đức Việt</v>
      </c>
      <c r="I3732" t="str">
        <f>VLOOKUP(Table8[[#This Row],[Mã khách hàng]],'Khách hàng'!A:E,5,0)</f>
        <v>HN0040</v>
      </c>
    </row>
    <row r="3733" spans="1:9">
      <c r="A3733" s="14" t="s">
        <v>12642</v>
      </c>
      <c r="B3733" s="9" t="s">
        <v>5</v>
      </c>
      <c r="C3733" s="16" t="s">
        <v>12683</v>
      </c>
      <c r="D3733" s="21"/>
      <c r="E3733" s="32" t="s">
        <v>11211</v>
      </c>
      <c r="F3733" s="22" t="str">
        <f>VLOOKUP(Table8[[#This Row],[Mã khách hàng]],code_khach_hang[],2,0)</f>
        <v>CHI NHÁNH NGHỆ AN - CÔNG TY CỔ PHẦN DỊCH VỤ THƯƠNG MẠI TỔNG HỢP WINCOMMERCE</v>
      </c>
      <c r="G3733" s="16" t="str">
        <f>VLOOKUP(Table8[[#This Row],[Mã khách hàng]],code_khach_hang[],3,0)</f>
        <v>Miền Trung đặc biệt 1</v>
      </c>
      <c r="H3733" t="str">
        <f>VLOOKUP(Table8[[#This Row],[Mã khách hàng]],'Khách hàng'!A:D,4,0)</f>
        <v>Food Đức Việt</v>
      </c>
      <c r="I3733" t="str">
        <f>VLOOKUP(Table8[[#This Row],[Mã khách hàng]],'Khách hàng'!A:E,5,0)</f>
        <v>HN0040</v>
      </c>
    </row>
    <row r="3734" spans="1:9">
      <c r="A3734" s="14" t="s">
        <v>12643</v>
      </c>
      <c r="B3734" s="9" t="s">
        <v>5</v>
      </c>
      <c r="C3734" s="16" t="s">
        <v>12684</v>
      </c>
      <c r="D3734" s="21"/>
      <c r="E3734" s="32" t="s">
        <v>11193</v>
      </c>
      <c r="F3734" s="22" t="str">
        <f>VLOOKUP(Table8[[#This Row],[Mã khách hàng]],code_khach_hang[],2,0)</f>
        <v>CHI NHÁNH BẮC NINH - CÔNG TY CỔ PHẦN DỊCH VỤ THƯƠNG MẠI TỔNG HỢP WINCOMMERCE</v>
      </c>
      <c r="G3734" s="16" t="str">
        <f>VLOOKUP(Table8[[#This Row],[Mã khách hàng]],code_khach_hang[],3,0)</f>
        <v>Miền Bắc đặc biệt 2</v>
      </c>
      <c r="H3734" t="str">
        <f>VLOOKUP(Table8[[#This Row],[Mã khách hàng]],'Khách hàng'!A:D,4,0)</f>
        <v>Food Đức Việt</v>
      </c>
      <c r="I3734" t="str">
        <f>VLOOKUP(Table8[[#This Row],[Mã khách hàng]],'Khách hàng'!A:E,5,0)</f>
        <v>HN0040</v>
      </c>
    </row>
    <row r="3735" spans="1:9">
      <c r="A3735" s="14" t="s">
        <v>12644</v>
      </c>
      <c r="B3735" s="9" t="s">
        <v>5</v>
      </c>
      <c r="C3735" s="16" t="s">
        <v>12685</v>
      </c>
      <c r="D3735" s="21"/>
      <c r="E3735" s="32" t="s">
        <v>11215</v>
      </c>
      <c r="F3735" s="22" t="str">
        <f>VLOOKUP(Table8[[#This Row],[Mã khách hàng]],code_khach_hang[],2,0)</f>
        <v>CHI NHÁNH HÀ NỘI - CÔNG TY CỔ PHẦN DỊCH VỤ THƯƠNG MẠI TỔNG HỢP WINCOMMERCE</v>
      </c>
      <c r="G3735" s="16" t="str">
        <f>VLOOKUP(Table8[[#This Row],[Mã khách hàng]],code_khach_hang[],3,0)</f>
        <v>Miền Bắc đặc biệt 1</v>
      </c>
      <c r="H3735" t="str">
        <f>VLOOKUP(Table8[[#This Row],[Mã khách hàng]],'Khách hàng'!A:D,4,0)</f>
        <v>Food Đức Việt</v>
      </c>
      <c r="I3735" t="str">
        <f>VLOOKUP(Table8[[#This Row],[Mã khách hàng]],'Khách hàng'!A:E,5,0)</f>
        <v>HN0040</v>
      </c>
    </row>
    <row r="3736" spans="1:9">
      <c r="A3736" s="14" t="s">
        <v>12645</v>
      </c>
      <c r="B3736" s="9" t="s">
        <v>5</v>
      </c>
      <c r="C3736" s="16" t="s">
        <v>12686</v>
      </c>
      <c r="D3736" s="21"/>
      <c r="E3736" s="32" t="s">
        <v>11197</v>
      </c>
      <c r="F3736" s="22" t="str">
        <f>VLOOKUP(Table8[[#This Row],[Mã khách hàng]],code_khach_hang[],2,0)</f>
        <v>CHI NHÁNH QUẢNG NINH - CÔNG TY CỔ PHẦN DỊCH VỤ THƯƠNG MẠI TỔNG HỢP WINCOMMERCE</v>
      </c>
      <c r="G3736" s="16" t="str">
        <f>VLOOKUP(Table8[[#This Row],[Mã khách hàng]],code_khach_hang[],3,0)</f>
        <v>Miền Bắc đặc biệt 3</v>
      </c>
      <c r="H3736" t="str">
        <f>VLOOKUP(Table8[[#This Row],[Mã khách hàng]],'Khách hàng'!A:D,4,0)</f>
        <v>Food Đức Việt</v>
      </c>
      <c r="I3736" t="str">
        <f>VLOOKUP(Table8[[#This Row],[Mã khách hàng]],'Khách hàng'!A:E,5,0)</f>
        <v>HN0040</v>
      </c>
    </row>
    <row r="3737" spans="1:9">
      <c r="A3737" s="14" t="s">
        <v>12646</v>
      </c>
      <c r="B3737" s="9" t="s">
        <v>5</v>
      </c>
      <c r="C3737" s="16" t="s">
        <v>12687</v>
      </c>
      <c r="D3737" s="21"/>
      <c r="E3737" s="32" t="s">
        <v>11206</v>
      </c>
      <c r="F3737" s="22" t="str">
        <f>VLOOKUP(Table8[[#This Row],[Mã khách hàng]],code_khach_hang[],2,0)</f>
        <v>CHI NHÁNH SƠN LA - CÔNG TY CỔ PHẦN DỊCH VỤ THƯƠNG MẠI TỔNG HỢP WINCOMMERCE</v>
      </c>
      <c r="G3737" s="16" t="str">
        <f>VLOOKUP(Table8[[#This Row],[Mã khách hàng]],code_khach_hang[],3,0)</f>
        <v>Miền Bắc đặc biệt 1</v>
      </c>
      <c r="H3737" t="str">
        <f>VLOOKUP(Table8[[#This Row],[Mã khách hàng]],'Khách hàng'!A:D,4,0)</f>
        <v>Food Đức Việt</v>
      </c>
      <c r="I3737" t="str">
        <f>VLOOKUP(Table8[[#This Row],[Mã khách hàng]],'Khách hàng'!A:E,5,0)</f>
        <v>HN0040</v>
      </c>
    </row>
    <row r="3738" spans="1:9">
      <c r="A3738" s="14" t="s">
        <v>12647</v>
      </c>
      <c r="B3738" s="9" t="s">
        <v>5</v>
      </c>
      <c r="C3738" s="16" t="s">
        <v>12688</v>
      </c>
      <c r="D3738" s="21"/>
      <c r="E3738" s="32" t="s">
        <v>11193</v>
      </c>
      <c r="F3738" s="22" t="str">
        <f>VLOOKUP(Table8[[#This Row],[Mã khách hàng]],code_khach_hang[],2,0)</f>
        <v>CHI NHÁNH BẮC NINH - CÔNG TY CỔ PHẦN DỊCH VỤ THƯƠNG MẠI TỔNG HỢP WINCOMMERCE</v>
      </c>
      <c r="G3738" s="16" t="str">
        <f>VLOOKUP(Table8[[#This Row],[Mã khách hàng]],code_khach_hang[],3,0)</f>
        <v>Miền Bắc đặc biệt 2</v>
      </c>
      <c r="H3738" t="str">
        <f>VLOOKUP(Table8[[#This Row],[Mã khách hàng]],'Khách hàng'!A:D,4,0)</f>
        <v>Food Đức Việt</v>
      </c>
      <c r="I3738" t="str">
        <f>VLOOKUP(Table8[[#This Row],[Mã khách hàng]],'Khách hàng'!A:E,5,0)</f>
        <v>HN0040</v>
      </c>
    </row>
    <row r="3739" spans="1:9">
      <c r="A3739" s="14" t="s">
        <v>12648</v>
      </c>
      <c r="B3739" s="9" t="s">
        <v>5</v>
      </c>
      <c r="C3739" s="16" t="s">
        <v>12689</v>
      </c>
      <c r="D3739" s="21"/>
      <c r="E3739" s="32" t="s">
        <v>11199</v>
      </c>
      <c r="F3739" s="22" t="str">
        <f>VLOOKUP(Table8[[#This Row],[Mã khách hàng]],code_khach_hang[],2,0)</f>
        <v>CHI NHÁNH PHÚ THỌ - CÔNG TY CỔ PHẦN DỊCH VỤ THƯƠNG MẠI TỔNG HỢP WINCOMMERCE</v>
      </c>
      <c r="G3739" s="16" t="str">
        <f>VLOOKUP(Table8[[#This Row],[Mã khách hàng]],code_khach_hang[],3,0)</f>
        <v>Miền Bắc đặc biệt 1</v>
      </c>
      <c r="H3739" t="str">
        <f>VLOOKUP(Table8[[#This Row],[Mã khách hàng]],'Khách hàng'!A:D,4,0)</f>
        <v>Food Đức Việt</v>
      </c>
      <c r="I3739" t="str">
        <f>VLOOKUP(Table8[[#This Row],[Mã khách hàng]],'Khách hàng'!A:E,5,0)</f>
        <v>HN0040</v>
      </c>
    </row>
    <row r="3740" spans="1:9">
      <c r="A3740" s="14" t="s">
        <v>12649</v>
      </c>
      <c r="B3740" s="9" t="s">
        <v>5</v>
      </c>
      <c r="C3740" s="16" t="s">
        <v>12690</v>
      </c>
      <c r="D3740" s="21"/>
      <c r="E3740" s="32" t="s">
        <v>11205</v>
      </c>
      <c r="F3740" s="22" t="str">
        <f>VLOOKUP(Table8[[#This Row],[Mã khách hàng]],code_khach_hang[],2,0)</f>
        <v>CHI NHÁNH HÀ TĨNH - CÔNG TY CỔ PHẦN DỊCH VỤ THƯƠNG MẠI TỔNG HỢP WINCOMMERCE</v>
      </c>
      <c r="G3740" s="16" t="str">
        <f>VLOOKUP(Table8[[#This Row],[Mã khách hàng]],code_khach_hang[],3,0)</f>
        <v>Miền Trung đặc biệt 1</v>
      </c>
      <c r="H3740" t="str">
        <f>VLOOKUP(Table8[[#This Row],[Mã khách hàng]],'Khách hàng'!A:D,4,0)</f>
        <v>Food Đức Việt</v>
      </c>
      <c r="I3740" t="str">
        <f>VLOOKUP(Table8[[#This Row],[Mã khách hàng]],'Khách hàng'!A:E,5,0)</f>
        <v>HN0040</v>
      </c>
    </row>
    <row r="3741" spans="1:9">
      <c r="A3741" s="14" t="s">
        <v>12650</v>
      </c>
      <c r="B3741" s="9" t="s">
        <v>5</v>
      </c>
      <c r="C3741" s="16" t="s">
        <v>12691</v>
      </c>
      <c r="D3741" s="21"/>
      <c r="E3741" s="32" t="s">
        <v>11215</v>
      </c>
      <c r="F3741" s="22" t="str">
        <f>VLOOKUP(Table8[[#This Row],[Mã khách hàng]],code_khach_hang[],2,0)</f>
        <v>CHI NHÁNH HÀ NỘI - CÔNG TY CỔ PHẦN DỊCH VỤ THƯƠNG MẠI TỔNG HỢP WINCOMMERCE</v>
      </c>
      <c r="G3741" s="16" t="str">
        <f>VLOOKUP(Table8[[#This Row],[Mã khách hàng]],code_khach_hang[],3,0)</f>
        <v>Miền Bắc đặc biệt 1</v>
      </c>
      <c r="H3741" t="str">
        <f>VLOOKUP(Table8[[#This Row],[Mã khách hàng]],'Khách hàng'!A:D,4,0)</f>
        <v>Food Đức Việt</v>
      </c>
      <c r="I3741" t="str">
        <f>VLOOKUP(Table8[[#This Row],[Mã khách hàng]],'Khách hàng'!A:E,5,0)</f>
        <v>HN0040</v>
      </c>
    </row>
    <row r="3742" spans="1:9">
      <c r="A3742" s="14" t="s">
        <v>12651</v>
      </c>
      <c r="B3742" s="9" t="s">
        <v>5</v>
      </c>
      <c r="C3742" s="16" t="s">
        <v>12692</v>
      </c>
      <c r="D3742" s="21"/>
      <c r="E3742" s="32" t="s">
        <v>11196</v>
      </c>
      <c r="F3742" s="22" t="str">
        <f>VLOOKUP(Table8[[#This Row],[Mã khách hàng]],code_khach_hang[],2,0)</f>
        <v>CHI NHÁNH NINH BÌNH - CÔNG TY CỔ PHẦN DỊCH VỤ THƯƠNG MẠI TỔNG HỢP WINCOMMERCE</v>
      </c>
      <c r="G3742" s="16" t="str">
        <f>VLOOKUP(Table8[[#This Row],[Mã khách hàng]],code_khach_hang[],3,0)</f>
        <v>Miền Bắc đặc biệt 3</v>
      </c>
      <c r="H3742" t="str">
        <f>VLOOKUP(Table8[[#This Row],[Mã khách hàng]],'Khách hàng'!A:D,4,0)</f>
        <v>Food Đức Việt</v>
      </c>
      <c r="I3742" t="str">
        <f>VLOOKUP(Table8[[#This Row],[Mã khách hàng]],'Khách hàng'!A:E,5,0)</f>
        <v>HN0040</v>
      </c>
    </row>
    <row r="3743" spans="1:9">
      <c r="A3743" s="14" t="s">
        <v>12652</v>
      </c>
      <c r="B3743" s="9" t="s">
        <v>5</v>
      </c>
      <c r="C3743" s="16" t="s">
        <v>12693</v>
      </c>
      <c r="D3743" s="21"/>
      <c r="E3743" s="32" t="s">
        <v>11211</v>
      </c>
      <c r="F3743" s="22" t="str">
        <f>VLOOKUP(Table8[[#This Row],[Mã khách hàng]],code_khach_hang[],2,0)</f>
        <v>CHI NHÁNH NGHỆ AN - CÔNG TY CỔ PHẦN DỊCH VỤ THƯƠNG MẠI TỔNG HỢP WINCOMMERCE</v>
      </c>
      <c r="G3743" s="16" t="str">
        <f>VLOOKUP(Table8[[#This Row],[Mã khách hàng]],code_khach_hang[],3,0)</f>
        <v>Miền Trung đặc biệt 1</v>
      </c>
      <c r="H3743" t="str">
        <f>VLOOKUP(Table8[[#This Row],[Mã khách hàng]],'Khách hàng'!A:D,4,0)</f>
        <v>Food Đức Việt</v>
      </c>
      <c r="I3743" t="str">
        <f>VLOOKUP(Table8[[#This Row],[Mã khách hàng]],'Khách hàng'!A:E,5,0)</f>
        <v>HN0040</v>
      </c>
    </row>
    <row r="3744" spans="1:9">
      <c r="A3744" s="14" t="s">
        <v>12653</v>
      </c>
      <c r="B3744" s="9" t="s">
        <v>5</v>
      </c>
      <c r="C3744" s="16" t="s">
        <v>12694</v>
      </c>
      <c r="D3744" s="21"/>
      <c r="E3744" s="32" t="s">
        <v>11203</v>
      </c>
      <c r="F3744" s="22" t="str">
        <f>VLOOKUP(Table8[[#This Row],[Mã khách hàng]],code_khach_hang[],2,0)</f>
        <v>CHI NHÁNH THANH HÓA - CÔNG TY CỔ PHẦN DỊCH VỤ THƯƠNG MẠI TỔNG HỢP WINCOMMERCE</v>
      </c>
      <c r="G3744" s="16" t="str">
        <f>VLOOKUP(Table8[[#This Row],[Mã khách hàng]],code_khach_hang[],3,0)</f>
        <v>Miền Trung đặc biệt 1</v>
      </c>
      <c r="H3744" t="str">
        <f>VLOOKUP(Table8[[#This Row],[Mã khách hàng]],'Khách hàng'!A:D,4,0)</f>
        <v>Food Đức Việt</v>
      </c>
      <c r="I3744" t="str">
        <f>VLOOKUP(Table8[[#This Row],[Mã khách hàng]],'Khách hàng'!A:E,5,0)</f>
        <v>HN0040</v>
      </c>
    </row>
    <row r="3745" spans="1:9">
      <c r="A3745" s="14" t="s">
        <v>12654</v>
      </c>
      <c r="B3745" s="9" t="s">
        <v>5</v>
      </c>
      <c r="C3745" s="16" t="s">
        <v>12695</v>
      </c>
      <c r="D3745" s="21"/>
      <c r="E3745" s="32" t="s">
        <v>11193</v>
      </c>
      <c r="F3745" s="22" t="str">
        <f>VLOOKUP(Table8[[#This Row],[Mã khách hàng]],code_khach_hang[],2,0)</f>
        <v>CHI NHÁNH BẮC NINH - CÔNG TY CỔ PHẦN DỊCH VỤ THƯƠNG MẠI TỔNG HỢP WINCOMMERCE</v>
      </c>
      <c r="G3745" s="16" t="str">
        <f>VLOOKUP(Table8[[#This Row],[Mã khách hàng]],code_khach_hang[],3,0)</f>
        <v>Miền Bắc đặc biệt 2</v>
      </c>
      <c r="H3745" t="str">
        <f>VLOOKUP(Table8[[#This Row],[Mã khách hàng]],'Khách hàng'!A:D,4,0)</f>
        <v>Food Đức Việt</v>
      </c>
      <c r="I3745" t="str">
        <f>VLOOKUP(Table8[[#This Row],[Mã khách hàng]],'Khách hàng'!A:E,5,0)</f>
        <v>HN0040</v>
      </c>
    </row>
    <row r="3746" spans="1:9">
      <c r="A3746" s="14" t="s">
        <v>12655</v>
      </c>
      <c r="B3746" s="9" t="s">
        <v>5</v>
      </c>
      <c r="C3746" s="16" t="s">
        <v>12696</v>
      </c>
      <c r="D3746" s="21"/>
      <c r="E3746" s="32" t="s">
        <v>11199</v>
      </c>
      <c r="F3746" s="22" t="str">
        <f>VLOOKUP(Table8[[#This Row],[Mã khách hàng]],code_khach_hang[],2,0)</f>
        <v>CHI NHÁNH PHÚ THỌ - CÔNG TY CỔ PHẦN DỊCH VỤ THƯƠNG MẠI TỔNG HỢP WINCOMMERCE</v>
      </c>
      <c r="G3746" s="16" t="str">
        <f>VLOOKUP(Table8[[#This Row],[Mã khách hàng]],code_khach_hang[],3,0)</f>
        <v>Miền Bắc đặc biệt 1</v>
      </c>
      <c r="H3746" t="str">
        <f>VLOOKUP(Table8[[#This Row],[Mã khách hàng]],'Khách hàng'!A:D,4,0)</f>
        <v>Food Đức Việt</v>
      </c>
      <c r="I3746" t="str">
        <f>VLOOKUP(Table8[[#This Row],[Mã khách hàng]],'Khách hàng'!A:E,5,0)</f>
        <v>HN0040</v>
      </c>
    </row>
    <row r="3747" spans="1:9">
      <c r="A3747" s="14" t="s">
        <v>12656</v>
      </c>
      <c r="B3747" s="9" t="s">
        <v>5</v>
      </c>
      <c r="C3747" s="16" t="s">
        <v>12697</v>
      </c>
      <c r="D3747" s="21"/>
      <c r="E3747" s="32" t="s">
        <v>11196</v>
      </c>
      <c r="F3747" s="22" t="str">
        <f>VLOOKUP(Table8[[#This Row],[Mã khách hàng]],code_khach_hang[],2,0)</f>
        <v>CHI NHÁNH NINH BÌNH - CÔNG TY CỔ PHẦN DỊCH VỤ THƯƠNG MẠI TỔNG HỢP WINCOMMERCE</v>
      </c>
      <c r="G3747" s="16" t="str">
        <f>VLOOKUP(Table8[[#This Row],[Mã khách hàng]],code_khach_hang[],3,0)</f>
        <v>Miền Bắc đặc biệt 3</v>
      </c>
      <c r="H3747" t="str">
        <f>VLOOKUP(Table8[[#This Row],[Mã khách hàng]],'Khách hàng'!A:D,4,0)</f>
        <v>Food Đức Việt</v>
      </c>
      <c r="I3747" t="str">
        <f>VLOOKUP(Table8[[#This Row],[Mã khách hàng]],'Khách hàng'!A:E,5,0)</f>
        <v>HN0040</v>
      </c>
    </row>
    <row r="3748" spans="1:9">
      <c r="A3748" s="14" t="s">
        <v>12657</v>
      </c>
      <c r="B3748" s="9" t="s">
        <v>5</v>
      </c>
      <c r="C3748" s="16" t="s">
        <v>12698</v>
      </c>
      <c r="D3748" s="21"/>
      <c r="E3748" s="32" t="s">
        <v>11198</v>
      </c>
      <c r="F3748" s="22" t="str">
        <f>VLOOKUP(Table8[[#This Row],[Mã khách hàng]],code_khach_hang[],2,0)</f>
        <v>CHI NHÁNH HẢI PHÒNG - CÔNG TY CỔ PHẦN DỊCH VỤ THƯƠNG MẠI TỔNG HỢP WINCOMMERCE</v>
      </c>
      <c r="G3748" s="16" t="str">
        <f>VLOOKUP(Table8[[#This Row],[Mã khách hàng]],code_khach_hang[],3,0)</f>
        <v>Miền Bắc đặc biệt 3</v>
      </c>
      <c r="H3748" t="str">
        <f>VLOOKUP(Table8[[#This Row],[Mã khách hàng]],'Khách hàng'!A:D,4,0)</f>
        <v>Food Đức Việt</v>
      </c>
      <c r="I3748" t="str">
        <f>VLOOKUP(Table8[[#This Row],[Mã khách hàng]],'Khách hàng'!A:E,5,0)</f>
        <v>HN0040</v>
      </c>
    </row>
    <row r="3749" spans="1:9">
      <c r="A3749" s="14" t="s">
        <v>12658</v>
      </c>
      <c r="B3749" s="9" t="s">
        <v>5</v>
      </c>
      <c r="C3749" s="16" t="s">
        <v>12699</v>
      </c>
      <c r="D3749" s="21"/>
      <c r="E3749" s="32" t="s">
        <v>11211</v>
      </c>
      <c r="F3749" s="22" t="str">
        <f>VLOOKUP(Table8[[#This Row],[Mã khách hàng]],code_khach_hang[],2,0)</f>
        <v>CHI NHÁNH NGHỆ AN - CÔNG TY CỔ PHẦN DỊCH VỤ THƯƠNG MẠI TỔNG HỢP WINCOMMERCE</v>
      </c>
      <c r="G3749" s="16" t="str">
        <f>VLOOKUP(Table8[[#This Row],[Mã khách hàng]],code_khach_hang[],3,0)</f>
        <v>Miền Trung đặc biệt 1</v>
      </c>
      <c r="H3749" t="str">
        <f>VLOOKUP(Table8[[#This Row],[Mã khách hàng]],'Khách hàng'!A:D,4,0)</f>
        <v>Food Đức Việt</v>
      </c>
      <c r="I3749" t="str">
        <f>VLOOKUP(Table8[[#This Row],[Mã khách hàng]],'Khách hàng'!A:E,5,0)</f>
        <v>HN0040</v>
      </c>
    </row>
    <row r="3750" spans="1:9">
      <c r="A3750" s="14" t="s">
        <v>12659</v>
      </c>
      <c r="B3750" s="9" t="s">
        <v>5</v>
      </c>
      <c r="C3750" s="16" t="s">
        <v>12700</v>
      </c>
      <c r="D3750" s="21"/>
      <c r="E3750" s="32" t="s">
        <v>11196</v>
      </c>
      <c r="F3750" s="22" t="str">
        <f>VLOOKUP(Table8[[#This Row],[Mã khách hàng]],code_khach_hang[],2,0)</f>
        <v>CHI NHÁNH NINH BÌNH - CÔNG TY CỔ PHẦN DỊCH VỤ THƯƠNG MẠI TỔNG HỢP WINCOMMERCE</v>
      </c>
      <c r="G3750" s="16" t="str">
        <f>VLOOKUP(Table8[[#This Row],[Mã khách hàng]],code_khach_hang[],3,0)</f>
        <v>Miền Bắc đặc biệt 3</v>
      </c>
      <c r="H3750" t="str">
        <f>VLOOKUP(Table8[[#This Row],[Mã khách hàng]],'Khách hàng'!A:D,4,0)</f>
        <v>Food Đức Việt</v>
      </c>
      <c r="I3750" t="str">
        <f>VLOOKUP(Table8[[#This Row],[Mã khách hàng]],'Khách hàng'!A:E,5,0)</f>
        <v>HN0040</v>
      </c>
    </row>
    <row r="3751" spans="1:9">
      <c r="A3751" s="14" t="s">
        <v>12660</v>
      </c>
      <c r="B3751" s="9" t="s">
        <v>5</v>
      </c>
      <c r="C3751" s="16" t="s">
        <v>12701</v>
      </c>
      <c r="D3751" s="21"/>
      <c r="E3751" s="32" t="s">
        <v>11203</v>
      </c>
      <c r="F3751" s="22" t="str">
        <f>VLOOKUP(Table8[[#This Row],[Mã khách hàng]],code_khach_hang[],2,0)</f>
        <v>CHI NHÁNH THANH HÓA - CÔNG TY CỔ PHẦN DỊCH VỤ THƯƠNG MẠI TỔNG HỢP WINCOMMERCE</v>
      </c>
      <c r="G3751" s="16" t="str">
        <f>VLOOKUP(Table8[[#This Row],[Mã khách hàng]],code_khach_hang[],3,0)</f>
        <v>Miền Trung đặc biệt 1</v>
      </c>
      <c r="H3751" t="str">
        <f>VLOOKUP(Table8[[#This Row],[Mã khách hàng]],'Khách hàng'!A:D,4,0)</f>
        <v>Food Đức Việt</v>
      </c>
      <c r="I3751" t="str">
        <f>VLOOKUP(Table8[[#This Row],[Mã khách hàng]],'Khách hàng'!A:E,5,0)</f>
        <v>HN0040</v>
      </c>
    </row>
    <row r="3752" spans="1:9">
      <c r="A3752" s="14" t="s">
        <v>12661</v>
      </c>
      <c r="B3752" s="9" t="s">
        <v>5</v>
      </c>
      <c r="C3752" s="16" t="s">
        <v>12702</v>
      </c>
      <c r="D3752" s="21"/>
      <c r="E3752" s="32" t="s">
        <v>11197</v>
      </c>
      <c r="F3752" s="22" t="str">
        <f>VLOOKUP(Table8[[#This Row],[Mã khách hàng]],code_khach_hang[],2,0)</f>
        <v>CHI NHÁNH QUẢNG NINH - CÔNG TY CỔ PHẦN DỊCH VỤ THƯƠNG MẠI TỔNG HỢP WINCOMMERCE</v>
      </c>
      <c r="G3752" s="16" t="str">
        <f>VLOOKUP(Table8[[#This Row],[Mã khách hàng]],code_khach_hang[],3,0)</f>
        <v>Miền Bắc đặc biệt 3</v>
      </c>
      <c r="H3752" t="str">
        <f>VLOOKUP(Table8[[#This Row],[Mã khách hàng]],'Khách hàng'!A:D,4,0)</f>
        <v>Food Đức Việt</v>
      </c>
      <c r="I3752" t="str">
        <f>VLOOKUP(Table8[[#This Row],[Mã khách hàng]],'Khách hàng'!A:E,5,0)</f>
        <v>HN0040</v>
      </c>
    </row>
    <row r="3753" spans="1:9">
      <c r="A3753" s="14" t="s">
        <v>12662</v>
      </c>
      <c r="B3753" s="9" t="s">
        <v>5</v>
      </c>
      <c r="C3753" s="16" t="s">
        <v>12703</v>
      </c>
      <c r="D3753" s="21"/>
      <c r="E3753" s="32" t="s">
        <v>11216</v>
      </c>
      <c r="F3753" s="22" t="str">
        <f>VLOOKUP(Table8[[#This Row],[Mã khách hàng]],code_khach_hang[],2,0)</f>
        <v>CHI NHÁNH HƯNG YÊN - CÔNG TY CỔ PHẦN DỊCH VỤ THƯƠNG MẠI TỔNG HỢP WINCOMMERCE</v>
      </c>
      <c r="G3753" s="16" t="str">
        <f>VLOOKUP(Table8[[#This Row],[Mã khách hàng]],code_khach_hang[],3,0)</f>
        <v>Miền Bắc đặc biệt 1</v>
      </c>
      <c r="H3753" t="str">
        <f>VLOOKUP(Table8[[#This Row],[Mã khách hàng]],'Khách hàng'!A:D,4,0)</f>
        <v>Food Đức Việt</v>
      </c>
      <c r="I3753" t="str">
        <f>VLOOKUP(Table8[[#This Row],[Mã khách hàng]],'Khách hàng'!A:E,5,0)</f>
        <v>HN0040</v>
      </c>
    </row>
    <row r="3754" spans="1:9">
      <c r="A3754" s="14" t="s">
        <v>12663</v>
      </c>
      <c r="B3754" s="9" t="s">
        <v>5</v>
      </c>
      <c r="C3754" s="16" t="s">
        <v>12704</v>
      </c>
      <c r="D3754" s="21"/>
      <c r="E3754" s="32" t="s">
        <v>11199</v>
      </c>
      <c r="F3754" s="22" t="str">
        <f>VLOOKUP(Table8[[#This Row],[Mã khách hàng]],code_khach_hang[],2,0)</f>
        <v>CHI NHÁNH PHÚ THỌ - CÔNG TY CỔ PHẦN DỊCH VỤ THƯƠNG MẠI TỔNG HỢP WINCOMMERCE</v>
      </c>
      <c r="G3754" s="16" t="str">
        <f>VLOOKUP(Table8[[#This Row],[Mã khách hàng]],code_khach_hang[],3,0)</f>
        <v>Miền Bắc đặc biệt 1</v>
      </c>
      <c r="H3754" t="str">
        <f>VLOOKUP(Table8[[#This Row],[Mã khách hàng]],'Khách hàng'!A:D,4,0)</f>
        <v>Food Đức Việt</v>
      </c>
      <c r="I3754" t="str">
        <f>VLOOKUP(Table8[[#This Row],[Mã khách hàng]],'Khách hàng'!A:E,5,0)</f>
        <v>HN0040</v>
      </c>
    </row>
    <row r="3755" spans="1:9">
      <c r="A3755" s="14" t="s">
        <v>12664</v>
      </c>
      <c r="B3755" s="9" t="s">
        <v>5</v>
      </c>
      <c r="C3755" s="16" t="s">
        <v>12705</v>
      </c>
      <c r="D3755" s="21"/>
      <c r="E3755" s="32" t="s">
        <v>11198</v>
      </c>
      <c r="F3755" s="22" t="str">
        <f>VLOOKUP(Table8[[#This Row],[Mã khách hàng]],code_khach_hang[],2,0)</f>
        <v>CHI NHÁNH HẢI PHÒNG - CÔNG TY CỔ PHẦN DỊCH VỤ THƯƠNG MẠI TỔNG HỢP WINCOMMERCE</v>
      </c>
      <c r="G3755" s="16" t="str">
        <f>VLOOKUP(Table8[[#This Row],[Mã khách hàng]],code_khach_hang[],3,0)</f>
        <v>Miền Bắc đặc biệt 3</v>
      </c>
      <c r="H3755" t="str">
        <f>VLOOKUP(Table8[[#This Row],[Mã khách hàng]],'Khách hàng'!A:D,4,0)</f>
        <v>Food Đức Việt</v>
      </c>
      <c r="I3755" t="str">
        <f>VLOOKUP(Table8[[#This Row],[Mã khách hàng]],'Khách hàng'!A:E,5,0)</f>
        <v>HN0040</v>
      </c>
    </row>
    <row r="3756" spans="1:9">
      <c r="A3756" s="14" t="s">
        <v>12665</v>
      </c>
      <c r="B3756" s="9" t="s">
        <v>5</v>
      </c>
      <c r="C3756" s="16" t="s">
        <v>12706</v>
      </c>
      <c r="D3756" s="21"/>
      <c r="E3756" s="32" t="s">
        <v>11216</v>
      </c>
      <c r="F3756" s="22" t="str">
        <f>VLOOKUP(Table8[[#This Row],[Mã khách hàng]],code_khach_hang[],2,0)</f>
        <v>CHI NHÁNH HƯNG YÊN - CÔNG TY CỔ PHẦN DỊCH VỤ THƯƠNG MẠI TỔNG HỢP WINCOMMERCE</v>
      </c>
      <c r="G3756" s="16" t="str">
        <f>VLOOKUP(Table8[[#This Row],[Mã khách hàng]],code_khach_hang[],3,0)</f>
        <v>Miền Bắc đặc biệt 1</v>
      </c>
      <c r="H3756" t="str">
        <f>VLOOKUP(Table8[[#This Row],[Mã khách hàng]],'Khách hàng'!A:D,4,0)</f>
        <v>Food Đức Việt</v>
      </c>
      <c r="I3756" t="str">
        <f>VLOOKUP(Table8[[#This Row],[Mã khách hàng]],'Khách hàng'!A:E,5,0)</f>
        <v>HN0040</v>
      </c>
    </row>
    <row r="3757" spans="1:9">
      <c r="A3757" s="14" t="s">
        <v>12666</v>
      </c>
      <c r="B3757" s="9" t="s">
        <v>5</v>
      </c>
      <c r="C3757" s="16" t="s">
        <v>12707</v>
      </c>
      <c r="D3757" s="21"/>
      <c r="E3757" s="32" t="s">
        <v>11196</v>
      </c>
      <c r="F3757" s="22" t="str">
        <f>VLOOKUP(Table8[[#This Row],[Mã khách hàng]],code_khach_hang[],2,0)</f>
        <v>CHI NHÁNH NINH BÌNH - CÔNG TY CỔ PHẦN DỊCH VỤ THƯƠNG MẠI TỔNG HỢP WINCOMMERCE</v>
      </c>
      <c r="G3757" s="16" t="str">
        <f>VLOOKUP(Table8[[#This Row],[Mã khách hàng]],code_khach_hang[],3,0)</f>
        <v>Miền Bắc đặc biệt 3</v>
      </c>
      <c r="H3757" t="str">
        <f>VLOOKUP(Table8[[#This Row],[Mã khách hàng]],'Khách hàng'!A:D,4,0)</f>
        <v>Food Đức Việt</v>
      </c>
      <c r="I3757" t="str">
        <f>VLOOKUP(Table8[[#This Row],[Mã khách hàng]],'Khách hàng'!A:E,5,0)</f>
        <v>HN0040</v>
      </c>
    </row>
    <row r="3758" spans="1:9">
      <c r="A3758" s="14" t="s">
        <v>12667</v>
      </c>
      <c r="B3758" s="9" t="s">
        <v>5</v>
      </c>
      <c r="C3758" s="16" t="s">
        <v>12708</v>
      </c>
      <c r="D3758" s="21"/>
      <c r="E3758" s="32" t="s">
        <v>11218</v>
      </c>
      <c r="F3758" s="22" t="str">
        <f>VLOOKUP(Table8[[#This Row],[Mã khách hàng]],code_khach_hang[],2,0)</f>
        <v>CHI NHÁNH LÀO CAI - CÔNG TY CỔ PHẦN DỊCH VỤ THƯƠNG MẠI TỔNG HỢP WINCOMMERCE</v>
      </c>
      <c r="G3758" s="16" t="str">
        <f>VLOOKUP(Table8[[#This Row],[Mã khách hàng]],code_khach_hang[],3,0)</f>
        <v>Miền Bắc đặc biệt 1</v>
      </c>
      <c r="H3758" t="str">
        <f>VLOOKUP(Table8[[#This Row],[Mã khách hàng]],'Khách hàng'!A:D,4,0)</f>
        <v>Food Đức Việt</v>
      </c>
      <c r="I3758" t="str">
        <f>VLOOKUP(Table8[[#This Row],[Mã khách hàng]],'Khách hàng'!A:E,5,0)</f>
        <v>HN0040</v>
      </c>
    </row>
    <row r="3759" spans="1:9">
      <c r="A3759" s="14" t="s">
        <v>12668</v>
      </c>
      <c r="B3759" s="9" t="s">
        <v>5</v>
      </c>
      <c r="C3759" s="16" t="s">
        <v>12709</v>
      </c>
      <c r="D3759" s="21"/>
      <c r="E3759" s="32" t="s">
        <v>11206</v>
      </c>
      <c r="F3759" s="22" t="str">
        <f>VLOOKUP(Table8[[#This Row],[Mã khách hàng]],code_khach_hang[],2,0)</f>
        <v>CHI NHÁNH SƠN LA - CÔNG TY CỔ PHẦN DỊCH VỤ THƯƠNG MẠI TỔNG HỢP WINCOMMERCE</v>
      </c>
      <c r="G3759" s="16" t="str">
        <f>VLOOKUP(Table8[[#This Row],[Mã khách hàng]],code_khach_hang[],3,0)</f>
        <v>Miền Bắc đặc biệt 1</v>
      </c>
      <c r="H3759" t="str">
        <f>VLOOKUP(Table8[[#This Row],[Mã khách hàng]],'Khách hàng'!A:D,4,0)</f>
        <v>Food Đức Việt</v>
      </c>
      <c r="I3759" t="str">
        <f>VLOOKUP(Table8[[#This Row],[Mã khách hàng]],'Khách hàng'!A:E,5,0)</f>
        <v>HN0040</v>
      </c>
    </row>
    <row r="3760" spans="1:9">
      <c r="A3760" s="14" t="s">
        <v>12669</v>
      </c>
      <c r="B3760" s="9" t="s">
        <v>5</v>
      </c>
      <c r="C3760" s="16" t="s">
        <v>12710</v>
      </c>
      <c r="D3760" s="21"/>
      <c r="E3760" s="32" t="s">
        <v>11203</v>
      </c>
      <c r="F3760" s="22" t="str">
        <f>VLOOKUP(Table8[[#This Row],[Mã khách hàng]],code_khach_hang[],2,0)</f>
        <v>CHI NHÁNH THANH HÓA - CÔNG TY CỔ PHẦN DỊCH VỤ THƯƠNG MẠI TỔNG HỢP WINCOMMERCE</v>
      </c>
      <c r="G3760" s="16" t="str">
        <f>VLOOKUP(Table8[[#This Row],[Mã khách hàng]],code_khach_hang[],3,0)</f>
        <v>Miền Trung đặc biệt 1</v>
      </c>
      <c r="H3760" t="str">
        <f>VLOOKUP(Table8[[#This Row],[Mã khách hàng]],'Khách hàng'!A:D,4,0)</f>
        <v>Food Đức Việt</v>
      </c>
      <c r="I3760" t="str">
        <f>VLOOKUP(Table8[[#This Row],[Mã khách hàng]],'Khách hàng'!A:E,5,0)</f>
        <v>HN0040</v>
      </c>
    </row>
    <row r="3761" spans="1:9">
      <c r="A3761" s="14" t="s">
        <v>12670</v>
      </c>
      <c r="B3761" s="9" t="s">
        <v>5</v>
      </c>
      <c r="C3761" s="16" t="s">
        <v>12711</v>
      </c>
      <c r="D3761" s="21"/>
      <c r="E3761" s="32" t="s">
        <v>11204</v>
      </c>
      <c r="F3761" s="22" t="str">
        <f>VLOOKUP(Table8[[#This Row],[Mã khách hàng]],code_khach_hang[],2,0)</f>
        <v>CHI NHÁNH TUYÊN QUANG - CÔNG TY CỔ PHẦN DỊCH VỤ THƯƠNG MẠI TỔNG HỢP WINCOMMERCE</v>
      </c>
      <c r="G3761" s="16" t="str">
        <f>VLOOKUP(Table8[[#This Row],[Mã khách hàng]],code_khach_hang[],3,0)</f>
        <v>Miền Bắc đặc biệt 2</v>
      </c>
      <c r="H3761" t="str">
        <f>VLOOKUP(Table8[[#This Row],[Mã khách hàng]],'Khách hàng'!A:D,4,0)</f>
        <v>Food Đức Việt</v>
      </c>
      <c r="I3761" t="str">
        <f>VLOOKUP(Table8[[#This Row],[Mã khách hàng]],'Khách hàng'!A:E,5,0)</f>
        <v>HN0040</v>
      </c>
    </row>
    <row r="3762" spans="1:9">
      <c r="A3762" s="14" t="s">
        <v>12671</v>
      </c>
      <c r="B3762" s="9" t="s">
        <v>5</v>
      </c>
      <c r="C3762" s="16" t="s">
        <v>12712</v>
      </c>
      <c r="D3762" s="21"/>
      <c r="E3762" s="32" t="s">
        <v>11218</v>
      </c>
      <c r="F3762" s="22" t="str">
        <f>VLOOKUP(Table8[[#This Row],[Mã khách hàng]],code_khach_hang[],2,0)</f>
        <v>CHI NHÁNH LÀO CAI - CÔNG TY CỔ PHẦN DỊCH VỤ THƯƠNG MẠI TỔNG HỢP WINCOMMERCE</v>
      </c>
      <c r="G3762" s="16" t="str">
        <f>VLOOKUP(Table8[[#This Row],[Mã khách hàng]],code_khach_hang[],3,0)</f>
        <v>Miền Bắc đặc biệt 1</v>
      </c>
      <c r="H3762" t="str">
        <f>VLOOKUP(Table8[[#This Row],[Mã khách hàng]],'Khách hàng'!A:D,4,0)</f>
        <v>Food Đức Việt</v>
      </c>
      <c r="I3762" t="str">
        <f>VLOOKUP(Table8[[#This Row],[Mã khách hàng]],'Khách hàng'!A:E,5,0)</f>
        <v>HN0040</v>
      </c>
    </row>
    <row r="3763" spans="1:9">
      <c r="A3763" s="14" t="s">
        <v>12672</v>
      </c>
      <c r="B3763" s="9" t="s">
        <v>5</v>
      </c>
      <c r="C3763" s="16" t="s">
        <v>12713</v>
      </c>
      <c r="D3763" s="21"/>
      <c r="E3763" s="32" t="s">
        <v>11199</v>
      </c>
      <c r="F3763" s="22" t="str">
        <f>VLOOKUP(Table8[[#This Row],[Mã khách hàng]],code_khach_hang[],2,0)</f>
        <v>CHI NHÁNH PHÚ THỌ - CÔNG TY CỔ PHẦN DỊCH VỤ THƯƠNG MẠI TỔNG HỢP WINCOMMERCE</v>
      </c>
      <c r="G3763" s="16" t="str">
        <f>VLOOKUP(Table8[[#This Row],[Mã khách hàng]],code_khach_hang[],3,0)</f>
        <v>Miền Bắc đặc biệt 1</v>
      </c>
      <c r="H3763" t="str">
        <f>VLOOKUP(Table8[[#This Row],[Mã khách hàng]],'Khách hàng'!A:D,4,0)</f>
        <v>Food Đức Việt</v>
      </c>
      <c r="I3763" t="str">
        <f>VLOOKUP(Table8[[#This Row],[Mã khách hàng]],'Khách hàng'!A:E,5,0)</f>
        <v>HN0040</v>
      </c>
    </row>
    <row r="3764" spans="1:9">
      <c r="A3764" s="14" t="s">
        <v>12673</v>
      </c>
      <c r="B3764" s="9" t="s">
        <v>5</v>
      </c>
      <c r="C3764" s="16" t="s">
        <v>12714</v>
      </c>
      <c r="D3764" s="21"/>
      <c r="E3764" s="32" t="s">
        <v>11216</v>
      </c>
      <c r="F3764" s="22" t="str">
        <f>VLOOKUP(Table8[[#This Row],[Mã khách hàng]],code_khach_hang[],2,0)</f>
        <v>CHI NHÁNH HƯNG YÊN - CÔNG TY CỔ PHẦN DỊCH VỤ THƯƠNG MẠI TỔNG HỢP WINCOMMERCE</v>
      </c>
      <c r="G3764" s="16" t="str">
        <f>VLOOKUP(Table8[[#This Row],[Mã khách hàng]],code_khach_hang[],3,0)</f>
        <v>Miền Bắc đặc biệt 1</v>
      </c>
      <c r="H3764" t="str">
        <f>VLOOKUP(Table8[[#This Row],[Mã khách hàng]],'Khách hàng'!A:D,4,0)</f>
        <v>Food Đức Việt</v>
      </c>
      <c r="I3764" t="str">
        <f>VLOOKUP(Table8[[#This Row],[Mã khách hàng]],'Khách hàng'!A:E,5,0)</f>
        <v>HN0040</v>
      </c>
    </row>
    <row r="3765" spans="1:9">
      <c r="A3765" s="14" t="s">
        <v>12674</v>
      </c>
      <c r="B3765" s="9" t="s">
        <v>5</v>
      </c>
      <c r="C3765" s="16" t="s">
        <v>12715</v>
      </c>
      <c r="D3765" s="21"/>
      <c r="E3765" s="32" t="s">
        <v>11193</v>
      </c>
      <c r="F3765" s="22" t="str">
        <f>VLOOKUP(Table8[[#This Row],[Mã khách hàng]],code_khach_hang[],2,0)</f>
        <v>CHI NHÁNH BẮC NINH - CÔNG TY CỔ PHẦN DỊCH VỤ THƯƠNG MẠI TỔNG HỢP WINCOMMERCE</v>
      </c>
      <c r="G3765" s="16" t="str">
        <f>VLOOKUP(Table8[[#This Row],[Mã khách hàng]],code_khach_hang[],3,0)</f>
        <v>Miền Bắc đặc biệt 2</v>
      </c>
      <c r="H3765" t="str">
        <f>VLOOKUP(Table8[[#This Row],[Mã khách hàng]],'Khách hàng'!A:D,4,0)</f>
        <v>Food Đức Việt</v>
      </c>
      <c r="I3765" t="str">
        <f>VLOOKUP(Table8[[#This Row],[Mã khách hàng]],'Khách hàng'!A:E,5,0)</f>
        <v>HN0040</v>
      </c>
    </row>
    <row r="3766" spans="1:9">
      <c r="A3766" s="11" t="s">
        <v>12723</v>
      </c>
      <c r="B3766" s="9" t="s">
        <v>5</v>
      </c>
      <c r="C3766" s="10" t="s">
        <v>12738</v>
      </c>
      <c r="D3766" s="21"/>
      <c r="E3766" s="31" t="s">
        <v>11204</v>
      </c>
      <c r="F3766" s="22" t="str">
        <f>VLOOKUP(Table8[[#This Row],[Mã khách hàng]],code_khach_hang[],2,0)</f>
        <v>CHI NHÁNH TUYÊN QUANG - CÔNG TY CỔ PHẦN DỊCH VỤ THƯƠNG MẠI TỔNG HỢP WINCOMMERCE</v>
      </c>
      <c r="G3766" s="10" t="str">
        <f>VLOOKUP(Table8[[#This Row],[Mã khách hàng]],code_khach_hang[],3,0)</f>
        <v>Miền Bắc đặc biệt 2</v>
      </c>
      <c r="H3766" t="str">
        <f>VLOOKUP(Table8[[#This Row],[Mã khách hàng]],'Khách hàng'!A:D,4,0)</f>
        <v>Food Đức Việt</v>
      </c>
      <c r="I3766" t="str">
        <f>VLOOKUP(Table8[[#This Row],[Mã khách hàng]],'Khách hàng'!A:E,5,0)</f>
        <v>HN0040</v>
      </c>
    </row>
    <row r="3767" spans="1:9">
      <c r="A3767" s="14" t="s">
        <v>12724</v>
      </c>
      <c r="B3767" s="9" t="s">
        <v>5</v>
      </c>
      <c r="C3767" s="16" t="s">
        <v>12739</v>
      </c>
      <c r="D3767" s="21"/>
      <c r="E3767" s="32" t="s">
        <v>11204</v>
      </c>
      <c r="F3767" s="22" t="str">
        <f>VLOOKUP(Table8[[#This Row],[Mã khách hàng]],code_khach_hang[],2,0)</f>
        <v>CHI NHÁNH TUYÊN QUANG - CÔNG TY CỔ PHẦN DỊCH VỤ THƯƠNG MẠI TỔNG HỢP WINCOMMERCE</v>
      </c>
      <c r="G3767" s="16" t="str">
        <f>VLOOKUP(Table8[[#This Row],[Mã khách hàng]],code_khach_hang[],3,0)</f>
        <v>Miền Bắc đặc biệt 2</v>
      </c>
      <c r="H3767" t="str">
        <f>VLOOKUP(Table8[[#This Row],[Mã khách hàng]],'Khách hàng'!A:D,4,0)</f>
        <v>Food Đức Việt</v>
      </c>
      <c r="I3767" t="str">
        <f>VLOOKUP(Table8[[#This Row],[Mã khách hàng]],'Khách hàng'!A:E,5,0)</f>
        <v>HN0040</v>
      </c>
    </row>
    <row r="3768" spans="1:9">
      <c r="A3768" s="14" t="s">
        <v>12725</v>
      </c>
      <c r="B3768" s="9" t="s">
        <v>5</v>
      </c>
      <c r="C3768" s="16" t="s">
        <v>12740</v>
      </c>
      <c r="D3768" s="21"/>
      <c r="E3768" s="32" t="s">
        <v>11205</v>
      </c>
      <c r="F3768" s="22" t="str">
        <f>VLOOKUP(Table8[[#This Row],[Mã khách hàng]],code_khach_hang[],2,0)</f>
        <v>CHI NHÁNH HÀ TĨNH - CÔNG TY CỔ PHẦN DỊCH VỤ THƯƠNG MẠI TỔNG HỢP WINCOMMERCE</v>
      </c>
      <c r="G3768" s="16" t="str">
        <f>VLOOKUP(Table8[[#This Row],[Mã khách hàng]],code_khach_hang[],3,0)</f>
        <v>Miền Trung đặc biệt 1</v>
      </c>
      <c r="H3768" t="str">
        <f>VLOOKUP(Table8[[#This Row],[Mã khách hàng]],'Khách hàng'!A:D,4,0)</f>
        <v>Food Đức Việt</v>
      </c>
      <c r="I3768" t="str">
        <f>VLOOKUP(Table8[[#This Row],[Mã khách hàng]],'Khách hàng'!A:E,5,0)</f>
        <v>HN0040</v>
      </c>
    </row>
    <row r="3769" spans="1:9">
      <c r="A3769" s="14" t="s">
        <v>12726</v>
      </c>
      <c r="B3769" s="9" t="s">
        <v>5</v>
      </c>
      <c r="C3769" s="16" t="s">
        <v>12741</v>
      </c>
      <c r="D3769" s="21"/>
      <c r="E3769" s="32" t="s">
        <v>11216</v>
      </c>
      <c r="F3769" s="22" t="str">
        <f>VLOOKUP(Table8[[#This Row],[Mã khách hàng]],code_khach_hang[],2,0)</f>
        <v>CHI NHÁNH HƯNG YÊN - CÔNG TY CỔ PHẦN DỊCH VỤ THƯƠNG MẠI TỔNG HỢP WINCOMMERCE</v>
      </c>
      <c r="G3769" s="16" t="str">
        <f>VLOOKUP(Table8[[#This Row],[Mã khách hàng]],code_khach_hang[],3,0)</f>
        <v>Miền Bắc đặc biệt 1</v>
      </c>
      <c r="H3769" t="str">
        <f>VLOOKUP(Table8[[#This Row],[Mã khách hàng]],'Khách hàng'!A:D,4,0)</f>
        <v>Food Đức Việt</v>
      </c>
      <c r="I3769" t="str">
        <f>VLOOKUP(Table8[[#This Row],[Mã khách hàng]],'Khách hàng'!A:E,5,0)</f>
        <v>HN0040</v>
      </c>
    </row>
    <row r="3770" spans="1:9">
      <c r="A3770" s="14" t="s">
        <v>12727</v>
      </c>
      <c r="B3770" s="9" t="s">
        <v>5</v>
      </c>
      <c r="C3770" s="16" t="s">
        <v>12742</v>
      </c>
      <c r="D3770" s="21"/>
      <c r="E3770" s="32" t="s">
        <v>11193</v>
      </c>
      <c r="F3770" s="22" t="str">
        <f>VLOOKUP(Table8[[#This Row],[Mã khách hàng]],code_khach_hang[],2,0)</f>
        <v>CHI NHÁNH BẮC NINH - CÔNG TY CỔ PHẦN DỊCH VỤ THƯƠNG MẠI TỔNG HỢP WINCOMMERCE</v>
      </c>
      <c r="G3770" s="16" t="str">
        <f>VLOOKUP(Table8[[#This Row],[Mã khách hàng]],code_khach_hang[],3,0)</f>
        <v>Miền Bắc đặc biệt 2</v>
      </c>
      <c r="H3770" t="str">
        <f>VLOOKUP(Table8[[#This Row],[Mã khách hàng]],'Khách hàng'!A:D,4,0)</f>
        <v>Food Đức Việt</v>
      </c>
      <c r="I3770" t="str">
        <f>VLOOKUP(Table8[[#This Row],[Mã khách hàng]],'Khách hàng'!A:E,5,0)</f>
        <v>HN0040</v>
      </c>
    </row>
    <row r="3771" spans="1:9">
      <c r="A3771" s="14" t="s">
        <v>12728</v>
      </c>
      <c r="B3771" s="9" t="s">
        <v>5</v>
      </c>
      <c r="C3771" s="16" t="s">
        <v>12743</v>
      </c>
      <c r="D3771" s="21"/>
      <c r="E3771" s="32" t="s">
        <v>11203</v>
      </c>
      <c r="F3771" s="22" t="str">
        <f>VLOOKUP(Table8[[#This Row],[Mã khách hàng]],code_khach_hang[],2,0)</f>
        <v>CHI NHÁNH THANH HÓA - CÔNG TY CỔ PHẦN DỊCH VỤ THƯƠNG MẠI TỔNG HỢP WINCOMMERCE</v>
      </c>
      <c r="G3771" s="16" t="str">
        <f>VLOOKUP(Table8[[#This Row],[Mã khách hàng]],code_khach_hang[],3,0)</f>
        <v>Miền Trung đặc biệt 1</v>
      </c>
      <c r="H3771" t="str">
        <f>VLOOKUP(Table8[[#This Row],[Mã khách hàng]],'Khách hàng'!A:D,4,0)</f>
        <v>Food Đức Việt</v>
      </c>
      <c r="I3771" t="str">
        <f>VLOOKUP(Table8[[#This Row],[Mã khách hàng]],'Khách hàng'!A:E,5,0)</f>
        <v>HN0040</v>
      </c>
    </row>
    <row r="3772" spans="1:9">
      <c r="A3772" s="14" t="s">
        <v>12729</v>
      </c>
      <c r="B3772" s="9" t="s">
        <v>5</v>
      </c>
      <c r="C3772" s="16" t="s">
        <v>12744</v>
      </c>
      <c r="D3772" s="21"/>
      <c r="E3772" s="32" t="s">
        <v>11211</v>
      </c>
      <c r="F3772" s="22" t="str">
        <f>VLOOKUP(Table8[[#This Row],[Mã khách hàng]],code_khach_hang[],2,0)</f>
        <v>CHI NHÁNH NGHỆ AN - CÔNG TY CỔ PHẦN DỊCH VỤ THƯƠNG MẠI TỔNG HỢP WINCOMMERCE</v>
      </c>
      <c r="G3772" s="16" t="str">
        <f>VLOOKUP(Table8[[#This Row],[Mã khách hàng]],code_khach_hang[],3,0)</f>
        <v>Miền Trung đặc biệt 1</v>
      </c>
      <c r="H3772" t="str">
        <f>VLOOKUP(Table8[[#This Row],[Mã khách hàng]],'Khách hàng'!A:D,4,0)</f>
        <v>Food Đức Việt</v>
      </c>
      <c r="I3772" t="str">
        <f>VLOOKUP(Table8[[#This Row],[Mã khách hàng]],'Khách hàng'!A:E,5,0)</f>
        <v>HN0040</v>
      </c>
    </row>
    <row r="3773" spans="1:9">
      <c r="A3773" s="14" t="s">
        <v>12730</v>
      </c>
      <c r="B3773" s="9" t="s">
        <v>5</v>
      </c>
      <c r="C3773" s="16" t="s">
        <v>12745</v>
      </c>
      <c r="D3773" s="21"/>
      <c r="E3773" s="32" t="s">
        <v>11211</v>
      </c>
      <c r="F3773" s="22" t="str">
        <f>VLOOKUP(Table8[[#This Row],[Mã khách hàng]],code_khach_hang[],2,0)</f>
        <v>CHI NHÁNH NGHỆ AN - CÔNG TY CỔ PHẦN DỊCH VỤ THƯƠNG MẠI TỔNG HỢP WINCOMMERCE</v>
      </c>
      <c r="G3773" s="16" t="str">
        <f>VLOOKUP(Table8[[#This Row],[Mã khách hàng]],code_khach_hang[],3,0)</f>
        <v>Miền Trung đặc biệt 1</v>
      </c>
      <c r="H3773" t="str">
        <f>VLOOKUP(Table8[[#This Row],[Mã khách hàng]],'Khách hàng'!A:D,4,0)</f>
        <v>Food Đức Việt</v>
      </c>
      <c r="I3773" t="str">
        <f>VLOOKUP(Table8[[#This Row],[Mã khách hàng]],'Khách hàng'!A:E,5,0)</f>
        <v>HN0040</v>
      </c>
    </row>
    <row r="3774" spans="1:9">
      <c r="A3774" s="14" t="s">
        <v>12731</v>
      </c>
      <c r="B3774" s="9" t="s">
        <v>5</v>
      </c>
      <c r="C3774" s="16" t="s">
        <v>12746</v>
      </c>
      <c r="D3774" s="21"/>
      <c r="E3774" s="32" t="s">
        <v>11199</v>
      </c>
      <c r="F3774" s="22" t="str">
        <f>VLOOKUP(Table8[[#This Row],[Mã khách hàng]],code_khach_hang[],2,0)</f>
        <v>CHI NHÁNH PHÚ THỌ - CÔNG TY CỔ PHẦN DỊCH VỤ THƯƠNG MẠI TỔNG HỢP WINCOMMERCE</v>
      </c>
      <c r="G3774" s="16" t="str">
        <f>VLOOKUP(Table8[[#This Row],[Mã khách hàng]],code_khach_hang[],3,0)</f>
        <v>Miền Bắc đặc biệt 1</v>
      </c>
      <c r="H3774" t="str">
        <f>VLOOKUP(Table8[[#This Row],[Mã khách hàng]],'Khách hàng'!A:D,4,0)</f>
        <v>Food Đức Việt</v>
      </c>
      <c r="I3774" t="str">
        <f>VLOOKUP(Table8[[#This Row],[Mã khách hàng]],'Khách hàng'!A:E,5,0)</f>
        <v>HN0040</v>
      </c>
    </row>
    <row r="3775" spans="1:9">
      <c r="A3775" s="14" t="s">
        <v>12732</v>
      </c>
      <c r="B3775" s="9" t="s">
        <v>5</v>
      </c>
      <c r="C3775" s="16" t="s">
        <v>12747</v>
      </c>
      <c r="D3775" s="21"/>
      <c r="E3775" s="32" t="s">
        <v>11211</v>
      </c>
      <c r="F3775" s="22" t="str">
        <f>VLOOKUP(Table8[[#This Row],[Mã khách hàng]],code_khach_hang[],2,0)</f>
        <v>CHI NHÁNH NGHỆ AN - CÔNG TY CỔ PHẦN DỊCH VỤ THƯƠNG MẠI TỔNG HỢP WINCOMMERCE</v>
      </c>
      <c r="G3775" s="16" t="str">
        <f>VLOOKUP(Table8[[#This Row],[Mã khách hàng]],code_khach_hang[],3,0)</f>
        <v>Miền Trung đặc biệt 1</v>
      </c>
      <c r="H3775" t="str">
        <f>VLOOKUP(Table8[[#This Row],[Mã khách hàng]],'Khách hàng'!A:D,4,0)</f>
        <v>Food Đức Việt</v>
      </c>
      <c r="I3775" t="str">
        <f>VLOOKUP(Table8[[#This Row],[Mã khách hàng]],'Khách hàng'!A:E,5,0)</f>
        <v>HN0040</v>
      </c>
    </row>
    <row r="3776" spans="1:9">
      <c r="A3776" s="14" t="s">
        <v>12733</v>
      </c>
      <c r="B3776" s="9" t="s">
        <v>5</v>
      </c>
      <c r="C3776" s="16" t="s">
        <v>12748</v>
      </c>
      <c r="D3776" s="21"/>
      <c r="E3776" s="32" t="s">
        <v>11198</v>
      </c>
      <c r="F3776" s="22" t="str">
        <f>VLOOKUP(Table8[[#This Row],[Mã khách hàng]],code_khach_hang[],2,0)</f>
        <v>CHI NHÁNH HẢI PHÒNG - CÔNG TY CỔ PHẦN DỊCH VỤ THƯƠNG MẠI TỔNG HỢP WINCOMMERCE</v>
      </c>
      <c r="G3776" s="16" t="str">
        <f>VLOOKUP(Table8[[#This Row],[Mã khách hàng]],code_khach_hang[],3,0)</f>
        <v>Miền Bắc đặc biệt 3</v>
      </c>
      <c r="H3776" t="str">
        <f>VLOOKUP(Table8[[#This Row],[Mã khách hàng]],'Khách hàng'!A:D,4,0)</f>
        <v>Food Đức Việt</v>
      </c>
      <c r="I3776" t="str">
        <f>VLOOKUP(Table8[[#This Row],[Mã khách hàng]],'Khách hàng'!A:E,5,0)</f>
        <v>HN0040</v>
      </c>
    </row>
    <row r="3777" spans="1:9">
      <c r="A3777" s="14" t="s">
        <v>12734</v>
      </c>
      <c r="B3777" s="9" t="s">
        <v>5</v>
      </c>
      <c r="C3777" s="16" t="s">
        <v>12749</v>
      </c>
      <c r="D3777" s="21"/>
      <c r="E3777" s="32" t="s">
        <v>11198</v>
      </c>
      <c r="F3777" s="22" t="str">
        <f>VLOOKUP(Table8[[#This Row],[Mã khách hàng]],code_khach_hang[],2,0)</f>
        <v>CHI NHÁNH HẢI PHÒNG - CÔNG TY CỔ PHẦN DỊCH VỤ THƯƠNG MẠI TỔNG HỢP WINCOMMERCE</v>
      </c>
      <c r="G3777" s="16" t="str">
        <f>VLOOKUP(Table8[[#This Row],[Mã khách hàng]],code_khach_hang[],3,0)</f>
        <v>Miền Bắc đặc biệt 3</v>
      </c>
      <c r="H3777" t="str">
        <f>VLOOKUP(Table8[[#This Row],[Mã khách hàng]],'Khách hàng'!A:D,4,0)</f>
        <v>Food Đức Việt</v>
      </c>
      <c r="I3777" t="str">
        <f>VLOOKUP(Table8[[#This Row],[Mã khách hàng]],'Khách hàng'!A:E,5,0)</f>
        <v>HN0040</v>
      </c>
    </row>
    <row r="3778" spans="1:9">
      <c r="A3778" s="14" t="s">
        <v>12735</v>
      </c>
      <c r="B3778" s="9" t="s">
        <v>5</v>
      </c>
      <c r="C3778" s="16" t="s">
        <v>12750</v>
      </c>
      <c r="D3778" s="21"/>
      <c r="E3778" s="32" t="s">
        <v>11197</v>
      </c>
      <c r="F3778" s="22" t="str">
        <f>VLOOKUP(Table8[[#This Row],[Mã khách hàng]],code_khach_hang[],2,0)</f>
        <v>CHI NHÁNH QUẢNG NINH - CÔNG TY CỔ PHẦN DỊCH VỤ THƯƠNG MẠI TỔNG HỢP WINCOMMERCE</v>
      </c>
      <c r="G3778" s="16" t="str">
        <f>VLOOKUP(Table8[[#This Row],[Mã khách hàng]],code_khach_hang[],3,0)</f>
        <v>Miền Bắc đặc biệt 3</v>
      </c>
      <c r="H3778" t="str">
        <f>VLOOKUP(Table8[[#This Row],[Mã khách hàng]],'Khách hàng'!A:D,4,0)</f>
        <v>Food Đức Việt</v>
      </c>
      <c r="I3778" t="str">
        <f>VLOOKUP(Table8[[#This Row],[Mã khách hàng]],'Khách hàng'!A:E,5,0)</f>
        <v>HN0040</v>
      </c>
    </row>
    <row r="3779" spans="1:9">
      <c r="A3779" s="14" t="s">
        <v>12736</v>
      </c>
      <c r="B3779" s="9" t="s">
        <v>5</v>
      </c>
      <c r="C3779" s="16" t="s">
        <v>12751</v>
      </c>
      <c r="D3779" s="21"/>
      <c r="E3779" s="32" t="s">
        <v>11211</v>
      </c>
      <c r="F3779" s="22" t="str">
        <f>VLOOKUP(Table8[[#This Row],[Mã khách hàng]],code_khach_hang[],2,0)</f>
        <v>CHI NHÁNH NGHỆ AN - CÔNG TY CỔ PHẦN DỊCH VỤ THƯƠNG MẠI TỔNG HỢP WINCOMMERCE</v>
      </c>
      <c r="G3779" s="16" t="str">
        <f>VLOOKUP(Table8[[#This Row],[Mã khách hàng]],code_khach_hang[],3,0)</f>
        <v>Miền Trung đặc biệt 1</v>
      </c>
      <c r="H3779" t="str">
        <f>VLOOKUP(Table8[[#This Row],[Mã khách hàng]],'Khách hàng'!A:D,4,0)</f>
        <v>Food Đức Việt</v>
      </c>
      <c r="I3779" t="str">
        <f>VLOOKUP(Table8[[#This Row],[Mã khách hàng]],'Khách hàng'!A:E,5,0)</f>
        <v>HN0040</v>
      </c>
    </row>
    <row r="3780" spans="1:9">
      <c r="A3780" s="14" t="s">
        <v>12737</v>
      </c>
      <c r="B3780" s="9" t="s">
        <v>5</v>
      </c>
      <c r="C3780" s="16" t="s">
        <v>12752</v>
      </c>
      <c r="D3780" s="21"/>
      <c r="E3780" s="32" t="s">
        <v>11198</v>
      </c>
      <c r="F3780" s="22" t="str">
        <f>VLOOKUP(Table8[[#This Row],[Mã khách hàng]],code_khach_hang[],2,0)</f>
        <v>CHI NHÁNH HẢI PHÒNG - CÔNG TY CỔ PHẦN DỊCH VỤ THƯƠNG MẠI TỔNG HỢP WINCOMMERCE</v>
      </c>
      <c r="G3780" s="16" t="str">
        <f>VLOOKUP(Table8[[#This Row],[Mã khách hàng]],code_khach_hang[],3,0)</f>
        <v>Miền Bắc đặc biệt 3</v>
      </c>
      <c r="H3780" t="str">
        <f>VLOOKUP(Table8[[#This Row],[Mã khách hàng]],'Khách hàng'!A:D,4,0)</f>
        <v>Food Đức Việt</v>
      </c>
      <c r="I3780" t="str">
        <f>VLOOKUP(Table8[[#This Row],[Mã khách hàng]],'Khách hàng'!A:E,5,0)</f>
        <v>HN0040</v>
      </c>
    </row>
    <row r="3781" spans="1:9">
      <c r="A3781" s="11" t="s">
        <v>12754</v>
      </c>
      <c r="B3781" s="9" t="s">
        <v>5</v>
      </c>
      <c r="C3781" s="10" t="s">
        <v>12788</v>
      </c>
      <c r="D3781" s="21"/>
      <c r="E3781" s="31" t="s">
        <v>11221</v>
      </c>
      <c r="F3781" s="22" t="str">
        <f>VLOOKUP(Table8[[#This Row],[Mã khách hàng]],code_khach_hang[],2,0)</f>
        <v>CHI NHÁNH ĐIỆN BIÊN - CÔNG TY CỔ PHẦN DỊCH VỤ THƯƠNG MẠI TỔNG HỢP WINCOMMERCE</v>
      </c>
      <c r="G3781" s="10" t="str">
        <f>VLOOKUP(Table8[[#This Row],[Mã khách hàng]],code_khach_hang[],3,0)</f>
        <v>Miền Bắc đặc biệt 1</v>
      </c>
      <c r="H3781" t="str">
        <f>VLOOKUP(Table8[[#This Row],[Mã khách hàng]],'Khách hàng'!A:D,4,0)</f>
        <v>Food Đức Việt</v>
      </c>
      <c r="I3781" t="str">
        <f>VLOOKUP(Table8[[#This Row],[Mã khách hàng]],'Khách hàng'!A:E,5,0)</f>
        <v>HN0040</v>
      </c>
    </row>
    <row r="3782" spans="1:9">
      <c r="A3782" s="14" t="s">
        <v>12755</v>
      </c>
      <c r="B3782" s="9" t="s">
        <v>5</v>
      </c>
      <c r="C3782" s="16" t="s">
        <v>12789</v>
      </c>
      <c r="D3782" s="21"/>
      <c r="E3782" s="32" t="s">
        <v>11215</v>
      </c>
      <c r="F3782" s="22" t="str">
        <f>VLOOKUP(Table8[[#This Row],[Mã khách hàng]],code_khach_hang[],2,0)</f>
        <v>CHI NHÁNH HÀ NỘI - CÔNG TY CỔ PHẦN DỊCH VỤ THƯƠNG MẠI TỔNG HỢP WINCOMMERCE</v>
      </c>
      <c r="G3782" s="16" t="str">
        <f>VLOOKUP(Table8[[#This Row],[Mã khách hàng]],code_khach_hang[],3,0)</f>
        <v>Miền Bắc đặc biệt 1</v>
      </c>
      <c r="H3782" t="str">
        <f>VLOOKUP(Table8[[#This Row],[Mã khách hàng]],'Khách hàng'!A:D,4,0)</f>
        <v>Food Đức Việt</v>
      </c>
      <c r="I3782" t="str">
        <f>VLOOKUP(Table8[[#This Row],[Mã khách hàng]],'Khách hàng'!A:E,5,0)</f>
        <v>HN0040</v>
      </c>
    </row>
    <row r="3783" spans="1:9">
      <c r="A3783" s="14" t="s">
        <v>12756</v>
      </c>
      <c r="B3783" s="9" t="s">
        <v>5</v>
      </c>
      <c r="C3783" s="16" t="s">
        <v>12790</v>
      </c>
      <c r="D3783" s="21"/>
      <c r="E3783" s="32" t="s">
        <v>11207</v>
      </c>
      <c r="F3783" s="22" t="str">
        <f>VLOOKUP(Table8[[#This Row],[Mã khách hàng]],code_khach_hang[],2,0)</f>
        <v>CHI NHÁNH THÁI NGUYÊN - CÔNG TY CỔ PHẦN DỊCH VỤ THƯƠNG MẠI TỔNG HỢP WINCOMMERCE</v>
      </c>
      <c r="G3783" s="16" t="str">
        <f>VLOOKUP(Table8[[#This Row],[Mã khách hàng]],code_khach_hang[],3,0)</f>
        <v>Miền Bắc đặc biệt 2</v>
      </c>
      <c r="H3783" t="str">
        <f>VLOOKUP(Table8[[#This Row],[Mã khách hàng]],'Khách hàng'!A:D,4,0)</f>
        <v>Food Đức Việt</v>
      </c>
      <c r="I3783" t="str">
        <f>VLOOKUP(Table8[[#This Row],[Mã khách hàng]],'Khách hàng'!A:E,5,0)</f>
        <v>HN0040</v>
      </c>
    </row>
    <row r="3784" spans="1:9">
      <c r="A3784" s="14" t="s">
        <v>12757</v>
      </c>
      <c r="B3784" s="9" t="s">
        <v>5</v>
      </c>
      <c r="C3784" s="16" t="s">
        <v>12791</v>
      </c>
      <c r="D3784" s="21"/>
      <c r="E3784" s="32" t="s">
        <v>11215</v>
      </c>
      <c r="F3784" s="22" t="str">
        <f>VLOOKUP(Table8[[#This Row],[Mã khách hàng]],code_khach_hang[],2,0)</f>
        <v>CHI NHÁNH HÀ NỘI - CÔNG TY CỔ PHẦN DỊCH VỤ THƯƠNG MẠI TỔNG HỢP WINCOMMERCE</v>
      </c>
      <c r="G3784" s="16" t="str">
        <f>VLOOKUP(Table8[[#This Row],[Mã khách hàng]],code_khach_hang[],3,0)</f>
        <v>Miền Bắc đặc biệt 1</v>
      </c>
      <c r="H3784" t="str">
        <f>VLOOKUP(Table8[[#This Row],[Mã khách hàng]],'Khách hàng'!A:D,4,0)</f>
        <v>Food Đức Việt</v>
      </c>
      <c r="I3784" t="str">
        <f>VLOOKUP(Table8[[#This Row],[Mã khách hàng]],'Khách hàng'!A:E,5,0)</f>
        <v>HN0040</v>
      </c>
    </row>
    <row r="3785" spans="1:9">
      <c r="A3785" s="14" t="s">
        <v>12758</v>
      </c>
      <c r="B3785" s="9" t="s">
        <v>5</v>
      </c>
      <c r="C3785" s="16" t="s">
        <v>12792</v>
      </c>
      <c r="D3785" s="21"/>
      <c r="E3785" s="32" t="s">
        <v>11199</v>
      </c>
      <c r="F3785" s="22" t="str">
        <f>VLOOKUP(Table8[[#This Row],[Mã khách hàng]],code_khach_hang[],2,0)</f>
        <v>CHI NHÁNH PHÚ THỌ - CÔNG TY CỔ PHẦN DỊCH VỤ THƯƠNG MẠI TỔNG HỢP WINCOMMERCE</v>
      </c>
      <c r="G3785" s="16" t="str">
        <f>VLOOKUP(Table8[[#This Row],[Mã khách hàng]],code_khach_hang[],3,0)</f>
        <v>Miền Bắc đặc biệt 1</v>
      </c>
      <c r="H3785" t="str">
        <f>VLOOKUP(Table8[[#This Row],[Mã khách hàng]],'Khách hàng'!A:D,4,0)</f>
        <v>Food Đức Việt</v>
      </c>
      <c r="I3785" t="str">
        <f>VLOOKUP(Table8[[#This Row],[Mã khách hàng]],'Khách hàng'!A:E,5,0)</f>
        <v>HN0040</v>
      </c>
    </row>
    <row r="3786" spans="1:9">
      <c r="A3786" s="14" t="s">
        <v>12759</v>
      </c>
      <c r="B3786" s="9" t="s">
        <v>5</v>
      </c>
      <c r="C3786" s="16" t="s">
        <v>12793</v>
      </c>
      <c r="D3786" s="21"/>
      <c r="E3786" s="32" t="s">
        <v>11215</v>
      </c>
      <c r="F3786" s="22" t="str">
        <f>VLOOKUP(Table8[[#This Row],[Mã khách hàng]],code_khach_hang[],2,0)</f>
        <v>CHI NHÁNH HÀ NỘI - CÔNG TY CỔ PHẦN DỊCH VỤ THƯƠNG MẠI TỔNG HỢP WINCOMMERCE</v>
      </c>
      <c r="G3786" s="16" t="str">
        <f>VLOOKUP(Table8[[#This Row],[Mã khách hàng]],code_khach_hang[],3,0)</f>
        <v>Miền Bắc đặc biệt 1</v>
      </c>
      <c r="H3786" t="str">
        <f>VLOOKUP(Table8[[#This Row],[Mã khách hàng]],'Khách hàng'!A:D,4,0)</f>
        <v>Food Đức Việt</v>
      </c>
      <c r="I3786" t="str">
        <f>VLOOKUP(Table8[[#This Row],[Mã khách hàng]],'Khách hàng'!A:E,5,0)</f>
        <v>HN0040</v>
      </c>
    </row>
    <row r="3787" spans="1:9">
      <c r="A3787" s="14" t="s">
        <v>12760</v>
      </c>
      <c r="B3787" s="9" t="s">
        <v>5</v>
      </c>
      <c r="C3787" s="16" t="s">
        <v>12794</v>
      </c>
      <c r="D3787" s="21"/>
      <c r="E3787" s="32" t="s">
        <v>11216</v>
      </c>
      <c r="F3787" s="22" t="str">
        <f>VLOOKUP(Table8[[#This Row],[Mã khách hàng]],code_khach_hang[],2,0)</f>
        <v>CHI NHÁNH HƯNG YÊN - CÔNG TY CỔ PHẦN DỊCH VỤ THƯƠNG MẠI TỔNG HỢP WINCOMMERCE</v>
      </c>
      <c r="G3787" s="16" t="str">
        <f>VLOOKUP(Table8[[#This Row],[Mã khách hàng]],code_khach_hang[],3,0)</f>
        <v>Miền Bắc đặc biệt 1</v>
      </c>
      <c r="H3787" t="str">
        <f>VLOOKUP(Table8[[#This Row],[Mã khách hàng]],'Khách hàng'!A:D,4,0)</f>
        <v>Food Đức Việt</v>
      </c>
      <c r="I3787" t="str">
        <f>VLOOKUP(Table8[[#This Row],[Mã khách hàng]],'Khách hàng'!A:E,5,0)</f>
        <v>HN0040</v>
      </c>
    </row>
    <row r="3788" spans="1:9">
      <c r="A3788" s="14" t="s">
        <v>12761</v>
      </c>
      <c r="B3788" s="9" t="s">
        <v>5</v>
      </c>
      <c r="C3788" s="16" t="s">
        <v>12795</v>
      </c>
      <c r="D3788" s="21"/>
      <c r="E3788" s="32" t="s">
        <v>11198</v>
      </c>
      <c r="F3788" s="22" t="str">
        <f>VLOOKUP(Table8[[#This Row],[Mã khách hàng]],code_khach_hang[],2,0)</f>
        <v>CHI NHÁNH HẢI PHÒNG - CÔNG TY CỔ PHẦN DỊCH VỤ THƯƠNG MẠI TỔNG HỢP WINCOMMERCE</v>
      </c>
      <c r="G3788" s="16" t="str">
        <f>VLOOKUP(Table8[[#This Row],[Mã khách hàng]],code_khach_hang[],3,0)</f>
        <v>Miền Bắc đặc biệt 3</v>
      </c>
      <c r="H3788" t="str">
        <f>VLOOKUP(Table8[[#This Row],[Mã khách hàng]],'Khách hàng'!A:D,4,0)</f>
        <v>Food Đức Việt</v>
      </c>
      <c r="I3788" t="str">
        <f>VLOOKUP(Table8[[#This Row],[Mã khách hàng]],'Khách hàng'!A:E,5,0)</f>
        <v>HN0040</v>
      </c>
    </row>
    <row r="3789" spans="1:9">
      <c r="A3789" s="14" t="s">
        <v>12762</v>
      </c>
      <c r="B3789" s="9" t="s">
        <v>5</v>
      </c>
      <c r="C3789" s="16" t="s">
        <v>12796</v>
      </c>
      <c r="D3789" s="21"/>
      <c r="E3789" s="32" t="s">
        <v>11216</v>
      </c>
      <c r="F3789" s="22" t="str">
        <f>VLOOKUP(Table8[[#This Row],[Mã khách hàng]],code_khach_hang[],2,0)</f>
        <v>CHI NHÁNH HƯNG YÊN - CÔNG TY CỔ PHẦN DỊCH VỤ THƯƠNG MẠI TỔNG HỢP WINCOMMERCE</v>
      </c>
      <c r="G3789" s="16" t="str">
        <f>VLOOKUP(Table8[[#This Row],[Mã khách hàng]],code_khach_hang[],3,0)</f>
        <v>Miền Bắc đặc biệt 1</v>
      </c>
      <c r="H3789" t="str">
        <f>VLOOKUP(Table8[[#This Row],[Mã khách hàng]],'Khách hàng'!A:D,4,0)</f>
        <v>Food Đức Việt</v>
      </c>
      <c r="I3789" t="str">
        <f>VLOOKUP(Table8[[#This Row],[Mã khách hàng]],'Khách hàng'!A:E,5,0)</f>
        <v>HN0040</v>
      </c>
    </row>
    <row r="3790" spans="1:9">
      <c r="A3790" s="14" t="s">
        <v>12763</v>
      </c>
      <c r="B3790" s="9" t="s">
        <v>5</v>
      </c>
      <c r="C3790" s="16" t="s">
        <v>12797</v>
      </c>
      <c r="D3790" s="21"/>
      <c r="E3790" s="32" t="s">
        <v>11216</v>
      </c>
      <c r="F3790" s="22" t="str">
        <f>VLOOKUP(Table8[[#This Row],[Mã khách hàng]],code_khach_hang[],2,0)</f>
        <v>CHI NHÁNH HƯNG YÊN - CÔNG TY CỔ PHẦN DỊCH VỤ THƯƠNG MẠI TỔNG HỢP WINCOMMERCE</v>
      </c>
      <c r="G3790" s="16" t="str">
        <f>VLOOKUP(Table8[[#This Row],[Mã khách hàng]],code_khach_hang[],3,0)</f>
        <v>Miền Bắc đặc biệt 1</v>
      </c>
      <c r="H3790" t="str">
        <f>VLOOKUP(Table8[[#This Row],[Mã khách hàng]],'Khách hàng'!A:D,4,0)</f>
        <v>Food Đức Việt</v>
      </c>
      <c r="I3790" t="str">
        <f>VLOOKUP(Table8[[#This Row],[Mã khách hàng]],'Khách hàng'!A:E,5,0)</f>
        <v>HN0040</v>
      </c>
    </row>
    <row r="3791" spans="1:9">
      <c r="A3791" s="14" t="s">
        <v>12764</v>
      </c>
      <c r="B3791" s="9" t="s">
        <v>5</v>
      </c>
      <c r="C3791" s="16" t="s">
        <v>12798</v>
      </c>
      <c r="D3791" s="21"/>
      <c r="E3791" s="32" t="s">
        <v>11199</v>
      </c>
      <c r="F3791" s="22" t="str">
        <f>VLOOKUP(Table8[[#This Row],[Mã khách hàng]],code_khach_hang[],2,0)</f>
        <v>CHI NHÁNH PHÚ THỌ - CÔNG TY CỔ PHẦN DỊCH VỤ THƯƠNG MẠI TỔNG HỢP WINCOMMERCE</v>
      </c>
      <c r="G3791" s="16" t="str">
        <f>VLOOKUP(Table8[[#This Row],[Mã khách hàng]],code_khach_hang[],3,0)</f>
        <v>Miền Bắc đặc biệt 1</v>
      </c>
      <c r="H3791" t="str">
        <f>VLOOKUP(Table8[[#This Row],[Mã khách hàng]],'Khách hàng'!A:D,4,0)</f>
        <v>Food Đức Việt</v>
      </c>
      <c r="I3791" t="str">
        <f>VLOOKUP(Table8[[#This Row],[Mã khách hàng]],'Khách hàng'!A:E,5,0)</f>
        <v>HN0040</v>
      </c>
    </row>
    <row r="3792" spans="1:9">
      <c r="A3792" s="14" t="s">
        <v>12765</v>
      </c>
      <c r="B3792" s="9" t="s">
        <v>5</v>
      </c>
      <c r="C3792" s="16" t="s">
        <v>12799</v>
      </c>
      <c r="D3792" s="21"/>
      <c r="E3792" s="32" t="s">
        <v>11196</v>
      </c>
      <c r="F3792" s="22" t="str">
        <f>VLOOKUP(Table8[[#This Row],[Mã khách hàng]],code_khach_hang[],2,0)</f>
        <v>CHI NHÁNH NINH BÌNH - CÔNG TY CỔ PHẦN DỊCH VỤ THƯƠNG MẠI TỔNG HỢP WINCOMMERCE</v>
      </c>
      <c r="G3792" s="16" t="str">
        <f>VLOOKUP(Table8[[#This Row],[Mã khách hàng]],code_khach_hang[],3,0)</f>
        <v>Miền Bắc đặc biệt 3</v>
      </c>
      <c r="H3792" t="str">
        <f>VLOOKUP(Table8[[#This Row],[Mã khách hàng]],'Khách hàng'!A:D,4,0)</f>
        <v>Food Đức Việt</v>
      </c>
      <c r="I3792" t="str">
        <f>VLOOKUP(Table8[[#This Row],[Mã khách hàng]],'Khách hàng'!A:E,5,0)</f>
        <v>HN0040</v>
      </c>
    </row>
    <row r="3793" spans="1:9">
      <c r="A3793" s="14" t="s">
        <v>12766</v>
      </c>
      <c r="B3793" s="9" t="s">
        <v>5</v>
      </c>
      <c r="C3793" s="16" t="s">
        <v>12800</v>
      </c>
      <c r="D3793" s="21"/>
      <c r="E3793" s="32" t="s">
        <v>11199</v>
      </c>
      <c r="F3793" s="22" t="str">
        <f>VLOOKUP(Table8[[#This Row],[Mã khách hàng]],code_khach_hang[],2,0)</f>
        <v>CHI NHÁNH PHÚ THỌ - CÔNG TY CỔ PHẦN DỊCH VỤ THƯƠNG MẠI TỔNG HỢP WINCOMMERCE</v>
      </c>
      <c r="G3793" s="16" t="str">
        <f>VLOOKUP(Table8[[#This Row],[Mã khách hàng]],code_khach_hang[],3,0)</f>
        <v>Miền Bắc đặc biệt 1</v>
      </c>
      <c r="H3793" t="str">
        <f>VLOOKUP(Table8[[#This Row],[Mã khách hàng]],'Khách hàng'!A:D,4,0)</f>
        <v>Food Đức Việt</v>
      </c>
      <c r="I3793" t="str">
        <f>VLOOKUP(Table8[[#This Row],[Mã khách hàng]],'Khách hàng'!A:E,5,0)</f>
        <v>HN0040</v>
      </c>
    </row>
    <row r="3794" spans="1:9">
      <c r="A3794" s="14" t="s">
        <v>12767</v>
      </c>
      <c r="B3794" s="9" t="s">
        <v>5</v>
      </c>
      <c r="C3794" s="16" t="s">
        <v>12801</v>
      </c>
      <c r="D3794" s="21"/>
      <c r="E3794" s="32" t="s">
        <v>11215</v>
      </c>
      <c r="F3794" s="22" t="str">
        <f>VLOOKUP(Table8[[#This Row],[Mã khách hàng]],code_khach_hang[],2,0)</f>
        <v>CHI NHÁNH HÀ NỘI - CÔNG TY CỔ PHẦN DỊCH VỤ THƯƠNG MẠI TỔNG HỢP WINCOMMERCE</v>
      </c>
      <c r="G3794" s="16" t="str">
        <f>VLOOKUP(Table8[[#This Row],[Mã khách hàng]],code_khach_hang[],3,0)</f>
        <v>Miền Bắc đặc biệt 1</v>
      </c>
      <c r="H3794" t="str">
        <f>VLOOKUP(Table8[[#This Row],[Mã khách hàng]],'Khách hàng'!A:D,4,0)</f>
        <v>Food Đức Việt</v>
      </c>
      <c r="I3794" t="str">
        <f>VLOOKUP(Table8[[#This Row],[Mã khách hàng]],'Khách hàng'!A:E,5,0)</f>
        <v>HN0040</v>
      </c>
    </row>
    <row r="3795" spans="1:9">
      <c r="A3795" s="14" t="s">
        <v>12768</v>
      </c>
      <c r="B3795" s="9" t="s">
        <v>5</v>
      </c>
      <c r="C3795" s="16" t="s">
        <v>12802</v>
      </c>
      <c r="D3795" s="21"/>
      <c r="E3795" s="32" t="s">
        <v>11216</v>
      </c>
      <c r="F3795" s="22" t="str">
        <f>VLOOKUP(Table8[[#This Row],[Mã khách hàng]],code_khach_hang[],2,0)</f>
        <v>CHI NHÁNH HƯNG YÊN - CÔNG TY CỔ PHẦN DỊCH VỤ THƯƠNG MẠI TỔNG HỢP WINCOMMERCE</v>
      </c>
      <c r="G3795" s="16" t="str">
        <f>VLOOKUP(Table8[[#This Row],[Mã khách hàng]],code_khach_hang[],3,0)</f>
        <v>Miền Bắc đặc biệt 1</v>
      </c>
      <c r="H3795" t="str">
        <f>VLOOKUP(Table8[[#This Row],[Mã khách hàng]],'Khách hàng'!A:D,4,0)</f>
        <v>Food Đức Việt</v>
      </c>
      <c r="I3795" t="str">
        <f>VLOOKUP(Table8[[#This Row],[Mã khách hàng]],'Khách hàng'!A:E,5,0)</f>
        <v>HN0040</v>
      </c>
    </row>
    <row r="3796" spans="1:9">
      <c r="A3796" s="14" t="s">
        <v>12769</v>
      </c>
      <c r="B3796" s="9" t="s">
        <v>5</v>
      </c>
      <c r="C3796" s="16" t="s">
        <v>12803</v>
      </c>
      <c r="D3796" s="21"/>
      <c r="E3796" s="32" t="s">
        <v>11196</v>
      </c>
      <c r="F3796" s="22" t="str">
        <f>VLOOKUP(Table8[[#This Row],[Mã khách hàng]],code_khach_hang[],2,0)</f>
        <v>CHI NHÁNH NINH BÌNH - CÔNG TY CỔ PHẦN DỊCH VỤ THƯƠNG MẠI TỔNG HỢP WINCOMMERCE</v>
      </c>
      <c r="G3796" s="16" t="str">
        <f>VLOOKUP(Table8[[#This Row],[Mã khách hàng]],code_khach_hang[],3,0)</f>
        <v>Miền Bắc đặc biệt 3</v>
      </c>
      <c r="H3796" t="str">
        <f>VLOOKUP(Table8[[#This Row],[Mã khách hàng]],'Khách hàng'!A:D,4,0)</f>
        <v>Food Đức Việt</v>
      </c>
      <c r="I3796" t="str">
        <f>VLOOKUP(Table8[[#This Row],[Mã khách hàng]],'Khách hàng'!A:E,5,0)</f>
        <v>HN0040</v>
      </c>
    </row>
    <row r="3797" spans="1:9">
      <c r="A3797" s="14" t="s">
        <v>12770</v>
      </c>
      <c r="B3797" s="9" t="s">
        <v>5</v>
      </c>
      <c r="C3797" s="16" t="s">
        <v>12804</v>
      </c>
      <c r="D3797" s="21"/>
      <c r="E3797" s="32" t="s">
        <v>11196</v>
      </c>
      <c r="F3797" s="22" t="str">
        <f>VLOOKUP(Table8[[#This Row],[Mã khách hàng]],code_khach_hang[],2,0)</f>
        <v>CHI NHÁNH NINH BÌNH - CÔNG TY CỔ PHẦN DỊCH VỤ THƯƠNG MẠI TỔNG HỢP WINCOMMERCE</v>
      </c>
      <c r="G3797" s="16" t="str">
        <f>VLOOKUP(Table8[[#This Row],[Mã khách hàng]],code_khach_hang[],3,0)</f>
        <v>Miền Bắc đặc biệt 3</v>
      </c>
      <c r="H3797" t="str">
        <f>VLOOKUP(Table8[[#This Row],[Mã khách hàng]],'Khách hàng'!A:D,4,0)</f>
        <v>Food Đức Việt</v>
      </c>
      <c r="I3797" t="str">
        <f>VLOOKUP(Table8[[#This Row],[Mã khách hàng]],'Khách hàng'!A:E,5,0)</f>
        <v>HN0040</v>
      </c>
    </row>
    <row r="3798" spans="1:9">
      <c r="A3798" s="14" t="s">
        <v>12771</v>
      </c>
      <c r="B3798" s="9" t="s">
        <v>5</v>
      </c>
      <c r="C3798" s="16" t="s">
        <v>12805</v>
      </c>
      <c r="D3798" s="21"/>
      <c r="E3798" s="32" t="s">
        <v>11207</v>
      </c>
      <c r="F3798" s="22" t="str">
        <f>VLOOKUP(Table8[[#This Row],[Mã khách hàng]],code_khach_hang[],2,0)</f>
        <v>CHI NHÁNH THÁI NGUYÊN - CÔNG TY CỔ PHẦN DỊCH VỤ THƯƠNG MẠI TỔNG HỢP WINCOMMERCE</v>
      </c>
      <c r="G3798" s="16" t="str">
        <f>VLOOKUP(Table8[[#This Row],[Mã khách hàng]],code_khach_hang[],3,0)</f>
        <v>Miền Bắc đặc biệt 2</v>
      </c>
      <c r="H3798" t="str">
        <f>VLOOKUP(Table8[[#This Row],[Mã khách hàng]],'Khách hàng'!A:D,4,0)</f>
        <v>Food Đức Việt</v>
      </c>
      <c r="I3798" t="str">
        <f>VLOOKUP(Table8[[#This Row],[Mã khách hàng]],'Khách hàng'!A:E,5,0)</f>
        <v>HN0040</v>
      </c>
    </row>
    <row r="3799" spans="1:9">
      <c r="A3799" s="14" t="s">
        <v>12772</v>
      </c>
      <c r="B3799" s="9" t="s">
        <v>5</v>
      </c>
      <c r="C3799" s="16" t="s">
        <v>12806</v>
      </c>
      <c r="D3799" s="21"/>
      <c r="E3799" s="32" t="s">
        <v>11215</v>
      </c>
      <c r="F3799" s="22" t="str">
        <f>VLOOKUP(Table8[[#This Row],[Mã khách hàng]],code_khach_hang[],2,0)</f>
        <v>CHI NHÁNH HÀ NỘI - CÔNG TY CỔ PHẦN DỊCH VỤ THƯƠNG MẠI TỔNG HỢP WINCOMMERCE</v>
      </c>
      <c r="G3799" s="16" t="str">
        <f>VLOOKUP(Table8[[#This Row],[Mã khách hàng]],code_khach_hang[],3,0)</f>
        <v>Miền Bắc đặc biệt 1</v>
      </c>
      <c r="H3799" t="str">
        <f>VLOOKUP(Table8[[#This Row],[Mã khách hàng]],'Khách hàng'!A:D,4,0)</f>
        <v>Food Đức Việt</v>
      </c>
      <c r="I3799" t="str">
        <f>VLOOKUP(Table8[[#This Row],[Mã khách hàng]],'Khách hàng'!A:E,5,0)</f>
        <v>HN0040</v>
      </c>
    </row>
    <row r="3800" spans="1:9">
      <c r="A3800" s="14" t="s">
        <v>12773</v>
      </c>
      <c r="B3800" s="9" t="s">
        <v>5</v>
      </c>
      <c r="C3800" s="16" t="s">
        <v>12807</v>
      </c>
      <c r="D3800" s="21"/>
      <c r="E3800" s="32" t="s">
        <v>11199</v>
      </c>
      <c r="F3800" s="22" t="str">
        <f>VLOOKUP(Table8[[#This Row],[Mã khách hàng]],code_khach_hang[],2,0)</f>
        <v>CHI NHÁNH PHÚ THỌ - CÔNG TY CỔ PHẦN DỊCH VỤ THƯƠNG MẠI TỔNG HỢP WINCOMMERCE</v>
      </c>
      <c r="G3800" s="16" t="str">
        <f>VLOOKUP(Table8[[#This Row],[Mã khách hàng]],code_khach_hang[],3,0)</f>
        <v>Miền Bắc đặc biệt 1</v>
      </c>
      <c r="H3800" t="str">
        <f>VLOOKUP(Table8[[#This Row],[Mã khách hàng]],'Khách hàng'!A:D,4,0)</f>
        <v>Food Đức Việt</v>
      </c>
      <c r="I3800" t="str">
        <f>VLOOKUP(Table8[[#This Row],[Mã khách hàng]],'Khách hàng'!A:E,5,0)</f>
        <v>HN0040</v>
      </c>
    </row>
    <row r="3801" spans="1:9">
      <c r="A3801" s="14" t="s">
        <v>12774</v>
      </c>
      <c r="B3801" s="9" t="s">
        <v>5</v>
      </c>
      <c r="C3801" s="16" t="s">
        <v>12808</v>
      </c>
      <c r="D3801" s="21"/>
      <c r="E3801" s="32" t="s">
        <v>11196</v>
      </c>
      <c r="F3801" s="22" t="str">
        <f>VLOOKUP(Table8[[#This Row],[Mã khách hàng]],code_khach_hang[],2,0)</f>
        <v>CHI NHÁNH NINH BÌNH - CÔNG TY CỔ PHẦN DỊCH VỤ THƯƠNG MẠI TỔNG HỢP WINCOMMERCE</v>
      </c>
      <c r="G3801" s="16" t="str">
        <f>VLOOKUP(Table8[[#This Row],[Mã khách hàng]],code_khach_hang[],3,0)</f>
        <v>Miền Bắc đặc biệt 3</v>
      </c>
      <c r="H3801" t="str">
        <f>VLOOKUP(Table8[[#This Row],[Mã khách hàng]],'Khách hàng'!A:D,4,0)</f>
        <v>Food Đức Việt</v>
      </c>
      <c r="I3801" t="str">
        <f>VLOOKUP(Table8[[#This Row],[Mã khách hàng]],'Khách hàng'!A:E,5,0)</f>
        <v>HN0040</v>
      </c>
    </row>
    <row r="3802" spans="1:9">
      <c r="A3802" s="14" t="s">
        <v>12775</v>
      </c>
      <c r="B3802" s="9" t="s">
        <v>5</v>
      </c>
      <c r="C3802" s="16" t="s">
        <v>12809</v>
      </c>
      <c r="D3802" s="21"/>
      <c r="E3802" s="32" t="s">
        <v>11215</v>
      </c>
      <c r="F3802" s="22" t="str">
        <f>VLOOKUP(Table8[[#This Row],[Mã khách hàng]],code_khach_hang[],2,0)</f>
        <v>CHI NHÁNH HÀ NỘI - CÔNG TY CỔ PHẦN DỊCH VỤ THƯƠNG MẠI TỔNG HỢP WINCOMMERCE</v>
      </c>
      <c r="G3802" s="16" t="str">
        <f>VLOOKUP(Table8[[#This Row],[Mã khách hàng]],code_khach_hang[],3,0)</f>
        <v>Miền Bắc đặc biệt 1</v>
      </c>
      <c r="H3802" t="str">
        <f>VLOOKUP(Table8[[#This Row],[Mã khách hàng]],'Khách hàng'!A:D,4,0)</f>
        <v>Food Đức Việt</v>
      </c>
      <c r="I3802" t="str">
        <f>VLOOKUP(Table8[[#This Row],[Mã khách hàng]],'Khách hàng'!A:E,5,0)</f>
        <v>HN0040</v>
      </c>
    </row>
    <row r="3803" spans="1:9">
      <c r="A3803" s="14" t="s">
        <v>12776</v>
      </c>
      <c r="B3803" s="9" t="s">
        <v>5</v>
      </c>
      <c r="C3803" s="16" t="s">
        <v>12810</v>
      </c>
      <c r="D3803" s="21"/>
      <c r="E3803" s="32" t="s">
        <v>11199</v>
      </c>
      <c r="F3803" s="22" t="str">
        <f>VLOOKUP(Table8[[#This Row],[Mã khách hàng]],code_khach_hang[],2,0)</f>
        <v>CHI NHÁNH PHÚ THỌ - CÔNG TY CỔ PHẦN DỊCH VỤ THƯƠNG MẠI TỔNG HỢP WINCOMMERCE</v>
      </c>
      <c r="G3803" s="16" t="str">
        <f>VLOOKUP(Table8[[#This Row],[Mã khách hàng]],code_khach_hang[],3,0)</f>
        <v>Miền Bắc đặc biệt 1</v>
      </c>
      <c r="H3803" t="str">
        <f>VLOOKUP(Table8[[#This Row],[Mã khách hàng]],'Khách hàng'!A:D,4,0)</f>
        <v>Food Đức Việt</v>
      </c>
      <c r="I3803" t="str">
        <f>VLOOKUP(Table8[[#This Row],[Mã khách hàng]],'Khách hàng'!A:E,5,0)</f>
        <v>HN0040</v>
      </c>
    </row>
    <row r="3804" spans="1:9">
      <c r="A3804" s="14" t="s">
        <v>12777</v>
      </c>
      <c r="B3804" s="9" t="s">
        <v>5</v>
      </c>
      <c r="C3804" s="16" t="s">
        <v>12811</v>
      </c>
      <c r="D3804" s="21"/>
      <c r="E3804" s="32" t="s">
        <v>11193</v>
      </c>
      <c r="F3804" s="22" t="str">
        <f>VLOOKUP(Table8[[#This Row],[Mã khách hàng]],code_khach_hang[],2,0)</f>
        <v>CHI NHÁNH BẮC NINH - CÔNG TY CỔ PHẦN DỊCH VỤ THƯƠNG MẠI TỔNG HỢP WINCOMMERCE</v>
      </c>
      <c r="G3804" s="16" t="str">
        <f>VLOOKUP(Table8[[#This Row],[Mã khách hàng]],code_khach_hang[],3,0)</f>
        <v>Miền Bắc đặc biệt 2</v>
      </c>
      <c r="H3804" t="str">
        <f>VLOOKUP(Table8[[#This Row],[Mã khách hàng]],'Khách hàng'!A:D,4,0)</f>
        <v>Food Đức Việt</v>
      </c>
      <c r="I3804" t="str">
        <f>VLOOKUP(Table8[[#This Row],[Mã khách hàng]],'Khách hàng'!A:E,5,0)</f>
        <v>HN0040</v>
      </c>
    </row>
    <row r="3805" spans="1:9">
      <c r="A3805" s="14" t="s">
        <v>12778</v>
      </c>
      <c r="B3805" s="9" t="s">
        <v>5</v>
      </c>
      <c r="C3805" s="16" t="s">
        <v>12812</v>
      </c>
      <c r="D3805" s="21"/>
      <c r="E3805" s="32" t="s">
        <v>11215</v>
      </c>
      <c r="F3805" s="22" t="str">
        <f>VLOOKUP(Table8[[#This Row],[Mã khách hàng]],code_khach_hang[],2,0)</f>
        <v>CHI NHÁNH HÀ NỘI - CÔNG TY CỔ PHẦN DỊCH VỤ THƯƠNG MẠI TỔNG HỢP WINCOMMERCE</v>
      </c>
      <c r="G3805" s="16" t="str">
        <f>VLOOKUP(Table8[[#This Row],[Mã khách hàng]],code_khach_hang[],3,0)</f>
        <v>Miền Bắc đặc biệt 1</v>
      </c>
      <c r="H3805" t="str">
        <f>VLOOKUP(Table8[[#This Row],[Mã khách hàng]],'Khách hàng'!A:D,4,0)</f>
        <v>Food Đức Việt</v>
      </c>
      <c r="I3805" t="str">
        <f>VLOOKUP(Table8[[#This Row],[Mã khách hàng]],'Khách hàng'!A:E,5,0)</f>
        <v>HN0040</v>
      </c>
    </row>
    <row r="3806" spans="1:9">
      <c r="A3806" s="14" t="s">
        <v>12779</v>
      </c>
      <c r="B3806" s="9" t="s">
        <v>5</v>
      </c>
      <c r="C3806" s="16" t="s">
        <v>12813</v>
      </c>
      <c r="D3806" s="21"/>
      <c r="E3806" s="32" t="s">
        <v>11208</v>
      </c>
      <c r="F3806" s="22" t="str">
        <f>VLOOKUP(Table8[[#This Row],[Mã khách hàng]],code_khach_hang[],2,0)</f>
        <v>CHI NHÁNH LẠNG SƠN - CÔNG TY CỔ PHẦN DỊCH VỤ THƯƠNG MẠI TỔNG HỢP WINCOMMERCE</v>
      </c>
      <c r="G3806" s="16" t="str">
        <f>VLOOKUP(Table8[[#This Row],[Mã khách hàng]],code_khach_hang[],3,0)</f>
        <v>Miền Bắc đặc biệt 2</v>
      </c>
      <c r="H3806" t="str">
        <f>VLOOKUP(Table8[[#This Row],[Mã khách hàng]],'Khách hàng'!A:D,4,0)</f>
        <v>Food Đức Việt</v>
      </c>
      <c r="I3806" t="str">
        <f>VLOOKUP(Table8[[#This Row],[Mã khách hàng]],'Khách hàng'!A:E,5,0)</f>
        <v>HN0040</v>
      </c>
    </row>
    <row r="3807" spans="1:9">
      <c r="A3807" s="14" t="s">
        <v>12780</v>
      </c>
      <c r="B3807" s="9" t="s">
        <v>5</v>
      </c>
      <c r="C3807" s="16" t="s">
        <v>12814</v>
      </c>
      <c r="D3807" s="21"/>
      <c r="E3807" s="32" t="s">
        <v>11199</v>
      </c>
      <c r="F3807" s="22" t="str">
        <f>VLOOKUP(Table8[[#This Row],[Mã khách hàng]],code_khach_hang[],2,0)</f>
        <v>CHI NHÁNH PHÚ THỌ - CÔNG TY CỔ PHẦN DỊCH VỤ THƯƠNG MẠI TỔNG HỢP WINCOMMERCE</v>
      </c>
      <c r="G3807" s="16" t="str">
        <f>VLOOKUP(Table8[[#This Row],[Mã khách hàng]],code_khach_hang[],3,0)</f>
        <v>Miền Bắc đặc biệt 1</v>
      </c>
      <c r="H3807" t="str">
        <f>VLOOKUP(Table8[[#This Row],[Mã khách hàng]],'Khách hàng'!A:D,4,0)</f>
        <v>Food Đức Việt</v>
      </c>
      <c r="I3807" t="str">
        <f>VLOOKUP(Table8[[#This Row],[Mã khách hàng]],'Khách hàng'!A:E,5,0)</f>
        <v>HN0040</v>
      </c>
    </row>
    <row r="3808" spans="1:9">
      <c r="A3808" s="14" t="s">
        <v>12781</v>
      </c>
      <c r="B3808" s="9" t="s">
        <v>5</v>
      </c>
      <c r="C3808" s="16" t="s">
        <v>12815</v>
      </c>
      <c r="D3808" s="21"/>
      <c r="E3808" s="32" t="s">
        <v>11207</v>
      </c>
      <c r="F3808" s="22" t="str">
        <f>VLOOKUP(Table8[[#This Row],[Mã khách hàng]],code_khach_hang[],2,0)</f>
        <v>CHI NHÁNH THÁI NGUYÊN - CÔNG TY CỔ PHẦN DỊCH VỤ THƯƠNG MẠI TỔNG HỢP WINCOMMERCE</v>
      </c>
      <c r="G3808" s="16" t="str">
        <f>VLOOKUP(Table8[[#This Row],[Mã khách hàng]],code_khach_hang[],3,0)</f>
        <v>Miền Bắc đặc biệt 2</v>
      </c>
      <c r="H3808" t="str">
        <f>VLOOKUP(Table8[[#This Row],[Mã khách hàng]],'Khách hàng'!A:D,4,0)</f>
        <v>Food Đức Việt</v>
      </c>
      <c r="I3808" t="str">
        <f>VLOOKUP(Table8[[#This Row],[Mã khách hàng]],'Khách hàng'!A:E,5,0)</f>
        <v>HN0040</v>
      </c>
    </row>
    <row r="3809" spans="1:9">
      <c r="A3809" s="14" t="s">
        <v>12782</v>
      </c>
      <c r="B3809" s="9" t="s">
        <v>5</v>
      </c>
      <c r="C3809" s="16" t="s">
        <v>12816</v>
      </c>
      <c r="D3809" s="21"/>
      <c r="E3809" s="32" t="s">
        <v>11193</v>
      </c>
      <c r="F3809" s="22" t="str">
        <f>VLOOKUP(Table8[[#This Row],[Mã khách hàng]],code_khach_hang[],2,0)</f>
        <v>CHI NHÁNH BẮC NINH - CÔNG TY CỔ PHẦN DỊCH VỤ THƯƠNG MẠI TỔNG HỢP WINCOMMERCE</v>
      </c>
      <c r="G3809" s="16" t="str">
        <f>VLOOKUP(Table8[[#This Row],[Mã khách hàng]],code_khach_hang[],3,0)</f>
        <v>Miền Bắc đặc biệt 2</v>
      </c>
      <c r="H3809" t="str">
        <f>VLOOKUP(Table8[[#This Row],[Mã khách hàng]],'Khách hàng'!A:D,4,0)</f>
        <v>Food Đức Việt</v>
      </c>
      <c r="I3809" t="str">
        <f>VLOOKUP(Table8[[#This Row],[Mã khách hàng]],'Khách hàng'!A:E,5,0)</f>
        <v>HN0040</v>
      </c>
    </row>
    <row r="3810" spans="1:9">
      <c r="A3810" s="14" t="s">
        <v>12783</v>
      </c>
      <c r="B3810" s="9" t="s">
        <v>5</v>
      </c>
      <c r="C3810" s="16" t="s">
        <v>12817</v>
      </c>
      <c r="D3810" s="21"/>
      <c r="E3810" s="32" t="s">
        <v>11216</v>
      </c>
      <c r="F3810" s="22" t="str">
        <f>VLOOKUP(Table8[[#This Row],[Mã khách hàng]],code_khach_hang[],2,0)</f>
        <v>CHI NHÁNH HƯNG YÊN - CÔNG TY CỔ PHẦN DỊCH VỤ THƯƠNG MẠI TỔNG HỢP WINCOMMERCE</v>
      </c>
      <c r="G3810" s="16" t="str">
        <f>VLOOKUP(Table8[[#This Row],[Mã khách hàng]],code_khach_hang[],3,0)</f>
        <v>Miền Bắc đặc biệt 1</v>
      </c>
      <c r="H3810" t="str">
        <f>VLOOKUP(Table8[[#This Row],[Mã khách hàng]],'Khách hàng'!A:D,4,0)</f>
        <v>Food Đức Việt</v>
      </c>
      <c r="I3810" t="str">
        <f>VLOOKUP(Table8[[#This Row],[Mã khách hàng]],'Khách hàng'!A:E,5,0)</f>
        <v>HN0040</v>
      </c>
    </row>
    <row r="3811" spans="1:9">
      <c r="A3811" s="14" t="s">
        <v>12784</v>
      </c>
      <c r="B3811" s="9" t="s">
        <v>5</v>
      </c>
      <c r="C3811" s="16" t="s">
        <v>12818</v>
      </c>
      <c r="D3811" s="21"/>
      <c r="E3811" s="32" t="s">
        <v>11197</v>
      </c>
      <c r="F3811" s="22" t="str">
        <f>VLOOKUP(Table8[[#This Row],[Mã khách hàng]],code_khach_hang[],2,0)</f>
        <v>CHI NHÁNH QUẢNG NINH - CÔNG TY CỔ PHẦN DỊCH VỤ THƯƠNG MẠI TỔNG HỢP WINCOMMERCE</v>
      </c>
      <c r="G3811" s="16" t="str">
        <f>VLOOKUP(Table8[[#This Row],[Mã khách hàng]],code_khach_hang[],3,0)</f>
        <v>Miền Bắc đặc biệt 3</v>
      </c>
      <c r="H3811" t="str">
        <f>VLOOKUP(Table8[[#This Row],[Mã khách hàng]],'Khách hàng'!A:D,4,0)</f>
        <v>Food Đức Việt</v>
      </c>
      <c r="I3811" t="str">
        <f>VLOOKUP(Table8[[#This Row],[Mã khách hàng]],'Khách hàng'!A:E,5,0)</f>
        <v>HN0040</v>
      </c>
    </row>
    <row r="3812" spans="1:9">
      <c r="A3812" s="14" t="s">
        <v>12785</v>
      </c>
      <c r="B3812" s="9" t="s">
        <v>5</v>
      </c>
      <c r="C3812" s="16" t="s">
        <v>12819</v>
      </c>
      <c r="D3812" s="21"/>
      <c r="E3812" s="32" t="s">
        <v>11199</v>
      </c>
      <c r="F3812" s="22" t="str">
        <f>VLOOKUP(Table8[[#This Row],[Mã khách hàng]],code_khach_hang[],2,0)</f>
        <v>CHI NHÁNH PHÚ THỌ - CÔNG TY CỔ PHẦN DỊCH VỤ THƯƠNG MẠI TỔNG HỢP WINCOMMERCE</v>
      </c>
      <c r="G3812" s="16" t="str">
        <f>VLOOKUP(Table8[[#This Row],[Mã khách hàng]],code_khach_hang[],3,0)</f>
        <v>Miền Bắc đặc biệt 1</v>
      </c>
      <c r="H3812" t="str">
        <f>VLOOKUP(Table8[[#This Row],[Mã khách hàng]],'Khách hàng'!A:D,4,0)</f>
        <v>Food Đức Việt</v>
      </c>
      <c r="I3812" t="str">
        <f>VLOOKUP(Table8[[#This Row],[Mã khách hàng]],'Khách hàng'!A:E,5,0)</f>
        <v>HN0040</v>
      </c>
    </row>
    <row r="3813" spans="1:9">
      <c r="A3813" s="14" t="s">
        <v>12786</v>
      </c>
      <c r="B3813" s="9" t="s">
        <v>5</v>
      </c>
      <c r="C3813" s="16" t="s">
        <v>12820</v>
      </c>
      <c r="D3813" s="21"/>
      <c r="E3813" s="32" t="s">
        <v>11215</v>
      </c>
      <c r="F3813" s="22" t="str">
        <f>VLOOKUP(Table8[[#This Row],[Mã khách hàng]],code_khach_hang[],2,0)</f>
        <v>CHI NHÁNH HÀ NỘI - CÔNG TY CỔ PHẦN DỊCH VỤ THƯƠNG MẠI TỔNG HỢP WINCOMMERCE</v>
      </c>
      <c r="G3813" s="16" t="str">
        <f>VLOOKUP(Table8[[#This Row],[Mã khách hàng]],code_khach_hang[],3,0)</f>
        <v>Miền Bắc đặc biệt 1</v>
      </c>
      <c r="H3813" t="str">
        <f>VLOOKUP(Table8[[#This Row],[Mã khách hàng]],'Khách hàng'!A:D,4,0)</f>
        <v>Food Đức Việt</v>
      </c>
      <c r="I3813" t="str">
        <f>VLOOKUP(Table8[[#This Row],[Mã khách hàng]],'Khách hàng'!A:E,5,0)</f>
        <v>HN0040</v>
      </c>
    </row>
    <row r="3814" spans="1:9">
      <c r="A3814" s="14" t="s">
        <v>12787</v>
      </c>
      <c r="B3814" s="9" t="s">
        <v>5</v>
      </c>
      <c r="C3814" s="16" t="s">
        <v>12821</v>
      </c>
      <c r="D3814" s="21"/>
      <c r="E3814" s="32" t="s">
        <v>11193</v>
      </c>
      <c r="F3814" s="22" t="str">
        <f>VLOOKUP(Table8[[#This Row],[Mã khách hàng]],code_khach_hang[],2,0)</f>
        <v>CHI NHÁNH BẮC NINH - CÔNG TY CỔ PHẦN DỊCH VỤ THƯƠNG MẠI TỔNG HỢP WINCOMMERCE</v>
      </c>
      <c r="G3814" s="16" t="str">
        <f>VLOOKUP(Table8[[#This Row],[Mã khách hàng]],code_khach_hang[],3,0)</f>
        <v>Miền Bắc đặc biệt 2</v>
      </c>
      <c r="H3814" t="str">
        <f>VLOOKUP(Table8[[#This Row],[Mã khách hàng]],'Khách hàng'!A:D,4,0)</f>
        <v>Food Đức Việt</v>
      </c>
      <c r="I3814" t="str">
        <f>VLOOKUP(Table8[[#This Row],[Mã khách hàng]],'Khách hàng'!A:E,5,0)</f>
        <v>HN0040</v>
      </c>
    </row>
    <row r="3815" spans="1:9">
      <c r="A3815" s="14" t="s">
        <v>12829</v>
      </c>
      <c r="B3815" s="9" t="s">
        <v>5</v>
      </c>
      <c r="C3815" s="36" t="s">
        <v>12834</v>
      </c>
      <c r="D3815" s="21"/>
      <c r="E3815" s="37" t="s">
        <v>11198</v>
      </c>
      <c r="F3815" s="22" t="str">
        <f>VLOOKUP(Table8[[#This Row],[Mã khách hàng]],code_khach_hang[],2,0)</f>
        <v>CHI NHÁNH HẢI PHÒNG - CÔNG TY CỔ PHẦN DỊCH VỤ THƯƠNG MẠI TỔNG HỢP WINCOMMERCE</v>
      </c>
      <c r="G3815" s="16" t="str">
        <f>VLOOKUP(Table8[[#This Row],[Mã khách hàng]],code_khach_hang[],3,0)</f>
        <v>Miền Bắc đặc biệt 3</v>
      </c>
      <c r="H3815" t="str">
        <f>VLOOKUP(Table8[[#This Row],[Mã khách hàng]],'Khách hàng'!A:D,4,0)</f>
        <v>Food Đức Việt</v>
      </c>
      <c r="I3815" t="str">
        <f>VLOOKUP(Table8[[#This Row],[Mã khách hàng]],'Khách hàng'!A:E,5,0)</f>
        <v>HN0040</v>
      </c>
    </row>
    <row r="3816" spans="1:9">
      <c r="A3816" s="14" t="s">
        <v>12830</v>
      </c>
      <c r="B3816" s="9" t="s">
        <v>5</v>
      </c>
      <c r="C3816" s="36" t="s">
        <v>12835</v>
      </c>
      <c r="D3816" s="21"/>
      <c r="E3816" s="37" t="s">
        <v>11196</v>
      </c>
      <c r="F3816" s="22" t="str">
        <f>VLOOKUP(Table8[[#This Row],[Mã khách hàng]],code_khach_hang[],2,0)</f>
        <v>CHI NHÁNH NINH BÌNH - CÔNG TY CỔ PHẦN DỊCH VỤ THƯƠNG MẠI TỔNG HỢP WINCOMMERCE</v>
      </c>
      <c r="G3816" s="16" t="str">
        <f>VLOOKUP(Table8[[#This Row],[Mã khách hàng]],code_khach_hang[],3,0)</f>
        <v>Miền Bắc đặc biệt 3</v>
      </c>
      <c r="H3816" t="str">
        <f>VLOOKUP(Table8[[#This Row],[Mã khách hàng]],'Khách hàng'!A:D,4,0)</f>
        <v>Food Đức Việt</v>
      </c>
      <c r="I3816" t="str">
        <f>VLOOKUP(Table8[[#This Row],[Mã khách hàng]],'Khách hàng'!A:E,5,0)</f>
        <v>HN0040</v>
      </c>
    </row>
    <row r="3817" spans="1:9">
      <c r="A3817" s="14" t="s">
        <v>12831</v>
      </c>
      <c r="B3817" s="9" t="s">
        <v>5</v>
      </c>
      <c r="C3817" s="36" t="s">
        <v>12836</v>
      </c>
      <c r="D3817" s="21"/>
      <c r="E3817" s="37" t="s">
        <v>11198</v>
      </c>
      <c r="F3817" s="22" t="str">
        <f>VLOOKUP(Table8[[#This Row],[Mã khách hàng]],code_khach_hang[],2,0)</f>
        <v>CHI NHÁNH HẢI PHÒNG - CÔNG TY CỔ PHẦN DỊCH VỤ THƯƠNG MẠI TỔNG HỢP WINCOMMERCE</v>
      </c>
      <c r="G3817" s="16" t="str">
        <f>VLOOKUP(Table8[[#This Row],[Mã khách hàng]],code_khach_hang[],3,0)</f>
        <v>Miền Bắc đặc biệt 3</v>
      </c>
      <c r="H3817" t="str">
        <f>VLOOKUP(Table8[[#This Row],[Mã khách hàng]],'Khách hàng'!A:D,4,0)</f>
        <v>Food Đức Việt</v>
      </c>
      <c r="I3817" t="str">
        <f>VLOOKUP(Table8[[#This Row],[Mã khách hàng]],'Khách hàng'!A:E,5,0)</f>
        <v>HN0040</v>
      </c>
    </row>
    <row r="3818" spans="1:9">
      <c r="A3818" s="14" t="s">
        <v>12832</v>
      </c>
      <c r="B3818" s="9" t="s">
        <v>5</v>
      </c>
      <c r="C3818" s="36" t="s">
        <v>12837</v>
      </c>
      <c r="D3818" s="21"/>
      <c r="E3818" s="37" t="s">
        <v>11215</v>
      </c>
      <c r="F3818" s="22" t="str">
        <f>VLOOKUP(Table8[[#This Row],[Mã khách hàng]],code_khach_hang[],2,0)</f>
        <v>CHI NHÁNH HÀ NỘI - CÔNG TY CỔ PHẦN DỊCH VỤ THƯƠNG MẠI TỔNG HỢP WINCOMMERCE</v>
      </c>
      <c r="G3818" s="16" t="str">
        <f>VLOOKUP(Table8[[#This Row],[Mã khách hàng]],code_khach_hang[],3,0)</f>
        <v>Miền Bắc đặc biệt 1</v>
      </c>
      <c r="H3818" t="str">
        <f>VLOOKUP(Table8[[#This Row],[Mã khách hàng]],'Khách hàng'!A:D,4,0)</f>
        <v>Food Đức Việt</v>
      </c>
      <c r="I3818" t="str">
        <f>VLOOKUP(Table8[[#This Row],[Mã khách hàng]],'Khách hàng'!A:E,5,0)</f>
        <v>HN0040</v>
      </c>
    </row>
    <row r="3819" spans="1:9">
      <c r="A3819" s="14" t="s">
        <v>12833</v>
      </c>
      <c r="B3819" s="9" t="s">
        <v>5</v>
      </c>
      <c r="C3819" s="36" t="s">
        <v>12838</v>
      </c>
      <c r="D3819" s="21"/>
      <c r="E3819" s="37" t="s">
        <v>11196</v>
      </c>
      <c r="F3819" s="22" t="str">
        <f>VLOOKUP(Table8[[#This Row],[Mã khách hàng]],code_khach_hang[],2,0)</f>
        <v>CHI NHÁNH NINH BÌNH - CÔNG TY CỔ PHẦN DỊCH VỤ THƯƠNG MẠI TỔNG HỢP WINCOMMERCE</v>
      </c>
      <c r="G3819" s="16" t="str">
        <f>VLOOKUP(Table8[[#This Row],[Mã khách hàng]],code_khach_hang[],3,0)</f>
        <v>Miền Bắc đặc biệt 3</v>
      </c>
      <c r="H3819" t="str">
        <f>VLOOKUP(Table8[[#This Row],[Mã khách hàng]],'Khách hàng'!A:D,4,0)</f>
        <v>Food Đức Việt</v>
      </c>
      <c r="I3819" t="str">
        <f>VLOOKUP(Table8[[#This Row],[Mã khách hàng]],'Khách hàng'!A:E,5,0)</f>
        <v>HN0040</v>
      </c>
    </row>
    <row r="3820" spans="1:9">
      <c r="A3820" s="11" t="s">
        <v>12843</v>
      </c>
      <c r="B3820" s="9" t="s">
        <v>5</v>
      </c>
      <c r="C3820" s="10" t="s">
        <v>12858</v>
      </c>
      <c r="D3820" s="21"/>
      <c r="E3820" s="31" t="s">
        <v>11205</v>
      </c>
      <c r="F3820" s="22" t="str">
        <f>VLOOKUP(Table8[[#This Row],[Mã khách hàng]],code_khach_hang[],2,0)</f>
        <v>CHI NHÁNH HÀ TĨNH - CÔNG TY CỔ PHẦN DỊCH VỤ THƯƠNG MẠI TỔNG HỢP WINCOMMERCE</v>
      </c>
      <c r="G3820" s="10" t="str">
        <f>VLOOKUP(Table8[[#This Row],[Mã khách hàng]],code_khach_hang[],3,0)</f>
        <v>Miền Trung đặc biệt 1</v>
      </c>
      <c r="H3820" t="str">
        <f>VLOOKUP(Table8[[#This Row],[Mã khách hàng]],'Khách hàng'!A:D,4,0)</f>
        <v>Food Đức Việt</v>
      </c>
      <c r="I3820" t="str">
        <f>VLOOKUP(Table8[[#This Row],[Mã khách hàng]],'Khách hàng'!A:E,5,0)</f>
        <v>HN0040</v>
      </c>
    </row>
    <row r="3821" spans="1:9">
      <c r="A3821" s="14" t="s">
        <v>12844</v>
      </c>
      <c r="B3821" s="9" t="s">
        <v>5</v>
      </c>
      <c r="C3821" s="16" t="s">
        <v>12859</v>
      </c>
      <c r="D3821" s="21"/>
      <c r="E3821" s="32" t="s">
        <v>11203</v>
      </c>
      <c r="F3821" s="22" t="str">
        <f>VLOOKUP(Table8[[#This Row],[Mã khách hàng]],code_khach_hang[],2,0)</f>
        <v>CHI NHÁNH THANH HÓA - CÔNG TY CỔ PHẦN DỊCH VỤ THƯƠNG MẠI TỔNG HỢP WINCOMMERCE</v>
      </c>
      <c r="G3821" s="16" t="str">
        <f>VLOOKUP(Table8[[#This Row],[Mã khách hàng]],code_khach_hang[],3,0)</f>
        <v>Miền Trung đặc biệt 1</v>
      </c>
      <c r="H3821" t="str">
        <f>VLOOKUP(Table8[[#This Row],[Mã khách hàng]],'Khách hàng'!A:D,4,0)</f>
        <v>Food Đức Việt</v>
      </c>
      <c r="I3821" t="str">
        <f>VLOOKUP(Table8[[#This Row],[Mã khách hàng]],'Khách hàng'!A:E,5,0)</f>
        <v>HN0040</v>
      </c>
    </row>
    <row r="3822" spans="1:9">
      <c r="A3822" s="14" t="s">
        <v>12845</v>
      </c>
      <c r="B3822" s="9" t="s">
        <v>5</v>
      </c>
      <c r="C3822" s="16" t="s">
        <v>12860</v>
      </c>
      <c r="D3822" s="21"/>
      <c r="E3822" s="32" t="s">
        <v>11214</v>
      </c>
      <c r="F3822" s="22" t="str">
        <f>VLOOKUP(Table8[[#This Row],[Mã khách hàng]],code_khach_hang[],2,0)</f>
        <v>CHI NHÁNH LAI CHÂU - CÔNG TY CỔ PHẦN DỊCH VỤ THƯƠNG MẠI TỔNG HỢP WINCOMMERCE</v>
      </c>
      <c r="G3822" s="16" t="str">
        <f>VLOOKUP(Table8[[#This Row],[Mã khách hàng]],code_khach_hang[],3,0)</f>
        <v>Miền Bắc đặc biệt 1</v>
      </c>
      <c r="H3822" t="str">
        <f>VLOOKUP(Table8[[#This Row],[Mã khách hàng]],'Khách hàng'!A:D,4,0)</f>
        <v>Food Đức Việt</v>
      </c>
      <c r="I3822" t="str">
        <f>VLOOKUP(Table8[[#This Row],[Mã khách hàng]],'Khách hàng'!A:E,5,0)</f>
        <v>HN0040</v>
      </c>
    </row>
    <row r="3823" spans="1:9">
      <c r="A3823" s="14" t="s">
        <v>12846</v>
      </c>
      <c r="B3823" s="9" t="s">
        <v>5</v>
      </c>
      <c r="C3823" s="16" t="s">
        <v>12861</v>
      </c>
      <c r="D3823" s="21"/>
      <c r="E3823" s="32" t="s">
        <v>11199</v>
      </c>
      <c r="F3823" s="22" t="str">
        <f>VLOOKUP(Table8[[#This Row],[Mã khách hàng]],code_khach_hang[],2,0)</f>
        <v>CHI NHÁNH PHÚ THỌ - CÔNG TY CỔ PHẦN DỊCH VỤ THƯƠNG MẠI TỔNG HỢP WINCOMMERCE</v>
      </c>
      <c r="G3823" s="16" t="str">
        <f>VLOOKUP(Table8[[#This Row],[Mã khách hàng]],code_khach_hang[],3,0)</f>
        <v>Miền Bắc đặc biệt 1</v>
      </c>
      <c r="H3823" t="str">
        <f>VLOOKUP(Table8[[#This Row],[Mã khách hàng]],'Khách hàng'!A:D,4,0)</f>
        <v>Food Đức Việt</v>
      </c>
      <c r="I3823" t="str">
        <f>VLOOKUP(Table8[[#This Row],[Mã khách hàng]],'Khách hàng'!A:E,5,0)</f>
        <v>HN0040</v>
      </c>
    </row>
    <row r="3824" spans="1:9">
      <c r="A3824" s="14" t="s">
        <v>12847</v>
      </c>
      <c r="B3824" s="9" t="s">
        <v>5</v>
      </c>
      <c r="C3824" s="16" t="s">
        <v>12862</v>
      </c>
      <c r="D3824" s="21"/>
      <c r="E3824" s="32" t="s">
        <v>11203</v>
      </c>
      <c r="F3824" s="22" t="str">
        <f>VLOOKUP(Table8[[#This Row],[Mã khách hàng]],code_khach_hang[],2,0)</f>
        <v>CHI NHÁNH THANH HÓA - CÔNG TY CỔ PHẦN DỊCH VỤ THƯƠNG MẠI TỔNG HỢP WINCOMMERCE</v>
      </c>
      <c r="G3824" s="16" t="str">
        <f>VLOOKUP(Table8[[#This Row],[Mã khách hàng]],code_khach_hang[],3,0)</f>
        <v>Miền Trung đặc biệt 1</v>
      </c>
      <c r="H3824" t="str">
        <f>VLOOKUP(Table8[[#This Row],[Mã khách hàng]],'Khách hàng'!A:D,4,0)</f>
        <v>Food Đức Việt</v>
      </c>
      <c r="I3824" t="str">
        <f>VLOOKUP(Table8[[#This Row],[Mã khách hàng]],'Khách hàng'!A:E,5,0)</f>
        <v>HN0040</v>
      </c>
    </row>
    <row r="3825" spans="1:9">
      <c r="A3825" s="14" t="s">
        <v>12848</v>
      </c>
      <c r="B3825" s="9" t="s">
        <v>5</v>
      </c>
      <c r="C3825" s="16" t="s">
        <v>12863</v>
      </c>
      <c r="D3825" s="21"/>
      <c r="E3825" s="32" t="s">
        <v>11215</v>
      </c>
      <c r="F3825" s="22" t="str">
        <f>VLOOKUP(Table8[[#This Row],[Mã khách hàng]],code_khach_hang[],2,0)</f>
        <v>CHI NHÁNH HÀ NỘI - CÔNG TY CỔ PHẦN DỊCH VỤ THƯƠNG MẠI TỔNG HỢP WINCOMMERCE</v>
      </c>
      <c r="G3825" s="16" t="str">
        <f>VLOOKUP(Table8[[#This Row],[Mã khách hàng]],code_khach_hang[],3,0)</f>
        <v>Miền Bắc đặc biệt 1</v>
      </c>
      <c r="H3825" t="str">
        <f>VLOOKUP(Table8[[#This Row],[Mã khách hàng]],'Khách hàng'!A:D,4,0)</f>
        <v>Food Đức Việt</v>
      </c>
      <c r="I3825" t="str">
        <f>VLOOKUP(Table8[[#This Row],[Mã khách hàng]],'Khách hàng'!A:E,5,0)</f>
        <v>HN0040</v>
      </c>
    </row>
    <row r="3826" spans="1:9">
      <c r="A3826" s="14" t="s">
        <v>12849</v>
      </c>
      <c r="B3826" s="9" t="s">
        <v>5</v>
      </c>
      <c r="C3826" s="16" t="s">
        <v>12864</v>
      </c>
      <c r="D3826" s="21"/>
      <c r="E3826" s="32" t="s">
        <v>11198</v>
      </c>
      <c r="F3826" s="22" t="str">
        <f>VLOOKUP(Table8[[#This Row],[Mã khách hàng]],code_khach_hang[],2,0)</f>
        <v>CHI NHÁNH HẢI PHÒNG - CÔNG TY CỔ PHẦN DỊCH VỤ THƯƠNG MẠI TỔNG HỢP WINCOMMERCE</v>
      </c>
      <c r="G3826" s="16" t="str">
        <f>VLOOKUP(Table8[[#This Row],[Mã khách hàng]],code_khach_hang[],3,0)</f>
        <v>Miền Bắc đặc biệt 3</v>
      </c>
      <c r="H3826" t="str">
        <f>VLOOKUP(Table8[[#This Row],[Mã khách hàng]],'Khách hàng'!A:D,4,0)</f>
        <v>Food Đức Việt</v>
      </c>
      <c r="I3826" t="str">
        <f>VLOOKUP(Table8[[#This Row],[Mã khách hàng]],'Khách hàng'!A:E,5,0)</f>
        <v>HN0040</v>
      </c>
    </row>
    <row r="3827" spans="1:9">
      <c r="A3827" s="14" t="s">
        <v>12850</v>
      </c>
      <c r="B3827" s="9" t="s">
        <v>5</v>
      </c>
      <c r="C3827" s="16" t="s">
        <v>12865</v>
      </c>
      <c r="D3827" s="21"/>
      <c r="E3827" s="32" t="s">
        <v>11215</v>
      </c>
      <c r="F3827" s="22" t="str">
        <f>VLOOKUP(Table8[[#This Row],[Mã khách hàng]],code_khach_hang[],2,0)</f>
        <v>CHI NHÁNH HÀ NỘI - CÔNG TY CỔ PHẦN DỊCH VỤ THƯƠNG MẠI TỔNG HỢP WINCOMMERCE</v>
      </c>
      <c r="G3827" s="16" t="str">
        <f>VLOOKUP(Table8[[#This Row],[Mã khách hàng]],code_khach_hang[],3,0)</f>
        <v>Miền Bắc đặc biệt 1</v>
      </c>
      <c r="H3827" t="str">
        <f>VLOOKUP(Table8[[#This Row],[Mã khách hàng]],'Khách hàng'!A:D,4,0)</f>
        <v>Food Đức Việt</v>
      </c>
      <c r="I3827" t="str">
        <f>VLOOKUP(Table8[[#This Row],[Mã khách hàng]],'Khách hàng'!A:E,5,0)</f>
        <v>HN0040</v>
      </c>
    </row>
    <row r="3828" spans="1:9">
      <c r="A3828" s="14" t="s">
        <v>12851</v>
      </c>
      <c r="B3828" s="9" t="s">
        <v>5</v>
      </c>
      <c r="C3828" s="16" t="s">
        <v>12866</v>
      </c>
      <c r="D3828" s="21"/>
      <c r="E3828" s="32" t="s">
        <v>11197</v>
      </c>
      <c r="F3828" s="22" t="str">
        <f>VLOOKUP(Table8[[#This Row],[Mã khách hàng]],code_khach_hang[],2,0)</f>
        <v>CHI NHÁNH QUẢNG NINH - CÔNG TY CỔ PHẦN DỊCH VỤ THƯƠNG MẠI TỔNG HỢP WINCOMMERCE</v>
      </c>
      <c r="G3828" s="16" t="str">
        <f>VLOOKUP(Table8[[#This Row],[Mã khách hàng]],code_khach_hang[],3,0)</f>
        <v>Miền Bắc đặc biệt 3</v>
      </c>
      <c r="H3828" t="str">
        <f>VLOOKUP(Table8[[#This Row],[Mã khách hàng]],'Khách hàng'!A:D,4,0)</f>
        <v>Food Đức Việt</v>
      </c>
      <c r="I3828" t="str">
        <f>VLOOKUP(Table8[[#This Row],[Mã khách hàng]],'Khách hàng'!A:E,5,0)</f>
        <v>HN0040</v>
      </c>
    </row>
    <row r="3829" spans="1:9">
      <c r="A3829" s="14" t="s">
        <v>12852</v>
      </c>
      <c r="B3829" s="9" t="s">
        <v>5</v>
      </c>
      <c r="C3829" s="16" t="s">
        <v>12867</v>
      </c>
      <c r="D3829" s="21"/>
      <c r="E3829" s="32" t="s">
        <v>11205</v>
      </c>
      <c r="F3829" s="22" t="str">
        <f>VLOOKUP(Table8[[#This Row],[Mã khách hàng]],code_khach_hang[],2,0)</f>
        <v>CHI NHÁNH HÀ TĨNH - CÔNG TY CỔ PHẦN DỊCH VỤ THƯƠNG MẠI TỔNG HỢP WINCOMMERCE</v>
      </c>
      <c r="G3829" s="16" t="str">
        <f>VLOOKUP(Table8[[#This Row],[Mã khách hàng]],code_khach_hang[],3,0)</f>
        <v>Miền Trung đặc biệt 1</v>
      </c>
      <c r="H3829" t="str">
        <f>VLOOKUP(Table8[[#This Row],[Mã khách hàng]],'Khách hàng'!A:D,4,0)</f>
        <v>Food Đức Việt</v>
      </c>
      <c r="I3829" t="str">
        <f>VLOOKUP(Table8[[#This Row],[Mã khách hàng]],'Khách hàng'!A:E,5,0)</f>
        <v>HN0040</v>
      </c>
    </row>
    <row r="3830" spans="1:9">
      <c r="A3830" s="14" t="s">
        <v>12853</v>
      </c>
      <c r="B3830" s="9" t="s">
        <v>5</v>
      </c>
      <c r="C3830" s="16" t="s">
        <v>12868</v>
      </c>
      <c r="D3830" s="21"/>
      <c r="E3830" s="32" t="s">
        <v>11205</v>
      </c>
      <c r="F3830" s="22" t="str">
        <f>VLOOKUP(Table8[[#This Row],[Mã khách hàng]],code_khach_hang[],2,0)</f>
        <v>CHI NHÁNH HÀ TĨNH - CÔNG TY CỔ PHẦN DỊCH VỤ THƯƠNG MẠI TỔNG HỢP WINCOMMERCE</v>
      </c>
      <c r="G3830" s="16" t="str">
        <f>VLOOKUP(Table8[[#This Row],[Mã khách hàng]],code_khach_hang[],3,0)</f>
        <v>Miền Trung đặc biệt 1</v>
      </c>
      <c r="H3830" t="str">
        <f>VLOOKUP(Table8[[#This Row],[Mã khách hàng]],'Khách hàng'!A:D,4,0)</f>
        <v>Food Đức Việt</v>
      </c>
      <c r="I3830" t="str">
        <f>VLOOKUP(Table8[[#This Row],[Mã khách hàng]],'Khách hàng'!A:E,5,0)</f>
        <v>HN0040</v>
      </c>
    </row>
    <row r="3831" spans="1:9">
      <c r="A3831" s="14" t="s">
        <v>12854</v>
      </c>
      <c r="B3831" s="9" t="s">
        <v>5</v>
      </c>
      <c r="C3831" s="16" t="s">
        <v>12869</v>
      </c>
      <c r="D3831" s="21"/>
      <c r="E3831" s="32" t="s">
        <v>11216</v>
      </c>
      <c r="F3831" s="22" t="str">
        <f>VLOOKUP(Table8[[#This Row],[Mã khách hàng]],code_khach_hang[],2,0)</f>
        <v>CHI NHÁNH HƯNG YÊN - CÔNG TY CỔ PHẦN DỊCH VỤ THƯƠNG MẠI TỔNG HỢP WINCOMMERCE</v>
      </c>
      <c r="G3831" s="16" t="str">
        <f>VLOOKUP(Table8[[#This Row],[Mã khách hàng]],code_khach_hang[],3,0)</f>
        <v>Miền Bắc đặc biệt 1</v>
      </c>
      <c r="H3831" t="str">
        <f>VLOOKUP(Table8[[#This Row],[Mã khách hàng]],'Khách hàng'!A:D,4,0)</f>
        <v>Food Đức Việt</v>
      </c>
      <c r="I3831" t="str">
        <f>VLOOKUP(Table8[[#This Row],[Mã khách hàng]],'Khách hàng'!A:E,5,0)</f>
        <v>HN0040</v>
      </c>
    </row>
    <row r="3832" spans="1:9">
      <c r="A3832" s="14" t="s">
        <v>12855</v>
      </c>
      <c r="B3832" s="9" t="s">
        <v>5</v>
      </c>
      <c r="C3832" s="16" t="s">
        <v>12870</v>
      </c>
      <c r="D3832" s="21"/>
      <c r="E3832" s="32" t="s">
        <v>11196</v>
      </c>
      <c r="F3832" s="22" t="str">
        <f>VLOOKUP(Table8[[#This Row],[Mã khách hàng]],code_khach_hang[],2,0)</f>
        <v>CHI NHÁNH NINH BÌNH - CÔNG TY CỔ PHẦN DỊCH VỤ THƯƠNG MẠI TỔNG HỢP WINCOMMERCE</v>
      </c>
      <c r="G3832" s="16" t="str">
        <f>VLOOKUP(Table8[[#This Row],[Mã khách hàng]],code_khach_hang[],3,0)</f>
        <v>Miền Bắc đặc biệt 3</v>
      </c>
      <c r="H3832" t="str">
        <f>VLOOKUP(Table8[[#This Row],[Mã khách hàng]],'Khách hàng'!A:D,4,0)</f>
        <v>Food Đức Việt</v>
      </c>
      <c r="I3832" t="str">
        <f>VLOOKUP(Table8[[#This Row],[Mã khách hàng]],'Khách hàng'!A:E,5,0)</f>
        <v>HN0040</v>
      </c>
    </row>
    <row r="3833" spans="1:9">
      <c r="A3833" s="14" t="s">
        <v>12856</v>
      </c>
      <c r="B3833" s="9" t="s">
        <v>5</v>
      </c>
      <c r="C3833" s="16" t="s">
        <v>12871</v>
      </c>
      <c r="D3833" s="21"/>
      <c r="E3833" s="32" t="s">
        <v>11193</v>
      </c>
      <c r="F3833" s="22" t="str">
        <f>VLOOKUP(Table8[[#This Row],[Mã khách hàng]],code_khach_hang[],2,0)</f>
        <v>CHI NHÁNH BẮC NINH - CÔNG TY CỔ PHẦN DỊCH VỤ THƯƠNG MẠI TỔNG HỢP WINCOMMERCE</v>
      </c>
      <c r="G3833" s="16" t="str">
        <f>VLOOKUP(Table8[[#This Row],[Mã khách hàng]],code_khach_hang[],3,0)</f>
        <v>Miền Bắc đặc biệt 2</v>
      </c>
      <c r="H3833" t="str">
        <f>VLOOKUP(Table8[[#This Row],[Mã khách hàng]],'Khách hàng'!A:D,4,0)</f>
        <v>Food Đức Việt</v>
      </c>
      <c r="I3833" t="str">
        <f>VLOOKUP(Table8[[#This Row],[Mã khách hàng]],'Khách hàng'!A:E,5,0)</f>
        <v>HN0040</v>
      </c>
    </row>
    <row r="3834" spans="1:9">
      <c r="A3834" s="14" t="s">
        <v>12857</v>
      </c>
      <c r="B3834" s="9" t="s">
        <v>5</v>
      </c>
      <c r="C3834" s="16" t="s">
        <v>12872</v>
      </c>
      <c r="D3834" s="21"/>
      <c r="E3834" s="32" t="s">
        <v>11199</v>
      </c>
      <c r="F3834" s="22" t="str">
        <f>VLOOKUP(Table8[[#This Row],[Mã khách hàng]],code_khach_hang[],2,0)</f>
        <v>CHI NHÁNH PHÚ THỌ - CÔNG TY CỔ PHẦN DỊCH VỤ THƯƠNG MẠI TỔNG HỢP WINCOMMERCE</v>
      </c>
      <c r="G3834" s="16" t="str">
        <f>VLOOKUP(Table8[[#This Row],[Mã khách hàng]],code_khach_hang[],3,0)</f>
        <v>Miền Bắc đặc biệt 1</v>
      </c>
      <c r="H3834" t="str">
        <f>VLOOKUP(Table8[[#This Row],[Mã khách hàng]],'Khách hàng'!A:D,4,0)</f>
        <v>Food Đức Việt</v>
      </c>
      <c r="I3834" t="str">
        <f>VLOOKUP(Table8[[#This Row],[Mã khách hàng]],'Khách hàng'!A:E,5,0)</f>
        <v>HN0040</v>
      </c>
    </row>
    <row r="3835" spans="1:9">
      <c r="A3835" s="11" t="s">
        <v>12873</v>
      </c>
      <c r="B3835" s="9" t="s">
        <v>5</v>
      </c>
      <c r="C3835" s="10" t="s">
        <v>12879</v>
      </c>
      <c r="D3835" s="21"/>
      <c r="E3835" s="31" t="s">
        <v>11193</v>
      </c>
      <c r="F3835" s="22" t="str">
        <f>VLOOKUP(Table8[[#This Row],[Mã khách hàng]],code_khach_hang[],2,0)</f>
        <v>CHI NHÁNH BẮC NINH - CÔNG TY CỔ PHẦN DỊCH VỤ THƯƠNG MẠI TỔNG HỢP WINCOMMERCE</v>
      </c>
      <c r="G3835" s="10" t="str">
        <f>VLOOKUP(Table8[[#This Row],[Mã khách hàng]],code_khach_hang[],3,0)</f>
        <v>Miền Bắc đặc biệt 2</v>
      </c>
      <c r="H3835" t="str">
        <f>VLOOKUP(Table8[[#This Row],[Mã khách hàng]],'Khách hàng'!A:D,4,0)</f>
        <v>Food Đức Việt</v>
      </c>
      <c r="I3835" t="str">
        <f>VLOOKUP(Table8[[#This Row],[Mã khách hàng]],'Khách hàng'!A:E,5,0)</f>
        <v>HN0040</v>
      </c>
    </row>
    <row r="3836" spans="1:9">
      <c r="A3836" s="14" t="s">
        <v>12874</v>
      </c>
      <c r="B3836" s="9" t="s">
        <v>5</v>
      </c>
      <c r="C3836" s="16" t="s">
        <v>12880</v>
      </c>
      <c r="D3836" s="21"/>
      <c r="E3836" s="32" t="s">
        <v>11193</v>
      </c>
      <c r="F3836" s="22" t="str">
        <f>VLOOKUP(Table8[[#This Row],[Mã khách hàng]],code_khach_hang[],2,0)</f>
        <v>CHI NHÁNH BẮC NINH - CÔNG TY CỔ PHẦN DỊCH VỤ THƯƠNG MẠI TỔNG HỢP WINCOMMERCE</v>
      </c>
      <c r="G3836" s="16" t="str">
        <f>VLOOKUP(Table8[[#This Row],[Mã khách hàng]],code_khach_hang[],3,0)</f>
        <v>Miền Bắc đặc biệt 2</v>
      </c>
      <c r="H3836" t="str">
        <f>VLOOKUP(Table8[[#This Row],[Mã khách hàng]],'Khách hàng'!A:D,4,0)</f>
        <v>Food Đức Việt</v>
      </c>
      <c r="I3836" t="str">
        <f>VLOOKUP(Table8[[#This Row],[Mã khách hàng]],'Khách hàng'!A:E,5,0)</f>
        <v>HN0040</v>
      </c>
    </row>
    <row r="3837" spans="1:9">
      <c r="A3837" s="14" t="s">
        <v>12875</v>
      </c>
      <c r="B3837" s="9" t="s">
        <v>5</v>
      </c>
      <c r="C3837" s="16" t="s">
        <v>12881</v>
      </c>
      <c r="D3837" s="21"/>
      <c r="E3837" s="32" t="s">
        <v>11196</v>
      </c>
      <c r="F3837" s="22" t="str">
        <f>VLOOKUP(Table8[[#This Row],[Mã khách hàng]],code_khach_hang[],2,0)</f>
        <v>CHI NHÁNH NINH BÌNH - CÔNG TY CỔ PHẦN DỊCH VỤ THƯƠNG MẠI TỔNG HỢP WINCOMMERCE</v>
      </c>
      <c r="G3837" s="16" t="str">
        <f>VLOOKUP(Table8[[#This Row],[Mã khách hàng]],code_khach_hang[],3,0)</f>
        <v>Miền Bắc đặc biệt 3</v>
      </c>
      <c r="H3837" t="str">
        <f>VLOOKUP(Table8[[#This Row],[Mã khách hàng]],'Khách hàng'!A:D,4,0)</f>
        <v>Food Đức Việt</v>
      </c>
      <c r="I3837" t="str">
        <f>VLOOKUP(Table8[[#This Row],[Mã khách hàng]],'Khách hàng'!A:E,5,0)</f>
        <v>HN0040</v>
      </c>
    </row>
    <row r="3838" spans="1:9">
      <c r="A3838" s="14" t="s">
        <v>12876</v>
      </c>
      <c r="B3838" s="9" t="s">
        <v>5</v>
      </c>
      <c r="C3838" s="16" t="s">
        <v>12882</v>
      </c>
      <c r="D3838" s="21"/>
      <c r="E3838" s="32" t="s">
        <v>11199</v>
      </c>
      <c r="F3838" s="22" t="str">
        <f>VLOOKUP(Table8[[#This Row],[Mã khách hàng]],code_khach_hang[],2,0)</f>
        <v>CHI NHÁNH PHÚ THỌ - CÔNG TY CỔ PHẦN DỊCH VỤ THƯƠNG MẠI TỔNG HỢP WINCOMMERCE</v>
      </c>
      <c r="G3838" s="16" t="str">
        <f>VLOOKUP(Table8[[#This Row],[Mã khách hàng]],code_khach_hang[],3,0)</f>
        <v>Miền Bắc đặc biệt 1</v>
      </c>
      <c r="H3838" t="str">
        <f>VLOOKUP(Table8[[#This Row],[Mã khách hàng]],'Khách hàng'!A:D,4,0)</f>
        <v>Food Đức Việt</v>
      </c>
      <c r="I3838" t="str">
        <f>VLOOKUP(Table8[[#This Row],[Mã khách hàng]],'Khách hàng'!A:E,5,0)</f>
        <v>HN0040</v>
      </c>
    </row>
    <row r="3839" spans="1:9">
      <c r="A3839" s="14" t="s">
        <v>12877</v>
      </c>
      <c r="B3839" s="9" t="s">
        <v>5</v>
      </c>
      <c r="C3839" s="16" t="s">
        <v>12883</v>
      </c>
      <c r="D3839" s="21"/>
      <c r="E3839" s="32" t="s">
        <v>11204</v>
      </c>
      <c r="F3839" s="22" t="str">
        <f>VLOOKUP(Table8[[#This Row],[Mã khách hàng]],code_khach_hang[],2,0)</f>
        <v>CHI NHÁNH TUYÊN QUANG - CÔNG TY CỔ PHẦN DỊCH VỤ THƯƠNG MẠI TỔNG HỢP WINCOMMERCE</v>
      </c>
      <c r="G3839" s="16" t="str">
        <f>VLOOKUP(Table8[[#This Row],[Mã khách hàng]],code_khach_hang[],3,0)</f>
        <v>Miền Bắc đặc biệt 2</v>
      </c>
      <c r="H3839" t="str">
        <f>VLOOKUP(Table8[[#This Row],[Mã khách hàng]],'Khách hàng'!A:D,4,0)</f>
        <v>Food Đức Việt</v>
      </c>
      <c r="I3839" t="str">
        <f>VLOOKUP(Table8[[#This Row],[Mã khách hàng]],'Khách hàng'!A:E,5,0)</f>
        <v>HN0040</v>
      </c>
    </row>
    <row r="3840" spans="1:9">
      <c r="A3840" s="14" t="s">
        <v>12878</v>
      </c>
      <c r="B3840" s="9" t="s">
        <v>5</v>
      </c>
      <c r="C3840" s="16" t="s">
        <v>12884</v>
      </c>
      <c r="D3840" s="21"/>
      <c r="E3840" s="32" t="s">
        <v>11208</v>
      </c>
      <c r="F3840" s="22" t="str">
        <f>VLOOKUP(Table8[[#This Row],[Mã khách hàng]],code_khach_hang[],2,0)</f>
        <v>CHI NHÁNH LẠNG SƠN - CÔNG TY CỔ PHẦN DỊCH VỤ THƯƠNG MẠI TỔNG HỢP WINCOMMERCE</v>
      </c>
      <c r="G3840" s="16" t="str">
        <f>VLOOKUP(Table8[[#This Row],[Mã khách hàng]],code_khach_hang[],3,0)</f>
        <v>Miền Bắc đặc biệt 2</v>
      </c>
      <c r="H3840" t="str">
        <f>VLOOKUP(Table8[[#This Row],[Mã khách hàng]],'Khách hàng'!A:D,4,0)</f>
        <v>Food Đức Việt</v>
      </c>
      <c r="I3840" t="str">
        <f>VLOOKUP(Table8[[#This Row],[Mã khách hàng]],'Khách hàng'!A:E,5,0)</f>
        <v>HN0040</v>
      </c>
    </row>
    <row r="3841" spans="1:9">
      <c r="A3841" s="45" t="s">
        <v>12885</v>
      </c>
      <c r="B3841" s="9" t="s">
        <v>5</v>
      </c>
      <c r="C3841" s="47" t="s">
        <v>12887</v>
      </c>
      <c r="D3841" s="21"/>
      <c r="E3841" s="37" t="s">
        <v>11215</v>
      </c>
      <c r="F3841" s="22" t="str">
        <f>VLOOKUP(Table8[[#This Row],[Mã khách hàng]],code_khach_hang[],2,0)</f>
        <v>CHI NHÁNH HÀ NỘI - CÔNG TY CỔ PHẦN DỊCH VỤ THƯƠNG MẠI TỔNG HỢP WINCOMMERCE</v>
      </c>
      <c r="G3841" s="10" t="str">
        <f>VLOOKUP(Table8[[#This Row],[Mã khách hàng]],code_khach_hang[],3,0)</f>
        <v>Miền Bắc đặc biệt 1</v>
      </c>
      <c r="H3841" t="str">
        <f>VLOOKUP(Table8[[#This Row],[Mã khách hàng]],'Khách hàng'!A:D,4,0)</f>
        <v>Food Đức Việt</v>
      </c>
      <c r="I3841" t="str">
        <f>VLOOKUP(Table8[[#This Row],[Mã khách hàng]],'Khách hàng'!A:E,5,0)</f>
        <v>HN0040</v>
      </c>
    </row>
    <row r="3842" spans="1:9">
      <c r="A3842" s="46" t="s">
        <v>12886</v>
      </c>
      <c r="B3842" s="9" t="s">
        <v>5</v>
      </c>
      <c r="C3842" s="47" t="s">
        <v>12888</v>
      </c>
      <c r="D3842" s="21"/>
      <c r="E3842" s="37" t="s">
        <v>11204</v>
      </c>
      <c r="F3842" s="22" t="str">
        <f>VLOOKUP(Table8[[#This Row],[Mã khách hàng]],code_khach_hang[],2,0)</f>
        <v>CHI NHÁNH TUYÊN QUANG - CÔNG TY CỔ PHẦN DỊCH VỤ THƯƠNG MẠI TỔNG HỢP WINCOMMERCE</v>
      </c>
      <c r="G3842" s="16" t="str">
        <f>VLOOKUP(Table8[[#This Row],[Mã khách hàng]],code_khach_hang[],3,0)</f>
        <v>Miền Bắc đặc biệt 2</v>
      </c>
      <c r="H3842" t="str">
        <f>VLOOKUP(Table8[[#This Row],[Mã khách hàng]],'Khách hàng'!A:D,4,0)</f>
        <v>Food Đức Việt</v>
      </c>
      <c r="I3842" t="str">
        <f>VLOOKUP(Table8[[#This Row],[Mã khách hàng]],'Khách hàng'!A:E,5,0)</f>
        <v>HN0040</v>
      </c>
    </row>
    <row r="3843" spans="1:9">
      <c r="A3843" s="45" t="s">
        <v>12889</v>
      </c>
      <c r="B3843" s="9" t="s">
        <v>5</v>
      </c>
      <c r="C3843" s="47" t="s">
        <v>12891</v>
      </c>
      <c r="D3843" s="21"/>
      <c r="E3843" s="37" t="s">
        <v>11193</v>
      </c>
      <c r="F3843" s="22" t="str">
        <f>VLOOKUP(Table8[[#This Row],[Mã khách hàng]],code_khach_hang[],2,0)</f>
        <v>CHI NHÁNH BẮC NINH - CÔNG TY CỔ PHẦN DỊCH VỤ THƯƠNG MẠI TỔNG HỢP WINCOMMERCE</v>
      </c>
      <c r="G3843" s="10" t="str">
        <f>VLOOKUP(Table8[[#This Row],[Mã khách hàng]],code_khach_hang[],3,0)</f>
        <v>Miền Bắc đặc biệt 2</v>
      </c>
      <c r="H3843" t="str">
        <f>VLOOKUP(Table8[[#This Row],[Mã khách hàng]],'Khách hàng'!A:D,4,0)</f>
        <v>Food Đức Việt</v>
      </c>
      <c r="I3843" t="str">
        <f>VLOOKUP(Table8[[#This Row],[Mã khách hàng]],'Khách hàng'!A:E,5,0)</f>
        <v>HN0040</v>
      </c>
    </row>
    <row r="3844" spans="1:9">
      <c r="A3844" s="46" t="s">
        <v>12890</v>
      </c>
      <c r="B3844" s="9" t="s">
        <v>5</v>
      </c>
      <c r="C3844" s="47" t="s">
        <v>12892</v>
      </c>
      <c r="D3844" s="21"/>
      <c r="E3844" s="37" t="s">
        <v>11207</v>
      </c>
      <c r="F3844" s="22" t="str">
        <f>VLOOKUP(Table8[[#This Row],[Mã khách hàng]],code_khach_hang[],2,0)</f>
        <v>CHI NHÁNH THÁI NGUYÊN - CÔNG TY CỔ PHẦN DỊCH VỤ THƯƠNG MẠI TỔNG HỢP WINCOMMERCE</v>
      </c>
      <c r="G3844" s="16" t="str">
        <f>VLOOKUP(Table8[[#This Row],[Mã khách hàng]],code_khach_hang[],3,0)</f>
        <v>Miền Bắc đặc biệt 2</v>
      </c>
      <c r="H3844" t="str">
        <f>VLOOKUP(Table8[[#This Row],[Mã khách hàng]],'Khách hàng'!A:D,4,0)</f>
        <v>Food Đức Việt</v>
      </c>
      <c r="I3844" t="str">
        <f>VLOOKUP(Table8[[#This Row],[Mã khách hàng]],'Khách hàng'!A:E,5,0)</f>
        <v>HN0040</v>
      </c>
    </row>
    <row r="3845" spans="1:9">
      <c r="A3845" s="45" t="s">
        <v>12893</v>
      </c>
      <c r="B3845" s="9" t="s">
        <v>5</v>
      </c>
      <c r="C3845" s="47" t="s">
        <v>12912</v>
      </c>
      <c r="D3845" s="21"/>
      <c r="E3845" s="37" t="s">
        <v>11208</v>
      </c>
      <c r="F3845" s="22" t="str">
        <f>VLOOKUP(Table8[[#This Row],[Mã khách hàng]],code_khach_hang[],2,0)</f>
        <v>CHI NHÁNH LẠNG SƠN - CÔNG TY CỔ PHẦN DỊCH VỤ THƯƠNG MẠI TỔNG HỢP WINCOMMERCE</v>
      </c>
      <c r="G3845" s="10" t="str">
        <f>VLOOKUP(Table8[[#This Row],[Mã khách hàng]],code_khach_hang[],3,0)</f>
        <v>Miền Bắc đặc biệt 2</v>
      </c>
      <c r="H3845" t="str">
        <f>VLOOKUP(Table8[[#This Row],[Mã khách hàng]],'Khách hàng'!A:D,4,0)</f>
        <v>Food Đức Việt</v>
      </c>
      <c r="I3845" t="str">
        <f>VLOOKUP(Table8[[#This Row],[Mã khách hàng]],'Khách hàng'!A:E,5,0)</f>
        <v>HN0040</v>
      </c>
    </row>
    <row r="3846" spans="1:9">
      <c r="A3846" s="46" t="s">
        <v>12894</v>
      </c>
      <c r="B3846" s="9" t="s">
        <v>5</v>
      </c>
      <c r="C3846" s="36" t="s">
        <v>12913</v>
      </c>
      <c r="D3846" s="21"/>
      <c r="E3846" s="37" t="s">
        <v>11215</v>
      </c>
      <c r="F3846" s="22" t="str">
        <f>VLOOKUP(Table8[[#This Row],[Mã khách hàng]],code_khach_hang[],2,0)</f>
        <v>CHI NHÁNH HÀ NỘI - CÔNG TY CỔ PHẦN DỊCH VỤ THƯƠNG MẠI TỔNG HỢP WINCOMMERCE</v>
      </c>
      <c r="G3846" s="16" t="str">
        <f>VLOOKUP(Table8[[#This Row],[Mã khách hàng]],code_khach_hang[],3,0)</f>
        <v>Miền Bắc đặc biệt 1</v>
      </c>
      <c r="H3846" t="str">
        <f>VLOOKUP(Table8[[#This Row],[Mã khách hàng]],'Khách hàng'!A:D,4,0)</f>
        <v>Food Đức Việt</v>
      </c>
      <c r="I3846" t="str">
        <f>VLOOKUP(Table8[[#This Row],[Mã khách hàng]],'Khách hàng'!A:E,5,0)</f>
        <v>HN0040</v>
      </c>
    </row>
    <row r="3847" spans="1:9">
      <c r="A3847" s="46" t="s">
        <v>12895</v>
      </c>
      <c r="B3847" s="9" t="s">
        <v>5</v>
      </c>
      <c r="C3847" s="36" t="s">
        <v>12914</v>
      </c>
      <c r="D3847" s="21"/>
      <c r="E3847" s="37" t="s">
        <v>11215</v>
      </c>
      <c r="F3847" s="22" t="str">
        <f>VLOOKUP(Table8[[#This Row],[Mã khách hàng]],code_khach_hang[],2,0)</f>
        <v>CHI NHÁNH HÀ NỘI - CÔNG TY CỔ PHẦN DỊCH VỤ THƯƠNG MẠI TỔNG HỢP WINCOMMERCE</v>
      </c>
      <c r="G3847" s="16" t="str">
        <f>VLOOKUP(Table8[[#This Row],[Mã khách hàng]],code_khach_hang[],3,0)</f>
        <v>Miền Bắc đặc biệt 1</v>
      </c>
      <c r="H3847" t="str">
        <f>VLOOKUP(Table8[[#This Row],[Mã khách hàng]],'Khách hàng'!A:D,4,0)</f>
        <v>Food Đức Việt</v>
      </c>
      <c r="I3847" t="str">
        <f>VLOOKUP(Table8[[#This Row],[Mã khách hàng]],'Khách hàng'!A:E,5,0)</f>
        <v>HN0040</v>
      </c>
    </row>
    <row r="3848" spans="1:9">
      <c r="A3848" s="46" t="s">
        <v>12896</v>
      </c>
      <c r="B3848" s="9" t="s">
        <v>5</v>
      </c>
      <c r="C3848" s="36" t="s">
        <v>12915</v>
      </c>
      <c r="D3848" s="21"/>
      <c r="E3848" s="37" t="s">
        <v>11207</v>
      </c>
      <c r="F3848" s="22" t="str">
        <f>VLOOKUP(Table8[[#This Row],[Mã khách hàng]],code_khach_hang[],2,0)</f>
        <v>CHI NHÁNH THÁI NGUYÊN - CÔNG TY CỔ PHẦN DỊCH VỤ THƯƠNG MẠI TỔNG HỢP WINCOMMERCE</v>
      </c>
      <c r="G3848" s="16" t="str">
        <f>VLOOKUP(Table8[[#This Row],[Mã khách hàng]],code_khach_hang[],3,0)</f>
        <v>Miền Bắc đặc biệt 2</v>
      </c>
      <c r="H3848" t="str">
        <f>VLOOKUP(Table8[[#This Row],[Mã khách hàng]],'Khách hàng'!A:D,4,0)</f>
        <v>Food Đức Việt</v>
      </c>
      <c r="I3848" t="str">
        <f>VLOOKUP(Table8[[#This Row],[Mã khách hàng]],'Khách hàng'!A:E,5,0)</f>
        <v>HN0040</v>
      </c>
    </row>
    <row r="3849" spans="1:9">
      <c r="A3849" s="46" t="s">
        <v>12897</v>
      </c>
      <c r="B3849" s="9" t="s">
        <v>5</v>
      </c>
      <c r="C3849" s="36" t="s">
        <v>12916</v>
      </c>
      <c r="D3849" s="21"/>
      <c r="E3849" s="37" t="s">
        <v>11193</v>
      </c>
      <c r="F3849" s="22" t="str">
        <f>VLOOKUP(Table8[[#This Row],[Mã khách hàng]],code_khach_hang[],2,0)</f>
        <v>CHI NHÁNH BẮC NINH - CÔNG TY CỔ PHẦN DỊCH VỤ THƯƠNG MẠI TỔNG HỢP WINCOMMERCE</v>
      </c>
      <c r="G3849" s="16" t="str">
        <f>VLOOKUP(Table8[[#This Row],[Mã khách hàng]],code_khach_hang[],3,0)</f>
        <v>Miền Bắc đặc biệt 2</v>
      </c>
      <c r="H3849" t="str">
        <f>VLOOKUP(Table8[[#This Row],[Mã khách hàng]],'Khách hàng'!A:D,4,0)</f>
        <v>Food Đức Việt</v>
      </c>
      <c r="I3849" t="str">
        <f>VLOOKUP(Table8[[#This Row],[Mã khách hàng]],'Khách hàng'!A:E,5,0)</f>
        <v>HN0040</v>
      </c>
    </row>
    <row r="3850" spans="1:9">
      <c r="A3850" s="46" t="s">
        <v>12898</v>
      </c>
      <c r="B3850" s="9" t="s">
        <v>5</v>
      </c>
      <c r="C3850" s="36" t="s">
        <v>12917</v>
      </c>
      <c r="D3850" s="21"/>
      <c r="E3850" s="37" t="s">
        <v>11206</v>
      </c>
      <c r="F3850" s="22" t="str">
        <f>VLOOKUP(Table8[[#This Row],[Mã khách hàng]],code_khach_hang[],2,0)</f>
        <v>CHI NHÁNH SƠN LA - CÔNG TY CỔ PHẦN DỊCH VỤ THƯƠNG MẠI TỔNG HỢP WINCOMMERCE</v>
      </c>
      <c r="G3850" s="16" t="str">
        <f>VLOOKUP(Table8[[#This Row],[Mã khách hàng]],code_khach_hang[],3,0)</f>
        <v>Miền Bắc đặc biệt 1</v>
      </c>
      <c r="H3850" t="str">
        <f>VLOOKUP(Table8[[#This Row],[Mã khách hàng]],'Khách hàng'!A:D,4,0)</f>
        <v>Food Đức Việt</v>
      </c>
      <c r="I3850" t="str">
        <f>VLOOKUP(Table8[[#This Row],[Mã khách hàng]],'Khách hàng'!A:E,5,0)</f>
        <v>HN0040</v>
      </c>
    </row>
    <row r="3851" spans="1:9">
      <c r="A3851" s="46" t="s">
        <v>12899</v>
      </c>
      <c r="B3851" s="9" t="s">
        <v>5</v>
      </c>
      <c r="C3851" s="36" t="s">
        <v>12918</v>
      </c>
      <c r="D3851" s="21"/>
      <c r="E3851" s="37" t="s">
        <v>11215</v>
      </c>
      <c r="F3851" s="22" t="str">
        <f>VLOOKUP(Table8[[#This Row],[Mã khách hàng]],code_khach_hang[],2,0)</f>
        <v>CHI NHÁNH HÀ NỘI - CÔNG TY CỔ PHẦN DỊCH VỤ THƯƠNG MẠI TỔNG HỢP WINCOMMERCE</v>
      </c>
      <c r="G3851" s="16" t="str">
        <f>VLOOKUP(Table8[[#This Row],[Mã khách hàng]],code_khach_hang[],3,0)</f>
        <v>Miền Bắc đặc biệt 1</v>
      </c>
      <c r="H3851" t="str">
        <f>VLOOKUP(Table8[[#This Row],[Mã khách hàng]],'Khách hàng'!A:D,4,0)</f>
        <v>Food Đức Việt</v>
      </c>
      <c r="I3851" t="str">
        <f>VLOOKUP(Table8[[#This Row],[Mã khách hàng]],'Khách hàng'!A:E,5,0)</f>
        <v>HN0040</v>
      </c>
    </row>
    <row r="3852" spans="1:9">
      <c r="A3852" s="46" t="s">
        <v>12900</v>
      </c>
      <c r="B3852" s="9" t="s">
        <v>5</v>
      </c>
      <c r="C3852" s="36" t="s">
        <v>12919</v>
      </c>
      <c r="D3852" s="21"/>
      <c r="E3852" s="37" t="s">
        <v>11193</v>
      </c>
      <c r="F3852" s="22" t="str">
        <f>VLOOKUP(Table8[[#This Row],[Mã khách hàng]],code_khach_hang[],2,0)</f>
        <v>CHI NHÁNH BẮC NINH - CÔNG TY CỔ PHẦN DỊCH VỤ THƯƠNG MẠI TỔNG HỢP WINCOMMERCE</v>
      </c>
      <c r="G3852" s="16" t="str">
        <f>VLOOKUP(Table8[[#This Row],[Mã khách hàng]],code_khach_hang[],3,0)</f>
        <v>Miền Bắc đặc biệt 2</v>
      </c>
      <c r="H3852" t="str">
        <f>VLOOKUP(Table8[[#This Row],[Mã khách hàng]],'Khách hàng'!A:D,4,0)</f>
        <v>Food Đức Việt</v>
      </c>
      <c r="I3852" t="str">
        <f>VLOOKUP(Table8[[#This Row],[Mã khách hàng]],'Khách hàng'!A:E,5,0)</f>
        <v>HN0040</v>
      </c>
    </row>
    <row r="3853" spans="1:9">
      <c r="A3853" s="46" t="s">
        <v>12901</v>
      </c>
      <c r="B3853" s="9" t="s">
        <v>5</v>
      </c>
      <c r="C3853" s="36" t="s">
        <v>12920</v>
      </c>
      <c r="D3853" s="21"/>
      <c r="E3853" s="37" t="s">
        <v>11193</v>
      </c>
      <c r="F3853" s="22" t="str">
        <f>VLOOKUP(Table8[[#This Row],[Mã khách hàng]],code_khach_hang[],2,0)</f>
        <v>CHI NHÁNH BẮC NINH - CÔNG TY CỔ PHẦN DỊCH VỤ THƯƠNG MẠI TỔNG HỢP WINCOMMERCE</v>
      </c>
      <c r="G3853" s="16" t="str">
        <f>VLOOKUP(Table8[[#This Row],[Mã khách hàng]],code_khach_hang[],3,0)</f>
        <v>Miền Bắc đặc biệt 2</v>
      </c>
      <c r="H3853" t="str">
        <f>VLOOKUP(Table8[[#This Row],[Mã khách hàng]],'Khách hàng'!A:D,4,0)</f>
        <v>Food Đức Việt</v>
      </c>
      <c r="I3853" t="str">
        <f>VLOOKUP(Table8[[#This Row],[Mã khách hàng]],'Khách hàng'!A:E,5,0)</f>
        <v>HN0040</v>
      </c>
    </row>
    <row r="3854" spans="1:9">
      <c r="A3854" s="46" t="s">
        <v>12902</v>
      </c>
      <c r="B3854" s="9" t="s">
        <v>5</v>
      </c>
      <c r="C3854" s="36" t="s">
        <v>12921</v>
      </c>
      <c r="D3854" s="21"/>
      <c r="E3854" s="37" t="s">
        <v>11198</v>
      </c>
      <c r="F3854" s="22" t="str">
        <f>VLOOKUP(Table8[[#This Row],[Mã khách hàng]],code_khach_hang[],2,0)</f>
        <v>CHI NHÁNH HẢI PHÒNG - CÔNG TY CỔ PHẦN DỊCH VỤ THƯƠNG MẠI TỔNG HỢP WINCOMMERCE</v>
      </c>
      <c r="G3854" s="16" t="str">
        <f>VLOOKUP(Table8[[#This Row],[Mã khách hàng]],code_khach_hang[],3,0)</f>
        <v>Miền Bắc đặc biệt 3</v>
      </c>
      <c r="H3854" t="str">
        <f>VLOOKUP(Table8[[#This Row],[Mã khách hàng]],'Khách hàng'!A:D,4,0)</f>
        <v>Food Đức Việt</v>
      </c>
      <c r="I3854" t="str">
        <f>VLOOKUP(Table8[[#This Row],[Mã khách hàng]],'Khách hàng'!A:E,5,0)</f>
        <v>HN0040</v>
      </c>
    </row>
    <row r="3855" spans="1:9">
      <c r="A3855" s="46" t="s">
        <v>12903</v>
      </c>
      <c r="B3855" s="9" t="s">
        <v>5</v>
      </c>
      <c r="C3855" s="36" t="s">
        <v>12922</v>
      </c>
      <c r="D3855" s="21"/>
      <c r="E3855" s="37" t="s">
        <v>11193</v>
      </c>
      <c r="F3855" s="22" t="str">
        <f>VLOOKUP(Table8[[#This Row],[Mã khách hàng]],code_khach_hang[],2,0)</f>
        <v>CHI NHÁNH BẮC NINH - CÔNG TY CỔ PHẦN DỊCH VỤ THƯƠNG MẠI TỔNG HỢP WINCOMMERCE</v>
      </c>
      <c r="G3855" s="16" t="str">
        <f>VLOOKUP(Table8[[#This Row],[Mã khách hàng]],code_khach_hang[],3,0)</f>
        <v>Miền Bắc đặc biệt 2</v>
      </c>
      <c r="H3855" t="str">
        <f>VLOOKUP(Table8[[#This Row],[Mã khách hàng]],'Khách hàng'!A:D,4,0)</f>
        <v>Food Đức Việt</v>
      </c>
      <c r="I3855" t="str">
        <f>VLOOKUP(Table8[[#This Row],[Mã khách hàng]],'Khách hàng'!A:E,5,0)</f>
        <v>HN0040</v>
      </c>
    </row>
    <row r="3856" spans="1:9">
      <c r="A3856" s="46" t="s">
        <v>12904</v>
      </c>
      <c r="B3856" s="9" t="s">
        <v>5</v>
      </c>
      <c r="C3856" s="36" t="s">
        <v>12923</v>
      </c>
      <c r="D3856" s="21"/>
      <c r="E3856" s="37" t="s">
        <v>11199</v>
      </c>
      <c r="F3856" s="22" t="str">
        <f>VLOOKUP(Table8[[#This Row],[Mã khách hàng]],code_khach_hang[],2,0)</f>
        <v>CHI NHÁNH PHÚ THỌ - CÔNG TY CỔ PHẦN DỊCH VỤ THƯƠNG MẠI TỔNG HỢP WINCOMMERCE</v>
      </c>
      <c r="G3856" s="16" t="str">
        <f>VLOOKUP(Table8[[#This Row],[Mã khách hàng]],code_khach_hang[],3,0)</f>
        <v>Miền Bắc đặc biệt 1</v>
      </c>
      <c r="H3856" t="str">
        <f>VLOOKUP(Table8[[#This Row],[Mã khách hàng]],'Khách hàng'!A:D,4,0)</f>
        <v>Food Đức Việt</v>
      </c>
      <c r="I3856" t="str">
        <f>VLOOKUP(Table8[[#This Row],[Mã khách hàng]],'Khách hàng'!A:E,5,0)</f>
        <v>HN0040</v>
      </c>
    </row>
    <row r="3857" spans="1:9">
      <c r="A3857" s="46" t="s">
        <v>12905</v>
      </c>
      <c r="B3857" s="9" t="s">
        <v>5</v>
      </c>
      <c r="C3857" s="36" t="s">
        <v>12924</v>
      </c>
      <c r="D3857" s="21"/>
      <c r="E3857" s="37" t="s">
        <v>11199</v>
      </c>
      <c r="F3857" s="22" t="str">
        <f>VLOOKUP(Table8[[#This Row],[Mã khách hàng]],code_khach_hang[],2,0)</f>
        <v>CHI NHÁNH PHÚ THỌ - CÔNG TY CỔ PHẦN DỊCH VỤ THƯƠNG MẠI TỔNG HỢP WINCOMMERCE</v>
      </c>
      <c r="G3857" s="16" t="str">
        <f>VLOOKUP(Table8[[#This Row],[Mã khách hàng]],code_khach_hang[],3,0)</f>
        <v>Miền Bắc đặc biệt 1</v>
      </c>
      <c r="H3857" t="str">
        <f>VLOOKUP(Table8[[#This Row],[Mã khách hàng]],'Khách hàng'!A:D,4,0)</f>
        <v>Food Đức Việt</v>
      </c>
      <c r="I3857" t="str">
        <f>VLOOKUP(Table8[[#This Row],[Mã khách hàng]],'Khách hàng'!A:E,5,0)</f>
        <v>HN0040</v>
      </c>
    </row>
    <row r="3858" spans="1:9">
      <c r="A3858" s="46" t="s">
        <v>12906</v>
      </c>
      <c r="B3858" s="9" t="s">
        <v>5</v>
      </c>
      <c r="C3858" s="36" t="s">
        <v>12925</v>
      </c>
      <c r="D3858" s="21"/>
      <c r="E3858" s="37" t="s">
        <v>11204</v>
      </c>
      <c r="F3858" s="22" t="str">
        <f>VLOOKUP(Table8[[#This Row],[Mã khách hàng]],code_khach_hang[],2,0)</f>
        <v>CHI NHÁNH TUYÊN QUANG - CÔNG TY CỔ PHẦN DỊCH VỤ THƯƠNG MẠI TỔNG HỢP WINCOMMERCE</v>
      </c>
      <c r="G3858" s="16" t="str">
        <f>VLOOKUP(Table8[[#This Row],[Mã khách hàng]],code_khach_hang[],3,0)</f>
        <v>Miền Bắc đặc biệt 2</v>
      </c>
      <c r="H3858" t="str">
        <f>VLOOKUP(Table8[[#This Row],[Mã khách hàng]],'Khách hàng'!A:D,4,0)</f>
        <v>Food Đức Việt</v>
      </c>
      <c r="I3858" t="str">
        <f>VLOOKUP(Table8[[#This Row],[Mã khách hàng]],'Khách hàng'!A:E,5,0)</f>
        <v>HN0040</v>
      </c>
    </row>
    <row r="3859" spans="1:9">
      <c r="A3859" s="46" t="s">
        <v>12907</v>
      </c>
      <c r="B3859" s="9" t="s">
        <v>5</v>
      </c>
      <c r="C3859" s="36" t="s">
        <v>12926</v>
      </c>
      <c r="D3859" s="21"/>
      <c r="E3859" s="37" t="s">
        <v>11193</v>
      </c>
      <c r="F3859" s="22" t="str">
        <f>VLOOKUP(Table8[[#This Row],[Mã khách hàng]],code_khach_hang[],2,0)</f>
        <v>CHI NHÁNH BẮC NINH - CÔNG TY CỔ PHẦN DỊCH VỤ THƯƠNG MẠI TỔNG HỢP WINCOMMERCE</v>
      </c>
      <c r="G3859" s="16" t="str">
        <f>VLOOKUP(Table8[[#This Row],[Mã khách hàng]],code_khach_hang[],3,0)</f>
        <v>Miền Bắc đặc biệt 2</v>
      </c>
      <c r="H3859" t="str">
        <f>VLOOKUP(Table8[[#This Row],[Mã khách hàng]],'Khách hàng'!A:D,4,0)</f>
        <v>Food Đức Việt</v>
      </c>
      <c r="I3859" t="str">
        <f>VLOOKUP(Table8[[#This Row],[Mã khách hàng]],'Khách hàng'!A:E,5,0)</f>
        <v>HN0040</v>
      </c>
    </row>
    <row r="3860" spans="1:9">
      <c r="A3860" s="46" t="s">
        <v>12908</v>
      </c>
      <c r="B3860" s="9" t="s">
        <v>5</v>
      </c>
      <c r="C3860" s="36" t="s">
        <v>12927</v>
      </c>
      <c r="D3860" s="21"/>
      <c r="E3860" s="37" t="s">
        <v>11207</v>
      </c>
      <c r="F3860" s="22" t="str">
        <f>VLOOKUP(Table8[[#This Row],[Mã khách hàng]],code_khach_hang[],2,0)</f>
        <v>CHI NHÁNH THÁI NGUYÊN - CÔNG TY CỔ PHẦN DỊCH VỤ THƯƠNG MẠI TỔNG HỢP WINCOMMERCE</v>
      </c>
      <c r="G3860" s="16" t="str">
        <f>VLOOKUP(Table8[[#This Row],[Mã khách hàng]],code_khach_hang[],3,0)</f>
        <v>Miền Bắc đặc biệt 2</v>
      </c>
      <c r="H3860" t="str">
        <f>VLOOKUP(Table8[[#This Row],[Mã khách hàng]],'Khách hàng'!A:D,4,0)</f>
        <v>Food Đức Việt</v>
      </c>
      <c r="I3860" t="str">
        <f>VLOOKUP(Table8[[#This Row],[Mã khách hàng]],'Khách hàng'!A:E,5,0)</f>
        <v>HN0040</v>
      </c>
    </row>
    <row r="3861" spans="1:9">
      <c r="A3861" s="46" t="s">
        <v>12909</v>
      </c>
      <c r="B3861" s="9" t="s">
        <v>5</v>
      </c>
      <c r="C3861" s="36" t="s">
        <v>12928</v>
      </c>
      <c r="D3861" s="21"/>
      <c r="E3861" s="37" t="s">
        <v>11193</v>
      </c>
      <c r="F3861" s="22" t="str">
        <f>VLOOKUP(Table8[[#This Row],[Mã khách hàng]],code_khach_hang[],2,0)</f>
        <v>CHI NHÁNH BẮC NINH - CÔNG TY CỔ PHẦN DỊCH VỤ THƯƠNG MẠI TỔNG HỢP WINCOMMERCE</v>
      </c>
      <c r="G3861" s="16" t="str">
        <f>VLOOKUP(Table8[[#This Row],[Mã khách hàng]],code_khach_hang[],3,0)</f>
        <v>Miền Bắc đặc biệt 2</v>
      </c>
      <c r="H3861" t="str">
        <f>VLOOKUP(Table8[[#This Row],[Mã khách hàng]],'Khách hàng'!A:D,4,0)</f>
        <v>Food Đức Việt</v>
      </c>
      <c r="I3861" t="str">
        <f>VLOOKUP(Table8[[#This Row],[Mã khách hàng]],'Khách hàng'!A:E,5,0)</f>
        <v>HN0040</v>
      </c>
    </row>
    <row r="3862" spans="1:9">
      <c r="A3862" s="46" t="s">
        <v>12910</v>
      </c>
      <c r="B3862" s="9" t="s">
        <v>5</v>
      </c>
      <c r="C3862" s="36" t="s">
        <v>12929</v>
      </c>
      <c r="D3862" s="21"/>
      <c r="E3862" s="37" t="s">
        <v>11208</v>
      </c>
      <c r="F3862" s="22" t="str">
        <f>VLOOKUP(Table8[[#This Row],[Mã khách hàng]],code_khach_hang[],2,0)</f>
        <v>CHI NHÁNH LẠNG SƠN - CÔNG TY CỔ PHẦN DỊCH VỤ THƯƠNG MẠI TỔNG HỢP WINCOMMERCE</v>
      </c>
      <c r="G3862" s="16" t="str">
        <f>VLOOKUP(Table8[[#This Row],[Mã khách hàng]],code_khach_hang[],3,0)</f>
        <v>Miền Bắc đặc biệt 2</v>
      </c>
      <c r="H3862" t="str">
        <f>VLOOKUP(Table8[[#This Row],[Mã khách hàng]],'Khách hàng'!A:D,4,0)</f>
        <v>Food Đức Việt</v>
      </c>
      <c r="I3862" t="str">
        <f>VLOOKUP(Table8[[#This Row],[Mã khách hàng]],'Khách hàng'!A:E,5,0)</f>
        <v>HN0040</v>
      </c>
    </row>
    <row r="3863" spans="1:9">
      <c r="A3863" s="46" t="s">
        <v>12911</v>
      </c>
      <c r="B3863" s="9" t="s">
        <v>5</v>
      </c>
      <c r="C3863" s="36" t="s">
        <v>12930</v>
      </c>
      <c r="D3863" s="21"/>
      <c r="E3863" s="37" t="s">
        <v>11215</v>
      </c>
      <c r="F3863" s="22" t="str">
        <f>VLOOKUP(Table8[[#This Row],[Mã khách hàng]],code_khach_hang[],2,0)</f>
        <v>CHI NHÁNH HÀ NỘI - CÔNG TY CỔ PHẦN DỊCH VỤ THƯƠNG MẠI TỔNG HỢP WINCOMMERCE</v>
      </c>
      <c r="G3863" s="16" t="str">
        <f>VLOOKUP(Table8[[#This Row],[Mã khách hàng]],code_khach_hang[],3,0)</f>
        <v>Miền Bắc đặc biệt 1</v>
      </c>
      <c r="H3863" t="str">
        <f>VLOOKUP(Table8[[#This Row],[Mã khách hàng]],'Khách hàng'!A:D,4,0)</f>
        <v>Food Đức Việt</v>
      </c>
      <c r="I3863" t="str">
        <f>VLOOKUP(Table8[[#This Row],[Mã khách hàng]],'Khách hàng'!A:E,5,0)</f>
        <v>HN0040</v>
      </c>
    </row>
    <row r="3864" spans="1:9">
      <c r="A3864" s="45" t="s">
        <v>12931</v>
      </c>
      <c r="B3864" s="9" t="s">
        <v>5</v>
      </c>
      <c r="C3864" s="47" t="s">
        <v>12932</v>
      </c>
      <c r="D3864" s="21"/>
      <c r="E3864" s="37" t="s">
        <v>11218</v>
      </c>
      <c r="F3864" s="22" t="str">
        <f>VLOOKUP(Table8[[#This Row],[Mã khách hàng]],code_khach_hang[],2,0)</f>
        <v>CHI NHÁNH LÀO CAI - CÔNG TY CỔ PHẦN DỊCH VỤ THƯƠNG MẠI TỔNG HỢP WINCOMMERCE</v>
      </c>
      <c r="G3864" s="10" t="str">
        <f>VLOOKUP(Table8[[#This Row],[Mã khách hàng]],code_khach_hang[],3,0)</f>
        <v>Miền Bắc đặc biệt 1</v>
      </c>
      <c r="H3864" t="str">
        <f>VLOOKUP(Table8[[#This Row],[Mã khách hàng]],'Khách hàng'!A:D,4,0)</f>
        <v>Food Đức Việt</v>
      </c>
      <c r="I3864" t="str">
        <f>VLOOKUP(Table8[[#This Row],[Mã khách hàng]],'Khách hàng'!A:E,5,0)</f>
        <v>HN0040</v>
      </c>
    </row>
    <row r="3865" spans="1:9">
      <c r="A3865" s="45" t="s">
        <v>12937</v>
      </c>
      <c r="B3865" s="9" t="s">
        <v>5</v>
      </c>
      <c r="C3865" s="47" t="s">
        <v>12938</v>
      </c>
      <c r="D3865" s="21"/>
      <c r="E3865" s="37" t="s">
        <v>11215</v>
      </c>
      <c r="F3865" s="22" t="str">
        <f>VLOOKUP(Table8[[#This Row],[Mã khách hàng]],code_khach_hang[],2,0)</f>
        <v>CHI NHÁNH HÀ NỘI - CÔNG TY CỔ PHẦN DỊCH VỤ THƯƠNG MẠI TỔNG HỢP WINCOMMERCE</v>
      </c>
      <c r="G3865" s="10" t="str">
        <f>VLOOKUP(Table8[[#This Row],[Mã khách hàng]],code_khach_hang[],3,0)</f>
        <v>Miền Bắc đặc biệt 1</v>
      </c>
      <c r="H3865" t="str">
        <f>VLOOKUP(Table8[[#This Row],[Mã khách hàng]],'Khách hàng'!A:D,4,0)</f>
        <v>Food Đức Việt</v>
      </c>
      <c r="I3865" t="str">
        <f>VLOOKUP(Table8[[#This Row],[Mã khách hàng]],'Khách hàng'!A:E,5,0)</f>
        <v>HN0040</v>
      </c>
    </row>
    <row r="3866" spans="1:9">
      <c r="A3866" s="45" t="s">
        <v>12939</v>
      </c>
      <c r="B3866" s="9" t="s">
        <v>5</v>
      </c>
      <c r="C3866" s="47" t="s">
        <v>12941</v>
      </c>
      <c r="D3866" s="21"/>
      <c r="E3866" s="37" t="s">
        <v>11196</v>
      </c>
      <c r="F3866" s="22" t="str">
        <f>VLOOKUP(Table8[[#This Row],[Mã khách hàng]],code_khach_hang[],2,0)</f>
        <v>CHI NHÁNH NINH BÌNH - CÔNG TY CỔ PHẦN DỊCH VỤ THƯƠNG MẠI TỔNG HỢP WINCOMMERCE</v>
      </c>
      <c r="G3866" s="10" t="str">
        <f>VLOOKUP(Table8[[#This Row],[Mã khách hàng]],code_khach_hang[],3,0)</f>
        <v>Miền Bắc đặc biệt 3</v>
      </c>
      <c r="H3866" t="str">
        <f>VLOOKUP(Table8[[#This Row],[Mã khách hàng]],'Khách hàng'!A:D,4,0)</f>
        <v>Food Đức Việt</v>
      </c>
      <c r="I3866" t="str">
        <f>VLOOKUP(Table8[[#This Row],[Mã khách hàng]],'Khách hàng'!A:E,5,0)</f>
        <v>HN0040</v>
      </c>
    </row>
    <row r="3867" spans="1:9">
      <c r="A3867" s="46" t="s">
        <v>12940</v>
      </c>
      <c r="B3867" s="9" t="s">
        <v>5</v>
      </c>
      <c r="C3867" s="47" t="s">
        <v>12942</v>
      </c>
      <c r="D3867" s="21"/>
      <c r="E3867" s="37" t="s">
        <v>11196</v>
      </c>
      <c r="F3867" s="22" t="str">
        <f>VLOOKUP(Table8[[#This Row],[Mã khách hàng]],code_khach_hang[],2,0)</f>
        <v>CHI NHÁNH NINH BÌNH - CÔNG TY CỔ PHẦN DỊCH VỤ THƯƠNG MẠI TỔNG HỢP WINCOMMERCE</v>
      </c>
      <c r="G3867" s="16" t="str">
        <f>VLOOKUP(Table8[[#This Row],[Mã khách hàng]],code_khach_hang[],3,0)</f>
        <v>Miền Bắc đặc biệt 3</v>
      </c>
      <c r="H3867" t="str">
        <f>VLOOKUP(Table8[[#This Row],[Mã khách hàng]],'Khách hàng'!A:D,4,0)</f>
        <v>Food Đức Việt</v>
      </c>
      <c r="I3867" t="str">
        <f>VLOOKUP(Table8[[#This Row],[Mã khách hàng]],'Khách hàng'!A:E,5,0)</f>
        <v>HN0040</v>
      </c>
    </row>
    <row r="3868" spans="1:9">
      <c r="A3868" s="11" t="s">
        <v>12943</v>
      </c>
      <c r="B3868" s="9" t="s">
        <v>5</v>
      </c>
      <c r="C3868" t="s">
        <v>12945</v>
      </c>
      <c r="D3868" s="21"/>
      <c r="E3868" s="48" t="s">
        <v>11199</v>
      </c>
      <c r="F3868" s="22" t="str">
        <f>VLOOKUP(Table8[[#This Row],[Mã khách hàng]],code_khach_hang[],2,0)</f>
        <v>CHI NHÁNH PHÚ THỌ - CÔNG TY CỔ PHẦN DỊCH VỤ THƯƠNG MẠI TỔNG HỢP WINCOMMERCE</v>
      </c>
      <c r="G3868" s="10" t="str">
        <f>VLOOKUP(Table8[[#This Row],[Mã khách hàng]],code_khach_hang[],3,0)</f>
        <v>Miền Bắc đặc biệt 1</v>
      </c>
      <c r="H3868" t="str">
        <f>VLOOKUP(Table8[[#This Row],[Mã khách hàng]],'Khách hàng'!A:D,4,0)</f>
        <v>Food Đức Việt</v>
      </c>
      <c r="I3868" t="str">
        <f>VLOOKUP(Table8[[#This Row],[Mã khách hàng]],'Khách hàng'!A:E,5,0)</f>
        <v>HN0040</v>
      </c>
    </row>
    <row r="3869" spans="1:9">
      <c r="A3869" s="14" t="s">
        <v>12944</v>
      </c>
      <c r="B3869" s="9" t="s">
        <v>5</v>
      </c>
      <c r="C3869" t="s">
        <v>12946</v>
      </c>
      <c r="D3869" s="21"/>
      <c r="E3869" s="33" t="s">
        <v>11193</v>
      </c>
      <c r="F3869" s="22" t="str">
        <f>VLOOKUP(Table8[[#This Row],[Mã khách hàng]],code_khach_hang[],2,0)</f>
        <v>CHI NHÁNH BẮC NINH - CÔNG TY CỔ PHẦN DỊCH VỤ THƯƠNG MẠI TỔNG HỢP WINCOMMERCE</v>
      </c>
      <c r="G3869" s="16" t="str">
        <f>VLOOKUP(Table8[[#This Row],[Mã khách hàng]],code_khach_hang[],3,0)</f>
        <v>Miền Bắc đặc biệt 2</v>
      </c>
      <c r="H3869" t="str">
        <f>VLOOKUP(Table8[[#This Row],[Mã khách hàng]],'Khách hàng'!A:D,4,0)</f>
        <v>Food Đức Việt</v>
      </c>
      <c r="I3869" t="str">
        <f>VLOOKUP(Table8[[#This Row],[Mã khách hàng]],'Khách hàng'!A:E,5,0)</f>
        <v>HN0040</v>
      </c>
    </row>
    <row r="3870" spans="1:9">
      <c r="A3870" s="46" t="s">
        <v>12950</v>
      </c>
      <c r="B3870" s="9" t="s">
        <v>5</v>
      </c>
      <c r="C3870" s="36" t="s">
        <v>12951</v>
      </c>
      <c r="D3870" s="21"/>
      <c r="E3870" s="37" t="s">
        <v>11216</v>
      </c>
      <c r="F3870" s="22" t="str">
        <f>VLOOKUP(Table8[[#This Row],[Mã khách hàng]],code_khach_hang[],2,0)</f>
        <v>CHI NHÁNH HƯNG YÊN - CÔNG TY CỔ PHẦN DỊCH VỤ THƯƠNG MẠI TỔNG HỢP WINCOMMERCE</v>
      </c>
      <c r="G3870" s="16" t="str">
        <f>VLOOKUP(Table8[[#This Row],[Mã khách hàng]],code_khach_hang[],3,0)</f>
        <v>Miền Bắc đặc biệt 1</v>
      </c>
      <c r="H3870" t="str">
        <f>VLOOKUP(Table8[[#This Row],[Mã khách hàng]],'Khách hàng'!A:D,4,0)</f>
        <v>Food Đức Việt</v>
      </c>
      <c r="I3870" t="str">
        <f>VLOOKUP(Table8[[#This Row],[Mã khách hàng]],'Khách hàng'!A:E,5,0)</f>
        <v>HN0040</v>
      </c>
    </row>
    <row r="3871" spans="1:9">
      <c r="A3871" s="46" t="s">
        <v>12952</v>
      </c>
      <c r="B3871" s="9" t="s">
        <v>5</v>
      </c>
      <c r="C3871" s="36" t="s">
        <v>12953</v>
      </c>
      <c r="D3871" s="21"/>
      <c r="E3871" s="37" t="s">
        <v>11203</v>
      </c>
      <c r="F3871" s="22" t="str">
        <f>VLOOKUP(Table8[[#This Row],[Mã khách hàng]],code_khach_hang[],2,0)</f>
        <v>CHI NHÁNH THANH HÓA - CÔNG TY CỔ PHẦN DỊCH VỤ THƯƠNG MẠI TỔNG HỢP WINCOMMERCE</v>
      </c>
      <c r="G3871" s="16" t="str">
        <f>VLOOKUP(Table8[[#This Row],[Mã khách hàng]],code_khach_hang[],3,0)</f>
        <v>Miền Trung đặc biệt 1</v>
      </c>
      <c r="H3871" t="str">
        <f>VLOOKUP(Table8[[#This Row],[Mã khách hàng]],'Khách hàng'!A:D,4,0)</f>
        <v>Food Đức Việt</v>
      </c>
      <c r="I3871" t="str">
        <f>VLOOKUP(Table8[[#This Row],[Mã khách hàng]],'Khách hàng'!A:E,5,0)</f>
        <v>HN0040</v>
      </c>
    </row>
    <row r="3872" spans="1:9">
      <c r="A3872" s="46" t="s">
        <v>12954</v>
      </c>
      <c r="B3872" s="9" t="s">
        <v>5</v>
      </c>
      <c r="C3872" s="36" t="s">
        <v>12955</v>
      </c>
      <c r="D3872" s="21"/>
      <c r="E3872" s="37" t="s">
        <v>11218</v>
      </c>
      <c r="F3872" s="22" t="str">
        <f>VLOOKUP(Table8[[#This Row],[Mã khách hàng]],code_khach_hang[],2,0)</f>
        <v>CHI NHÁNH LÀO CAI - CÔNG TY CỔ PHẦN DỊCH VỤ THƯƠNG MẠI TỔNG HỢP WINCOMMERCE</v>
      </c>
      <c r="G3872" s="16" t="str">
        <f>VLOOKUP(Table8[[#This Row],[Mã khách hàng]],code_khach_hang[],3,0)</f>
        <v>Miền Bắc đặc biệt 1</v>
      </c>
      <c r="H3872" t="str">
        <f>VLOOKUP(Table8[[#This Row],[Mã khách hàng]],'Khách hàng'!A:D,4,0)</f>
        <v>Food Đức Việt</v>
      </c>
      <c r="I3872" t="str">
        <f>VLOOKUP(Table8[[#This Row],[Mã khách hàng]],'Khách hàng'!A:E,5,0)</f>
        <v>HN0040</v>
      </c>
    </row>
    <row r="3873" spans="1:9">
      <c r="A3873" s="46" t="s">
        <v>12956</v>
      </c>
      <c r="B3873" s="9" t="s">
        <v>5</v>
      </c>
      <c r="C3873" s="36" t="s">
        <v>12957</v>
      </c>
      <c r="D3873" s="21"/>
      <c r="E3873" s="37" t="s">
        <v>11218</v>
      </c>
      <c r="F3873" s="22" t="str">
        <f>VLOOKUP(Table8[[#This Row],[Mã khách hàng]],code_khach_hang[],2,0)</f>
        <v>CHI NHÁNH LÀO CAI - CÔNG TY CỔ PHẦN DỊCH VỤ THƯƠNG MẠI TỔNG HỢP WINCOMMERCE</v>
      </c>
      <c r="G3873" s="16" t="str">
        <f>VLOOKUP(Table8[[#This Row],[Mã khách hàng]],code_khach_hang[],3,0)</f>
        <v>Miền Bắc đặc biệt 1</v>
      </c>
      <c r="H3873" t="str">
        <f>VLOOKUP(Table8[[#This Row],[Mã khách hàng]],'Khách hàng'!A:D,4,0)</f>
        <v>Food Đức Việt</v>
      </c>
      <c r="I3873" t="str">
        <f>VLOOKUP(Table8[[#This Row],[Mã khách hàng]],'Khách hàng'!A:E,5,0)</f>
        <v>HN0040</v>
      </c>
    </row>
    <row r="3874" spans="1:9">
      <c r="A3874" s="46" t="s">
        <v>12958</v>
      </c>
      <c r="B3874" s="9" t="s">
        <v>5</v>
      </c>
      <c r="C3874" s="36" t="s">
        <v>12959</v>
      </c>
      <c r="D3874" s="21"/>
      <c r="E3874" s="37" t="s">
        <v>11193</v>
      </c>
      <c r="F3874" s="22" t="str">
        <f>VLOOKUP(Table8[[#This Row],[Mã khách hàng]],code_khach_hang[],2,0)</f>
        <v>CHI NHÁNH BẮC NINH - CÔNG TY CỔ PHẦN DỊCH VỤ THƯƠNG MẠI TỔNG HỢP WINCOMMERCE</v>
      </c>
      <c r="G3874" s="16" t="str">
        <f>VLOOKUP(Table8[[#This Row],[Mã khách hàng]],code_khach_hang[],3,0)</f>
        <v>Miền Bắc đặc biệt 2</v>
      </c>
      <c r="H3874" t="str">
        <f>VLOOKUP(Table8[[#This Row],[Mã khách hàng]],'Khách hàng'!A:D,4,0)</f>
        <v>Food Đức Việt</v>
      </c>
      <c r="I3874" t="str">
        <f>VLOOKUP(Table8[[#This Row],[Mã khách hàng]],'Khách hàng'!A:E,5,0)</f>
        <v>HN0040</v>
      </c>
    </row>
    <row r="3875" spans="1:9">
      <c r="A3875" s="46" t="s">
        <v>12960</v>
      </c>
      <c r="B3875" s="9" t="s">
        <v>5</v>
      </c>
      <c r="C3875" s="36" t="s">
        <v>12961</v>
      </c>
      <c r="D3875" s="21"/>
      <c r="E3875" s="37" t="s">
        <v>11215</v>
      </c>
      <c r="F3875" s="22" t="str">
        <f>VLOOKUP(Table8[[#This Row],[Mã khách hàng]],code_khach_hang[],2,0)</f>
        <v>CHI NHÁNH HÀ NỘI - CÔNG TY CỔ PHẦN DỊCH VỤ THƯƠNG MẠI TỔNG HỢP WINCOMMERCE</v>
      </c>
      <c r="G3875" s="16" t="str">
        <f>VLOOKUP(Table8[[#This Row],[Mã khách hàng]],code_khach_hang[],3,0)</f>
        <v>Miền Bắc đặc biệt 1</v>
      </c>
      <c r="H3875" t="str">
        <f>VLOOKUP(Table8[[#This Row],[Mã khách hàng]],'Khách hàng'!A:D,4,0)</f>
        <v>Food Đức Việt</v>
      </c>
      <c r="I3875" t="str">
        <f>VLOOKUP(Table8[[#This Row],[Mã khách hàng]],'Khách hàng'!A:E,5,0)</f>
        <v>HN0040</v>
      </c>
    </row>
    <row r="3876" spans="1:9">
      <c r="A3876" s="46" t="s">
        <v>12962</v>
      </c>
      <c r="B3876" s="9" t="s">
        <v>5</v>
      </c>
      <c r="C3876" s="36" t="s">
        <v>12963</v>
      </c>
      <c r="D3876" s="21"/>
      <c r="E3876" s="37" t="s">
        <v>11204</v>
      </c>
      <c r="F3876" s="22" t="str">
        <f>VLOOKUP(Table8[[#This Row],[Mã khách hàng]],code_khach_hang[],2,0)</f>
        <v>CHI NHÁNH TUYÊN QUANG - CÔNG TY CỔ PHẦN DỊCH VỤ THƯƠNG MẠI TỔNG HỢP WINCOMMERCE</v>
      </c>
      <c r="G3876" s="16" t="str">
        <f>VLOOKUP(Table8[[#This Row],[Mã khách hàng]],code_khach_hang[],3,0)</f>
        <v>Miền Bắc đặc biệt 2</v>
      </c>
      <c r="H3876" t="str">
        <f>VLOOKUP(Table8[[#This Row],[Mã khách hàng]],'Khách hàng'!A:D,4,0)</f>
        <v>Food Đức Việt</v>
      </c>
      <c r="I3876" t="str">
        <f>VLOOKUP(Table8[[#This Row],[Mã khách hàng]],'Khách hàng'!A:E,5,0)</f>
        <v>HN0040</v>
      </c>
    </row>
    <row r="3877" spans="1:9">
      <c r="A3877" s="46" t="s">
        <v>12964</v>
      </c>
      <c r="B3877" s="9" t="s">
        <v>5</v>
      </c>
      <c r="C3877" s="36" t="s">
        <v>12965</v>
      </c>
      <c r="D3877" s="21"/>
      <c r="E3877" s="37" t="s">
        <v>11197</v>
      </c>
      <c r="F3877" s="22" t="str">
        <f>VLOOKUP(Table8[[#This Row],[Mã khách hàng]],code_khach_hang[],2,0)</f>
        <v>CHI NHÁNH QUẢNG NINH - CÔNG TY CỔ PHẦN DỊCH VỤ THƯƠNG MẠI TỔNG HỢP WINCOMMERCE</v>
      </c>
      <c r="G3877" s="16" t="str">
        <f>VLOOKUP(Table8[[#This Row],[Mã khách hàng]],code_khach_hang[],3,0)</f>
        <v>Miền Bắc đặc biệt 3</v>
      </c>
      <c r="H3877" t="str">
        <f>VLOOKUP(Table8[[#This Row],[Mã khách hàng]],'Khách hàng'!A:D,4,0)</f>
        <v>Food Đức Việt</v>
      </c>
      <c r="I3877" t="str">
        <f>VLOOKUP(Table8[[#This Row],[Mã khách hàng]],'Khách hàng'!A:E,5,0)</f>
        <v>HN0040</v>
      </c>
    </row>
    <row r="3878" spans="1:9">
      <c r="A3878" s="46" t="s">
        <v>12966</v>
      </c>
      <c r="B3878" s="9" t="s">
        <v>5</v>
      </c>
      <c r="C3878" s="36" t="s">
        <v>12967</v>
      </c>
      <c r="D3878" s="21"/>
      <c r="E3878" s="37" t="s">
        <v>11193</v>
      </c>
      <c r="F3878" s="22" t="str">
        <f>VLOOKUP(Table8[[#This Row],[Mã khách hàng]],code_khach_hang[],2,0)</f>
        <v>CHI NHÁNH BẮC NINH - CÔNG TY CỔ PHẦN DỊCH VỤ THƯƠNG MẠI TỔNG HỢP WINCOMMERCE</v>
      </c>
      <c r="G3878" s="16" t="str">
        <f>VLOOKUP(Table8[[#This Row],[Mã khách hàng]],code_khach_hang[],3,0)</f>
        <v>Miền Bắc đặc biệt 2</v>
      </c>
      <c r="H3878" t="str">
        <f>VLOOKUP(Table8[[#This Row],[Mã khách hàng]],'Khách hàng'!A:D,4,0)</f>
        <v>Food Đức Việt</v>
      </c>
      <c r="I3878" t="str">
        <f>VLOOKUP(Table8[[#This Row],[Mã khách hàng]],'Khách hàng'!A:E,5,0)</f>
        <v>HN0040</v>
      </c>
    </row>
    <row r="3879" spans="1:9">
      <c r="A3879" s="46" t="s">
        <v>12968</v>
      </c>
      <c r="B3879" s="9" t="s">
        <v>5</v>
      </c>
      <c r="C3879" s="36" t="s">
        <v>12969</v>
      </c>
      <c r="D3879" s="21"/>
      <c r="E3879" s="37" t="s">
        <v>11215</v>
      </c>
      <c r="F3879" s="22" t="str">
        <f>VLOOKUP(Table8[[#This Row],[Mã khách hàng]],code_khach_hang[],2,0)</f>
        <v>CHI NHÁNH HÀ NỘI - CÔNG TY CỔ PHẦN DỊCH VỤ THƯƠNG MẠI TỔNG HỢP WINCOMMERCE</v>
      </c>
      <c r="G3879" s="16" t="str">
        <f>VLOOKUP(Table8[[#This Row],[Mã khách hàng]],code_khach_hang[],3,0)</f>
        <v>Miền Bắc đặc biệt 1</v>
      </c>
      <c r="H3879" t="str">
        <f>VLOOKUP(Table8[[#This Row],[Mã khách hàng]],'Khách hàng'!A:D,4,0)</f>
        <v>Food Đức Việt</v>
      </c>
      <c r="I3879" t="str">
        <f>VLOOKUP(Table8[[#This Row],[Mã khách hàng]],'Khách hàng'!A:E,5,0)</f>
        <v>HN0040</v>
      </c>
    </row>
    <row r="3880" spans="1:9">
      <c r="A3880" s="46" t="s">
        <v>12970</v>
      </c>
      <c r="B3880" s="9" t="s">
        <v>5</v>
      </c>
      <c r="C3880" s="36" t="s">
        <v>12971</v>
      </c>
      <c r="D3880" s="21"/>
      <c r="E3880" s="37" t="s">
        <v>11208</v>
      </c>
      <c r="F3880" s="22" t="str">
        <f>VLOOKUP(Table8[[#This Row],[Mã khách hàng]],code_khach_hang[],2,0)</f>
        <v>CHI NHÁNH LẠNG SƠN - CÔNG TY CỔ PHẦN DỊCH VỤ THƯƠNG MẠI TỔNG HỢP WINCOMMERCE</v>
      </c>
      <c r="G3880" s="16" t="str">
        <f>VLOOKUP(Table8[[#This Row],[Mã khách hàng]],code_khach_hang[],3,0)</f>
        <v>Miền Bắc đặc biệt 2</v>
      </c>
      <c r="H3880" t="str">
        <f>VLOOKUP(Table8[[#This Row],[Mã khách hàng]],'Khách hàng'!A:D,4,0)</f>
        <v>Food Đức Việt</v>
      </c>
      <c r="I3880" t="str">
        <f>VLOOKUP(Table8[[#This Row],[Mã khách hàng]],'Khách hàng'!A:E,5,0)</f>
        <v>HN0040</v>
      </c>
    </row>
    <row r="3881" spans="1:9">
      <c r="A3881" s="46" t="s">
        <v>12972</v>
      </c>
      <c r="B3881" s="9" t="s">
        <v>5</v>
      </c>
      <c r="C3881" s="36" t="s">
        <v>12973</v>
      </c>
      <c r="D3881" s="21"/>
      <c r="E3881" s="37" t="s">
        <v>11193</v>
      </c>
      <c r="F3881" s="22" t="str">
        <f>VLOOKUP(Table8[[#This Row],[Mã khách hàng]],code_khach_hang[],2,0)</f>
        <v>CHI NHÁNH BẮC NINH - CÔNG TY CỔ PHẦN DỊCH VỤ THƯƠNG MẠI TỔNG HỢP WINCOMMERCE</v>
      </c>
      <c r="G3881" s="16" t="str">
        <f>VLOOKUP(Table8[[#This Row],[Mã khách hàng]],code_khach_hang[],3,0)</f>
        <v>Miền Bắc đặc biệt 2</v>
      </c>
      <c r="H3881" t="str">
        <f>VLOOKUP(Table8[[#This Row],[Mã khách hàng]],'Khách hàng'!A:D,4,0)</f>
        <v>Food Đức Việt</v>
      </c>
      <c r="I3881" t="str">
        <f>VLOOKUP(Table8[[#This Row],[Mã khách hàng]],'Khách hàng'!A:E,5,0)</f>
        <v>HN0040</v>
      </c>
    </row>
    <row r="3882" spans="1:9">
      <c r="A3882" s="46" t="s">
        <v>12974</v>
      </c>
      <c r="B3882" s="9" t="s">
        <v>5</v>
      </c>
      <c r="C3882" s="36" t="s">
        <v>12975</v>
      </c>
      <c r="D3882" s="21"/>
      <c r="E3882" s="37" t="s">
        <v>11215</v>
      </c>
      <c r="F3882" s="22" t="str">
        <f>VLOOKUP(Table8[[#This Row],[Mã khách hàng]],code_khach_hang[],2,0)</f>
        <v>CHI NHÁNH HÀ NỘI - CÔNG TY CỔ PHẦN DỊCH VỤ THƯƠNG MẠI TỔNG HỢP WINCOMMERCE</v>
      </c>
      <c r="G3882" s="16" t="str">
        <f>VLOOKUP(Table8[[#This Row],[Mã khách hàng]],code_khach_hang[],3,0)</f>
        <v>Miền Bắc đặc biệt 1</v>
      </c>
      <c r="H3882" t="str">
        <f>VLOOKUP(Table8[[#This Row],[Mã khách hàng]],'Khách hàng'!A:D,4,0)</f>
        <v>Food Đức Việt</v>
      </c>
      <c r="I3882" t="str">
        <f>VLOOKUP(Table8[[#This Row],[Mã khách hàng]],'Khách hàng'!A:E,5,0)</f>
        <v>HN0040</v>
      </c>
    </row>
    <row r="3883" spans="1:9">
      <c r="A3883" s="46" t="s">
        <v>12976</v>
      </c>
      <c r="B3883" s="9" t="s">
        <v>5</v>
      </c>
      <c r="C3883" s="36" t="s">
        <v>12977</v>
      </c>
      <c r="D3883" s="21"/>
      <c r="E3883" s="37" t="s">
        <v>11193</v>
      </c>
      <c r="F3883" s="22" t="str">
        <f>VLOOKUP(Table8[[#This Row],[Mã khách hàng]],code_khach_hang[],2,0)</f>
        <v>CHI NHÁNH BẮC NINH - CÔNG TY CỔ PHẦN DỊCH VỤ THƯƠNG MẠI TỔNG HỢP WINCOMMERCE</v>
      </c>
      <c r="G3883" s="16" t="str">
        <f>VLOOKUP(Table8[[#This Row],[Mã khách hàng]],code_khach_hang[],3,0)</f>
        <v>Miền Bắc đặc biệt 2</v>
      </c>
      <c r="H3883" t="str">
        <f>VLOOKUP(Table8[[#This Row],[Mã khách hàng]],'Khách hàng'!A:D,4,0)</f>
        <v>Food Đức Việt</v>
      </c>
      <c r="I3883" t="str">
        <f>VLOOKUP(Table8[[#This Row],[Mã khách hàng]],'Khách hàng'!A:E,5,0)</f>
        <v>HN0040</v>
      </c>
    </row>
    <row r="3884" spans="1:9">
      <c r="A3884" s="46" t="s">
        <v>12978</v>
      </c>
      <c r="B3884" s="9" t="s">
        <v>5</v>
      </c>
      <c r="C3884" s="36" t="s">
        <v>12979</v>
      </c>
      <c r="D3884" s="21"/>
      <c r="E3884" s="37" t="s">
        <v>11199</v>
      </c>
      <c r="F3884" s="22" t="str">
        <f>VLOOKUP(Table8[[#This Row],[Mã khách hàng]],code_khach_hang[],2,0)</f>
        <v>CHI NHÁNH PHÚ THỌ - CÔNG TY CỔ PHẦN DỊCH VỤ THƯƠNG MẠI TỔNG HỢP WINCOMMERCE</v>
      </c>
      <c r="G3884" s="16" t="str">
        <f>VLOOKUP(Table8[[#This Row],[Mã khách hàng]],code_khach_hang[],3,0)</f>
        <v>Miền Bắc đặc biệt 1</v>
      </c>
      <c r="H3884" t="str">
        <f>VLOOKUP(Table8[[#This Row],[Mã khách hàng]],'Khách hàng'!A:D,4,0)</f>
        <v>Food Đức Việt</v>
      </c>
      <c r="I3884" t="str">
        <f>VLOOKUP(Table8[[#This Row],[Mã khách hàng]],'Khách hàng'!A:E,5,0)</f>
        <v>HN0040</v>
      </c>
    </row>
    <row r="3885" spans="1:9">
      <c r="A3885" s="46" t="s">
        <v>12980</v>
      </c>
      <c r="B3885" s="9" t="s">
        <v>5</v>
      </c>
      <c r="C3885" s="36" t="s">
        <v>12981</v>
      </c>
      <c r="D3885" s="21"/>
      <c r="E3885" s="37" t="s">
        <v>11199</v>
      </c>
      <c r="F3885" s="22" t="str">
        <f>VLOOKUP(Table8[[#This Row],[Mã khách hàng]],code_khach_hang[],2,0)</f>
        <v>CHI NHÁNH PHÚ THỌ - CÔNG TY CỔ PHẦN DỊCH VỤ THƯƠNG MẠI TỔNG HỢP WINCOMMERCE</v>
      </c>
      <c r="G3885" s="16" t="str">
        <f>VLOOKUP(Table8[[#This Row],[Mã khách hàng]],code_khach_hang[],3,0)</f>
        <v>Miền Bắc đặc biệt 1</v>
      </c>
      <c r="H3885" t="str">
        <f>VLOOKUP(Table8[[#This Row],[Mã khách hàng]],'Khách hàng'!A:D,4,0)</f>
        <v>Food Đức Việt</v>
      </c>
      <c r="I3885" t="str">
        <f>VLOOKUP(Table8[[#This Row],[Mã khách hàng]],'Khách hàng'!A:E,5,0)</f>
        <v>HN0040</v>
      </c>
    </row>
    <row r="3886" spans="1:9">
      <c r="A3886" s="46" t="s">
        <v>12982</v>
      </c>
      <c r="B3886" s="9" t="s">
        <v>5</v>
      </c>
      <c r="C3886" s="36" t="s">
        <v>12983</v>
      </c>
      <c r="D3886" s="21"/>
      <c r="E3886" s="37" t="s">
        <v>11203</v>
      </c>
      <c r="F3886" s="22" t="str">
        <f>VLOOKUP(Table8[[#This Row],[Mã khách hàng]],code_khach_hang[],2,0)</f>
        <v>CHI NHÁNH THANH HÓA - CÔNG TY CỔ PHẦN DỊCH VỤ THƯƠNG MẠI TỔNG HỢP WINCOMMERCE</v>
      </c>
      <c r="G3886" s="16" t="str">
        <f>VLOOKUP(Table8[[#This Row],[Mã khách hàng]],code_khach_hang[],3,0)</f>
        <v>Miền Trung đặc biệt 1</v>
      </c>
      <c r="H3886" t="str">
        <f>VLOOKUP(Table8[[#This Row],[Mã khách hàng]],'Khách hàng'!A:D,4,0)</f>
        <v>Food Đức Việt</v>
      </c>
      <c r="I3886" t="str">
        <f>VLOOKUP(Table8[[#This Row],[Mã khách hàng]],'Khách hàng'!A:E,5,0)</f>
        <v>HN0040</v>
      </c>
    </row>
    <row r="3887" spans="1:9">
      <c r="A3887" s="46" t="s">
        <v>12984</v>
      </c>
      <c r="B3887" s="9" t="s">
        <v>5</v>
      </c>
      <c r="C3887" s="36" t="s">
        <v>12985</v>
      </c>
      <c r="D3887" s="21"/>
      <c r="E3887" s="37" t="s">
        <v>11203</v>
      </c>
      <c r="F3887" s="22" t="str">
        <f>VLOOKUP(Table8[[#This Row],[Mã khách hàng]],code_khach_hang[],2,0)</f>
        <v>CHI NHÁNH THANH HÓA - CÔNG TY CỔ PHẦN DỊCH VỤ THƯƠNG MẠI TỔNG HỢP WINCOMMERCE</v>
      </c>
      <c r="G3887" s="16" t="str">
        <f>VLOOKUP(Table8[[#This Row],[Mã khách hàng]],code_khach_hang[],3,0)</f>
        <v>Miền Trung đặc biệt 1</v>
      </c>
      <c r="H3887" t="str">
        <f>VLOOKUP(Table8[[#This Row],[Mã khách hàng]],'Khách hàng'!A:D,4,0)</f>
        <v>Food Đức Việt</v>
      </c>
      <c r="I3887" t="str">
        <f>VLOOKUP(Table8[[#This Row],[Mã khách hàng]],'Khách hàng'!A:E,5,0)</f>
        <v>HN0040</v>
      </c>
    </row>
    <row r="3888" spans="1:9">
      <c r="A3888" s="46" t="s">
        <v>12986</v>
      </c>
      <c r="B3888" s="9" t="s">
        <v>5</v>
      </c>
      <c r="C3888" s="36" t="s">
        <v>12987</v>
      </c>
      <c r="D3888" s="21"/>
      <c r="E3888" s="37" t="s">
        <v>11216</v>
      </c>
      <c r="F3888" s="22" t="str">
        <f>VLOOKUP(Table8[[#This Row],[Mã khách hàng]],code_khach_hang[],2,0)</f>
        <v>CHI NHÁNH HƯNG YÊN - CÔNG TY CỔ PHẦN DỊCH VỤ THƯƠNG MẠI TỔNG HỢP WINCOMMERCE</v>
      </c>
      <c r="G3888" s="16" t="str">
        <f>VLOOKUP(Table8[[#This Row],[Mã khách hàng]],code_khach_hang[],3,0)</f>
        <v>Miền Bắc đặc biệt 1</v>
      </c>
      <c r="H3888" t="str">
        <f>VLOOKUP(Table8[[#This Row],[Mã khách hàng]],'Khách hàng'!A:D,4,0)</f>
        <v>Food Đức Việt</v>
      </c>
      <c r="I3888" t="str">
        <f>VLOOKUP(Table8[[#This Row],[Mã khách hàng]],'Khách hàng'!A:E,5,0)</f>
        <v>HN0040</v>
      </c>
    </row>
    <row r="3889" spans="1:9">
      <c r="A3889" s="46" t="s">
        <v>12988</v>
      </c>
      <c r="B3889" s="9" t="s">
        <v>5</v>
      </c>
      <c r="C3889" s="36" t="s">
        <v>12989</v>
      </c>
      <c r="D3889" s="21"/>
      <c r="E3889" s="37" t="s">
        <v>11207</v>
      </c>
      <c r="F3889" s="22" t="str">
        <f>VLOOKUP(Table8[[#This Row],[Mã khách hàng]],code_khach_hang[],2,0)</f>
        <v>CHI NHÁNH THÁI NGUYÊN - CÔNG TY CỔ PHẦN DỊCH VỤ THƯƠNG MẠI TỔNG HỢP WINCOMMERCE</v>
      </c>
      <c r="G3889" s="16" t="str">
        <f>VLOOKUP(Table8[[#This Row],[Mã khách hàng]],code_khach_hang[],3,0)</f>
        <v>Miền Bắc đặc biệt 2</v>
      </c>
      <c r="H3889" t="str">
        <f>VLOOKUP(Table8[[#This Row],[Mã khách hàng]],'Khách hàng'!A:D,4,0)</f>
        <v>Food Đức Việt</v>
      </c>
      <c r="I3889" t="str">
        <f>VLOOKUP(Table8[[#This Row],[Mã khách hàng]],'Khách hàng'!A:E,5,0)</f>
        <v>HN0040</v>
      </c>
    </row>
    <row r="3890" spans="1:9">
      <c r="A3890" s="46" t="s">
        <v>12990</v>
      </c>
      <c r="B3890" s="9" t="s">
        <v>5</v>
      </c>
      <c r="C3890" s="36" t="s">
        <v>12991</v>
      </c>
      <c r="D3890" s="21"/>
      <c r="E3890" s="37" t="s">
        <v>11207</v>
      </c>
      <c r="F3890" s="22" t="str">
        <f>VLOOKUP(Table8[[#This Row],[Mã khách hàng]],code_khach_hang[],2,0)</f>
        <v>CHI NHÁNH THÁI NGUYÊN - CÔNG TY CỔ PHẦN DỊCH VỤ THƯƠNG MẠI TỔNG HỢP WINCOMMERCE</v>
      </c>
      <c r="G3890" s="16" t="str">
        <f>VLOOKUP(Table8[[#This Row],[Mã khách hàng]],code_khach_hang[],3,0)</f>
        <v>Miền Bắc đặc biệt 2</v>
      </c>
      <c r="H3890" t="str">
        <f>VLOOKUP(Table8[[#This Row],[Mã khách hàng]],'Khách hàng'!A:D,4,0)</f>
        <v>Food Đức Việt</v>
      </c>
      <c r="I3890" t="str">
        <f>VLOOKUP(Table8[[#This Row],[Mã khách hàng]],'Khách hàng'!A:E,5,0)</f>
        <v>HN0040</v>
      </c>
    </row>
    <row r="3891" spans="1:9">
      <c r="A3891" s="46" t="s">
        <v>12992</v>
      </c>
      <c r="B3891" s="9" t="s">
        <v>5</v>
      </c>
      <c r="C3891" s="36" t="s">
        <v>12993</v>
      </c>
      <c r="D3891" s="21"/>
      <c r="E3891" s="37" t="s">
        <v>11215</v>
      </c>
      <c r="F3891" s="22" t="str">
        <f>VLOOKUP(Table8[[#This Row],[Mã khách hàng]],code_khach_hang[],2,0)</f>
        <v>CHI NHÁNH HÀ NỘI - CÔNG TY CỔ PHẦN DỊCH VỤ THƯƠNG MẠI TỔNG HỢP WINCOMMERCE</v>
      </c>
      <c r="G3891" s="16" t="str">
        <f>VLOOKUP(Table8[[#This Row],[Mã khách hàng]],code_khach_hang[],3,0)</f>
        <v>Miền Bắc đặc biệt 1</v>
      </c>
      <c r="H3891" t="str">
        <f>VLOOKUP(Table8[[#This Row],[Mã khách hàng]],'Khách hàng'!A:D,4,0)</f>
        <v>Food Đức Việt</v>
      </c>
      <c r="I3891" t="str">
        <f>VLOOKUP(Table8[[#This Row],[Mã khách hàng]],'Khách hàng'!A:E,5,0)</f>
        <v>HN0040</v>
      </c>
    </row>
    <row r="3892" spans="1:9">
      <c r="A3892" s="46" t="s">
        <v>12994</v>
      </c>
      <c r="B3892" s="9" t="s">
        <v>5</v>
      </c>
      <c r="C3892" s="36" t="s">
        <v>12995</v>
      </c>
      <c r="D3892" s="21"/>
      <c r="E3892" s="37" t="s">
        <v>11215</v>
      </c>
      <c r="F3892" s="22" t="str">
        <f>VLOOKUP(Table8[[#This Row],[Mã khách hàng]],code_khach_hang[],2,0)</f>
        <v>CHI NHÁNH HÀ NỘI - CÔNG TY CỔ PHẦN DỊCH VỤ THƯƠNG MẠI TỔNG HỢP WINCOMMERCE</v>
      </c>
      <c r="G3892" s="16" t="str">
        <f>VLOOKUP(Table8[[#This Row],[Mã khách hàng]],code_khach_hang[],3,0)</f>
        <v>Miền Bắc đặc biệt 1</v>
      </c>
      <c r="H3892" t="str">
        <f>VLOOKUP(Table8[[#This Row],[Mã khách hàng]],'Khách hàng'!A:D,4,0)</f>
        <v>Food Đức Việt</v>
      </c>
      <c r="I3892" t="str">
        <f>VLOOKUP(Table8[[#This Row],[Mã khách hàng]],'Khách hàng'!A:E,5,0)</f>
        <v>HN0040</v>
      </c>
    </row>
    <row r="3893" spans="1:9">
      <c r="A3893" s="46" t="s">
        <v>12996</v>
      </c>
      <c r="B3893" s="9" t="s">
        <v>5</v>
      </c>
      <c r="C3893" s="36" t="s">
        <v>12997</v>
      </c>
      <c r="D3893" s="21"/>
      <c r="E3893" s="37" t="s">
        <v>11196</v>
      </c>
      <c r="F3893" s="22" t="str">
        <f>VLOOKUP(Table8[[#This Row],[Mã khách hàng]],code_khach_hang[],2,0)</f>
        <v>CHI NHÁNH NINH BÌNH - CÔNG TY CỔ PHẦN DỊCH VỤ THƯƠNG MẠI TỔNG HỢP WINCOMMERCE</v>
      </c>
      <c r="G3893" s="16" t="str">
        <f>VLOOKUP(Table8[[#This Row],[Mã khách hàng]],code_khach_hang[],3,0)</f>
        <v>Miền Bắc đặc biệt 3</v>
      </c>
      <c r="H3893" t="str">
        <f>VLOOKUP(Table8[[#This Row],[Mã khách hàng]],'Khách hàng'!A:D,4,0)</f>
        <v>Food Đức Việt</v>
      </c>
      <c r="I3893" t="str">
        <f>VLOOKUP(Table8[[#This Row],[Mã khách hàng]],'Khách hàng'!A:E,5,0)</f>
        <v>HN0040</v>
      </c>
    </row>
    <row r="3894" spans="1:9">
      <c r="A3894" s="46" t="s">
        <v>12998</v>
      </c>
      <c r="B3894" s="9" t="s">
        <v>5</v>
      </c>
      <c r="C3894" s="36" t="s">
        <v>12999</v>
      </c>
      <c r="D3894" s="21"/>
      <c r="E3894" s="37" t="s">
        <v>11199</v>
      </c>
      <c r="F3894" s="22" t="str">
        <f>VLOOKUP(Table8[[#This Row],[Mã khách hàng]],code_khach_hang[],2,0)</f>
        <v>CHI NHÁNH PHÚ THỌ - CÔNG TY CỔ PHẦN DỊCH VỤ THƯƠNG MẠI TỔNG HỢP WINCOMMERCE</v>
      </c>
      <c r="G3894" s="16" t="str">
        <f>VLOOKUP(Table8[[#This Row],[Mã khách hàng]],code_khach_hang[],3,0)</f>
        <v>Miền Bắc đặc biệt 1</v>
      </c>
      <c r="H3894" t="str">
        <f>VLOOKUP(Table8[[#This Row],[Mã khách hàng]],'Khách hàng'!A:D,4,0)</f>
        <v>Food Đức Việt</v>
      </c>
      <c r="I3894" t="str">
        <f>VLOOKUP(Table8[[#This Row],[Mã khách hàng]],'Khách hàng'!A:E,5,0)</f>
        <v>HN0040</v>
      </c>
    </row>
    <row r="3895" spans="1:9">
      <c r="A3895" s="46" t="s">
        <v>13000</v>
      </c>
      <c r="B3895" s="9" t="s">
        <v>5</v>
      </c>
      <c r="C3895" s="36" t="s">
        <v>13001</v>
      </c>
      <c r="D3895" s="21"/>
      <c r="E3895" s="37" t="s">
        <v>11205</v>
      </c>
      <c r="F3895" s="22" t="str">
        <f>VLOOKUP(Table8[[#This Row],[Mã khách hàng]],code_khach_hang[],2,0)</f>
        <v>CHI NHÁNH HÀ TĨNH - CÔNG TY CỔ PHẦN DỊCH VỤ THƯƠNG MẠI TỔNG HỢP WINCOMMERCE</v>
      </c>
      <c r="G3895" s="16" t="str">
        <f>VLOOKUP(Table8[[#This Row],[Mã khách hàng]],code_khach_hang[],3,0)</f>
        <v>Miền Trung đặc biệt 1</v>
      </c>
      <c r="H3895" t="str">
        <f>VLOOKUP(Table8[[#This Row],[Mã khách hàng]],'Khách hàng'!A:D,4,0)</f>
        <v>Food Đức Việt</v>
      </c>
      <c r="I3895" t="str">
        <f>VLOOKUP(Table8[[#This Row],[Mã khách hàng]],'Khách hàng'!A:E,5,0)</f>
        <v>HN0040</v>
      </c>
    </row>
    <row r="3896" spans="1:9">
      <c r="A3896" s="46" t="s">
        <v>13002</v>
      </c>
      <c r="B3896" s="9" t="s">
        <v>5</v>
      </c>
      <c r="C3896" s="36" t="s">
        <v>13003</v>
      </c>
      <c r="D3896" s="21"/>
      <c r="E3896" s="37" t="s">
        <v>11203</v>
      </c>
      <c r="F3896" s="22" t="str">
        <f>VLOOKUP(Table8[[#This Row],[Mã khách hàng]],code_khach_hang[],2,0)</f>
        <v>CHI NHÁNH THANH HÓA - CÔNG TY CỔ PHẦN DỊCH VỤ THƯƠNG MẠI TỔNG HỢP WINCOMMERCE</v>
      </c>
      <c r="G3896" s="16" t="str">
        <f>VLOOKUP(Table8[[#This Row],[Mã khách hàng]],code_khach_hang[],3,0)</f>
        <v>Miền Trung đặc biệt 1</v>
      </c>
      <c r="H3896" t="str">
        <f>VLOOKUP(Table8[[#This Row],[Mã khách hàng]],'Khách hàng'!A:D,4,0)</f>
        <v>Food Đức Việt</v>
      </c>
      <c r="I3896" t="str">
        <f>VLOOKUP(Table8[[#This Row],[Mã khách hàng]],'Khách hàng'!A:E,5,0)</f>
        <v>HN0040</v>
      </c>
    </row>
    <row r="3897" spans="1:9">
      <c r="A3897" s="46" t="s">
        <v>13004</v>
      </c>
      <c r="B3897" s="9" t="s">
        <v>5</v>
      </c>
      <c r="C3897" s="36" t="s">
        <v>13005</v>
      </c>
      <c r="D3897" s="21"/>
      <c r="E3897" s="37" t="s">
        <v>11216</v>
      </c>
      <c r="F3897" s="22" t="str">
        <f>VLOOKUP(Table8[[#This Row],[Mã khách hàng]],code_khach_hang[],2,0)</f>
        <v>CHI NHÁNH HƯNG YÊN - CÔNG TY CỔ PHẦN DỊCH VỤ THƯƠNG MẠI TỔNG HỢP WINCOMMERCE</v>
      </c>
      <c r="G3897" s="16" t="str">
        <f>VLOOKUP(Table8[[#This Row],[Mã khách hàng]],code_khach_hang[],3,0)</f>
        <v>Miền Bắc đặc biệt 1</v>
      </c>
      <c r="H3897" t="str">
        <f>VLOOKUP(Table8[[#This Row],[Mã khách hàng]],'Khách hàng'!A:D,4,0)</f>
        <v>Food Đức Việt</v>
      </c>
      <c r="I3897" t="str">
        <f>VLOOKUP(Table8[[#This Row],[Mã khách hàng]],'Khách hàng'!A:E,5,0)</f>
        <v>HN0040</v>
      </c>
    </row>
    <row r="3898" spans="1:9">
      <c r="A3898" s="46" t="s">
        <v>13006</v>
      </c>
      <c r="B3898" s="9" t="s">
        <v>5</v>
      </c>
      <c r="C3898" s="36" t="s">
        <v>13007</v>
      </c>
      <c r="D3898" s="21"/>
      <c r="E3898" s="37" t="s">
        <v>11199</v>
      </c>
      <c r="F3898" s="22" t="str">
        <f>VLOOKUP(Table8[[#This Row],[Mã khách hàng]],code_khach_hang[],2,0)</f>
        <v>CHI NHÁNH PHÚ THỌ - CÔNG TY CỔ PHẦN DỊCH VỤ THƯƠNG MẠI TỔNG HỢP WINCOMMERCE</v>
      </c>
      <c r="G3898" s="16" t="str">
        <f>VLOOKUP(Table8[[#This Row],[Mã khách hàng]],code_khach_hang[],3,0)</f>
        <v>Miền Bắc đặc biệt 1</v>
      </c>
      <c r="H3898" t="str">
        <f>VLOOKUP(Table8[[#This Row],[Mã khách hàng]],'Khách hàng'!A:D,4,0)</f>
        <v>Food Đức Việt</v>
      </c>
      <c r="I3898" t="str">
        <f>VLOOKUP(Table8[[#This Row],[Mã khách hàng]],'Khách hàng'!A:E,5,0)</f>
        <v>HN0040</v>
      </c>
    </row>
    <row r="3899" spans="1:9">
      <c r="A3899" s="46" t="s">
        <v>13008</v>
      </c>
      <c r="B3899" s="9" t="s">
        <v>5</v>
      </c>
      <c r="C3899" s="36" t="s">
        <v>13009</v>
      </c>
      <c r="D3899" s="21"/>
      <c r="E3899" s="37" t="s">
        <v>11198</v>
      </c>
      <c r="F3899" s="22" t="str">
        <f>VLOOKUP(Table8[[#This Row],[Mã khách hàng]],code_khach_hang[],2,0)</f>
        <v>CHI NHÁNH HẢI PHÒNG - CÔNG TY CỔ PHẦN DỊCH VỤ THƯƠNG MẠI TỔNG HỢP WINCOMMERCE</v>
      </c>
      <c r="G3899" s="16" t="str">
        <f>VLOOKUP(Table8[[#This Row],[Mã khách hàng]],code_khach_hang[],3,0)</f>
        <v>Miền Bắc đặc biệt 3</v>
      </c>
      <c r="H3899" t="str">
        <f>VLOOKUP(Table8[[#This Row],[Mã khách hàng]],'Khách hàng'!A:D,4,0)</f>
        <v>Food Đức Việt</v>
      </c>
      <c r="I3899" t="str">
        <f>VLOOKUP(Table8[[#This Row],[Mã khách hàng]],'Khách hàng'!A:E,5,0)</f>
        <v>HN0040</v>
      </c>
    </row>
    <row r="3900" spans="1:9">
      <c r="A3900" s="46" t="s">
        <v>13010</v>
      </c>
      <c r="B3900" s="9" t="s">
        <v>5</v>
      </c>
      <c r="C3900" s="36" t="s">
        <v>13011</v>
      </c>
      <c r="D3900" s="21"/>
      <c r="E3900" s="37" t="s">
        <v>11193</v>
      </c>
      <c r="F3900" s="22" t="str">
        <f>VLOOKUP(Table8[[#This Row],[Mã khách hàng]],code_khach_hang[],2,0)</f>
        <v>CHI NHÁNH BẮC NINH - CÔNG TY CỔ PHẦN DỊCH VỤ THƯƠNG MẠI TỔNG HỢP WINCOMMERCE</v>
      </c>
      <c r="G3900" s="16" t="str">
        <f>VLOOKUP(Table8[[#This Row],[Mã khách hàng]],code_khach_hang[],3,0)</f>
        <v>Miền Bắc đặc biệt 2</v>
      </c>
      <c r="H3900" t="str">
        <f>VLOOKUP(Table8[[#This Row],[Mã khách hàng]],'Khách hàng'!A:D,4,0)</f>
        <v>Food Đức Việt</v>
      </c>
      <c r="I3900" t="str">
        <f>VLOOKUP(Table8[[#This Row],[Mã khách hàng]],'Khách hàng'!A:E,5,0)</f>
        <v>HN0040</v>
      </c>
    </row>
    <row r="3901" spans="1:9">
      <c r="A3901" s="46" t="s">
        <v>13012</v>
      </c>
      <c r="B3901" s="9" t="s">
        <v>5</v>
      </c>
      <c r="C3901" s="36" t="s">
        <v>13013</v>
      </c>
      <c r="D3901" s="21"/>
      <c r="E3901" s="37" t="s">
        <v>11215</v>
      </c>
      <c r="F3901" s="22" t="str">
        <f>VLOOKUP(Table8[[#This Row],[Mã khách hàng]],code_khach_hang[],2,0)</f>
        <v>CHI NHÁNH HÀ NỘI - CÔNG TY CỔ PHẦN DỊCH VỤ THƯƠNG MẠI TỔNG HỢP WINCOMMERCE</v>
      </c>
      <c r="G3901" s="16" t="str">
        <f>VLOOKUP(Table8[[#This Row],[Mã khách hàng]],code_khach_hang[],3,0)</f>
        <v>Miền Bắc đặc biệt 1</v>
      </c>
      <c r="H3901" t="str">
        <f>VLOOKUP(Table8[[#This Row],[Mã khách hàng]],'Khách hàng'!A:D,4,0)</f>
        <v>Food Đức Việt</v>
      </c>
      <c r="I3901" t="str">
        <f>VLOOKUP(Table8[[#This Row],[Mã khách hàng]],'Khách hàng'!A:E,5,0)</f>
        <v>HN0040</v>
      </c>
    </row>
    <row r="3902" spans="1:9">
      <c r="A3902" s="46" t="s">
        <v>13014</v>
      </c>
      <c r="B3902" s="9" t="s">
        <v>5</v>
      </c>
      <c r="C3902" s="36" t="s">
        <v>13015</v>
      </c>
      <c r="D3902" s="21"/>
      <c r="E3902" s="37" t="s">
        <v>11218</v>
      </c>
      <c r="F3902" s="22" t="str">
        <f>VLOOKUP(Table8[[#This Row],[Mã khách hàng]],code_khach_hang[],2,0)</f>
        <v>CHI NHÁNH LÀO CAI - CÔNG TY CỔ PHẦN DỊCH VỤ THƯƠNG MẠI TỔNG HỢP WINCOMMERCE</v>
      </c>
      <c r="G3902" s="16" t="str">
        <f>VLOOKUP(Table8[[#This Row],[Mã khách hàng]],code_khach_hang[],3,0)</f>
        <v>Miền Bắc đặc biệt 1</v>
      </c>
      <c r="H3902" t="str">
        <f>VLOOKUP(Table8[[#This Row],[Mã khách hàng]],'Khách hàng'!A:D,4,0)</f>
        <v>Food Đức Việt</v>
      </c>
      <c r="I3902" t="str">
        <f>VLOOKUP(Table8[[#This Row],[Mã khách hàng]],'Khách hàng'!A:E,5,0)</f>
        <v>HN0040</v>
      </c>
    </row>
    <row r="3903" spans="1:9">
      <c r="A3903" s="46" t="s">
        <v>13016</v>
      </c>
      <c r="B3903" s="9" t="s">
        <v>5</v>
      </c>
      <c r="C3903" s="36" t="s">
        <v>13017</v>
      </c>
      <c r="D3903" s="21"/>
      <c r="E3903" s="37" t="s">
        <v>11215</v>
      </c>
      <c r="F3903" s="22" t="str">
        <f>VLOOKUP(Table8[[#This Row],[Mã khách hàng]],code_khach_hang[],2,0)</f>
        <v>CHI NHÁNH HÀ NỘI - CÔNG TY CỔ PHẦN DỊCH VỤ THƯƠNG MẠI TỔNG HỢP WINCOMMERCE</v>
      </c>
      <c r="G3903" s="16" t="str">
        <f>VLOOKUP(Table8[[#This Row],[Mã khách hàng]],code_khach_hang[],3,0)</f>
        <v>Miền Bắc đặc biệt 1</v>
      </c>
      <c r="H3903" t="str">
        <f>VLOOKUP(Table8[[#This Row],[Mã khách hàng]],'Khách hàng'!A:D,4,0)</f>
        <v>Food Đức Việt</v>
      </c>
      <c r="I3903" t="str">
        <f>VLOOKUP(Table8[[#This Row],[Mã khách hàng]],'Khách hàng'!A:E,5,0)</f>
        <v>HN0040</v>
      </c>
    </row>
    <row r="3904" spans="1:9">
      <c r="A3904" s="46" t="s">
        <v>13018</v>
      </c>
      <c r="B3904" s="9" t="s">
        <v>5</v>
      </c>
      <c r="C3904" s="36" t="s">
        <v>13019</v>
      </c>
      <c r="D3904" s="21"/>
      <c r="E3904" s="37" t="s">
        <v>11204</v>
      </c>
      <c r="F3904" s="22" t="str">
        <f>VLOOKUP(Table8[[#This Row],[Mã khách hàng]],code_khach_hang[],2,0)</f>
        <v>CHI NHÁNH TUYÊN QUANG - CÔNG TY CỔ PHẦN DỊCH VỤ THƯƠNG MẠI TỔNG HỢP WINCOMMERCE</v>
      </c>
      <c r="G3904" s="16" t="str">
        <f>VLOOKUP(Table8[[#This Row],[Mã khách hàng]],code_khach_hang[],3,0)</f>
        <v>Miền Bắc đặc biệt 2</v>
      </c>
      <c r="H3904" t="str">
        <f>VLOOKUP(Table8[[#This Row],[Mã khách hàng]],'Khách hàng'!A:D,4,0)</f>
        <v>Food Đức Việt</v>
      </c>
      <c r="I3904" t="str">
        <f>VLOOKUP(Table8[[#This Row],[Mã khách hàng]],'Khách hàng'!A:E,5,0)</f>
        <v>HN0040</v>
      </c>
    </row>
    <row r="3905" spans="1:9">
      <c r="A3905" s="46" t="s">
        <v>13020</v>
      </c>
      <c r="B3905" s="9" t="s">
        <v>5</v>
      </c>
      <c r="C3905" s="36" t="s">
        <v>13021</v>
      </c>
      <c r="D3905" s="21"/>
      <c r="E3905" s="37" t="s">
        <v>11199</v>
      </c>
      <c r="F3905" s="22" t="str">
        <f>VLOOKUP(Table8[[#This Row],[Mã khách hàng]],code_khach_hang[],2,0)</f>
        <v>CHI NHÁNH PHÚ THỌ - CÔNG TY CỔ PHẦN DỊCH VỤ THƯƠNG MẠI TỔNG HỢP WINCOMMERCE</v>
      </c>
      <c r="G3905" s="16" t="str">
        <f>VLOOKUP(Table8[[#This Row],[Mã khách hàng]],code_khach_hang[],3,0)</f>
        <v>Miền Bắc đặc biệt 1</v>
      </c>
      <c r="H3905" t="str">
        <f>VLOOKUP(Table8[[#This Row],[Mã khách hàng]],'Khách hàng'!A:D,4,0)</f>
        <v>Food Đức Việt</v>
      </c>
      <c r="I3905" t="str">
        <f>VLOOKUP(Table8[[#This Row],[Mã khách hàng]],'Khách hàng'!A:E,5,0)</f>
        <v>HN0040</v>
      </c>
    </row>
    <row r="3906" spans="1:9">
      <c r="A3906" s="46" t="s">
        <v>13022</v>
      </c>
      <c r="B3906" s="9" t="s">
        <v>5</v>
      </c>
      <c r="C3906" s="36" t="s">
        <v>13023</v>
      </c>
      <c r="D3906" s="21"/>
      <c r="E3906" s="37" t="s">
        <v>11206</v>
      </c>
      <c r="F3906" s="22" t="str">
        <f>VLOOKUP(Table8[[#This Row],[Mã khách hàng]],code_khach_hang[],2,0)</f>
        <v>CHI NHÁNH SƠN LA - CÔNG TY CỔ PHẦN DỊCH VỤ THƯƠNG MẠI TỔNG HỢP WINCOMMERCE</v>
      </c>
      <c r="G3906" s="16" t="str">
        <f>VLOOKUP(Table8[[#This Row],[Mã khách hàng]],code_khach_hang[],3,0)</f>
        <v>Miền Bắc đặc biệt 1</v>
      </c>
      <c r="H3906" t="str">
        <f>VLOOKUP(Table8[[#This Row],[Mã khách hàng]],'Khách hàng'!A:D,4,0)</f>
        <v>Food Đức Việt</v>
      </c>
      <c r="I3906" t="str">
        <f>VLOOKUP(Table8[[#This Row],[Mã khách hàng]],'Khách hàng'!A:E,5,0)</f>
        <v>HN0040</v>
      </c>
    </row>
    <row r="3907" spans="1:9">
      <c r="A3907" s="46" t="s">
        <v>13024</v>
      </c>
      <c r="B3907" s="9" t="s">
        <v>5</v>
      </c>
      <c r="C3907" s="36" t="s">
        <v>13025</v>
      </c>
      <c r="D3907" s="21"/>
      <c r="E3907" s="37" t="s">
        <v>11197</v>
      </c>
      <c r="F3907" s="22" t="str">
        <f>VLOOKUP(Table8[[#This Row],[Mã khách hàng]],code_khach_hang[],2,0)</f>
        <v>CHI NHÁNH QUẢNG NINH - CÔNG TY CỔ PHẦN DỊCH VỤ THƯƠNG MẠI TỔNG HỢP WINCOMMERCE</v>
      </c>
      <c r="G3907" s="16" t="str">
        <f>VLOOKUP(Table8[[#This Row],[Mã khách hàng]],code_khach_hang[],3,0)</f>
        <v>Miền Bắc đặc biệt 3</v>
      </c>
      <c r="H3907" t="str">
        <f>VLOOKUP(Table8[[#This Row],[Mã khách hàng]],'Khách hàng'!A:D,4,0)</f>
        <v>Food Đức Việt</v>
      </c>
      <c r="I3907" t="str">
        <f>VLOOKUP(Table8[[#This Row],[Mã khách hàng]],'Khách hàng'!A:E,5,0)</f>
        <v>HN0040</v>
      </c>
    </row>
    <row r="3908" spans="1:9">
      <c r="A3908" s="46" t="s">
        <v>13026</v>
      </c>
      <c r="B3908" s="9" t="s">
        <v>5</v>
      </c>
      <c r="C3908" s="36" t="s">
        <v>13027</v>
      </c>
      <c r="D3908" s="21"/>
      <c r="E3908" s="37" t="s">
        <v>11206</v>
      </c>
      <c r="F3908" s="22" t="str">
        <f>VLOOKUP(Table8[[#This Row],[Mã khách hàng]],code_khach_hang[],2,0)</f>
        <v>CHI NHÁNH SƠN LA - CÔNG TY CỔ PHẦN DỊCH VỤ THƯƠNG MẠI TỔNG HỢP WINCOMMERCE</v>
      </c>
      <c r="G3908" s="16" t="str">
        <f>VLOOKUP(Table8[[#This Row],[Mã khách hàng]],code_khach_hang[],3,0)</f>
        <v>Miền Bắc đặc biệt 1</v>
      </c>
      <c r="H3908" t="str">
        <f>VLOOKUP(Table8[[#This Row],[Mã khách hàng]],'Khách hàng'!A:D,4,0)</f>
        <v>Food Đức Việt</v>
      </c>
      <c r="I3908" t="str">
        <f>VLOOKUP(Table8[[#This Row],[Mã khách hàng]],'Khách hàng'!A:E,5,0)</f>
        <v>HN0040</v>
      </c>
    </row>
    <row r="3909" spans="1:9">
      <c r="A3909" s="46" t="s">
        <v>13028</v>
      </c>
      <c r="B3909" s="9" t="s">
        <v>5</v>
      </c>
      <c r="C3909" s="36" t="s">
        <v>13029</v>
      </c>
      <c r="D3909" s="21"/>
      <c r="E3909" s="37" t="s">
        <v>11199</v>
      </c>
      <c r="F3909" s="22" t="str">
        <f>VLOOKUP(Table8[[#This Row],[Mã khách hàng]],code_khach_hang[],2,0)</f>
        <v>CHI NHÁNH PHÚ THỌ - CÔNG TY CỔ PHẦN DỊCH VỤ THƯƠNG MẠI TỔNG HỢP WINCOMMERCE</v>
      </c>
      <c r="G3909" s="16" t="str">
        <f>VLOOKUP(Table8[[#This Row],[Mã khách hàng]],code_khach_hang[],3,0)</f>
        <v>Miền Bắc đặc biệt 1</v>
      </c>
      <c r="H3909" t="str">
        <f>VLOOKUP(Table8[[#This Row],[Mã khách hàng]],'Khách hàng'!A:D,4,0)</f>
        <v>Food Đức Việt</v>
      </c>
      <c r="I3909" t="str">
        <f>VLOOKUP(Table8[[#This Row],[Mã khách hàng]],'Khách hàng'!A:E,5,0)</f>
        <v>HN0040</v>
      </c>
    </row>
    <row r="3910" spans="1:9">
      <c r="A3910" s="46" t="s">
        <v>13030</v>
      </c>
      <c r="B3910" s="9" t="s">
        <v>5</v>
      </c>
      <c r="C3910" s="36" t="s">
        <v>13031</v>
      </c>
      <c r="D3910" s="21"/>
      <c r="E3910" s="37" t="s">
        <v>11197</v>
      </c>
      <c r="F3910" s="22" t="str">
        <f>VLOOKUP(Table8[[#This Row],[Mã khách hàng]],code_khach_hang[],2,0)</f>
        <v>CHI NHÁNH QUẢNG NINH - CÔNG TY CỔ PHẦN DỊCH VỤ THƯƠNG MẠI TỔNG HỢP WINCOMMERCE</v>
      </c>
      <c r="G3910" s="16" t="str">
        <f>VLOOKUP(Table8[[#This Row],[Mã khách hàng]],code_khach_hang[],3,0)</f>
        <v>Miền Bắc đặc biệt 3</v>
      </c>
      <c r="H3910" t="str">
        <f>VLOOKUP(Table8[[#This Row],[Mã khách hàng]],'Khách hàng'!A:D,4,0)</f>
        <v>Food Đức Việt</v>
      </c>
      <c r="I3910" t="str">
        <f>VLOOKUP(Table8[[#This Row],[Mã khách hàng]],'Khách hàng'!A:E,5,0)</f>
        <v>HN0040</v>
      </c>
    </row>
    <row r="3911" spans="1:9">
      <c r="A3911" s="46" t="s">
        <v>13032</v>
      </c>
      <c r="B3911" s="9" t="s">
        <v>5</v>
      </c>
      <c r="C3911" s="36" t="s">
        <v>13033</v>
      </c>
      <c r="D3911" s="21"/>
      <c r="E3911" s="37" t="s">
        <v>11196</v>
      </c>
      <c r="F3911" s="22" t="str">
        <f>VLOOKUP(Table8[[#This Row],[Mã khách hàng]],code_khach_hang[],2,0)</f>
        <v>CHI NHÁNH NINH BÌNH - CÔNG TY CỔ PHẦN DỊCH VỤ THƯƠNG MẠI TỔNG HỢP WINCOMMERCE</v>
      </c>
      <c r="G3911" s="16" t="str">
        <f>VLOOKUP(Table8[[#This Row],[Mã khách hàng]],code_khach_hang[],3,0)</f>
        <v>Miền Bắc đặc biệt 3</v>
      </c>
      <c r="H3911" t="str">
        <f>VLOOKUP(Table8[[#This Row],[Mã khách hàng]],'Khách hàng'!A:D,4,0)</f>
        <v>Food Đức Việt</v>
      </c>
      <c r="I3911" t="str">
        <f>VLOOKUP(Table8[[#This Row],[Mã khách hàng]],'Khách hàng'!A:E,5,0)</f>
        <v>HN0040</v>
      </c>
    </row>
    <row r="3912" spans="1:9">
      <c r="A3912" s="46" t="s">
        <v>13034</v>
      </c>
      <c r="B3912" s="9" t="s">
        <v>5</v>
      </c>
      <c r="C3912" s="36" t="s">
        <v>13035</v>
      </c>
      <c r="D3912" s="21"/>
      <c r="E3912" s="37" t="s">
        <v>11216</v>
      </c>
      <c r="F3912" s="22" t="str">
        <f>VLOOKUP(Table8[[#This Row],[Mã khách hàng]],code_khach_hang[],2,0)</f>
        <v>CHI NHÁNH HƯNG YÊN - CÔNG TY CỔ PHẦN DỊCH VỤ THƯƠNG MẠI TỔNG HỢP WINCOMMERCE</v>
      </c>
      <c r="G3912" s="16" t="str">
        <f>VLOOKUP(Table8[[#This Row],[Mã khách hàng]],code_khach_hang[],3,0)</f>
        <v>Miền Bắc đặc biệt 1</v>
      </c>
      <c r="H3912" t="str">
        <f>VLOOKUP(Table8[[#This Row],[Mã khách hàng]],'Khách hàng'!A:D,4,0)</f>
        <v>Food Đức Việt</v>
      </c>
      <c r="I3912" t="str">
        <f>VLOOKUP(Table8[[#This Row],[Mã khách hàng]],'Khách hàng'!A:E,5,0)</f>
        <v>HN0040</v>
      </c>
    </row>
    <row r="3913" spans="1:9">
      <c r="A3913" s="46" t="s">
        <v>13036</v>
      </c>
      <c r="B3913" s="9" t="s">
        <v>5</v>
      </c>
      <c r="C3913" s="36" t="s">
        <v>13037</v>
      </c>
      <c r="D3913" s="21"/>
      <c r="E3913" s="37" t="s">
        <v>11196</v>
      </c>
      <c r="F3913" s="22" t="str">
        <f>VLOOKUP(Table8[[#This Row],[Mã khách hàng]],code_khach_hang[],2,0)</f>
        <v>CHI NHÁNH NINH BÌNH - CÔNG TY CỔ PHẦN DỊCH VỤ THƯƠNG MẠI TỔNG HỢP WINCOMMERCE</v>
      </c>
      <c r="G3913" s="16" t="str">
        <f>VLOOKUP(Table8[[#This Row],[Mã khách hàng]],code_khach_hang[],3,0)</f>
        <v>Miền Bắc đặc biệt 3</v>
      </c>
      <c r="H3913" t="str">
        <f>VLOOKUP(Table8[[#This Row],[Mã khách hàng]],'Khách hàng'!A:D,4,0)</f>
        <v>Food Đức Việt</v>
      </c>
      <c r="I3913" t="str">
        <f>VLOOKUP(Table8[[#This Row],[Mã khách hàng]],'Khách hàng'!A:E,5,0)</f>
        <v>HN0040</v>
      </c>
    </row>
    <row r="3914" spans="1:9">
      <c r="A3914" s="46" t="s">
        <v>13038</v>
      </c>
      <c r="B3914" s="9" t="s">
        <v>5</v>
      </c>
      <c r="C3914" s="36" t="s">
        <v>13039</v>
      </c>
      <c r="D3914" s="21"/>
      <c r="E3914" s="37" t="s">
        <v>11198</v>
      </c>
      <c r="F3914" s="22" t="str">
        <f>VLOOKUP(Table8[[#This Row],[Mã khách hàng]],code_khach_hang[],2,0)</f>
        <v>CHI NHÁNH HẢI PHÒNG - CÔNG TY CỔ PHẦN DỊCH VỤ THƯƠNG MẠI TỔNG HỢP WINCOMMERCE</v>
      </c>
      <c r="G3914" s="16" t="str">
        <f>VLOOKUP(Table8[[#This Row],[Mã khách hàng]],code_khach_hang[],3,0)</f>
        <v>Miền Bắc đặc biệt 3</v>
      </c>
      <c r="H3914" t="str">
        <f>VLOOKUP(Table8[[#This Row],[Mã khách hàng]],'Khách hàng'!A:D,4,0)</f>
        <v>Food Đức Việt</v>
      </c>
      <c r="I3914" t="str">
        <f>VLOOKUP(Table8[[#This Row],[Mã khách hàng]],'Khách hàng'!A:E,5,0)</f>
        <v>HN0040</v>
      </c>
    </row>
    <row r="3915" spans="1:9">
      <c r="A3915" s="46" t="s">
        <v>13040</v>
      </c>
      <c r="B3915" s="9" t="s">
        <v>5</v>
      </c>
      <c r="C3915" s="36" t="s">
        <v>13041</v>
      </c>
      <c r="D3915" s="21"/>
      <c r="E3915" s="37" t="s">
        <v>11215</v>
      </c>
      <c r="F3915" s="22" t="str">
        <f>VLOOKUP(Table8[[#This Row],[Mã khách hàng]],code_khach_hang[],2,0)</f>
        <v>CHI NHÁNH HÀ NỘI - CÔNG TY CỔ PHẦN DỊCH VỤ THƯƠNG MẠI TỔNG HỢP WINCOMMERCE</v>
      </c>
      <c r="G3915" s="16" t="str">
        <f>VLOOKUP(Table8[[#This Row],[Mã khách hàng]],code_khach_hang[],3,0)</f>
        <v>Miền Bắc đặc biệt 1</v>
      </c>
      <c r="H3915" t="str">
        <f>VLOOKUP(Table8[[#This Row],[Mã khách hàng]],'Khách hàng'!A:D,4,0)</f>
        <v>Food Đức Việt</v>
      </c>
      <c r="I3915" t="str">
        <f>VLOOKUP(Table8[[#This Row],[Mã khách hàng]],'Khách hàng'!A:E,5,0)</f>
        <v>HN0040</v>
      </c>
    </row>
    <row r="3916" spans="1:9">
      <c r="A3916" s="46" t="s">
        <v>13042</v>
      </c>
      <c r="B3916" s="9" t="s">
        <v>5</v>
      </c>
      <c r="C3916" s="36" t="s">
        <v>13043</v>
      </c>
      <c r="D3916" s="21"/>
      <c r="E3916" s="37" t="s">
        <v>11196</v>
      </c>
      <c r="F3916" s="22" t="str">
        <f>VLOOKUP(Table8[[#This Row],[Mã khách hàng]],code_khach_hang[],2,0)</f>
        <v>CHI NHÁNH NINH BÌNH - CÔNG TY CỔ PHẦN DỊCH VỤ THƯƠNG MẠI TỔNG HỢP WINCOMMERCE</v>
      </c>
      <c r="G3916" s="16" t="str">
        <f>VLOOKUP(Table8[[#This Row],[Mã khách hàng]],code_khach_hang[],3,0)</f>
        <v>Miền Bắc đặc biệt 3</v>
      </c>
      <c r="H3916" t="str">
        <f>VLOOKUP(Table8[[#This Row],[Mã khách hàng]],'Khách hàng'!A:D,4,0)</f>
        <v>Food Đức Việt</v>
      </c>
      <c r="I3916" t="str">
        <f>VLOOKUP(Table8[[#This Row],[Mã khách hàng]],'Khách hàng'!A:E,5,0)</f>
        <v>HN0040</v>
      </c>
    </row>
    <row r="3917" spans="1:9">
      <c r="A3917" s="46" t="s">
        <v>13044</v>
      </c>
      <c r="B3917" s="9" t="s">
        <v>5</v>
      </c>
      <c r="C3917" s="36" t="s">
        <v>13045</v>
      </c>
      <c r="D3917" s="21"/>
      <c r="E3917" s="37" t="s">
        <v>11215</v>
      </c>
      <c r="F3917" s="22" t="str">
        <f>VLOOKUP(Table8[[#This Row],[Mã khách hàng]],code_khach_hang[],2,0)</f>
        <v>CHI NHÁNH HÀ NỘI - CÔNG TY CỔ PHẦN DỊCH VỤ THƯƠNG MẠI TỔNG HỢP WINCOMMERCE</v>
      </c>
      <c r="G3917" s="16" t="str">
        <f>VLOOKUP(Table8[[#This Row],[Mã khách hàng]],code_khach_hang[],3,0)</f>
        <v>Miền Bắc đặc biệt 1</v>
      </c>
      <c r="H3917" t="str">
        <f>VLOOKUP(Table8[[#This Row],[Mã khách hàng]],'Khách hàng'!A:D,4,0)</f>
        <v>Food Đức Việt</v>
      </c>
      <c r="I3917" t="str">
        <f>VLOOKUP(Table8[[#This Row],[Mã khách hàng]],'Khách hàng'!A:E,5,0)</f>
        <v>HN0040</v>
      </c>
    </row>
    <row r="3918" spans="1:9">
      <c r="A3918" s="46" t="s">
        <v>13046</v>
      </c>
      <c r="B3918" s="9" t="s">
        <v>5</v>
      </c>
      <c r="C3918" s="36" t="s">
        <v>13047</v>
      </c>
      <c r="D3918" s="21"/>
      <c r="E3918" s="37" t="s">
        <v>11206</v>
      </c>
      <c r="F3918" s="22" t="str">
        <f>VLOOKUP(Table8[[#This Row],[Mã khách hàng]],code_khach_hang[],2,0)</f>
        <v>CHI NHÁNH SƠN LA - CÔNG TY CỔ PHẦN DỊCH VỤ THƯƠNG MẠI TỔNG HỢP WINCOMMERCE</v>
      </c>
      <c r="G3918" s="16" t="str">
        <f>VLOOKUP(Table8[[#This Row],[Mã khách hàng]],code_khach_hang[],3,0)</f>
        <v>Miền Bắc đặc biệt 1</v>
      </c>
      <c r="H3918" t="str">
        <f>VLOOKUP(Table8[[#This Row],[Mã khách hàng]],'Khách hàng'!A:D,4,0)</f>
        <v>Food Đức Việt</v>
      </c>
      <c r="I3918" t="str">
        <f>VLOOKUP(Table8[[#This Row],[Mã khách hàng]],'Khách hàng'!A:E,5,0)</f>
        <v>HN0040</v>
      </c>
    </row>
    <row r="3919" spans="1:9">
      <c r="A3919" s="46" t="s">
        <v>13048</v>
      </c>
      <c r="B3919" s="9" t="s">
        <v>5</v>
      </c>
      <c r="C3919" s="36" t="s">
        <v>13049</v>
      </c>
      <c r="D3919" s="21"/>
      <c r="E3919" s="37" t="s">
        <v>11215</v>
      </c>
      <c r="F3919" s="22" t="str">
        <f>VLOOKUP(Table8[[#This Row],[Mã khách hàng]],code_khach_hang[],2,0)</f>
        <v>CHI NHÁNH HÀ NỘI - CÔNG TY CỔ PHẦN DỊCH VỤ THƯƠNG MẠI TỔNG HỢP WINCOMMERCE</v>
      </c>
      <c r="G3919" s="16" t="str">
        <f>VLOOKUP(Table8[[#This Row],[Mã khách hàng]],code_khach_hang[],3,0)</f>
        <v>Miền Bắc đặc biệt 1</v>
      </c>
      <c r="H3919" t="str">
        <f>VLOOKUP(Table8[[#This Row],[Mã khách hàng]],'Khách hàng'!A:D,4,0)</f>
        <v>Food Đức Việt</v>
      </c>
      <c r="I3919" t="str">
        <f>VLOOKUP(Table8[[#This Row],[Mã khách hàng]],'Khách hàng'!A:E,5,0)</f>
        <v>HN0040</v>
      </c>
    </row>
    <row r="3920" spans="1:9">
      <c r="A3920" s="46" t="s">
        <v>13050</v>
      </c>
      <c r="B3920" s="9" t="s">
        <v>5</v>
      </c>
      <c r="C3920" s="36" t="s">
        <v>13051</v>
      </c>
      <c r="D3920" s="21"/>
      <c r="E3920" s="37" t="s">
        <v>11198</v>
      </c>
      <c r="F3920" s="22" t="str">
        <f>VLOOKUP(Table8[[#This Row],[Mã khách hàng]],code_khach_hang[],2,0)</f>
        <v>CHI NHÁNH HẢI PHÒNG - CÔNG TY CỔ PHẦN DỊCH VỤ THƯƠNG MẠI TỔNG HỢP WINCOMMERCE</v>
      </c>
      <c r="G3920" s="16" t="str">
        <f>VLOOKUP(Table8[[#This Row],[Mã khách hàng]],code_khach_hang[],3,0)</f>
        <v>Miền Bắc đặc biệt 3</v>
      </c>
      <c r="H3920" t="str">
        <f>VLOOKUP(Table8[[#This Row],[Mã khách hàng]],'Khách hàng'!A:D,4,0)</f>
        <v>Food Đức Việt</v>
      </c>
      <c r="I3920" t="str">
        <f>VLOOKUP(Table8[[#This Row],[Mã khách hàng]],'Khách hàng'!A:E,5,0)</f>
        <v>HN0040</v>
      </c>
    </row>
    <row r="3921" spans="1:9">
      <c r="A3921" s="45" t="s">
        <v>13052</v>
      </c>
      <c r="B3921" s="9" t="s">
        <v>5</v>
      </c>
      <c r="C3921" s="37" t="s">
        <v>1690</v>
      </c>
      <c r="D3921" s="21"/>
      <c r="E3921" s="37" t="s">
        <v>11220</v>
      </c>
      <c r="F3921" s="22" t="str">
        <f>VLOOKUP(Table8[[#This Row],[Mã khách hàng]],code_khach_hang[],2,0)</f>
        <v>CHI NHÁNH HÀ GIANG - CÔNG TY CỔ PHẦN DỊCH VỤ THƯƠNG MẠI TỔNG HỢP WINCOMMERCE</v>
      </c>
      <c r="G3921" s="10" t="str">
        <f>VLOOKUP(Table8[[#This Row],[Mã khách hàng]],code_khach_hang[],3,0)</f>
        <v>Miền Bắc đặc biệt 2</v>
      </c>
      <c r="H3921" t="str">
        <f>VLOOKUP(Table8[[#This Row],[Mã khách hàng]],'Khách hàng'!A:D,4,0)</f>
        <v>Food Đức Việt</v>
      </c>
      <c r="I3921" t="str">
        <f>VLOOKUP(Table8[[#This Row],[Mã khách hàng]],'Khách hàng'!A:E,5,0)</f>
        <v>HN0040</v>
      </c>
    </row>
    <row r="3922" spans="1:9">
      <c r="A3922" s="45" t="s">
        <v>13053</v>
      </c>
      <c r="B3922" s="9" t="s">
        <v>5</v>
      </c>
      <c r="C3922" s="36" t="s">
        <v>13093</v>
      </c>
      <c r="D3922" s="21"/>
      <c r="E3922" s="37" t="s">
        <v>11218</v>
      </c>
      <c r="F3922" s="22" t="str">
        <f>VLOOKUP(Table8[[#This Row],[Mã khách hàng]],code_khach_hang[],2,0)</f>
        <v>CHI NHÁNH LÀO CAI - CÔNG TY CỔ PHẦN DỊCH VỤ THƯƠNG MẠI TỔNG HỢP WINCOMMERCE</v>
      </c>
      <c r="G3922" s="10" t="str">
        <f>VLOOKUP(Table8[[#This Row],[Mã khách hàng]],code_khach_hang[],3,0)</f>
        <v>Miền Bắc đặc biệt 1</v>
      </c>
      <c r="H3922" t="str">
        <f>VLOOKUP(Table8[[#This Row],[Mã khách hàng]],'Khách hàng'!A:D,4,0)</f>
        <v>Food Đức Việt</v>
      </c>
      <c r="I3922" t="str">
        <f>VLOOKUP(Table8[[#This Row],[Mã khách hàng]],'Khách hàng'!A:E,5,0)</f>
        <v>HN0040</v>
      </c>
    </row>
    <row r="3923" spans="1:9">
      <c r="A3923" s="46" t="s">
        <v>13054</v>
      </c>
      <c r="B3923" s="9" t="s">
        <v>5</v>
      </c>
      <c r="C3923" s="36" t="s">
        <v>13094</v>
      </c>
      <c r="D3923" s="21"/>
      <c r="E3923" s="78" t="s">
        <v>11199</v>
      </c>
      <c r="F3923" s="22" t="str">
        <f>VLOOKUP(Table8[[#This Row],[Mã khách hàng]],code_khach_hang[],2,0)</f>
        <v>CHI NHÁNH PHÚ THỌ - CÔNG TY CỔ PHẦN DỊCH VỤ THƯƠNG MẠI TỔNG HỢP WINCOMMERCE</v>
      </c>
      <c r="G3923" s="16" t="str">
        <f>VLOOKUP(Table8[[#This Row],[Mã khách hàng]],code_khach_hang[],3,0)</f>
        <v>Miền Bắc đặc biệt 1</v>
      </c>
      <c r="H3923" t="str">
        <f>VLOOKUP(Table8[[#This Row],[Mã khách hàng]],'Khách hàng'!A:D,4,0)</f>
        <v>Food Đức Việt</v>
      </c>
      <c r="I3923" t="str">
        <f>VLOOKUP(Table8[[#This Row],[Mã khách hàng]],'Khách hàng'!A:E,5,0)</f>
        <v>HN0040</v>
      </c>
    </row>
    <row r="3924" spans="1:9">
      <c r="A3924" s="46" t="s">
        <v>13055</v>
      </c>
      <c r="B3924" s="9" t="s">
        <v>5</v>
      </c>
      <c r="C3924" s="36" t="s">
        <v>13095</v>
      </c>
      <c r="D3924" s="21"/>
      <c r="E3924" s="37" t="s">
        <v>11215</v>
      </c>
      <c r="F3924" s="22" t="str">
        <f>VLOOKUP(Table8[[#This Row],[Mã khách hàng]],code_khach_hang[],2,0)</f>
        <v>CHI NHÁNH HÀ NỘI - CÔNG TY CỔ PHẦN DỊCH VỤ THƯƠNG MẠI TỔNG HỢP WINCOMMERCE</v>
      </c>
      <c r="G3924" s="16" t="str">
        <f>VLOOKUP(Table8[[#This Row],[Mã khách hàng]],code_khach_hang[],3,0)</f>
        <v>Miền Bắc đặc biệt 1</v>
      </c>
      <c r="H3924" t="str">
        <f>VLOOKUP(Table8[[#This Row],[Mã khách hàng]],'Khách hàng'!A:D,4,0)</f>
        <v>Food Đức Việt</v>
      </c>
      <c r="I3924" t="str">
        <f>VLOOKUP(Table8[[#This Row],[Mã khách hàng]],'Khách hàng'!A:E,5,0)</f>
        <v>HN0040</v>
      </c>
    </row>
    <row r="3925" spans="1:9">
      <c r="A3925" s="46" t="s">
        <v>13056</v>
      </c>
      <c r="B3925" s="9" t="s">
        <v>5</v>
      </c>
      <c r="C3925" s="36" t="s">
        <v>13096</v>
      </c>
      <c r="D3925" s="21"/>
      <c r="E3925" s="37" t="s">
        <v>11198</v>
      </c>
      <c r="F3925" s="22" t="str">
        <f>VLOOKUP(Table8[[#This Row],[Mã khách hàng]],code_khach_hang[],2,0)</f>
        <v>CHI NHÁNH HẢI PHÒNG - CÔNG TY CỔ PHẦN DỊCH VỤ THƯƠNG MẠI TỔNG HỢP WINCOMMERCE</v>
      </c>
      <c r="G3925" s="16" t="str">
        <f>VLOOKUP(Table8[[#This Row],[Mã khách hàng]],code_khach_hang[],3,0)</f>
        <v>Miền Bắc đặc biệt 3</v>
      </c>
      <c r="H3925" t="str">
        <f>VLOOKUP(Table8[[#This Row],[Mã khách hàng]],'Khách hàng'!A:D,4,0)</f>
        <v>Food Đức Việt</v>
      </c>
      <c r="I3925" t="str">
        <f>VLOOKUP(Table8[[#This Row],[Mã khách hàng]],'Khách hàng'!A:E,5,0)</f>
        <v>HN0040</v>
      </c>
    </row>
    <row r="3926" spans="1:9">
      <c r="A3926" s="46" t="s">
        <v>13057</v>
      </c>
      <c r="B3926" s="9" t="s">
        <v>5</v>
      </c>
      <c r="C3926" s="36" t="s">
        <v>13097</v>
      </c>
      <c r="D3926" s="21"/>
      <c r="E3926" s="37" t="s">
        <v>11218</v>
      </c>
      <c r="F3926" s="22" t="str">
        <f>VLOOKUP(Table8[[#This Row],[Mã khách hàng]],code_khach_hang[],2,0)</f>
        <v>CHI NHÁNH LÀO CAI - CÔNG TY CỔ PHẦN DỊCH VỤ THƯƠNG MẠI TỔNG HỢP WINCOMMERCE</v>
      </c>
      <c r="G3926" s="16" t="str">
        <f>VLOOKUP(Table8[[#This Row],[Mã khách hàng]],code_khach_hang[],3,0)</f>
        <v>Miền Bắc đặc biệt 1</v>
      </c>
      <c r="H3926" t="str">
        <f>VLOOKUP(Table8[[#This Row],[Mã khách hàng]],'Khách hàng'!A:D,4,0)</f>
        <v>Food Đức Việt</v>
      </c>
      <c r="I3926" t="str">
        <f>VLOOKUP(Table8[[#This Row],[Mã khách hàng]],'Khách hàng'!A:E,5,0)</f>
        <v>HN0040</v>
      </c>
    </row>
    <row r="3927" spans="1:9">
      <c r="A3927" s="46" t="s">
        <v>13058</v>
      </c>
      <c r="B3927" s="9" t="s">
        <v>5</v>
      </c>
      <c r="C3927" s="36" t="s">
        <v>13098</v>
      </c>
      <c r="D3927" s="21"/>
      <c r="E3927" s="37" t="s">
        <v>11193</v>
      </c>
      <c r="F3927" s="22" t="str">
        <f>VLOOKUP(Table8[[#This Row],[Mã khách hàng]],code_khach_hang[],2,0)</f>
        <v>CHI NHÁNH BẮC NINH - CÔNG TY CỔ PHẦN DỊCH VỤ THƯƠNG MẠI TỔNG HỢP WINCOMMERCE</v>
      </c>
      <c r="G3927" s="16" t="str">
        <f>VLOOKUP(Table8[[#This Row],[Mã khách hàng]],code_khach_hang[],3,0)</f>
        <v>Miền Bắc đặc biệt 2</v>
      </c>
      <c r="H3927" t="str">
        <f>VLOOKUP(Table8[[#This Row],[Mã khách hàng]],'Khách hàng'!A:D,4,0)</f>
        <v>Food Đức Việt</v>
      </c>
      <c r="I3927" t="str">
        <f>VLOOKUP(Table8[[#This Row],[Mã khách hàng]],'Khách hàng'!A:E,5,0)</f>
        <v>HN0040</v>
      </c>
    </row>
    <row r="3928" spans="1:9">
      <c r="A3928" s="46" t="s">
        <v>13059</v>
      </c>
      <c r="B3928" s="9" t="s">
        <v>5</v>
      </c>
      <c r="C3928" s="36" t="s">
        <v>13099</v>
      </c>
      <c r="D3928" s="21"/>
      <c r="E3928" s="37" t="s">
        <v>11193</v>
      </c>
      <c r="F3928" s="22" t="str">
        <f>VLOOKUP(Table8[[#This Row],[Mã khách hàng]],code_khach_hang[],2,0)</f>
        <v>CHI NHÁNH BẮC NINH - CÔNG TY CỔ PHẦN DỊCH VỤ THƯƠNG MẠI TỔNG HỢP WINCOMMERCE</v>
      </c>
      <c r="G3928" s="16" t="str">
        <f>VLOOKUP(Table8[[#This Row],[Mã khách hàng]],code_khach_hang[],3,0)</f>
        <v>Miền Bắc đặc biệt 2</v>
      </c>
      <c r="H3928" t="str">
        <f>VLOOKUP(Table8[[#This Row],[Mã khách hàng]],'Khách hàng'!A:D,4,0)</f>
        <v>Food Đức Việt</v>
      </c>
      <c r="I3928" t="str">
        <f>VLOOKUP(Table8[[#This Row],[Mã khách hàng]],'Khách hàng'!A:E,5,0)</f>
        <v>HN0040</v>
      </c>
    </row>
    <row r="3929" spans="1:9">
      <c r="A3929" s="46" t="s">
        <v>13060</v>
      </c>
      <c r="B3929" s="9" t="s">
        <v>5</v>
      </c>
      <c r="C3929" s="36" t="s">
        <v>13100</v>
      </c>
      <c r="D3929" s="21"/>
      <c r="E3929" s="37" t="s">
        <v>11199</v>
      </c>
      <c r="F3929" s="22" t="str">
        <f>VLOOKUP(Table8[[#This Row],[Mã khách hàng]],code_khach_hang[],2,0)</f>
        <v>CHI NHÁNH PHÚ THỌ - CÔNG TY CỔ PHẦN DỊCH VỤ THƯƠNG MẠI TỔNG HỢP WINCOMMERCE</v>
      </c>
      <c r="G3929" s="16" t="str">
        <f>VLOOKUP(Table8[[#This Row],[Mã khách hàng]],code_khach_hang[],3,0)</f>
        <v>Miền Bắc đặc biệt 1</v>
      </c>
      <c r="H3929" t="str">
        <f>VLOOKUP(Table8[[#This Row],[Mã khách hàng]],'Khách hàng'!A:D,4,0)</f>
        <v>Food Đức Việt</v>
      </c>
      <c r="I3929" t="str">
        <f>VLOOKUP(Table8[[#This Row],[Mã khách hàng]],'Khách hàng'!A:E,5,0)</f>
        <v>HN0040</v>
      </c>
    </row>
    <row r="3930" spans="1:9">
      <c r="A3930" s="46" t="s">
        <v>13061</v>
      </c>
      <c r="B3930" s="9" t="s">
        <v>5</v>
      </c>
      <c r="C3930" s="36" t="s">
        <v>13101</v>
      </c>
      <c r="D3930" s="21"/>
      <c r="E3930" s="37" t="s">
        <v>11199</v>
      </c>
      <c r="F3930" s="22" t="str">
        <f>VLOOKUP(Table8[[#This Row],[Mã khách hàng]],code_khach_hang[],2,0)</f>
        <v>CHI NHÁNH PHÚ THỌ - CÔNG TY CỔ PHẦN DỊCH VỤ THƯƠNG MẠI TỔNG HỢP WINCOMMERCE</v>
      </c>
      <c r="G3930" s="16" t="str">
        <f>VLOOKUP(Table8[[#This Row],[Mã khách hàng]],code_khach_hang[],3,0)</f>
        <v>Miền Bắc đặc biệt 1</v>
      </c>
      <c r="H3930" t="str">
        <f>VLOOKUP(Table8[[#This Row],[Mã khách hàng]],'Khách hàng'!A:D,4,0)</f>
        <v>Food Đức Việt</v>
      </c>
      <c r="I3930" t="str">
        <f>VLOOKUP(Table8[[#This Row],[Mã khách hàng]],'Khách hàng'!A:E,5,0)</f>
        <v>HN0040</v>
      </c>
    </row>
    <row r="3931" spans="1:9">
      <c r="A3931" s="46" t="s">
        <v>13062</v>
      </c>
      <c r="B3931" s="9" t="s">
        <v>5</v>
      </c>
      <c r="C3931" s="36" t="s">
        <v>13102</v>
      </c>
      <c r="D3931" s="21"/>
      <c r="E3931" s="37" t="s">
        <v>11218</v>
      </c>
      <c r="F3931" s="22" t="str">
        <f>VLOOKUP(Table8[[#This Row],[Mã khách hàng]],code_khach_hang[],2,0)</f>
        <v>CHI NHÁNH LÀO CAI - CÔNG TY CỔ PHẦN DỊCH VỤ THƯƠNG MẠI TỔNG HỢP WINCOMMERCE</v>
      </c>
      <c r="G3931" s="16" t="str">
        <f>VLOOKUP(Table8[[#This Row],[Mã khách hàng]],code_khach_hang[],3,0)</f>
        <v>Miền Bắc đặc biệt 1</v>
      </c>
      <c r="H3931" t="str">
        <f>VLOOKUP(Table8[[#This Row],[Mã khách hàng]],'Khách hàng'!A:D,4,0)</f>
        <v>Food Đức Việt</v>
      </c>
      <c r="I3931" t="str">
        <f>VLOOKUP(Table8[[#This Row],[Mã khách hàng]],'Khách hàng'!A:E,5,0)</f>
        <v>HN0040</v>
      </c>
    </row>
    <row r="3932" spans="1:9">
      <c r="A3932" s="46" t="s">
        <v>13063</v>
      </c>
      <c r="B3932" s="9" t="s">
        <v>5</v>
      </c>
      <c r="C3932" s="36" t="s">
        <v>13103</v>
      </c>
      <c r="D3932" s="21"/>
      <c r="E3932" s="37" t="s">
        <v>11215</v>
      </c>
      <c r="F3932" s="22" t="str">
        <f>VLOOKUP(Table8[[#This Row],[Mã khách hàng]],code_khach_hang[],2,0)</f>
        <v>CHI NHÁNH HÀ NỘI - CÔNG TY CỔ PHẦN DỊCH VỤ THƯƠNG MẠI TỔNG HỢP WINCOMMERCE</v>
      </c>
      <c r="G3932" s="16" t="str">
        <f>VLOOKUP(Table8[[#This Row],[Mã khách hàng]],code_khach_hang[],3,0)</f>
        <v>Miền Bắc đặc biệt 1</v>
      </c>
      <c r="H3932" t="str">
        <f>VLOOKUP(Table8[[#This Row],[Mã khách hàng]],'Khách hàng'!A:D,4,0)</f>
        <v>Food Đức Việt</v>
      </c>
      <c r="I3932" t="str">
        <f>VLOOKUP(Table8[[#This Row],[Mã khách hàng]],'Khách hàng'!A:E,5,0)</f>
        <v>HN0040</v>
      </c>
    </row>
    <row r="3933" spans="1:9">
      <c r="A3933" s="46" t="s">
        <v>13064</v>
      </c>
      <c r="B3933" s="9" t="s">
        <v>5</v>
      </c>
      <c r="C3933" s="36" t="s">
        <v>13104</v>
      </c>
      <c r="D3933" s="21"/>
      <c r="E3933" s="37" t="s">
        <v>11199</v>
      </c>
      <c r="F3933" s="22" t="str">
        <f>VLOOKUP(Table8[[#This Row],[Mã khách hàng]],code_khach_hang[],2,0)</f>
        <v>CHI NHÁNH PHÚ THỌ - CÔNG TY CỔ PHẦN DỊCH VỤ THƯƠNG MẠI TỔNG HỢP WINCOMMERCE</v>
      </c>
      <c r="G3933" s="16" t="str">
        <f>VLOOKUP(Table8[[#This Row],[Mã khách hàng]],code_khach_hang[],3,0)</f>
        <v>Miền Bắc đặc biệt 1</v>
      </c>
      <c r="H3933" t="str">
        <f>VLOOKUP(Table8[[#This Row],[Mã khách hàng]],'Khách hàng'!A:D,4,0)</f>
        <v>Food Đức Việt</v>
      </c>
      <c r="I3933" t="str">
        <f>VLOOKUP(Table8[[#This Row],[Mã khách hàng]],'Khách hàng'!A:E,5,0)</f>
        <v>HN0040</v>
      </c>
    </row>
    <row r="3934" spans="1:9">
      <c r="A3934" s="46" t="s">
        <v>13065</v>
      </c>
      <c r="B3934" s="9" t="s">
        <v>5</v>
      </c>
      <c r="C3934" s="36" t="s">
        <v>13105</v>
      </c>
      <c r="D3934" s="21"/>
      <c r="E3934" s="37" t="s">
        <v>11193</v>
      </c>
      <c r="F3934" s="22" t="str">
        <f>VLOOKUP(Table8[[#This Row],[Mã khách hàng]],code_khach_hang[],2,0)</f>
        <v>CHI NHÁNH BẮC NINH - CÔNG TY CỔ PHẦN DỊCH VỤ THƯƠNG MẠI TỔNG HỢP WINCOMMERCE</v>
      </c>
      <c r="G3934" s="16" t="str">
        <f>VLOOKUP(Table8[[#This Row],[Mã khách hàng]],code_khach_hang[],3,0)</f>
        <v>Miền Bắc đặc biệt 2</v>
      </c>
      <c r="H3934" t="str">
        <f>VLOOKUP(Table8[[#This Row],[Mã khách hàng]],'Khách hàng'!A:D,4,0)</f>
        <v>Food Đức Việt</v>
      </c>
      <c r="I3934" t="str">
        <f>VLOOKUP(Table8[[#This Row],[Mã khách hàng]],'Khách hàng'!A:E,5,0)</f>
        <v>HN0040</v>
      </c>
    </row>
    <row r="3935" spans="1:9">
      <c r="A3935" s="46" t="s">
        <v>13066</v>
      </c>
      <c r="B3935" s="9" t="s">
        <v>5</v>
      </c>
      <c r="C3935" s="36" t="s">
        <v>13106</v>
      </c>
      <c r="D3935" s="21"/>
      <c r="E3935" s="37" t="s">
        <v>11216</v>
      </c>
      <c r="F3935" s="22" t="str">
        <f>VLOOKUP(Table8[[#This Row],[Mã khách hàng]],code_khach_hang[],2,0)</f>
        <v>CHI NHÁNH HƯNG YÊN - CÔNG TY CỔ PHẦN DỊCH VỤ THƯƠNG MẠI TỔNG HỢP WINCOMMERCE</v>
      </c>
      <c r="G3935" s="16" t="str">
        <f>VLOOKUP(Table8[[#This Row],[Mã khách hàng]],code_khach_hang[],3,0)</f>
        <v>Miền Bắc đặc biệt 1</v>
      </c>
      <c r="H3935" t="str">
        <f>VLOOKUP(Table8[[#This Row],[Mã khách hàng]],'Khách hàng'!A:D,4,0)</f>
        <v>Food Đức Việt</v>
      </c>
      <c r="I3935" t="str">
        <f>VLOOKUP(Table8[[#This Row],[Mã khách hàng]],'Khách hàng'!A:E,5,0)</f>
        <v>HN0040</v>
      </c>
    </row>
    <row r="3936" spans="1:9">
      <c r="A3936" s="46" t="s">
        <v>13067</v>
      </c>
      <c r="B3936" s="9" t="s">
        <v>5</v>
      </c>
      <c r="C3936" s="36" t="s">
        <v>13107</v>
      </c>
      <c r="D3936" s="21"/>
      <c r="E3936" s="37" t="s">
        <v>11199</v>
      </c>
      <c r="F3936" s="22" t="str">
        <f>VLOOKUP(Table8[[#This Row],[Mã khách hàng]],code_khach_hang[],2,0)</f>
        <v>CHI NHÁNH PHÚ THỌ - CÔNG TY CỔ PHẦN DỊCH VỤ THƯƠNG MẠI TỔNG HỢP WINCOMMERCE</v>
      </c>
      <c r="G3936" s="16" t="str">
        <f>VLOOKUP(Table8[[#This Row],[Mã khách hàng]],code_khach_hang[],3,0)</f>
        <v>Miền Bắc đặc biệt 1</v>
      </c>
      <c r="H3936" t="str">
        <f>VLOOKUP(Table8[[#This Row],[Mã khách hàng]],'Khách hàng'!A:D,4,0)</f>
        <v>Food Đức Việt</v>
      </c>
      <c r="I3936" t="str">
        <f>VLOOKUP(Table8[[#This Row],[Mã khách hàng]],'Khách hàng'!A:E,5,0)</f>
        <v>HN0040</v>
      </c>
    </row>
    <row r="3937" spans="1:9">
      <c r="A3937" s="46" t="s">
        <v>13068</v>
      </c>
      <c r="B3937" s="9" t="s">
        <v>5</v>
      </c>
      <c r="C3937" s="36" t="s">
        <v>13108</v>
      </c>
      <c r="D3937" s="21"/>
      <c r="E3937" s="37" t="s">
        <v>11215</v>
      </c>
      <c r="F3937" s="22" t="str">
        <f>VLOOKUP(Table8[[#This Row],[Mã khách hàng]],code_khach_hang[],2,0)</f>
        <v>CHI NHÁNH HÀ NỘI - CÔNG TY CỔ PHẦN DỊCH VỤ THƯƠNG MẠI TỔNG HỢP WINCOMMERCE</v>
      </c>
      <c r="G3937" s="16" t="str">
        <f>VLOOKUP(Table8[[#This Row],[Mã khách hàng]],code_khach_hang[],3,0)</f>
        <v>Miền Bắc đặc biệt 1</v>
      </c>
      <c r="H3937" t="str">
        <f>VLOOKUP(Table8[[#This Row],[Mã khách hàng]],'Khách hàng'!A:D,4,0)</f>
        <v>Food Đức Việt</v>
      </c>
      <c r="I3937" t="str">
        <f>VLOOKUP(Table8[[#This Row],[Mã khách hàng]],'Khách hàng'!A:E,5,0)</f>
        <v>HN0040</v>
      </c>
    </row>
    <row r="3938" spans="1:9">
      <c r="A3938" s="46" t="s">
        <v>13069</v>
      </c>
      <c r="B3938" s="9" t="s">
        <v>5</v>
      </c>
      <c r="C3938" s="36" t="s">
        <v>13109</v>
      </c>
      <c r="D3938" s="21"/>
      <c r="E3938" s="37" t="s">
        <v>11199</v>
      </c>
      <c r="F3938" s="22" t="str">
        <f>VLOOKUP(Table8[[#This Row],[Mã khách hàng]],code_khach_hang[],2,0)</f>
        <v>CHI NHÁNH PHÚ THỌ - CÔNG TY CỔ PHẦN DỊCH VỤ THƯƠNG MẠI TỔNG HỢP WINCOMMERCE</v>
      </c>
      <c r="G3938" s="16" t="str">
        <f>VLOOKUP(Table8[[#This Row],[Mã khách hàng]],code_khach_hang[],3,0)</f>
        <v>Miền Bắc đặc biệt 1</v>
      </c>
      <c r="H3938" t="str">
        <f>VLOOKUP(Table8[[#This Row],[Mã khách hàng]],'Khách hàng'!A:D,4,0)</f>
        <v>Food Đức Việt</v>
      </c>
      <c r="I3938" t="str">
        <f>VLOOKUP(Table8[[#This Row],[Mã khách hàng]],'Khách hàng'!A:E,5,0)</f>
        <v>HN0040</v>
      </c>
    </row>
    <row r="3939" spans="1:9">
      <c r="A3939" s="46" t="s">
        <v>13070</v>
      </c>
      <c r="B3939" s="9" t="s">
        <v>5</v>
      </c>
      <c r="C3939" s="36" t="s">
        <v>13110</v>
      </c>
      <c r="D3939" s="21"/>
      <c r="E3939" s="37" t="s">
        <v>11207</v>
      </c>
      <c r="F3939" s="22" t="str">
        <f>VLOOKUP(Table8[[#This Row],[Mã khách hàng]],code_khach_hang[],2,0)</f>
        <v>CHI NHÁNH THÁI NGUYÊN - CÔNG TY CỔ PHẦN DỊCH VỤ THƯƠNG MẠI TỔNG HỢP WINCOMMERCE</v>
      </c>
      <c r="G3939" s="16" t="str">
        <f>VLOOKUP(Table8[[#This Row],[Mã khách hàng]],code_khach_hang[],3,0)</f>
        <v>Miền Bắc đặc biệt 2</v>
      </c>
      <c r="H3939" t="str">
        <f>VLOOKUP(Table8[[#This Row],[Mã khách hàng]],'Khách hàng'!A:D,4,0)</f>
        <v>Food Đức Việt</v>
      </c>
      <c r="I3939" t="str">
        <f>VLOOKUP(Table8[[#This Row],[Mã khách hàng]],'Khách hàng'!A:E,5,0)</f>
        <v>HN0040</v>
      </c>
    </row>
    <row r="3940" spans="1:9">
      <c r="A3940" s="46" t="s">
        <v>13071</v>
      </c>
      <c r="B3940" s="9" t="s">
        <v>5</v>
      </c>
      <c r="C3940" s="36" t="s">
        <v>13111</v>
      </c>
      <c r="D3940" s="21"/>
      <c r="E3940" s="37" t="s">
        <v>11196</v>
      </c>
      <c r="F3940" s="22" t="str">
        <f>VLOOKUP(Table8[[#This Row],[Mã khách hàng]],code_khach_hang[],2,0)</f>
        <v>CHI NHÁNH NINH BÌNH - CÔNG TY CỔ PHẦN DỊCH VỤ THƯƠNG MẠI TỔNG HỢP WINCOMMERCE</v>
      </c>
      <c r="G3940" s="16" t="str">
        <f>VLOOKUP(Table8[[#This Row],[Mã khách hàng]],code_khach_hang[],3,0)</f>
        <v>Miền Bắc đặc biệt 3</v>
      </c>
      <c r="H3940" t="str">
        <f>VLOOKUP(Table8[[#This Row],[Mã khách hàng]],'Khách hàng'!A:D,4,0)</f>
        <v>Food Đức Việt</v>
      </c>
      <c r="I3940" t="str">
        <f>VLOOKUP(Table8[[#This Row],[Mã khách hàng]],'Khách hàng'!A:E,5,0)</f>
        <v>HN0040</v>
      </c>
    </row>
    <row r="3941" spans="1:9">
      <c r="A3941" s="46" t="s">
        <v>13072</v>
      </c>
      <c r="B3941" s="9" t="s">
        <v>5</v>
      </c>
      <c r="C3941" s="36" t="s">
        <v>13112</v>
      </c>
      <c r="D3941" s="21"/>
      <c r="E3941" s="37" t="s">
        <v>11215</v>
      </c>
      <c r="F3941" s="22" t="str">
        <f>VLOOKUP(Table8[[#This Row],[Mã khách hàng]],code_khach_hang[],2,0)</f>
        <v>CHI NHÁNH HÀ NỘI - CÔNG TY CỔ PHẦN DỊCH VỤ THƯƠNG MẠI TỔNG HỢP WINCOMMERCE</v>
      </c>
      <c r="G3941" s="16" t="str">
        <f>VLOOKUP(Table8[[#This Row],[Mã khách hàng]],code_khach_hang[],3,0)</f>
        <v>Miền Bắc đặc biệt 1</v>
      </c>
      <c r="H3941" t="str">
        <f>VLOOKUP(Table8[[#This Row],[Mã khách hàng]],'Khách hàng'!A:D,4,0)</f>
        <v>Food Đức Việt</v>
      </c>
      <c r="I3941" t="str">
        <f>VLOOKUP(Table8[[#This Row],[Mã khách hàng]],'Khách hàng'!A:E,5,0)</f>
        <v>HN0040</v>
      </c>
    </row>
    <row r="3942" spans="1:9">
      <c r="A3942" s="46" t="s">
        <v>13073</v>
      </c>
      <c r="B3942" s="9" t="s">
        <v>5</v>
      </c>
      <c r="C3942" s="36" t="s">
        <v>13113</v>
      </c>
      <c r="D3942" s="21"/>
      <c r="E3942" s="37" t="s">
        <v>11196</v>
      </c>
      <c r="F3942" s="22" t="str">
        <f>VLOOKUP(Table8[[#This Row],[Mã khách hàng]],code_khach_hang[],2,0)</f>
        <v>CHI NHÁNH NINH BÌNH - CÔNG TY CỔ PHẦN DỊCH VỤ THƯƠNG MẠI TỔNG HỢP WINCOMMERCE</v>
      </c>
      <c r="G3942" s="16" t="str">
        <f>VLOOKUP(Table8[[#This Row],[Mã khách hàng]],code_khach_hang[],3,0)</f>
        <v>Miền Bắc đặc biệt 3</v>
      </c>
      <c r="H3942" t="str">
        <f>VLOOKUP(Table8[[#This Row],[Mã khách hàng]],'Khách hàng'!A:D,4,0)</f>
        <v>Food Đức Việt</v>
      </c>
      <c r="I3942" t="str">
        <f>VLOOKUP(Table8[[#This Row],[Mã khách hàng]],'Khách hàng'!A:E,5,0)</f>
        <v>HN0040</v>
      </c>
    </row>
    <row r="3943" spans="1:9">
      <c r="A3943" s="46" t="s">
        <v>13074</v>
      </c>
      <c r="B3943" s="9" t="s">
        <v>5</v>
      </c>
      <c r="C3943" s="36" t="s">
        <v>13114</v>
      </c>
      <c r="D3943" s="21"/>
      <c r="E3943" s="37" t="s">
        <v>11216</v>
      </c>
      <c r="F3943" s="22" t="str">
        <f>VLOOKUP(Table8[[#This Row],[Mã khách hàng]],code_khach_hang[],2,0)</f>
        <v>CHI NHÁNH HƯNG YÊN - CÔNG TY CỔ PHẦN DỊCH VỤ THƯƠNG MẠI TỔNG HỢP WINCOMMERCE</v>
      </c>
      <c r="G3943" s="16" t="str">
        <f>VLOOKUP(Table8[[#This Row],[Mã khách hàng]],code_khach_hang[],3,0)</f>
        <v>Miền Bắc đặc biệt 1</v>
      </c>
      <c r="H3943" t="str">
        <f>VLOOKUP(Table8[[#This Row],[Mã khách hàng]],'Khách hàng'!A:D,4,0)</f>
        <v>Food Đức Việt</v>
      </c>
      <c r="I3943" t="str">
        <f>VLOOKUP(Table8[[#This Row],[Mã khách hàng]],'Khách hàng'!A:E,5,0)</f>
        <v>HN0040</v>
      </c>
    </row>
    <row r="3944" spans="1:9">
      <c r="A3944" s="46" t="s">
        <v>13075</v>
      </c>
      <c r="B3944" s="9" t="s">
        <v>5</v>
      </c>
      <c r="C3944" s="36" t="s">
        <v>13115</v>
      </c>
      <c r="D3944" s="21"/>
      <c r="E3944" s="37" t="s">
        <v>11196</v>
      </c>
      <c r="F3944" s="22" t="str">
        <f>VLOOKUP(Table8[[#This Row],[Mã khách hàng]],code_khach_hang[],2,0)</f>
        <v>CHI NHÁNH NINH BÌNH - CÔNG TY CỔ PHẦN DỊCH VỤ THƯƠNG MẠI TỔNG HỢP WINCOMMERCE</v>
      </c>
      <c r="G3944" s="16" t="str">
        <f>VLOOKUP(Table8[[#This Row],[Mã khách hàng]],code_khach_hang[],3,0)</f>
        <v>Miền Bắc đặc biệt 3</v>
      </c>
      <c r="H3944" t="str">
        <f>VLOOKUP(Table8[[#This Row],[Mã khách hàng]],'Khách hàng'!A:D,4,0)</f>
        <v>Food Đức Việt</v>
      </c>
      <c r="I3944" t="str">
        <f>VLOOKUP(Table8[[#This Row],[Mã khách hàng]],'Khách hàng'!A:E,5,0)</f>
        <v>HN0040</v>
      </c>
    </row>
    <row r="3945" spans="1:9">
      <c r="A3945" s="46" t="s">
        <v>13076</v>
      </c>
      <c r="B3945" s="9" t="s">
        <v>5</v>
      </c>
      <c r="C3945" s="36" t="s">
        <v>13116</v>
      </c>
      <c r="D3945" s="21"/>
      <c r="E3945" s="37" t="s">
        <v>11215</v>
      </c>
      <c r="F3945" s="22" t="str">
        <f>VLOOKUP(Table8[[#This Row],[Mã khách hàng]],code_khach_hang[],2,0)</f>
        <v>CHI NHÁNH HÀ NỘI - CÔNG TY CỔ PHẦN DỊCH VỤ THƯƠNG MẠI TỔNG HỢP WINCOMMERCE</v>
      </c>
      <c r="G3945" s="16" t="str">
        <f>VLOOKUP(Table8[[#This Row],[Mã khách hàng]],code_khach_hang[],3,0)</f>
        <v>Miền Bắc đặc biệt 1</v>
      </c>
      <c r="H3945" t="str">
        <f>VLOOKUP(Table8[[#This Row],[Mã khách hàng]],'Khách hàng'!A:D,4,0)</f>
        <v>Food Đức Việt</v>
      </c>
      <c r="I3945" t="str">
        <f>VLOOKUP(Table8[[#This Row],[Mã khách hàng]],'Khách hàng'!A:E,5,0)</f>
        <v>HN0040</v>
      </c>
    </row>
    <row r="3946" spans="1:9">
      <c r="A3946" s="46" t="s">
        <v>13077</v>
      </c>
      <c r="B3946" s="9" t="s">
        <v>5</v>
      </c>
      <c r="C3946" s="36" t="s">
        <v>13117</v>
      </c>
      <c r="D3946" s="21"/>
      <c r="E3946" s="37" t="s">
        <v>11198</v>
      </c>
      <c r="F3946" s="22" t="str">
        <f>VLOOKUP(Table8[[#This Row],[Mã khách hàng]],code_khach_hang[],2,0)</f>
        <v>CHI NHÁNH HẢI PHÒNG - CÔNG TY CỔ PHẦN DỊCH VỤ THƯƠNG MẠI TỔNG HỢP WINCOMMERCE</v>
      </c>
      <c r="G3946" s="16" t="str">
        <f>VLOOKUP(Table8[[#This Row],[Mã khách hàng]],code_khach_hang[],3,0)</f>
        <v>Miền Bắc đặc biệt 3</v>
      </c>
      <c r="H3946" t="str">
        <f>VLOOKUP(Table8[[#This Row],[Mã khách hàng]],'Khách hàng'!A:D,4,0)</f>
        <v>Food Đức Việt</v>
      </c>
      <c r="I3946" t="str">
        <f>VLOOKUP(Table8[[#This Row],[Mã khách hàng]],'Khách hàng'!A:E,5,0)</f>
        <v>HN0040</v>
      </c>
    </row>
    <row r="3947" spans="1:9">
      <c r="A3947" s="46" t="s">
        <v>13078</v>
      </c>
      <c r="B3947" s="9" t="s">
        <v>5</v>
      </c>
      <c r="C3947" s="36" t="s">
        <v>13118</v>
      </c>
      <c r="D3947" s="21"/>
      <c r="E3947" s="37" t="s">
        <v>11196</v>
      </c>
      <c r="F3947" s="22" t="str">
        <f>VLOOKUP(Table8[[#This Row],[Mã khách hàng]],code_khach_hang[],2,0)</f>
        <v>CHI NHÁNH NINH BÌNH - CÔNG TY CỔ PHẦN DỊCH VỤ THƯƠNG MẠI TỔNG HỢP WINCOMMERCE</v>
      </c>
      <c r="G3947" s="16" t="str">
        <f>VLOOKUP(Table8[[#This Row],[Mã khách hàng]],code_khach_hang[],3,0)</f>
        <v>Miền Bắc đặc biệt 3</v>
      </c>
      <c r="H3947" t="str">
        <f>VLOOKUP(Table8[[#This Row],[Mã khách hàng]],'Khách hàng'!A:D,4,0)</f>
        <v>Food Đức Việt</v>
      </c>
      <c r="I3947" t="str">
        <f>VLOOKUP(Table8[[#This Row],[Mã khách hàng]],'Khách hàng'!A:E,5,0)</f>
        <v>HN0040</v>
      </c>
    </row>
    <row r="3948" spans="1:9">
      <c r="A3948" s="46" t="s">
        <v>13079</v>
      </c>
      <c r="B3948" s="9" t="s">
        <v>5</v>
      </c>
      <c r="C3948" s="36" t="s">
        <v>13119</v>
      </c>
      <c r="D3948" s="21"/>
      <c r="E3948" s="37" t="s">
        <v>11199</v>
      </c>
      <c r="F3948" s="22" t="str">
        <f>VLOOKUP(Table8[[#This Row],[Mã khách hàng]],code_khach_hang[],2,0)</f>
        <v>CHI NHÁNH PHÚ THỌ - CÔNG TY CỔ PHẦN DỊCH VỤ THƯƠNG MẠI TỔNG HỢP WINCOMMERCE</v>
      </c>
      <c r="G3948" s="16" t="str">
        <f>VLOOKUP(Table8[[#This Row],[Mã khách hàng]],code_khach_hang[],3,0)</f>
        <v>Miền Bắc đặc biệt 1</v>
      </c>
      <c r="H3948" t="str">
        <f>VLOOKUP(Table8[[#This Row],[Mã khách hàng]],'Khách hàng'!A:D,4,0)</f>
        <v>Food Đức Việt</v>
      </c>
      <c r="I3948" t="str">
        <f>VLOOKUP(Table8[[#This Row],[Mã khách hàng]],'Khách hàng'!A:E,5,0)</f>
        <v>HN0040</v>
      </c>
    </row>
    <row r="3949" spans="1:9">
      <c r="A3949" s="46" t="s">
        <v>13080</v>
      </c>
      <c r="B3949" s="9" t="s">
        <v>5</v>
      </c>
      <c r="C3949" s="36" t="s">
        <v>13120</v>
      </c>
      <c r="D3949" s="21"/>
      <c r="E3949" s="37" t="s">
        <v>11221</v>
      </c>
      <c r="F3949" s="22" t="str">
        <f>VLOOKUP(Table8[[#This Row],[Mã khách hàng]],code_khach_hang[],2,0)</f>
        <v>CHI NHÁNH ĐIỆN BIÊN - CÔNG TY CỔ PHẦN DỊCH VỤ THƯƠNG MẠI TỔNG HỢP WINCOMMERCE</v>
      </c>
      <c r="G3949" s="16" t="str">
        <f>VLOOKUP(Table8[[#This Row],[Mã khách hàng]],code_khach_hang[],3,0)</f>
        <v>Miền Bắc đặc biệt 1</v>
      </c>
      <c r="H3949" t="str">
        <f>VLOOKUP(Table8[[#This Row],[Mã khách hàng]],'Khách hàng'!A:D,4,0)</f>
        <v>Food Đức Việt</v>
      </c>
      <c r="I3949" t="str">
        <f>VLOOKUP(Table8[[#This Row],[Mã khách hàng]],'Khách hàng'!A:E,5,0)</f>
        <v>HN0040</v>
      </c>
    </row>
    <row r="3950" spans="1:9">
      <c r="A3950" s="46" t="s">
        <v>13081</v>
      </c>
      <c r="B3950" s="9" t="s">
        <v>5</v>
      </c>
      <c r="C3950" s="36" t="s">
        <v>13121</v>
      </c>
      <c r="D3950" s="21"/>
      <c r="E3950" s="37" t="s">
        <v>11216</v>
      </c>
      <c r="F3950" s="22" t="str">
        <f>VLOOKUP(Table8[[#This Row],[Mã khách hàng]],code_khach_hang[],2,0)</f>
        <v>CHI NHÁNH HƯNG YÊN - CÔNG TY CỔ PHẦN DỊCH VỤ THƯƠNG MẠI TỔNG HỢP WINCOMMERCE</v>
      </c>
      <c r="G3950" s="16" t="str">
        <f>VLOOKUP(Table8[[#This Row],[Mã khách hàng]],code_khach_hang[],3,0)</f>
        <v>Miền Bắc đặc biệt 1</v>
      </c>
      <c r="H3950" t="str">
        <f>VLOOKUP(Table8[[#This Row],[Mã khách hàng]],'Khách hàng'!A:D,4,0)</f>
        <v>Food Đức Việt</v>
      </c>
      <c r="I3950" t="str">
        <f>VLOOKUP(Table8[[#This Row],[Mã khách hàng]],'Khách hàng'!A:E,5,0)</f>
        <v>HN0040</v>
      </c>
    </row>
    <row r="3951" spans="1:9">
      <c r="A3951" s="46" t="s">
        <v>13082</v>
      </c>
      <c r="B3951" s="9" t="s">
        <v>5</v>
      </c>
      <c r="C3951" s="36" t="s">
        <v>13122</v>
      </c>
      <c r="D3951" s="21"/>
      <c r="E3951" s="37" t="s">
        <v>11196</v>
      </c>
      <c r="F3951" s="22" t="str">
        <f>VLOOKUP(Table8[[#This Row],[Mã khách hàng]],code_khach_hang[],2,0)</f>
        <v>CHI NHÁNH NINH BÌNH - CÔNG TY CỔ PHẦN DỊCH VỤ THƯƠNG MẠI TỔNG HỢP WINCOMMERCE</v>
      </c>
      <c r="G3951" s="16" t="str">
        <f>VLOOKUP(Table8[[#This Row],[Mã khách hàng]],code_khach_hang[],3,0)</f>
        <v>Miền Bắc đặc biệt 3</v>
      </c>
      <c r="H3951" t="str">
        <f>VLOOKUP(Table8[[#This Row],[Mã khách hàng]],'Khách hàng'!A:D,4,0)</f>
        <v>Food Đức Việt</v>
      </c>
      <c r="I3951" t="str">
        <f>VLOOKUP(Table8[[#This Row],[Mã khách hàng]],'Khách hàng'!A:E,5,0)</f>
        <v>HN0040</v>
      </c>
    </row>
    <row r="3952" spans="1:9">
      <c r="A3952" s="46" t="s">
        <v>13083</v>
      </c>
      <c r="B3952" s="9" t="s">
        <v>5</v>
      </c>
      <c r="C3952" s="36" t="s">
        <v>13123</v>
      </c>
      <c r="D3952" s="21"/>
      <c r="E3952" s="37" t="s">
        <v>11199</v>
      </c>
      <c r="F3952" s="22" t="str">
        <f>VLOOKUP(Table8[[#This Row],[Mã khách hàng]],code_khach_hang[],2,0)</f>
        <v>CHI NHÁNH PHÚ THỌ - CÔNG TY CỔ PHẦN DỊCH VỤ THƯƠNG MẠI TỔNG HỢP WINCOMMERCE</v>
      </c>
      <c r="G3952" s="16" t="str">
        <f>VLOOKUP(Table8[[#This Row],[Mã khách hàng]],code_khach_hang[],3,0)</f>
        <v>Miền Bắc đặc biệt 1</v>
      </c>
      <c r="H3952" t="str">
        <f>VLOOKUP(Table8[[#This Row],[Mã khách hàng]],'Khách hàng'!A:D,4,0)</f>
        <v>Food Đức Việt</v>
      </c>
      <c r="I3952" t="str">
        <f>VLOOKUP(Table8[[#This Row],[Mã khách hàng]],'Khách hàng'!A:E,5,0)</f>
        <v>HN0040</v>
      </c>
    </row>
    <row r="3953" spans="1:9">
      <c r="A3953" s="46" t="s">
        <v>13084</v>
      </c>
      <c r="B3953" s="9" t="s">
        <v>5</v>
      </c>
      <c r="C3953" s="36" t="s">
        <v>13124</v>
      </c>
      <c r="D3953" s="21"/>
      <c r="E3953" s="37" t="s">
        <v>11215</v>
      </c>
      <c r="F3953" s="22" t="str">
        <f>VLOOKUP(Table8[[#This Row],[Mã khách hàng]],code_khach_hang[],2,0)</f>
        <v>CHI NHÁNH HÀ NỘI - CÔNG TY CỔ PHẦN DỊCH VỤ THƯƠNG MẠI TỔNG HỢP WINCOMMERCE</v>
      </c>
      <c r="G3953" s="16" t="str">
        <f>VLOOKUP(Table8[[#This Row],[Mã khách hàng]],code_khach_hang[],3,0)</f>
        <v>Miền Bắc đặc biệt 1</v>
      </c>
      <c r="H3953" t="str">
        <f>VLOOKUP(Table8[[#This Row],[Mã khách hàng]],'Khách hàng'!A:D,4,0)</f>
        <v>Food Đức Việt</v>
      </c>
      <c r="I3953" t="str">
        <f>VLOOKUP(Table8[[#This Row],[Mã khách hàng]],'Khách hàng'!A:E,5,0)</f>
        <v>HN0040</v>
      </c>
    </row>
    <row r="3954" spans="1:9">
      <c r="A3954" s="46" t="s">
        <v>13085</v>
      </c>
      <c r="B3954" s="9" t="s">
        <v>5</v>
      </c>
      <c r="C3954" s="36" t="s">
        <v>13125</v>
      </c>
      <c r="D3954" s="21"/>
      <c r="E3954" s="37" t="s">
        <v>11199</v>
      </c>
      <c r="F3954" s="22" t="str">
        <f>VLOOKUP(Table8[[#This Row],[Mã khách hàng]],code_khach_hang[],2,0)</f>
        <v>CHI NHÁNH PHÚ THỌ - CÔNG TY CỔ PHẦN DỊCH VỤ THƯƠNG MẠI TỔNG HỢP WINCOMMERCE</v>
      </c>
      <c r="G3954" s="16" t="str">
        <f>VLOOKUP(Table8[[#This Row],[Mã khách hàng]],code_khach_hang[],3,0)</f>
        <v>Miền Bắc đặc biệt 1</v>
      </c>
      <c r="H3954" t="str">
        <f>VLOOKUP(Table8[[#This Row],[Mã khách hàng]],'Khách hàng'!A:D,4,0)</f>
        <v>Food Đức Việt</v>
      </c>
      <c r="I3954" t="str">
        <f>VLOOKUP(Table8[[#This Row],[Mã khách hàng]],'Khách hàng'!A:E,5,0)</f>
        <v>HN0040</v>
      </c>
    </row>
    <row r="3955" spans="1:9">
      <c r="A3955" s="46" t="s">
        <v>13086</v>
      </c>
      <c r="B3955" s="9" t="s">
        <v>5</v>
      </c>
      <c r="C3955" s="36" t="s">
        <v>13126</v>
      </c>
      <c r="D3955" s="21"/>
      <c r="E3955" s="37" t="s">
        <v>11199</v>
      </c>
      <c r="F3955" s="22" t="str">
        <f>VLOOKUP(Table8[[#This Row],[Mã khách hàng]],code_khach_hang[],2,0)</f>
        <v>CHI NHÁNH PHÚ THỌ - CÔNG TY CỔ PHẦN DỊCH VỤ THƯƠNG MẠI TỔNG HỢP WINCOMMERCE</v>
      </c>
      <c r="G3955" s="16" t="str">
        <f>VLOOKUP(Table8[[#This Row],[Mã khách hàng]],code_khach_hang[],3,0)</f>
        <v>Miền Bắc đặc biệt 1</v>
      </c>
      <c r="H3955" t="str">
        <f>VLOOKUP(Table8[[#This Row],[Mã khách hàng]],'Khách hàng'!A:D,4,0)</f>
        <v>Food Đức Việt</v>
      </c>
      <c r="I3955" t="str">
        <f>VLOOKUP(Table8[[#This Row],[Mã khách hàng]],'Khách hàng'!A:E,5,0)</f>
        <v>HN0040</v>
      </c>
    </row>
    <row r="3956" spans="1:9">
      <c r="A3956" s="46" t="s">
        <v>13087</v>
      </c>
      <c r="B3956" s="9" t="s">
        <v>5</v>
      </c>
      <c r="C3956" s="36" t="s">
        <v>13127</v>
      </c>
      <c r="D3956" s="21"/>
      <c r="E3956" s="37" t="s">
        <v>11199</v>
      </c>
      <c r="F3956" s="22" t="str">
        <f>VLOOKUP(Table8[[#This Row],[Mã khách hàng]],code_khach_hang[],2,0)</f>
        <v>CHI NHÁNH PHÚ THỌ - CÔNG TY CỔ PHẦN DỊCH VỤ THƯƠNG MẠI TỔNG HỢP WINCOMMERCE</v>
      </c>
      <c r="G3956" s="16" t="str">
        <f>VLOOKUP(Table8[[#This Row],[Mã khách hàng]],code_khach_hang[],3,0)</f>
        <v>Miền Bắc đặc biệt 1</v>
      </c>
      <c r="H3956" t="str">
        <f>VLOOKUP(Table8[[#This Row],[Mã khách hàng]],'Khách hàng'!A:D,4,0)</f>
        <v>Food Đức Việt</v>
      </c>
      <c r="I3956" t="str">
        <f>VLOOKUP(Table8[[#This Row],[Mã khách hàng]],'Khách hàng'!A:E,5,0)</f>
        <v>HN0040</v>
      </c>
    </row>
    <row r="3957" spans="1:9">
      <c r="A3957" s="46" t="s">
        <v>13088</v>
      </c>
      <c r="B3957" s="9" t="s">
        <v>5</v>
      </c>
      <c r="C3957" s="36" t="s">
        <v>13128</v>
      </c>
      <c r="D3957" s="21"/>
      <c r="E3957" s="37" t="s">
        <v>11208</v>
      </c>
      <c r="F3957" s="22" t="str">
        <f>VLOOKUP(Table8[[#This Row],[Mã khách hàng]],code_khach_hang[],2,0)</f>
        <v>CHI NHÁNH LẠNG SƠN - CÔNG TY CỔ PHẦN DỊCH VỤ THƯƠNG MẠI TỔNG HỢP WINCOMMERCE</v>
      </c>
      <c r="G3957" s="16" t="str">
        <f>VLOOKUP(Table8[[#This Row],[Mã khách hàng]],code_khach_hang[],3,0)</f>
        <v>Miền Bắc đặc biệt 2</v>
      </c>
      <c r="H3957" t="str">
        <f>VLOOKUP(Table8[[#This Row],[Mã khách hàng]],'Khách hàng'!A:D,4,0)</f>
        <v>Food Đức Việt</v>
      </c>
      <c r="I3957" t="str">
        <f>VLOOKUP(Table8[[#This Row],[Mã khách hàng]],'Khách hàng'!A:E,5,0)</f>
        <v>HN0040</v>
      </c>
    </row>
    <row r="3958" spans="1:9">
      <c r="A3958" s="46" t="s">
        <v>13089</v>
      </c>
      <c r="B3958" s="9" t="s">
        <v>5</v>
      </c>
      <c r="C3958" s="36" t="s">
        <v>13129</v>
      </c>
      <c r="D3958" s="21"/>
      <c r="E3958" s="37" t="s">
        <v>11218</v>
      </c>
      <c r="F3958" s="22" t="str">
        <f>VLOOKUP(Table8[[#This Row],[Mã khách hàng]],code_khach_hang[],2,0)</f>
        <v>CHI NHÁNH LÀO CAI - CÔNG TY CỔ PHẦN DỊCH VỤ THƯƠNG MẠI TỔNG HỢP WINCOMMERCE</v>
      </c>
      <c r="G3958" s="16" t="str">
        <f>VLOOKUP(Table8[[#This Row],[Mã khách hàng]],code_khach_hang[],3,0)</f>
        <v>Miền Bắc đặc biệt 1</v>
      </c>
      <c r="H3958" t="str">
        <f>VLOOKUP(Table8[[#This Row],[Mã khách hàng]],'Khách hàng'!A:D,4,0)</f>
        <v>Food Đức Việt</v>
      </c>
      <c r="I3958" t="str">
        <f>VLOOKUP(Table8[[#This Row],[Mã khách hàng]],'Khách hàng'!A:E,5,0)</f>
        <v>HN0040</v>
      </c>
    </row>
    <row r="3959" spans="1:9">
      <c r="A3959" s="46" t="s">
        <v>13090</v>
      </c>
      <c r="B3959" s="9" t="s">
        <v>5</v>
      </c>
      <c r="C3959" s="36" t="s">
        <v>13130</v>
      </c>
      <c r="D3959" s="21"/>
      <c r="E3959" s="37" t="s">
        <v>11215</v>
      </c>
      <c r="F3959" s="22" t="str">
        <f>VLOOKUP(Table8[[#This Row],[Mã khách hàng]],code_khach_hang[],2,0)</f>
        <v>CHI NHÁNH HÀ NỘI - CÔNG TY CỔ PHẦN DỊCH VỤ THƯƠNG MẠI TỔNG HỢP WINCOMMERCE</v>
      </c>
      <c r="G3959" s="16" t="str">
        <f>VLOOKUP(Table8[[#This Row],[Mã khách hàng]],code_khach_hang[],3,0)</f>
        <v>Miền Bắc đặc biệt 1</v>
      </c>
      <c r="H3959" t="str">
        <f>VLOOKUP(Table8[[#This Row],[Mã khách hàng]],'Khách hàng'!A:D,4,0)</f>
        <v>Food Đức Việt</v>
      </c>
      <c r="I3959" t="str">
        <f>VLOOKUP(Table8[[#This Row],[Mã khách hàng]],'Khách hàng'!A:E,5,0)</f>
        <v>HN0040</v>
      </c>
    </row>
    <row r="3960" spans="1:9">
      <c r="A3960" s="46" t="s">
        <v>13091</v>
      </c>
      <c r="B3960" s="9" t="s">
        <v>5</v>
      </c>
      <c r="C3960" s="36" t="s">
        <v>13131</v>
      </c>
      <c r="D3960" s="21"/>
      <c r="E3960" s="37" t="s">
        <v>11206</v>
      </c>
      <c r="F3960" s="22" t="str">
        <f>VLOOKUP(Table8[[#This Row],[Mã khách hàng]],code_khach_hang[],2,0)</f>
        <v>CHI NHÁNH SƠN LA - CÔNG TY CỔ PHẦN DỊCH VỤ THƯƠNG MẠI TỔNG HỢP WINCOMMERCE</v>
      </c>
      <c r="G3960" s="16" t="str">
        <f>VLOOKUP(Table8[[#This Row],[Mã khách hàng]],code_khach_hang[],3,0)</f>
        <v>Miền Bắc đặc biệt 1</v>
      </c>
      <c r="H3960" t="str">
        <f>VLOOKUP(Table8[[#This Row],[Mã khách hàng]],'Khách hàng'!A:D,4,0)</f>
        <v>Food Đức Việt</v>
      </c>
      <c r="I3960" t="str">
        <f>VLOOKUP(Table8[[#This Row],[Mã khách hàng]],'Khách hàng'!A:E,5,0)</f>
        <v>HN0040</v>
      </c>
    </row>
    <row r="3961" spans="1:9">
      <c r="A3961" s="46" t="s">
        <v>13092</v>
      </c>
      <c r="B3961" s="9" t="s">
        <v>5</v>
      </c>
      <c r="C3961" s="36" t="s">
        <v>13132</v>
      </c>
      <c r="D3961" s="21"/>
      <c r="E3961" s="37" t="s">
        <v>11198</v>
      </c>
      <c r="F3961" s="22" t="str">
        <f>VLOOKUP(Table8[[#This Row],[Mã khách hàng]],code_khach_hang[],2,0)</f>
        <v>CHI NHÁNH HẢI PHÒNG - CÔNG TY CỔ PHẦN DỊCH VỤ THƯƠNG MẠI TỔNG HỢP WINCOMMERCE</v>
      </c>
      <c r="G3961" s="16" t="str">
        <f>VLOOKUP(Table8[[#This Row],[Mã khách hàng]],code_khach_hang[],3,0)</f>
        <v>Miền Bắc đặc biệt 3</v>
      </c>
      <c r="H3961" t="str">
        <f>VLOOKUP(Table8[[#This Row],[Mã khách hàng]],'Khách hàng'!A:D,4,0)</f>
        <v>Food Đức Việt</v>
      </c>
      <c r="I3961" t="str">
        <f>VLOOKUP(Table8[[#This Row],[Mã khách hàng]],'Khách hàng'!A:E,5,0)</f>
        <v>HN0040</v>
      </c>
    </row>
    <row r="3962" spans="1:9">
      <c r="A3962" s="49" t="s">
        <v>13136</v>
      </c>
      <c r="B3962" s="9" t="s">
        <v>5</v>
      </c>
      <c r="C3962" s="10" t="s">
        <v>13137</v>
      </c>
      <c r="D3962" s="21"/>
      <c r="E3962" s="50" t="s">
        <v>11207</v>
      </c>
      <c r="F3962" s="22" t="str">
        <f>VLOOKUP(Table8[[#This Row],[Mã khách hàng]],code_khach_hang[],2,0)</f>
        <v>CHI NHÁNH THÁI NGUYÊN - CÔNG TY CỔ PHẦN DỊCH VỤ THƯƠNG MẠI TỔNG HỢP WINCOMMERCE</v>
      </c>
      <c r="G3962" s="10" t="str">
        <f>VLOOKUP(Table8[[#This Row],[Mã khách hàng]],code_khach_hang[],3,0)</f>
        <v>Miền Bắc đặc biệt 2</v>
      </c>
      <c r="H3962" t="str">
        <f>VLOOKUP(Table8[[#This Row],[Mã khách hàng]],'Khách hàng'!A:D,4,0)</f>
        <v>Food Đức Việt</v>
      </c>
      <c r="I3962" t="str">
        <f>VLOOKUP(Table8[[#This Row],[Mã khách hàng]],'Khách hàng'!A:E,5,0)</f>
        <v>HN0040</v>
      </c>
    </row>
    <row r="3963" spans="1:9">
      <c r="A3963" s="11" t="s">
        <v>13196</v>
      </c>
      <c r="B3963" s="9" t="s">
        <v>5</v>
      </c>
      <c r="C3963" s="10" t="s">
        <v>13219</v>
      </c>
      <c r="D3963" s="21"/>
      <c r="E3963" s="31" t="s">
        <v>11193</v>
      </c>
      <c r="F3963" s="22" t="str">
        <f>VLOOKUP(Table8[[#This Row],[Mã khách hàng]],code_khach_hang[],2,0)</f>
        <v>CHI NHÁNH BẮC NINH - CÔNG TY CỔ PHẦN DỊCH VỤ THƯƠNG MẠI TỔNG HỢP WINCOMMERCE</v>
      </c>
      <c r="G3963" s="10" t="str">
        <f>VLOOKUP(Table8[[#This Row],[Mã khách hàng]],code_khach_hang[],3,0)</f>
        <v>Miền Bắc đặc biệt 2</v>
      </c>
      <c r="H3963" t="str">
        <f>VLOOKUP(Table8[[#This Row],[Mã khách hàng]],'Khách hàng'!A:D,4,0)</f>
        <v>Food Đức Việt</v>
      </c>
      <c r="I3963" t="str">
        <f>VLOOKUP(Table8[[#This Row],[Mã khách hàng]],'Khách hàng'!A:E,5,0)</f>
        <v>HN0040</v>
      </c>
    </row>
    <row r="3964" spans="1:9">
      <c r="A3964" s="11" t="s">
        <v>13197</v>
      </c>
      <c r="B3964" s="9" t="s">
        <v>5</v>
      </c>
      <c r="C3964" s="10" t="s">
        <v>13220</v>
      </c>
      <c r="D3964" s="21"/>
      <c r="E3964" s="31" t="s">
        <v>11193</v>
      </c>
      <c r="F3964" s="22" t="str">
        <f>VLOOKUP(Table8[[#This Row],[Mã khách hàng]],code_khach_hang[],2,0)</f>
        <v>CHI NHÁNH BẮC NINH - CÔNG TY CỔ PHẦN DỊCH VỤ THƯƠNG MẠI TỔNG HỢP WINCOMMERCE</v>
      </c>
      <c r="G3964" s="10" t="str">
        <f>VLOOKUP(Table8[[#This Row],[Mã khách hàng]],code_khach_hang[],3,0)</f>
        <v>Miền Bắc đặc biệt 2</v>
      </c>
      <c r="H3964" t="str">
        <f>VLOOKUP(Table8[[#This Row],[Mã khách hàng]],'Khách hàng'!A:D,4,0)</f>
        <v>Food Đức Việt</v>
      </c>
      <c r="I3964" t="str">
        <f>VLOOKUP(Table8[[#This Row],[Mã khách hàng]],'Khách hàng'!A:E,5,0)</f>
        <v>HN0040</v>
      </c>
    </row>
    <row r="3965" spans="1:9">
      <c r="A3965" s="11" t="s">
        <v>13198</v>
      </c>
      <c r="B3965" s="9" t="s">
        <v>5</v>
      </c>
      <c r="C3965" s="10" t="s">
        <v>13221</v>
      </c>
      <c r="D3965" s="21"/>
      <c r="E3965" s="31" t="s">
        <v>11222</v>
      </c>
      <c r="F3965" s="22" t="str">
        <f>VLOOKUP(Table8[[#This Row],[Mã khách hàng]],code_khach_hang[],2,0)</f>
        <v>CHI NHÁNH CAO BẰNG - CÔNG TY CỔ PHẦN DỊCH VỤ THƯƠNG MẠI TỔNG HỢP WINCOMMERCE</v>
      </c>
      <c r="G3965" s="10" t="str">
        <f>VLOOKUP(Table8[[#This Row],[Mã khách hàng]],code_khach_hang[],3,0)</f>
        <v>Miền Bắc đặc biệt 2</v>
      </c>
      <c r="H3965" t="str">
        <f>VLOOKUP(Table8[[#This Row],[Mã khách hàng]],'Khách hàng'!A:D,4,0)</f>
        <v>Food Đức Việt</v>
      </c>
      <c r="I3965" t="str">
        <f>VLOOKUP(Table8[[#This Row],[Mã khách hàng]],'Khách hàng'!A:E,5,0)</f>
        <v>HN0040</v>
      </c>
    </row>
    <row r="3966" spans="1:9">
      <c r="A3966" s="14" t="s">
        <v>13199</v>
      </c>
      <c r="B3966" s="9" t="s">
        <v>5</v>
      </c>
      <c r="C3966" s="16" t="s">
        <v>13222</v>
      </c>
      <c r="D3966" s="21"/>
      <c r="E3966" s="32" t="s">
        <v>11215</v>
      </c>
      <c r="F3966" s="22" t="str">
        <f>VLOOKUP(Table8[[#This Row],[Mã khách hàng]],code_khach_hang[],2,0)</f>
        <v>CHI NHÁNH HÀ NỘI - CÔNG TY CỔ PHẦN DỊCH VỤ THƯƠNG MẠI TỔNG HỢP WINCOMMERCE</v>
      </c>
      <c r="G3966" s="16" t="str">
        <f>VLOOKUP(Table8[[#This Row],[Mã khách hàng]],code_khach_hang[],3,0)</f>
        <v>Miền Bắc đặc biệt 1</v>
      </c>
      <c r="H3966" t="str">
        <f>VLOOKUP(Table8[[#This Row],[Mã khách hàng]],'Khách hàng'!A:D,4,0)</f>
        <v>Food Đức Việt</v>
      </c>
      <c r="I3966" t="str">
        <f>VLOOKUP(Table8[[#This Row],[Mã khách hàng]],'Khách hàng'!A:E,5,0)</f>
        <v>HN0040</v>
      </c>
    </row>
    <row r="3967" spans="1:9">
      <c r="A3967" s="11" t="s">
        <v>13200</v>
      </c>
      <c r="B3967" s="9" t="s">
        <v>5</v>
      </c>
      <c r="C3967" s="10" t="s">
        <v>13223</v>
      </c>
      <c r="D3967" s="21"/>
      <c r="E3967" s="31" t="s">
        <v>11215</v>
      </c>
      <c r="F3967" s="22" t="str">
        <f>VLOOKUP(Table8[[#This Row],[Mã khách hàng]],code_khach_hang[],2,0)</f>
        <v>CHI NHÁNH HÀ NỘI - CÔNG TY CỔ PHẦN DỊCH VỤ THƯƠNG MẠI TỔNG HỢP WINCOMMERCE</v>
      </c>
      <c r="G3967" s="10" t="str">
        <f>VLOOKUP(Table8[[#This Row],[Mã khách hàng]],code_khach_hang[],3,0)</f>
        <v>Miền Bắc đặc biệt 1</v>
      </c>
      <c r="H3967" t="str">
        <f>VLOOKUP(Table8[[#This Row],[Mã khách hàng]],'Khách hàng'!A:D,4,0)</f>
        <v>Food Đức Việt</v>
      </c>
      <c r="I3967" t="str">
        <f>VLOOKUP(Table8[[#This Row],[Mã khách hàng]],'Khách hàng'!A:E,5,0)</f>
        <v>HN0040</v>
      </c>
    </row>
    <row r="3968" spans="1:9">
      <c r="A3968" s="11" t="s">
        <v>13201</v>
      </c>
      <c r="B3968" s="9" t="s">
        <v>5</v>
      </c>
      <c r="C3968" s="10" t="s">
        <v>13224</v>
      </c>
      <c r="D3968" s="21"/>
      <c r="E3968" s="31" t="s">
        <v>11215</v>
      </c>
      <c r="F3968" s="22" t="str">
        <f>VLOOKUP(Table8[[#This Row],[Mã khách hàng]],code_khach_hang[],2,0)</f>
        <v>CHI NHÁNH HÀ NỘI - CÔNG TY CỔ PHẦN DỊCH VỤ THƯƠNG MẠI TỔNG HỢP WINCOMMERCE</v>
      </c>
      <c r="G3968" s="10" t="str">
        <f>VLOOKUP(Table8[[#This Row],[Mã khách hàng]],code_khach_hang[],3,0)</f>
        <v>Miền Bắc đặc biệt 1</v>
      </c>
      <c r="H3968" t="str">
        <f>VLOOKUP(Table8[[#This Row],[Mã khách hàng]],'Khách hàng'!A:D,4,0)</f>
        <v>Food Đức Việt</v>
      </c>
      <c r="I3968" t="str">
        <f>VLOOKUP(Table8[[#This Row],[Mã khách hàng]],'Khách hàng'!A:E,5,0)</f>
        <v>HN0040</v>
      </c>
    </row>
    <row r="3969" spans="1:9">
      <c r="A3969" s="11" t="s">
        <v>13202</v>
      </c>
      <c r="B3969" s="9" t="s">
        <v>5</v>
      </c>
      <c r="C3969" s="10" t="s">
        <v>13225</v>
      </c>
      <c r="D3969" s="21"/>
      <c r="E3969" s="31" t="s">
        <v>11215</v>
      </c>
      <c r="F3969" s="22" t="str">
        <f>VLOOKUP(Table8[[#This Row],[Mã khách hàng]],code_khach_hang[],2,0)</f>
        <v>CHI NHÁNH HÀ NỘI - CÔNG TY CỔ PHẦN DỊCH VỤ THƯƠNG MẠI TỔNG HỢP WINCOMMERCE</v>
      </c>
      <c r="G3969" s="10" t="str">
        <f>VLOOKUP(Table8[[#This Row],[Mã khách hàng]],code_khach_hang[],3,0)</f>
        <v>Miền Bắc đặc biệt 1</v>
      </c>
      <c r="H3969" t="str">
        <f>VLOOKUP(Table8[[#This Row],[Mã khách hàng]],'Khách hàng'!A:D,4,0)</f>
        <v>Food Đức Việt</v>
      </c>
      <c r="I3969" t="str">
        <f>VLOOKUP(Table8[[#This Row],[Mã khách hàng]],'Khách hàng'!A:E,5,0)</f>
        <v>HN0040</v>
      </c>
    </row>
    <row r="3970" spans="1:9">
      <c r="A3970" s="14" t="s">
        <v>13203</v>
      </c>
      <c r="B3970" s="9" t="s">
        <v>5</v>
      </c>
      <c r="C3970" s="16" t="s">
        <v>13226</v>
      </c>
      <c r="D3970" s="21"/>
      <c r="E3970" s="32" t="s">
        <v>11215</v>
      </c>
      <c r="F3970" s="22" t="str">
        <f>VLOOKUP(Table8[[#This Row],[Mã khách hàng]],code_khach_hang[],2,0)</f>
        <v>CHI NHÁNH HÀ NỘI - CÔNG TY CỔ PHẦN DỊCH VỤ THƯƠNG MẠI TỔNG HỢP WINCOMMERCE</v>
      </c>
      <c r="G3970" s="16" t="str">
        <f>VLOOKUP(Table8[[#This Row],[Mã khách hàng]],code_khach_hang[],3,0)</f>
        <v>Miền Bắc đặc biệt 1</v>
      </c>
      <c r="H3970" t="str">
        <f>VLOOKUP(Table8[[#This Row],[Mã khách hàng]],'Khách hàng'!A:D,4,0)</f>
        <v>Food Đức Việt</v>
      </c>
      <c r="I3970" t="str">
        <f>VLOOKUP(Table8[[#This Row],[Mã khách hàng]],'Khách hàng'!A:E,5,0)</f>
        <v>HN0040</v>
      </c>
    </row>
    <row r="3971" spans="1:9">
      <c r="A3971" s="11" t="s">
        <v>13204</v>
      </c>
      <c r="B3971" s="9" t="s">
        <v>5</v>
      </c>
      <c r="C3971" s="10" t="s">
        <v>13227</v>
      </c>
      <c r="D3971" s="21"/>
      <c r="E3971" s="31" t="s">
        <v>11215</v>
      </c>
      <c r="F3971" s="22" t="str">
        <f>VLOOKUP(Table8[[#This Row],[Mã khách hàng]],code_khach_hang[],2,0)</f>
        <v>CHI NHÁNH HÀ NỘI - CÔNG TY CỔ PHẦN DỊCH VỤ THƯƠNG MẠI TỔNG HỢP WINCOMMERCE</v>
      </c>
      <c r="G3971" s="10" t="str">
        <f>VLOOKUP(Table8[[#This Row],[Mã khách hàng]],code_khach_hang[],3,0)</f>
        <v>Miền Bắc đặc biệt 1</v>
      </c>
      <c r="H3971" t="str">
        <f>VLOOKUP(Table8[[#This Row],[Mã khách hàng]],'Khách hàng'!A:D,4,0)</f>
        <v>Food Đức Việt</v>
      </c>
      <c r="I3971" t="str">
        <f>VLOOKUP(Table8[[#This Row],[Mã khách hàng]],'Khách hàng'!A:E,5,0)</f>
        <v>HN0040</v>
      </c>
    </row>
    <row r="3972" spans="1:9">
      <c r="A3972" s="11" t="s">
        <v>13205</v>
      </c>
      <c r="B3972" s="9" t="s">
        <v>5</v>
      </c>
      <c r="C3972" s="10" t="s">
        <v>13228</v>
      </c>
      <c r="D3972" s="21"/>
      <c r="E3972" s="31" t="s">
        <v>11198</v>
      </c>
      <c r="F3972" s="22" t="str">
        <f>VLOOKUP(Table8[[#This Row],[Mã khách hàng]],code_khach_hang[],2,0)</f>
        <v>CHI NHÁNH HẢI PHÒNG - CÔNG TY CỔ PHẦN DỊCH VỤ THƯƠNG MẠI TỔNG HỢP WINCOMMERCE</v>
      </c>
      <c r="G3972" s="10" t="str">
        <f>VLOOKUP(Table8[[#This Row],[Mã khách hàng]],code_khach_hang[],3,0)</f>
        <v>Miền Bắc đặc biệt 3</v>
      </c>
      <c r="H3972" t="str">
        <f>VLOOKUP(Table8[[#This Row],[Mã khách hàng]],'Khách hàng'!A:D,4,0)</f>
        <v>Food Đức Việt</v>
      </c>
      <c r="I3972" t="str">
        <f>VLOOKUP(Table8[[#This Row],[Mã khách hàng]],'Khách hàng'!A:E,5,0)</f>
        <v>HN0040</v>
      </c>
    </row>
    <row r="3973" spans="1:9">
      <c r="A3973" s="14" t="s">
        <v>13206</v>
      </c>
      <c r="B3973" s="9" t="s">
        <v>5</v>
      </c>
      <c r="C3973" s="16" t="s">
        <v>13229</v>
      </c>
      <c r="D3973" s="21"/>
      <c r="E3973" s="32" t="s">
        <v>11198</v>
      </c>
      <c r="F3973" s="22" t="str">
        <f>VLOOKUP(Table8[[#This Row],[Mã khách hàng]],code_khach_hang[],2,0)</f>
        <v>CHI NHÁNH HẢI PHÒNG - CÔNG TY CỔ PHẦN DỊCH VỤ THƯƠNG MẠI TỔNG HỢP WINCOMMERCE</v>
      </c>
      <c r="G3973" s="16" t="str">
        <f>VLOOKUP(Table8[[#This Row],[Mã khách hàng]],code_khach_hang[],3,0)</f>
        <v>Miền Bắc đặc biệt 3</v>
      </c>
      <c r="H3973" t="str">
        <f>VLOOKUP(Table8[[#This Row],[Mã khách hàng]],'Khách hàng'!A:D,4,0)</f>
        <v>Food Đức Việt</v>
      </c>
      <c r="I3973" t="str">
        <f>VLOOKUP(Table8[[#This Row],[Mã khách hàng]],'Khách hàng'!A:E,5,0)</f>
        <v>HN0040</v>
      </c>
    </row>
    <row r="3974" spans="1:9">
      <c r="A3974" s="11" t="s">
        <v>13207</v>
      </c>
      <c r="B3974" s="9" t="s">
        <v>5</v>
      </c>
      <c r="C3974" s="10" t="s">
        <v>13230</v>
      </c>
      <c r="D3974" s="21"/>
      <c r="E3974" s="31" t="s">
        <v>11218</v>
      </c>
      <c r="F3974" s="22" t="str">
        <f>VLOOKUP(Table8[[#This Row],[Mã khách hàng]],code_khach_hang[],2,0)</f>
        <v>CHI NHÁNH LÀO CAI - CÔNG TY CỔ PHẦN DỊCH VỤ THƯƠNG MẠI TỔNG HỢP WINCOMMERCE</v>
      </c>
      <c r="G3974" s="10" t="str">
        <f>VLOOKUP(Table8[[#This Row],[Mã khách hàng]],code_khach_hang[],3,0)</f>
        <v>Miền Bắc đặc biệt 1</v>
      </c>
      <c r="H3974" t="str">
        <f>VLOOKUP(Table8[[#This Row],[Mã khách hàng]],'Khách hàng'!A:D,4,0)</f>
        <v>Food Đức Việt</v>
      </c>
      <c r="I3974" t="str">
        <f>VLOOKUP(Table8[[#This Row],[Mã khách hàng]],'Khách hàng'!A:E,5,0)</f>
        <v>HN0040</v>
      </c>
    </row>
    <row r="3975" spans="1:9">
      <c r="A3975" s="14" t="s">
        <v>13208</v>
      </c>
      <c r="B3975" s="9" t="s">
        <v>5</v>
      </c>
      <c r="C3975" s="16" t="s">
        <v>13231</v>
      </c>
      <c r="D3975" s="21"/>
      <c r="E3975" s="32" t="s">
        <v>11218</v>
      </c>
      <c r="F3975" s="22" t="str">
        <f>VLOOKUP(Table8[[#This Row],[Mã khách hàng]],code_khach_hang[],2,0)</f>
        <v>CHI NHÁNH LÀO CAI - CÔNG TY CỔ PHẦN DỊCH VỤ THƯƠNG MẠI TỔNG HỢP WINCOMMERCE</v>
      </c>
      <c r="G3975" s="16" t="str">
        <f>VLOOKUP(Table8[[#This Row],[Mã khách hàng]],code_khach_hang[],3,0)</f>
        <v>Miền Bắc đặc biệt 1</v>
      </c>
      <c r="H3975" t="str">
        <f>VLOOKUP(Table8[[#This Row],[Mã khách hàng]],'Khách hàng'!A:D,4,0)</f>
        <v>Food Đức Việt</v>
      </c>
      <c r="I3975" t="str">
        <f>VLOOKUP(Table8[[#This Row],[Mã khách hàng]],'Khách hàng'!A:E,5,0)</f>
        <v>HN0040</v>
      </c>
    </row>
    <row r="3976" spans="1:9">
      <c r="A3976" s="14" t="s">
        <v>13209</v>
      </c>
      <c r="B3976" s="9" t="s">
        <v>5</v>
      </c>
      <c r="C3976" s="16" t="s">
        <v>13232</v>
      </c>
      <c r="D3976" s="21"/>
      <c r="E3976" s="32" t="s">
        <v>11218</v>
      </c>
      <c r="F3976" s="22" t="str">
        <f>VLOOKUP(Table8[[#This Row],[Mã khách hàng]],code_khach_hang[],2,0)</f>
        <v>CHI NHÁNH LÀO CAI - CÔNG TY CỔ PHẦN DỊCH VỤ THƯƠNG MẠI TỔNG HỢP WINCOMMERCE</v>
      </c>
      <c r="G3976" s="16" t="str">
        <f>VLOOKUP(Table8[[#This Row],[Mã khách hàng]],code_khach_hang[],3,0)</f>
        <v>Miền Bắc đặc biệt 1</v>
      </c>
      <c r="H3976" t="str">
        <f>VLOOKUP(Table8[[#This Row],[Mã khách hàng]],'Khách hàng'!A:D,4,0)</f>
        <v>Food Đức Việt</v>
      </c>
      <c r="I3976" t="str">
        <f>VLOOKUP(Table8[[#This Row],[Mã khách hàng]],'Khách hàng'!A:E,5,0)</f>
        <v>HN0040</v>
      </c>
    </row>
    <row r="3977" spans="1:9">
      <c r="A3977" s="14" t="s">
        <v>13210</v>
      </c>
      <c r="B3977" s="9" t="s">
        <v>5</v>
      </c>
      <c r="C3977" s="16" t="s">
        <v>13233</v>
      </c>
      <c r="D3977" s="21"/>
      <c r="E3977" s="32" t="s">
        <v>11218</v>
      </c>
      <c r="F3977" s="22" t="str">
        <f>VLOOKUP(Table8[[#This Row],[Mã khách hàng]],code_khach_hang[],2,0)</f>
        <v>CHI NHÁNH LÀO CAI - CÔNG TY CỔ PHẦN DỊCH VỤ THƯƠNG MẠI TỔNG HỢP WINCOMMERCE</v>
      </c>
      <c r="G3977" s="16" t="str">
        <f>VLOOKUP(Table8[[#This Row],[Mã khách hàng]],code_khach_hang[],3,0)</f>
        <v>Miền Bắc đặc biệt 1</v>
      </c>
      <c r="H3977" t="str">
        <f>VLOOKUP(Table8[[#This Row],[Mã khách hàng]],'Khách hàng'!A:D,4,0)</f>
        <v>Food Đức Việt</v>
      </c>
      <c r="I3977" t="str">
        <f>VLOOKUP(Table8[[#This Row],[Mã khách hàng]],'Khách hàng'!A:E,5,0)</f>
        <v>HN0040</v>
      </c>
    </row>
    <row r="3978" spans="1:9">
      <c r="A3978" s="14" t="s">
        <v>13211</v>
      </c>
      <c r="B3978" s="9" t="s">
        <v>5</v>
      </c>
      <c r="C3978" s="16" t="s">
        <v>13234</v>
      </c>
      <c r="D3978" s="21"/>
      <c r="E3978" s="32" t="s">
        <v>11218</v>
      </c>
      <c r="F3978" s="22" t="str">
        <f>VLOOKUP(Table8[[#This Row],[Mã khách hàng]],code_khach_hang[],2,0)</f>
        <v>CHI NHÁNH LÀO CAI - CÔNG TY CỔ PHẦN DỊCH VỤ THƯƠNG MẠI TỔNG HỢP WINCOMMERCE</v>
      </c>
      <c r="G3978" s="16" t="str">
        <f>VLOOKUP(Table8[[#This Row],[Mã khách hàng]],code_khach_hang[],3,0)</f>
        <v>Miền Bắc đặc biệt 1</v>
      </c>
      <c r="H3978" t="str">
        <f>VLOOKUP(Table8[[#This Row],[Mã khách hàng]],'Khách hàng'!A:D,4,0)</f>
        <v>Food Đức Việt</v>
      </c>
      <c r="I3978" t="str">
        <f>VLOOKUP(Table8[[#This Row],[Mã khách hàng]],'Khách hàng'!A:E,5,0)</f>
        <v>HN0040</v>
      </c>
    </row>
    <row r="3979" spans="1:9">
      <c r="A3979" s="11" t="s">
        <v>13212</v>
      </c>
      <c r="B3979" s="9" t="s">
        <v>5</v>
      </c>
      <c r="C3979" s="10" t="s">
        <v>13235</v>
      </c>
      <c r="D3979" s="21"/>
      <c r="E3979" s="31" t="s">
        <v>11196</v>
      </c>
      <c r="F3979" s="22" t="str">
        <f>VLOOKUP(Table8[[#This Row],[Mã khách hàng]],code_khach_hang[],2,0)</f>
        <v>CHI NHÁNH NINH BÌNH - CÔNG TY CỔ PHẦN DỊCH VỤ THƯƠNG MẠI TỔNG HỢP WINCOMMERCE</v>
      </c>
      <c r="G3979" s="10" t="str">
        <f>VLOOKUP(Table8[[#This Row],[Mã khách hàng]],code_khach_hang[],3,0)</f>
        <v>Miền Bắc đặc biệt 3</v>
      </c>
      <c r="H3979" t="str">
        <f>VLOOKUP(Table8[[#This Row],[Mã khách hàng]],'Khách hàng'!A:D,4,0)</f>
        <v>Food Đức Việt</v>
      </c>
      <c r="I3979" t="str">
        <f>VLOOKUP(Table8[[#This Row],[Mã khách hàng]],'Khách hàng'!A:E,5,0)</f>
        <v>HN0040</v>
      </c>
    </row>
    <row r="3980" spans="1:9">
      <c r="A3980" s="14" t="s">
        <v>13213</v>
      </c>
      <c r="B3980" s="9" t="s">
        <v>5</v>
      </c>
      <c r="C3980" s="16" t="s">
        <v>13236</v>
      </c>
      <c r="D3980" s="21"/>
      <c r="E3980" s="32" t="s">
        <v>11199</v>
      </c>
      <c r="F3980" s="22" t="str">
        <f>VLOOKUP(Table8[[#This Row],[Mã khách hàng]],code_khach_hang[],2,0)</f>
        <v>CHI NHÁNH PHÚ THỌ - CÔNG TY CỔ PHẦN DỊCH VỤ THƯƠNG MẠI TỔNG HỢP WINCOMMERCE</v>
      </c>
      <c r="G3980" s="16" t="str">
        <f>VLOOKUP(Table8[[#This Row],[Mã khách hàng]],code_khach_hang[],3,0)</f>
        <v>Miền Bắc đặc biệt 1</v>
      </c>
      <c r="H3980" t="str">
        <f>VLOOKUP(Table8[[#This Row],[Mã khách hàng]],'Khách hàng'!A:D,4,0)</f>
        <v>Food Đức Việt</v>
      </c>
      <c r="I3980" t="str">
        <f>VLOOKUP(Table8[[#This Row],[Mã khách hàng]],'Khách hàng'!A:E,5,0)</f>
        <v>HN0040</v>
      </c>
    </row>
    <row r="3981" spans="1:9">
      <c r="A3981" s="14" t="s">
        <v>13214</v>
      </c>
      <c r="B3981" s="9" t="s">
        <v>5</v>
      </c>
      <c r="C3981" s="16" t="s">
        <v>13237</v>
      </c>
      <c r="D3981" s="21"/>
      <c r="E3981" s="32" t="s">
        <v>11199</v>
      </c>
      <c r="F3981" s="22" t="str">
        <f>VLOOKUP(Table8[[#This Row],[Mã khách hàng]],code_khach_hang[],2,0)</f>
        <v>CHI NHÁNH PHÚ THỌ - CÔNG TY CỔ PHẦN DỊCH VỤ THƯƠNG MẠI TỔNG HỢP WINCOMMERCE</v>
      </c>
      <c r="G3981" s="16" t="str">
        <f>VLOOKUP(Table8[[#This Row],[Mã khách hàng]],code_khach_hang[],3,0)</f>
        <v>Miền Bắc đặc biệt 1</v>
      </c>
      <c r="H3981" t="str">
        <f>VLOOKUP(Table8[[#This Row],[Mã khách hàng]],'Khách hàng'!A:D,4,0)</f>
        <v>Food Đức Việt</v>
      </c>
      <c r="I3981" t="str">
        <f>VLOOKUP(Table8[[#This Row],[Mã khách hàng]],'Khách hàng'!A:E,5,0)</f>
        <v>HN0040</v>
      </c>
    </row>
    <row r="3982" spans="1:9">
      <c r="A3982" s="14" t="s">
        <v>13215</v>
      </c>
      <c r="B3982" s="9" t="s">
        <v>5</v>
      </c>
      <c r="C3982" s="16" t="s">
        <v>13238</v>
      </c>
      <c r="D3982" s="21"/>
      <c r="E3982" s="32" t="s">
        <v>11197</v>
      </c>
      <c r="F3982" s="22" t="str">
        <f>VLOOKUP(Table8[[#This Row],[Mã khách hàng]],code_khach_hang[],2,0)</f>
        <v>CHI NHÁNH QUẢNG NINH - CÔNG TY CỔ PHẦN DỊCH VỤ THƯƠNG MẠI TỔNG HỢP WINCOMMERCE</v>
      </c>
      <c r="G3982" s="16" t="str">
        <f>VLOOKUP(Table8[[#This Row],[Mã khách hàng]],code_khach_hang[],3,0)</f>
        <v>Miền Bắc đặc biệt 3</v>
      </c>
      <c r="H3982" t="str">
        <f>VLOOKUP(Table8[[#This Row],[Mã khách hàng]],'Khách hàng'!A:D,4,0)</f>
        <v>Food Đức Việt</v>
      </c>
      <c r="I3982" t="str">
        <f>VLOOKUP(Table8[[#This Row],[Mã khách hàng]],'Khách hàng'!A:E,5,0)</f>
        <v>HN0040</v>
      </c>
    </row>
    <row r="3983" spans="1:9">
      <c r="A3983" s="14" t="s">
        <v>13216</v>
      </c>
      <c r="B3983" s="9" t="s">
        <v>5</v>
      </c>
      <c r="C3983" s="16" t="s">
        <v>13239</v>
      </c>
      <c r="D3983" s="21"/>
      <c r="E3983" s="32" t="s">
        <v>11197</v>
      </c>
      <c r="F3983" s="22" t="str">
        <f>VLOOKUP(Table8[[#This Row],[Mã khách hàng]],code_khach_hang[],2,0)</f>
        <v>CHI NHÁNH QUẢNG NINH - CÔNG TY CỔ PHẦN DỊCH VỤ THƯƠNG MẠI TỔNG HỢP WINCOMMERCE</v>
      </c>
      <c r="G3983" s="16" t="str">
        <f>VLOOKUP(Table8[[#This Row],[Mã khách hàng]],code_khach_hang[],3,0)</f>
        <v>Miền Bắc đặc biệt 3</v>
      </c>
      <c r="H3983" t="str">
        <f>VLOOKUP(Table8[[#This Row],[Mã khách hàng]],'Khách hàng'!A:D,4,0)</f>
        <v>Food Đức Việt</v>
      </c>
      <c r="I3983" t="str">
        <f>VLOOKUP(Table8[[#This Row],[Mã khách hàng]],'Khách hàng'!A:E,5,0)</f>
        <v>HN0040</v>
      </c>
    </row>
    <row r="3984" spans="1:9">
      <c r="A3984" s="14" t="s">
        <v>13217</v>
      </c>
      <c r="B3984" s="9" t="s">
        <v>5</v>
      </c>
      <c r="C3984" s="16" t="s">
        <v>13240</v>
      </c>
      <c r="D3984" s="21"/>
      <c r="E3984" s="32" t="s">
        <v>11206</v>
      </c>
      <c r="F3984" s="22" t="str">
        <f>VLOOKUP(Table8[[#This Row],[Mã khách hàng]],code_khach_hang[],2,0)</f>
        <v>CHI NHÁNH SƠN LA - CÔNG TY CỔ PHẦN DỊCH VỤ THƯƠNG MẠI TỔNG HỢP WINCOMMERCE</v>
      </c>
      <c r="G3984" s="16" t="str">
        <f>VLOOKUP(Table8[[#This Row],[Mã khách hàng]],code_khach_hang[],3,0)</f>
        <v>Miền Bắc đặc biệt 1</v>
      </c>
      <c r="H3984" t="str">
        <f>VLOOKUP(Table8[[#This Row],[Mã khách hàng]],'Khách hàng'!A:D,4,0)</f>
        <v>Food Đức Việt</v>
      </c>
      <c r="I3984" t="str">
        <f>VLOOKUP(Table8[[#This Row],[Mã khách hàng]],'Khách hàng'!A:E,5,0)</f>
        <v>HN0040</v>
      </c>
    </row>
    <row r="3985" spans="1:9">
      <c r="A3985" s="14" t="s">
        <v>13218</v>
      </c>
      <c r="B3985" s="9" t="s">
        <v>5</v>
      </c>
      <c r="C3985" s="16" t="s">
        <v>13241</v>
      </c>
      <c r="D3985" s="21"/>
      <c r="E3985" s="32" t="s">
        <v>11206</v>
      </c>
      <c r="F3985" s="22" t="str">
        <f>VLOOKUP(Table8[[#This Row],[Mã khách hàng]],code_khach_hang[],2,0)</f>
        <v>CHI NHÁNH SƠN LA - CÔNG TY CỔ PHẦN DỊCH VỤ THƯƠNG MẠI TỔNG HỢP WINCOMMERCE</v>
      </c>
      <c r="G3985" s="16" t="str">
        <f>VLOOKUP(Table8[[#This Row],[Mã khách hàng]],code_khach_hang[],3,0)</f>
        <v>Miền Bắc đặc biệt 1</v>
      </c>
      <c r="H3985" t="str">
        <f>VLOOKUP(Table8[[#This Row],[Mã khách hàng]],'Khách hàng'!A:D,4,0)</f>
        <v>Food Đức Việt</v>
      </c>
      <c r="I3985" t="str">
        <f>VLOOKUP(Table8[[#This Row],[Mã khách hàng]],'Khách hàng'!A:E,5,0)</f>
        <v>HN0040</v>
      </c>
    </row>
    <row r="3986" spans="1:9">
      <c r="A3986" s="11" t="s">
        <v>13247</v>
      </c>
      <c r="B3986" s="9" t="s">
        <v>5</v>
      </c>
      <c r="C3986" s="10" t="s">
        <v>13292</v>
      </c>
      <c r="D3986" s="21"/>
      <c r="E3986" s="31" t="s">
        <v>11193</v>
      </c>
      <c r="F3986" s="22" t="str">
        <f>VLOOKUP(Table8[[#This Row],[Mã khách hàng]],code_khach_hang[],2,0)</f>
        <v>CHI NHÁNH BẮC NINH - CÔNG TY CỔ PHẦN DỊCH VỤ THƯƠNG MẠI TỔNG HỢP WINCOMMERCE</v>
      </c>
      <c r="G3986" s="10" t="str">
        <f>VLOOKUP(Table8[[#This Row],[Mã khách hàng]],code_khach_hang[],3,0)</f>
        <v>Miền Bắc đặc biệt 2</v>
      </c>
      <c r="H3986" t="str">
        <f>VLOOKUP(Table8[[#This Row],[Mã khách hàng]],'Khách hàng'!A:D,4,0)</f>
        <v>Food Đức Việt</v>
      </c>
      <c r="I3986" t="str">
        <f>VLOOKUP(Table8[[#This Row],[Mã khách hàng]],'Khách hàng'!A:E,5,0)</f>
        <v>HN0040</v>
      </c>
    </row>
    <row r="3987" spans="1:9">
      <c r="A3987" s="14" t="s">
        <v>13248</v>
      </c>
      <c r="B3987" s="9" t="s">
        <v>5</v>
      </c>
      <c r="C3987" s="16" t="s">
        <v>13293</v>
      </c>
      <c r="D3987" s="21"/>
      <c r="E3987" s="32" t="s">
        <v>11196</v>
      </c>
      <c r="F3987" s="22" t="str">
        <f>VLOOKUP(Table8[[#This Row],[Mã khách hàng]],code_khach_hang[],2,0)</f>
        <v>CHI NHÁNH NINH BÌNH - CÔNG TY CỔ PHẦN DỊCH VỤ THƯƠNG MẠI TỔNG HỢP WINCOMMERCE</v>
      </c>
      <c r="G3987" s="16" t="str">
        <f>VLOOKUP(Table8[[#This Row],[Mã khách hàng]],code_khach_hang[],3,0)</f>
        <v>Miền Bắc đặc biệt 3</v>
      </c>
      <c r="H3987" t="str">
        <f>VLOOKUP(Table8[[#This Row],[Mã khách hàng]],'Khách hàng'!A:D,4,0)</f>
        <v>Food Đức Việt</v>
      </c>
      <c r="I3987" t="str">
        <f>VLOOKUP(Table8[[#This Row],[Mã khách hàng]],'Khách hàng'!A:E,5,0)</f>
        <v>HN0040</v>
      </c>
    </row>
    <row r="3988" spans="1:9">
      <c r="A3988" s="14" t="s">
        <v>13249</v>
      </c>
      <c r="B3988" s="9" t="s">
        <v>5</v>
      </c>
      <c r="C3988" s="16" t="s">
        <v>13294</v>
      </c>
      <c r="D3988" s="21"/>
      <c r="E3988" s="32" t="s">
        <v>11196</v>
      </c>
      <c r="F3988" s="22" t="str">
        <f>VLOOKUP(Table8[[#This Row],[Mã khách hàng]],code_khach_hang[],2,0)</f>
        <v>CHI NHÁNH NINH BÌNH - CÔNG TY CỔ PHẦN DỊCH VỤ THƯƠNG MẠI TỔNG HỢP WINCOMMERCE</v>
      </c>
      <c r="G3988" s="16" t="str">
        <f>VLOOKUP(Table8[[#This Row],[Mã khách hàng]],code_khach_hang[],3,0)</f>
        <v>Miền Bắc đặc biệt 3</v>
      </c>
      <c r="H3988" t="str">
        <f>VLOOKUP(Table8[[#This Row],[Mã khách hàng]],'Khách hàng'!A:D,4,0)</f>
        <v>Food Đức Việt</v>
      </c>
      <c r="I3988" t="str">
        <f>VLOOKUP(Table8[[#This Row],[Mã khách hàng]],'Khách hàng'!A:E,5,0)</f>
        <v>HN0040</v>
      </c>
    </row>
    <row r="3989" spans="1:9">
      <c r="A3989" s="14" t="s">
        <v>13250</v>
      </c>
      <c r="B3989" s="9" t="s">
        <v>5</v>
      </c>
      <c r="C3989" s="16" t="s">
        <v>13295</v>
      </c>
      <c r="D3989" s="21"/>
      <c r="E3989" s="32" t="s">
        <v>11215</v>
      </c>
      <c r="F3989" s="22" t="str">
        <f>VLOOKUP(Table8[[#This Row],[Mã khách hàng]],code_khach_hang[],2,0)</f>
        <v>CHI NHÁNH HÀ NỘI - CÔNG TY CỔ PHẦN DỊCH VỤ THƯƠNG MẠI TỔNG HỢP WINCOMMERCE</v>
      </c>
      <c r="G3989" s="16" t="str">
        <f>VLOOKUP(Table8[[#This Row],[Mã khách hàng]],code_khach_hang[],3,0)</f>
        <v>Miền Bắc đặc biệt 1</v>
      </c>
      <c r="H3989" t="str">
        <f>VLOOKUP(Table8[[#This Row],[Mã khách hàng]],'Khách hàng'!A:D,4,0)</f>
        <v>Food Đức Việt</v>
      </c>
      <c r="I3989" t="str">
        <f>VLOOKUP(Table8[[#This Row],[Mã khách hàng]],'Khách hàng'!A:E,5,0)</f>
        <v>HN0040</v>
      </c>
    </row>
    <row r="3990" spans="1:9">
      <c r="A3990" s="14" t="s">
        <v>13251</v>
      </c>
      <c r="B3990" s="9" t="s">
        <v>5</v>
      </c>
      <c r="C3990" s="16" t="s">
        <v>13296</v>
      </c>
      <c r="D3990" s="21"/>
      <c r="E3990" s="32" t="s">
        <v>11207</v>
      </c>
      <c r="F3990" s="22" t="str">
        <f>VLOOKUP(Table8[[#This Row],[Mã khách hàng]],code_khach_hang[],2,0)</f>
        <v>CHI NHÁNH THÁI NGUYÊN - CÔNG TY CỔ PHẦN DỊCH VỤ THƯƠNG MẠI TỔNG HỢP WINCOMMERCE</v>
      </c>
      <c r="G3990" s="16" t="str">
        <f>VLOOKUP(Table8[[#This Row],[Mã khách hàng]],code_khach_hang[],3,0)</f>
        <v>Miền Bắc đặc biệt 2</v>
      </c>
      <c r="H3990" t="str">
        <f>VLOOKUP(Table8[[#This Row],[Mã khách hàng]],'Khách hàng'!A:D,4,0)</f>
        <v>Food Đức Việt</v>
      </c>
      <c r="I3990" t="str">
        <f>VLOOKUP(Table8[[#This Row],[Mã khách hàng]],'Khách hàng'!A:E,5,0)</f>
        <v>HN0040</v>
      </c>
    </row>
    <row r="3991" spans="1:9">
      <c r="A3991" s="14" t="s">
        <v>13252</v>
      </c>
      <c r="B3991" s="9" t="s">
        <v>5</v>
      </c>
      <c r="C3991" s="16" t="s">
        <v>13297</v>
      </c>
      <c r="D3991" s="21"/>
      <c r="E3991" s="32" t="s">
        <v>11193</v>
      </c>
      <c r="F3991" s="22" t="str">
        <f>VLOOKUP(Table8[[#This Row],[Mã khách hàng]],code_khach_hang[],2,0)</f>
        <v>CHI NHÁNH BẮC NINH - CÔNG TY CỔ PHẦN DỊCH VỤ THƯƠNG MẠI TỔNG HỢP WINCOMMERCE</v>
      </c>
      <c r="G3991" s="16" t="str">
        <f>VLOOKUP(Table8[[#This Row],[Mã khách hàng]],code_khach_hang[],3,0)</f>
        <v>Miền Bắc đặc biệt 2</v>
      </c>
      <c r="H3991" t="str">
        <f>VLOOKUP(Table8[[#This Row],[Mã khách hàng]],'Khách hàng'!A:D,4,0)</f>
        <v>Food Đức Việt</v>
      </c>
      <c r="I3991" t="str">
        <f>VLOOKUP(Table8[[#This Row],[Mã khách hàng]],'Khách hàng'!A:E,5,0)</f>
        <v>HN0040</v>
      </c>
    </row>
    <row r="3992" spans="1:9">
      <c r="A3992" s="14" t="s">
        <v>13253</v>
      </c>
      <c r="B3992" s="9" t="s">
        <v>5</v>
      </c>
      <c r="C3992" s="16" t="s">
        <v>13298</v>
      </c>
      <c r="D3992" s="21"/>
      <c r="E3992" s="32" t="s">
        <v>11216</v>
      </c>
      <c r="F3992" s="22" t="str">
        <f>VLOOKUP(Table8[[#This Row],[Mã khách hàng]],code_khach_hang[],2,0)</f>
        <v>CHI NHÁNH HƯNG YÊN - CÔNG TY CỔ PHẦN DỊCH VỤ THƯƠNG MẠI TỔNG HỢP WINCOMMERCE</v>
      </c>
      <c r="G3992" s="16" t="str">
        <f>VLOOKUP(Table8[[#This Row],[Mã khách hàng]],code_khach_hang[],3,0)</f>
        <v>Miền Bắc đặc biệt 1</v>
      </c>
      <c r="H3992" t="str">
        <f>VLOOKUP(Table8[[#This Row],[Mã khách hàng]],'Khách hàng'!A:D,4,0)</f>
        <v>Food Đức Việt</v>
      </c>
      <c r="I3992" t="str">
        <f>VLOOKUP(Table8[[#This Row],[Mã khách hàng]],'Khách hàng'!A:E,5,0)</f>
        <v>HN0040</v>
      </c>
    </row>
    <row r="3993" spans="1:9">
      <c r="A3993" s="14" t="s">
        <v>13254</v>
      </c>
      <c r="B3993" s="9" t="s">
        <v>5</v>
      </c>
      <c r="C3993" s="16" t="s">
        <v>13299</v>
      </c>
      <c r="D3993" s="21"/>
      <c r="E3993" s="32" t="s">
        <v>11215</v>
      </c>
      <c r="F3993" s="22" t="str">
        <f>VLOOKUP(Table8[[#This Row],[Mã khách hàng]],code_khach_hang[],2,0)</f>
        <v>CHI NHÁNH HÀ NỘI - CÔNG TY CỔ PHẦN DỊCH VỤ THƯƠNG MẠI TỔNG HỢP WINCOMMERCE</v>
      </c>
      <c r="G3993" s="16" t="str">
        <f>VLOOKUP(Table8[[#This Row],[Mã khách hàng]],code_khach_hang[],3,0)</f>
        <v>Miền Bắc đặc biệt 1</v>
      </c>
      <c r="H3993" t="str">
        <f>VLOOKUP(Table8[[#This Row],[Mã khách hàng]],'Khách hàng'!A:D,4,0)</f>
        <v>Food Đức Việt</v>
      </c>
      <c r="I3993" t="str">
        <f>VLOOKUP(Table8[[#This Row],[Mã khách hàng]],'Khách hàng'!A:E,5,0)</f>
        <v>HN0040</v>
      </c>
    </row>
    <row r="3994" spans="1:9">
      <c r="A3994" s="14" t="s">
        <v>13255</v>
      </c>
      <c r="B3994" s="9" t="s">
        <v>5</v>
      </c>
      <c r="C3994" s="16" t="s">
        <v>13300</v>
      </c>
      <c r="D3994" s="21"/>
      <c r="E3994" s="32" t="s">
        <v>11214</v>
      </c>
      <c r="F3994" s="22" t="str">
        <f>VLOOKUP(Table8[[#This Row],[Mã khách hàng]],code_khach_hang[],2,0)</f>
        <v>CHI NHÁNH LAI CHÂU - CÔNG TY CỔ PHẦN DỊCH VỤ THƯƠNG MẠI TỔNG HỢP WINCOMMERCE</v>
      </c>
      <c r="G3994" s="16" t="str">
        <f>VLOOKUP(Table8[[#This Row],[Mã khách hàng]],code_khach_hang[],3,0)</f>
        <v>Miền Bắc đặc biệt 1</v>
      </c>
      <c r="H3994" t="str">
        <f>VLOOKUP(Table8[[#This Row],[Mã khách hàng]],'Khách hàng'!A:D,4,0)</f>
        <v>Food Đức Việt</v>
      </c>
      <c r="I3994" t="str">
        <f>VLOOKUP(Table8[[#This Row],[Mã khách hàng]],'Khách hàng'!A:E,5,0)</f>
        <v>HN0040</v>
      </c>
    </row>
    <row r="3995" spans="1:9">
      <c r="A3995" s="14" t="s">
        <v>13256</v>
      </c>
      <c r="B3995" s="9" t="s">
        <v>5</v>
      </c>
      <c r="C3995" s="16" t="s">
        <v>13301</v>
      </c>
      <c r="D3995" s="21"/>
      <c r="E3995" s="32" t="s">
        <v>11196</v>
      </c>
      <c r="F3995" s="22" t="str">
        <f>VLOOKUP(Table8[[#This Row],[Mã khách hàng]],code_khach_hang[],2,0)</f>
        <v>CHI NHÁNH NINH BÌNH - CÔNG TY CỔ PHẦN DỊCH VỤ THƯƠNG MẠI TỔNG HỢP WINCOMMERCE</v>
      </c>
      <c r="G3995" s="16" t="str">
        <f>VLOOKUP(Table8[[#This Row],[Mã khách hàng]],code_khach_hang[],3,0)</f>
        <v>Miền Bắc đặc biệt 3</v>
      </c>
      <c r="H3995" t="str">
        <f>VLOOKUP(Table8[[#This Row],[Mã khách hàng]],'Khách hàng'!A:D,4,0)</f>
        <v>Food Đức Việt</v>
      </c>
      <c r="I3995" t="str">
        <f>VLOOKUP(Table8[[#This Row],[Mã khách hàng]],'Khách hàng'!A:E,5,0)</f>
        <v>HN0040</v>
      </c>
    </row>
    <row r="3996" spans="1:9">
      <c r="A3996" s="14" t="s">
        <v>13257</v>
      </c>
      <c r="B3996" s="9" t="s">
        <v>5</v>
      </c>
      <c r="C3996" s="16" t="s">
        <v>13302</v>
      </c>
      <c r="D3996" s="21"/>
      <c r="E3996" s="32" t="s">
        <v>11199</v>
      </c>
      <c r="F3996" s="22" t="str">
        <f>VLOOKUP(Table8[[#This Row],[Mã khách hàng]],code_khach_hang[],2,0)</f>
        <v>CHI NHÁNH PHÚ THỌ - CÔNG TY CỔ PHẦN DỊCH VỤ THƯƠNG MẠI TỔNG HỢP WINCOMMERCE</v>
      </c>
      <c r="G3996" s="16" t="str">
        <f>VLOOKUP(Table8[[#This Row],[Mã khách hàng]],code_khach_hang[],3,0)</f>
        <v>Miền Bắc đặc biệt 1</v>
      </c>
      <c r="H3996" t="str">
        <f>VLOOKUP(Table8[[#This Row],[Mã khách hàng]],'Khách hàng'!A:D,4,0)</f>
        <v>Food Đức Việt</v>
      </c>
      <c r="I3996" t="str">
        <f>VLOOKUP(Table8[[#This Row],[Mã khách hàng]],'Khách hàng'!A:E,5,0)</f>
        <v>HN0040</v>
      </c>
    </row>
    <row r="3997" spans="1:9">
      <c r="A3997" s="14" t="s">
        <v>13258</v>
      </c>
      <c r="B3997" s="9" t="s">
        <v>5</v>
      </c>
      <c r="C3997" s="16" t="s">
        <v>13303</v>
      </c>
      <c r="D3997" s="21"/>
      <c r="E3997" s="32" t="s">
        <v>11216</v>
      </c>
      <c r="F3997" s="22" t="str">
        <f>VLOOKUP(Table8[[#This Row],[Mã khách hàng]],code_khach_hang[],2,0)</f>
        <v>CHI NHÁNH HƯNG YÊN - CÔNG TY CỔ PHẦN DỊCH VỤ THƯƠNG MẠI TỔNG HỢP WINCOMMERCE</v>
      </c>
      <c r="G3997" s="16" t="str">
        <f>VLOOKUP(Table8[[#This Row],[Mã khách hàng]],code_khach_hang[],3,0)</f>
        <v>Miền Bắc đặc biệt 1</v>
      </c>
      <c r="H3997" t="str">
        <f>VLOOKUP(Table8[[#This Row],[Mã khách hàng]],'Khách hàng'!A:D,4,0)</f>
        <v>Food Đức Việt</v>
      </c>
      <c r="I3997" t="str">
        <f>VLOOKUP(Table8[[#This Row],[Mã khách hàng]],'Khách hàng'!A:E,5,0)</f>
        <v>HN0040</v>
      </c>
    </row>
    <row r="3998" spans="1:9">
      <c r="A3998" s="14" t="s">
        <v>13259</v>
      </c>
      <c r="B3998" s="9" t="s">
        <v>5</v>
      </c>
      <c r="C3998" s="16" t="s">
        <v>13304</v>
      </c>
      <c r="D3998" s="21"/>
      <c r="E3998" s="32" t="s">
        <v>11216</v>
      </c>
      <c r="F3998" s="22" t="str">
        <f>VLOOKUP(Table8[[#This Row],[Mã khách hàng]],code_khach_hang[],2,0)</f>
        <v>CHI NHÁNH HƯNG YÊN - CÔNG TY CỔ PHẦN DỊCH VỤ THƯƠNG MẠI TỔNG HỢP WINCOMMERCE</v>
      </c>
      <c r="G3998" s="16" t="str">
        <f>VLOOKUP(Table8[[#This Row],[Mã khách hàng]],code_khach_hang[],3,0)</f>
        <v>Miền Bắc đặc biệt 1</v>
      </c>
      <c r="H3998" t="str">
        <f>VLOOKUP(Table8[[#This Row],[Mã khách hàng]],'Khách hàng'!A:D,4,0)</f>
        <v>Food Đức Việt</v>
      </c>
      <c r="I3998" t="str">
        <f>VLOOKUP(Table8[[#This Row],[Mã khách hàng]],'Khách hàng'!A:E,5,0)</f>
        <v>HN0040</v>
      </c>
    </row>
    <row r="3999" spans="1:9">
      <c r="A3999" s="14" t="s">
        <v>13260</v>
      </c>
      <c r="B3999" s="9" t="s">
        <v>5</v>
      </c>
      <c r="C3999" s="16" t="s">
        <v>13305</v>
      </c>
      <c r="D3999" s="21"/>
      <c r="E3999" s="32" t="s">
        <v>11216</v>
      </c>
      <c r="F3999" s="22" t="str">
        <f>VLOOKUP(Table8[[#This Row],[Mã khách hàng]],code_khach_hang[],2,0)</f>
        <v>CHI NHÁNH HƯNG YÊN - CÔNG TY CỔ PHẦN DỊCH VỤ THƯƠNG MẠI TỔNG HỢP WINCOMMERCE</v>
      </c>
      <c r="G3999" s="16" t="str">
        <f>VLOOKUP(Table8[[#This Row],[Mã khách hàng]],code_khach_hang[],3,0)</f>
        <v>Miền Bắc đặc biệt 1</v>
      </c>
      <c r="H3999" t="str">
        <f>VLOOKUP(Table8[[#This Row],[Mã khách hàng]],'Khách hàng'!A:D,4,0)</f>
        <v>Food Đức Việt</v>
      </c>
      <c r="I3999" t="str">
        <f>VLOOKUP(Table8[[#This Row],[Mã khách hàng]],'Khách hàng'!A:E,5,0)</f>
        <v>HN0040</v>
      </c>
    </row>
    <row r="4000" spans="1:9">
      <c r="A4000" s="14" t="s">
        <v>13261</v>
      </c>
      <c r="B4000" s="9" t="s">
        <v>5</v>
      </c>
      <c r="C4000" s="16" t="s">
        <v>13306</v>
      </c>
      <c r="D4000" s="21"/>
      <c r="E4000" s="32" t="s">
        <v>11218</v>
      </c>
      <c r="F4000" s="22" t="str">
        <f>VLOOKUP(Table8[[#This Row],[Mã khách hàng]],code_khach_hang[],2,0)</f>
        <v>CHI NHÁNH LÀO CAI - CÔNG TY CỔ PHẦN DỊCH VỤ THƯƠNG MẠI TỔNG HỢP WINCOMMERCE</v>
      </c>
      <c r="G4000" s="16" t="str">
        <f>VLOOKUP(Table8[[#This Row],[Mã khách hàng]],code_khach_hang[],3,0)</f>
        <v>Miền Bắc đặc biệt 1</v>
      </c>
      <c r="H4000" t="str">
        <f>VLOOKUP(Table8[[#This Row],[Mã khách hàng]],'Khách hàng'!A:D,4,0)</f>
        <v>Food Đức Việt</v>
      </c>
      <c r="I4000" t="str">
        <f>VLOOKUP(Table8[[#This Row],[Mã khách hàng]],'Khách hàng'!A:E,5,0)</f>
        <v>HN0040</v>
      </c>
    </row>
    <row r="4001" spans="1:9">
      <c r="A4001" s="14" t="s">
        <v>13262</v>
      </c>
      <c r="B4001" s="9" t="s">
        <v>5</v>
      </c>
      <c r="C4001" s="16" t="s">
        <v>13307</v>
      </c>
      <c r="D4001" s="21"/>
      <c r="E4001" s="32" t="s">
        <v>11218</v>
      </c>
      <c r="F4001" s="22" t="str">
        <f>VLOOKUP(Table8[[#This Row],[Mã khách hàng]],code_khach_hang[],2,0)</f>
        <v>CHI NHÁNH LÀO CAI - CÔNG TY CỔ PHẦN DỊCH VỤ THƯƠNG MẠI TỔNG HỢP WINCOMMERCE</v>
      </c>
      <c r="G4001" s="16" t="str">
        <f>VLOOKUP(Table8[[#This Row],[Mã khách hàng]],code_khach_hang[],3,0)</f>
        <v>Miền Bắc đặc biệt 1</v>
      </c>
      <c r="H4001" t="str">
        <f>VLOOKUP(Table8[[#This Row],[Mã khách hàng]],'Khách hàng'!A:D,4,0)</f>
        <v>Food Đức Việt</v>
      </c>
      <c r="I4001" t="str">
        <f>VLOOKUP(Table8[[#This Row],[Mã khách hàng]],'Khách hàng'!A:E,5,0)</f>
        <v>HN0040</v>
      </c>
    </row>
    <row r="4002" spans="1:9">
      <c r="A4002" s="14" t="s">
        <v>13263</v>
      </c>
      <c r="B4002" s="9" t="s">
        <v>5</v>
      </c>
      <c r="C4002" s="16" t="s">
        <v>13308</v>
      </c>
      <c r="D4002" s="21"/>
      <c r="E4002" s="32" t="s">
        <v>11199</v>
      </c>
      <c r="F4002" s="22" t="str">
        <f>VLOOKUP(Table8[[#This Row],[Mã khách hàng]],code_khach_hang[],2,0)</f>
        <v>CHI NHÁNH PHÚ THỌ - CÔNG TY CỔ PHẦN DỊCH VỤ THƯƠNG MẠI TỔNG HỢP WINCOMMERCE</v>
      </c>
      <c r="G4002" s="16" t="str">
        <f>VLOOKUP(Table8[[#This Row],[Mã khách hàng]],code_khach_hang[],3,0)</f>
        <v>Miền Bắc đặc biệt 1</v>
      </c>
      <c r="H4002" t="str">
        <f>VLOOKUP(Table8[[#This Row],[Mã khách hàng]],'Khách hàng'!A:D,4,0)</f>
        <v>Food Đức Việt</v>
      </c>
      <c r="I4002" t="str">
        <f>VLOOKUP(Table8[[#This Row],[Mã khách hàng]],'Khách hàng'!A:E,5,0)</f>
        <v>HN0040</v>
      </c>
    </row>
    <row r="4003" spans="1:9">
      <c r="A4003" s="14" t="s">
        <v>13264</v>
      </c>
      <c r="B4003" s="9" t="s">
        <v>5</v>
      </c>
      <c r="C4003" s="16" t="s">
        <v>13309</v>
      </c>
      <c r="D4003" s="21"/>
      <c r="E4003" s="32" t="s">
        <v>11218</v>
      </c>
      <c r="F4003" s="22" t="str">
        <f>VLOOKUP(Table8[[#This Row],[Mã khách hàng]],code_khach_hang[],2,0)</f>
        <v>CHI NHÁNH LÀO CAI - CÔNG TY CỔ PHẦN DỊCH VỤ THƯƠNG MẠI TỔNG HỢP WINCOMMERCE</v>
      </c>
      <c r="G4003" s="16" t="str">
        <f>VLOOKUP(Table8[[#This Row],[Mã khách hàng]],code_khach_hang[],3,0)</f>
        <v>Miền Bắc đặc biệt 1</v>
      </c>
      <c r="H4003" t="str">
        <f>VLOOKUP(Table8[[#This Row],[Mã khách hàng]],'Khách hàng'!A:D,4,0)</f>
        <v>Food Đức Việt</v>
      </c>
      <c r="I4003" t="str">
        <f>VLOOKUP(Table8[[#This Row],[Mã khách hàng]],'Khách hàng'!A:E,5,0)</f>
        <v>HN0040</v>
      </c>
    </row>
    <row r="4004" spans="1:9">
      <c r="A4004" s="14" t="s">
        <v>13265</v>
      </c>
      <c r="B4004" s="9" t="s">
        <v>5</v>
      </c>
      <c r="C4004" s="16" t="s">
        <v>13310</v>
      </c>
      <c r="D4004" s="21"/>
      <c r="E4004" s="32" t="s">
        <v>11193</v>
      </c>
      <c r="F4004" s="22" t="str">
        <f>VLOOKUP(Table8[[#This Row],[Mã khách hàng]],code_khach_hang[],2,0)</f>
        <v>CHI NHÁNH BẮC NINH - CÔNG TY CỔ PHẦN DỊCH VỤ THƯƠNG MẠI TỔNG HỢP WINCOMMERCE</v>
      </c>
      <c r="G4004" s="16" t="str">
        <f>VLOOKUP(Table8[[#This Row],[Mã khách hàng]],code_khach_hang[],3,0)</f>
        <v>Miền Bắc đặc biệt 2</v>
      </c>
      <c r="H4004" t="str">
        <f>VLOOKUP(Table8[[#This Row],[Mã khách hàng]],'Khách hàng'!A:D,4,0)</f>
        <v>Food Đức Việt</v>
      </c>
      <c r="I4004" t="str">
        <f>VLOOKUP(Table8[[#This Row],[Mã khách hàng]],'Khách hàng'!A:E,5,0)</f>
        <v>HN0040</v>
      </c>
    </row>
    <row r="4005" spans="1:9">
      <c r="A4005" s="14" t="s">
        <v>13266</v>
      </c>
      <c r="B4005" s="9" t="s">
        <v>5</v>
      </c>
      <c r="C4005" s="16" t="s">
        <v>13311</v>
      </c>
      <c r="D4005" s="21"/>
      <c r="E4005" s="32" t="s">
        <v>11215</v>
      </c>
      <c r="F4005" s="22" t="str">
        <f>VLOOKUP(Table8[[#This Row],[Mã khách hàng]],code_khach_hang[],2,0)</f>
        <v>CHI NHÁNH HÀ NỘI - CÔNG TY CỔ PHẦN DỊCH VỤ THƯƠNG MẠI TỔNG HỢP WINCOMMERCE</v>
      </c>
      <c r="G4005" s="16" t="str">
        <f>VLOOKUP(Table8[[#This Row],[Mã khách hàng]],code_khach_hang[],3,0)</f>
        <v>Miền Bắc đặc biệt 1</v>
      </c>
      <c r="H4005" t="str">
        <f>VLOOKUP(Table8[[#This Row],[Mã khách hàng]],'Khách hàng'!A:D,4,0)</f>
        <v>Food Đức Việt</v>
      </c>
      <c r="I4005" t="str">
        <f>VLOOKUP(Table8[[#This Row],[Mã khách hàng]],'Khách hàng'!A:E,5,0)</f>
        <v>HN0040</v>
      </c>
    </row>
    <row r="4006" spans="1:9">
      <c r="A4006" s="14" t="s">
        <v>13267</v>
      </c>
      <c r="B4006" s="9" t="s">
        <v>5</v>
      </c>
      <c r="C4006" s="16" t="s">
        <v>13312</v>
      </c>
      <c r="D4006" s="21"/>
      <c r="E4006" s="32" t="s">
        <v>11215</v>
      </c>
      <c r="F4006" s="22" t="str">
        <f>VLOOKUP(Table8[[#This Row],[Mã khách hàng]],code_khach_hang[],2,0)</f>
        <v>CHI NHÁNH HÀ NỘI - CÔNG TY CỔ PHẦN DỊCH VỤ THƯƠNG MẠI TỔNG HỢP WINCOMMERCE</v>
      </c>
      <c r="G4006" s="16" t="str">
        <f>VLOOKUP(Table8[[#This Row],[Mã khách hàng]],code_khach_hang[],3,0)</f>
        <v>Miền Bắc đặc biệt 1</v>
      </c>
      <c r="H4006" t="str">
        <f>VLOOKUP(Table8[[#This Row],[Mã khách hàng]],'Khách hàng'!A:D,4,0)</f>
        <v>Food Đức Việt</v>
      </c>
      <c r="I4006" t="str">
        <f>VLOOKUP(Table8[[#This Row],[Mã khách hàng]],'Khách hàng'!A:E,5,0)</f>
        <v>HN0040</v>
      </c>
    </row>
    <row r="4007" spans="1:9">
      <c r="A4007" s="14" t="s">
        <v>13268</v>
      </c>
      <c r="B4007" s="9" t="s">
        <v>5</v>
      </c>
      <c r="C4007" s="16" t="s">
        <v>13313</v>
      </c>
      <c r="D4007" s="21"/>
      <c r="E4007" s="32" t="s">
        <v>11196</v>
      </c>
      <c r="F4007" s="22" t="str">
        <f>VLOOKUP(Table8[[#This Row],[Mã khách hàng]],code_khach_hang[],2,0)</f>
        <v>CHI NHÁNH NINH BÌNH - CÔNG TY CỔ PHẦN DỊCH VỤ THƯƠNG MẠI TỔNG HỢP WINCOMMERCE</v>
      </c>
      <c r="G4007" s="16" t="str">
        <f>VLOOKUP(Table8[[#This Row],[Mã khách hàng]],code_khach_hang[],3,0)</f>
        <v>Miền Bắc đặc biệt 3</v>
      </c>
      <c r="H4007" t="str">
        <f>VLOOKUP(Table8[[#This Row],[Mã khách hàng]],'Khách hàng'!A:D,4,0)</f>
        <v>Food Đức Việt</v>
      </c>
      <c r="I4007" t="str">
        <f>VLOOKUP(Table8[[#This Row],[Mã khách hàng]],'Khách hàng'!A:E,5,0)</f>
        <v>HN0040</v>
      </c>
    </row>
    <row r="4008" spans="1:9">
      <c r="A4008" s="14" t="s">
        <v>13269</v>
      </c>
      <c r="B4008" s="9" t="s">
        <v>5</v>
      </c>
      <c r="C4008" s="16" t="s">
        <v>13314</v>
      </c>
      <c r="D4008" s="21"/>
      <c r="E4008" s="32" t="s">
        <v>11218</v>
      </c>
      <c r="F4008" s="22" t="str">
        <f>VLOOKUP(Table8[[#This Row],[Mã khách hàng]],code_khach_hang[],2,0)</f>
        <v>CHI NHÁNH LÀO CAI - CÔNG TY CỔ PHẦN DỊCH VỤ THƯƠNG MẠI TỔNG HỢP WINCOMMERCE</v>
      </c>
      <c r="G4008" s="16" t="str">
        <f>VLOOKUP(Table8[[#This Row],[Mã khách hàng]],code_khach_hang[],3,0)</f>
        <v>Miền Bắc đặc biệt 1</v>
      </c>
      <c r="H4008" t="str">
        <f>VLOOKUP(Table8[[#This Row],[Mã khách hàng]],'Khách hàng'!A:D,4,0)</f>
        <v>Food Đức Việt</v>
      </c>
      <c r="I4008" t="str">
        <f>VLOOKUP(Table8[[#This Row],[Mã khách hàng]],'Khách hàng'!A:E,5,0)</f>
        <v>HN0040</v>
      </c>
    </row>
    <row r="4009" spans="1:9">
      <c r="A4009" s="14" t="s">
        <v>13270</v>
      </c>
      <c r="B4009" s="9" t="s">
        <v>5</v>
      </c>
      <c r="C4009" s="16" t="s">
        <v>13315</v>
      </c>
      <c r="D4009" s="21"/>
      <c r="E4009" s="32" t="s">
        <v>11215</v>
      </c>
      <c r="F4009" s="22" t="str">
        <f>VLOOKUP(Table8[[#This Row],[Mã khách hàng]],code_khach_hang[],2,0)</f>
        <v>CHI NHÁNH HÀ NỘI - CÔNG TY CỔ PHẦN DỊCH VỤ THƯƠNG MẠI TỔNG HỢP WINCOMMERCE</v>
      </c>
      <c r="G4009" s="16" t="str">
        <f>VLOOKUP(Table8[[#This Row],[Mã khách hàng]],code_khach_hang[],3,0)</f>
        <v>Miền Bắc đặc biệt 1</v>
      </c>
      <c r="H4009" t="str">
        <f>VLOOKUP(Table8[[#This Row],[Mã khách hàng]],'Khách hàng'!A:D,4,0)</f>
        <v>Food Đức Việt</v>
      </c>
      <c r="I4009" t="str">
        <f>VLOOKUP(Table8[[#This Row],[Mã khách hàng]],'Khách hàng'!A:E,5,0)</f>
        <v>HN0040</v>
      </c>
    </row>
    <row r="4010" spans="1:9">
      <c r="A4010" s="14" t="s">
        <v>13271</v>
      </c>
      <c r="B4010" s="9" t="s">
        <v>5</v>
      </c>
      <c r="C4010" s="16" t="s">
        <v>13316</v>
      </c>
      <c r="D4010" s="21"/>
      <c r="E4010" s="32" t="s">
        <v>11218</v>
      </c>
      <c r="F4010" s="22" t="str">
        <f>VLOOKUP(Table8[[#This Row],[Mã khách hàng]],code_khach_hang[],2,0)</f>
        <v>CHI NHÁNH LÀO CAI - CÔNG TY CỔ PHẦN DỊCH VỤ THƯƠNG MẠI TỔNG HỢP WINCOMMERCE</v>
      </c>
      <c r="G4010" s="16" t="str">
        <f>VLOOKUP(Table8[[#This Row],[Mã khách hàng]],code_khach_hang[],3,0)</f>
        <v>Miền Bắc đặc biệt 1</v>
      </c>
      <c r="H4010" t="str">
        <f>VLOOKUP(Table8[[#This Row],[Mã khách hàng]],'Khách hàng'!A:D,4,0)</f>
        <v>Food Đức Việt</v>
      </c>
      <c r="I4010" t="str">
        <f>VLOOKUP(Table8[[#This Row],[Mã khách hàng]],'Khách hàng'!A:E,5,0)</f>
        <v>HN0040</v>
      </c>
    </row>
    <row r="4011" spans="1:9">
      <c r="A4011" s="14" t="s">
        <v>13272</v>
      </c>
      <c r="B4011" s="9" t="s">
        <v>5</v>
      </c>
      <c r="C4011" s="16" t="s">
        <v>13317</v>
      </c>
      <c r="D4011" s="21"/>
      <c r="E4011" s="32" t="s">
        <v>11207</v>
      </c>
      <c r="F4011" s="22" t="str">
        <f>VLOOKUP(Table8[[#This Row],[Mã khách hàng]],code_khach_hang[],2,0)</f>
        <v>CHI NHÁNH THÁI NGUYÊN - CÔNG TY CỔ PHẦN DỊCH VỤ THƯƠNG MẠI TỔNG HỢP WINCOMMERCE</v>
      </c>
      <c r="G4011" s="16" t="str">
        <f>VLOOKUP(Table8[[#This Row],[Mã khách hàng]],code_khach_hang[],3,0)</f>
        <v>Miền Bắc đặc biệt 2</v>
      </c>
      <c r="H4011" t="str">
        <f>VLOOKUP(Table8[[#This Row],[Mã khách hàng]],'Khách hàng'!A:D,4,0)</f>
        <v>Food Đức Việt</v>
      </c>
      <c r="I4011" t="str">
        <f>VLOOKUP(Table8[[#This Row],[Mã khách hàng]],'Khách hàng'!A:E,5,0)</f>
        <v>HN0040</v>
      </c>
    </row>
    <row r="4012" spans="1:9">
      <c r="A4012" s="14" t="s">
        <v>13273</v>
      </c>
      <c r="B4012" s="9" t="s">
        <v>5</v>
      </c>
      <c r="C4012" s="16" t="s">
        <v>13318</v>
      </c>
      <c r="D4012" s="21"/>
      <c r="E4012" s="32" t="s">
        <v>11199</v>
      </c>
      <c r="F4012" s="22" t="str">
        <f>VLOOKUP(Table8[[#This Row],[Mã khách hàng]],code_khach_hang[],2,0)</f>
        <v>CHI NHÁNH PHÚ THỌ - CÔNG TY CỔ PHẦN DỊCH VỤ THƯƠNG MẠI TỔNG HỢP WINCOMMERCE</v>
      </c>
      <c r="G4012" s="16" t="str">
        <f>VLOOKUP(Table8[[#This Row],[Mã khách hàng]],code_khach_hang[],3,0)</f>
        <v>Miền Bắc đặc biệt 1</v>
      </c>
      <c r="H4012" t="str">
        <f>VLOOKUP(Table8[[#This Row],[Mã khách hàng]],'Khách hàng'!A:D,4,0)</f>
        <v>Food Đức Việt</v>
      </c>
      <c r="I4012" t="str">
        <f>VLOOKUP(Table8[[#This Row],[Mã khách hàng]],'Khách hàng'!A:E,5,0)</f>
        <v>HN0040</v>
      </c>
    </row>
    <row r="4013" spans="1:9">
      <c r="A4013" s="14" t="s">
        <v>13274</v>
      </c>
      <c r="B4013" s="9" t="s">
        <v>5</v>
      </c>
      <c r="C4013" s="16" t="s">
        <v>13319</v>
      </c>
      <c r="D4013" s="21"/>
      <c r="E4013" s="32" t="s">
        <v>11218</v>
      </c>
      <c r="F4013" s="22" t="str">
        <f>VLOOKUP(Table8[[#This Row],[Mã khách hàng]],code_khach_hang[],2,0)</f>
        <v>CHI NHÁNH LÀO CAI - CÔNG TY CỔ PHẦN DỊCH VỤ THƯƠNG MẠI TỔNG HỢP WINCOMMERCE</v>
      </c>
      <c r="G4013" s="16" t="str">
        <f>VLOOKUP(Table8[[#This Row],[Mã khách hàng]],code_khach_hang[],3,0)</f>
        <v>Miền Bắc đặc biệt 1</v>
      </c>
      <c r="H4013" t="str">
        <f>VLOOKUP(Table8[[#This Row],[Mã khách hàng]],'Khách hàng'!A:D,4,0)</f>
        <v>Food Đức Việt</v>
      </c>
      <c r="I4013" t="str">
        <f>VLOOKUP(Table8[[#This Row],[Mã khách hàng]],'Khách hàng'!A:E,5,0)</f>
        <v>HN0040</v>
      </c>
    </row>
    <row r="4014" spans="1:9">
      <c r="A4014" s="14" t="s">
        <v>13275</v>
      </c>
      <c r="B4014" s="9" t="s">
        <v>5</v>
      </c>
      <c r="C4014" s="16" t="s">
        <v>13320</v>
      </c>
      <c r="D4014" s="21"/>
      <c r="E4014" s="32" t="s">
        <v>11204</v>
      </c>
      <c r="F4014" s="22" t="str">
        <f>VLOOKUP(Table8[[#This Row],[Mã khách hàng]],code_khach_hang[],2,0)</f>
        <v>CHI NHÁNH TUYÊN QUANG - CÔNG TY CỔ PHẦN DỊCH VỤ THƯƠNG MẠI TỔNG HỢP WINCOMMERCE</v>
      </c>
      <c r="G4014" s="16" t="str">
        <f>VLOOKUP(Table8[[#This Row],[Mã khách hàng]],code_khach_hang[],3,0)</f>
        <v>Miền Bắc đặc biệt 2</v>
      </c>
      <c r="H4014" t="str">
        <f>VLOOKUP(Table8[[#This Row],[Mã khách hàng]],'Khách hàng'!A:D,4,0)</f>
        <v>Food Đức Việt</v>
      </c>
      <c r="I4014" t="str">
        <f>VLOOKUP(Table8[[#This Row],[Mã khách hàng]],'Khách hàng'!A:E,5,0)</f>
        <v>HN0040</v>
      </c>
    </row>
    <row r="4015" spans="1:9">
      <c r="A4015" s="14" t="s">
        <v>13276</v>
      </c>
      <c r="B4015" s="9" t="s">
        <v>5</v>
      </c>
      <c r="C4015" s="16" t="s">
        <v>13321</v>
      </c>
      <c r="D4015" s="21"/>
      <c r="E4015" s="32" t="s">
        <v>11215</v>
      </c>
      <c r="F4015" s="22" t="str">
        <f>VLOOKUP(Table8[[#This Row],[Mã khách hàng]],code_khach_hang[],2,0)</f>
        <v>CHI NHÁNH HÀ NỘI - CÔNG TY CỔ PHẦN DỊCH VỤ THƯƠNG MẠI TỔNG HỢP WINCOMMERCE</v>
      </c>
      <c r="G4015" s="16" t="str">
        <f>VLOOKUP(Table8[[#This Row],[Mã khách hàng]],code_khach_hang[],3,0)</f>
        <v>Miền Bắc đặc biệt 1</v>
      </c>
      <c r="H4015" t="str">
        <f>VLOOKUP(Table8[[#This Row],[Mã khách hàng]],'Khách hàng'!A:D,4,0)</f>
        <v>Food Đức Việt</v>
      </c>
      <c r="I4015" t="str">
        <f>VLOOKUP(Table8[[#This Row],[Mã khách hàng]],'Khách hàng'!A:E,5,0)</f>
        <v>HN0040</v>
      </c>
    </row>
    <row r="4016" spans="1:9">
      <c r="A4016" s="14" t="s">
        <v>13277</v>
      </c>
      <c r="B4016" s="9" t="s">
        <v>5</v>
      </c>
      <c r="C4016" s="16" t="s">
        <v>13322</v>
      </c>
      <c r="D4016" s="21"/>
      <c r="E4016" s="32" t="s">
        <v>11215</v>
      </c>
      <c r="F4016" s="22" t="str">
        <f>VLOOKUP(Table8[[#This Row],[Mã khách hàng]],code_khach_hang[],2,0)</f>
        <v>CHI NHÁNH HÀ NỘI - CÔNG TY CỔ PHẦN DỊCH VỤ THƯƠNG MẠI TỔNG HỢP WINCOMMERCE</v>
      </c>
      <c r="G4016" s="16" t="str">
        <f>VLOOKUP(Table8[[#This Row],[Mã khách hàng]],code_khach_hang[],3,0)</f>
        <v>Miền Bắc đặc biệt 1</v>
      </c>
      <c r="H4016" t="str">
        <f>VLOOKUP(Table8[[#This Row],[Mã khách hàng]],'Khách hàng'!A:D,4,0)</f>
        <v>Food Đức Việt</v>
      </c>
      <c r="I4016" t="str">
        <f>VLOOKUP(Table8[[#This Row],[Mã khách hàng]],'Khách hàng'!A:E,5,0)</f>
        <v>HN0040</v>
      </c>
    </row>
    <row r="4017" spans="1:9">
      <c r="A4017" s="14" t="s">
        <v>13278</v>
      </c>
      <c r="B4017" s="9" t="s">
        <v>5</v>
      </c>
      <c r="C4017" s="16" t="s">
        <v>13323</v>
      </c>
      <c r="D4017" s="21"/>
      <c r="E4017" s="32" t="s">
        <v>11215</v>
      </c>
      <c r="F4017" s="22" t="str">
        <f>VLOOKUP(Table8[[#This Row],[Mã khách hàng]],code_khach_hang[],2,0)</f>
        <v>CHI NHÁNH HÀ NỘI - CÔNG TY CỔ PHẦN DỊCH VỤ THƯƠNG MẠI TỔNG HỢP WINCOMMERCE</v>
      </c>
      <c r="G4017" s="16" t="str">
        <f>VLOOKUP(Table8[[#This Row],[Mã khách hàng]],code_khach_hang[],3,0)</f>
        <v>Miền Bắc đặc biệt 1</v>
      </c>
      <c r="H4017" t="str">
        <f>VLOOKUP(Table8[[#This Row],[Mã khách hàng]],'Khách hàng'!A:D,4,0)</f>
        <v>Food Đức Việt</v>
      </c>
      <c r="I4017" t="str">
        <f>VLOOKUP(Table8[[#This Row],[Mã khách hàng]],'Khách hàng'!A:E,5,0)</f>
        <v>HN0040</v>
      </c>
    </row>
    <row r="4018" spans="1:9">
      <c r="A4018" s="14" t="s">
        <v>13279</v>
      </c>
      <c r="B4018" s="9" t="s">
        <v>5</v>
      </c>
      <c r="C4018" s="16" t="s">
        <v>13324</v>
      </c>
      <c r="D4018" s="21"/>
      <c r="E4018" s="32" t="s">
        <v>11216</v>
      </c>
      <c r="F4018" s="22" t="str">
        <f>VLOOKUP(Table8[[#This Row],[Mã khách hàng]],code_khach_hang[],2,0)</f>
        <v>CHI NHÁNH HƯNG YÊN - CÔNG TY CỔ PHẦN DỊCH VỤ THƯƠNG MẠI TỔNG HỢP WINCOMMERCE</v>
      </c>
      <c r="G4018" s="16" t="str">
        <f>VLOOKUP(Table8[[#This Row],[Mã khách hàng]],code_khach_hang[],3,0)</f>
        <v>Miền Bắc đặc biệt 1</v>
      </c>
      <c r="H4018" t="str">
        <f>VLOOKUP(Table8[[#This Row],[Mã khách hàng]],'Khách hàng'!A:D,4,0)</f>
        <v>Food Đức Việt</v>
      </c>
      <c r="I4018" t="str">
        <f>VLOOKUP(Table8[[#This Row],[Mã khách hàng]],'Khách hàng'!A:E,5,0)</f>
        <v>HN0040</v>
      </c>
    </row>
    <row r="4019" spans="1:9">
      <c r="A4019" s="14" t="s">
        <v>13280</v>
      </c>
      <c r="B4019" s="9" t="s">
        <v>5</v>
      </c>
      <c r="C4019" s="16" t="s">
        <v>13325</v>
      </c>
      <c r="D4019" s="21"/>
      <c r="E4019" s="32" t="s">
        <v>11198</v>
      </c>
      <c r="F4019" s="22" t="str">
        <f>VLOOKUP(Table8[[#This Row],[Mã khách hàng]],code_khach_hang[],2,0)</f>
        <v>CHI NHÁNH HẢI PHÒNG - CÔNG TY CỔ PHẦN DỊCH VỤ THƯƠNG MẠI TỔNG HỢP WINCOMMERCE</v>
      </c>
      <c r="G4019" s="16" t="str">
        <f>VLOOKUP(Table8[[#This Row],[Mã khách hàng]],code_khach_hang[],3,0)</f>
        <v>Miền Bắc đặc biệt 3</v>
      </c>
      <c r="H4019" t="str">
        <f>VLOOKUP(Table8[[#This Row],[Mã khách hàng]],'Khách hàng'!A:D,4,0)</f>
        <v>Food Đức Việt</v>
      </c>
      <c r="I4019" t="str">
        <f>VLOOKUP(Table8[[#This Row],[Mã khách hàng]],'Khách hàng'!A:E,5,0)</f>
        <v>HN0040</v>
      </c>
    </row>
    <row r="4020" spans="1:9">
      <c r="A4020" s="14" t="s">
        <v>13281</v>
      </c>
      <c r="B4020" s="9" t="s">
        <v>5</v>
      </c>
      <c r="C4020" s="16" t="s">
        <v>13326</v>
      </c>
      <c r="D4020" s="21"/>
      <c r="E4020" s="32" t="s">
        <v>11198</v>
      </c>
      <c r="F4020" s="22" t="str">
        <f>VLOOKUP(Table8[[#This Row],[Mã khách hàng]],code_khach_hang[],2,0)</f>
        <v>CHI NHÁNH HẢI PHÒNG - CÔNG TY CỔ PHẦN DỊCH VỤ THƯƠNG MẠI TỔNG HỢP WINCOMMERCE</v>
      </c>
      <c r="G4020" s="16" t="str">
        <f>VLOOKUP(Table8[[#This Row],[Mã khách hàng]],code_khach_hang[],3,0)</f>
        <v>Miền Bắc đặc biệt 3</v>
      </c>
      <c r="H4020" t="str">
        <f>VLOOKUP(Table8[[#This Row],[Mã khách hàng]],'Khách hàng'!A:D,4,0)</f>
        <v>Food Đức Việt</v>
      </c>
      <c r="I4020" t="str">
        <f>VLOOKUP(Table8[[#This Row],[Mã khách hàng]],'Khách hàng'!A:E,5,0)</f>
        <v>HN0040</v>
      </c>
    </row>
    <row r="4021" spans="1:9">
      <c r="A4021" s="14" t="s">
        <v>13282</v>
      </c>
      <c r="B4021" s="9" t="s">
        <v>5</v>
      </c>
      <c r="C4021" s="16" t="s">
        <v>13327</v>
      </c>
      <c r="D4021" s="21"/>
      <c r="E4021" s="32" t="s">
        <v>11198</v>
      </c>
      <c r="F4021" s="22" t="str">
        <f>VLOOKUP(Table8[[#This Row],[Mã khách hàng]],code_khach_hang[],2,0)</f>
        <v>CHI NHÁNH HẢI PHÒNG - CÔNG TY CỔ PHẦN DỊCH VỤ THƯƠNG MẠI TỔNG HỢP WINCOMMERCE</v>
      </c>
      <c r="G4021" s="16" t="str">
        <f>VLOOKUP(Table8[[#This Row],[Mã khách hàng]],code_khach_hang[],3,0)</f>
        <v>Miền Bắc đặc biệt 3</v>
      </c>
      <c r="H4021" t="str">
        <f>VLOOKUP(Table8[[#This Row],[Mã khách hàng]],'Khách hàng'!A:D,4,0)</f>
        <v>Food Đức Việt</v>
      </c>
      <c r="I4021" t="str">
        <f>VLOOKUP(Table8[[#This Row],[Mã khách hàng]],'Khách hàng'!A:E,5,0)</f>
        <v>HN0040</v>
      </c>
    </row>
    <row r="4022" spans="1:9">
      <c r="A4022" s="14" t="s">
        <v>13283</v>
      </c>
      <c r="B4022" s="9" t="s">
        <v>5</v>
      </c>
      <c r="C4022" s="16" t="s">
        <v>13328</v>
      </c>
      <c r="D4022" s="21"/>
      <c r="E4022" s="32" t="s">
        <v>11215</v>
      </c>
      <c r="F4022" s="22" t="str">
        <f>VLOOKUP(Table8[[#This Row],[Mã khách hàng]],code_khach_hang[],2,0)</f>
        <v>CHI NHÁNH HÀ NỘI - CÔNG TY CỔ PHẦN DỊCH VỤ THƯƠNG MẠI TỔNG HỢP WINCOMMERCE</v>
      </c>
      <c r="G4022" s="16" t="str">
        <f>VLOOKUP(Table8[[#This Row],[Mã khách hàng]],code_khach_hang[],3,0)</f>
        <v>Miền Bắc đặc biệt 1</v>
      </c>
      <c r="H4022" t="str">
        <f>VLOOKUP(Table8[[#This Row],[Mã khách hàng]],'Khách hàng'!A:D,4,0)</f>
        <v>Food Đức Việt</v>
      </c>
      <c r="I4022" t="str">
        <f>VLOOKUP(Table8[[#This Row],[Mã khách hàng]],'Khách hàng'!A:E,5,0)</f>
        <v>HN0040</v>
      </c>
    </row>
    <row r="4023" spans="1:9">
      <c r="A4023" s="14" t="s">
        <v>13284</v>
      </c>
      <c r="B4023" s="9" t="s">
        <v>5</v>
      </c>
      <c r="C4023" s="16" t="s">
        <v>13329</v>
      </c>
      <c r="D4023" s="21"/>
      <c r="E4023" s="32" t="s">
        <v>11197</v>
      </c>
      <c r="F4023" s="22" t="str">
        <f>VLOOKUP(Table8[[#This Row],[Mã khách hàng]],code_khach_hang[],2,0)</f>
        <v>CHI NHÁNH QUẢNG NINH - CÔNG TY CỔ PHẦN DỊCH VỤ THƯƠNG MẠI TỔNG HỢP WINCOMMERCE</v>
      </c>
      <c r="G4023" s="16" t="str">
        <f>VLOOKUP(Table8[[#This Row],[Mã khách hàng]],code_khach_hang[],3,0)</f>
        <v>Miền Bắc đặc biệt 3</v>
      </c>
      <c r="H4023" t="str">
        <f>VLOOKUP(Table8[[#This Row],[Mã khách hàng]],'Khách hàng'!A:D,4,0)</f>
        <v>Food Đức Việt</v>
      </c>
      <c r="I4023" t="str">
        <f>VLOOKUP(Table8[[#This Row],[Mã khách hàng]],'Khách hàng'!A:E,5,0)</f>
        <v>HN0040</v>
      </c>
    </row>
    <row r="4024" spans="1:9">
      <c r="A4024" s="14" t="s">
        <v>13285</v>
      </c>
      <c r="B4024" s="9" t="s">
        <v>5</v>
      </c>
      <c r="C4024" s="16" t="s">
        <v>13330</v>
      </c>
      <c r="D4024" s="21"/>
      <c r="E4024" s="32" t="s">
        <v>11203</v>
      </c>
      <c r="F4024" s="22" t="str">
        <f>VLOOKUP(Table8[[#This Row],[Mã khách hàng]],code_khach_hang[],2,0)</f>
        <v>CHI NHÁNH THANH HÓA - CÔNG TY CỔ PHẦN DỊCH VỤ THƯƠNG MẠI TỔNG HỢP WINCOMMERCE</v>
      </c>
      <c r="G4024" s="16" t="str">
        <f>VLOOKUP(Table8[[#This Row],[Mã khách hàng]],code_khach_hang[],3,0)</f>
        <v>Miền Trung đặc biệt 1</v>
      </c>
      <c r="H4024" t="str">
        <f>VLOOKUP(Table8[[#This Row],[Mã khách hàng]],'Khách hàng'!A:D,4,0)</f>
        <v>Food Đức Việt</v>
      </c>
      <c r="I4024" t="str">
        <f>VLOOKUP(Table8[[#This Row],[Mã khách hàng]],'Khách hàng'!A:E,5,0)</f>
        <v>HN0040</v>
      </c>
    </row>
    <row r="4025" spans="1:9">
      <c r="A4025" s="14" t="s">
        <v>13286</v>
      </c>
      <c r="B4025" s="9" t="s">
        <v>5</v>
      </c>
      <c r="C4025" s="16" t="s">
        <v>13331</v>
      </c>
      <c r="D4025" s="21"/>
      <c r="E4025" s="32" t="s">
        <v>11196</v>
      </c>
      <c r="F4025" s="22" t="str">
        <f>VLOOKUP(Table8[[#This Row],[Mã khách hàng]],code_khach_hang[],2,0)</f>
        <v>CHI NHÁNH NINH BÌNH - CÔNG TY CỔ PHẦN DỊCH VỤ THƯƠNG MẠI TỔNG HỢP WINCOMMERCE</v>
      </c>
      <c r="G4025" s="16" t="str">
        <f>VLOOKUP(Table8[[#This Row],[Mã khách hàng]],code_khach_hang[],3,0)</f>
        <v>Miền Bắc đặc biệt 3</v>
      </c>
      <c r="H4025" t="str">
        <f>VLOOKUP(Table8[[#This Row],[Mã khách hàng]],'Khách hàng'!A:D,4,0)</f>
        <v>Food Đức Việt</v>
      </c>
      <c r="I4025" t="str">
        <f>VLOOKUP(Table8[[#This Row],[Mã khách hàng]],'Khách hàng'!A:E,5,0)</f>
        <v>HN0040</v>
      </c>
    </row>
    <row r="4026" spans="1:9">
      <c r="A4026" s="14" t="s">
        <v>13287</v>
      </c>
      <c r="B4026" s="9" t="s">
        <v>5</v>
      </c>
      <c r="C4026" s="16" t="s">
        <v>13332</v>
      </c>
      <c r="D4026" s="21"/>
      <c r="E4026" s="32" t="s">
        <v>11196</v>
      </c>
      <c r="F4026" s="22" t="str">
        <f>VLOOKUP(Table8[[#This Row],[Mã khách hàng]],code_khach_hang[],2,0)</f>
        <v>CHI NHÁNH NINH BÌNH - CÔNG TY CỔ PHẦN DỊCH VỤ THƯƠNG MẠI TỔNG HỢP WINCOMMERCE</v>
      </c>
      <c r="G4026" s="16" t="str">
        <f>VLOOKUP(Table8[[#This Row],[Mã khách hàng]],code_khach_hang[],3,0)</f>
        <v>Miền Bắc đặc biệt 3</v>
      </c>
      <c r="H4026" t="str">
        <f>VLOOKUP(Table8[[#This Row],[Mã khách hàng]],'Khách hàng'!A:D,4,0)</f>
        <v>Food Đức Việt</v>
      </c>
      <c r="I4026" t="str">
        <f>VLOOKUP(Table8[[#This Row],[Mã khách hàng]],'Khách hàng'!A:E,5,0)</f>
        <v>HN0040</v>
      </c>
    </row>
    <row r="4027" spans="1:9">
      <c r="A4027" s="14" t="s">
        <v>13288</v>
      </c>
      <c r="B4027" s="9" t="s">
        <v>5</v>
      </c>
      <c r="C4027" s="16" t="s">
        <v>13333</v>
      </c>
      <c r="D4027" s="21"/>
      <c r="E4027" s="32" t="s">
        <v>11199</v>
      </c>
      <c r="F4027" s="22" t="str">
        <f>VLOOKUP(Table8[[#This Row],[Mã khách hàng]],code_khach_hang[],2,0)</f>
        <v>CHI NHÁNH PHÚ THỌ - CÔNG TY CỔ PHẦN DỊCH VỤ THƯƠNG MẠI TỔNG HỢP WINCOMMERCE</v>
      </c>
      <c r="G4027" s="16" t="str">
        <f>VLOOKUP(Table8[[#This Row],[Mã khách hàng]],code_khach_hang[],3,0)</f>
        <v>Miền Bắc đặc biệt 1</v>
      </c>
      <c r="H4027" t="str">
        <f>VLOOKUP(Table8[[#This Row],[Mã khách hàng]],'Khách hàng'!A:D,4,0)</f>
        <v>Food Đức Việt</v>
      </c>
      <c r="I4027" t="str">
        <f>VLOOKUP(Table8[[#This Row],[Mã khách hàng]],'Khách hàng'!A:E,5,0)</f>
        <v>HN0040</v>
      </c>
    </row>
    <row r="4028" spans="1:9">
      <c r="A4028" s="14" t="s">
        <v>13289</v>
      </c>
      <c r="B4028" s="9" t="s">
        <v>5</v>
      </c>
      <c r="C4028" s="16" t="s">
        <v>13334</v>
      </c>
      <c r="D4028" s="21"/>
      <c r="E4028" s="32" t="s">
        <v>11199</v>
      </c>
      <c r="F4028" s="22" t="str">
        <f>VLOOKUP(Table8[[#This Row],[Mã khách hàng]],code_khach_hang[],2,0)</f>
        <v>CHI NHÁNH PHÚ THỌ - CÔNG TY CỔ PHẦN DỊCH VỤ THƯƠNG MẠI TỔNG HỢP WINCOMMERCE</v>
      </c>
      <c r="G4028" s="16" t="str">
        <f>VLOOKUP(Table8[[#This Row],[Mã khách hàng]],code_khach_hang[],3,0)</f>
        <v>Miền Bắc đặc biệt 1</v>
      </c>
      <c r="H4028" t="str">
        <f>VLOOKUP(Table8[[#This Row],[Mã khách hàng]],'Khách hàng'!A:D,4,0)</f>
        <v>Food Đức Việt</v>
      </c>
      <c r="I4028" t="str">
        <f>VLOOKUP(Table8[[#This Row],[Mã khách hàng]],'Khách hàng'!A:E,5,0)</f>
        <v>HN0040</v>
      </c>
    </row>
    <row r="4029" spans="1:9">
      <c r="A4029" s="14" t="s">
        <v>13290</v>
      </c>
      <c r="B4029" s="9" t="s">
        <v>5</v>
      </c>
      <c r="C4029" s="16" t="s">
        <v>13335</v>
      </c>
      <c r="D4029" s="21"/>
      <c r="E4029" s="32" t="s">
        <v>11216</v>
      </c>
      <c r="F4029" s="22" t="str">
        <f>VLOOKUP(Table8[[#This Row],[Mã khách hàng]],code_khach_hang[],2,0)</f>
        <v>CHI NHÁNH HƯNG YÊN - CÔNG TY CỔ PHẦN DỊCH VỤ THƯƠNG MẠI TỔNG HỢP WINCOMMERCE</v>
      </c>
      <c r="G4029" s="16" t="str">
        <f>VLOOKUP(Table8[[#This Row],[Mã khách hàng]],code_khach_hang[],3,0)</f>
        <v>Miền Bắc đặc biệt 1</v>
      </c>
      <c r="H4029" t="str">
        <f>VLOOKUP(Table8[[#This Row],[Mã khách hàng]],'Khách hàng'!A:D,4,0)</f>
        <v>Food Đức Việt</v>
      </c>
      <c r="I4029" t="str">
        <f>VLOOKUP(Table8[[#This Row],[Mã khách hàng]],'Khách hàng'!A:E,5,0)</f>
        <v>HN0040</v>
      </c>
    </row>
    <row r="4030" spans="1:9">
      <c r="A4030" s="14" t="s">
        <v>13291</v>
      </c>
      <c r="B4030" s="9" t="s">
        <v>5</v>
      </c>
      <c r="C4030" s="16" t="s">
        <v>13336</v>
      </c>
      <c r="D4030" s="21"/>
      <c r="E4030" s="32" t="s">
        <v>11216</v>
      </c>
      <c r="F4030" s="22" t="str">
        <f>VLOOKUP(Table8[[#This Row],[Mã khách hàng]],code_khach_hang[],2,0)</f>
        <v>CHI NHÁNH HƯNG YÊN - CÔNG TY CỔ PHẦN DỊCH VỤ THƯƠNG MẠI TỔNG HỢP WINCOMMERCE</v>
      </c>
      <c r="G4030" s="16" t="str">
        <f>VLOOKUP(Table8[[#This Row],[Mã khách hàng]],code_khach_hang[],3,0)</f>
        <v>Miền Bắc đặc biệt 1</v>
      </c>
      <c r="H4030" t="str">
        <f>VLOOKUP(Table8[[#This Row],[Mã khách hàng]],'Khách hàng'!A:D,4,0)</f>
        <v>Food Đức Việt</v>
      </c>
      <c r="I4030" t="str">
        <f>VLOOKUP(Table8[[#This Row],[Mã khách hàng]],'Khách hàng'!A:E,5,0)</f>
        <v>HN0040</v>
      </c>
    </row>
    <row r="4031" spans="1:9">
      <c r="A4031" s="49" t="s">
        <v>13340</v>
      </c>
      <c r="B4031" s="9" t="s">
        <v>5</v>
      </c>
      <c r="C4031" s="36" t="s">
        <v>13375</v>
      </c>
      <c r="D4031" s="21"/>
      <c r="E4031" s="37" t="s">
        <v>11218</v>
      </c>
      <c r="F4031" s="22" t="str">
        <f>VLOOKUP(Table8[[#This Row],[Mã khách hàng]],code_khach_hang[],2,0)</f>
        <v>CHI NHÁNH LÀO CAI - CÔNG TY CỔ PHẦN DỊCH VỤ THƯƠNG MẠI TỔNG HỢP WINCOMMERCE</v>
      </c>
      <c r="G4031" s="10" t="str">
        <f>VLOOKUP(Table8[[#This Row],[Mã khách hàng]],code_khach_hang[],3,0)</f>
        <v>Miền Bắc đặc biệt 1</v>
      </c>
      <c r="H4031" t="str">
        <f>VLOOKUP(Table8[[#This Row],[Mã khách hàng]],'Khách hàng'!A:D,4,0)</f>
        <v>Food Đức Việt</v>
      </c>
      <c r="I4031" t="str">
        <f>VLOOKUP(Table8[[#This Row],[Mã khách hàng]],'Khách hàng'!A:E,5,0)</f>
        <v>HN0040</v>
      </c>
    </row>
    <row r="4032" spans="1:9">
      <c r="A4032" s="69" t="s">
        <v>13341</v>
      </c>
      <c r="B4032" s="9" t="s">
        <v>5</v>
      </c>
      <c r="C4032" s="36" t="s">
        <v>13376</v>
      </c>
      <c r="D4032" s="21"/>
      <c r="E4032" s="37" t="s">
        <v>11199</v>
      </c>
      <c r="F4032" s="22" t="str">
        <f>VLOOKUP(Table8[[#This Row],[Mã khách hàng]],code_khach_hang[],2,0)</f>
        <v>CHI NHÁNH PHÚ THỌ - CÔNG TY CỔ PHẦN DỊCH VỤ THƯƠNG MẠI TỔNG HỢP WINCOMMERCE</v>
      </c>
      <c r="G4032" s="16" t="str">
        <f>VLOOKUP(Table8[[#This Row],[Mã khách hàng]],code_khach_hang[],3,0)</f>
        <v>Miền Bắc đặc biệt 1</v>
      </c>
      <c r="H4032" t="str">
        <f>VLOOKUP(Table8[[#This Row],[Mã khách hàng]],'Khách hàng'!A:D,4,0)</f>
        <v>Food Đức Việt</v>
      </c>
      <c r="I4032" t="str">
        <f>VLOOKUP(Table8[[#This Row],[Mã khách hàng]],'Khách hàng'!A:E,5,0)</f>
        <v>HN0040</v>
      </c>
    </row>
    <row r="4033" spans="1:9">
      <c r="A4033" s="69" t="s">
        <v>13342</v>
      </c>
      <c r="B4033" s="9" t="s">
        <v>5</v>
      </c>
      <c r="C4033" s="36" t="s">
        <v>13377</v>
      </c>
      <c r="D4033" s="21"/>
      <c r="E4033" s="37" t="s">
        <v>11196</v>
      </c>
      <c r="F4033" s="22" t="str">
        <f>VLOOKUP(Table8[[#This Row],[Mã khách hàng]],code_khach_hang[],2,0)</f>
        <v>CHI NHÁNH NINH BÌNH - CÔNG TY CỔ PHẦN DỊCH VỤ THƯƠNG MẠI TỔNG HỢP WINCOMMERCE</v>
      </c>
      <c r="G4033" s="16" t="str">
        <f>VLOOKUP(Table8[[#This Row],[Mã khách hàng]],code_khach_hang[],3,0)</f>
        <v>Miền Bắc đặc biệt 3</v>
      </c>
      <c r="H4033" t="str">
        <f>VLOOKUP(Table8[[#This Row],[Mã khách hàng]],'Khách hàng'!A:D,4,0)</f>
        <v>Food Đức Việt</v>
      </c>
      <c r="I4033" t="str">
        <f>VLOOKUP(Table8[[#This Row],[Mã khách hàng]],'Khách hàng'!A:E,5,0)</f>
        <v>HN0040</v>
      </c>
    </row>
    <row r="4034" spans="1:9">
      <c r="A4034" s="69" t="s">
        <v>13343</v>
      </c>
      <c r="B4034" s="9" t="s">
        <v>5</v>
      </c>
      <c r="C4034" s="36" t="s">
        <v>13378</v>
      </c>
      <c r="D4034" s="21"/>
      <c r="E4034" s="37" t="s">
        <v>11199</v>
      </c>
      <c r="F4034" s="22" t="str">
        <f>VLOOKUP(Table8[[#This Row],[Mã khách hàng]],code_khach_hang[],2,0)</f>
        <v>CHI NHÁNH PHÚ THỌ - CÔNG TY CỔ PHẦN DỊCH VỤ THƯƠNG MẠI TỔNG HỢP WINCOMMERCE</v>
      </c>
      <c r="G4034" s="16" t="str">
        <f>VLOOKUP(Table8[[#This Row],[Mã khách hàng]],code_khach_hang[],3,0)</f>
        <v>Miền Bắc đặc biệt 1</v>
      </c>
      <c r="H4034" t="str">
        <f>VLOOKUP(Table8[[#This Row],[Mã khách hàng]],'Khách hàng'!A:D,4,0)</f>
        <v>Food Đức Việt</v>
      </c>
      <c r="I4034" t="str">
        <f>VLOOKUP(Table8[[#This Row],[Mã khách hàng]],'Khách hàng'!A:E,5,0)</f>
        <v>HN0040</v>
      </c>
    </row>
    <row r="4035" spans="1:9">
      <c r="A4035" s="69" t="s">
        <v>13344</v>
      </c>
      <c r="B4035" s="9" t="s">
        <v>5</v>
      </c>
      <c r="C4035" s="36" t="s">
        <v>13379</v>
      </c>
      <c r="D4035" s="21"/>
      <c r="E4035" s="37" t="s">
        <v>11216</v>
      </c>
      <c r="F4035" s="22" t="str">
        <f>VLOOKUP(Table8[[#This Row],[Mã khách hàng]],code_khach_hang[],2,0)</f>
        <v>CHI NHÁNH HƯNG YÊN - CÔNG TY CỔ PHẦN DỊCH VỤ THƯƠNG MẠI TỔNG HỢP WINCOMMERCE</v>
      </c>
      <c r="G4035" s="16" t="str">
        <f>VLOOKUP(Table8[[#This Row],[Mã khách hàng]],code_khach_hang[],3,0)</f>
        <v>Miền Bắc đặc biệt 1</v>
      </c>
      <c r="H4035" t="str">
        <f>VLOOKUP(Table8[[#This Row],[Mã khách hàng]],'Khách hàng'!A:D,4,0)</f>
        <v>Food Đức Việt</v>
      </c>
      <c r="I4035" t="str">
        <f>VLOOKUP(Table8[[#This Row],[Mã khách hàng]],'Khách hàng'!A:E,5,0)</f>
        <v>HN0040</v>
      </c>
    </row>
    <row r="4036" spans="1:9">
      <c r="A4036" s="69" t="s">
        <v>13345</v>
      </c>
      <c r="B4036" s="9" t="s">
        <v>5</v>
      </c>
      <c r="C4036" s="36" t="s">
        <v>13380</v>
      </c>
      <c r="D4036" s="21"/>
      <c r="E4036" s="37" t="s">
        <v>11216</v>
      </c>
      <c r="F4036" s="22" t="str">
        <f>VLOOKUP(Table8[[#This Row],[Mã khách hàng]],code_khach_hang[],2,0)</f>
        <v>CHI NHÁNH HƯNG YÊN - CÔNG TY CỔ PHẦN DỊCH VỤ THƯƠNG MẠI TỔNG HỢP WINCOMMERCE</v>
      </c>
      <c r="G4036" s="16" t="str">
        <f>VLOOKUP(Table8[[#This Row],[Mã khách hàng]],code_khach_hang[],3,0)</f>
        <v>Miền Bắc đặc biệt 1</v>
      </c>
      <c r="H4036" t="str">
        <f>VLOOKUP(Table8[[#This Row],[Mã khách hàng]],'Khách hàng'!A:D,4,0)</f>
        <v>Food Đức Việt</v>
      </c>
      <c r="I4036" t="str">
        <f>VLOOKUP(Table8[[#This Row],[Mã khách hàng]],'Khách hàng'!A:E,5,0)</f>
        <v>HN0040</v>
      </c>
    </row>
    <row r="4037" spans="1:9">
      <c r="A4037" s="69" t="s">
        <v>13346</v>
      </c>
      <c r="B4037" s="9" t="s">
        <v>5</v>
      </c>
      <c r="C4037" s="36" t="s">
        <v>13381</v>
      </c>
      <c r="D4037" s="21"/>
      <c r="E4037" s="37" t="s">
        <v>11199</v>
      </c>
      <c r="F4037" s="22" t="str">
        <f>VLOOKUP(Table8[[#This Row],[Mã khách hàng]],code_khach_hang[],2,0)</f>
        <v>CHI NHÁNH PHÚ THỌ - CÔNG TY CỔ PHẦN DỊCH VỤ THƯƠNG MẠI TỔNG HỢP WINCOMMERCE</v>
      </c>
      <c r="G4037" s="16" t="str">
        <f>VLOOKUP(Table8[[#This Row],[Mã khách hàng]],code_khach_hang[],3,0)</f>
        <v>Miền Bắc đặc biệt 1</v>
      </c>
      <c r="H4037" t="str">
        <f>VLOOKUP(Table8[[#This Row],[Mã khách hàng]],'Khách hàng'!A:D,4,0)</f>
        <v>Food Đức Việt</v>
      </c>
      <c r="I4037" t="str">
        <f>VLOOKUP(Table8[[#This Row],[Mã khách hàng]],'Khách hàng'!A:E,5,0)</f>
        <v>HN0040</v>
      </c>
    </row>
    <row r="4038" spans="1:9">
      <c r="A4038" s="69" t="s">
        <v>13347</v>
      </c>
      <c r="B4038" s="9" t="s">
        <v>5</v>
      </c>
      <c r="C4038" s="36" t="s">
        <v>13382</v>
      </c>
      <c r="D4038" s="21"/>
      <c r="E4038" s="37" t="s">
        <v>11196</v>
      </c>
      <c r="F4038" s="22" t="str">
        <f>VLOOKUP(Table8[[#This Row],[Mã khách hàng]],code_khach_hang[],2,0)</f>
        <v>CHI NHÁNH NINH BÌNH - CÔNG TY CỔ PHẦN DỊCH VỤ THƯƠNG MẠI TỔNG HỢP WINCOMMERCE</v>
      </c>
      <c r="G4038" s="16" t="str">
        <f>VLOOKUP(Table8[[#This Row],[Mã khách hàng]],code_khach_hang[],3,0)</f>
        <v>Miền Bắc đặc biệt 3</v>
      </c>
      <c r="H4038" t="str">
        <f>VLOOKUP(Table8[[#This Row],[Mã khách hàng]],'Khách hàng'!A:D,4,0)</f>
        <v>Food Đức Việt</v>
      </c>
      <c r="I4038" t="str">
        <f>VLOOKUP(Table8[[#This Row],[Mã khách hàng]],'Khách hàng'!A:E,5,0)</f>
        <v>HN0040</v>
      </c>
    </row>
    <row r="4039" spans="1:9">
      <c r="A4039" s="69" t="s">
        <v>13348</v>
      </c>
      <c r="B4039" s="9" t="s">
        <v>5</v>
      </c>
      <c r="C4039" s="36" t="s">
        <v>13383</v>
      </c>
      <c r="D4039" s="21"/>
      <c r="E4039" s="37" t="s">
        <v>11193</v>
      </c>
      <c r="F4039" s="22" t="str">
        <f>VLOOKUP(Table8[[#This Row],[Mã khách hàng]],code_khach_hang[],2,0)</f>
        <v>CHI NHÁNH BẮC NINH - CÔNG TY CỔ PHẦN DỊCH VỤ THƯƠNG MẠI TỔNG HỢP WINCOMMERCE</v>
      </c>
      <c r="G4039" s="16" t="str">
        <f>VLOOKUP(Table8[[#This Row],[Mã khách hàng]],code_khach_hang[],3,0)</f>
        <v>Miền Bắc đặc biệt 2</v>
      </c>
      <c r="H4039" t="str">
        <f>VLOOKUP(Table8[[#This Row],[Mã khách hàng]],'Khách hàng'!A:D,4,0)</f>
        <v>Food Đức Việt</v>
      </c>
      <c r="I4039" t="str">
        <f>VLOOKUP(Table8[[#This Row],[Mã khách hàng]],'Khách hàng'!A:E,5,0)</f>
        <v>HN0040</v>
      </c>
    </row>
    <row r="4040" spans="1:9">
      <c r="A4040" s="69" t="s">
        <v>13349</v>
      </c>
      <c r="B4040" s="9" t="s">
        <v>5</v>
      </c>
      <c r="C4040" s="36" t="s">
        <v>13384</v>
      </c>
      <c r="D4040" s="21"/>
      <c r="E4040" s="37" t="s">
        <v>11215</v>
      </c>
      <c r="F4040" s="22" t="str">
        <f>VLOOKUP(Table8[[#This Row],[Mã khách hàng]],code_khach_hang[],2,0)</f>
        <v>CHI NHÁNH HÀ NỘI - CÔNG TY CỔ PHẦN DỊCH VỤ THƯƠNG MẠI TỔNG HỢP WINCOMMERCE</v>
      </c>
      <c r="G4040" s="16" t="str">
        <f>VLOOKUP(Table8[[#This Row],[Mã khách hàng]],code_khach_hang[],3,0)</f>
        <v>Miền Bắc đặc biệt 1</v>
      </c>
      <c r="H4040" t="str">
        <f>VLOOKUP(Table8[[#This Row],[Mã khách hàng]],'Khách hàng'!A:D,4,0)</f>
        <v>Food Đức Việt</v>
      </c>
      <c r="I4040" t="str">
        <f>VLOOKUP(Table8[[#This Row],[Mã khách hàng]],'Khách hàng'!A:E,5,0)</f>
        <v>HN0040</v>
      </c>
    </row>
    <row r="4041" spans="1:9">
      <c r="A4041" s="69" t="s">
        <v>13350</v>
      </c>
      <c r="B4041" s="9" t="s">
        <v>5</v>
      </c>
      <c r="C4041" s="36" t="s">
        <v>13385</v>
      </c>
      <c r="D4041" s="21"/>
      <c r="E4041" s="37" t="s">
        <v>11215</v>
      </c>
      <c r="F4041" s="22" t="str">
        <f>VLOOKUP(Table8[[#This Row],[Mã khách hàng]],code_khach_hang[],2,0)</f>
        <v>CHI NHÁNH HÀ NỘI - CÔNG TY CỔ PHẦN DỊCH VỤ THƯƠNG MẠI TỔNG HỢP WINCOMMERCE</v>
      </c>
      <c r="G4041" s="16" t="str">
        <f>VLOOKUP(Table8[[#This Row],[Mã khách hàng]],code_khach_hang[],3,0)</f>
        <v>Miền Bắc đặc biệt 1</v>
      </c>
      <c r="H4041" t="str">
        <f>VLOOKUP(Table8[[#This Row],[Mã khách hàng]],'Khách hàng'!A:D,4,0)</f>
        <v>Food Đức Việt</v>
      </c>
      <c r="I4041" t="str">
        <f>VLOOKUP(Table8[[#This Row],[Mã khách hàng]],'Khách hàng'!A:E,5,0)</f>
        <v>HN0040</v>
      </c>
    </row>
    <row r="4042" spans="1:9">
      <c r="A4042" s="69" t="s">
        <v>13351</v>
      </c>
      <c r="B4042" s="9" t="s">
        <v>5</v>
      </c>
      <c r="C4042" s="36" t="s">
        <v>13386</v>
      </c>
      <c r="D4042" s="21"/>
      <c r="E4042" s="37" t="s">
        <v>11215</v>
      </c>
      <c r="F4042" s="22" t="str">
        <f>VLOOKUP(Table8[[#This Row],[Mã khách hàng]],code_khach_hang[],2,0)</f>
        <v>CHI NHÁNH HÀ NỘI - CÔNG TY CỔ PHẦN DỊCH VỤ THƯƠNG MẠI TỔNG HỢP WINCOMMERCE</v>
      </c>
      <c r="G4042" s="16" t="str">
        <f>VLOOKUP(Table8[[#This Row],[Mã khách hàng]],code_khach_hang[],3,0)</f>
        <v>Miền Bắc đặc biệt 1</v>
      </c>
      <c r="H4042" t="str">
        <f>VLOOKUP(Table8[[#This Row],[Mã khách hàng]],'Khách hàng'!A:D,4,0)</f>
        <v>Food Đức Việt</v>
      </c>
      <c r="I4042" t="str">
        <f>VLOOKUP(Table8[[#This Row],[Mã khách hàng]],'Khách hàng'!A:E,5,0)</f>
        <v>HN0040</v>
      </c>
    </row>
    <row r="4043" spans="1:9">
      <c r="A4043" s="69" t="s">
        <v>13352</v>
      </c>
      <c r="B4043" s="9" t="s">
        <v>5</v>
      </c>
      <c r="C4043" s="36" t="s">
        <v>13387</v>
      </c>
      <c r="D4043" s="21"/>
      <c r="E4043" s="37" t="s">
        <v>11199</v>
      </c>
      <c r="F4043" s="22" t="str">
        <f>VLOOKUP(Table8[[#This Row],[Mã khách hàng]],code_khach_hang[],2,0)</f>
        <v>CHI NHÁNH PHÚ THỌ - CÔNG TY CỔ PHẦN DỊCH VỤ THƯƠNG MẠI TỔNG HỢP WINCOMMERCE</v>
      </c>
      <c r="G4043" s="16" t="str">
        <f>VLOOKUP(Table8[[#This Row],[Mã khách hàng]],code_khach_hang[],3,0)</f>
        <v>Miền Bắc đặc biệt 1</v>
      </c>
      <c r="H4043" t="str">
        <f>VLOOKUP(Table8[[#This Row],[Mã khách hàng]],'Khách hàng'!A:D,4,0)</f>
        <v>Food Đức Việt</v>
      </c>
      <c r="I4043" t="str">
        <f>VLOOKUP(Table8[[#This Row],[Mã khách hàng]],'Khách hàng'!A:E,5,0)</f>
        <v>HN0040</v>
      </c>
    </row>
    <row r="4044" spans="1:9">
      <c r="A4044" s="69" t="s">
        <v>13353</v>
      </c>
      <c r="B4044" s="9" t="s">
        <v>5</v>
      </c>
      <c r="C4044" s="36" t="s">
        <v>13388</v>
      </c>
      <c r="D4044" s="21"/>
      <c r="E4044" s="37" t="s">
        <v>11199</v>
      </c>
      <c r="F4044" s="22" t="str">
        <f>VLOOKUP(Table8[[#This Row],[Mã khách hàng]],code_khach_hang[],2,0)</f>
        <v>CHI NHÁNH PHÚ THỌ - CÔNG TY CỔ PHẦN DỊCH VỤ THƯƠNG MẠI TỔNG HỢP WINCOMMERCE</v>
      </c>
      <c r="G4044" s="16" t="str">
        <f>VLOOKUP(Table8[[#This Row],[Mã khách hàng]],code_khach_hang[],3,0)</f>
        <v>Miền Bắc đặc biệt 1</v>
      </c>
      <c r="H4044" t="str">
        <f>VLOOKUP(Table8[[#This Row],[Mã khách hàng]],'Khách hàng'!A:D,4,0)</f>
        <v>Food Đức Việt</v>
      </c>
      <c r="I4044" t="str">
        <f>VLOOKUP(Table8[[#This Row],[Mã khách hàng]],'Khách hàng'!A:E,5,0)</f>
        <v>HN0040</v>
      </c>
    </row>
    <row r="4045" spans="1:9">
      <c r="A4045" s="69" t="s">
        <v>13354</v>
      </c>
      <c r="B4045" s="9" t="s">
        <v>5</v>
      </c>
      <c r="C4045" s="36" t="s">
        <v>13389</v>
      </c>
      <c r="D4045" s="21"/>
      <c r="E4045" s="37" t="s">
        <v>11218</v>
      </c>
      <c r="F4045" s="22" t="str">
        <f>VLOOKUP(Table8[[#This Row],[Mã khách hàng]],code_khach_hang[],2,0)</f>
        <v>CHI NHÁNH LÀO CAI - CÔNG TY CỔ PHẦN DỊCH VỤ THƯƠNG MẠI TỔNG HỢP WINCOMMERCE</v>
      </c>
      <c r="G4045" s="16" t="str">
        <f>VLOOKUP(Table8[[#This Row],[Mã khách hàng]],code_khach_hang[],3,0)</f>
        <v>Miền Bắc đặc biệt 1</v>
      </c>
      <c r="H4045" t="str">
        <f>VLOOKUP(Table8[[#This Row],[Mã khách hàng]],'Khách hàng'!A:D,4,0)</f>
        <v>Food Đức Việt</v>
      </c>
      <c r="I4045" t="str">
        <f>VLOOKUP(Table8[[#This Row],[Mã khách hàng]],'Khách hàng'!A:E,5,0)</f>
        <v>HN0040</v>
      </c>
    </row>
    <row r="4046" spans="1:9">
      <c r="A4046" s="69" t="s">
        <v>13355</v>
      </c>
      <c r="B4046" s="9" t="s">
        <v>5</v>
      </c>
      <c r="C4046" s="36" t="s">
        <v>13390</v>
      </c>
      <c r="D4046" s="21"/>
      <c r="E4046" s="37" t="s">
        <v>11216</v>
      </c>
      <c r="F4046" s="22" t="str">
        <f>VLOOKUP(Table8[[#This Row],[Mã khách hàng]],code_khach_hang[],2,0)</f>
        <v>CHI NHÁNH HƯNG YÊN - CÔNG TY CỔ PHẦN DỊCH VỤ THƯƠNG MẠI TỔNG HỢP WINCOMMERCE</v>
      </c>
      <c r="G4046" s="16" t="str">
        <f>VLOOKUP(Table8[[#This Row],[Mã khách hàng]],code_khach_hang[],3,0)</f>
        <v>Miền Bắc đặc biệt 1</v>
      </c>
      <c r="H4046" t="str">
        <f>VLOOKUP(Table8[[#This Row],[Mã khách hàng]],'Khách hàng'!A:D,4,0)</f>
        <v>Food Đức Việt</v>
      </c>
      <c r="I4046" t="str">
        <f>VLOOKUP(Table8[[#This Row],[Mã khách hàng]],'Khách hàng'!A:E,5,0)</f>
        <v>HN0040</v>
      </c>
    </row>
    <row r="4047" spans="1:9">
      <c r="A4047" s="69" t="s">
        <v>13356</v>
      </c>
      <c r="B4047" s="9" t="s">
        <v>5</v>
      </c>
      <c r="C4047" s="36" t="s">
        <v>13391</v>
      </c>
      <c r="D4047" s="21"/>
      <c r="E4047" s="37" t="s">
        <v>11204</v>
      </c>
      <c r="F4047" s="22" t="str">
        <f>VLOOKUP(Table8[[#This Row],[Mã khách hàng]],code_khach_hang[],2,0)</f>
        <v>CHI NHÁNH TUYÊN QUANG - CÔNG TY CỔ PHẦN DỊCH VỤ THƯƠNG MẠI TỔNG HỢP WINCOMMERCE</v>
      </c>
      <c r="G4047" s="16" t="str">
        <f>VLOOKUP(Table8[[#This Row],[Mã khách hàng]],code_khach_hang[],3,0)</f>
        <v>Miền Bắc đặc biệt 2</v>
      </c>
      <c r="H4047" t="str">
        <f>VLOOKUP(Table8[[#This Row],[Mã khách hàng]],'Khách hàng'!A:D,4,0)</f>
        <v>Food Đức Việt</v>
      </c>
      <c r="I4047" t="str">
        <f>VLOOKUP(Table8[[#This Row],[Mã khách hàng]],'Khách hàng'!A:E,5,0)</f>
        <v>HN0040</v>
      </c>
    </row>
    <row r="4048" spans="1:9">
      <c r="A4048" s="69" t="s">
        <v>13357</v>
      </c>
      <c r="B4048" s="9" t="s">
        <v>5</v>
      </c>
      <c r="C4048" s="36" t="s">
        <v>13392</v>
      </c>
      <c r="D4048" s="21"/>
      <c r="E4048" s="37" t="s">
        <v>11204</v>
      </c>
      <c r="F4048" s="22" t="str">
        <f>VLOOKUP(Table8[[#This Row],[Mã khách hàng]],code_khach_hang[],2,0)</f>
        <v>CHI NHÁNH TUYÊN QUANG - CÔNG TY CỔ PHẦN DỊCH VỤ THƯƠNG MẠI TỔNG HỢP WINCOMMERCE</v>
      </c>
      <c r="G4048" s="16" t="str">
        <f>VLOOKUP(Table8[[#This Row],[Mã khách hàng]],code_khach_hang[],3,0)</f>
        <v>Miền Bắc đặc biệt 2</v>
      </c>
      <c r="H4048" t="str">
        <f>VLOOKUP(Table8[[#This Row],[Mã khách hàng]],'Khách hàng'!A:D,4,0)</f>
        <v>Food Đức Việt</v>
      </c>
      <c r="I4048" t="str">
        <f>VLOOKUP(Table8[[#This Row],[Mã khách hàng]],'Khách hàng'!A:E,5,0)</f>
        <v>HN0040</v>
      </c>
    </row>
    <row r="4049" spans="1:9">
      <c r="A4049" s="69" t="s">
        <v>13358</v>
      </c>
      <c r="B4049" s="9" t="s">
        <v>5</v>
      </c>
      <c r="C4049" s="36" t="s">
        <v>13393</v>
      </c>
      <c r="D4049" s="21"/>
      <c r="E4049" s="37" t="s">
        <v>11218</v>
      </c>
      <c r="F4049" s="22" t="str">
        <f>VLOOKUP(Table8[[#This Row],[Mã khách hàng]],code_khach_hang[],2,0)</f>
        <v>CHI NHÁNH LÀO CAI - CÔNG TY CỔ PHẦN DỊCH VỤ THƯƠNG MẠI TỔNG HỢP WINCOMMERCE</v>
      </c>
      <c r="G4049" s="16" t="str">
        <f>VLOOKUP(Table8[[#This Row],[Mã khách hàng]],code_khach_hang[],3,0)</f>
        <v>Miền Bắc đặc biệt 1</v>
      </c>
      <c r="H4049" t="str">
        <f>VLOOKUP(Table8[[#This Row],[Mã khách hàng]],'Khách hàng'!A:D,4,0)</f>
        <v>Food Đức Việt</v>
      </c>
      <c r="I4049" t="str">
        <f>VLOOKUP(Table8[[#This Row],[Mã khách hàng]],'Khách hàng'!A:E,5,0)</f>
        <v>HN0040</v>
      </c>
    </row>
    <row r="4050" spans="1:9">
      <c r="A4050" s="69" t="s">
        <v>13359</v>
      </c>
      <c r="B4050" s="9" t="s">
        <v>5</v>
      </c>
      <c r="C4050" s="36" t="s">
        <v>13394</v>
      </c>
      <c r="D4050" s="21"/>
      <c r="E4050" s="37" t="s">
        <v>11204</v>
      </c>
      <c r="F4050" s="22" t="str">
        <f>VLOOKUP(Table8[[#This Row],[Mã khách hàng]],code_khach_hang[],2,0)</f>
        <v>CHI NHÁNH TUYÊN QUANG - CÔNG TY CỔ PHẦN DỊCH VỤ THƯƠNG MẠI TỔNG HỢP WINCOMMERCE</v>
      </c>
      <c r="G4050" s="16" t="str">
        <f>VLOOKUP(Table8[[#This Row],[Mã khách hàng]],code_khach_hang[],3,0)</f>
        <v>Miền Bắc đặc biệt 2</v>
      </c>
      <c r="H4050" t="str">
        <f>VLOOKUP(Table8[[#This Row],[Mã khách hàng]],'Khách hàng'!A:D,4,0)</f>
        <v>Food Đức Việt</v>
      </c>
      <c r="I4050" t="str">
        <f>VLOOKUP(Table8[[#This Row],[Mã khách hàng]],'Khách hàng'!A:E,5,0)</f>
        <v>HN0040</v>
      </c>
    </row>
    <row r="4051" spans="1:9">
      <c r="A4051" s="69" t="s">
        <v>13360</v>
      </c>
      <c r="B4051" s="9" t="s">
        <v>5</v>
      </c>
      <c r="C4051" s="36" t="s">
        <v>13395</v>
      </c>
      <c r="D4051" s="21"/>
      <c r="E4051" s="37" t="s">
        <v>11193</v>
      </c>
      <c r="F4051" s="22" t="str">
        <f>VLOOKUP(Table8[[#This Row],[Mã khách hàng]],code_khach_hang[],2,0)</f>
        <v>CHI NHÁNH BẮC NINH - CÔNG TY CỔ PHẦN DỊCH VỤ THƯƠNG MẠI TỔNG HỢP WINCOMMERCE</v>
      </c>
      <c r="G4051" s="16" t="str">
        <f>VLOOKUP(Table8[[#This Row],[Mã khách hàng]],code_khach_hang[],3,0)</f>
        <v>Miền Bắc đặc biệt 2</v>
      </c>
      <c r="H4051" t="str">
        <f>VLOOKUP(Table8[[#This Row],[Mã khách hàng]],'Khách hàng'!A:D,4,0)</f>
        <v>Food Đức Việt</v>
      </c>
      <c r="I4051" t="str">
        <f>VLOOKUP(Table8[[#This Row],[Mã khách hàng]],'Khách hàng'!A:E,5,0)</f>
        <v>HN0040</v>
      </c>
    </row>
    <row r="4052" spans="1:9">
      <c r="A4052" s="69" t="s">
        <v>13361</v>
      </c>
      <c r="B4052" s="9" t="s">
        <v>5</v>
      </c>
      <c r="C4052" s="36" t="s">
        <v>13396</v>
      </c>
      <c r="D4052" s="21"/>
      <c r="E4052" s="37" t="s">
        <v>11207</v>
      </c>
      <c r="F4052" s="22" t="str">
        <f>VLOOKUP(Table8[[#This Row],[Mã khách hàng]],code_khach_hang[],2,0)</f>
        <v>CHI NHÁNH THÁI NGUYÊN - CÔNG TY CỔ PHẦN DỊCH VỤ THƯƠNG MẠI TỔNG HỢP WINCOMMERCE</v>
      </c>
      <c r="G4052" s="16" t="str">
        <f>VLOOKUP(Table8[[#This Row],[Mã khách hàng]],code_khach_hang[],3,0)</f>
        <v>Miền Bắc đặc biệt 2</v>
      </c>
      <c r="H4052" t="str">
        <f>VLOOKUP(Table8[[#This Row],[Mã khách hàng]],'Khách hàng'!A:D,4,0)</f>
        <v>Food Đức Việt</v>
      </c>
      <c r="I4052" t="str">
        <f>VLOOKUP(Table8[[#This Row],[Mã khách hàng]],'Khách hàng'!A:E,5,0)</f>
        <v>HN0040</v>
      </c>
    </row>
    <row r="4053" spans="1:9">
      <c r="A4053" s="69" t="s">
        <v>13362</v>
      </c>
      <c r="B4053" s="9" t="s">
        <v>5</v>
      </c>
      <c r="C4053" s="36" t="s">
        <v>13397</v>
      </c>
      <c r="D4053" s="21"/>
      <c r="E4053" s="37" t="s">
        <v>11216</v>
      </c>
      <c r="F4053" s="22" t="str">
        <f>VLOOKUP(Table8[[#This Row],[Mã khách hàng]],code_khach_hang[],2,0)</f>
        <v>CHI NHÁNH HƯNG YÊN - CÔNG TY CỔ PHẦN DỊCH VỤ THƯƠNG MẠI TỔNG HỢP WINCOMMERCE</v>
      </c>
      <c r="G4053" s="16" t="str">
        <f>VLOOKUP(Table8[[#This Row],[Mã khách hàng]],code_khach_hang[],3,0)</f>
        <v>Miền Bắc đặc biệt 1</v>
      </c>
      <c r="H4053" t="str">
        <f>VLOOKUP(Table8[[#This Row],[Mã khách hàng]],'Khách hàng'!A:D,4,0)</f>
        <v>Food Đức Việt</v>
      </c>
      <c r="I4053" t="str">
        <f>VLOOKUP(Table8[[#This Row],[Mã khách hàng]],'Khách hàng'!A:E,5,0)</f>
        <v>HN0040</v>
      </c>
    </row>
    <row r="4054" spans="1:9">
      <c r="A4054" s="69" t="s">
        <v>13363</v>
      </c>
      <c r="B4054" s="9" t="s">
        <v>5</v>
      </c>
      <c r="C4054" s="36" t="s">
        <v>13398</v>
      </c>
      <c r="D4054" s="21"/>
      <c r="E4054" s="37" t="s">
        <v>11196</v>
      </c>
      <c r="F4054" s="22" t="str">
        <f>VLOOKUP(Table8[[#This Row],[Mã khách hàng]],code_khach_hang[],2,0)</f>
        <v>CHI NHÁNH NINH BÌNH - CÔNG TY CỔ PHẦN DỊCH VỤ THƯƠNG MẠI TỔNG HỢP WINCOMMERCE</v>
      </c>
      <c r="G4054" s="16" t="str">
        <f>VLOOKUP(Table8[[#This Row],[Mã khách hàng]],code_khach_hang[],3,0)</f>
        <v>Miền Bắc đặc biệt 3</v>
      </c>
      <c r="H4054" t="str">
        <f>VLOOKUP(Table8[[#This Row],[Mã khách hàng]],'Khách hàng'!A:D,4,0)</f>
        <v>Food Đức Việt</v>
      </c>
      <c r="I4054" t="str">
        <f>VLOOKUP(Table8[[#This Row],[Mã khách hàng]],'Khách hàng'!A:E,5,0)</f>
        <v>HN0040</v>
      </c>
    </row>
    <row r="4055" spans="1:9">
      <c r="A4055" s="69" t="s">
        <v>13364</v>
      </c>
      <c r="B4055" s="9" t="s">
        <v>5</v>
      </c>
      <c r="C4055" s="36" t="s">
        <v>13399</v>
      </c>
      <c r="D4055" s="21"/>
      <c r="E4055" s="37" t="s">
        <v>11198</v>
      </c>
      <c r="F4055" s="22" t="str">
        <f>VLOOKUP(Table8[[#This Row],[Mã khách hàng]],code_khach_hang[],2,0)</f>
        <v>CHI NHÁNH HẢI PHÒNG - CÔNG TY CỔ PHẦN DỊCH VỤ THƯƠNG MẠI TỔNG HỢP WINCOMMERCE</v>
      </c>
      <c r="G4055" s="16" t="str">
        <f>VLOOKUP(Table8[[#This Row],[Mã khách hàng]],code_khach_hang[],3,0)</f>
        <v>Miền Bắc đặc biệt 3</v>
      </c>
      <c r="H4055" t="str">
        <f>VLOOKUP(Table8[[#This Row],[Mã khách hàng]],'Khách hàng'!A:D,4,0)</f>
        <v>Food Đức Việt</v>
      </c>
      <c r="I4055" t="str">
        <f>VLOOKUP(Table8[[#This Row],[Mã khách hàng]],'Khách hàng'!A:E,5,0)</f>
        <v>HN0040</v>
      </c>
    </row>
    <row r="4056" spans="1:9">
      <c r="A4056" s="69" t="s">
        <v>13365</v>
      </c>
      <c r="B4056" s="9" t="s">
        <v>5</v>
      </c>
      <c r="C4056" s="36" t="s">
        <v>13400</v>
      </c>
      <c r="D4056" s="21"/>
      <c r="E4056" s="37" t="s">
        <v>11216</v>
      </c>
      <c r="F4056" s="22" t="str">
        <f>VLOOKUP(Table8[[#This Row],[Mã khách hàng]],code_khach_hang[],2,0)</f>
        <v>CHI NHÁNH HƯNG YÊN - CÔNG TY CỔ PHẦN DỊCH VỤ THƯƠNG MẠI TỔNG HỢP WINCOMMERCE</v>
      </c>
      <c r="G4056" s="16" t="str">
        <f>VLOOKUP(Table8[[#This Row],[Mã khách hàng]],code_khach_hang[],3,0)</f>
        <v>Miền Bắc đặc biệt 1</v>
      </c>
      <c r="H4056" t="str">
        <f>VLOOKUP(Table8[[#This Row],[Mã khách hàng]],'Khách hàng'!A:D,4,0)</f>
        <v>Food Đức Việt</v>
      </c>
      <c r="I4056" t="str">
        <f>VLOOKUP(Table8[[#This Row],[Mã khách hàng]],'Khách hàng'!A:E,5,0)</f>
        <v>HN0040</v>
      </c>
    </row>
    <row r="4057" spans="1:9">
      <c r="A4057" s="69" t="s">
        <v>13366</v>
      </c>
      <c r="B4057" s="9" t="s">
        <v>5</v>
      </c>
      <c r="C4057" s="36" t="s">
        <v>13401</v>
      </c>
      <c r="D4057" s="21"/>
      <c r="E4057" s="37" t="s">
        <v>11198</v>
      </c>
      <c r="F4057" s="22" t="str">
        <f>VLOOKUP(Table8[[#This Row],[Mã khách hàng]],code_khach_hang[],2,0)</f>
        <v>CHI NHÁNH HẢI PHÒNG - CÔNG TY CỔ PHẦN DỊCH VỤ THƯƠNG MẠI TỔNG HỢP WINCOMMERCE</v>
      </c>
      <c r="G4057" s="16" t="str">
        <f>VLOOKUP(Table8[[#This Row],[Mã khách hàng]],code_khach_hang[],3,0)</f>
        <v>Miền Bắc đặc biệt 3</v>
      </c>
      <c r="H4057" t="str">
        <f>VLOOKUP(Table8[[#This Row],[Mã khách hàng]],'Khách hàng'!A:D,4,0)</f>
        <v>Food Đức Việt</v>
      </c>
      <c r="I4057" t="str">
        <f>VLOOKUP(Table8[[#This Row],[Mã khách hàng]],'Khách hàng'!A:E,5,0)</f>
        <v>HN0040</v>
      </c>
    </row>
    <row r="4058" spans="1:9">
      <c r="A4058" s="69" t="s">
        <v>13367</v>
      </c>
      <c r="B4058" s="9" t="s">
        <v>5</v>
      </c>
      <c r="C4058" s="36" t="s">
        <v>13402</v>
      </c>
      <c r="D4058" s="21"/>
      <c r="E4058" s="37" t="s">
        <v>11193</v>
      </c>
      <c r="F4058" s="22" t="str">
        <f>VLOOKUP(Table8[[#This Row],[Mã khách hàng]],code_khach_hang[],2,0)</f>
        <v>CHI NHÁNH BẮC NINH - CÔNG TY CỔ PHẦN DỊCH VỤ THƯƠNG MẠI TỔNG HỢP WINCOMMERCE</v>
      </c>
      <c r="G4058" s="16" t="str">
        <f>VLOOKUP(Table8[[#This Row],[Mã khách hàng]],code_khach_hang[],3,0)</f>
        <v>Miền Bắc đặc biệt 2</v>
      </c>
      <c r="H4058" t="str">
        <f>VLOOKUP(Table8[[#This Row],[Mã khách hàng]],'Khách hàng'!A:D,4,0)</f>
        <v>Food Đức Việt</v>
      </c>
      <c r="I4058" t="str">
        <f>VLOOKUP(Table8[[#This Row],[Mã khách hàng]],'Khách hàng'!A:E,5,0)</f>
        <v>HN0040</v>
      </c>
    </row>
    <row r="4059" spans="1:9">
      <c r="A4059" s="69" t="s">
        <v>13368</v>
      </c>
      <c r="B4059" s="9" t="s">
        <v>5</v>
      </c>
      <c r="C4059" s="36" t="s">
        <v>13403</v>
      </c>
      <c r="D4059" s="21"/>
      <c r="E4059" s="37" t="s">
        <v>11218</v>
      </c>
      <c r="F4059" s="22" t="str">
        <f>VLOOKUP(Table8[[#This Row],[Mã khách hàng]],code_khach_hang[],2,0)</f>
        <v>CHI NHÁNH LÀO CAI - CÔNG TY CỔ PHẦN DỊCH VỤ THƯƠNG MẠI TỔNG HỢP WINCOMMERCE</v>
      </c>
      <c r="G4059" s="16" t="str">
        <f>VLOOKUP(Table8[[#This Row],[Mã khách hàng]],code_khach_hang[],3,0)</f>
        <v>Miền Bắc đặc biệt 1</v>
      </c>
      <c r="H4059" t="str">
        <f>VLOOKUP(Table8[[#This Row],[Mã khách hàng]],'Khách hàng'!A:D,4,0)</f>
        <v>Food Đức Việt</v>
      </c>
      <c r="I4059" t="str">
        <f>VLOOKUP(Table8[[#This Row],[Mã khách hàng]],'Khách hàng'!A:E,5,0)</f>
        <v>HN0040</v>
      </c>
    </row>
    <row r="4060" spans="1:9">
      <c r="A4060" s="69" t="s">
        <v>13369</v>
      </c>
      <c r="B4060" s="9" t="s">
        <v>5</v>
      </c>
      <c r="C4060" s="36" t="s">
        <v>13404</v>
      </c>
      <c r="D4060" s="21"/>
      <c r="E4060" s="37" t="s">
        <v>11198</v>
      </c>
      <c r="F4060" s="22" t="str">
        <f>VLOOKUP(Table8[[#This Row],[Mã khách hàng]],code_khach_hang[],2,0)</f>
        <v>CHI NHÁNH HẢI PHÒNG - CÔNG TY CỔ PHẦN DỊCH VỤ THƯƠNG MẠI TỔNG HỢP WINCOMMERCE</v>
      </c>
      <c r="G4060" s="16" t="str">
        <f>VLOOKUP(Table8[[#This Row],[Mã khách hàng]],code_khach_hang[],3,0)</f>
        <v>Miền Bắc đặc biệt 3</v>
      </c>
      <c r="H4060" t="str">
        <f>VLOOKUP(Table8[[#This Row],[Mã khách hàng]],'Khách hàng'!A:D,4,0)</f>
        <v>Food Đức Việt</v>
      </c>
      <c r="I4060" t="str">
        <f>VLOOKUP(Table8[[#This Row],[Mã khách hàng]],'Khách hàng'!A:E,5,0)</f>
        <v>HN0040</v>
      </c>
    </row>
    <row r="4061" spans="1:9">
      <c r="A4061" s="69" t="s">
        <v>13370</v>
      </c>
      <c r="B4061" s="9" t="s">
        <v>5</v>
      </c>
      <c r="C4061" s="36" t="s">
        <v>13405</v>
      </c>
      <c r="D4061" s="21"/>
      <c r="E4061" s="37" t="s">
        <v>11196</v>
      </c>
      <c r="F4061" s="22" t="str">
        <f>VLOOKUP(Table8[[#This Row],[Mã khách hàng]],code_khach_hang[],2,0)</f>
        <v>CHI NHÁNH NINH BÌNH - CÔNG TY CỔ PHẦN DỊCH VỤ THƯƠNG MẠI TỔNG HỢP WINCOMMERCE</v>
      </c>
      <c r="G4061" s="16" t="str">
        <f>VLOOKUP(Table8[[#This Row],[Mã khách hàng]],code_khach_hang[],3,0)</f>
        <v>Miền Bắc đặc biệt 3</v>
      </c>
      <c r="H4061" t="str">
        <f>VLOOKUP(Table8[[#This Row],[Mã khách hàng]],'Khách hàng'!A:D,4,0)</f>
        <v>Food Đức Việt</v>
      </c>
      <c r="I4061" t="str">
        <f>VLOOKUP(Table8[[#This Row],[Mã khách hàng]],'Khách hàng'!A:E,5,0)</f>
        <v>HN0040</v>
      </c>
    </row>
    <row r="4062" spans="1:9">
      <c r="A4062" s="69" t="s">
        <v>13371</v>
      </c>
      <c r="B4062" s="9" t="s">
        <v>5</v>
      </c>
      <c r="C4062" s="36" t="s">
        <v>13406</v>
      </c>
      <c r="D4062" s="21"/>
      <c r="E4062" s="37" t="s">
        <v>11198</v>
      </c>
      <c r="F4062" s="22" t="str">
        <f>VLOOKUP(Table8[[#This Row],[Mã khách hàng]],code_khach_hang[],2,0)</f>
        <v>CHI NHÁNH HẢI PHÒNG - CÔNG TY CỔ PHẦN DỊCH VỤ THƯƠNG MẠI TỔNG HỢP WINCOMMERCE</v>
      </c>
      <c r="G4062" s="16" t="str">
        <f>VLOOKUP(Table8[[#This Row],[Mã khách hàng]],code_khach_hang[],3,0)</f>
        <v>Miền Bắc đặc biệt 3</v>
      </c>
      <c r="H4062" t="str">
        <f>VLOOKUP(Table8[[#This Row],[Mã khách hàng]],'Khách hàng'!A:D,4,0)</f>
        <v>Food Đức Việt</v>
      </c>
      <c r="I4062" t="str">
        <f>VLOOKUP(Table8[[#This Row],[Mã khách hàng]],'Khách hàng'!A:E,5,0)</f>
        <v>HN0040</v>
      </c>
    </row>
    <row r="4063" spans="1:9">
      <c r="A4063" s="69" t="s">
        <v>13372</v>
      </c>
      <c r="B4063" s="9" t="s">
        <v>5</v>
      </c>
      <c r="C4063" s="36" t="s">
        <v>13407</v>
      </c>
      <c r="D4063" s="21"/>
      <c r="E4063" s="37" t="s">
        <v>11198</v>
      </c>
      <c r="F4063" s="22" t="str">
        <f>VLOOKUP(Table8[[#This Row],[Mã khách hàng]],code_khach_hang[],2,0)</f>
        <v>CHI NHÁNH HẢI PHÒNG - CÔNG TY CỔ PHẦN DỊCH VỤ THƯƠNG MẠI TỔNG HỢP WINCOMMERCE</v>
      </c>
      <c r="G4063" s="16" t="str">
        <f>VLOOKUP(Table8[[#This Row],[Mã khách hàng]],code_khach_hang[],3,0)</f>
        <v>Miền Bắc đặc biệt 3</v>
      </c>
      <c r="H4063" t="str">
        <f>VLOOKUP(Table8[[#This Row],[Mã khách hàng]],'Khách hàng'!A:D,4,0)</f>
        <v>Food Đức Việt</v>
      </c>
      <c r="I4063" t="str">
        <f>VLOOKUP(Table8[[#This Row],[Mã khách hàng]],'Khách hàng'!A:E,5,0)</f>
        <v>HN0040</v>
      </c>
    </row>
    <row r="4064" spans="1:9">
      <c r="A4064" s="69" t="s">
        <v>13373</v>
      </c>
      <c r="B4064" s="9" t="s">
        <v>5</v>
      </c>
      <c r="C4064" s="36" t="s">
        <v>13408</v>
      </c>
      <c r="D4064" s="21"/>
      <c r="E4064" s="37" t="s">
        <v>11218</v>
      </c>
      <c r="F4064" s="22" t="str">
        <f>VLOOKUP(Table8[[#This Row],[Mã khách hàng]],code_khach_hang[],2,0)</f>
        <v>CHI NHÁNH LÀO CAI - CÔNG TY CỔ PHẦN DỊCH VỤ THƯƠNG MẠI TỔNG HỢP WINCOMMERCE</v>
      </c>
      <c r="G4064" s="16" t="str">
        <f>VLOOKUP(Table8[[#This Row],[Mã khách hàng]],code_khach_hang[],3,0)</f>
        <v>Miền Bắc đặc biệt 1</v>
      </c>
      <c r="H4064" t="str">
        <f>VLOOKUP(Table8[[#This Row],[Mã khách hàng]],'Khách hàng'!A:D,4,0)</f>
        <v>Food Đức Việt</v>
      </c>
      <c r="I4064" t="str">
        <f>VLOOKUP(Table8[[#This Row],[Mã khách hàng]],'Khách hàng'!A:E,5,0)</f>
        <v>HN0040</v>
      </c>
    </row>
    <row r="4065" spans="1:9">
      <c r="A4065" s="69" t="s">
        <v>13374</v>
      </c>
      <c r="B4065" s="9" t="s">
        <v>5</v>
      </c>
      <c r="C4065" s="36" t="s">
        <v>13409</v>
      </c>
      <c r="D4065" s="21"/>
      <c r="E4065" s="37" t="s">
        <v>11199</v>
      </c>
      <c r="F4065" s="22" t="str">
        <f>VLOOKUP(Table8[[#This Row],[Mã khách hàng]],code_khach_hang[],2,0)</f>
        <v>CHI NHÁNH PHÚ THỌ - CÔNG TY CỔ PHẦN DỊCH VỤ THƯƠNG MẠI TỔNG HỢP WINCOMMERCE</v>
      </c>
      <c r="G4065" s="16" t="str">
        <f>VLOOKUP(Table8[[#This Row],[Mã khách hàng]],code_khach_hang[],3,0)</f>
        <v>Miền Bắc đặc biệt 1</v>
      </c>
      <c r="H4065" t="str">
        <f>VLOOKUP(Table8[[#This Row],[Mã khách hàng]],'Khách hàng'!A:D,4,0)</f>
        <v>Food Đức Việt</v>
      </c>
      <c r="I4065" t="str">
        <f>VLOOKUP(Table8[[#This Row],[Mã khách hàng]],'Khách hàng'!A:E,5,0)</f>
        <v>HN0040</v>
      </c>
    </row>
    <row r="4066" spans="1:9">
      <c r="A4066" s="11" t="s">
        <v>13418</v>
      </c>
      <c r="B4066" s="9" t="s">
        <v>5</v>
      </c>
      <c r="C4066" s="76" t="s">
        <v>13426</v>
      </c>
      <c r="D4066" s="21"/>
      <c r="E4066" s="50" t="s">
        <v>11196</v>
      </c>
      <c r="F4066" s="22" t="str">
        <f>VLOOKUP(Table8[[#This Row],[Mã khách hàng]],code_khach_hang[],2,0)</f>
        <v>CHI NHÁNH NINH BÌNH - CÔNG TY CỔ PHẦN DỊCH VỤ THƯƠNG MẠI TỔNG HỢP WINCOMMERCE</v>
      </c>
      <c r="G4066" s="10" t="str">
        <f>VLOOKUP(Table8[[#This Row],[Mã khách hàng]],code_khach_hang[],3,0)</f>
        <v>Miền Bắc đặc biệt 3</v>
      </c>
      <c r="H4066" t="str">
        <f>VLOOKUP(Table8[[#This Row],[Mã khách hàng]],'Khách hàng'!A:D,4,0)</f>
        <v>Food Đức Việt</v>
      </c>
      <c r="I4066" t="str">
        <f>VLOOKUP(Table8[[#This Row],[Mã khách hàng]],'Khách hàng'!A:E,5,0)</f>
        <v>HN0040</v>
      </c>
    </row>
    <row r="4067" spans="1:9">
      <c r="A4067" s="14" t="s">
        <v>13419</v>
      </c>
      <c r="B4067" s="9" t="s">
        <v>5</v>
      </c>
      <c r="C4067" s="76" t="s">
        <v>13427</v>
      </c>
      <c r="D4067" s="21"/>
      <c r="E4067" s="50" t="s">
        <v>11193</v>
      </c>
      <c r="F4067" s="22" t="str">
        <f>VLOOKUP(Table8[[#This Row],[Mã khách hàng]],code_khach_hang[],2,0)</f>
        <v>CHI NHÁNH BẮC NINH - CÔNG TY CỔ PHẦN DỊCH VỤ THƯƠNG MẠI TỔNG HỢP WINCOMMERCE</v>
      </c>
      <c r="G4067" s="16" t="str">
        <f>VLOOKUP(Table8[[#This Row],[Mã khách hàng]],code_khach_hang[],3,0)</f>
        <v>Miền Bắc đặc biệt 2</v>
      </c>
      <c r="H4067" t="str">
        <f>VLOOKUP(Table8[[#This Row],[Mã khách hàng]],'Khách hàng'!A:D,4,0)</f>
        <v>Food Đức Việt</v>
      </c>
      <c r="I4067" t="str">
        <f>VLOOKUP(Table8[[#This Row],[Mã khách hàng]],'Khách hàng'!A:E,5,0)</f>
        <v>HN0040</v>
      </c>
    </row>
    <row r="4068" spans="1:9">
      <c r="A4068" s="14" t="s">
        <v>13420</v>
      </c>
      <c r="B4068" s="9" t="s">
        <v>5</v>
      </c>
      <c r="C4068" s="76" t="s">
        <v>13428</v>
      </c>
      <c r="D4068" s="21"/>
      <c r="E4068" s="50" t="s">
        <v>11207</v>
      </c>
      <c r="F4068" s="22" t="str">
        <f>VLOOKUP(Table8[[#This Row],[Mã khách hàng]],code_khach_hang[],2,0)</f>
        <v>CHI NHÁNH THÁI NGUYÊN - CÔNG TY CỔ PHẦN DỊCH VỤ THƯƠNG MẠI TỔNG HỢP WINCOMMERCE</v>
      </c>
      <c r="G4068" s="16" t="str">
        <f>VLOOKUP(Table8[[#This Row],[Mã khách hàng]],code_khach_hang[],3,0)</f>
        <v>Miền Bắc đặc biệt 2</v>
      </c>
      <c r="H4068" t="str">
        <f>VLOOKUP(Table8[[#This Row],[Mã khách hàng]],'Khách hàng'!A:D,4,0)</f>
        <v>Food Đức Việt</v>
      </c>
      <c r="I4068" t="str">
        <f>VLOOKUP(Table8[[#This Row],[Mã khách hàng]],'Khách hàng'!A:E,5,0)</f>
        <v>HN0040</v>
      </c>
    </row>
    <row r="4069" spans="1:9">
      <c r="A4069" s="14" t="s">
        <v>13421</v>
      </c>
      <c r="B4069" s="9" t="s">
        <v>5</v>
      </c>
      <c r="C4069" s="76" t="s">
        <v>13429</v>
      </c>
      <c r="D4069" s="21"/>
      <c r="E4069" s="50" t="s">
        <v>11215</v>
      </c>
      <c r="F4069" s="22" t="str">
        <f>VLOOKUP(Table8[[#This Row],[Mã khách hàng]],code_khach_hang[],2,0)</f>
        <v>CHI NHÁNH HÀ NỘI - CÔNG TY CỔ PHẦN DỊCH VỤ THƯƠNG MẠI TỔNG HỢP WINCOMMERCE</v>
      </c>
      <c r="G4069" s="16" t="str">
        <f>VLOOKUP(Table8[[#This Row],[Mã khách hàng]],code_khach_hang[],3,0)</f>
        <v>Miền Bắc đặc biệt 1</v>
      </c>
      <c r="H4069" t="str">
        <f>VLOOKUP(Table8[[#This Row],[Mã khách hàng]],'Khách hàng'!A:D,4,0)</f>
        <v>Food Đức Việt</v>
      </c>
      <c r="I4069" t="str">
        <f>VLOOKUP(Table8[[#This Row],[Mã khách hàng]],'Khách hàng'!A:E,5,0)</f>
        <v>HN0040</v>
      </c>
    </row>
    <row r="4070" spans="1:9">
      <c r="A4070" s="14" t="s">
        <v>13422</v>
      </c>
      <c r="B4070" s="9" t="s">
        <v>5</v>
      </c>
      <c r="C4070" s="76" t="s">
        <v>13430</v>
      </c>
      <c r="D4070" s="21"/>
      <c r="E4070" s="50" t="s">
        <v>11215</v>
      </c>
      <c r="F4070" s="22" t="str">
        <f>VLOOKUP(Table8[[#This Row],[Mã khách hàng]],code_khach_hang[],2,0)</f>
        <v>CHI NHÁNH HÀ NỘI - CÔNG TY CỔ PHẦN DỊCH VỤ THƯƠNG MẠI TỔNG HỢP WINCOMMERCE</v>
      </c>
      <c r="G4070" s="16" t="str">
        <f>VLOOKUP(Table8[[#This Row],[Mã khách hàng]],code_khach_hang[],3,0)</f>
        <v>Miền Bắc đặc biệt 1</v>
      </c>
      <c r="H4070" t="str">
        <f>VLOOKUP(Table8[[#This Row],[Mã khách hàng]],'Khách hàng'!A:D,4,0)</f>
        <v>Food Đức Việt</v>
      </c>
      <c r="I4070" t="str">
        <f>VLOOKUP(Table8[[#This Row],[Mã khách hàng]],'Khách hàng'!A:E,5,0)</f>
        <v>HN0040</v>
      </c>
    </row>
    <row r="4071" spans="1:9">
      <c r="A4071" s="14" t="s">
        <v>13423</v>
      </c>
      <c r="B4071" s="9" t="s">
        <v>5</v>
      </c>
      <c r="C4071" s="76" t="s">
        <v>13431</v>
      </c>
      <c r="D4071" s="21"/>
      <c r="E4071" s="50" t="s">
        <v>11204</v>
      </c>
      <c r="F4071" s="22" t="str">
        <f>VLOOKUP(Table8[[#This Row],[Mã khách hàng]],code_khach_hang[],2,0)</f>
        <v>CHI NHÁNH TUYÊN QUANG - CÔNG TY CỔ PHẦN DỊCH VỤ THƯƠNG MẠI TỔNG HỢP WINCOMMERCE</v>
      </c>
      <c r="G4071" s="16" t="str">
        <f>VLOOKUP(Table8[[#This Row],[Mã khách hàng]],code_khach_hang[],3,0)</f>
        <v>Miền Bắc đặc biệt 2</v>
      </c>
      <c r="H4071" t="str">
        <f>VLOOKUP(Table8[[#This Row],[Mã khách hàng]],'Khách hàng'!A:D,4,0)</f>
        <v>Food Đức Việt</v>
      </c>
      <c r="I4071" t="str">
        <f>VLOOKUP(Table8[[#This Row],[Mã khách hàng]],'Khách hàng'!A:E,5,0)</f>
        <v>HN0040</v>
      </c>
    </row>
    <row r="4072" spans="1:9">
      <c r="A4072" s="14" t="s">
        <v>13424</v>
      </c>
      <c r="B4072" s="9" t="s">
        <v>5</v>
      </c>
      <c r="C4072" s="76" t="s">
        <v>13432</v>
      </c>
      <c r="D4072" s="21"/>
      <c r="E4072" s="50" t="s">
        <v>11215</v>
      </c>
      <c r="F4072" s="22" t="str">
        <f>VLOOKUP(Table8[[#This Row],[Mã khách hàng]],code_khach_hang[],2,0)</f>
        <v>CHI NHÁNH HÀ NỘI - CÔNG TY CỔ PHẦN DỊCH VỤ THƯƠNG MẠI TỔNG HỢP WINCOMMERCE</v>
      </c>
      <c r="G4072" s="16" t="str">
        <f>VLOOKUP(Table8[[#This Row],[Mã khách hàng]],code_khach_hang[],3,0)</f>
        <v>Miền Bắc đặc biệt 1</v>
      </c>
      <c r="H4072" t="str">
        <f>VLOOKUP(Table8[[#This Row],[Mã khách hàng]],'Khách hàng'!A:D,4,0)</f>
        <v>Food Đức Việt</v>
      </c>
      <c r="I4072" t="str">
        <f>VLOOKUP(Table8[[#This Row],[Mã khách hàng]],'Khách hàng'!A:E,5,0)</f>
        <v>HN0040</v>
      </c>
    </row>
    <row r="4073" spans="1:9">
      <c r="A4073" s="14" t="s">
        <v>13425</v>
      </c>
      <c r="B4073" s="9" t="s">
        <v>5</v>
      </c>
      <c r="C4073" s="76" t="s">
        <v>13433</v>
      </c>
      <c r="D4073" s="21"/>
      <c r="E4073" s="50" t="s">
        <v>11215</v>
      </c>
      <c r="F4073" s="22" t="str">
        <f>VLOOKUP(Table8[[#This Row],[Mã khách hàng]],code_khach_hang[],2,0)</f>
        <v>CHI NHÁNH HÀ NỘI - CÔNG TY CỔ PHẦN DỊCH VỤ THƯƠNG MẠI TỔNG HỢP WINCOMMERCE</v>
      </c>
      <c r="G4073" s="16" t="str">
        <f>VLOOKUP(Table8[[#This Row],[Mã khách hàng]],code_khach_hang[],3,0)</f>
        <v>Miền Bắc đặc biệt 1</v>
      </c>
      <c r="H4073" t="str">
        <f>VLOOKUP(Table8[[#This Row],[Mã khách hàng]],'Khách hàng'!A:D,4,0)</f>
        <v>Food Đức Việt</v>
      </c>
      <c r="I4073" t="str">
        <f>VLOOKUP(Table8[[#This Row],[Mã khách hàng]],'Khách hàng'!A:E,5,0)</f>
        <v>HN0040</v>
      </c>
    </row>
    <row r="4074" spans="1:9">
      <c r="A4074" s="49" t="s">
        <v>13434</v>
      </c>
      <c r="B4074" s="9" t="s">
        <v>5</v>
      </c>
      <c r="C4074" s="76" t="s">
        <v>13441</v>
      </c>
      <c r="D4074" s="21"/>
      <c r="E4074" s="50" t="s">
        <v>11193</v>
      </c>
      <c r="F4074" s="22" t="str">
        <f>VLOOKUP(Table8[[#This Row],[Mã khách hàng]],code_khach_hang[],2,0)</f>
        <v>CHI NHÁNH BẮC NINH - CÔNG TY CỔ PHẦN DỊCH VỤ THƯƠNG MẠI TỔNG HỢP WINCOMMERCE</v>
      </c>
      <c r="G4074" s="10" t="str">
        <f>VLOOKUP(Table8[[#This Row],[Mã khách hàng]],code_khach_hang[],3,0)</f>
        <v>Miền Bắc đặc biệt 2</v>
      </c>
      <c r="H4074" t="str">
        <f>VLOOKUP(Table8[[#This Row],[Mã khách hàng]],'Khách hàng'!A:D,4,0)</f>
        <v>Food Đức Việt</v>
      </c>
      <c r="I4074" t="str">
        <f>VLOOKUP(Table8[[#This Row],[Mã khách hàng]],'Khách hàng'!A:E,5,0)</f>
        <v>HN0040</v>
      </c>
    </row>
    <row r="4075" spans="1:9">
      <c r="A4075" s="69" t="s">
        <v>13435</v>
      </c>
      <c r="B4075" s="9" t="s">
        <v>5</v>
      </c>
      <c r="C4075" s="76" t="s">
        <v>13442</v>
      </c>
      <c r="D4075" s="21"/>
      <c r="E4075" s="50" t="s">
        <v>11199</v>
      </c>
      <c r="F4075" s="22" t="str">
        <f>VLOOKUP(Table8[[#This Row],[Mã khách hàng]],code_khach_hang[],2,0)</f>
        <v>CHI NHÁNH PHÚ THỌ - CÔNG TY CỔ PHẦN DỊCH VỤ THƯƠNG MẠI TỔNG HỢP WINCOMMERCE</v>
      </c>
      <c r="G4075" s="16" t="str">
        <f>VLOOKUP(Table8[[#This Row],[Mã khách hàng]],code_khach_hang[],3,0)</f>
        <v>Miền Bắc đặc biệt 1</v>
      </c>
      <c r="H4075" t="str">
        <f>VLOOKUP(Table8[[#This Row],[Mã khách hàng]],'Khách hàng'!A:D,4,0)</f>
        <v>Food Đức Việt</v>
      </c>
      <c r="I4075" t="str">
        <f>VLOOKUP(Table8[[#This Row],[Mã khách hàng]],'Khách hàng'!A:E,5,0)</f>
        <v>HN0040</v>
      </c>
    </row>
    <row r="4076" spans="1:9">
      <c r="A4076" s="69" t="s">
        <v>13436</v>
      </c>
      <c r="B4076" s="9" t="s">
        <v>5</v>
      </c>
      <c r="C4076" s="76" t="s">
        <v>13443</v>
      </c>
      <c r="D4076" s="21"/>
      <c r="E4076" s="50" t="s">
        <v>11215</v>
      </c>
      <c r="F4076" s="22" t="str">
        <f>VLOOKUP(Table8[[#This Row],[Mã khách hàng]],code_khach_hang[],2,0)</f>
        <v>CHI NHÁNH HÀ NỘI - CÔNG TY CỔ PHẦN DỊCH VỤ THƯƠNG MẠI TỔNG HỢP WINCOMMERCE</v>
      </c>
      <c r="G4076" s="16" t="str">
        <f>VLOOKUP(Table8[[#This Row],[Mã khách hàng]],code_khach_hang[],3,0)</f>
        <v>Miền Bắc đặc biệt 1</v>
      </c>
      <c r="H4076" t="str">
        <f>VLOOKUP(Table8[[#This Row],[Mã khách hàng]],'Khách hàng'!A:D,4,0)</f>
        <v>Food Đức Việt</v>
      </c>
      <c r="I4076" t="str">
        <f>VLOOKUP(Table8[[#This Row],[Mã khách hàng]],'Khách hàng'!A:E,5,0)</f>
        <v>HN0040</v>
      </c>
    </row>
    <row r="4077" spans="1:9">
      <c r="A4077" s="69" t="s">
        <v>13437</v>
      </c>
      <c r="B4077" s="9" t="s">
        <v>5</v>
      </c>
      <c r="C4077" s="76" t="s">
        <v>13444</v>
      </c>
      <c r="D4077" s="21"/>
      <c r="E4077" s="50" t="s">
        <v>11199</v>
      </c>
      <c r="F4077" s="22" t="str">
        <f>VLOOKUP(Table8[[#This Row],[Mã khách hàng]],code_khach_hang[],2,0)</f>
        <v>CHI NHÁNH PHÚ THỌ - CÔNG TY CỔ PHẦN DỊCH VỤ THƯƠNG MẠI TỔNG HỢP WINCOMMERCE</v>
      </c>
      <c r="G4077" s="16" t="str">
        <f>VLOOKUP(Table8[[#This Row],[Mã khách hàng]],code_khach_hang[],3,0)</f>
        <v>Miền Bắc đặc biệt 1</v>
      </c>
      <c r="H4077" t="str">
        <f>VLOOKUP(Table8[[#This Row],[Mã khách hàng]],'Khách hàng'!A:D,4,0)</f>
        <v>Food Đức Việt</v>
      </c>
      <c r="I4077" t="str">
        <f>VLOOKUP(Table8[[#This Row],[Mã khách hàng]],'Khách hàng'!A:E,5,0)</f>
        <v>HN0040</v>
      </c>
    </row>
    <row r="4078" spans="1:9">
      <c r="A4078" s="69" t="s">
        <v>13438</v>
      </c>
      <c r="B4078" s="9" t="s">
        <v>5</v>
      </c>
      <c r="C4078" s="76" t="s">
        <v>13445</v>
      </c>
      <c r="D4078" s="21"/>
      <c r="E4078" s="50" t="s">
        <v>11218</v>
      </c>
      <c r="F4078" s="22" t="str">
        <f>VLOOKUP(Table8[[#This Row],[Mã khách hàng]],code_khach_hang[],2,0)</f>
        <v>CHI NHÁNH LÀO CAI - CÔNG TY CỔ PHẦN DỊCH VỤ THƯƠNG MẠI TỔNG HỢP WINCOMMERCE</v>
      </c>
      <c r="G4078" s="16" t="str">
        <f>VLOOKUP(Table8[[#This Row],[Mã khách hàng]],code_khach_hang[],3,0)</f>
        <v>Miền Bắc đặc biệt 1</v>
      </c>
      <c r="H4078" t="str">
        <f>VLOOKUP(Table8[[#This Row],[Mã khách hàng]],'Khách hàng'!A:D,4,0)</f>
        <v>Food Đức Việt</v>
      </c>
      <c r="I4078" t="str">
        <f>VLOOKUP(Table8[[#This Row],[Mã khách hàng]],'Khách hàng'!A:E,5,0)</f>
        <v>HN0040</v>
      </c>
    </row>
    <row r="4079" spans="1:9">
      <c r="A4079" s="69" t="s">
        <v>13439</v>
      </c>
      <c r="B4079" s="9" t="s">
        <v>5</v>
      </c>
      <c r="C4079" s="76" t="s">
        <v>13446</v>
      </c>
      <c r="D4079" s="21"/>
      <c r="E4079" s="50" t="s">
        <v>11216</v>
      </c>
      <c r="F4079" s="22" t="str">
        <f>VLOOKUP(Table8[[#This Row],[Mã khách hàng]],code_khach_hang[],2,0)</f>
        <v>CHI NHÁNH HƯNG YÊN - CÔNG TY CỔ PHẦN DỊCH VỤ THƯƠNG MẠI TỔNG HỢP WINCOMMERCE</v>
      </c>
      <c r="G4079" s="16" t="str">
        <f>VLOOKUP(Table8[[#This Row],[Mã khách hàng]],code_khach_hang[],3,0)</f>
        <v>Miền Bắc đặc biệt 1</v>
      </c>
      <c r="H4079" t="str">
        <f>VLOOKUP(Table8[[#This Row],[Mã khách hàng]],'Khách hàng'!A:D,4,0)</f>
        <v>Food Đức Việt</v>
      </c>
      <c r="I4079" t="str">
        <f>VLOOKUP(Table8[[#This Row],[Mã khách hàng]],'Khách hàng'!A:E,5,0)</f>
        <v>HN0040</v>
      </c>
    </row>
    <row r="4080" spans="1:9">
      <c r="A4080" s="69" t="s">
        <v>13440</v>
      </c>
      <c r="B4080" s="9" t="s">
        <v>5</v>
      </c>
      <c r="C4080" s="76" t="s">
        <v>13447</v>
      </c>
      <c r="D4080" s="21"/>
      <c r="E4080" s="50" t="s">
        <v>11196</v>
      </c>
      <c r="F4080" s="22" t="str">
        <f>VLOOKUP(Table8[[#This Row],[Mã khách hàng]],code_khach_hang[],2,0)</f>
        <v>CHI NHÁNH NINH BÌNH - CÔNG TY CỔ PHẦN DỊCH VỤ THƯƠNG MẠI TỔNG HỢP WINCOMMERCE</v>
      </c>
      <c r="G4080" s="16" t="str">
        <f>VLOOKUP(Table8[[#This Row],[Mã khách hàng]],code_khach_hang[],3,0)</f>
        <v>Miền Bắc đặc biệt 3</v>
      </c>
      <c r="H4080" t="str">
        <f>VLOOKUP(Table8[[#This Row],[Mã khách hàng]],'Khách hàng'!A:D,4,0)</f>
        <v>Food Đức Việt</v>
      </c>
      <c r="I4080" t="str">
        <f>VLOOKUP(Table8[[#This Row],[Mã khách hàng]],'Khách hàng'!A:E,5,0)</f>
        <v>HN0040</v>
      </c>
    </row>
    <row r="4081" spans="1:9">
      <c r="A4081" s="11" t="s">
        <v>13448</v>
      </c>
      <c r="B4081" s="9" t="s">
        <v>5</v>
      </c>
      <c r="C4081" t="s">
        <v>13450</v>
      </c>
      <c r="D4081" s="21"/>
      <c r="E4081" s="37" t="s">
        <v>11215</v>
      </c>
      <c r="F4081" s="22" t="str">
        <f>VLOOKUP(Table8[[#This Row],[Mã khách hàng]],code_khach_hang[],2,0)</f>
        <v>CHI NHÁNH HÀ NỘI - CÔNG TY CỔ PHẦN DỊCH VỤ THƯƠNG MẠI TỔNG HỢP WINCOMMERCE</v>
      </c>
      <c r="G4081" s="10" t="str">
        <f>VLOOKUP(Table8[[#This Row],[Mã khách hàng]],code_khach_hang[],3,0)</f>
        <v>Miền Bắc đặc biệt 1</v>
      </c>
      <c r="H4081" t="str">
        <f>VLOOKUP(Table8[[#This Row],[Mã khách hàng]],'Khách hàng'!A:D,4,0)</f>
        <v>Food Đức Việt</v>
      </c>
      <c r="I4081" t="str">
        <f>VLOOKUP(Table8[[#This Row],[Mã khách hàng]],'Khách hàng'!A:E,5,0)</f>
        <v>HN0040</v>
      </c>
    </row>
    <row r="4082" spans="1:9">
      <c r="A4082" s="14" t="s">
        <v>13449</v>
      </c>
      <c r="B4082" s="9" t="s">
        <v>5</v>
      </c>
      <c r="C4082" t="s">
        <v>13451</v>
      </c>
      <c r="D4082" s="21"/>
      <c r="E4082" s="37" t="s">
        <v>11198</v>
      </c>
      <c r="F4082" s="22" t="str">
        <f>VLOOKUP(Table8[[#This Row],[Mã khách hàng]],code_khach_hang[],2,0)</f>
        <v>CHI NHÁNH HẢI PHÒNG - CÔNG TY CỔ PHẦN DỊCH VỤ THƯƠNG MẠI TỔNG HỢP WINCOMMERCE</v>
      </c>
      <c r="G4082" s="16" t="str">
        <f>VLOOKUP(Table8[[#This Row],[Mã khách hàng]],code_khach_hang[],3,0)</f>
        <v>Miền Bắc đặc biệt 3</v>
      </c>
      <c r="H4082" t="str">
        <f>VLOOKUP(Table8[[#This Row],[Mã khách hàng]],'Khách hàng'!A:D,4,0)</f>
        <v>Food Đức Việt</v>
      </c>
      <c r="I4082" t="str">
        <f>VLOOKUP(Table8[[#This Row],[Mã khách hàng]],'Khách hàng'!A:E,5,0)</f>
        <v>HN0040</v>
      </c>
    </row>
    <row r="4083" spans="1:9">
      <c r="A4083" s="11" t="s">
        <v>13452</v>
      </c>
      <c r="B4083" s="9" t="s">
        <v>5</v>
      </c>
      <c r="C4083" t="s">
        <v>13453</v>
      </c>
      <c r="D4083" s="21"/>
      <c r="E4083" s="48" t="s">
        <v>11207</v>
      </c>
      <c r="F4083" s="22" t="str">
        <f>VLOOKUP(Table8[[#This Row],[Mã khách hàng]],code_khach_hang[],2,0)</f>
        <v>CHI NHÁNH THÁI NGUYÊN - CÔNG TY CỔ PHẦN DỊCH VỤ THƯƠNG MẠI TỔNG HỢP WINCOMMERCE</v>
      </c>
      <c r="G4083" s="10" t="str">
        <f>VLOOKUP(Table8[[#This Row],[Mã khách hàng]],code_khach_hang[],3,0)</f>
        <v>Miền Bắc đặc biệt 2</v>
      </c>
      <c r="H4083" t="str">
        <f>VLOOKUP(Table8[[#This Row],[Mã khách hàng]],'Khách hàng'!A:D,4,0)</f>
        <v>Food Đức Việt</v>
      </c>
      <c r="I4083" t="str">
        <f>VLOOKUP(Table8[[#This Row],[Mã khách hàng]],'Khách hàng'!A:E,5,0)</f>
        <v>HN0040</v>
      </c>
    </row>
    <row r="4084" spans="1:9">
      <c r="A4084" s="11" t="s">
        <v>13457</v>
      </c>
      <c r="B4084" s="9" t="s">
        <v>5</v>
      </c>
      <c r="C4084" t="s">
        <v>13458</v>
      </c>
      <c r="D4084" s="21"/>
      <c r="E4084" s="48" t="s">
        <v>11193</v>
      </c>
      <c r="F4084" s="22" t="str">
        <f>VLOOKUP(Table8[[#This Row],[Mã khách hàng]],code_khach_hang[],2,0)</f>
        <v>CHI NHÁNH BẮC NINH - CÔNG TY CỔ PHẦN DỊCH VỤ THƯƠNG MẠI TỔNG HỢP WINCOMMERCE</v>
      </c>
      <c r="G4084" s="10" t="str">
        <f>VLOOKUP(Table8[[#This Row],[Mã khách hàng]],code_khach_hang[],3,0)</f>
        <v>Miền Bắc đặc biệt 2</v>
      </c>
      <c r="H4084" t="str">
        <f>VLOOKUP(Table8[[#This Row],[Mã khách hàng]],'Khách hàng'!A:D,4,0)</f>
        <v>Food Đức Việt</v>
      </c>
      <c r="I4084" t="str">
        <f>VLOOKUP(Table8[[#This Row],[Mã khách hàng]],'Khách hàng'!A:E,5,0)</f>
        <v>HN0040</v>
      </c>
    </row>
    <row r="4085" spans="1:9">
      <c r="A4085" s="49" t="s">
        <v>13459</v>
      </c>
      <c r="B4085" s="9" t="s">
        <v>5</v>
      </c>
      <c r="C4085" s="76" t="s">
        <v>13469</v>
      </c>
      <c r="D4085" s="21"/>
      <c r="E4085" s="50" t="s">
        <v>11215</v>
      </c>
      <c r="F4085" s="22" t="str">
        <f>VLOOKUP(Table8[[#This Row],[Mã khách hàng]],code_khach_hang[],2,0)</f>
        <v>CHI NHÁNH HÀ NỘI - CÔNG TY CỔ PHẦN DỊCH VỤ THƯƠNG MẠI TỔNG HỢP WINCOMMERCE</v>
      </c>
      <c r="G4085" s="10" t="str">
        <f>VLOOKUP(Table8[[#This Row],[Mã khách hàng]],code_khach_hang[],3,0)</f>
        <v>Miền Bắc đặc biệt 1</v>
      </c>
      <c r="H4085" t="str">
        <f>VLOOKUP(Table8[[#This Row],[Mã khách hàng]],'Khách hàng'!A:D,4,0)</f>
        <v>Food Đức Việt</v>
      </c>
      <c r="I4085" t="str">
        <f>VLOOKUP(Table8[[#This Row],[Mã khách hàng]],'Khách hàng'!A:E,5,0)</f>
        <v>HN0040</v>
      </c>
    </row>
    <row r="4086" spans="1:9">
      <c r="A4086" s="69" t="s">
        <v>13460</v>
      </c>
      <c r="B4086" s="9" t="s">
        <v>5</v>
      </c>
      <c r="C4086" s="76" t="s">
        <v>13470</v>
      </c>
      <c r="D4086" s="21"/>
      <c r="E4086" s="50" t="s">
        <v>11207</v>
      </c>
      <c r="F4086" s="22" t="str">
        <f>VLOOKUP(Table8[[#This Row],[Mã khách hàng]],code_khach_hang[],2,0)</f>
        <v>CHI NHÁNH THÁI NGUYÊN - CÔNG TY CỔ PHẦN DỊCH VỤ THƯƠNG MẠI TỔNG HỢP WINCOMMERCE</v>
      </c>
      <c r="G4086" s="16" t="str">
        <f>VLOOKUP(Table8[[#This Row],[Mã khách hàng]],code_khach_hang[],3,0)</f>
        <v>Miền Bắc đặc biệt 2</v>
      </c>
      <c r="H4086" t="str">
        <f>VLOOKUP(Table8[[#This Row],[Mã khách hàng]],'Khách hàng'!A:D,4,0)</f>
        <v>Food Đức Việt</v>
      </c>
      <c r="I4086" t="str">
        <f>VLOOKUP(Table8[[#This Row],[Mã khách hàng]],'Khách hàng'!A:E,5,0)</f>
        <v>HN0040</v>
      </c>
    </row>
    <row r="4087" spans="1:9">
      <c r="A4087" s="69" t="s">
        <v>13461</v>
      </c>
      <c r="B4087" s="9" t="s">
        <v>5</v>
      </c>
      <c r="C4087" s="76" t="s">
        <v>13471</v>
      </c>
      <c r="D4087" s="21"/>
      <c r="E4087" s="50" t="s">
        <v>11199</v>
      </c>
      <c r="F4087" s="22" t="str">
        <f>VLOOKUP(Table8[[#This Row],[Mã khách hàng]],code_khach_hang[],2,0)</f>
        <v>CHI NHÁNH PHÚ THỌ - CÔNG TY CỔ PHẦN DỊCH VỤ THƯƠNG MẠI TỔNG HỢP WINCOMMERCE</v>
      </c>
      <c r="G4087" s="16" t="str">
        <f>VLOOKUP(Table8[[#This Row],[Mã khách hàng]],code_khach_hang[],3,0)</f>
        <v>Miền Bắc đặc biệt 1</v>
      </c>
      <c r="H4087" t="str">
        <f>VLOOKUP(Table8[[#This Row],[Mã khách hàng]],'Khách hàng'!A:D,4,0)</f>
        <v>Food Đức Việt</v>
      </c>
      <c r="I4087" t="str">
        <f>VLOOKUP(Table8[[#This Row],[Mã khách hàng]],'Khách hàng'!A:E,5,0)</f>
        <v>HN0040</v>
      </c>
    </row>
    <row r="4088" spans="1:9">
      <c r="A4088" s="69" t="s">
        <v>13462</v>
      </c>
      <c r="B4088" s="9" t="s">
        <v>5</v>
      </c>
      <c r="C4088" s="76" t="s">
        <v>13472</v>
      </c>
      <c r="D4088" s="21"/>
      <c r="E4088" s="50" t="s">
        <v>11199</v>
      </c>
      <c r="F4088" s="22" t="str">
        <f>VLOOKUP(Table8[[#This Row],[Mã khách hàng]],code_khach_hang[],2,0)</f>
        <v>CHI NHÁNH PHÚ THỌ - CÔNG TY CỔ PHẦN DỊCH VỤ THƯƠNG MẠI TỔNG HỢP WINCOMMERCE</v>
      </c>
      <c r="G4088" s="16" t="str">
        <f>VLOOKUP(Table8[[#This Row],[Mã khách hàng]],code_khach_hang[],3,0)</f>
        <v>Miền Bắc đặc biệt 1</v>
      </c>
      <c r="H4088" t="str">
        <f>VLOOKUP(Table8[[#This Row],[Mã khách hàng]],'Khách hàng'!A:D,4,0)</f>
        <v>Food Đức Việt</v>
      </c>
      <c r="I4088" t="str">
        <f>VLOOKUP(Table8[[#This Row],[Mã khách hàng]],'Khách hàng'!A:E,5,0)</f>
        <v>HN0040</v>
      </c>
    </row>
    <row r="4089" spans="1:9">
      <c r="A4089" s="69" t="s">
        <v>13463</v>
      </c>
      <c r="B4089" s="9" t="s">
        <v>5</v>
      </c>
      <c r="C4089" s="76" t="s">
        <v>13473</v>
      </c>
      <c r="D4089" s="21"/>
      <c r="E4089" s="50" t="s">
        <v>11216</v>
      </c>
      <c r="F4089" s="22" t="str">
        <f>VLOOKUP(Table8[[#This Row],[Mã khách hàng]],code_khach_hang[],2,0)</f>
        <v>CHI NHÁNH HƯNG YÊN - CÔNG TY CỔ PHẦN DỊCH VỤ THƯƠNG MẠI TỔNG HỢP WINCOMMERCE</v>
      </c>
      <c r="G4089" s="16" t="str">
        <f>VLOOKUP(Table8[[#This Row],[Mã khách hàng]],code_khach_hang[],3,0)</f>
        <v>Miền Bắc đặc biệt 1</v>
      </c>
      <c r="H4089" t="str">
        <f>VLOOKUP(Table8[[#This Row],[Mã khách hàng]],'Khách hàng'!A:D,4,0)</f>
        <v>Food Đức Việt</v>
      </c>
      <c r="I4089" t="str">
        <f>VLOOKUP(Table8[[#This Row],[Mã khách hàng]],'Khách hàng'!A:E,5,0)</f>
        <v>HN0040</v>
      </c>
    </row>
    <row r="4090" spans="1:9">
      <c r="A4090" s="69" t="s">
        <v>13464</v>
      </c>
      <c r="B4090" s="9" t="s">
        <v>5</v>
      </c>
      <c r="C4090" s="76" t="s">
        <v>13474</v>
      </c>
      <c r="D4090" s="21"/>
      <c r="E4090" s="50" t="s">
        <v>11215</v>
      </c>
      <c r="F4090" s="22" t="str">
        <f>VLOOKUP(Table8[[#This Row],[Mã khách hàng]],code_khach_hang[],2,0)</f>
        <v>CHI NHÁNH HÀ NỘI - CÔNG TY CỔ PHẦN DỊCH VỤ THƯƠNG MẠI TỔNG HỢP WINCOMMERCE</v>
      </c>
      <c r="G4090" s="16" t="str">
        <f>VLOOKUP(Table8[[#This Row],[Mã khách hàng]],code_khach_hang[],3,0)</f>
        <v>Miền Bắc đặc biệt 1</v>
      </c>
      <c r="H4090" t="str">
        <f>VLOOKUP(Table8[[#This Row],[Mã khách hàng]],'Khách hàng'!A:D,4,0)</f>
        <v>Food Đức Việt</v>
      </c>
      <c r="I4090" t="str">
        <f>VLOOKUP(Table8[[#This Row],[Mã khách hàng]],'Khách hàng'!A:E,5,0)</f>
        <v>HN0040</v>
      </c>
    </row>
    <row r="4091" spans="1:9">
      <c r="A4091" s="69" t="s">
        <v>13465</v>
      </c>
      <c r="B4091" s="9" t="s">
        <v>5</v>
      </c>
      <c r="C4091" s="76" t="s">
        <v>13475</v>
      </c>
      <c r="D4091" s="21"/>
      <c r="E4091" s="50" t="s">
        <v>11215</v>
      </c>
      <c r="F4091" s="22" t="str">
        <f>VLOOKUP(Table8[[#This Row],[Mã khách hàng]],code_khach_hang[],2,0)</f>
        <v>CHI NHÁNH HÀ NỘI - CÔNG TY CỔ PHẦN DỊCH VỤ THƯƠNG MẠI TỔNG HỢP WINCOMMERCE</v>
      </c>
      <c r="G4091" s="16" t="str">
        <f>VLOOKUP(Table8[[#This Row],[Mã khách hàng]],code_khach_hang[],3,0)</f>
        <v>Miền Bắc đặc biệt 1</v>
      </c>
      <c r="H4091" t="str">
        <f>VLOOKUP(Table8[[#This Row],[Mã khách hàng]],'Khách hàng'!A:D,4,0)</f>
        <v>Food Đức Việt</v>
      </c>
      <c r="I4091" t="str">
        <f>VLOOKUP(Table8[[#This Row],[Mã khách hàng]],'Khách hàng'!A:E,5,0)</f>
        <v>HN0040</v>
      </c>
    </row>
    <row r="4092" spans="1:9">
      <c r="A4092" s="69" t="s">
        <v>13466</v>
      </c>
      <c r="B4092" s="9" t="s">
        <v>5</v>
      </c>
      <c r="C4092" s="76" t="s">
        <v>13476</v>
      </c>
      <c r="D4092" s="21"/>
      <c r="E4092" s="50" t="s">
        <v>11206</v>
      </c>
      <c r="F4092" s="22" t="str">
        <f>VLOOKUP(Table8[[#This Row],[Mã khách hàng]],code_khach_hang[],2,0)</f>
        <v>CHI NHÁNH SƠN LA - CÔNG TY CỔ PHẦN DỊCH VỤ THƯƠNG MẠI TỔNG HỢP WINCOMMERCE</v>
      </c>
      <c r="G4092" s="16" t="str">
        <f>VLOOKUP(Table8[[#This Row],[Mã khách hàng]],code_khach_hang[],3,0)</f>
        <v>Miền Bắc đặc biệt 1</v>
      </c>
      <c r="H4092" t="str">
        <f>VLOOKUP(Table8[[#This Row],[Mã khách hàng]],'Khách hàng'!A:D,4,0)</f>
        <v>Food Đức Việt</v>
      </c>
      <c r="I4092" t="str">
        <f>VLOOKUP(Table8[[#This Row],[Mã khách hàng]],'Khách hàng'!A:E,5,0)</f>
        <v>HN0040</v>
      </c>
    </row>
    <row r="4093" spans="1:9">
      <c r="A4093" s="69" t="s">
        <v>13467</v>
      </c>
      <c r="B4093" s="9" t="s">
        <v>5</v>
      </c>
      <c r="C4093" s="76" t="s">
        <v>13477</v>
      </c>
      <c r="D4093" s="21"/>
      <c r="E4093" s="50" t="s">
        <v>11216</v>
      </c>
      <c r="F4093" s="22" t="str">
        <f>VLOOKUP(Table8[[#This Row],[Mã khách hàng]],code_khach_hang[],2,0)</f>
        <v>CHI NHÁNH HƯNG YÊN - CÔNG TY CỔ PHẦN DỊCH VỤ THƯƠNG MẠI TỔNG HỢP WINCOMMERCE</v>
      </c>
      <c r="G4093" s="16" t="str">
        <f>VLOOKUP(Table8[[#This Row],[Mã khách hàng]],code_khach_hang[],3,0)</f>
        <v>Miền Bắc đặc biệt 1</v>
      </c>
      <c r="H4093" t="str">
        <f>VLOOKUP(Table8[[#This Row],[Mã khách hàng]],'Khách hàng'!A:D,4,0)</f>
        <v>Food Đức Việt</v>
      </c>
      <c r="I4093" t="str">
        <f>VLOOKUP(Table8[[#This Row],[Mã khách hàng]],'Khách hàng'!A:E,5,0)</f>
        <v>HN0040</v>
      </c>
    </row>
    <row r="4094" spans="1:9">
      <c r="A4094" s="69" t="s">
        <v>13468</v>
      </c>
      <c r="B4094" s="9" t="s">
        <v>5</v>
      </c>
      <c r="C4094" s="76" t="s">
        <v>13478</v>
      </c>
      <c r="D4094" s="21"/>
      <c r="E4094" s="50" t="s">
        <v>11196</v>
      </c>
      <c r="F4094" s="22" t="str">
        <f>VLOOKUP(Table8[[#This Row],[Mã khách hàng]],code_khach_hang[],2,0)</f>
        <v>CHI NHÁNH NINH BÌNH - CÔNG TY CỔ PHẦN DỊCH VỤ THƯƠNG MẠI TỔNG HỢP WINCOMMERCE</v>
      </c>
      <c r="G4094" s="16" t="str">
        <f>VLOOKUP(Table8[[#This Row],[Mã khách hàng]],code_khach_hang[],3,0)</f>
        <v>Miền Bắc đặc biệt 3</v>
      </c>
      <c r="H4094" t="str">
        <f>VLOOKUP(Table8[[#This Row],[Mã khách hàng]],'Khách hàng'!A:D,4,0)</f>
        <v>Food Đức Việt</v>
      </c>
      <c r="I4094" t="str">
        <f>VLOOKUP(Table8[[#This Row],[Mã khách hàng]],'Khách hàng'!A:E,5,0)</f>
        <v>HN0040</v>
      </c>
    </row>
    <row r="4095" spans="1:9">
      <c r="A4095" s="11" t="s">
        <v>13479</v>
      </c>
      <c r="B4095" s="9" t="s">
        <v>5</v>
      </c>
      <c r="C4095" t="s">
        <v>13480</v>
      </c>
      <c r="D4095" s="21"/>
      <c r="E4095" s="50" t="s">
        <v>11204</v>
      </c>
      <c r="F4095" s="22" t="str">
        <f>VLOOKUP(Table8[[#This Row],[Mã khách hàng]],code_khach_hang[],2,0)</f>
        <v>CHI NHÁNH TUYÊN QUANG - CÔNG TY CỔ PHẦN DỊCH VỤ THƯƠNG MẠI TỔNG HỢP WINCOMMERCE</v>
      </c>
      <c r="G4095" s="10" t="str">
        <f>VLOOKUP(Table8[[#This Row],[Mã khách hàng]],code_khach_hang[],3,0)</f>
        <v>Miền Bắc đặc biệt 2</v>
      </c>
      <c r="H4095" t="str">
        <f>VLOOKUP(Table8[[#This Row],[Mã khách hàng]],'Khách hàng'!A:D,4,0)</f>
        <v>Food Đức Việt</v>
      </c>
      <c r="I4095" t="str">
        <f>VLOOKUP(Table8[[#This Row],[Mã khách hàng]],'Khách hàng'!A:E,5,0)</f>
        <v>HN0040</v>
      </c>
    </row>
    <row r="4096" spans="1:9">
      <c r="A4096" s="49" t="s">
        <v>13481</v>
      </c>
      <c r="B4096" s="9" t="s">
        <v>5</v>
      </c>
      <c r="C4096" s="76" t="s">
        <v>13500</v>
      </c>
      <c r="D4096" s="21"/>
      <c r="E4096" s="50" t="s">
        <v>11199</v>
      </c>
      <c r="F4096" s="22" t="str">
        <f>VLOOKUP(Table8[[#This Row],[Mã khách hàng]],code_khach_hang[],2,0)</f>
        <v>CHI NHÁNH PHÚ THỌ - CÔNG TY CỔ PHẦN DỊCH VỤ THƯƠNG MẠI TỔNG HỢP WINCOMMERCE</v>
      </c>
      <c r="G4096" s="10" t="str">
        <f>VLOOKUP(Table8[[#This Row],[Mã khách hàng]],code_khach_hang[],3,0)</f>
        <v>Miền Bắc đặc biệt 1</v>
      </c>
      <c r="H4096" t="str">
        <f>VLOOKUP(Table8[[#This Row],[Mã khách hàng]],'Khách hàng'!A:D,4,0)</f>
        <v>Food Đức Việt</v>
      </c>
      <c r="I4096" t="str">
        <f>VLOOKUP(Table8[[#This Row],[Mã khách hàng]],'Khách hàng'!A:E,5,0)</f>
        <v>HN0040</v>
      </c>
    </row>
    <row r="4097" spans="1:9">
      <c r="A4097" s="69" t="s">
        <v>13482</v>
      </c>
      <c r="B4097" s="9" t="s">
        <v>5</v>
      </c>
      <c r="C4097" s="76" t="s">
        <v>13501</v>
      </c>
      <c r="D4097" s="21"/>
      <c r="E4097" s="50" t="s">
        <v>11193</v>
      </c>
      <c r="F4097" s="22" t="str">
        <f>VLOOKUP(Table8[[#This Row],[Mã khách hàng]],code_khach_hang[],2,0)</f>
        <v>CHI NHÁNH BẮC NINH - CÔNG TY CỔ PHẦN DỊCH VỤ THƯƠNG MẠI TỔNG HỢP WINCOMMERCE</v>
      </c>
      <c r="G4097" s="16" t="str">
        <f>VLOOKUP(Table8[[#This Row],[Mã khách hàng]],code_khach_hang[],3,0)</f>
        <v>Miền Bắc đặc biệt 2</v>
      </c>
      <c r="H4097" t="str">
        <f>VLOOKUP(Table8[[#This Row],[Mã khách hàng]],'Khách hàng'!A:D,4,0)</f>
        <v>Food Đức Việt</v>
      </c>
      <c r="I4097" t="str">
        <f>VLOOKUP(Table8[[#This Row],[Mã khách hàng]],'Khách hàng'!A:E,5,0)</f>
        <v>HN0040</v>
      </c>
    </row>
    <row r="4098" spans="1:9">
      <c r="A4098" s="69" t="s">
        <v>13483</v>
      </c>
      <c r="B4098" s="9" t="s">
        <v>5</v>
      </c>
      <c r="C4098" s="76" t="s">
        <v>13502</v>
      </c>
      <c r="D4098" s="21"/>
      <c r="E4098" s="50" t="s">
        <v>11204</v>
      </c>
      <c r="F4098" s="22" t="str">
        <f>VLOOKUP(Table8[[#This Row],[Mã khách hàng]],code_khach_hang[],2,0)</f>
        <v>CHI NHÁNH TUYÊN QUANG - CÔNG TY CỔ PHẦN DỊCH VỤ THƯƠNG MẠI TỔNG HỢP WINCOMMERCE</v>
      </c>
      <c r="G4098" s="16" t="str">
        <f>VLOOKUP(Table8[[#This Row],[Mã khách hàng]],code_khach_hang[],3,0)</f>
        <v>Miền Bắc đặc biệt 2</v>
      </c>
      <c r="H4098" t="str">
        <f>VLOOKUP(Table8[[#This Row],[Mã khách hàng]],'Khách hàng'!A:D,4,0)</f>
        <v>Food Đức Việt</v>
      </c>
      <c r="I4098" t="str">
        <f>VLOOKUP(Table8[[#This Row],[Mã khách hàng]],'Khách hàng'!A:E,5,0)</f>
        <v>HN0040</v>
      </c>
    </row>
    <row r="4099" spans="1:9">
      <c r="A4099" s="69" t="s">
        <v>13484</v>
      </c>
      <c r="B4099" s="9" t="s">
        <v>5</v>
      </c>
      <c r="C4099" s="76" t="s">
        <v>13503</v>
      </c>
      <c r="D4099" s="21"/>
      <c r="E4099" s="50" t="s">
        <v>11215</v>
      </c>
      <c r="F4099" s="22" t="str">
        <f>VLOOKUP(Table8[[#This Row],[Mã khách hàng]],code_khach_hang[],2,0)</f>
        <v>CHI NHÁNH HÀ NỘI - CÔNG TY CỔ PHẦN DỊCH VỤ THƯƠNG MẠI TỔNG HỢP WINCOMMERCE</v>
      </c>
      <c r="G4099" s="16" t="str">
        <f>VLOOKUP(Table8[[#This Row],[Mã khách hàng]],code_khach_hang[],3,0)</f>
        <v>Miền Bắc đặc biệt 1</v>
      </c>
      <c r="H4099" t="str">
        <f>VLOOKUP(Table8[[#This Row],[Mã khách hàng]],'Khách hàng'!A:D,4,0)</f>
        <v>Food Đức Việt</v>
      </c>
      <c r="I4099" t="str">
        <f>VLOOKUP(Table8[[#This Row],[Mã khách hàng]],'Khách hàng'!A:E,5,0)</f>
        <v>HN0040</v>
      </c>
    </row>
    <row r="4100" spans="1:9">
      <c r="A4100" s="69" t="s">
        <v>13485</v>
      </c>
      <c r="B4100" s="9" t="s">
        <v>5</v>
      </c>
      <c r="C4100" s="76" t="s">
        <v>13504</v>
      </c>
      <c r="D4100" s="21"/>
      <c r="E4100" s="50" t="s">
        <v>11215</v>
      </c>
      <c r="F4100" s="22" t="str">
        <f>VLOOKUP(Table8[[#This Row],[Mã khách hàng]],code_khach_hang[],2,0)</f>
        <v>CHI NHÁNH HÀ NỘI - CÔNG TY CỔ PHẦN DỊCH VỤ THƯƠNG MẠI TỔNG HỢP WINCOMMERCE</v>
      </c>
      <c r="G4100" s="16" t="str">
        <f>VLOOKUP(Table8[[#This Row],[Mã khách hàng]],code_khach_hang[],3,0)</f>
        <v>Miền Bắc đặc biệt 1</v>
      </c>
      <c r="H4100" t="str">
        <f>VLOOKUP(Table8[[#This Row],[Mã khách hàng]],'Khách hàng'!A:D,4,0)</f>
        <v>Food Đức Việt</v>
      </c>
      <c r="I4100" t="str">
        <f>VLOOKUP(Table8[[#This Row],[Mã khách hàng]],'Khách hàng'!A:E,5,0)</f>
        <v>HN0040</v>
      </c>
    </row>
    <row r="4101" spans="1:9">
      <c r="A4101" s="69" t="s">
        <v>13486</v>
      </c>
      <c r="B4101" s="9" t="s">
        <v>5</v>
      </c>
      <c r="C4101" s="76" t="s">
        <v>13505</v>
      </c>
      <c r="D4101" s="21"/>
      <c r="E4101" s="50" t="s">
        <v>11215</v>
      </c>
      <c r="F4101" s="22" t="str">
        <f>VLOOKUP(Table8[[#This Row],[Mã khách hàng]],code_khach_hang[],2,0)</f>
        <v>CHI NHÁNH HÀ NỘI - CÔNG TY CỔ PHẦN DỊCH VỤ THƯƠNG MẠI TỔNG HỢP WINCOMMERCE</v>
      </c>
      <c r="G4101" s="16" t="str">
        <f>VLOOKUP(Table8[[#This Row],[Mã khách hàng]],code_khach_hang[],3,0)</f>
        <v>Miền Bắc đặc biệt 1</v>
      </c>
      <c r="H4101" t="str">
        <f>VLOOKUP(Table8[[#This Row],[Mã khách hàng]],'Khách hàng'!A:D,4,0)</f>
        <v>Food Đức Việt</v>
      </c>
      <c r="I4101" t="str">
        <f>VLOOKUP(Table8[[#This Row],[Mã khách hàng]],'Khách hàng'!A:E,5,0)</f>
        <v>HN0040</v>
      </c>
    </row>
    <row r="4102" spans="1:9">
      <c r="A4102" s="69" t="s">
        <v>13487</v>
      </c>
      <c r="B4102" s="9" t="s">
        <v>5</v>
      </c>
      <c r="C4102" s="76" t="s">
        <v>13506</v>
      </c>
      <c r="D4102" s="21"/>
      <c r="E4102" s="50" t="s">
        <v>11215</v>
      </c>
      <c r="F4102" s="22" t="str">
        <f>VLOOKUP(Table8[[#This Row],[Mã khách hàng]],code_khach_hang[],2,0)</f>
        <v>CHI NHÁNH HÀ NỘI - CÔNG TY CỔ PHẦN DỊCH VỤ THƯƠNG MẠI TỔNG HỢP WINCOMMERCE</v>
      </c>
      <c r="G4102" s="16" t="str">
        <f>VLOOKUP(Table8[[#This Row],[Mã khách hàng]],code_khach_hang[],3,0)</f>
        <v>Miền Bắc đặc biệt 1</v>
      </c>
      <c r="H4102" t="str">
        <f>VLOOKUP(Table8[[#This Row],[Mã khách hàng]],'Khách hàng'!A:D,4,0)</f>
        <v>Food Đức Việt</v>
      </c>
      <c r="I4102" t="str">
        <f>VLOOKUP(Table8[[#This Row],[Mã khách hàng]],'Khách hàng'!A:E,5,0)</f>
        <v>HN0040</v>
      </c>
    </row>
    <row r="4103" spans="1:9">
      <c r="A4103" s="69" t="s">
        <v>13488</v>
      </c>
      <c r="B4103" s="9" t="s">
        <v>5</v>
      </c>
      <c r="C4103" s="76" t="s">
        <v>13507</v>
      </c>
      <c r="D4103" s="21"/>
      <c r="E4103" s="50" t="s">
        <v>11198</v>
      </c>
      <c r="F4103" s="22" t="str">
        <f>VLOOKUP(Table8[[#This Row],[Mã khách hàng]],code_khach_hang[],2,0)</f>
        <v>CHI NHÁNH HẢI PHÒNG - CÔNG TY CỔ PHẦN DỊCH VỤ THƯƠNG MẠI TỔNG HỢP WINCOMMERCE</v>
      </c>
      <c r="G4103" s="16" t="str">
        <f>VLOOKUP(Table8[[#This Row],[Mã khách hàng]],code_khach_hang[],3,0)</f>
        <v>Miền Bắc đặc biệt 3</v>
      </c>
      <c r="H4103" t="str">
        <f>VLOOKUP(Table8[[#This Row],[Mã khách hàng]],'Khách hàng'!A:D,4,0)</f>
        <v>Food Đức Việt</v>
      </c>
      <c r="I4103" t="str">
        <f>VLOOKUP(Table8[[#This Row],[Mã khách hàng]],'Khách hàng'!A:E,5,0)</f>
        <v>HN0040</v>
      </c>
    </row>
    <row r="4104" spans="1:9">
      <c r="A4104" s="69" t="s">
        <v>13489</v>
      </c>
      <c r="B4104" s="9" t="s">
        <v>5</v>
      </c>
      <c r="C4104" s="76" t="s">
        <v>13508</v>
      </c>
      <c r="D4104" s="21"/>
      <c r="E4104" s="50" t="s">
        <v>11199</v>
      </c>
      <c r="F4104" s="22" t="str">
        <f>VLOOKUP(Table8[[#This Row],[Mã khách hàng]],code_khach_hang[],2,0)</f>
        <v>CHI NHÁNH PHÚ THỌ - CÔNG TY CỔ PHẦN DỊCH VỤ THƯƠNG MẠI TỔNG HỢP WINCOMMERCE</v>
      </c>
      <c r="G4104" s="16" t="str">
        <f>VLOOKUP(Table8[[#This Row],[Mã khách hàng]],code_khach_hang[],3,0)</f>
        <v>Miền Bắc đặc biệt 1</v>
      </c>
      <c r="H4104" t="str">
        <f>VLOOKUP(Table8[[#This Row],[Mã khách hàng]],'Khách hàng'!A:D,4,0)</f>
        <v>Food Đức Việt</v>
      </c>
      <c r="I4104" t="str">
        <f>VLOOKUP(Table8[[#This Row],[Mã khách hàng]],'Khách hàng'!A:E,5,0)</f>
        <v>HN0040</v>
      </c>
    </row>
    <row r="4105" spans="1:9">
      <c r="A4105" s="69" t="s">
        <v>13490</v>
      </c>
      <c r="B4105" s="9" t="s">
        <v>5</v>
      </c>
      <c r="C4105" s="76" t="s">
        <v>13509</v>
      </c>
      <c r="D4105" s="21"/>
      <c r="E4105" s="50" t="s">
        <v>11199</v>
      </c>
      <c r="F4105" s="22" t="str">
        <f>VLOOKUP(Table8[[#This Row],[Mã khách hàng]],code_khach_hang[],2,0)</f>
        <v>CHI NHÁNH PHÚ THỌ - CÔNG TY CỔ PHẦN DỊCH VỤ THƯƠNG MẠI TỔNG HỢP WINCOMMERCE</v>
      </c>
      <c r="G4105" s="16" t="str">
        <f>VLOOKUP(Table8[[#This Row],[Mã khách hàng]],code_khach_hang[],3,0)</f>
        <v>Miền Bắc đặc biệt 1</v>
      </c>
      <c r="H4105" t="str">
        <f>VLOOKUP(Table8[[#This Row],[Mã khách hàng]],'Khách hàng'!A:D,4,0)</f>
        <v>Food Đức Việt</v>
      </c>
      <c r="I4105" t="str">
        <f>VLOOKUP(Table8[[#This Row],[Mã khách hàng]],'Khách hàng'!A:E,5,0)</f>
        <v>HN0040</v>
      </c>
    </row>
    <row r="4106" spans="1:9">
      <c r="A4106" s="69" t="s">
        <v>13491</v>
      </c>
      <c r="B4106" s="9" t="s">
        <v>5</v>
      </c>
      <c r="C4106" s="76" t="s">
        <v>13510</v>
      </c>
      <c r="D4106" s="21"/>
      <c r="E4106" s="50" t="s">
        <v>11221</v>
      </c>
      <c r="F4106" s="22" t="str">
        <f>VLOOKUP(Table8[[#This Row],[Mã khách hàng]],code_khach_hang[],2,0)</f>
        <v>CHI NHÁNH ĐIỆN BIÊN - CÔNG TY CỔ PHẦN DỊCH VỤ THƯƠNG MẠI TỔNG HỢP WINCOMMERCE</v>
      </c>
      <c r="G4106" s="16" t="str">
        <f>VLOOKUP(Table8[[#This Row],[Mã khách hàng]],code_khach_hang[],3,0)</f>
        <v>Miền Bắc đặc biệt 1</v>
      </c>
      <c r="H4106" t="str">
        <f>VLOOKUP(Table8[[#This Row],[Mã khách hàng]],'Khách hàng'!A:D,4,0)</f>
        <v>Food Đức Việt</v>
      </c>
      <c r="I4106" t="str">
        <f>VLOOKUP(Table8[[#This Row],[Mã khách hàng]],'Khách hàng'!A:E,5,0)</f>
        <v>HN0040</v>
      </c>
    </row>
    <row r="4107" spans="1:9">
      <c r="A4107" s="69" t="s">
        <v>13492</v>
      </c>
      <c r="B4107" s="9" t="s">
        <v>5</v>
      </c>
      <c r="C4107" s="76" t="s">
        <v>13511</v>
      </c>
      <c r="D4107" s="21"/>
      <c r="E4107" s="50" t="s">
        <v>11198</v>
      </c>
      <c r="F4107" s="22" t="str">
        <f>VLOOKUP(Table8[[#This Row],[Mã khách hàng]],code_khach_hang[],2,0)</f>
        <v>CHI NHÁNH HẢI PHÒNG - CÔNG TY CỔ PHẦN DỊCH VỤ THƯƠNG MẠI TỔNG HỢP WINCOMMERCE</v>
      </c>
      <c r="G4107" s="16" t="str">
        <f>VLOOKUP(Table8[[#This Row],[Mã khách hàng]],code_khach_hang[],3,0)</f>
        <v>Miền Bắc đặc biệt 3</v>
      </c>
      <c r="H4107" t="str">
        <f>VLOOKUP(Table8[[#This Row],[Mã khách hàng]],'Khách hàng'!A:D,4,0)</f>
        <v>Food Đức Việt</v>
      </c>
      <c r="I4107" t="str">
        <f>VLOOKUP(Table8[[#This Row],[Mã khách hàng]],'Khách hàng'!A:E,5,0)</f>
        <v>HN0040</v>
      </c>
    </row>
    <row r="4108" spans="1:9">
      <c r="A4108" s="69" t="s">
        <v>13493</v>
      </c>
      <c r="B4108" s="9" t="s">
        <v>5</v>
      </c>
      <c r="C4108" s="76" t="s">
        <v>13512</v>
      </c>
      <c r="D4108" s="21"/>
      <c r="E4108" s="50" t="s">
        <v>11198</v>
      </c>
      <c r="F4108" s="22" t="str">
        <f>VLOOKUP(Table8[[#This Row],[Mã khách hàng]],code_khach_hang[],2,0)</f>
        <v>CHI NHÁNH HẢI PHÒNG - CÔNG TY CỔ PHẦN DỊCH VỤ THƯƠNG MẠI TỔNG HỢP WINCOMMERCE</v>
      </c>
      <c r="G4108" s="16" t="str">
        <f>VLOOKUP(Table8[[#This Row],[Mã khách hàng]],code_khach_hang[],3,0)</f>
        <v>Miền Bắc đặc biệt 3</v>
      </c>
      <c r="H4108" t="str">
        <f>VLOOKUP(Table8[[#This Row],[Mã khách hàng]],'Khách hàng'!A:D,4,0)</f>
        <v>Food Đức Việt</v>
      </c>
      <c r="I4108" t="str">
        <f>VLOOKUP(Table8[[#This Row],[Mã khách hàng]],'Khách hàng'!A:E,5,0)</f>
        <v>HN0040</v>
      </c>
    </row>
    <row r="4109" spans="1:9">
      <c r="A4109" s="69" t="s">
        <v>13494</v>
      </c>
      <c r="B4109" s="9" t="s">
        <v>5</v>
      </c>
      <c r="C4109" s="76" t="s">
        <v>13513</v>
      </c>
      <c r="D4109" s="21"/>
      <c r="E4109" s="50" t="s">
        <v>11196</v>
      </c>
      <c r="F4109" s="22" t="str">
        <f>VLOOKUP(Table8[[#This Row],[Mã khách hàng]],code_khach_hang[],2,0)</f>
        <v>CHI NHÁNH NINH BÌNH - CÔNG TY CỔ PHẦN DỊCH VỤ THƯƠNG MẠI TỔNG HỢP WINCOMMERCE</v>
      </c>
      <c r="G4109" s="16" t="str">
        <f>VLOOKUP(Table8[[#This Row],[Mã khách hàng]],code_khach_hang[],3,0)</f>
        <v>Miền Bắc đặc biệt 3</v>
      </c>
      <c r="H4109" t="str">
        <f>VLOOKUP(Table8[[#This Row],[Mã khách hàng]],'Khách hàng'!A:D,4,0)</f>
        <v>Food Đức Việt</v>
      </c>
      <c r="I4109" t="str">
        <f>VLOOKUP(Table8[[#This Row],[Mã khách hàng]],'Khách hàng'!A:E,5,0)</f>
        <v>HN0040</v>
      </c>
    </row>
    <row r="4110" spans="1:9">
      <c r="A4110" s="69" t="s">
        <v>13495</v>
      </c>
      <c r="B4110" s="9" t="s">
        <v>5</v>
      </c>
      <c r="C4110" s="76" t="s">
        <v>13514</v>
      </c>
      <c r="D4110" s="21"/>
      <c r="E4110" s="50" t="s">
        <v>11196</v>
      </c>
      <c r="F4110" s="22" t="str">
        <f>VLOOKUP(Table8[[#This Row],[Mã khách hàng]],code_khach_hang[],2,0)</f>
        <v>CHI NHÁNH NINH BÌNH - CÔNG TY CỔ PHẦN DỊCH VỤ THƯƠNG MẠI TỔNG HỢP WINCOMMERCE</v>
      </c>
      <c r="G4110" s="16" t="str">
        <f>VLOOKUP(Table8[[#This Row],[Mã khách hàng]],code_khach_hang[],3,0)</f>
        <v>Miền Bắc đặc biệt 3</v>
      </c>
      <c r="H4110" t="str">
        <f>VLOOKUP(Table8[[#This Row],[Mã khách hàng]],'Khách hàng'!A:D,4,0)</f>
        <v>Food Đức Việt</v>
      </c>
      <c r="I4110" t="str">
        <f>VLOOKUP(Table8[[#This Row],[Mã khách hàng]],'Khách hàng'!A:E,5,0)</f>
        <v>HN0040</v>
      </c>
    </row>
    <row r="4111" spans="1:9">
      <c r="A4111" s="69" t="s">
        <v>13496</v>
      </c>
      <c r="B4111" s="9" t="s">
        <v>5</v>
      </c>
      <c r="C4111" s="76" t="s">
        <v>13515</v>
      </c>
      <c r="D4111" s="21"/>
      <c r="E4111" s="50" t="s">
        <v>11208</v>
      </c>
      <c r="F4111" s="22" t="str">
        <f>VLOOKUP(Table8[[#This Row],[Mã khách hàng]],code_khach_hang[],2,0)</f>
        <v>CHI NHÁNH LẠNG SƠN - CÔNG TY CỔ PHẦN DỊCH VỤ THƯƠNG MẠI TỔNG HỢP WINCOMMERCE</v>
      </c>
      <c r="G4111" s="16" t="str">
        <f>VLOOKUP(Table8[[#This Row],[Mã khách hàng]],code_khach_hang[],3,0)</f>
        <v>Miền Bắc đặc biệt 2</v>
      </c>
      <c r="H4111" t="str">
        <f>VLOOKUP(Table8[[#This Row],[Mã khách hàng]],'Khách hàng'!A:D,4,0)</f>
        <v>Food Đức Việt</v>
      </c>
      <c r="I4111" t="str">
        <f>VLOOKUP(Table8[[#This Row],[Mã khách hàng]],'Khách hàng'!A:E,5,0)</f>
        <v>HN0040</v>
      </c>
    </row>
    <row r="4112" spans="1:9">
      <c r="A4112" s="69" t="s">
        <v>13497</v>
      </c>
      <c r="B4112" s="9" t="s">
        <v>5</v>
      </c>
      <c r="C4112" s="76" t="s">
        <v>13516</v>
      </c>
      <c r="D4112" s="21"/>
      <c r="E4112" s="50" t="s">
        <v>11199</v>
      </c>
      <c r="F4112" s="22" t="str">
        <f>VLOOKUP(Table8[[#This Row],[Mã khách hàng]],code_khach_hang[],2,0)</f>
        <v>CHI NHÁNH PHÚ THỌ - CÔNG TY CỔ PHẦN DỊCH VỤ THƯƠNG MẠI TỔNG HỢP WINCOMMERCE</v>
      </c>
      <c r="G4112" s="16" t="str">
        <f>VLOOKUP(Table8[[#This Row],[Mã khách hàng]],code_khach_hang[],3,0)</f>
        <v>Miền Bắc đặc biệt 1</v>
      </c>
      <c r="H4112" t="str">
        <f>VLOOKUP(Table8[[#This Row],[Mã khách hàng]],'Khách hàng'!A:D,4,0)</f>
        <v>Food Đức Việt</v>
      </c>
      <c r="I4112" t="str">
        <f>VLOOKUP(Table8[[#This Row],[Mã khách hàng]],'Khách hàng'!A:E,5,0)</f>
        <v>HN0040</v>
      </c>
    </row>
    <row r="4113" spans="1:9">
      <c r="A4113" s="69" t="s">
        <v>13498</v>
      </c>
      <c r="B4113" s="9" t="s">
        <v>5</v>
      </c>
      <c r="C4113" s="76" t="s">
        <v>13517</v>
      </c>
      <c r="D4113" s="21"/>
      <c r="E4113" s="50" t="s">
        <v>11198</v>
      </c>
      <c r="F4113" s="22" t="str">
        <f>VLOOKUP(Table8[[#This Row],[Mã khách hàng]],code_khach_hang[],2,0)</f>
        <v>CHI NHÁNH HẢI PHÒNG - CÔNG TY CỔ PHẦN DỊCH VỤ THƯƠNG MẠI TỔNG HỢP WINCOMMERCE</v>
      </c>
      <c r="G4113" s="16" t="str">
        <f>VLOOKUP(Table8[[#This Row],[Mã khách hàng]],code_khach_hang[],3,0)</f>
        <v>Miền Bắc đặc biệt 3</v>
      </c>
      <c r="H4113" t="str">
        <f>VLOOKUP(Table8[[#This Row],[Mã khách hàng]],'Khách hàng'!A:D,4,0)</f>
        <v>Food Đức Việt</v>
      </c>
      <c r="I4113" t="str">
        <f>VLOOKUP(Table8[[#This Row],[Mã khách hàng]],'Khách hàng'!A:E,5,0)</f>
        <v>HN0040</v>
      </c>
    </row>
    <row r="4114" spans="1:9">
      <c r="A4114" s="69" t="s">
        <v>13499</v>
      </c>
      <c r="B4114" s="9" t="s">
        <v>5</v>
      </c>
      <c r="C4114" s="76" t="s">
        <v>13518</v>
      </c>
      <c r="D4114" s="21"/>
      <c r="E4114" s="50" t="s">
        <v>11193</v>
      </c>
      <c r="F4114" s="22" t="str">
        <f>VLOOKUP(Table8[[#This Row],[Mã khách hàng]],code_khach_hang[],2,0)</f>
        <v>CHI NHÁNH BẮC NINH - CÔNG TY CỔ PHẦN DỊCH VỤ THƯƠNG MẠI TỔNG HỢP WINCOMMERCE</v>
      </c>
      <c r="G4114" s="16" t="str">
        <f>VLOOKUP(Table8[[#This Row],[Mã khách hàng]],code_khach_hang[],3,0)</f>
        <v>Miền Bắc đặc biệt 2</v>
      </c>
      <c r="H4114" t="str">
        <f>VLOOKUP(Table8[[#This Row],[Mã khách hàng]],'Khách hàng'!A:D,4,0)</f>
        <v>Food Đức Việt</v>
      </c>
      <c r="I4114" t="str">
        <f>VLOOKUP(Table8[[#This Row],[Mã khách hàng]],'Khách hàng'!A:E,5,0)</f>
        <v>HN0040</v>
      </c>
    </row>
    <row r="4115" spans="1:9">
      <c r="A4115" s="11" t="s">
        <v>13519</v>
      </c>
      <c r="B4115" s="9" t="s">
        <v>5</v>
      </c>
      <c r="C4115" t="s">
        <v>13520</v>
      </c>
      <c r="D4115" s="21"/>
      <c r="E4115" s="50" t="s">
        <v>11198</v>
      </c>
      <c r="F4115" s="22" t="str">
        <f>VLOOKUP(Table8[[#This Row],[Mã khách hàng]],code_khach_hang[],2,0)</f>
        <v>CHI NHÁNH HẢI PHÒNG - CÔNG TY CỔ PHẦN DỊCH VỤ THƯƠNG MẠI TỔNG HỢP WINCOMMERCE</v>
      </c>
      <c r="G4115" s="10" t="str">
        <f>VLOOKUP(Table8[[#This Row],[Mã khách hàng]],code_khach_hang[],3,0)</f>
        <v>Miền Bắc đặc biệt 3</v>
      </c>
      <c r="H4115" t="str">
        <f>VLOOKUP(Table8[[#This Row],[Mã khách hàng]],'Khách hàng'!A:D,4,0)</f>
        <v>Food Đức Việt</v>
      </c>
      <c r="I4115" t="str">
        <f>VLOOKUP(Table8[[#This Row],[Mã khách hàng]],'Khách hàng'!A:E,5,0)</f>
        <v>HN0040</v>
      </c>
    </row>
    <row r="4116" spans="1:9">
      <c r="A4116" s="49" t="s">
        <v>13532</v>
      </c>
      <c r="B4116" s="9" t="s">
        <v>5</v>
      </c>
      <c r="C4116" s="76" t="s">
        <v>13570</v>
      </c>
      <c r="D4116" s="21"/>
      <c r="E4116" s="50" t="s">
        <v>11215</v>
      </c>
      <c r="F4116" s="22" t="str">
        <f>VLOOKUP(Table8[[#This Row],[Mã khách hàng]],code_khach_hang[],2,0)</f>
        <v>CHI NHÁNH HÀ NỘI - CÔNG TY CỔ PHẦN DỊCH VỤ THƯƠNG MẠI TỔNG HỢP WINCOMMERCE</v>
      </c>
      <c r="G4116" s="10" t="str">
        <f>VLOOKUP(Table8[[#This Row],[Mã khách hàng]],code_khach_hang[],3,0)</f>
        <v>Miền Bắc đặc biệt 1</v>
      </c>
      <c r="H4116" t="str">
        <f>VLOOKUP(Table8[[#This Row],[Mã khách hàng]],'Khách hàng'!A:D,4,0)</f>
        <v>Food Đức Việt</v>
      </c>
      <c r="I4116" t="str">
        <f>VLOOKUP(Table8[[#This Row],[Mã khách hàng]],'Khách hàng'!A:E,5,0)</f>
        <v>HN0040</v>
      </c>
    </row>
    <row r="4117" spans="1:9">
      <c r="A4117" s="69" t="s">
        <v>13533</v>
      </c>
      <c r="B4117" s="9" t="s">
        <v>5</v>
      </c>
      <c r="C4117" s="76" t="s">
        <v>13571</v>
      </c>
      <c r="D4117" s="21"/>
      <c r="E4117" s="50" t="s">
        <v>11198</v>
      </c>
      <c r="F4117" s="22" t="str">
        <f>VLOOKUP(Table8[[#This Row],[Mã khách hàng]],code_khach_hang[],2,0)</f>
        <v>CHI NHÁNH HẢI PHÒNG - CÔNG TY CỔ PHẦN DỊCH VỤ THƯƠNG MẠI TỔNG HỢP WINCOMMERCE</v>
      </c>
      <c r="G4117" s="16" t="str">
        <f>VLOOKUP(Table8[[#This Row],[Mã khách hàng]],code_khach_hang[],3,0)</f>
        <v>Miền Bắc đặc biệt 3</v>
      </c>
      <c r="H4117" t="str">
        <f>VLOOKUP(Table8[[#This Row],[Mã khách hàng]],'Khách hàng'!A:D,4,0)</f>
        <v>Food Đức Việt</v>
      </c>
      <c r="I4117" t="str">
        <f>VLOOKUP(Table8[[#This Row],[Mã khách hàng]],'Khách hàng'!A:E,5,0)</f>
        <v>HN0040</v>
      </c>
    </row>
    <row r="4118" spans="1:9">
      <c r="A4118" s="69" t="s">
        <v>13534</v>
      </c>
      <c r="B4118" s="9" t="s">
        <v>5</v>
      </c>
      <c r="C4118" s="76" t="s">
        <v>13572</v>
      </c>
      <c r="D4118" s="21"/>
      <c r="E4118" s="50" t="s">
        <v>11215</v>
      </c>
      <c r="F4118" s="22" t="str">
        <f>VLOOKUP(Table8[[#This Row],[Mã khách hàng]],code_khach_hang[],2,0)</f>
        <v>CHI NHÁNH HÀ NỘI - CÔNG TY CỔ PHẦN DỊCH VỤ THƯƠNG MẠI TỔNG HỢP WINCOMMERCE</v>
      </c>
      <c r="G4118" s="16" t="str">
        <f>VLOOKUP(Table8[[#This Row],[Mã khách hàng]],code_khach_hang[],3,0)</f>
        <v>Miền Bắc đặc biệt 1</v>
      </c>
      <c r="H4118" t="str">
        <f>VLOOKUP(Table8[[#This Row],[Mã khách hàng]],'Khách hàng'!A:D,4,0)</f>
        <v>Food Đức Việt</v>
      </c>
      <c r="I4118" t="str">
        <f>VLOOKUP(Table8[[#This Row],[Mã khách hàng]],'Khách hàng'!A:E,5,0)</f>
        <v>HN0040</v>
      </c>
    </row>
    <row r="4119" spans="1:9">
      <c r="A4119" s="69" t="s">
        <v>13535</v>
      </c>
      <c r="B4119" s="9" t="s">
        <v>5</v>
      </c>
      <c r="C4119" s="76" t="s">
        <v>13573</v>
      </c>
      <c r="D4119" s="21"/>
      <c r="E4119" s="50" t="s">
        <v>11206</v>
      </c>
      <c r="F4119" s="22" t="str">
        <f>VLOOKUP(Table8[[#This Row],[Mã khách hàng]],code_khach_hang[],2,0)</f>
        <v>CHI NHÁNH SƠN LA - CÔNG TY CỔ PHẦN DỊCH VỤ THƯƠNG MẠI TỔNG HỢP WINCOMMERCE</v>
      </c>
      <c r="G4119" s="16" t="str">
        <f>VLOOKUP(Table8[[#This Row],[Mã khách hàng]],code_khach_hang[],3,0)</f>
        <v>Miền Bắc đặc biệt 1</v>
      </c>
      <c r="H4119" t="str">
        <f>VLOOKUP(Table8[[#This Row],[Mã khách hàng]],'Khách hàng'!A:D,4,0)</f>
        <v>Food Đức Việt</v>
      </c>
      <c r="I4119" t="str">
        <f>VLOOKUP(Table8[[#This Row],[Mã khách hàng]],'Khách hàng'!A:E,5,0)</f>
        <v>HN0040</v>
      </c>
    </row>
    <row r="4120" spans="1:9">
      <c r="A4120" s="69" t="s">
        <v>13536</v>
      </c>
      <c r="B4120" s="9" t="s">
        <v>5</v>
      </c>
      <c r="C4120" s="76" t="s">
        <v>13574</v>
      </c>
      <c r="D4120" s="21"/>
      <c r="E4120" s="50" t="s">
        <v>11215</v>
      </c>
      <c r="F4120" s="22" t="str">
        <f>VLOOKUP(Table8[[#This Row],[Mã khách hàng]],code_khach_hang[],2,0)</f>
        <v>CHI NHÁNH HÀ NỘI - CÔNG TY CỔ PHẦN DỊCH VỤ THƯƠNG MẠI TỔNG HỢP WINCOMMERCE</v>
      </c>
      <c r="G4120" s="16" t="str">
        <f>VLOOKUP(Table8[[#This Row],[Mã khách hàng]],code_khach_hang[],3,0)</f>
        <v>Miền Bắc đặc biệt 1</v>
      </c>
      <c r="H4120" t="str">
        <f>VLOOKUP(Table8[[#This Row],[Mã khách hàng]],'Khách hàng'!A:D,4,0)</f>
        <v>Food Đức Việt</v>
      </c>
      <c r="I4120" t="str">
        <f>VLOOKUP(Table8[[#This Row],[Mã khách hàng]],'Khách hàng'!A:E,5,0)</f>
        <v>HN0040</v>
      </c>
    </row>
    <row r="4121" spans="1:9">
      <c r="A4121" s="69" t="s">
        <v>13537</v>
      </c>
      <c r="B4121" s="9" t="s">
        <v>5</v>
      </c>
      <c r="C4121" s="76" t="s">
        <v>13575</v>
      </c>
      <c r="D4121" s="21"/>
      <c r="E4121" s="50" t="s">
        <v>11215</v>
      </c>
      <c r="F4121" s="22" t="str">
        <f>VLOOKUP(Table8[[#This Row],[Mã khách hàng]],code_khach_hang[],2,0)</f>
        <v>CHI NHÁNH HÀ NỘI - CÔNG TY CỔ PHẦN DỊCH VỤ THƯƠNG MẠI TỔNG HỢP WINCOMMERCE</v>
      </c>
      <c r="G4121" s="16" t="str">
        <f>VLOOKUP(Table8[[#This Row],[Mã khách hàng]],code_khach_hang[],3,0)</f>
        <v>Miền Bắc đặc biệt 1</v>
      </c>
      <c r="H4121" t="str">
        <f>VLOOKUP(Table8[[#This Row],[Mã khách hàng]],'Khách hàng'!A:D,4,0)</f>
        <v>Food Đức Việt</v>
      </c>
      <c r="I4121" t="str">
        <f>VLOOKUP(Table8[[#This Row],[Mã khách hàng]],'Khách hàng'!A:E,5,0)</f>
        <v>HN0040</v>
      </c>
    </row>
    <row r="4122" spans="1:9">
      <c r="A4122" s="69" t="s">
        <v>13538</v>
      </c>
      <c r="B4122" s="9" t="s">
        <v>5</v>
      </c>
      <c r="C4122" s="76" t="s">
        <v>13576</v>
      </c>
      <c r="D4122" s="21"/>
      <c r="E4122" s="50" t="s">
        <v>11218</v>
      </c>
      <c r="F4122" s="22" t="str">
        <f>VLOOKUP(Table8[[#This Row],[Mã khách hàng]],code_khach_hang[],2,0)</f>
        <v>CHI NHÁNH LÀO CAI - CÔNG TY CỔ PHẦN DỊCH VỤ THƯƠNG MẠI TỔNG HỢP WINCOMMERCE</v>
      </c>
      <c r="G4122" s="16" t="str">
        <f>VLOOKUP(Table8[[#This Row],[Mã khách hàng]],code_khach_hang[],3,0)</f>
        <v>Miền Bắc đặc biệt 1</v>
      </c>
      <c r="H4122" t="str">
        <f>VLOOKUP(Table8[[#This Row],[Mã khách hàng]],'Khách hàng'!A:D,4,0)</f>
        <v>Food Đức Việt</v>
      </c>
      <c r="I4122" t="str">
        <f>VLOOKUP(Table8[[#This Row],[Mã khách hàng]],'Khách hàng'!A:E,5,0)</f>
        <v>HN0040</v>
      </c>
    </row>
    <row r="4123" spans="1:9">
      <c r="A4123" s="69" t="s">
        <v>13539</v>
      </c>
      <c r="B4123" s="9" t="s">
        <v>5</v>
      </c>
      <c r="C4123" s="76" t="s">
        <v>13577</v>
      </c>
      <c r="D4123" s="21"/>
      <c r="E4123" s="50" t="s">
        <v>11206</v>
      </c>
      <c r="F4123" s="22" t="str">
        <f>VLOOKUP(Table8[[#This Row],[Mã khách hàng]],code_khach_hang[],2,0)</f>
        <v>CHI NHÁNH SƠN LA - CÔNG TY CỔ PHẦN DỊCH VỤ THƯƠNG MẠI TỔNG HỢP WINCOMMERCE</v>
      </c>
      <c r="G4123" s="16" t="str">
        <f>VLOOKUP(Table8[[#This Row],[Mã khách hàng]],code_khach_hang[],3,0)</f>
        <v>Miền Bắc đặc biệt 1</v>
      </c>
      <c r="H4123" t="str">
        <f>VLOOKUP(Table8[[#This Row],[Mã khách hàng]],'Khách hàng'!A:D,4,0)</f>
        <v>Food Đức Việt</v>
      </c>
      <c r="I4123" t="str">
        <f>VLOOKUP(Table8[[#This Row],[Mã khách hàng]],'Khách hàng'!A:E,5,0)</f>
        <v>HN0040</v>
      </c>
    </row>
    <row r="4124" spans="1:9">
      <c r="A4124" s="69" t="s">
        <v>13540</v>
      </c>
      <c r="B4124" s="9" t="s">
        <v>5</v>
      </c>
      <c r="C4124" s="76" t="s">
        <v>13578</v>
      </c>
      <c r="D4124" s="21"/>
      <c r="E4124" s="50" t="s">
        <v>11196</v>
      </c>
      <c r="F4124" s="22" t="str">
        <f>VLOOKUP(Table8[[#This Row],[Mã khách hàng]],code_khach_hang[],2,0)</f>
        <v>CHI NHÁNH NINH BÌNH - CÔNG TY CỔ PHẦN DỊCH VỤ THƯƠNG MẠI TỔNG HỢP WINCOMMERCE</v>
      </c>
      <c r="G4124" s="16" t="str">
        <f>VLOOKUP(Table8[[#This Row],[Mã khách hàng]],code_khach_hang[],3,0)</f>
        <v>Miền Bắc đặc biệt 3</v>
      </c>
      <c r="H4124" t="str">
        <f>VLOOKUP(Table8[[#This Row],[Mã khách hàng]],'Khách hàng'!A:D,4,0)</f>
        <v>Food Đức Việt</v>
      </c>
      <c r="I4124" t="str">
        <f>VLOOKUP(Table8[[#This Row],[Mã khách hàng]],'Khách hàng'!A:E,5,0)</f>
        <v>HN0040</v>
      </c>
    </row>
    <row r="4125" spans="1:9">
      <c r="A4125" s="69" t="s">
        <v>13541</v>
      </c>
      <c r="B4125" s="9" t="s">
        <v>5</v>
      </c>
      <c r="C4125" s="76" t="s">
        <v>13579</v>
      </c>
      <c r="D4125" s="21"/>
      <c r="E4125" s="50" t="s">
        <v>11196</v>
      </c>
      <c r="F4125" s="22" t="str">
        <f>VLOOKUP(Table8[[#This Row],[Mã khách hàng]],code_khach_hang[],2,0)</f>
        <v>CHI NHÁNH NINH BÌNH - CÔNG TY CỔ PHẦN DỊCH VỤ THƯƠNG MẠI TỔNG HỢP WINCOMMERCE</v>
      </c>
      <c r="G4125" s="16" t="str">
        <f>VLOOKUP(Table8[[#This Row],[Mã khách hàng]],code_khach_hang[],3,0)</f>
        <v>Miền Bắc đặc biệt 3</v>
      </c>
      <c r="H4125" t="str">
        <f>VLOOKUP(Table8[[#This Row],[Mã khách hàng]],'Khách hàng'!A:D,4,0)</f>
        <v>Food Đức Việt</v>
      </c>
      <c r="I4125" t="str">
        <f>VLOOKUP(Table8[[#This Row],[Mã khách hàng]],'Khách hàng'!A:E,5,0)</f>
        <v>HN0040</v>
      </c>
    </row>
    <row r="4126" spans="1:9">
      <c r="A4126" s="69" t="s">
        <v>13542</v>
      </c>
      <c r="B4126" s="9" t="s">
        <v>5</v>
      </c>
      <c r="C4126" s="76" t="s">
        <v>13580</v>
      </c>
      <c r="D4126" s="21"/>
      <c r="E4126" s="50" t="s">
        <v>11215</v>
      </c>
      <c r="F4126" s="22" t="str">
        <f>VLOOKUP(Table8[[#This Row],[Mã khách hàng]],code_khach_hang[],2,0)</f>
        <v>CHI NHÁNH HÀ NỘI - CÔNG TY CỔ PHẦN DỊCH VỤ THƯƠNG MẠI TỔNG HỢP WINCOMMERCE</v>
      </c>
      <c r="G4126" s="16" t="str">
        <f>VLOOKUP(Table8[[#This Row],[Mã khách hàng]],code_khach_hang[],3,0)</f>
        <v>Miền Bắc đặc biệt 1</v>
      </c>
      <c r="H4126" t="str">
        <f>VLOOKUP(Table8[[#This Row],[Mã khách hàng]],'Khách hàng'!A:D,4,0)</f>
        <v>Food Đức Việt</v>
      </c>
      <c r="I4126" t="str">
        <f>VLOOKUP(Table8[[#This Row],[Mã khách hàng]],'Khách hàng'!A:E,5,0)</f>
        <v>HN0040</v>
      </c>
    </row>
    <row r="4127" spans="1:9">
      <c r="A4127" s="69" t="s">
        <v>13543</v>
      </c>
      <c r="B4127" s="9" t="s">
        <v>5</v>
      </c>
      <c r="C4127" s="76" t="s">
        <v>13581</v>
      </c>
      <c r="D4127" s="21"/>
      <c r="E4127" s="50" t="s">
        <v>11199</v>
      </c>
      <c r="F4127" s="22" t="str">
        <f>VLOOKUP(Table8[[#This Row],[Mã khách hàng]],code_khach_hang[],2,0)</f>
        <v>CHI NHÁNH PHÚ THỌ - CÔNG TY CỔ PHẦN DỊCH VỤ THƯƠNG MẠI TỔNG HỢP WINCOMMERCE</v>
      </c>
      <c r="G4127" s="16" t="str">
        <f>VLOOKUP(Table8[[#This Row],[Mã khách hàng]],code_khach_hang[],3,0)</f>
        <v>Miền Bắc đặc biệt 1</v>
      </c>
      <c r="H4127" t="str">
        <f>VLOOKUP(Table8[[#This Row],[Mã khách hàng]],'Khách hàng'!A:D,4,0)</f>
        <v>Food Đức Việt</v>
      </c>
      <c r="I4127" t="str">
        <f>VLOOKUP(Table8[[#This Row],[Mã khách hàng]],'Khách hàng'!A:E,5,0)</f>
        <v>HN0040</v>
      </c>
    </row>
    <row r="4128" spans="1:9">
      <c r="A4128" s="69" t="s">
        <v>13544</v>
      </c>
      <c r="B4128" s="9" t="s">
        <v>5</v>
      </c>
      <c r="C4128" s="76" t="s">
        <v>13582</v>
      </c>
      <c r="D4128" s="21"/>
      <c r="E4128" s="50" t="s">
        <v>11215</v>
      </c>
      <c r="F4128" s="22" t="str">
        <f>VLOOKUP(Table8[[#This Row],[Mã khách hàng]],code_khach_hang[],2,0)</f>
        <v>CHI NHÁNH HÀ NỘI - CÔNG TY CỔ PHẦN DỊCH VỤ THƯƠNG MẠI TỔNG HỢP WINCOMMERCE</v>
      </c>
      <c r="G4128" s="16" t="str">
        <f>VLOOKUP(Table8[[#This Row],[Mã khách hàng]],code_khach_hang[],3,0)</f>
        <v>Miền Bắc đặc biệt 1</v>
      </c>
      <c r="H4128" t="str">
        <f>VLOOKUP(Table8[[#This Row],[Mã khách hàng]],'Khách hàng'!A:D,4,0)</f>
        <v>Food Đức Việt</v>
      </c>
      <c r="I4128" t="str">
        <f>VLOOKUP(Table8[[#This Row],[Mã khách hàng]],'Khách hàng'!A:E,5,0)</f>
        <v>HN0040</v>
      </c>
    </row>
    <row r="4129" spans="1:9">
      <c r="A4129" s="69" t="s">
        <v>13545</v>
      </c>
      <c r="B4129" s="9" t="s">
        <v>5</v>
      </c>
      <c r="C4129" s="76" t="s">
        <v>13583</v>
      </c>
      <c r="D4129" s="21"/>
      <c r="E4129" s="50" t="s">
        <v>11199</v>
      </c>
      <c r="F4129" s="22" t="str">
        <f>VLOOKUP(Table8[[#This Row],[Mã khách hàng]],code_khach_hang[],2,0)</f>
        <v>CHI NHÁNH PHÚ THỌ - CÔNG TY CỔ PHẦN DỊCH VỤ THƯƠNG MẠI TỔNG HỢP WINCOMMERCE</v>
      </c>
      <c r="G4129" s="16" t="str">
        <f>VLOOKUP(Table8[[#This Row],[Mã khách hàng]],code_khach_hang[],3,0)</f>
        <v>Miền Bắc đặc biệt 1</v>
      </c>
      <c r="H4129" t="str">
        <f>VLOOKUP(Table8[[#This Row],[Mã khách hàng]],'Khách hàng'!A:D,4,0)</f>
        <v>Food Đức Việt</v>
      </c>
      <c r="I4129" t="str">
        <f>VLOOKUP(Table8[[#This Row],[Mã khách hàng]],'Khách hàng'!A:E,5,0)</f>
        <v>HN0040</v>
      </c>
    </row>
    <row r="4130" spans="1:9">
      <c r="A4130" s="69" t="s">
        <v>13546</v>
      </c>
      <c r="B4130" s="9" t="s">
        <v>5</v>
      </c>
      <c r="C4130" s="76" t="s">
        <v>13584</v>
      </c>
      <c r="D4130" s="21"/>
      <c r="E4130" s="50" t="s">
        <v>11197</v>
      </c>
      <c r="F4130" s="22" t="str">
        <f>VLOOKUP(Table8[[#This Row],[Mã khách hàng]],code_khach_hang[],2,0)</f>
        <v>CHI NHÁNH QUẢNG NINH - CÔNG TY CỔ PHẦN DỊCH VỤ THƯƠNG MẠI TỔNG HỢP WINCOMMERCE</v>
      </c>
      <c r="G4130" s="16" t="str">
        <f>VLOOKUP(Table8[[#This Row],[Mã khách hàng]],code_khach_hang[],3,0)</f>
        <v>Miền Bắc đặc biệt 3</v>
      </c>
      <c r="H4130" t="str">
        <f>VLOOKUP(Table8[[#This Row],[Mã khách hàng]],'Khách hàng'!A:D,4,0)</f>
        <v>Food Đức Việt</v>
      </c>
      <c r="I4130" t="str">
        <f>VLOOKUP(Table8[[#This Row],[Mã khách hàng]],'Khách hàng'!A:E,5,0)</f>
        <v>HN0040</v>
      </c>
    </row>
    <row r="4131" spans="1:9">
      <c r="A4131" s="69" t="s">
        <v>13547</v>
      </c>
      <c r="B4131" s="9" t="s">
        <v>5</v>
      </c>
      <c r="C4131" s="76" t="s">
        <v>13585</v>
      </c>
      <c r="D4131" s="21"/>
      <c r="E4131" s="50" t="s">
        <v>11215</v>
      </c>
      <c r="F4131" s="22" t="str">
        <f>VLOOKUP(Table8[[#This Row],[Mã khách hàng]],code_khach_hang[],2,0)</f>
        <v>CHI NHÁNH HÀ NỘI - CÔNG TY CỔ PHẦN DỊCH VỤ THƯƠNG MẠI TỔNG HỢP WINCOMMERCE</v>
      </c>
      <c r="G4131" s="16" t="str">
        <f>VLOOKUP(Table8[[#This Row],[Mã khách hàng]],code_khach_hang[],3,0)</f>
        <v>Miền Bắc đặc biệt 1</v>
      </c>
      <c r="H4131" t="str">
        <f>VLOOKUP(Table8[[#This Row],[Mã khách hàng]],'Khách hàng'!A:D,4,0)</f>
        <v>Food Đức Việt</v>
      </c>
      <c r="I4131" t="str">
        <f>VLOOKUP(Table8[[#This Row],[Mã khách hàng]],'Khách hàng'!A:E,5,0)</f>
        <v>HN0040</v>
      </c>
    </row>
    <row r="4132" spans="1:9">
      <c r="A4132" s="69" t="s">
        <v>13548</v>
      </c>
      <c r="B4132" s="9" t="s">
        <v>5</v>
      </c>
      <c r="C4132" s="76" t="s">
        <v>13586</v>
      </c>
      <c r="D4132" s="21"/>
      <c r="E4132" s="50" t="s">
        <v>11207</v>
      </c>
      <c r="F4132" s="22" t="str">
        <f>VLOOKUP(Table8[[#This Row],[Mã khách hàng]],code_khach_hang[],2,0)</f>
        <v>CHI NHÁNH THÁI NGUYÊN - CÔNG TY CỔ PHẦN DỊCH VỤ THƯƠNG MẠI TỔNG HỢP WINCOMMERCE</v>
      </c>
      <c r="G4132" s="16" t="str">
        <f>VLOOKUP(Table8[[#This Row],[Mã khách hàng]],code_khach_hang[],3,0)</f>
        <v>Miền Bắc đặc biệt 2</v>
      </c>
      <c r="H4132" t="str">
        <f>VLOOKUP(Table8[[#This Row],[Mã khách hàng]],'Khách hàng'!A:D,4,0)</f>
        <v>Food Đức Việt</v>
      </c>
      <c r="I4132" t="str">
        <f>VLOOKUP(Table8[[#This Row],[Mã khách hàng]],'Khách hàng'!A:E,5,0)</f>
        <v>HN0040</v>
      </c>
    </row>
    <row r="4133" spans="1:9">
      <c r="A4133" s="69" t="s">
        <v>13549</v>
      </c>
      <c r="B4133" s="9" t="s">
        <v>5</v>
      </c>
      <c r="C4133" s="76" t="s">
        <v>13587</v>
      </c>
      <c r="D4133" s="21"/>
      <c r="E4133" s="50" t="s">
        <v>11218</v>
      </c>
      <c r="F4133" s="22" t="str">
        <f>VLOOKUP(Table8[[#This Row],[Mã khách hàng]],code_khach_hang[],2,0)</f>
        <v>CHI NHÁNH LÀO CAI - CÔNG TY CỔ PHẦN DỊCH VỤ THƯƠNG MẠI TỔNG HỢP WINCOMMERCE</v>
      </c>
      <c r="G4133" s="16" t="str">
        <f>VLOOKUP(Table8[[#This Row],[Mã khách hàng]],code_khach_hang[],3,0)</f>
        <v>Miền Bắc đặc biệt 1</v>
      </c>
      <c r="H4133" t="str">
        <f>VLOOKUP(Table8[[#This Row],[Mã khách hàng]],'Khách hàng'!A:D,4,0)</f>
        <v>Food Đức Việt</v>
      </c>
      <c r="I4133" t="str">
        <f>VLOOKUP(Table8[[#This Row],[Mã khách hàng]],'Khách hàng'!A:E,5,0)</f>
        <v>HN0040</v>
      </c>
    </row>
    <row r="4134" spans="1:9">
      <c r="A4134" s="69" t="s">
        <v>13550</v>
      </c>
      <c r="B4134" s="9" t="s">
        <v>5</v>
      </c>
      <c r="C4134" s="76" t="s">
        <v>13588</v>
      </c>
      <c r="D4134" s="21"/>
      <c r="E4134" s="50" t="s">
        <v>11204</v>
      </c>
      <c r="F4134" s="22" t="str">
        <f>VLOOKUP(Table8[[#This Row],[Mã khách hàng]],code_khach_hang[],2,0)</f>
        <v>CHI NHÁNH TUYÊN QUANG - CÔNG TY CỔ PHẦN DỊCH VỤ THƯƠNG MẠI TỔNG HỢP WINCOMMERCE</v>
      </c>
      <c r="G4134" s="16" t="str">
        <f>VLOOKUP(Table8[[#This Row],[Mã khách hàng]],code_khach_hang[],3,0)</f>
        <v>Miền Bắc đặc biệt 2</v>
      </c>
      <c r="H4134" t="str">
        <f>VLOOKUP(Table8[[#This Row],[Mã khách hàng]],'Khách hàng'!A:D,4,0)</f>
        <v>Food Đức Việt</v>
      </c>
      <c r="I4134" t="str">
        <f>VLOOKUP(Table8[[#This Row],[Mã khách hàng]],'Khách hàng'!A:E,5,0)</f>
        <v>HN0040</v>
      </c>
    </row>
    <row r="4135" spans="1:9">
      <c r="A4135" s="69" t="s">
        <v>13551</v>
      </c>
      <c r="B4135" s="9" t="s">
        <v>5</v>
      </c>
      <c r="C4135" s="76" t="s">
        <v>13589</v>
      </c>
      <c r="D4135" s="21"/>
      <c r="E4135" s="50" t="s">
        <v>11198</v>
      </c>
      <c r="F4135" s="22" t="str">
        <f>VLOOKUP(Table8[[#This Row],[Mã khách hàng]],code_khach_hang[],2,0)</f>
        <v>CHI NHÁNH HẢI PHÒNG - CÔNG TY CỔ PHẦN DỊCH VỤ THƯƠNG MẠI TỔNG HỢP WINCOMMERCE</v>
      </c>
      <c r="G4135" s="16" t="str">
        <f>VLOOKUP(Table8[[#This Row],[Mã khách hàng]],code_khach_hang[],3,0)</f>
        <v>Miền Bắc đặc biệt 3</v>
      </c>
      <c r="H4135" t="str">
        <f>VLOOKUP(Table8[[#This Row],[Mã khách hàng]],'Khách hàng'!A:D,4,0)</f>
        <v>Food Đức Việt</v>
      </c>
      <c r="I4135" t="str">
        <f>VLOOKUP(Table8[[#This Row],[Mã khách hàng]],'Khách hàng'!A:E,5,0)</f>
        <v>HN0040</v>
      </c>
    </row>
    <row r="4136" spans="1:9">
      <c r="A4136" s="69" t="s">
        <v>13552</v>
      </c>
      <c r="B4136" s="9" t="s">
        <v>5</v>
      </c>
      <c r="C4136" s="76" t="s">
        <v>13590</v>
      </c>
      <c r="D4136" s="21"/>
      <c r="E4136" s="50" t="s">
        <v>11204</v>
      </c>
      <c r="F4136" s="22" t="str">
        <f>VLOOKUP(Table8[[#This Row],[Mã khách hàng]],code_khach_hang[],2,0)</f>
        <v>CHI NHÁNH TUYÊN QUANG - CÔNG TY CỔ PHẦN DỊCH VỤ THƯƠNG MẠI TỔNG HỢP WINCOMMERCE</v>
      </c>
      <c r="G4136" s="16" t="str">
        <f>VLOOKUP(Table8[[#This Row],[Mã khách hàng]],code_khach_hang[],3,0)</f>
        <v>Miền Bắc đặc biệt 2</v>
      </c>
      <c r="H4136" t="str">
        <f>VLOOKUP(Table8[[#This Row],[Mã khách hàng]],'Khách hàng'!A:D,4,0)</f>
        <v>Food Đức Việt</v>
      </c>
      <c r="I4136" t="str">
        <f>VLOOKUP(Table8[[#This Row],[Mã khách hàng]],'Khách hàng'!A:E,5,0)</f>
        <v>HN0040</v>
      </c>
    </row>
    <row r="4137" spans="1:9">
      <c r="A4137" s="69" t="s">
        <v>13553</v>
      </c>
      <c r="B4137" s="9" t="s">
        <v>5</v>
      </c>
      <c r="C4137" s="76" t="s">
        <v>13591</v>
      </c>
      <c r="D4137" s="21"/>
      <c r="E4137" s="50" t="s">
        <v>11199</v>
      </c>
      <c r="F4137" s="22" t="str">
        <f>VLOOKUP(Table8[[#This Row],[Mã khách hàng]],code_khach_hang[],2,0)</f>
        <v>CHI NHÁNH PHÚ THỌ - CÔNG TY CỔ PHẦN DỊCH VỤ THƯƠNG MẠI TỔNG HỢP WINCOMMERCE</v>
      </c>
      <c r="G4137" s="16" t="str">
        <f>VLOOKUP(Table8[[#This Row],[Mã khách hàng]],code_khach_hang[],3,0)</f>
        <v>Miền Bắc đặc biệt 1</v>
      </c>
      <c r="H4137" t="str">
        <f>VLOOKUP(Table8[[#This Row],[Mã khách hàng]],'Khách hàng'!A:D,4,0)</f>
        <v>Food Đức Việt</v>
      </c>
      <c r="I4137" t="str">
        <f>VLOOKUP(Table8[[#This Row],[Mã khách hàng]],'Khách hàng'!A:E,5,0)</f>
        <v>HN0040</v>
      </c>
    </row>
    <row r="4138" spans="1:9">
      <c r="A4138" s="69" t="s">
        <v>13554</v>
      </c>
      <c r="B4138" s="9" t="s">
        <v>5</v>
      </c>
      <c r="C4138" s="76" t="s">
        <v>13592</v>
      </c>
      <c r="D4138" s="21"/>
      <c r="E4138" s="50" t="s">
        <v>11198</v>
      </c>
      <c r="F4138" s="22" t="str">
        <f>VLOOKUP(Table8[[#This Row],[Mã khách hàng]],code_khach_hang[],2,0)</f>
        <v>CHI NHÁNH HẢI PHÒNG - CÔNG TY CỔ PHẦN DỊCH VỤ THƯƠNG MẠI TỔNG HỢP WINCOMMERCE</v>
      </c>
      <c r="G4138" s="16" t="str">
        <f>VLOOKUP(Table8[[#This Row],[Mã khách hàng]],code_khach_hang[],3,0)</f>
        <v>Miền Bắc đặc biệt 3</v>
      </c>
      <c r="H4138" t="str">
        <f>VLOOKUP(Table8[[#This Row],[Mã khách hàng]],'Khách hàng'!A:D,4,0)</f>
        <v>Food Đức Việt</v>
      </c>
      <c r="I4138" t="str">
        <f>VLOOKUP(Table8[[#This Row],[Mã khách hàng]],'Khách hàng'!A:E,5,0)</f>
        <v>HN0040</v>
      </c>
    </row>
    <row r="4139" spans="1:9">
      <c r="A4139" s="69" t="s">
        <v>13555</v>
      </c>
      <c r="B4139" s="9" t="s">
        <v>5</v>
      </c>
      <c r="C4139" s="76" t="s">
        <v>13593</v>
      </c>
      <c r="D4139" s="21"/>
      <c r="E4139" s="50" t="s">
        <v>11193</v>
      </c>
      <c r="F4139" s="22" t="str">
        <f>VLOOKUP(Table8[[#This Row],[Mã khách hàng]],code_khach_hang[],2,0)</f>
        <v>CHI NHÁNH BẮC NINH - CÔNG TY CỔ PHẦN DỊCH VỤ THƯƠNG MẠI TỔNG HỢP WINCOMMERCE</v>
      </c>
      <c r="G4139" s="16" t="str">
        <f>VLOOKUP(Table8[[#This Row],[Mã khách hàng]],code_khach_hang[],3,0)</f>
        <v>Miền Bắc đặc biệt 2</v>
      </c>
      <c r="H4139" t="str">
        <f>VLOOKUP(Table8[[#This Row],[Mã khách hàng]],'Khách hàng'!A:D,4,0)</f>
        <v>Food Đức Việt</v>
      </c>
      <c r="I4139" t="str">
        <f>VLOOKUP(Table8[[#This Row],[Mã khách hàng]],'Khách hàng'!A:E,5,0)</f>
        <v>HN0040</v>
      </c>
    </row>
    <row r="4140" spans="1:9">
      <c r="A4140" s="69" t="s">
        <v>13556</v>
      </c>
      <c r="B4140" s="9" t="s">
        <v>5</v>
      </c>
      <c r="C4140" s="76" t="s">
        <v>13594</v>
      </c>
      <c r="D4140" s="21"/>
      <c r="E4140" s="50" t="s">
        <v>11198</v>
      </c>
      <c r="F4140" s="22" t="str">
        <f>VLOOKUP(Table8[[#This Row],[Mã khách hàng]],code_khach_hang[],2,0)</f>
        <v>CHI NHÁNH HẢI PHÒNG - CÔNG TY CỔ PHẦN DỊCH VỤ THƯƠNG MẠI TỔNG HỢP WINCOMMERCE</v>
      </c>
      <c r="G4140" s="16" t="str">
        <f>VLOOKUP(Table8[[#This Row],[Mã khách hàng]],code_khach_hang[],3,0)</f>
        <v>Miền Bắc đặc biệt 3</v>
      </c>
      <c r="H4140" t="str">
        <f>VLOOKUP(Table8[[#This Row],[Mã khách hàng]],'Khách hàng'!A:D,4,0)</f>
        <v>Food Đức Việt</v>
      </c>
      <c r="I4140" t="str">
        <f>VLOOKUP(Table8[[#This Row],[Mã khách hàng]],'Khách hàng'!A:E,5,0)</f>
        <v>HN0040</v>
      </c>
    </row>
    <row r="4141" spans="1:9">
      <c r="A4141" s="69" t="s">
        <v>13557</v>
      </c>
      <c r="B4141" s="9" t="s">
        <v>5</v>
      </c>
      <c r="C4141" s="76" t="s">
        <v>13595</v>
      </c>
      <c r="D4141" s="21"/>
      <c r="E4141" s="50" t="s">
        <v>11215</v>
      </c>
      <c r="F4141" s="22" t="str">
        <f>VLOOKUP(Table8[[#This Row],[Mã khách hàng]],code_khach_hang[],2,0)</f>
        <v>CHI NHÁNH HÀ NỘI - CÔNG TY CỔ PHẦN DỊCH VỤ THƯƠNG MẠI TỔNG HỢP WINCOMMERCE</v>
      </c>
      <c r="G4141" s="16" t="str">
        <f>VLOOKUP(Table8[[#This Row],[Mã khách hàng]],code_khach_hang[],3,0)</f>
        <v>Miền Bắc đặc biệt 1</v>
      </c>
      <c r="H4141" t="str">
        <f>VLOOKUP(Table8[[#This Row],[Mã khách hàng]],'Khách hàng'!A:D,4,0)</f>
        <v>Food Đức Việt</v>
      </c>
      <c r="I4141" t="str">
        <f>VLOOKUP(Table8[[#This Row],[Mã khách hàng]],'Khách hàng'!A:E,5,0)</f>
        <v>HN0040</v>
      </c>
    </row>
    <row r="4142" spans="1:9">
      <c r="A4142" s="69" t="s">
        <v>13558</v>
      </c>
      <c r="B4142" s="9" t="s">
        <v>5</v>
      </c>
      <c r="C4142" s="76" t="s">
        <v>13596</v>
      </c>
      <c r="D4142" s="21"/>
      <c r="E4142" s="50" t="s">
        <v>11197</v>
      </c>
      <c r="F4142" s="22" t="str">
        <f>VLOOKUP(Table8[[#This Row],[Mã khách hàng]],code_khach_hang[],2,0)</f>
        <v>CHI NHÁNH QUẢNG NINH - CÔNG TY CỔ PHẦN DỊCH VỤ THƯƠNG MẠI TỔNG HỢP WINCOMMERCE</v>
      </c>
      <c r="G4142" s="16" t="str">
        <f>VLOOKUP(Table8[[#This Row],[Mã khách hàng]],code_khach_hang[],3,0)</f>
        <v>Miền Bắc đặc biệt 3</v>
      </c>
      <c r="H4142" t="str">
        <f>VLOOKUP(Table8[[#This Row],[Mã khách hàng]],'Khách hàng'!A:D,4,0)</f>
        <v>Food Đức Việt</v>
      </c>
      <c r="I4142" t="str">
        <f>VLOOKUP(Table8[[#This Row],[Mã khách hàng]],'Khách hàng'!A:E,5,0)</f>
        <v>HN0040</v>
      </c>
    </row>
    <row r="4143" spans="1:9">
      <c r="A4143" s="69" t="s">
        <v>13559</v>
      </c>
      <c r="B4143" s="9" t="s">
        <v>5</v>
      </c>
      <c r="C4143" s="76" t="s">
        <v>13597</v>
      </c>
      <c r="D4143" s="21"/>
      <c r="E4143" s="50" t="s">
        <v>11199</v>
      </c>
      <c r="F4143" s="22" t="str">
        <f>VLOOKUP(Table8[[#This Row],[Mã khách hàng]],code_khach_hang[],2,0)</f>
        <v>CHI NHÁNH PHÚ THỌ - CÔNG TY CỔ PHẦN DỊCH VỤ THƯƠNG MẠI TỔNG HỢP WINCOMMERCE</v>
      </c>
      <c r="G4143" s="16" t="str">
        <f>VLOOKUP(Table8[[#This Row],[Mã khách hàng]],code_khach_hang[],3,0)</f>
        <v>Miền Bắc đặc biệt 1</v>
      </c>
      <c r="H4143" t="str">
        <f>VLOOKUP(Table8[[#This Row],[Mã khách hàng]],'Khách hàng'!A:D,4,0)</f>
        <v>Food Đức Việt</v>
      </c>
      <c r="I4143" t="str">
        <f>VLOOKUP(Table8[[#This Row],[Mã khách hàng]],'Khách hàng'!A:E,5,0)</f>
        <v>HN0040</v>
      </c>
    </row>
    <row r="4144" spans="1:9">
      <c r="A4144" s="69" t="s">
        <v>13560</v>
      </c>
      <c r="B4144" s="9" t="s">
        <v>5</v>
      </c>
      <c r="C4144" s="76" t="s">
        <v>13598</v>
      </c>
      <c r="D4144" s="21"/>
      <c r="E4144" s="50" t="s">
        <v>11222</v>
      </c>
      <c r="F4144" s="22" t="str">
        <f>VLOOKUP(Table8[[#This Row],[Mã khách hàng]],code_khach_hang[],2,0)</f>
        <v>CHI NHÁNH CAO BẰNG - CÔNG TY CỔ PHẦN DỊCH VỤ THƯƠNG MẠI TỔNG HỢP WINCOMMERCE</v>
      </c>
      <c r="G4144" s="16" t="str">
        <f>VLOOKUP(Table8[[#This Row],[Mã khách hàng]],code_khach_hang[],3,0)</f>
        <v>Miền Bắc đặc biệt 2</v>
      </c>
      <c r="H4144" t="str">
        <f>VLOOKUP(Table8[[#This Row],[Mã khách hàng]],'Khách hàng'!A:D,4,0)</f>
        <v>Food Đức Việt</v>
      </c>
      <c r="I4144" t="str">
        <f>VLOOKUP(Table8[[#This Row],[Mã khách hàng]],'Khách hàng'!A:E,5,0)</f>
        <v>HN0040</v>
      </c>
    </row>
    <row r="4145" spans="1:9">
      <c r="A4145" s="69" t="s">
        <v>13561</v>
      </c>
      <c r="B4145" s="9" t="s">
        <v>5</v>
      </c>
      <c r="C4145" s="76" t="s">
        <v>13599</v>
      </c>
      <c r="D4145" s="21"/>
      <c r="E4145" s="50" t="s">
        <v>11222</v>
      </c>
      <c r="F4145" s="22" t="str">
        <f>VLOOKUP(Table8[[#This Row],[Mã khách hàng]],code_khach_hang[],2,0)</f>
        <v>CHI NHÁNH CAO BẰNG - CÔNG TY CỔ PHẦN DỊCH VỤ THƯƠNG MẠI TỔNG HỢP WINCOMMERCE</v>
      </c>
      <c r="G4145" s="16" t="str">
        <f>VLOOKUP(Table8[[#This Row],[Mã khách hàng]],code_khach_hang[],3,0)</f>
        <v>Miền Bắc đặc biệt 2</v>
      </c>
      <c r="H4145" t="str">
        <f>VLOOKUP(Table8[[#This Row],[Mã khách hàng]],'Khách hàng'!A:D,4,0)</f>
        <v>Food Đức Việt</v>
      </c>
      <c r="I4145" t="str">
        <f>VLOOKUP(Table8[[#This Row],[Mã khách hàng]],'Khách hàng'!A:E,5,0)</f>
        <v>HN0040</v>
      </c>
    </row>
    <row r="4146" spans="1:9">
      <c r="A4146" s="69" t="s">
        <v>13562</v>
      </c>
      <c r="B4146" s="9" t="s">
        <v>5</v>
      </c>
      <c r="C4146" s="76" t="s">
        <v>13600</v>
      </c>
      <c r="D4146" s="21"/>
      <c r="E4146" s="50" t="s">
        <v>11196</v>
      </c>
      <c r="F4146" s="22" t="str">
        <f>VLOOKUP(Table8[[#This Row],[Mã khách hàng]],code_khach_hang[],2,0)</f>
        <v>CHI NHÁNH NINH BÌNH - CÔNG TY CỔ PHẦN DỊCH VỤ THƯƠNG MẠI TỔNG HỢP WINCOMMERCE</v>
      </c>
      <c r="G4146" s="16" t="str">
        <f>VLOOKUP(Table8[[#This Row],[Mã khách hàng]],code_khach_hang[],3,0)</f>
        <v>Miền Bắc đặc biệt 3</v>
      </c>
      <c r="H4146" t="str">
        <f>VLOOKUP(Table8[[#This Row],[Mã khách hàng]],'Khách hàng'!A:D,4,0)</f>
        <v>Food Đức Việt</v>
      </c>
      <c r="I4146" t="str">
        <f>VLOOKUP(Table8[[#This Row],[Mã khách hàng]],'Khách hàng'!A:E,5,0)</f>
        <v>HN0040</v>
      </c>
    </row>
    <row r="4147" spans="1:9">
      <c r="A4147" s="69" t="s">
        <v>13563</v>
      </c>
      <c r="B4147" s="9" t="s">
        <v>5</v>
      </c>
      <c r="C4147" s="76" t="s">
        <v>13601</v>
      </c>
      <c r="D4147" s="21"/>
      <c r="E4147" s="50" t="s">
        <v>11215</v>
      </c>
      <c r="F4147" s="22" t="str">
        <f>VLOOKUP(Table8[[#This Row],[Mã khách hàng]],code_khach_hang[],2,0)</f>
        <v>CHI NHÁNH HÀ NỘI - CÔNG TY CỔ PHẦN DỊCH VỤ THƯƠNG MẠI TỔNG HỢP WINCOMMERCE</v>
      </c>
      <c r="G4147" s="16" t="str">
        <f>VLOOKUP(Table8[[#This Row],[Mã khách hàng]],code_khach_hang[],3,0)</f>
        <v>Miền Bắc đặc biệt 1</v>
      </c>
      <c r="H4147" t="str">
        <f>VLOOKUP(Table8[[#This Row],[Mã khách hàng]],'Khách hàng'!A:D,4,0)</f>
        <v>Food Đức Việt</v>
      </c>
      <c r="I4147" t="str">
        <f>VLOOKUP(Table8[[#This Row],[Mã khách hàng]],'Khách hàng'!A:E,5,0)</f>
        <v>HN0040</v>
      </c>
    </row>
    <row r="4148" spans="1:9">
      <c r="A4148" s="69" t="s">
        <v>13564</v>
      </c>
      <c r="B4148" s="9" t="s">
        <v>5</v>
      </c>
      <c r="C4148" s="76" t="s">
        <v>13602</v>
      </c>
      <c r="D4148" s="21"/>
      <c r="E4148" s="50" t="s">
        <v>11218</v>
      </c>
      <c r="F4148" s="22" t="str">
        <f>VLOOKUP(Table8[[#This Row],[Mã khách hàng]],code_khach_hang[],2,0)</f>
        <v>CHI NHÁNH LÀO CAI - CÔNG TY CỔ PHẦN DỊCH VỤ THƯƠNG MẠI TỔNG HỢP WINCOMMERCE</v>
      </c>
      <c r="G4148" s="16" t="str">
        <f>VLOOKUP(Table8[[#This Row],[Mã khách hàng]],code_khach_hang[],3,0)</f>
        <v>Miền Bắc đặc biệt 1</v>
      </c>
      <c r="H4148" t="str">
        <f>VLOOKUP(Table8[[#This Row],[Mã khách hàng]],'Khách hàng'!A:D,4,0)</f>
        <v>Food Đức Việt</v>
      </c>
      <c r="I4148" t="str">
        <f>VLOOKUP(Table8[[#This Row],[Mã khách hàng]],'Khách hàng'!A:E,5,0)</f>
        <v>HN0040</v>
      </c>
    </row>
    <row r="4149" spans="1:9">
      <c r="A4149" s="69" t="s">
        <v>13565</v>
      </c>
      <c r="B4149" s="9" t="s">
        <v>5</v>
      </c>
      <c r="C4149" s="76" t="s">
        <v>13603</v>
      </c>
      <c r="D4149" s="21"/>
      <c r="E4149" s="50" t="s">
        <v>11193</v>
      </c>
      <c r="F4149" s="22" t="str">
        <f>VLOOKUP(Table8[[#This Row],[Mã khách hàng]],code_khach_hang[],2,0)</f>
        <v>CHI NHÁNH BẮC NINH - CÔNG TY CỔ PHẦN DỊCH VỤ THƯƠNG MẠI TỔNG HỢP WINCOMMERCE</v>
      </c>
      <c r="G4149" s="16" t="str">
        <f>VLOOKUP(Table8[[#This Row],[Mã khách hàng]],code_khach_hang[],3,0)</f>
        <v>Miền Bắc đặc biệt 2</v>
      </c>
      <c r="H4149" t="str">
        <f>VLOOKUP(Table8[[#This Row],[Mã khách hàng]],'Khách hàng'!A:D,4,0)</f>
        <v>Food Đức Việt</v>
      </c>
      <c r="I4149" t="str">
        <f>VLOOKUP(Table8[[#This Row],[Mã khách hàng]],'Khách hàng'!A:E,5,0)</f>
        <v>HN0040</v>
      </c>
    </row>
    <row r="4150" spans="1:9">
      <c r="A4150" s="69" t="s">
        <v>13566</v>
      </c>
      <c r="B4150" s="9" t="s">
        <v>5</v>
      </c>
      <c r="C4150" s="76" t="s">
        <v>13604</v>
      </c>
      <c r="D4150" s="21"/>
      <c r="E4150" s="50" t="s">
        <v>11199</v>
      </c>
      <c r="F4150" s="22" t="str">
        <f>VLOOKUP(Table8[[#This Row],[Mã khách hàng]],code_khach_hang[],2,0)</f>
        <v>CHI NHÁNH PHÚ THỌ - CÔNG TY CỔ PHẦN DỊCH VỤ THƯƠNG MẠI TỔNG HỢP WINCOMMERCE</v>
      </c>
      <c r="G4150" s="16" t="str">
        <f>VLOOKUP(Table8[[#This Row],[Mã khách hàng]],code_khach_hang[],3,0)</f>
        <v>Miền Bắc đặc biệt 1</v>
      </c>
      <c r="H4150" t="str">
        <f>VLOOKUP(Table8[[#This Row],[Mã khách hàng]],'Khách hàng'!A:D,4,0)</f>
        <v>Food Đức Việt</v>
      </c>
      <c r="I4150" t="str">
        <f>VLOOKUP(Table8[[#This Row],[Mã khách hàng]],'Khách hàng'!A:E,5,0)</f>
        <v>HN0040</v>
      </c>
    </row>
    <row r="4151" spans="1:9">
      <c r="A4151" s="69" t="s">
        <v>13567</v>
      </c>
      <c r="B4151" s="9" t="s">
        <v>5</v>
      </c>
      <c r="C4151" s="76" t="s">
        <v>13605</v>
      </c>
      <c r="D4151" s="21"/>
      <c r="E4151" s="50" t="s">
        <v>11199</v>
      </c>
      <c r="F4151" s="22" t="str">
        <f>VLOOKUP(Table8[[#This Row],[Mã khách hàng]],code_khach_hang[],2,0)</f>
        <v>CHI NHÁNH PHÚ THỌ - CÔNG TY CỔ PHẦN DỊCH VỤ THƯƠNG MẠI TỔNG HỢP WINCOMMERCE</v>
      </c>
      <c r="G4151" s="16" t="str">
        <f>VLOOKUP(Table8[[#This Row],[Mã khách hàng]],code_khach_hang[],3,0)</f>
        <v>Miền Bắc đặc biệt 1</v>
      </c>
      <c r="H4151" t="str">
        <f>VLOOKUP(Table8[[#This Row],[Mã khách hàng]],'Khách hàng'!A:D,4,0)</f>
        <v>Food Đức Việt</v>
      </c>
      <c r="I4151" t="str">
        <f>VLOOKUP(Table8[[#This Row],[Mã khách hàng]],'Khách hàng'!A:E,5,0)</f>
        <v>HN0040</v>
      </c>
    </row>
    <row r="4152" spans="1:9">
      <c r="A4152" s="69" t="s">
        <v>13568</v>
      </c>
      <c r="B4152" s="9" t="s">
        <v>5</v>
      </c>
      <c r="C4152" s="76" t="s">
        <v>13606</v>
      </c>
      <c r="D4152" s="21"/>
      <c r="E4152" s="50" t="s">
        <v>11198</v>
      </c>
      <c r="F4152" s="22" t="str">
        <f>VLOOKUP(Table8[[#This Row],[Mã khách hàng]],code_khach_hang[],2,0)</f>
        <v>CHI NHÁNH HẢI PHÒNG - CÔNG TY CỔ PHẦN DỊCH VỤ THƯƠNG MẠI TỔNG HỢP WINCOMMERCE</v>
      </c>
      <c r="G4152" s="16" t="str">
        <f>VLOOKUP(Table8[[#This Row],[Mã khách hàng]],code_khach_hang[],3,0)</f>
        <v>Miền Bắc đặc biệt 3</v>
      </c>
      <c r="H4152" t="str">
        <f>VLOOKUP(Table8[[#This Row],[Mã khách hàng]],'Khách hàng'!A:D,4,0)</f>
        <v>Food Đức Việt</v>
      </c>
      <c r="I4152" t="str">
        <f>VLOOKUP(Table8[[#This Row],[Mã khách hàng]],'Khách hàng'!A:E,5,0)</f>
        <v>HN0040</v>
      </c>
    </row>
    <row r="4153" spans="1:9">
      <c r="A4153" s="69" t="s">
        <v>13569</v>
      </c>
      <c r="B4153" s="9" t="s">
        <v>5</v>
      </c>
      <c r="C4153" s="76" t="s">
        <v>13607</v>
      </c>
      <c r="D4153" s="21"/>
      <c r="E4153" s="50" t="s">
        <v>11196</v>
      </c>
      <c r="F4153" s="22" t="str">
        <f>VLOOKUP(Table8[[#This Row],[Mã khách hàng]],code_khach_hang[],2,0)</f>
        <v>CHI NHÁNH NINH BÌNH - CÔNG TY CỔ PHẦN DỊCH VỤ THƯƠNG MẠI TỔNG HỢP WINCOMMERCE</v>
      </c>
      <c r="G4153" s="16" t="str">
        <f>VLOOKUP(Table8[[#This Row],[Mã khách hàng]],code_khach_hang[],3,0)</f>
        <v>Miền Bắc đặc biệt 3</v>
      </c>
      <c r="H4153" t="str">
        <f>VLOOKUP(Table8[[#This Row],[Mã khách hàng]],'Khách hàng'!A:D,4,0)</f>
        <v>Food Đức Việt</v>
      </c>
      <c r="I4153" t="str">
        <f>VLOOKUP(Table8[[#This Row],[Mã khách hàng]],'Khách hàng'!A:E,5,0)</f>
        <v>HN0040</v>
      </c>
    </row>
    <row r="4154" spans="1:9">
      <c r="A4154" s="11" t="s">
        <v>13616</v>
      </c>
      <c r="B4154" s="9" t="s">
        <v>5</v>
      </c>
      <c r="C4154" t="s">
        <v>13617</v>
      </c>
      <c r="D4154" s="21"/>
      <c r="E4154" s="48" t="s">
        <v>11204</v>
      </c>
      <c r="F4154" s="22" t="str">
        <f>VLOOKUP(Table8[[#This Row],[Mã khách hàng]],code_khach_hang[],2,0)</f>
        <v>CHI NHÁNH TUYÊN QUANG - CÔNG TY CỔ PHẦN DỊCH VỤ THƯƠNG MẠI TỔNG HỢP WINCOMMERCE</v>
      </c>
      <c r="G4154" s="10" t="str">
        <f>VLOOKUP(Table8[[#This Row],[Mã khách hàng]],code_khach_hang[],3,0)</f>
        <v>Miền Bắc đặc biệt 2</v>
      </c>
      <c r="H4154" t="str">
        <f>VLOOKUP(Table8[[#This Row],[Mã khách hàng]],'Khách hàng'!A:D,4,0)</f>
        <v>Food Đức Việt</v>
      </c>
      <c r="I4154" t="str">
        <f>VLOOKUP(Table8[[#This Row],[Mã khách hàng]],'Khách hàng'!A:E,5,0)</f>
        <v>HN0040</v>
      </c>
    </row>
    <row r="4155" spans="1:9">
      <c r="A4155" s="49" t="s">
        <v>13618</v>
      </c>
      <c r="B4155" s="9" t="s">
        <v>5</v>
      </c>
      <c r="C4155" s="76" t="s">
        <v>13635</v>
      </c>
      <c r="D4155" s="21"/>
      <c r="E4155" s="50" t="s">
        <v>11193</v>
      </c>
      <c r="F4155" s="22" t="str">
        <f>VLOOKUP(Table8[[#This Row],[Mã khách hàng]],code_khach_hang[],2,0)</f>
        <v>CHI NHÁNH BẮC NINH - CÔNG TY CỔ PHẦN DỊCH VỤ THƯƠNG MẠI TỔNG HỢP WINCOMMERCE</v>
      </c>
      <c r="G4155" s="10" t="str">
        <f>VLOOKUP(Table8[[#This Row],[Mã khách hàng]],code_khach_hang[],3,0)</f>
        <v>Miền Bắc đặc biệt 2</v>
      </c>
      <c r="H4155" t="str">
        <f>VLOOKUP(Table8[[#This Row],[Mã khách hàng]],'Khách hàng'!A:D,4,0)</f>
        <v>Food Đức Việt</v>
      </c>
      <c r="I4155" t="str">
        <f>VLOOKUP(Table8[[#This Row],[Mã khách hàng]],'Khách hàng'!A:E,5,0)</f>
        <v>HN0040</v>
      </c>
    </row>
    <row r="4156" spans="1:9">
      <c r="A4156" s="69" t="s">
        <v>13619</v>
      </c>
      <c r="B4156" s="9" t="s">
        <v>5</v>
      </c>
      <c r="C4156" s="76" t="s">
        <v>13636</v>
      </c>
      <c r="D4156" s="21"/>
      <c r="E4156" s="50" t="s">
        <v>11193</v>
      </c>
      <c r="F4156" s="22" t="str">
        <f>VLOOKUP(Table8[[#This Row],[Mã khách hàng]],code_khach_hang[],2,0)</f>
        <v>CHI NHÁNH BẮC NINH - CÔNG TY CỔ PHẦN DỊCH VỤ THƯƠNG MẠI TỔNG HỢP WINCOMMERCE</v>
      </c>
      <c r="G4156" s="16" t="str">
        <f>VLOOKUP(Table8[[#This Row],[Mã khách hàng]],code_khach_hang[],3,0)</f>
        <v>Miền Bắc đặc biệt 2</v>
      </c>
      <c r="H4156" t="str">
        <f>VLOOKUP(Table8[[#This Row],[Mã khách hàng]],'Khách hàng'!A:D,4,0)</f>
        <v>Food Đức Việt</v>
      </c>
      <c r="I4156" t="str">
        <f>VLOOKUP(Table8[[#This Row],[Mã khách hàng]],'Khách hàng'!A:E,5,0)</f>
        <v>HN0040</v>
      </c>
    </row>
    <row r="4157" spans="1:9">
      <c r="A4157" s="69" t="s">
        <v>13620</v>
      </c>
      <c r="B4157" s="9" t="s">
        <v>5</v>
      </c>
      <c r="C4157" s="76" t="s">
        <v>13637</v>
      </c>
      <c r="D4157" s="21"/>
      <c r="E4157" s="50" t="s">
        <v>11197</v>
      </c>
      <c r="F4157" s="22" t="str">
        <f>VLOOKUP(Table8[[#This Row],[Mã khách hàng]],code_khach_hang[],2,0)</f>
        <v>CHI NHÁNH QUẢNG NINH - CÔNG TY CỔ PHẦN DỊCH VỤ THƯƠNG MẠI TỔNG HỢP WINCOMMERCE</v>
      </c>
      <c r="G4157" s="16" t="str">
        <f>VLOOKUP(Table8[[#This Row],[Mã khách hàng]],code_khach_hang[],3,0)</f>
        <v>Miền Bắc đặc biệt 3</v>
      </c>
      <c r="H4157" t="str">
        <f>VLOOKUP(Table8[[#This Row],[Mã khách hàng]],'Khách hàng'!A:D,4,0)</f>
        <v>Food Đức Việt</v>
      </c>
      <c r="I4157" t="str">
        <f>VLOOKUP(Table8[[#This Row],[Mã khách hàng]],'Khách hàng'!A:E,5,0)</f>
        <v>HN0040</v>
      </c>
    </row>
    <row r="4158" spans="1:9">
      <c r="A4158" s="69" t="s">
        <v>13621</v>
      </c>
      <c r="B4158" s="9" t="s">
        <v>5</v>
      </c>
      <c r="C4158" s="76" t="s">
        <v>13638</v>
      </c>
      <c r="D4158" s="21"/>
      <c r="E4158" s="50" t="s">
        <v>11198</v>
      </c>
      <c r="F4158" s="22" t="str">
        <f>VLOOKUP(Table8[[#This Row],[Mã khách hàng]],code_khach_hang[],2,0)</f>
        <v>CHI NHÁNH HẢI PHÒNG - CÔNG TY CỔ PHẦN DỊCH VỤ THƯƠNG MẠI TỔNG HỢP WINCOMMERCE</v>
      </c>
      <c r="G4158" s="16" t="str">
        <f>VLOOKUP(Table8[[#This Row],[Mã khách hàng]],code_khach_hang[],3,0)</f>
        <v>Miền Bắc đặc biệt 3</v>
      </c>
      <c r="H4158" t="str">
        <f>VLOOKUP(Table8[[#This Row],[Mã khách hàng]],'Khách hàng'!A:D,4,0)</f>
        <v>Food Đức Việt</v>
      </c>
      <c r="I4158" t="str">
        <f>VLOOKUP(Table8[[#This Row],[Mã khách hàng]],'Khách hàng'!A:E,5,0)</f>
        <v>HN0040</v>
      </c>
    </row>
    <row r="4159" spans="1:9">
      <c r="A4159" s="69" t="s">
        <v>13622</v>
      </c>
      <c r="B4159" s="9" t="s">
        <v>5</v>
      </c>
      <c r="C4159" s="76" t="s">
        <v>13639</v>
      </c>
      <c r="D4159" s="21"/>
      <c r="E4159" s="50" t="s">
        <v>11222</v>
      </c>
      <c r="F4159" s="22" t="str">
        <f>VLOOKUP(Table8[[#This Row],[Mã khách hàng]],code_khach_hang[],2,0)</f>
        <v>CHI NHÁNH CAO BẰNG - CÔNG TY CỔ PHẦN DỊCH VỤ THƯƠNG MẠI TỔNG HỢP WINCOMMERCE</v>
      </c>
      <c r="G4159" s="16" t="str">
        <f>VLOOKUP(Table8[[#This Row],[Mã khách hàng]],code_khach_hang[],3,0)</f>
        <v>Miền Bắc đặc biệt 2</v>
      </c>
      <c r="H4159" t="str">
        <f>VLOOKUP(Table8[[#This Row],[Mã khách hàng]],'Khách hàng'!A:D,4,0)</f>
        <v>Food Đức Việt</v>
      </c>
      <c r="I4159" t="str">
        <f>VLOOKUP(Table8[[#This Row],[Mã khách hàng]],'Khách hàng'!A:E,5,0)</f>
        <v>HN0040</v>
      </c>
    </row>
    <row r="4160" spans="1:9">
      <c r="A4160" s="69" t="s">
        <v>13623</v>
      </c>
      <c r="B4160" s="9" t="s">
        <v>5</v>
      </c>
      <c r="C4160" s="76" t="s">
        <v>13640</v>
      </c>
      <c r="D4160" s="21"/>
      <c r="E4160" s="50" t="s">
        <v>11198</v>
      </c>
      <c r="F4160" s="22" t="str">
        <f>VLOOKUP(Table8[[#This Row],[Mã khách hàng]],code_khach_hang[],2,0)</f>
        <v>CHI NHÁNH HẢI PHÒNG - CÔNG TY CỔ PHẦN DỊCH VỤ THƯƠNG MẠI TỔNG HỢP WINCOMMERCE</v>
      </c>
      <c r="G4160" s="16" t="str">
        <f>VLOOKUP(Table8[[#This Row],[Mã khách hàng]],code_khach_hang[],3,0)</f>
        <v>Miền Bắc đặc biệt 3</v>
      </c>
      <c r="H4160" t="str">
        <f>VLOOKUP(Table8[[#This Row],[Mã khách hàng]],'Khách hàng'!A:D,4,0)</f>
        <v>Food Đức Việt</v>
      </c>
      <c r="I4160" t="str">
        <f>VLOOKUP(Table8[[#This Row],[Mã khách hàng]],'Khách hàng'!A:E,5,0)</f>
        <v>HN0040</v>
      </c>
    </row>
    <row r="4161" spans="1:9">
      <c r="A4161" s="69" t="s">
        <v>13624</v>
      </c>
      <c r="B4161" s="9" t="s">
        <v>5</v>
      </c>
      <c r="C4161" s="76" t="s">
        <v>13641</v>
      </c>
      <c r="D4161" s="21"/>
      <c r="E4161" s="50" t="s">
        <v>11215</v>
      </c>
      <c r="F4161" s="22" t="str">
        <f>VLOOKUP(Table8[[#This Row],[Mã khách hàng]],code_khach_hang[],2,0)</f>
        <v>CHI NHÁNH HÀ NỘI - CÔNG TY CỔ PHẦN DỊCH VỤ THƯƠNG MẠI TỔNG HỢP WINCOMMERCE</v>
      </c>
      <c r="G4161" s="16" t="str">
        <f>VLOOKUP(Table8[[#This Row],[Mã khách hàng]],code_khach_hang[],3,0)</f>
        <v>Miền Bắc đặc biệt 1</v>
      </c>
      <c r="H4161" t="str">
        <f>VLOOKUP(Table8[[#This Row],[Mã khách hàng]],'Khách hàng'!A:D,4,0)</f>
        <v>Food Đức Việt</v>
      </c>
      <c r="I4161" t="str">
        <f>VLOOKUP(Table8[[#This Row],[Mã khách hàng]],'Khách hàng'!A:E,5,0)</f>
        <v>HN0040</v>
      </c>
    </row>
    <row r="4162" spans="1:9">
      <c r="A4162" s="69" t="s">
        <v>13625</v>
      </c>
      <c r="B4162" s="9" t="s">
        <v>5</v>
      </c>
      <c r="C4162" s="76" t="s">
        <v>13642</v>
      </c>
      <c r="D4162" s="21"/>
      <c r="E4162" s="50" t="s">
        <v>11204</v>
      </c>
      <c r="F4162" s="22" t="str">
        <f>VLOOKUP(Table8[[#This Row],[Mã khách hàng]],code_khach_hang[],2,0)</f>
        <v>CHI NHÁNH TUYÊN QUANG - CÔNG TY CỔ PHẦN DỊCH VỤ THƯƠNG MẠI TỔNG HỢP WINCOMMERCE</v>
      </c>
      <c r="G4162" s="16" t="str">
        <f>VLOOKUP(Table8[[#This Row],[Mã khách hàng]],code_khach_hang[],3,0)</f>
        <v>Miền Bắc đặc biệt 2</v>
      </c>
      <c r="H4162" t="str">
        <f>VLOOKUP(Table8[[#This Row],[Mã khách hàng]],'Khách hàng'!A:D,4,0)</f>
        <v>Food Đức Việt</v>
      </c>
      <c r="I4162" t="str">
        <f>VLOOKUP(Table8[[#This Row],[Mã khách hàng]],'Khách hàng'!A:E,5,0)</f>
        <v>HN0040</v>
      </c>
    </row>
    <row r="4163" spans="1:9">
      <c r="A4163" s="69" t="s">
        <v>13626</v>
      </c>
      <c r="B4163" s="9" t="s">
        <v>5</v>
      </c>
      <c r="C4163" s="76" t="s">
        <v>13643</v>
      </c>
      <c r="D4163" s="21"/>
      <c r="E4163" s="50" t="s">
        <v>11206</v>
      </c>
      <c r="F4163" s="22" t="str">
        <f>VLOOKUP(Table8[[#This Row],[Mã khách hàng]],code_khach_hang[],2,0)</f>
        <v>CHI NHÁNH SƠN LA - CÔNG TY CỔ PHẦN DỊCH VỤ THƯƠNG MẠI TỔNG HỢP WINCOMMERCE</v>
      </c>
      <c r="G4163" s="16" t="str">
        <f>VLOOKUP(Table8[[#This Row],[Mã khách hàng]],code_khach_hang[],3,0)</f>
        <v>Miền Bắc đặc biệt 1</v>
      </c>
      <c r="H4163" t="str">
        <f>VLOOKUP(Table8[[#This Row],[Mã khách hàng]],'Khách hàng'!A:D,4,0)</f>
        <v>Food Đức Việt</v>
      </c>
      <c r="I4163" t="str">
        <f>VLOOKUP(Table8[[#This Row],[Mã khách hàng]],'Khách hàng'!A:E,5,0)</f>
        <v>HN0040</v>
      </c>
    </row>
    <row r="4164" spans="1:9">
      <c r="A4164" s="69" t="s">
        <v>13627</v>
      </c>
      <c r="B4164" s="9" t="s">
        <v>5</v>
      </c>
      <c r="C4164" s="76" t="s">
        <v>13644</v>
      </c>
      <c r="D4164" s="21"/>
      <c r="E4164" s="50" t="s">
        <v>11206</v>
      </c>
      <c r="F4164" s="22" t="str">
        <f>VLOOKUP(Table8[[#This Row],[Mã khách hàng]],code_khach_hang[],2,0)</f>
        <v>CHI NHÁNH SƠN LA - CÔNG TY CỔ PHẦN DỊCH VỤ THƯƠNG MẠI TỔNG HỢP WINCOMMERCE</v>
      </c>
      <c r="G4164" s="16" t="str">
        <f>VLOOKUP(Table8[[#This Row],[Mã khách hàng]],code_khach_hang[],3,0)</f>
        <v>Miền Bắc đặc biệt 1</v>
      </c>
      <c r="H4164" t="str">
        <f>VLOOKUP(Table8[[#This Row],[Mã khách hàng]],'Khách hàng'!A:D,4,0)</f>
        <v>Food Đức Việt</v>
      </c>
      <c r="I4164" t="str">
        <f>VLOOKUP(Table8[[#This Row],[Mã khách hàng]],'Khách hàng'!A:E,5,0)</f>
        <v>HN0040</v>
      </c>
    </row>
    <row r="4165" spans="1:9">
      <c r="A4165" s="69" t="s">
        <v>13628</v>
      </c>
      <c r="B4165" s="9" t="s">
        <v>5</v>
      </c>
      <c r="C4165" s="76" t="s">
        <v>13645</v>
      </c>
      <c r="D4165" s="21"/>
      <c r="E4165" s="50" t="s">
        <v>11218</v>
      </c>
      <c r="F4165" s="22" t="str">
        <f>VLOOKUP(Table8[[#This Row],[Mã khách hàng]],code_khach_hang[],2,0)</f>
        <v>CHI NHÁNH LÀO CAI - CÔNG TY CỔ PHẦN DỊCH VỤ THƯƠNG MẠI TỔNG HỢP WINCOMMERCE</v>
      </c>
      <c r="G4165" s="16" t="str">
        <f>VLOOKUP(Table8[[#This Row],[Mã khách hàng]],code_khach_hang[],3,0)</f>
        <v>Miền Bắc đặc biệt 1</v>
      </c>
      <c r="H4165" t="str">
        <f>VLOOKUP(Table8[[#This Row],[Mã khách hàng]],'Khách hàng'!A:D,4,0)</f>
        <v>Food Đức Việt</v>
      </c>
      <c r="I4165" t="str">
        <f>VLOOKUP(Table8[[#This Row],[Mã khách hàng]],'Khách hàng'!A:E,5,0)</f>
        <v>HN0040</v>
      </c>
    </row>
    <row r="4166" spans="1:9">
      <c r="A4166" s="69" t="s">
        <v>13629</v>
      </c>
      <c r="B4166" s="9" t="s">
        <v>5</v>
      </c>
      <c r="C4166" s="76" t="s">
        <v>13646</v>
      </c>
      <c r="D4166" s="21"/>
      <c r="E4166" s="50" t="s">
        <v>11193</v>
      </c>
      <c r="F4166" s="22" t="str">
        <f>VLOOKUP(Table8[[#This Row],[Mã khách hàng]],code_khach_hang[],2,0)</f>
        <v>CHI NHÁNH BẮC NINH - CÔNG TY CỔ PHẦN DỊCH VỤ THƯƠNG MẠI TỔNG HỢP WINCOMMERCE</v>
      </c>
      <c r="G4166" s="16" t="str">
        <f>VLOOKUP(Table8[[#This Row],[Mã khách hàng]],code_khach_hang[],3,0)</f>
        <v>Miền Bắc đặc biệt 2</v>
      </c>
      <c r="H4166" t="str">
        <f>VLOOKUP(Table8[[#This Row],[Mã khách hàng]],'Khách hàng'!A:D,4,0)</f>
        <v>Food Đức Việt</v>
      </c>
      <c r="I4166" t="str">
        <f>VLOOKUP(Table8[[#This Row],[Mã khách hàng]],'Khách hàng'!A:E,5,0)</f>
        <v>HN0040</v>
      </c>
    </row>
    <row r="4167" spans="1:9">
      <c r="A4167" s="69" t="s">
        <v>13630</v>
      </c>
      <c r="B4167" s="9" t="s">
        <v>5</v>
      </c>
      <c r="C4167" s="76" t="s">
        <v>13647</v>
      </c>
      <c r="D4167" s="21"/>
      <c r="E4167" s="50" t="s">
        <v>11215</v>
      </c>
      <c r="F4167" s="22" t="str">
        <f>VLOOKUP(Table8[[#This Row],[Mã khách hàng]],code_khach_hang[],2,0)</f>
        <v>CHI NHÁNH HÀ NỘI - CÔNG TY CỔ PHẦN DỊCH VỤ THƯƠNG MẠI TỔNG HỢP WINCOMMERCE</v>
      </c>
      <c r="G4167" s="16" t="str">
        <f>VLOOKUP(Table8[[#This Row],[Mã khách hàng]],code_khach_hang[],3,0)</f>
        <v>Miền Bắc đặc biệt 1</v>
      </c>
      <c r="H4167" t="str">
        <f>VLOOKUP(Table8[[#This Row],[Mã khách hàng]],'Khách hàng'!A:D,4,0)</f>
        <v>Food Đức Việt</v>
      </c>
      <c r="I4167" t="str">
        <f>VLOOKUP(Table8[[#This Row],[Mã khách hàng]],'Khách hàng'!A:E,5,0)</f>
        <v>HN0040</v>
      </c>
    </row>
    <row r="4168" spans="1:9">
      <c r="A4168" s="69" t="s">
        <v>13631</v>
      </c>
      <c r="B4168" s="9" t="s">
        <v>5</v>
      </c>
      <c r="C4168" s="76" t="s">
        <v>13648</v>
      </c>
      <c r="D4168" s="21"/>
      <c r="E4168" s="50" t="s">
        <v>11216</v>
      </c>
      <c r="F4168" s="22" t="str">
        <f>VLOOKUP(Table8[[#This Row],[Mã khách hàng]],code_khach_hang[],2,0)</f>
        <v>CHI NHÁNH HƯNG YÊN - CÔNG TY CỔ PHẦN DỊCH VỤ THƯƠNG MẠI TỔNG HỢP WINCOMMERCE</v>
      </c>
      <c r="G4168" s="16" t="str">
        <f>VLOOKUP(Table8[[#This Row],[Mã khách hàng]],code_khach_hang[],3,0)</f>
        <v>Miền Bắc đặc biệt 1</v>
      </c>
      <c r="H4168" t="str">
        <f>VLOOKUP(Table8[[#This Row],[Mã khách hàng]],'Khách hàng'!A:D,4,0)</f>
        <v>Food Đức Việt</v>
      </c>
      <c r="I4168" t="str">
        <f>VLOOKUP(Table8[[#This Row],[Mã khách hàng]],'Khách hàng'!A:E,5,0)</f>
        <v>HN0040</v>
      </c>
    </row>
    <row r="4169" spans="1:9">
      <c r="A4169" s="69" t="s">
        <v>13632</v>
      </c>
      <c r="B4169" s="9" t="s">
        <v>5</v>
      </c>
      <c r="C4169" s="76" t="s">
        <v>13649</v>
      </c>
      <c r="D4169" s="21"/>
      <c r="E4169" s="50" t="s">
        <v>11221</v>
      </c>
      <c r="F4169" s="22" t="str">
        <f>VLOOKUP(Table8[[#This Row],[Mã khách hàng]],code_khach_hang[],2,0)</f>
        <v>CHI NHÁNH ĐIỆN BIÊN - CÔNG TY CỔ PHẦN DỊCH VỤ THƯƠNG MẠI TỔNG HỢP WINCOMMERCE</v>
      </c>
      <c r="G4169" s="16" t="str">
        <f>VLOOKUP(Table8[[#This Row],[Mã khách hàng]],code_khach_hang[],3,0)</f>
        <v>Miền Bắc đặc biệt 1</v>
      </c>
      <c r="H4169" t="str">
        <f>VLOOKUP(Table8[[#This Row],[Mã khách hàng]],'Khách hàng'!A:D,4,0)</f>
        <v>Food Đức Việt</v>
      </c>
      <c r="I4169" t="str">
        <f>VLOOKUP(Table8[[#This Row],[Mã khách hàng]],'Khách hàng'!A:E,5,0)</f>
        <v>HN0040</v>
      </c>
    </row>
    <row r="4170" spans="1:9">
      <c r="A4170" s="69" t="s">
        <v>13633</v>
      </c>
      <c r="B4170" s="9" t="s">
        <v>5</v>
      </c>
      <c r="C4170" s="76" t="s">
        <v>13650</v>
      </c>
      <c r="D4170" s="21"/>
      <c r="E4170" s="50" t="s">
        <v>11218</v>
      </c>
      <c r="F4170" s="22" t="str">
        <f>VLOOKUP(Table8[[#This Row],[Mã khách hàng]],code_khach_hang[],2,0)</f>
        <v>CHI NHÁNH LÀO CAI - CÔNG TY CỔ PHẦN DỊCH VỤ THƯƠNG MẠI TỔNG HỢP WINCOMMERCE</v>
      </c>
      <c r="G4170" s="16" t="str">
        <f>VLOOKUP(Table8[[#This Row],[Mã khách hàng]],code_khach_hang[],3,0)</f>
        <v>Miền Bắc đặc biệt 1</v>
      </c>
      <c r="H4170" t="str">
        <f>VLOOKUP(Table8[[#This Row],[Mã khách hàng]],'Khách hàng'!A:D,4,0)</f>
        <v>Food Đức Việt</v>
      </c>
      <c r="I4170" t="str">
        <f>VLOOKUP(Table8[[#This Row],[Mã khách hàng]],'Khách hàng'!A:E,5,0)</f>
        <v>HN0040</v>
      </c>
    </row>
    <row r="4171" spans="1:9">
      <c r="A4171" s="69" t="s">
        <v>13634</v>
      </c>
      <c r="B4171" s="9" t="s">
        <v>5</v>
      </c>
      <c r="C4171" s="76" t="s">
        <v>13651</v>
      </c>
      <c r="D4171" s="21"/>
      <c r="E4171" s="50" t="s">
        <v>11218</v>
      </c>
      <c r="F4171" s="22" t="str">
        <f>VLOOKUP(Table8[[#This Row],[Mã khách hàng]],code_khach_hang[],2,0)</f>
        <v>CHI NHÁNH LÀO CAI - CÔNG TY CỔ PHẦN DỊCH VỤ THƯƠNG MẠI TỔNG HỢP WINCOMMERCE</v>
      </c>
      <c r="G4171" s="16" t="str">
        <f>VLOOKUP(Table8[[#This Row],[Mã khách hàng]],code_khach_hang[],3,0)</f>
        <v>Miền Bắc đặc biệt 1</v>
      </c>
      <c r="H4171" t="str">
        <f>VLOOKUP(Table8[[#This Row],[Mã khách hàng]],'Khách hàng'!A:D,4,0)</f>
        <v>Food Đức Việt</v>
      </c>
      <c r="I4171" t="str">
        <f>VLOOKUP(Table8[[#This Row],[Mã khách hàng]],'Khách hàng'!A:E,5,0)</f>
        <v>HN0040</v>
      </c>
    </row>
  </sheetData>
  <phoneticPr fontId="5" type="noConversion"/>
  <conditionalFormatting sqref="A1:A4171">
    <cfRule type="duplicateValues" dxfId="2" priority="21"/>
  </conditionalFormatting>
  <conditionalFormatting sqref="A2:A4171">
    <cfRule type="duplicateValues" dxfId="1" priority="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7FE82A07-E9E7-476A-A5C3-2610B74CE638}">
          <x14:formula1>
            <xm:f>'Data Validation'!$C$2:$C$4</xm:f>
          </x14:formula1>
          <xm:sqref>C3113:C3114 B2:B4171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1A89-EB7D-40FA-A67C-D9445358B3D0}">
  <sheetPr>
    <tabColor theme="3" tint="0.59999389629810485"/>
  </sheetPr>
  <dimension ref="A1:F50"/>
  <sheetViews>
    <sheetView topLeftCell="A17" zoomScale="98" workbookViewId="0">
      <selection sqref="A1:E50"/>
    </sheetView>
  </sheetViews>
  <sheetFormatPr defaultRowHeight="15"/>
  <cols>
    <col min="1" max="1" width="15.7109375" bestFit="1" customWidth="1"/>
    <col min="2" max="2" width="46.140625" customWidth="1"/>
    <col min="3" max="5" width="19.140625" customWidth="1"/>
  </cols>
  <sheetData>
    <row r="1" spans="1:6">
      <c r="A1" t="s">
        <v>513</v>
      </c>
      <c r="B1" t="s">
        <v>515</v>
      </c>
      <c r="C1" t="s">
        <v>514</v>
      </c>
      <c r="D1" t="s">
        <v>9349</v>
      </c>
      <c r="E1" t="s">
        <v>11072</v>
      </c>
    </row>
    <row r="2" spans="1:6">
      <c r="A2" s="14" t="s">
        <v>11193</v>
      </c>
      <c r="B2" t="s">
        <v>520</v>
      </c>
      <c r="C2" t="s">
        <v>519</v>
      </c>
      <c r="D2" t="s">
        <v>9369</v>
      </c>
      <c r="E2" t="s">
        <v>11069</v>
      </c>
      <c r="F2" s="14"/>
    </row>
    <row r="3" spans="1:6">
      <c r="A3" s="14" t="s">
        <v>11194</v>
      </c>
      <c r="B3" t="s">
        <v>527</v>
      </c>
      <c r="C3" t="s">
        <v>519</v>
      </c>
      <c r="D3" t="s">
        <v>9369</v>
      </c>
      <c r="E3" t="s">
        <v>11069</v>
      </c>
      <c r="F3" s="14"/>
    </row>
    <row r="4" spans="1:6">
      <c r="A4" s="14" t="s">
        <v>11195</v>
      </c>
      <c r="B4" t="s">
        <v>531</v>
      </c>
      <c r="C4" t="s">
        <v>519</v>
      </c>
      <c r="D4" t="s">
        <v>9369</v>
      </c>
      <c r="E4" t="s">
        <v>11069</v>
      </c>
      <c r="F4" s="14"/>
    </row>
    <row r="5" spans="1:6">
      <c r="A5" s="14" t="s">
        <v>11216</v>
      </c>
      <c r="B5" t="s">
        <v>651</v>
      </c>
      <c r="C5" t="s">
        <v>650</v>
      </c>
      <c r="D5" t="s">
        <v>9369</v>
      </c>
      <c r="E5" t="s">
        <v>11069</v>
      </c>
      <c r="F5" s="14"/>
    </row>
    <row r="6" spans="1:6">
      <c r="A6" s="14" t="s">
        <v>11198</v>
      </c>
      <c r="B6" t="s">
        <v>1324</v>
      </c>
      <c r="C6" t="s">
        <v>1323</v>
      </c>
      <c r="D6" t="s">
        <v>9369</v>
      </c>
      <c r="E6" t="s">
        <v>11069</v>
      </c>
      <c r="F6" s="14"/>
    </row>
    <row r="7" spans="1:6">
      <c r="A7" s="14" t="s">
        <v>11209</v>
      </c>
      <c r="B7" t="s">
        <v>1361</v>
      </c>
      <c r="C7" t="s">
        <v>11244</v>
      </c>
      <c r="D7" t="s">
        <v>9369</v>
      </c>
      <c r="E7" t="s">
        <v>11069</v>
      </c>
      <c r="F7" s="14"/>
    </row>
    <row r="8" spans="1:6">
      <c r="A8" s="14" t="s">
        <v>11205</v>
      </c>
      <c r="B8" t="s">
        <v>1368</v>
      </c>
      <c r="C8" t="s">
        <v>11244</v>
      </c>
      <c r="D8" t="s">
        <v>9369</v>
      </c>
      <c r="E8" t="s">
        <v>11069</v>
      </c>
      <c r="F8" s="14"/>
    </row>
    <row r="9" spans="1:6">
      <c r="A9" s="14" t="s">
        <v>11211</v>
      </c>
      <c r="B9" t="s">
        <v>1383</v>
      </c>
      <c r="C9" t="s">
        <v>11244</v>
      </c>
      <c r="D9" t="s">
        <v>9369</v>
      </c>
      <c r="E9" t="s">
        <v>11069</v>
      </c>
      <c r="F9" s="14"/>
    </row>
    <row r="10" spans="1:6">
      <c r="A10" s="14" t="s">
        <v>11200</v>
      </c>
      <c r="B10" t="s">
        <v>1387</v>
      </c>
      <c r="C10" t="s">
        <v>1323</v>
      </c>
      <c r="D10" t="s">
        <v>9369</v>
      </c>
      <c r="E10" t="s">
        <v>11069</v>
      </c>
      <c r="F10" s="14"/>
    </row>
    <row r="11" spans="1:6">
      <c r="A11" s="14" t="s">
        <v>11217</v>
      </c>
      <c r="B11" t="s">
        <v>1391</v>
      </c>
      <c r="C11" t="s">
        <v>519</v>
      </c>
      <c r="D11" t="s">
        <v>9369</v>
      </c>
      <c r="E11" t="s">
        <v>11069</v>
      </c>
      <c r="F11" s="14"/>
    </row>
    <row r="12" spans="1:6">
      <c r="A12" s="14" t="s">
        <v>11203</v>
      </c>
      <c r="B12" t="s">
        <v>1397</v>
      </c>
      <c r="C12" t="s">
        <v>11244</v>
      </c>
      <c r="D12" t="s">
        <v>9369</v>
      </c>
      <c r="E12" t="s">
        <v>11069</v>
      </c>
      <c r="F12" s="14"/>
    </row>
    <row r="13" spans="1:6">
      <c r="A13" s="14" t="s">
        <v>11207</v>
      </c>
      <c r="B13" t="s">
        <v>1407</v>
      </c>
      <c r="C13" t="s">
        <v>519</v>
      </c>
      <c r="D13" t="s">
        <v>9369</v>
      </c>
      <c r="E13" t="s">
        <v>11069</v>
      </c>
      <c r="F13" s="14"/>
    </row>
    <row r="14" spans="1:6">
      <c r="A14" s="14" t="s">
        <v>11202</v>
      </c>
      <c r="B14" t="s">
        <v>1413</v>
      </c>
      <c r="C14" t="s">
        <v>650</v>
      </c>
      <c r="D14" t="s">
        <v>9369</v>
      </c>
      <c r="E14" t="s">
        <v>11069</v>
      </c>
      <c r="F14" s="14"/>
    </row>
    <row r="15" spans="1:6">
      <c r="A15" s="14" t="s">
        <v>11201</v>
      </c>
      <c r="B15" t="s">
        <v>1428</v>
      </c>
      <c r="C15" t="s">
        <v>1323</v>
      </c>
      <c r="D15" t="s">
        <v>9369</v>
      </c>
      <c r="E15" t="s">
        <v>11069</v>
      </c>
      <c r="F15" s="14"/>
    </row>
    <row r="16" spans="1:6">
      <c r="A16" s="14" t="s">
        <v>11199</v>
      </c>
      <c r="B16" t="s">
        <v>1432</v>
      </c>
      <c r="C16" t="s">
        <v>650</v>
      </c>
      <c r="D16" t="s">
        <v>9369</v>
      </c>
      <c r="E16" t="s">
        <v>11069</v>
      </c>
      <c r="F16" s="14"/>
    </row>
    <row r="17" spans="1:6">
      <c r="A17" s="14" t="s">
        <v>11197</v>
      </c>
      <c r="B17" t="s">
        <v>1462</v>
      </c>
      <c r="C17" t="s">
        <v>1323</v>
      </c>
      <c r="D17" t="s">
        <v>9369</v>
      </c>
      <c r="E17" t="s">
        <v>11069</v>
      </c>
      <c r="F17" s="14"/>
    </row>
    <row r="18" spans="1:6">
      <c r="A18" s="14" t="s">
        <v>11196</v>
      </c>
      <c r="B18" t="s">
        <v>1466</v>
      </c>
      <c r="C18" t="s">
        <v>1323</v>
      </c>
      <c r="D18" t="s">
        <v>9369</v>
      </c>
      <c r="E18" t="s">
        <v>11069</v>
      </c>
      <c r="F18" s="14"/>
    </row>
    <row r="19" spans="1:6">
      <c r="A19" s="14" t="s">
        <v>11218</v>
      </c>
      <c r="B19" t="s">
        <v>1479</v>
      </c>
      <c r="C19" t="s">
        <v>650</v>
      </c>
      <c r="D19" t="s">
        <v>9369</v>
      </c>
      <c r="E19" t="s">
        <v>11069</v>
      </c>
      <c r="F19" s="14"/>
    </row>
    <row r="20" spans="1:6">
      <c r="A20" s="14" t="s">
        <v>11219</v>
      </c>
      <c r="B20" t="s">
        <v>1502</v>
      </c>
      <c r="C20" t="s">
        <v>1323</v>
      </c>
      <c r="D20" t="s">
        <v>9369</v>
      </c>
      <c r="E20" t="s">
        <v>11069</v>
      </c>
      <c r="F20" s="14"/>
    </row>
    <row r="21" spans="1:6">
      <c r="A21" s="14" t="s">
        <v>11210</v>
      </c>
      <c r="B21" t="s">
        <v>1518</v>
      </c>
      <c r="C21" t="s">
        <v>1323</v>
      </c>
      <c r="D21" t="s">
        <v>9369</v>
      </c>
      <c r="E21" t="s">
        <v>11069</v>
      </c>
      <c r="F21" s="14"/>
    </row>
    <row r="22" spans="1:6">
      <c r="A22" s="14" t="s">
        <v>11220</v>
      </c>
      <c r="B22" t="s">
        <v>1560</v>
      </c>
      <c r="C22" t="s">
        <v>519</v>
      </c>
      <c r="D22" t="s">
        <v>9369</v>
      </c>
      <c r="E22" t="s">
        <v>11069</v>
      </c>
      <c r="F22" s="14"/>
    </row>
    <row r="23" spans="1:6">
      <c r="A23" s="14" t="s">
        <v>11212</v>
      </c>
      <c r="B23" t="s">
        <v>1603</v>
      </c>
      <c r="C23" t="s">
        <v>650</v>
      </c>
      <c r="D23" t="s">
        <v>9369</v>
      </c>
      <c r="E23" t="s">
        <v>11069</v>
      </c>
      <c r="F23" s="14"/>
    </row>
    <row r="24" spans="1:6">
      <c r="A24" s="14" t="s">
        <v>11213</v>
      </c>
      <c r="B24" t="s">
        <v>1641</v>
      </c>
      <c r="C24" t="s">
        <v>519</v>
      </c>
      <c r="D24" t="s">
        <v>9369</v>
      </c>
      <c r="E24" t="s">
        <v>11069</v>
      </c>
      <c r="F24" s="14"/>
    </row>
    <row r="25" spans="1:6">
      <c r="A25" s="14" t="s">
        <v>11206</v>
      </c>
      <c r="B25" t="s">
        <v>1648</v>
      </c>
      <c r="C25" t="s">
        <v>650</v>
      </c>
      <c r="D25" t="s">
        <v>9369</v>
      </c>
      <c r="E25" t="s">
        <v>11069</v>
      </c>
      <c r="F25" s="14"/>
    </row>
    <row r="26" spans="1:6">
      <c r="A26" s="14" t="s">
        <v>11221</v>
      </c>
      <c r="B26" t="s">
        <v>1655</v>
      </c>
      <c r="C26" t="s">
        <v>650</v>
      </c>
      <c r="D26" t="s">
        <v>9369</v>
      </c>
      <c r="E26" t="s">
        <v>11069</v>
      </c>
      <c r="F26" s="14"/>
    </row>
    <row r="27" spans="1:6">
      <c r="A27" s="14" t="s">
        <v>11214</v>
      </c>
      <c r="B27" t="s">
        <v>1679</v>
      </c>
      <c r="C27" t="s">
        <v>650</v>
      </c>
      <c r="D27" t="s">
        <v>9369</v>
      </c>
      <c r="E27" t="s">
        <v>11069</v>
      </c>
      <c r="F27" s="14"/>
    </row>
    <row r="28" spans="1:6">
      <c r="A28" s="14" t="s">
        <v>11208</v>
      </c>
      <c r="B28" t="s">
        <v>1997</v>
      </c>
      <c r="C28" t="s">
        <v>519</v>
      </c>
      <c r="D28" t="s">
        <v>9369</v>
      </c>
      <c r="E28" t="s">
        <v>11069</v>
      </c>
      <c r="F28" s="14"/>
    </row>
    <row r="29" spans="1:6">
      <c r="A29" s="14" t="s">
        <v>11204</v>
      </c>
      <c r="B29" t="s">
        <v>2445</v>
      </c>
      <c r="C29" t="s">
        <v>519</v>
      </c>
      <c r="D29" t="s">
        <v>9369</v>
      </c>
      <c r="E29" t="s">
        <v>11069</v>
      </c>
      <c r="F29" s="14"/>
    </row>
    <row r="30" spans="1:6">
      <c r="A30" s="14" t="s">
        <v>11222</v>
      </c>
      <c r="B30" t="s">
        <v>3476</v>
      </c>
      <c r="C30" t="s">
        <v>519</v>
      </c>
      <c r="D30" t="s">
        <v>9369</v>
      </c>
      <c r="E30" t="s">
        <v>11069</v>
      </c>
      <c r="F30" s="14"/>
    </row>
    <row r="31" spans="1:6">
      <c r="A31" s="14" t="s">
        <v>11215</v>
      </c>
      <c r="B31" t="s">
        <v>531</v>
      </c>
      <c r="C31" t="s">
        <v>650</v>
      </c>
      <c r="D31" t="s">
        <v>9369</v>
      </c>
      <c r="E31" t="s">
        <v>11069</v>
      </c>
      <c r="F31" s="14"/>
    </row>
    <row r="32" spans="1:6">
      <c r="A32" s="14" t="s">
        <v>11223</v>
      </c>
      <c r="B32" t="s">
        <v>651</v>
      </c>
      <c r="C32" t="s">
        <v>650</v>
      </c>
      <c r="D32" t="s">
        <v>9378</v>
      </c>
      <c r="E32" t="s">
        <v>11070</v>
      </c>
      <c r="F32" s="14"/>
    </row>
    <row r="33" spans="1:6">
      <c r="A33" s="14" t="s">
        <v>11224</v>
      </c>
      <c r="B33" t="s">
        <v>520</v>
      </c>
      <c r="C33" t="s">
        <v>650</v>
      </c>
      <c r="D33" t="s">
        <v>9378</v>
      </c>
      <c r="E33" t="s">
        <v>11070</v>
      </c>
      <c r="F33" s="14"/>
    </row>
    <row r="34" spans="1:6">
      <c r="A34" s="14" t="s">
        <v>11225</v>
      </c>
      <c r="B34" t="s">
        <v>1432</v>
      </c>
      <c r="C34" t="s">
        <v>650</v>
      </c>
      <c r="D34" t="s">
        <v>9378</v>
      </c>
      <c r="E34" t="s">
        <v>11074</v>
      </c>
      <c r="F34" s="14"/>
    </row>
    <row r="35" spans="1:6">
      <c r="A35" s="14" t="s">
        <v>11226</v>
      </c>
      <c r="B35" t="s">
        <v>11055</v>
      </c>
      <c r="C35" t="s">
        <v>650</v>
      </c>
      <c r="D35" t="s">
        <v>9378</v>
      </c>
      <c r="E35" t="s">
        <v>11071</v>
      </c>
      <c r="F35" s="14"/>
    </row>
    <row r="36" spans="1:6">
      <c r="A36" s="14" t="s">
        <v>11227</v>
      </c>
      <c r="B36" t="s">
        <v>1324</v>
      </c>
      <c r="C36" t="s">
        <v>650</v>
      </c>
      <c r="D36" t="s">
        <v>9378</v>
      </c>
      <c r="E36" t="s">
        <v>11070</v>
      </c>
      <c r="F36" s="14"/>
    </row>
    <row r="37" spans="1:6">
      <c r="A37" s="14" t="s">
        <v>11228</v>
      </c>
      <c r="B37" t="s">
        <v>651</v>
      </c>
      <c r="C37" t="s">
        <v>519</v>
      </c>
      <c r="D37" t="s">
        <v>9378</v>
      </c>
      <c r="E37" t="s">
        <v>11070</v>
      </c>
      <c r="F37" s="14"/>
    </row>
    <row r="38" spans="1:6">
      <c r="A38" s="14" t="s">
        <v>11229</v>
      </c>
      <c r="B38" t="s">
        <v>520</v>
      </c>
      <c r="C38" t="s">
        <v>519</v>
      </c>
      <c r="D38" t="s">
        <v>9378</v>
      </c>
      <c r="E38" t="s">
        <v>11070</v>
      </c>
      <c r="F38" s="14"/>
    </row>
    <row r="39" spans="1:6">
      <c r="A39" s="14" t="s">
        <v>11240</v>
      </c>
      <c r="B39" t="s">
        <v>11242</v>
      </c>
      <c r="C39" t="s">
        <v>11244</v>
      </c>
      <c r="D39" t="s">
        <v>9369</v>
      </c>
      <c r="E39" t="s">
        <v>11250</v>
      </c>
    </row>
    <row r="40" spans="1:6">
      <c r="A40" s="14" t="s">
        <v>11241</v>
      </c>
      <c r="B40" t="s">
        <v>11243</v>
      </c>
      <c r="C40" t="s">
        <v>11245</v>
      </c>
      <c r="D40" t="s">
        <v>9369</v>
      </c>
      <c r="E40" t="s">
        <v>11251</v>
      </c>
    </row>
    <row r="41" spans="1:6">
      <c r="A41" s="14" t="s">
        <v>11442</v>
      </c>
      <c r="B41" t="s">
        <v>11242</v>
      </c>
      <c r="C41" t="s">
        <v>11244</v>
      </c>
      <c r="D41" t="s">
        <v>9369</v>
      </c>
      <c r="E41" t="s">
        <v>11250</v>
      </c>
    </row>
    <row r="42" spans="1:6">
      <c r="A42" s="14" t="s">
        <v>11443</v>
      </c>
      <c r="B42" t="s">
        <v>12300</v>
      </c>
      <c r="C42" t="s">
        <v>11245</v>
      </c>
      <c r="D42" t="s">
        <v>9369</v>
      </c>
      <c r="E42" t="s">
        <v>11251</v>
      </c>
    </row>
    <row r="43" spans="1:6">
      <c r="A43" s="14" t="s">
        <v>11444</v>
      </c>
      <c r="B43" t="s">
        <v>12301</v>
      </c>
      <c r="C43" t="s">
        <v>11244</v>
      </c>
      <c r="D43" t="s">
        <v>9369</v>
      </c>
      <c r="E43" t="s">
        <v>11250</v>
      </c>
    </row>
    <row r="44" spans="1:6">
      <c r="A44" s="14" t="s">
        <v>11445</v>
      </c>
      <c r="B44" t="s">
        <v>12302</v>
      </c>
      <c r="C44" t="s">
        <v>11244</v>
      </c>
      <c r="D44" t="s">
        <v>9369</v>
      </c>
      <c r="E44" t="s">
        <v>11250</v>
      </c>
    </row>
    <row r="45" spans="1:6">
      <c r="A45" s="14" t="s">
        <v>11446</v>
      </c>
      <c r="B45" t="s">
        <v>12303</v>
      </c>
      <c r="C45" t="s">
        <v>519</v>
      </c>
      <c r="D45" t="s">
        <v>9369</v>
      </c>
      <c r="E45" t="s">
        <v>11251</v>
      </c>
    </row>
    <row r="46" spans="1:6">
      <c r="A46" s="14" t="s">
        <v>11447</v>
      </c>
      <c r="B46" t="s">
        <v>12308</v>
      </c>
      <c r="C46" t="s">
        <v>11244</v>
      </c>
      <c r="D46" t="s">
        <v>9369</v>
      </c>
      <c r="E46" t="s">
        <v>11250</v>
      </c>
    </row>
    <row r="47" spans="1:6">
      <c r="A47" s="14" t="s">
        <v>11448</v>
      </c>
      <c r="B47" t="s">
        <v>12304</v>
      </c>
      <c r="C47" t="s">
        <v>11245</v>
      </c>
      <c r="D47" t="s">
        <v>9369</v>
      </c>
      <c r="E47" t="s">
        <v>11251</v>
      </c>
    </row>
    <row r="48" spans="1:6">
      <c r="A48" s="14" t="s">
        <v>11449</v>
      </c>
      <c r="B48" t="s">
        <v>12305</v>
      </c>
      <c r="C48" t="s">
        <v>11244</v>
      </c>
      <c r="D48" t="s">
        <v>9369</v>
      </c>
      <c r="E48" t="s">
        <v>11250</v>
      </c>
    </row>
    <row r="49" spans="1:5">
      <c r="A49" s="14" t="s">
        <v>11450</v>
      </c>
      <c r="B49" t="s">
        <v>12306</v>
      </c>
      <c r="C49" t="s">
        <v>11245</v>
      </c>
      <c r="D49" t="s">
        <v>9369</v>
      </c>
      <c r="E49" t="s">
        <v>11251</v>
      </c>
    </row>
    <row r="50" spans="1:5">
      <c r="A50" s="14" t="s">
        <v>11451</v>
      </c>
      <c r="B50" t="s">
        <v>12307</v>
      </c>
      <c r="C50" t="s">
        <v>11245</v>
      </c>
      <c r="D50" t="s">
        <v>9369</v>
      </c>
      <c r="E50" t="s">
        <v>11251</v>
      </c>
    </row>
  </sheetData>
  <conditionalFormatting sqref="A1:A1048576">
    <cfRule type="duplicateValues" dxfId="0" priority="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8DFFF67-A40B-460B-A366-91C7EFBE7D0B}">
          <x14:formula1>
            <xm:f>'Data Validation'!$G$2:$G$3</xm:f>
          </x14:formula1>
          <xm:sqref>D2:D50</xm:sqref>
        </x14:dataValidation>
        <x14:dataValidation type="list" allowBlank="1" showInputMessage="1" showErrorMessage="1" xr:uid="{195850E2-0F64-4238-99F4-28B65889AF8F}">
          <x14:formula1>
            <xm:f>'Data Validation'!$K$2:$K$6</xm:f>
          </x14:formula1>
          <xm:sqref>C2:C50</xm:sqref>
        </x14:dataValidation>
        <x14:dataValidation type="list" allowBlank="1" showInputMessage="1" showErrorMessage="1" xr:uid="{D2FEE0A9-12DA-4649-8558-95BEE4A9E4F9}">
          <x14:formula1>
            <xm:f>'Data Validation'!$M$2:$M$7</xm:f>
          </x14:formula1>
          <xm:sqref>E2:E50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7758-55B1-43C5-90E9-B5ADA7907620}">
  <sheetPr>
    <tabColor theme="3" tint="0.59999389629810485"/>
  </sheetPr>
  <dimension ref="A1:D15"/>
  <sheetViews>
    <sheetView zoomScale="123" workbookViewId="0">
      <selection sqref="A1:D15"/>
    </sheetView>
  </sheetViews>
  <sheetFormatPr defaultRowHeight="15"/>
  <cols>
    <col min="1" max="3" width="20.140625" customWidth="1"/>
    <col min="4" max="4" width="27" bestFit="1" customWidth="1"/>
  </cols>
  <sheetData>
    <row r="1" spans="1:4">
      <c r="A1" s="19" t="s">
        <v>9350</v>
      </c>
      <c r="B1" s="19" t="s">
        <v>514</v>
      </c>
      <c r="C1" s="19" t="s">
        <v>9351</v>
      </c>
      <c r="D1" s="19" t="s">
        <v>9352</v>
      </c>
    </row>
    <row r="2" spans="1:4">
      <c r="A2" t="s">
        <v>9353</v>
      </c>
      <c r="B2" t="s">
        <v>650</v>
      </c>
      <c r="C2" s="14" t="s">
        <v>9354</v>
      </c>
      <c r="D2" t="s">
        <v>11056</v>
      </c>
    </row>
    <row r="3" spans="1:4">
      <c r="A3" t="s">
        <v>9378</v>
      </c>
      <c r="B3" t="s">
        <v>650</v>
      </c>
      <c r="C3" s="14" t="s">
        <v>9355</v>
      </c>
      <c r="D3" t="s">
        <v>11057</v>
      </c>
    </row>
    <row r="4" spans="1:4">
      <c r="A4" t="s">
        <v>9405</v>
      </c>
      <c r="B4" t="s">
        <v>650</v>
      </c>
      <c r="C4" s="14" t="s">
        <v>9356</v>
      </c>
      <c r="D4" t="s">
        <v>11058</v>
      </c>
    </row>
    <row r="5" spans="1:4">
      <c r="A5" t="s">
        <v>9369</v>
      </c>
      <c r="B5" t="s">
        <v>650</v>
      </c>
      <c r="C5" s="14" t="s">
        <v>9357</v>
      </c>
      <c r="D5" t="s">
        <v>11059</v>
      </c>
    </row>
    <row r="6" spans="1:4">
      <c r="A6" t="s">
        <v>9353</v>
      </c>
      <c r="B6" t="s">
        <v>519</v>
      </c>
      <c r="C6" s="14" t="s">
        <v>9358</v>
      </c>
      <c r="D6" t="s">
        <v>11060</v>
      </c>
    </row>
    <row r="7" spans="1:4">
      <c r="A7" t="s">
        <v>9378</v>
      </c>
      <c r="B7" t="s">
        <v>519</v>
      </c>
      <c r="C7" s="14" t="s">
        <v>9359</v>
      </c>
      <c r="D7" t="s">
        <v>11061</v>
      </c>
    </row>
    <row r="8" spans="1:4">
      <c r="A8" t="s">
        <v>9405</v>
      </c>
      <c r="B8" t="s">
        <v>519</v>
      </c>
      <c r="C8" s="14" t="s">
        <v>9360</v>
      </c>
      <c r="D8" t="s">
        <v>11062</v>
      </c>
    </row>
    <row r="9" spans="1:4">
      <c r="A9" t="s">
        <v>9369</v>
      </c>
      <c r="B9" t="s">
        <v>519</v>
      </c>
      <c r="C9" s="14" t="s">
        <v>9361</v>
      </c>
      <c r="D9" t="s">
        <v>11063</v>
      </c>
    </row>
    <row r="10" spans="1:4">
      <c r="A10" t="s">
        <v>9353</v>
      </c>
      <c r="B10" t="s">
        <v>1323</v>
      </c>
      <c r="C10" s="14" t="s">
        <v>9362</v>
      </c>
      <c r="D10" t="s">
        <v>11064</v>
      </c>
    </row>
    <row r="11" spans="1:4">
      <c r="A11" t="s">
        <v>9378</v>
      </c>
      <c r="B11" t="s">
        <v>12313</v>
      </c>
      <c r="C11" s="14" t="s">
        <v>9363</v>
      </c>
      <c r="D11" t="s">
        <v>11065</v>
      </c>
    </row>
    <row r="12" spans="1:4">
      <c r="A12" t="s">
        <v>9405</v>
      </c>
      <c r="B12" t="s">
        <v>12313</v>
      </c>
      <c r="C12" s="14" t="s">
        <v>9364</v>
      </c>
      <c r="D12" t="s">
        <v>11066</v>
      </c>
    </row>
    <row r="13" spans="1:4">
      <c r="A13" t="s">
        <v>9369</v>
      </c>
      <c r="B13" t="s">
        <v>1323</v>
      </c>
      <c r="C13" s="14" t="s">
        <v>11230</v>
      </c>
      <c r="D13" t="s">
        <v>11067</v>
      </c>
    </row>
    <row r="14" spans="1:4">
      <c r="A14" t="s">
        <v>9369</v>
      </c>
      <c r="B14" t="s">
        <v>11245</v>
      </c>
      <c r="C14" t="s">
        <v>11246</v>
      </c>
      <c r="D14" t="s">
        <v>11248</v>
      </c>
    </row>
    <row r="15" spans="1:4">
      <c r="A15" t="s">
        <v>9369</v>
      </c>
      <c r="B15" t="s">
        <v>11244</v>
      </c>
      <c r="C15" t="s">
        <v>11247</v>
      </c>
      <c r="D15" t="s">
        <v>11249</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661C2ED2-2D12-4020-A5B7-053BEBA6EB6E}">
          <x14:formula1>
            <xm:f>'Data Validation'!$I$2:$I$5</xm:f>
          </x14:formula1>
          <xm:sqref>A2:A15</xm:sqref>
        </x14:dataValidation>
        <x14:dataValidation type="list" allowBlank="1" showInputMessage="1" showErrorMessage="1" xr:uid="{3D81B563-C65D-4DF8-9DEF-DF2258853C0F}">
          <x14:formula1>
            <xm:f>'Data Validation'!$K$2:$K$9</xm:f>
          </x14:formula1>
          <xm:sqref>B2:B15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3228-DB0B-408F-ADB1-2DD31EDA6C6F}">
  <dimension ref="A1:N1048576"/>
  <sheetViews>
    <sheetView zoomScale="71" zoomScaleNormal="71" workbookViewId="0">
      <selection sqref="A1:N9"/>
    </sheetView>
  </sheetViews>
  <sheetFormatPr defaultColWidth="9" defaultRowHeight="18.75"/>
  <cols>
    <col min="1" max="1" width="12.7109375" style="7" bestFit="1" customWidth="1"/>
    <col min="2" max="2" width="9" style="7"/>
    <col min="3" max="3" width="13.7109375" style="7" bestFit="1" customWidth="1"/>
    <col min="4" max="4" width="9" style="7"/>
    <col min="5" max="5" width="22.5703125" style="7" bestFit="1" customWidth="1"/>
    <col min="6" max="6" width="9" style="7"/>
    <col min="7" max="7" width="16.140625" style="7" bestFit="1" customWidth="1"/>
    <col min="8" max="8" width="9" style="7"/>
    <col min="9" max="9" width="24" style="7" bestFit="1" customWidth="1"/>
    <col min="10" max="10" width="9" style="7"/>
    <col min="11" max="11" width="23.7109375" style="7" bestFit="1" customWidth="1"/>
    <col min="12" max="12" width="9" style="7"/>
    <col min="13" max="13" width="12" style="7" bestFit="1" customWidth="1"/>
    <col min="14" max="14" width="12.42578125" style="7" bestFit="1" customWidth="1"/>
    <col min="15" max="16384" width="9" style="7"/>
  </cols>
  <sheetData>
    <row r="1" spans="1:14">
      <c r="A1" s="7" t="s">
        <v>495</v>
      </c>
      <c r="C1" s="7" t="s">
        <v>1</v>
      </c>
      <c r="E1" s="7" t="s">
        <v>501</v>
      </c>
      <c r="G1" s="18" t="s">
        <v>11068</v>
      </c>
      <c r="I1" s="18" t="s">
        <v>9367</v>
      </c>
      <c r="K1" s="7" t="s">
        <v>514</v>
      </c>
      <c r="M1" s="7" t="s">
        <v>11072</v>
      </c>
      <c r="N1" s="7" t="s">
        <v>11073</v>
      </c>
    </row>
    <row r="2" spans="1:14">
      <c r="A2" s="7" t="s">
        <v>496</v>
      </c>
      <c r="C2" s="7" t="s">
        <v>500</v>
      </c>
      <c r="E2" s="7" t="s">
        <v>503</v>
      </c>
      <c r="G2" s="7" t="s">
        <v>9369</v>
      </c>
      <c r="I2" s="7" t="s">
        <v>9369</v>
      </c>
      <c r="K2" s="7" t="s">
        <v>650</v>
      </c>
      <c r="M2" s="7" t="s">
        <v>11069</v>
      </c>
    </row>
    <row r="3" spans="1:14">
      <c r="A3" s="7" t="s">
        <v>497</v>
      </c>
      <c r="C3" s="7" t="s">
        <v>5</v>
      </c>
      <c r="E3" s="7" t="s">
        <v>502</v>
      </c>
      <c r="G3" s="7" t="s">
        <v>9378</v>
      </c>
      <c r="I3" s="7" t="s">
        <v>9378</v>
      </c>
      <c r="K3" s="7" t="s">
        <v>519</v>
      </c>
      <c r="M3" s="7" t="s">
        <v>11070</v>
      </c>
    </row>
    <row r="4" spans="1:14">
      <c r="A4" s="7" t="s">
        <v>498</v>
      </c>
      <c r="C4" s="7" t="s">
        <v>183</v>
      </c>
      <c r="I4" s="7" t="s">
        <v>9353</v>
      </c>
      <c r="K4" s="7" t="s">
        <v>1323</v>
      </c>
      <c r="M4" s="7" t="s">
        <v>11074</v>
      </c>
    </row>
    <row r="5" spans="1:14">
      <c r="A5" s="7" t="s">
        <v>499</v>
      </c>
      <c r="I5" s="7" t="s">
        <v>9405</v>
      </c>
      <c r="K5" s="7" t="s">
        <v>11244</v>
      </c>
      <c r="M5" s="7" t="s">
        <v>11071</v>
      </c>
    </row>
    <row r="6" spans="1:14">
      <c r="K6" s="7" t="s">
        <v>11245</v>
      </c>
      <c r="M6" s="7" t="s">
        <v>11250</v>
      </c>
    </row>
    <row r="7" spans="1:14">
      <c r="K7" s="7" t="s">
        <v>12311</v>
      </c>
      <c r="M7" s="7" t="s">
        <v>11251</v>
      </c>
    </row>
    <row r="8" spans="1:14">
      <c r="K8" s="7" t="s">
        <v>12312</v>
      </c>
    </row>
    <row r="9" spans="1:14">
      <c r="K9" s="7" t="s">
        <v>12313</v>
      </c>
    </row>
    <row r="1048576" spans="11:11">
      <c r="K1048576" s="26"/>
    </row>
  </sheetData>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73E7B1-4CC3-4C14-A9CA-8A1158AC3A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Sản phẩm</vt:lpstr>
      <vt:lpstr>Giá gốc</vt:lpstr>
      <vt:lpstr>Chương trình khuyến mãi</vt:lpstr>
      <vt:lpstr>Thông tin điểm giao</vt:lpstr>
      <vt:lpstr>Khách hàng</vt:lpstr>
      <vt:lpstr>Cost Center</vt:lpstr>
      <vt:lpstr>Data Validation</vt:lpstr>
      <vt:lpstr>'Chương trình khuyến mãi'!Print_Area</vt:lpstr>
      <vt:lpstr>'Chương trình khuyến mãi'!Print_Titles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Duong</dc:creator>
  <cp:lastModifiedBy>Admin</cp:lastModifiedBy>
  <cp:lastPrinted>2026-02-11T03:21:26Z</cp:lastPrinted>
  <dcterms:created xsi:type="dcterms:W3CDTF">2015-06-05T18:17:20Z</dcterms:created>
  <dcterms:modified xsi:type="dcterms:W3CDTF">2026-10-20T02:26:02Z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2026-02-10T10:13:56Z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8844812d-dbe9-448d-85d2-398c3d5231b8</vt:lpwstr>
  </property>
  <property fmtid="{D5CDD505-2E9C-101B-9397-08002B2CF9AE}" pid="7" name="MSIP_Label_defa4170-0d19-0005-0004-bc88714345d2_ActionId">
    <vt:lpwstr>a83ef53b-fb3c-40d3-8f87-a98ab6274304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