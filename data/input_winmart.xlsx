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Projects\project-upload-reboot\data\"/>
    </mc:Choice>
  </mc:AlternateContent>
  <xr:revisionPtr revIDLastSave="0" documentId="13_ncr:1_{192F61DD-20FB-4FEA-8011-2DAD12E9FE82}" xr6:coauthVersionLast="47" xr6:coauthVersionMax="47" xr10:uidLastSave="{00000000-0000-0000-0000-000000000000}"/>
  <bookViews>
    <workbookView xWindow="-120" yWindow="-120" windowWidth="29040" windowHeight="15720" tabRatio="711" activeTab="6"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phẩm'!$A$1:$E$979</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192" i="4" l="1"/>
  <c r="F5193" i="4"/>
  <c r="F5194" i="4"/>
  <c r="F5195" i="4"/>
  <c r="G5192" i="4"/>
  <c r="G5193" i="4"/>
  <c r="G5194" i="4"/>
  <c r="G5195" i="4"/>
  <c r="H5192" i="4"/>
  <c r="H5193" i="4"/>
  <c r="H5194" i="4"/>
  <c r="H5195" i="4"/>
  <c r="I5192" i="4"/>
  <c r="I5193" i="4"/>
  <c r="I5194" i="4"/>
  <c r="I519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4578" i="4"/>
  <c r="F4579" i="4"/>
  <c r="F4580" i="4"/>
  <c r="F4581" i="4"/>
  <c r="F4582" i="4"/>
  <c r="F4583" i="4"/>
  <c r="F4584" i="4"/>
  <c r="F4585" i="4"/>
  <c r="F4586" i="4"/>
  <c r="F4587" i="4"/>
  <c r="F4588" i="4"/>
  <c r="F4589" i="4"/>
  <c r="F4590" i="4"/>
  <c r="F4591" i="4"/>
  <c r="F4592" i="4"/>
  <c r="F4593" i="4"/>
  <c r="F4594" i="4"/>
  <c r="F4595" i="4"/>
  <c r="F4596" i="4"/>
  <c r="F4597" i="4"/>
  <c r="F4598" i="4"/>
  <c r="F4599" i="4"/>
  <c r="F4600" i="4"/>
  <c r="F4601" i="4"/>
  <c r="F4602" i="4"/>
  <c r="F4603" i="4"/>
  <c r="F4604" i="4"/>
  <c r="F4605" i="4"/>
  <c r="F4606" i="4"/>
  <c r="F4607" i="4"/>
  <c r="F4608" i="4"/>
  <c r="F4609" i="4"/>
  <c r="F4610" i="4"/>
  <c r="F4611" i="4"/>
  <c r="F4612" i="4"/>
  <c r="F4613" i="4"/>
  <c r="F4614" i="4"/>
  <c r="F4615" i="4"/>
  <c r="F4616" i="4"/>
  <c r="F4617" i="4"/>
  <c r="F4618" i="4"/>
  <c r="F4619" i="4"/>
  <c r="F4620" i="4"/>
  <c r="F4621" i="4"/>
  <c r="F4622" i="4"/>
  <c r="F4623" i="4"/>
  <c r="F4624" i="4"/>
  <c r="F4625" i="4"/>
  <c r="F4626" i="4"/>
  <c r="F4627" i="4"/>
  <c r="F4628" i="4"/>
  <c r="F4629" i="4"/>
  <c r="F4630" i="4"/>
  <c r="F4631" i="4"/>
  <c r="F4632" i="4"/>
  <c r="F4633" i="4"/>
  <c r="F4634" i="4"/>
  <c r="F4635" i="4"/>
  <c r="F4636" i="4"/>
  <c r="F4637" i="4"/>
  <c r="F4638" i="4"/>
  <c r="F4639" i="4"/>
  <c r="F4640" i="4"/>
  <c r="F4641" i="4"/>
  <c r="F4642" i="4"/>
  <c r="F4643" i="4"/>
  <c r="F4644" i="4"/>
  <c r="F4645" i="4"/>
  <c r="F4646" i="4"/>
  <c r="F4647" i="4"/>
  <c r="F4648" i="4"/>
  <c r="F4649" i="4"/>
  <c r="F4650" i="4"/>
  <c r="F4651" i="4"/>
  <c r="F4652" i="4"/>
  <c r="F4653" i="4"/>
  <c r="F4654" i="4"/>
  <c r="F4655" i="4"/>
  <c r="F4656" i="4"/>
  <c r="F4657" i="4"/>
  <c r="F4658" i="4"/>
  <c r="F4659" i="4"/>
  <c r="F4660" i="4"/>
  <c r="F4661" i="4"/>
  <c r="F4662" i="4"/>
  <c r="F4663" i="4"/>
  <c r="F4664" i="4"/>
  <c r="F4665" i="4"/>
  <c r="F4666" i="4"/>
  <c r="F4667" i="4"/>
  <c r="F4668" i="4"/>
  <c r="F4669" i="4"/>
  <c r="F4670" i="4"/>
  <c r="F4671" i="4"/>
  <c r="F4672" i="4"/>
  <c r="F4673" i="4"/>
  <c r="F4674" i="4"/>
  <c r="F4675" i="4"/>
  <c r="F4676" i="4"/>
  <c r="F4677" i="4"/>
  <c r="F4678" i="4"/>
  <c r="F4679" i="4"/>
  <c r="F4680" i="4"/>
  <c r="F4681" i="4"/>
  <c r="F4682" i="4"/>
  <c r="F4683" i="4"/>
  <c r="F4684" i="4"/>
  <c r="F4685" i="4"/>
  <c r="F4686" i="4"/>
  <c r="F4687" i="4"/>
  <c r="F4688" i="4"/>
  <c r="F4689" i="4"/>
  <c r="F4690" i="4"/>
  <c r="F4691" i="4"/>
  <c r="F4692" i="4"/>
  <c r="F4693" i="4"/>
  <c r="F4694" i="4"/>
  <c r="F4695" i="4"/>
  <c r="F4696" i="4"/>
  <c r="F4697" i="4"/>
  <c r="F4698" i="4"/>
  <c r="F4699" i="4"/>
  <c r="F4700" i="4"/>
  <c r="F4701" i="4"/>
  <c r="F4702" i="4"/>
  <c r="F4703" i="4"/>
  <c r="F4704" i="4"/>
  <c r="F4705" i="4"/>
  <c r="F4706" i="4"/>
  <c r="F4707" i="4"/>
  <c r="F4708" i="4"/>
  <c r="F4709" i="4"/>
  <c r="F4710" i="4"/>
  <c r="F4711" i="4"/>
  <c r="F4712" i="4"/>
  <c r="F4713" i="4"/>
  <c r="F4714" i="4"/>
  <c r="F4715" i="4"/>
  <c r="F4716" i="4"/>
  <c r="F4717" i="4"/>
  <c r="F4718" i="4"/>
  <c r="F4719" i="4"/>
  <c r="F4720" i="4"/>
  <c r="F4721" i="4"/>
  <c r="F4722" i="4"/>
  <c r="F4723" i="4"/>
  <c r="F4724" i="4"/>
  <c r="F4725" i="4"/>
  <c r="F4726" i="4"/>
  <c r="F4727" i="4"/>
  <c r="F4728" i="4"/>
  <c r="F4729" i="4"/>
  <c r="F4730" i="4"/>
  <c r="F4731" i="4"/>
  <c r="F4732" i="4"/>
  <c r="F4733" i="4"/>
  <c r="F4734" i="4"/>
  <c r="F4735" i="4"/>
  <c r="F4736" i="4"/>
  <c r="F4737" i="4"/>
  <c r="F4738" i="4"/>
  <c r="F4739" i="4"/>
  <c r="F4740" i="4"/>
  <c r="F4741" i="4"/>
  <c r="F4742" i="4"/>
  <c r="F4743" i="4"/>
  <c r="F4744" i="4"/>
  <c r="F4745" i="4"/>
  <c r="F4746" i="4"/>
  <c r="F4747" i="4"/>
  <c r="F4748" i="4"/>
  <c r="F4749" i="4"/>
  <c r="F4750" i="4"/>
  <c r="F4751" i="4"/>
  <c r="F4752" i="4"/>
  <c r="F4753" i="4"/>
  <c r="F4754" i="4"/>
  <c r="F4755" i="4"/>
  <c r="F4756" i="4"/>
  <c r="F4757" i="4"/>
  <c r="F4758" i="4"/>
  <c r="F4759" i="4"/>
  <c r="F4760" i="4"/>
  <c r="F4761" i="4"/>
  <c r="F4762" i="4"/>
  <c r="F4763" i="4"/>
  <c r="F4764" i="4"/>
  <c r="F4765" i="4"/>
  <c r="F4766" i="4"/>
  <c r="F4767" i="4"/>
  <c r="F4768" i="4"/>
  <c r="F4769" i="4"/>
  <c r="F4770" i="4"/>
  <c r="F4771" i="4"/>
  <c r="F4772" i="4"/>
  <c r="F4773" i="4"/>
  <c r="F4774" i="4"/>
  <c r="F4775" i="4"/>
  <c r="F4776" i="4"/>
  <c r="F4777" i="4"/>
  <c r="F4778" i="4"/>
  <c r="F4779" i="4"/>
  <c r="F4780" i="4"/>
  <c r="F4781" i="4"/>
  <c r="F4782" i="4"/>
  <c r="F4783" i="4"/>
  <c r="F4784" i="4"/>
  <c r="F4785" i="4"/>
  <c r="F4786" i="4"/>
  <c r="F4787" i="4"/>
  <c r="F4788" i="4"/>
  <c r="F4789" i="4"/>
  <c r="F4790" i="4"/>
  <c r="F4791" i="4"/>
  <c r="F4792" i="4"/>
  <c r="F4793" i="4"/>
  <c r="F4794" i="4"/>
  <c r="F4795" i="4"/>
  <c r="F4796" i="4"/>
  <c r="F4797" i="4"/>
  <c r="F4798" i="4"/>
  <c r="F4799" i="4"/>
  <c r="F4800" i="4"/>
  <c r="F4801" i="4"/>
  <c r="F4802" i="4"/>
  <c r="F4803" i="4"/>
  <c r="F4804" i="4"/>
  <c r="F4805" i="4"/>
  <c r="F4806" i="4"/>
  <c r="F4807" i="4"/>
  <c r="F4808" i="4"/>
  <c r="F4809" i="4"/>
  <c r="F4810" i="4"/>
  <c r="F4811" i="4"/>
  <c r="F4812" i="4"/>
  <c r="F4813" i="4"/>
  <c r="F4814" i="4"/>
  <c r="F4815" i="4"/>
  <c r="F4816" i="4"/>
  <c r="F4817" i="4"/>
  <c r="F4818" i="4"/>
  <c r="F4819" i="4"/>
  <c r="F4820" i="4"/>
  <c r="F4821" i="4"/>
  <c r="F4822" i="4"/>
  <c r="F4823" i="4"/>
  <c r="F4824" i="4"/>
  <c r="F4825" i="4"/>
  <c r="F4826" i="4"/>
  <c r="F4827" i="4"/>
  <c r="F4828" i="4"/>
  <c r="F4829" i="4"/>
  <c r="F4830" i="4"/>
  <c r="F4831" i="4"/>
  <c r="F4832" i="4"/>
  <c r="F4833" i="4"/>
  <c r="F4834" i="4"/>
  <c r="F4835" i="4"/>
  <c r="F4836" i="4"/>
  <c r="F4837" i="4"/>
  <c r="F4838" i="4"/>
  <c r="F4839" i="4"/>
  <c r="F4840" i="4"/>
  <c r="F4841" i="4"/>
  <c r="F4842" i="4"/>
  <c r="F4843" i="4"/>
  <c r="F4844" i="4"/>
  <c r="F4845" i="4"/>
  <c r="F4846" i="4"/>
  <c r="F4847" i="4"/>
  <c r="F4848" i="4"/>
  <c r="F4849" i="4"/>
  <c r="F4850" i="4"/>
  <c r="F4851" i="4"/>
  <c r="F4852" i="4"/>
  <c r="F4853" i="4"/>
  <c r="F4854" i="4"/>
  <c r="F4855" i="4"/>
  <c r="F4856" i="4"/>
  <c r="F4857" i="4"/>
  <c r="F4858" i="4"/>
  <c r="F4859" i="4"/>
  <c r="F4860" i="4"/>
  <c r="F4861" i="4"/>
  <c r="F4862" i="4"/>
  <c r="F4863" i="4"/>
  <c r="F4864" i="4"/>
  <c r="F4865" i="4"/>
  <c r="F4866" i="4"/>
  <c r="F4867" i="4"/>
  <c r="F4868" i="4"/>
  <c r="F4869" i="4"/>
  <c r="F4870" i="4"/>
  <c r="F4871" i="4"/>
  <c r="F4872" i="4"/>
  <c r="F4873" i="4"/>
  <c r="F4874" i="4"/>
  <c r="F4875" i="4"/>
  <c r="F4876" i="4"/>
  <c r="F4877" i="4"/>
  <c r="F4878" i="4"/>
  <c r="F4879" i="4"/>
  <c r="F4880" i="4"/>
  <c r="F4881" i="4"/>
  <c r="F4882" i="4"/>
  <c r="F4883" i="4"/>
  <c r="F4884" i="4"/>
  <c r="F4885" i="4"/>
  <c r="F4886" i="4"/>
  <c r="F4887" i="4"/>
  <c r="F4888" i="4"/>
  <c r="F4889" i="4"/>
  <c r="F4890" i="4"/>
  <c r="F4891" i="4"/>
  <c r="F4892" i="4"/>
  <c r="F4893" i="4"/>
  <c r="F4894" i="4"/>
  <c r="F4895" i="4"/>
  <c r="F4896" i="4"/>
  <c r="F4897" i="4"/>
  <c r="F4898" i="4"/>
  <c r="F4899" i="4"/>
  <c r="F4900" i="4"/>
  <c r="F4901" i="4"/>
  <c r="F4902" i="4"/>
  <c r="F4903" i="4"/>
  <c r="F4904" i="4"/>
  <c r="F4905" i="4"/>
  <c r="F4906" i="4"/>
  <c r="F4907" i="4"/>
  <c r="F4908" i="4"/>
  <c r="F4909" i="4"/>
  <c r="F4910" i="4"/>
  <c r="F4911" i="4"/>
  <c r="F4912" i="4"/>
  <c r="F4913" i="4"/>
  <c r="F4914" i="4"/>
  <c r="F4915" i="4"/>
  <c r="F4916" i="4"/>
  <c r="F4917" i="4"/>
  <c r="F4918" i="4"/>
  <c r="F4919" i="4"/>
  <c r="F4920" i="4"/>
  <c r="F4921" i="4"/>
  <c r="F4922" i="4"/>
  <c r="F4923" i="4"/>
  <c r="F4924" i="4"/>
  <c r="F4925" i="4"/>
  <c r="F4926" i="4"/>
  <c r="F4927" i="4"/>
  <c r="F4928" i="4"/>
  <c r="F4929" i="4"/>
  <c r="F4930" i="4"/>
  <c r="F4931" i="4"/>
  <c r="F4932" i="4"/>
  <c r="F4933" i="4"/>
  <c r="F4934" i="4"/>
  <c r="F4935" i="4"/>
  <c r="F4936" i="4"/>
  <c r="F4937" i="4"/>
  <c r="F4938" i="4"/>
  <c r="F4939" i="4"/>
  <c r="F4940" i="4"/>
  <c r="F4941" i="4"/>
  <c r="F4942" i="4"/>
  <c r="F4943" i="4"/>
  <c r="F4944" i="4"/>
  <c r="F4945" i="4"/>
  <c r="F4946" i="4"/>
  <c r="F4947" i="4"/>
  <c r="F4948" i="4"/>
  <c r="F4949" i="4"/>
  <c r="F4950" i="4"/>
  <c r="F4951" i="4"/>
  <c r="F4952" i="4"/>
  <c r="F4953" i="4"/>
  <c r="F4954" i="4"/>
  <c r="F4955" i="4"/>
  <c r="F4956" i="4"/>
  <c r="F4957" i="4"/>
  <c r="F4958" i="4"/>
  <c r="F4959" i="4"/>
  <c r="F4960" i="4"/>
  <c r="F4961" i="4"/>
  <c r="F4962" i="4"/>
  <c r="F4963" i="4"/>
  <c r="F4964" i="4"/>
  <c r="F4965" i="4"/>
  <c r="F4966" i="4"/>
  <c r="F4967" i="4"/>
  <c r="F4968" i="4"/>
  <c r="F4969" i="4"/>
  <c r="F4970" i="4"/>
  <c r="F4971" i="4"/>
  <c r="F4972" i="4"/>
  <c r="F4973" i="4"/>
  <c r="F4974" i="4"/>
  <c r="F4975" i="4"/>
  <c r="F4976" i="4"/>
  <c r="F4977" i="4"/>
  <c r="F4978" i="4"/>
  <c r="F4979" i="4"/>
  <c r="F4980" i="4"/>
  <c r="F4981" i="4"/>
  <c r="F4982" i="4"/>
  <c r="F4983" i="4"/>
  <c r="F4984" i="4"/>
  <c r="F4985" i="4"/>
  <c r="F4986" i="4"/>
  <c r="F4987" i="4"/>
  <c r="F4988" i="4"/>
  <c r="F4989" i="4"/>
  <c r="F4990" i="4"/>
  <c r="F4991" i="4"/>
  <c r="F4992" i="4"/>
  <c r="F4993" i="4"/>
  <c r="F4994" i="4"/>
  <c r="F4995" i="4"/>
  <c r="F4996" i="4"/>
  <c r="F4997" i="4"/>
  <c r="F4998" i="4"/>
  <c r="F4999" i="4"/>
  <c r="F5000" i="4"/>
  <c r="F5001" i="4"/>
  <c r="F5002" i="4"/>
  <c r="F5003" i="4"/>
  <c r="F5004" i="4"/>
  <c r="F5005" i="4"/>
  <c r="F5006" i="4"/>
  <c r="F5007" i="4"/>
  <c r="F5008" i="4"/>
  <c r="F5009" i="4"/>
  <c r="F5010" i="4"/>
  <c r="F5011" i="4"/>
  <c r="F5012" i="4"/>
  <c r="F5013" i="4"/>
  <c r="F5014" i="4"/>
  <c r="F5015" i="4"/>
  <c r="F5016" i="4"/>
  <c r="F5017" i="4"/>
  <c r="F5018" i="4"/>
  <c r="F5019" i="4"/>
  <c r="F5020" i="4"/>
  <c r="F5021" i="4"/>
  <c r="F5022" i="4"/>
  <c r="F5023" i="4"/>
  <c r="F5024" i="4"/>
  <c r="F5025" i="4"/>
  <c r="F5026" i="4"/>
  <c r="F5027" i="4"/>
  <c r="F5028" i="4"/>
  <c r="F5029" i="4"/>
  <c r="F5030" i="4"/>
  <c r="F5031" i="4"/>
  <c r="F5032" i="4"/>
  <c r="F5033" i="4"/>
  <c r="F5034" i="4"/>
  <c r="F5035" i="4"/>
  <c r="F5036" i="4"/>
  <c r="F5037" i="4"/>
  <c r="F5038" i="4"/>
  <c r="F5039" i="4"/>
  <c r="F5040" i="4"/>
  <c r="F5041" i="4"/>
  <c r="F5042" i="4"/>
  <c r="F5043" i="4"/>
  <c r="F5044" i="4"/>
  <c r="F5045" i="4"/>
  <c r="F5046" i="4"/>
  <c r="F5047" i="4"/>
  <c r="F5048" i="4"/>
  <c r="F5049" i="4"/>
  <c r="F5050" i="4"/>
  <c r="F5051" i="4"/>
  <c r="F5052" i="4"/>
  <c r="F5053" i="4"/>
  <c r="F5054" i="4"/>
  <c r="F5055" i="4"/>
  <c r="F5056" i="4"/>
  <c r="F5057" i="4"/>
  <c r="F5058" i="4"/>
  <c r="F5059" i="4"/>
  <c r="F5060" i="4"/>
  <c r="F5061" i="4"/>
  <c r="F5062" i="4"/>
  <c r="F5063" i="4"/>
  <c r="F5064" i="4"/>
  <c r="F5065" i="4"/>
  <c r="F5066" i="4"/>
  <c r="F5067" i="4"/>
  <c r="F5068" i="4"/>
  <c r="F5069" i="4"/>
  <c r="F5070" i="4"/>
  <c r="F5071" i="4"/>
  <c r="F5072" i="4"/>
  <c r="F5073" i="4"/>
  <c r="F5074" i="4"/>
  <c r="F5075" i="4"/>
  <c r="F5076" i="4"/>
  <c r="F5077" i="4"/>
  <c r="F5078" i="4"/>
  <c r="F5079" i="4"/>
  <c r="F5080" i="4"/>
  <c r="F5081" i="4"/>
  <c r="F5082" i="4"/>
  <c r="F5083" i="4"/>
  <c r="F5084" i="4"/>
  <c r="F5085" i="4"/>
  <c r="F5086" i="4"/>
  <c r="F5087" i="4"/>
  <c r="F5088" i="4"/>
  <c r="F5089" i="4"/>
  <c r="F5090" i="4"/>
  <c r="F5091" i="4"/>
  <c r="F5092" i="4"/>
  <c r="F5093" i="4"/>
  <c r="F5094" i="4"/>
  <c r="F5095" i="4"/>
  <c r="F5096" i="4"/>
  <c r="F5097" i="4"/>
  <c r="F5098" i="4"/>
  <c r="F5099" i="4"/>
  <c r="F5100" i="4"/>
  <c r="F5101" i="4"/>
  <c r="F5102" i="4"/>
  <c r="F5103" i="4"/>
  <c r="F5104" i="4"/>
  <c r="F5105" i="4"/>
  <c r="F5106" i="4"/>
  <c r="F5107" i="4"/>
  <c r="F5108" i="4"/>
  <c r="F5109" i="4"/>
  <c r="F5110" i="4"/>
  <c r="F5111" i="4"/>
  <c r="F5112" i="4"/>
  <c r="F5113" i="4"/>
  <c r="F5114" i="4"/>
  <c r="F5115" i="4"/>
  <c r="F5116" i="4"/>
  <c r="F5117" i="4"/>
  <c r="F5118" i="4"/>
  <c r="F5119" i="4"/>
  <c r="F5120" i="4"/>
  <c r="F5121" i="4"/>
  <c r="F5122" i="4"/>
  <c r="F5123" i="4"/>
  <c r="F5124" i="4"/>
  <c r="F5125" i="4"/>
  <c r="F5126" i="4"/>
  <c r="F5127" i="4"/>
  <c r="F5128" i="4"/>
  <c r="F5129" i="4"/>
  <c r="F5130" i="4"/>
  <c r="F5131" i="4"/>
  <c r="F5132" i="4"/>
  <c r="F5133" i="4"/>
  <c r="F5134" i="4"/>
  <c r="F5135" i="4"/>
  <c r="F5136" i="4"/>
  <c r="F5137" i="4"/>
  <c r="F5138" i="4"/>
  <c r="F5139" i="4"/>
  <c r="F5140" i="4"/>
  <c r="F5141" i="4"/>
  <c r="F5142" i="4"/>
  <c r="F5143" i="4"/>
  <c r="F5144" i="4"/>
  <c r="F5145" i="4"/>
  <c r="F5146" i="4"/>
  <c r="F5147" i="4"/>
  <c r="F5148" i="4"/>
  <c r="F5149" i="4"/>
  <c r="F5150" i="4"/>
  <c r="F5151" i="4"/>
  <c r="F5152" i="4"/>
  <c r="F5153" i="4"/>
  <c r="F5154" i="4"/>
  <c r="F5155" i="4"/>
  <c r="F5156" i="4"/>
  <c r="F5157" i="4"/>
  <c r="F5158" i="4"/>
  <c r="F5159" i="4"/>
  <c r="F5160" i="4"/>
  <c r="F5161" i="4"/>
  <c r="F5162" i="4"/>
  <c r="F5163" i="4"/>
  <c r="F5164" i="4"/>
  <c r="F5165" i="4"/>
  <c r="F5166" i="4"/>
  <c r="F5167" i="4"/>
  <c r="F5168" i="4"/>
  <c r="F5169" i="4"/>
  <c r="F5170" i="4"/>
  <c r="F5171" i="4"/>
  <c r="F5172" i="4"/>
  <c r="F5173" i="4"/>
  <c r="F5174" i="4"/>
  <c r="F5175" i="4"/>
  <c r="F5176" i="4"/>
  <c r="F5177" i="4"/>
  <c r="F5178" i="4"/>
  <c r="F5179" i="4"/>
  <c r="F5180" i="4"/>
  <c r="F5181" i="4"/>
  <c r="F5182" i="4"/>
  <c r="F5183" i="4"/>
  <c r="F5184" i="4"/>
  <c r="F5185" i="4"/>
  <c r="F5186" i="4"/>
  <c r="F5187" i="4"/>
  <c r="F5188" i="4"/>
  <c r="F5189" i="4"/>
  <c r="F5190" i="4"/>
  <c r="F5191" i="4"/>
  <c r="G4066" i="4"/>
  <c r="G4067" i="4"/>
  <c r="G4068" i="4"/>
  <c r="G4069" i="4"/>
  <c r="G4070" i="4"/>
  <c r="G4071" i="4"/>
  <c r="G4072" i="4"/>
  <c r="G4073" i="4"/>
  <c r="G4074" i="4"/>
  <c r="G4075" i="4"/>
  <c r="G4076" i="4"/>
  <c r="G4077" i="4"/>
  <c r="G4078" i="4"/>
  <c r="G4079" i="4"/>
  <c r="G4080" i="4"/>
  <c r="G4081" i="4"/>
  <c r="G4082" i="4"/>
  <c r="G4083" i="4"/>
  <c r="G4084" i="4"/>
  <c r="G4085" i="4"/>
  <c r="G4086" i="4"/>
  <c r="G4087" i="4"/>
  <c r="G4088" i="4"/>
  <c r="G4089" i="4"/>
  <c r="G4090" i="4"/>
  <c r="G4091" i="4"/>
  <c r="G4092" i="4"/>
  <c r="G4093" i="4"/>
  <c r="G4094" i="4"/>
  <c r="G4095" i="4"/>
  <c r="G4096" i="4"/>
  <c r="G4097" i="4"/>
  <c r="G4098" i="4"/>
  <c r="G4099" i="4"/>
  <c r="G4100" i="4"/>
  <c r="G4101" i="4"/>
  <c r="G4102" i="4"/>
  <c r="G4103" i="4"/>
  <c r="G4104" i="4"/>
  <c r="G4105" i="4"/>
  <c r="G4106" i="4"/>
  <c r="G4107" i="4"/>
  <c r="G4108" i="4"/>
  <c r="G4109" i="4"/>
  <c r="G4110" i="4"/>
  <c r="G4111" i="4"/>
  <c r="G4112" i="4"/>
  <c r="G4113" i="4"/>
  <c r="G4114" i="4"/>
  <c r="G4115"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G4154" i="4"/>
  <c r="G4155" i="4"/>
  <c r="G4156" i="4"/>
  <c r="G4157" i="4"/>
  <c r="G4158" i="4"/>
  <c r="G4159" i="4"/>
  <c r="G4160" i="4"/>
  <c r="G4161" i="4"/>
  <c r="G4162" i="4"/>
  <c r="G4163" i="4"/>
  <c r="G4164" i="4"/>
  <c r="G4165" i="4"/>
  <c r="G4166" i="4"/>
  <c r="G4167" i="4"/>
  <c r="G4168" i="4"/>
  <c r="G4169" i="4"/>
  <c r="G4170" i="4"/>
  <c r="G4171" i="4"/>
  <c r="G4172" i="4"/>
  <c r="G4173" i="4"/>
  <c r="G4174" i="4"/>
  <c r="G4175" i="4"/>
  <c r="G4176" i="4"/>
  <c r="G4177" i="4"/>
  <c r="G4178" i="4"/>
  <c r="G4179" i="4"/>
  <c r="G4180" i="4"/>
  <c r="G4181" i="4"/>
  <c r="G4182" i="4"/>
  <c r="G4183" i="4"/>
  <c r="G4184" i="4"/>
  <c r="G4185" i="4"/>
  <c r="G4186" i="4"/>
  <c r="G4187" i="4"/>
  <c r="G4188" i="4"/>
  <c r="G4189" i="4"/>
  <c r="G4190" i="4"/>
  <c r="G4191" i="4"/>
  <c r="G4192" i="4"/>
  <c r="G4193" i="4"/>
  <c r="G4194" i="4"/>
  <c r="G4195" i="4"/>
  <c r="G4196" i="4"/>
  <c r="G4197" i="4"/>
  <c r="G4198" i="4"/>
  <c r="G4199" i="4"/>
  <c r="G4200" i="4"/>
  <c r="G4201" i="4"/>
  <c r="G4202" i="4"/>
  <c r="G4203" i="4"/>
  <c r="G4204" i="4"/>
  <c r="G4205" i="4"/>
  <c r="G4206" i="4"/>
  <c r="G4207" i="4"/>
  <c r="G4208" i="4"/>
  <c r="G4209" i="4"/>
  <c r="G4210" i="4"/>
  <c r="G4211" i="4"/>
  <c r="G4212" i="4"/>
  <c r="G4213" i="4"/>
  <c r="G4214" i="4"/>
  <c r="G4215" i="4"/>
  <c r="G4216" i="4"/>
  <c r="G4217" i="4"/>
  <c r="G4218" i="4"/>
  <c r="G4219" i="4"/>
  <c r="G4220" i="4"/>
  <c r="G4221" i="4"/>
  <c r="G4222" i="4"/>
  <c r="G4223" i="4"/>
  <c r="G4224" i="4"/>
  <c r="G4225" i="4"/>
  <c r="G4226" i="4"/>
  <c r="G4227" i="4"/>
  <c r="G4228" i="4"/>
  <c r="G4229" i="4"/>
  <c r="G4230" i="4"/>
  <c r="G4231" i="4"/>
  <c r="G4232" i="4"/>
  <c r="G4233" i="4"/>
  <c r="G4234" i="4"/>
  <c r="G4235" i="4"/>
  <c r="G4236" i="4"/>
  <c r="G4237" i="4"/>
  <c r="G4238" i="4"/>
  <c r="G4239" i="4"/>
  <c r="G4240" i="4"/>
  <c r="G4241" i="4"/>
  <c r="G4242" i="4"/>
  <c r="G4243" i="4"/>
  <c r="G4244" i="4"/>
  <c r="G4245" i="4"/>
  <c r="G4246" i="4"/>
  <c r="G4247" i="4"/>
  <c r="G4248" i="4"/>
  <c r="G4249" i="4"/>
  <c r="G4250" i="4"/>
  <c r="G4251" i="4"/>
  <c r="G4252" i="4"/>
  <c r="G4253" i="4"/>
  <c r="G4254" i="4"/>
  <c r="G4255" i="4"/>
  <c r="G4256" i="4"/>
  <c r="G4257" i="4"/>
  <c r="G4258" i="4"/>
  <c r="G4259" i="4"/>
  <c r="G4260" i="4"/>
  <c r="G4261" i="4"/>
  <c r="G4262" i="4"/>
  <c r="G4263" i="4"/>
  <c r="G4264" i="4"/>
  <c r="G4265" i="4"/>
  <c r="G4266" i="4"/>
  <c r="G4267" i="4"/>
  <c r="G4268" i="4"/>
  <c r="G4269" i="4"/>
  <c r="G4270" i="4"/>
  <c r="G4271" i="4"/>
  <c r="G4272" i="4"/>
  <c r="G4273" i="4"/>
  <c r="G4274" i="4"/>
  <c r="G4275" i="4"/>
  <c r="G4276" i="4"/>
  <c r="G4277" i="4"/>
  <c r="G4278" i="4"/>
  <c r="G4279" i="4"/>
  <c r="G4280" i="4"/>
  <c r="G4281" i="4"/>
  <c r="G4282" i="4"/>
  <c r="G4283" i="4"/>
  <c r="G4284" i="4"/>
  <c r="G4285" i="4"/>
  <c r="G4286" i="4"/>
  <c r="G4287" i="4"/>
  <c r="G4288" i="4"/>
  <c r="G4289" i="4"/>
  <c r="G4290" i="4"/>
  <c r="G4291" i="4"/>
  <c r="G4292" i="4"/>
  <c r="G4293" i="4"/>
  <c r="G4294" i="4"/>
  <c r="G4295" i="4"/>
  <c r="G4296" i="4"/>
  <c r="G4297" i="4"/>
  <c r="G4298" i="4"/>
  <c r="G4299" i="4"/>
  <c r="G4300" i="4"/>
  <c r="G4301" i="4"/>
  <c r="G4302" i="4"/>
  <c r="G4303" i="4"/>
  <c r="G4304" i="4"/>
  <c r="G4305" i="4"/>
  <c r="G4306" i="4"/>
  <c r="G4307" i="4"/>
  <c r="G4308" i="4"/>
  <c r="G4309" i="4"/>
  <c r="G4310" i="4"/>
  <c r="G4311" i="4"/>
  <c r="G4312" i="4"/>
  <c r="G4313" i="4"/>
  <c r="G4314" i="4"/>
  <c r="G4315" i="4"/>
  <c r="G4316" i="4"/>
  <c r="G4317" i="4"/>
  <c r="G4318" i="4"/>
  <c r="G4319" i="4"/>
  <c r="G4320" i="4"/>
  <c r="G4321" i="4"/>
  <c r="G4322" i="4"/>
  <c r="G4323" i="4"/>
  <c r="G4324" i="4"/>
  <c r="G4325" i="4"/>
  <c r="G4326" i="4"/>
  <c r="G4327" i="4"/>
  <c r="G4328" i="4"/>
  <c r="G4329" i="4"/>
  <c r="G4330" i="4"/>
  <c r="G4331" i="4"/>
  <c r="G4332" i="4"/>
  <c r="G4333" i="4"/>
  <c r="G4334" i="4"/>
  <c r="G4335" i="4"/>
  <c r="G4336" i="4"/>
  <c r="G4337" i="4"/>
  <c r="G4338" i="4"/>
  <c r="G4339" i="4"/>
  <c r="G4340" i="4"/>
  <c r="G4341" i="4"/>
  <c r="G4342" i="4"/>
  <c r="G4343" i="4"/>
  <c r="G4344" i="4"/>
  <c r="G4345" i="4"/>
  <c r="G4346" i="4"/>
  <c r="G4347" i="4"/>
  <c r="G4348" i="4"/>
  <c r="G4349" i="4"/>
  <c r="G4350" i="4"/>
  <c r="G4351" i="4"/>
  <c r="G4352" i="4"/>
  <c r="G4353" i="4"/>
  <c r="G4354" i="4"/>
  <c r="G4355" i="4"/>
  <c r="G4356" i="4"/>
  <c r="G4357" i="4"/>
  <c r="G4358" i="4"/>
  <c r="G4359" i="4"/>
  <c r="G4360" i="4"/>
  <c r="G4361" i="4"/>
  <c r="G4362" i="4"/>
  <c r="G4363" i="4"/>
  <c r="G4364" i="4"/>
  <c r="G4365" i="4"/>
  <c r="G4366" i="4"/>
  <c r="G4367" i="4"/>
  <c r="G4368" i="4"/>
  <c r="G4369" i="4"/>
  <c r="G4370" i="4"/>
  <c r="G4371" i="4"/>
  <c r="G4372" i="4"/>
  <c r="G4373" i="4"/>
  <c r="G4374" i="4"/>
  <c r="G4375" i="4"/>
  <c r="G4376" i="4"/>
  <c r="G4377" i="4"/>
  <c r="G4378" i="4"/>
  <c r="G4379" i="4"/>
  <c r="G4380" i="4"/>
  <c r="G4381" i="4"/>
  <c r="G4382" i="4"/>
  <c r="G4383" i="4"/>
  <c r="G4384" i="4"/>
  <c r="G4385" i="4"/>
  <c r="G4386" i="4"/>
  <c r="G4387" i="4"/>
  <c r="G4388" i="4"/>
  <c r="G4389" i="4"/>
  <c r="G4390" i="4"/>
  <c r="G4391" i="4"/>
  <c r="G4392" i="4"/>
  <c r="G4393" i="4"/>
  <c r="G4394" i="4"/>
  <c r="G4395" i="4"/>
  <c r="G4396" i="4"/>
  <c r="G4397" i="4"/>
  <c r="G4398" i="4"/>
  <c r="G4399" i="4"/>
  <c r="G4400" i="4"/>
  <c r="G4401" i="4"/>
  <c r="G4402" i="4"/>
  <c r="G4403" i="4"/>
  <c r="G4404" i="4"/>
  <c r="G4405" i="4"/>
  <c r="G4406" i="4"/>
  <c r="G4407" i="4"/>
  <c r="G4408" i="4"/>
  <c r="G4409" i="4"/>
  <c r="G4410" i="4"/>
  <c r="G4411" i="4"/>
  <c r="G4412" i="4"/>
  <c r="G4413" i="4"/>
  <c r="G4414" i="4"/>
  <c r="G4415" i="4"/>
  <c r="G4416" i="4"/>
  <c r="G4417" i="4"/>
  <c r="G4418" i="4"/>
  <c r="G4419" i="4"/>
  <c r="G4420" i="4"/>
  <c r="G4421" i="4"/>
  <c r="G4422" i="4"/>
  <c r="G4423" i="4"/>
  <c r="G4424" i="4"/>
  <c r="G4425" i="4"/>
  <c r="G4426" i="4"/>
  <c r="G4427" i="4"/>
  <c r="G4428" i="4"/>
  <c r="G4429" i="4"/>
  <c r="G4430" i="4"/>
  <c r="G4431" i="4"/>
  <c r="G4432" i="4"/>
  <c r="G4433" i="4"/>
  <c r="G4434" i="4"/>
  <c r="G4435" i="4"/>
  <c r="G4436" i="4"/>
  <c r="G4437" i="4"/>
  <c r="G4438" i="4"/>
  <c r="G4439" i="4"/>
  <c r="G4440" i="4"/>
  <c r="G4441" i="4"/>
  <c r="G4442" i="4"/>
  <c r="G4443" i="4"/>
  <c r="G4444" i="4"/>
  <c r="G4445" i="4"/>
  <c r="G4446" i="4"/>
  <c r="G4447" i="4"/>
  <c r="G4448" i="4"/>
  <c r="G4449" i="4"/>
  <c r="G4450" i="4"/>
  <c r="G4451" i="4"/>
  <c r="G4452" i="4"/>
  <c r="G4453" i="4"/>
  <c r="G4454" i="4"/>
  <c r="G4455" i="4"/>
  <c r="G4456" i="4"/>
  <c r="G4457" i="4"/>
  <c r="G4458" i="4"/>
  <c r="G4459" i="4"/>
  <c r="G4460" i="4"/>
  <c r="G4461" i="4"/>
  <c r="G4462" i="4"/>
  <c r="G4463" i="4"/>
  <c r="G4464" i="4"/>
  <c r="G4465" i="4"/>
  <c r="G4466" i="4"/>
  <c r="G4467" i="4"/>
  <c r="G4468" i="4"/>
  <c r="G4469" i="4"/>
  <c r="G4470" i="4"/>
  <c r="G4471" i="4"/>
  <c r="G4472" i="4"/>
  <c r="G4473" i="4"/>
  <c r="G4474" i="4"/>
  <c r="G4475" i="4"/>
  <c r="G4476" i="4"/>
  <c r="G4477" i="4"/>
  <c r="G4478" i="4"/>
  <c r="G4479" i="4"/>
  <c r="G4480" i="4"/>
  <c r="G4481" i="4"/>
  <c r="G4482" i="4"/>
  <c r="G4483" i="4"/>
  <c r="G4484" i="4"/>
  <c r="G4485" i="4"/>
  <c r="G4486" i="4"/>
  <c r="G4487" i="4"/>
  <c r="G4488" i="4"/>
  <c r="G4489" i="4"/>
  <c r="G4490" i="4"/>
  <c r="G4491" i="4"/>
  <c r="G4492" i="4"/>
  <c r="G4493" i="4"/>
  <c r="G4494" i="4"/>
  <c r="G4495" i="4"/>
  <c r="G4496" i="4"/>
  <c r="G4497" i="4"/>
  <c r="G4498" i="4"/>
  <c r="G4499" i="4"/>
  <c r="G4500" i="4"/>
  <c r="G4501" i="4"/>
  <c r="G4502" i="4"/>
  <c r="G4503" i="4"/>
  <c r="G4504" i="4"/>
  <c r="G4505" i="4"/>
  <c r="G4506" i="4"/>
  <c r="G4507" i="4"/>
  <c r="G4508" i="4"/>
  <c r="G4509" i="4"/>
  <c r="G4510" i="4"/>
  <c r="G4511" i="4"/>
  <c r="G4512" i="4"/>
  <c r="G4513" i="4"/>
  <c r="G4514" i="4"/>
  <c r="G4515" i="4"/>
  <c r="G4516" i="4"/>
  <c r="G4517" i="4"/>
  <c r="G4518" i="4"/>
  <c r="G4519" i="4"/>
  <c r="G4520" i="4"/>
  <c r="G4521" i="4"/>
  <c r="G4522" i="4"/>
  <c r="G4523" i="4"/>
  <c r="G4524" i="4"/>
  <c r="G4525" i="4"/>
  <c r="G4526" i="4"/>
  <c r="G4527" i="4"/>
  <c r="G4528" i="4"/>
  <c r="G4529" i="4"/>
  <c r="G4530" i="4"/>
  <c r="G4531" i="4"/>
  <c r="G4532" i="4"/>
  <c r="G4533" i="4"/>
  <c r="G4534" i="4"/>
  <c r="G4535" i="4"/>
  <c r="G4536" i="4"/>
  <c r="G4537" i="4"/>
  <c r="G4538" i="4"/>
  <c r="G4539" i="4"/>
  <c r="G4540" i="4"/>
  <c r="G4541" i="4"/>
  <c r="G4542" i="4"/>
  <c r="G4543" i="4"/>
  <c r="G4544" i="4"/>
  <c r="G4545" i="4"/>
  <c r="G4546" i="4"/>
  <c r="G4547" i="4"/>
  <c r="G4548" i="4"/>
  <c r="G4549" i="4"/>
  <c r="G4550" i="4"/>
  <c r="G4551" i="4"/>
  <c r="G4552" i="4"/>
  <c r="G4553" i="4"/>
  <c r="G4554" i="4"/>
  <c r="G4555" i="4"/>
  <c r="G4556" i="4"/>
  <c r="G4557" i="4"/>
  <c r="G4558" i="4"/>
  <c r="G4559" i="4"/>
  <c r="G4560" i="4"/>
  <c r="G4561" i="4"/>
  <c r="G4562" i="4"/>
  <c r="G4563" i="4"/>
  <c r="G4564" i="4"/>
  <c r="G4565" i="4"/>
  <c r="G4566" i="4"/>
  <c r="G4567" i="4"/>
  <c r="G4568" i="4"/>
  <c r="G4569" i="4"/>
  <c r="G4570" i="4"/>
  <c r="G4571" i="4"/>
  <c r="G4572" i="4"/>
  <c r="G4573" i="4"/>
  <c r="G4574" i="4"/>
  <c r="G4575" i="4"/>
  <c r="G4576" i="4"/>
  <c r="G4577" i="4"/>
  <c r="G4578" i="4"/>
  <c r="G4579" i="4"/>
  <c r="G4580" i="4"/>
  <c r="G4581" i="4"/>
  <c r="G4582" i="4"/>
  <c r="G4583" i="4"/>
  <c r="G4584" i="4"/>
  <c r="G4585" i="4"/>
  <c r="G4586" i="4"/>
  <c r="G4587" i="4"/>
  <c r="G4588" i="4"/>
  <c r="G4589" i="4"/>
  <c r="G4590" i="4"/>
  <c r="G4591" i="4"/>
  <c r="G4592" i="4"/>
  <c r="G4593" i="4"/>
  <c r="G4594" i="4"/>
  <c r="G4595" i="4"/>
  <c r="G4596" i="4"/>
  <c r="G4597" i="4"/>
  <c r="G4598" i="4"/>
  <c r="G4599" i="4"/>
  <c r="G4600" i="4"/>
  <c r="G4601" i="4"/>
  <c r="G4602" i="4"/>
  <c r="G4603" i="4"/>
  <c r="G4604" i="4"/>
  <c r="G4605" i="4"/>
  <c r="G4606" i="4"/>
  <c r="G4607" i="4"/>
  <c r="G4608" i="4"/>
  <c r="G4609" i="4"/>
  <c r="G4610" i="4"/>
  <c r="G4611" i="4"/>
  <c r="G4612" i="4"/>
  <c r="G4613" i="4"/>
  <c r="G4614" i="4"/>
  <c r="G4615" i="4"/>
  <c r="G4616" i="4"/>
  <c r="G4617" i="4"/>
  <c r="G4618" i="4"/>
  <c r="G4619" i="4"/>
  <c r="G4620" i="4"/>
  <c r="G4621" i="4"/>
  <c r="G4622" i="4"/>
  <c r="G4623" i="4"/>
  <c r="G4624" i="4"/>
  <c r="G4625" i="4"/>
  <c r="G4626" i="4"/>
  <c r="G4627" i="4"/>
  <c r="G4628" i="4"/>
  <c r="G4629" i="4"/>
  <c r="G4630" i="4"/>
  <c r="G4631" i="4"/>
  <c r="G4632" i="4"/>
  <c r="G4633" i="4"/>
  <c r="G4634" i="4"/>
  <c r="G4635" i="4"/>
  <c r="G4636" i="4"/>
  <c r="G4637" i="4"/>
  <c r="G4638" i="4"/>
  <c r="G4639" i="4"/>
  <c r="G4640" i="4"/>
  <c r="G4641" i="4"/>
  <c r="G4642" i="4"/>
  <c r="G4643" i="4"/>
  <c r="G4644" i="4"/>
  <c r="G4645" i="4"/>
  <c r="G4646" i="4"/>
  <c r="G4647" i="4"/>
  <c r="G4648" i="4"/>
  <c r="G4649" i="4"/>
  <c r="G4650" i="4"/>
  <c r="G4651" i="4"/>
  <c r="G4652" i="4"/>
  <c r="G4653" i="4"/>
  <c r="G4654" i="4"/>
  <c r="G4655" i="4"/>
  <c r="G4656" i="4"/>
  <c r="G4657" i="4"/>
  <c r="G4658" i="4"/>
  <c r="G4659" i="4"/>
  <c r="G4660" i="4"/>
  <c r="G4661" i="4"/>
  <c r="G4662" i="4"/>
  <c r="G4663" i="4"/>
  <c r="G4664" i="4"/>
  <c r="G4665" i="4"/>
  <c r="G4666" i="4"/>
  <c r="G4667" i="4"/>
  <c r="G4668" i="4"/>
  <c r="G4669" i="4"/>
  <c r="G4670" i="4"/>
  <c r="G4671" i="4"/>
  <c r="G4672" i="4"/>
  <c r="G4673" i="4"/>
  <c r="G4674" i="4"/>
  <c r="G4675" i="4"/>
  <c r="G4676" i="4"/>
  <c r="G4677" i="4"/>
  <c r="G4678" i="4"/>
  <c r="G4679" i="4"/>
  <c r="G4680" i="4"/>
  <c r="G4681" i="4"/>
  <c r="G4682" i="4"/>
  <c r="G4683" i="4"/>
  <c r="G4684" i="4"/>
  <c r="G4685" i="4"/>
  <c r="G4686" i="4"/>
  <c r="G4687" i="4"/>
  <c r="G4688" i="4"/>
  <c r="G4689" i="4"/>
  <c r="G4690" i="4"/>
  <c r="G4691" i="4"/>
  <c r="G4692" i="4"/>
  <c r="G4693" i="4"/>
  <c r="G4694" i="4"/>
  <c r="G4695" i="4"/>
  <c r="G4696" i="4"/>
  <c r="G4697" i="4"/>
  <c r="G4698" i="4"/>
  <c r="G4699" i="4"/>
  <c r="G4700" i="4"/>
  <c r="G4701" i="4"/>
  <c r="G4702" i="4"/>
  <c r="G4703" i="4"/>
  <c r="G4704" i="4"/>
  <c r="G4705" i="4"/>
  <c r="G4706" i="4"/>
  <c r="G4707" i="4"/>
  <c r="G4708" i="4"/>
  <c r="G4709" i="4"/>
  <c r="G4710" i="4"/>
  <c r="G4711" i="4"/>
  <c r="G4712" i="4"/>
  <c r="G4713" i="4"/>
  <c r="G4714" i="4"/>
  <c r="G4715" i="4"/>
  <c r="G4716" i="4"/>
  <c r="G4717" i="4"/>
  <c r="G4718" i="4"/>
  <c r="G4719" i="4"/>
  <c r="G4720" i="4"/>
  <c r="G4721" i="4"/>
  <c r="G4722" i="4"/>
  <c r="G4723" i="4"/>
  <c r="G4724" i="4"/>
  <c r="G4725" i="4"/>
  <c r="G4726" i="4"/>
  <c r="G4727" i="4"/>
  <c r="G4728" i="4"/>
  <c r="G4729" i="4"/>
  <c r="G4730" i="4"/>
  <c r="G4731" i="4"/>
  <c r="G4732" i="4"/>
  <c r="G4733" i="4"/>
  <c r="G4734" i="4"/>
  <c r="G4735" i="4"/>
  <c r="G4736" i="4"/>
  <c r="G4737" i="4"/>
  <c r="G4738" i="4"/>
  <c r="G4739" i="4"/>
  <c r="G4740" i="4"/>
  <c r="G4741" i="4"/>
  <c r="G4742" i="4"/>
  <c r="G4743" i="4"/>
  <c r="G4744" i="4"/>
  <c r="G4745" i="4"/>
  <c r="G4746" i="4"/>
  <c r="G4747" i="4"/>
  <c r="G4748" i="4"/>
  <c r="G4749" i="4"/>
  <c r="G4750" i="4"/>
  <c r="G4751" i="4"/>
  <c r="G4752" i="4"/>
  <c r="G4753" i="4"/>
  <c r="G4754" i="4"/>
  <c r="G4755" i="4"/>
  <c r="G4756" i="4"/>
  <c r="G4757" i="4"/>
  <c r="G4758" i="4"/>
  <c r="G4759" i="4"/>
  <c r="G4760" i="4"/>
  <c r="G4761" i="4"/>
  <c r="G4762" i="4"/>
  <c r="G4763" i="4"/>
  <c r="G4764" i="4"/>
  <c r="G4765" i="4"/>
  <c r="G4766" i="4"/>
  <c r="G4767" i="4"/>
  <c r="G4768" i="4"/>
  <c r="G4769" i="4"/>
  <c r="G4770" i="4"/>
  <c r="G4771" i="4"/>
  <c r="G4772" i="4"/>
  <c r="G4773" i="4"/>
  <c r="G4774" i="4"/>
  <c r="G4775" i="4"/>
  <c r="G4776" i="4"/>
  <c r="G4777" i="4"/>
  <c r="G4778" i="4"/>
  <c r="G4779" i="4"/>
  <c r="G4780" i="4"/>
  <c r="G4781" i="4"/>
  <c r="G4782" i="4"/>
  <c r="G4783" i="4"/>
  <c r="G4784" i="4"/>
  <c r="G4785" i="4"/>
  <c r="G4786" i="4"/>
  <c r="G4787" i="4"/>
  <c r="G4788" i="4"/>
  <c r="G4789" i="4"/>
  <c r="G4790" i="4"/>
  <c r="G4791" i="4"/>
  <c r="G4792" i="4"/>
  <c r="G4793" i="4"/>
  <c r="G4794" i="4"/>
  <c r="G4795" i="4"/>
  <c r="G4796" i="4"/>
  <c r="G4797" i="4"/>
  <c r="G4798" i="4"/>
  <c r="G4799" i="4"/>
  <c r="G4800" i="4"/>
  <c r="G4801" i="4"/>
  <c r="G4802" i="4"/>
  <c r="G4803" i="4"/>
  <c r="G4804" i="4"/>
  <c r="G4805" i="4"/>
  <c r="G4806" i="4"/>
  <c r="G4807" i="4"/>
  <c r="G4808" i="4"/>
  <c r="G4809" i="4"/>
  <c r="G4810" i="4"/>
  <c r="G4811" i="4"/>
  <c r="G4812" i="4"/>
  <c r="G4813" i="4"/>
  <c r="G4814" i="4"/>
  <c r="G4815" i="4"/>
  <c r="G4816" i="4"/>
  <c r="G4817" i="4"/>
  <c r="G4818" i="4"/>
  <c r="G4819" i="4"/>
  <c r="G4820" i="4"/>
  <c r="G4821" i="4"/>
  <c r="G4822" i="4"/>
  <c r="G4823" i="4"/>
  <c r="G4824" i="4"/>
  <c r="G4825" i="4"/>
  <c r="G4826" i="4"/>
  <c r="G4827" i="4"/>
  <c r="G4828" i="4"/>
  <c r="G4829" i="4"/>
  <c r="G4830" i="4"/>
  <c r="G4831" i="4"/>
  <c r="G4832" i="4"/>
  <c r="G4833" i="4"/>
  <c r="G4834" i="4"/>
  <c r="G4835" i="4"/>
  <c r="G4836" i="4"/>
  <c r="G4837" i="4"/>
  <c r="G4838" i="4"/>
  <c r="G4839" i="4"/>
  <c r="G4840" i="4"/>
  <c r="G4841" i="4"/>
  <c r="G4842" i="4"/>
  <c r="G4843" i="4"/>
  <c r="G4844" i="4"/>
  <c r="G4845" i="4"/>
  <c r="G4846" i="4"/>
  <c r="G4847" i="4"/>
  <c r="G4848" i="4"/>
  <c r="G4849" i="4"/>
  <c r="G4850" i="4"/>
  <c r="G4851" i="4"/>
  <c r="G4852" i="4"/>
  <c r="G4853" i="4"/>
  <c r="G4854" i="4"/>
  <c r="G4855" i="4"/>
  <c r="G4856" i="4"/>
  <c r="G4857" i="4"/>
  <c r="G4858" i="4"/>
  <c r="G4859" i="4"/>
  <c r="G4860" i="4"/>
  <c r="G4861" i="4"/>
  <c r="G4862" i="4"/>
  <c r="G4863" i="4"/>
  <c r="G4864" i="4"/>
  <c r="G4865" i="4"/>
  <c r="G4866" i="4"/>
  <c r="G4867" i="4"/>
  <c r="G4868" i="4"/>
  <c r="G4869" i="4"/>
  <c r="G4870" i="4"/>
  <c r="G4871" i="4"/>
  <c r="G4872" i="4"/>
  <c r="G4873" i="4"/>
  <c r="G4874" i="4"/>
  <c r="G4875" i="4"/>
  <c r="G4876" i="4"/>
  <c r="G4877" i="4"/>
  <c r="G4878" i="4"/>
  <c r="G4879" i="4"/>
  <c r="G4880" i="4"/>
  <c r="G4881" i="4"/>
  <c r="G4882" i="4"/>
  <c r="G4883" i="4"/>
  <c r="G4884" i="4"/>
  <c r="G4885" i="4"/>
  <c r="G4886" i="4"/>
  <c r="G4887" i="4"/>
  <c r="G4888" i="4"/>
  <c r="G4889" i="4"/>
  <c r="G4890" i="4"/>
  <c r="G4891" i="4"/>
  <c r="G4892" i="4"/>
  <c r="G4893" i="4"/>
  <c r="G4894" i="4"/>
  <c r="G4895" i="4"/>
  <c r="G4896" i="4"/>
  <c r="G4897" i="4"/>
  <c r="G4898" i="4"/>
  <c r="G4899" i="4"/>
  <c r="G4900" i="4"/>
  <c r="G4901" i="4"/>
  <c r="G4902" i="4"/>
  <c r="G4903" i="4"/>
  <c r="G4904" i="4"/>
  <c r="G4905" i="4"/>
  <c r="G4906" i="4"/>
  <c r="G4907" i="4"/>
  <c r="G4908" i="4"/>
  <c r="G4909" i="4"/>
  <c r="G4910" i="4"/>
  <c r="G4911" i="4"/>
  <c r="G4912" i="4"/>
  <c r="G4913" i="4"/>
  <c r="G4914" i="4"/>
  <c r="G4915" i="4"/>
  <c r="G4916" i="4"/>
  <c r="G4917" i="4"/>
  <c r="G4918" i="4"/>
  <c r="G4919" i="4"/>
  <c r="G4920" i="4"/>
  <c r="G4921" i="4"/>
  <c r="G4922" i="4"/>
  <c r="G4923" i="4"/>
  <c r="G4924" i="4"/>
  <c r="G4925" i="4"/>
  <c r="G4926" i="4"/>
  <c r="G4927" i="4"/>
  <c r="G4928" i="4"/>
  <c r="G4929" i="4"/>
  <c r="G4930" i="4"/>
  <c r="G4931" i="4"/>
  <c r="G4932" i="4"/>
  <c r="G4933" i="4"/>
  <c r="G4934" i="4"/>
  <c r="G4935" i="4"/>
  <c r="G4936" i="4"/>
  <c r="G4937" i="4"/>
  <c r="G4938" i="4"/>
  <c r="G4939" i="4"/>
  <c r="G4940" i="4"/>
  <c r="G4941" i="4"/>
  <c r="G4942" i="4"/>
  <c r="G4943" i="4"/>
  <c r="G4944" i="4"/>
  <c r="G4945" i="4"/>
  <c r="G4946" i="4"/>
  <c r="G4947" i="4"/>
  <c r="G4948" i="4"/>
  <c r="G4949" i="4"/>
  <c r="G4950" i="4"/>
  <c r="G4951" i="4"/>
  <c r="G4952" i="4"/>
  <c r="G4953" i="4"/>
  <c r="G4954" i="4"/>
  <c r="G4955" i="4"/>
  <c r="G4956" i="4"/>
  <c r="G4957" i="4"/>
  <c r="G4958" i="4"/>
  <c r="G4959" i="4"/>
  <c r="G4960" i="4"/>
  <c r="G4961" i="4"/>
  <c r="G4962" i="4"/>
  <c r="G4963" i="4"/>
  <c r="G4964" i="4"/>
  <c r="G4965" i="4"/>
  <c r="G4966" i="4"/>
  <c r="G4967" i="4"/>
  <c r="G4968" i="4"/>
  <c r="G4969" i="4"/>
  <c r="G4970" i="4"/>
  <c r="G4971" i="4"/>
  <c r="G4972" i="4"/>
  <c r="G4973" i="4"/>
  <c r="G4974" i="4"/>
  <c r="G4975" i="4"/>
  <c r="G4976" i="4"/>
  <c r="G4977" i="4"/>
  <c r="G4978" i="4"/>
  <c r="G4979" i="4"/>
  <c r="G4980" i="4"/>
  <c r="G4981" i="4"/>
  <c r="G4982" i="4"/>
  <c r="G4983" i="4"/>
  <c r="G4984" i="4"/>
  <c r="G4985" i="4"/>
  <c r="G4986" i="4"/>
  <c r="G4987" i="4"/>
  <c r="G4988" i="4"/>
  <c r="G4989" i="4"/>
  <c r="G4990" i="4"/>
  <c r="G4991" i="4"/>
  <c r="G4992" i="4"/>
  <c r="G4993" i="4"/>
  <c r="G4994" i="4"/>
  <c r="G4995" i="4"/>
  <c r="G4996" i="4"/>
  <c r="G4997" i="4"/>
  <c r="G4998" i="4"/>
  <c r="G4999" i="4"/>
  <c r="G5000" i="4"/>
  <c r="G5001" i="4"/>
  <c r="G5002" i="4"/>
  <c r="G5003" i="4"/>
  <c r="G5004" i="4"/>
  <c r="G5005" i="4"/>
  <c r="G5006" i="4"/>
  <c r="G5007" i="4"/>
  <c r="G5008" i="4"/>
  <c r="G5009" i="4"/>
  <c r="G5010" i="4"/>
  <c r="G5011" i="4"/>
  <c r="G5012" i="4"/>
  <c r="G5013" i="4"/>
  <c r="G5014" i="4"/>
  <c r="G5015" i="4"/>
  <c r="G5016" i="4"/>
  <c r="G5017" i="4"/>
  <c r="G5018" i="4"/>
  <c r="G5019" i="4"/>
  <c r="G5020" i="4"/>
  <c r="G5021" i="4"/>
  <c r="G5022" i="4"/>
  <c r="G5023" i="4"/>
  <c r="G5024" i="4"/>
  <c r="G5025" i="4"/>
  <c r="G5026" i="4"/>
  <c r="G5027" i="4"/>
  <c r="G5028" i="4"/>
  <c r="G5029" i="4"/>
  <c r="G5030" i="4"/>
  <c r="G5031" i="4"/>
  <c r="G5032" i="4"/>
  <c r="G5033" i="4"/>
  <c r="G5034" i="4"/>
  <c r="G5035" i="4"/>
  <c r="G5036" i="4"/>
  <c r="G5037" i="4"/>
  <c r="G5038" i="4"/>
  <c r="G5039" i="4"/>
  <c r="G5040" i="4"/>
  <c r="G5041" i="4"/>
  <c r="G5042" i="4"/>
  <c r="G5043" i="4"/>
  <c r="G5044" i="4"/>
  <c r="G5045" i="4"/>
  <c r="G5046" i="4"/>
  <c r="G5047" i="4"/>
  <c r="G5048" i="4"/>
  <c r="G5049" i="4"/>
  <c r="G5050" i="4"/>
  <c r="G5051" i="4"/>
  <c r="G5052" i="4"/>
  <c r="G5053" i="4"/>
  <c r="G5054" i="4"/>
  <c r="G5055" i="4"/>
  <c r="G5056" i="4"/>
  <c r="G5057" i="4"/>
  <c r="G5058" i="4"/>
  <c r="G5059" i="4"/>
  <c r="G5060" i="4"/>
  <c r="G5061" i="4"/>
  <c r="G5062" i="4"/>
  <c r="G5063" i="4"/>
  <c r="G5064" i="4"/>
  <c r="G5065" i="4"/>
  <c r="G5066" i="4"/>
  <c r="G5067" i="4"/>
  <c r="G5068" i="4"/>
  <c r="G5069" i="4"/>
  <c r="G5070" i="4"/>
  <c r="G5071" i="4"/>
  <c r="G5072" i="4"/>
  <c r="G5073" i="4"/>
  <c r="G5074" i="4"/>
  <c r="G5075" i="4"/>
  <c r="G5076" i="4"/>
  <c r="G5077" i="4"/>
  <c r="G5078" i="4"/>
  <c r="G5079" i="4"/>
  <c r="G5080" i="4"/>
  <c r="G5081" i="4"/>
  <c r="G5082" i="4"/>
  <c r="G5083" i="4"/>
  <c r="G5084" i="4"/>
  <c r="G5085" i="4"/>
  <c r="G5086" i="4"/>
  <c r="G5087" i="4"/>
  <c r="G5088" i="4"/>
  <c r="G5089" i="4"/>
  <c r="G5090" i="4"/>
  <c r="G5091" i="4"/>
  <c r="G5092" i="4"/>
  <c r="G5093" i="4"/>
  <c r="G5094" i="4"/>
  <c r="G5095" i="4"/>
  <c r="G5096" i="4"/>
  <c r="G5097" i="4"/>
  <c r="G5098" i="4"/>
  <c r="G5099" i="4"/>
  <c r="G5100" i="4"/>
  <c r="G5101" i="4"/>
  <c r="G5102" i="4"/>
  <c r="G5103" i="4"/>
  <c r="G5104" i="4"/>
  <c r="G5105" i="4"/>
  <c r="G5106" i="4"/>
  <c r="G5107" i="4"/>
  <c r="G5108" i="4"/>
  <c r="G5109" i="4"/>
  <c r="G5110" i="4"/>
  <c r="G5111" i="4"/>
  <c r="G5112" i="4"/>
  <c r="G5113" i="4"/>
  <c r="G5114" i="4"/>
  <c r="G5115" i="4"/>
  <c r="G5116" i="4"/>
  <c r="G5117" i="4"/>
  <c r="G5118" i="4"/>
  <c r="G5119" i="4"/>
  <c r="G5120" i="4"/>
  <c r="G5121" i="4"/>
  <c r="G5122" i="4"/>
  <c r="G5123" i="4"/>
  <c r="G5124" i="4"/>
  <c r="G5125" i="4"/>
  <c r="G5126" i="4"/>
  <c r="G5127" i="4"/>
  <c r="G5128" i="4"/>
  <c r="G5129" i="4"/>
  <c r="G5130" i="4"/>
  <c r="G5131" i="4"/>
  <c r="G5132" i="4"/>
  <c r="G5133" i="4"/>
  <c r="G5134" i="4"/>
  <c r="G5135" i="4"/>
  <c r="G5136" i="4"/>
  <c r="G5137" i="4"/>
  <c r="G5138" i="4"/>
  <c r="G5139" i="4"/>
  <c r="G5140" i="4"/>
  <c r="G5141" i="4"/>
  <c r="G5142" i="4"/>
  <c r="G5143" i="4"/>
  <c r="G5144" i="4"/>
  <c r="G5145" i="4"/>
  <c r="G5146" i="4"/>
  <c r="G5147" i="4"/>
  <c r="G5148" i="4"/>
  <c r="G5149" i="4"/>
  <c r="G5150" i="4"/>
  <c r="G5151" i="4"/>
  <c r="G5152" i="4"/>
  <c r="G5153" i="4"/>
  <c r="G5154" i="4"/>
  <c r="G5155" i="4"/>
  <c r="G5156" i="4"/>
  <c r="G5157" i="4"/>
  <c r="G5158" i="4"/>
  <c r="G5159" i="4"/>
  <c r="G5160" i="4"/>
  <c r="G5161" i="4"/>
  <c r="G5162" i="4"/>
  <c r="G5163" i="4"/>
  <c r="G5164" i="4"/>
  <c r="G5165" i="4"/>
  <c r="G5166" i="4"/>
  <c r="G5167" i="4"/>
  <c r="G5168" i="4"/>
  <c r="G5169" i="4"/>
  <c r="G5170" i="4"/>
  <c r="G5171" i="4"/>
  <c r="G5172" i="4"/>
  <c r="G5173" i="4"/>
  <c r="G5174" i="4"/>
  <c r="G5175" i="4"/>
  <c r="G5176" i="4"/>
  <c r="G5177" i="4"/>
  <c r="G5178" i="4"/>
  <c r="G5179" i="4"/>
  <c r="G5180" i="4"/>
  <c r="G5181" i="4"/>
  <c r="G5182" i="4"/>
  <c r="G5183" i="4"/>
  <c r="G5184" i="4"/>
  <c r="G5185" i="4"/>
  <c r="G5186" i="4"/>
  <c r="G5187" i="4"/>
  <c r="G5188" i="4"/>
  <c r="G5189" i="4"/>
  <c r="G5190" i="4"/>
  <c r="G5191" i="4"/>
  <c r="H4066" i="4"/>
  <c r="H4067" i="4"/>
  <c r="H4068" i="4"/>
  <c r="H4069" i="4"/>
  <c r="H4070" i="4"/>
  <c r="H4071" i="4"/>
  <c r="H4072" i="4"/>
  <c r="H4073" i="4"/>
  <c r="H4074" i="4"/>
  <c r="H4075" i="4"/>
  <c r="H4076" i="4"/>
  <c r="H4077" i="4"/>
  <c r="H4078" i="4"/>
  <c r="H4079" i="4"/>
  <c r="H4080" i="4"/>
  <c r="H4081" i="4"/>
  <c r="H4082" i="4"/>
  <c r="H4083" i="4"/>
  <c r="H4084" i="4"/>
  <c r="H4085" i="4"/>
  <c r="H4086" i="4"/>
  <c r="H4087" i="4"/>
  <c r="H4088" i="4"/>
  <c r="H4089" i="4"/>
  <c r="H4090" i="4"/>
  <c r="H4091" i="4"/>
  <c r="H4092" i="4"/>
  <c r="H4093" i="4"/>
  <c r="H4094" i="4"/>
  <c r="H4095" i="4"/>
  <c r="H4096" i="4"/>
  <c r="H4097" i="4"/>
  <c r="H4098" i="4"/>
  <c r="H4099" i="4"/>
  <c r="H4100" i="4"/>
  <c r="H4101" i="4"/>
  <c r="H4102" i="4"/>
  <c r="H4103" i="4"/>
  <c r="H4104" i="4"/>
  <c r="H4105" i="4"/>
  <c r="H4106" i="4"/>
  <c r="H4107" i="4"/>
  <c r="H4108" i="4"/>
  <c r="H4109" i="4"/>
  <c r="H4110" i="4"/>
  <c r="H4111" i="4"/>
  <c r="H4112" i="4"/>
  <c r="H4113" i="4"/>
  <c r="H4114" i="4"/>
  <c r="H4115"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H4154" i="4"/>
  <c r="H4155" i="4"/>
  <c r="H4156" i="4"/>
  <c r="H4157" i="4"/>
  <c r="H4158" i="4"/>
  <c r="H4159" i="4"/>
  <c r="H4160" i="4"/>
  <c r="H4161" i="4"/>
  <c r="H4162" i="4"/>
  <c r="H4163" i="4"/>
  <c r="H4164" i="4"/>
  <c r="H4165" i="4"/>
  <c r="H4166" i="4"/>
  <c r="H4167" i="4"/>
  <c r="H4168" i="4"/>
  <c r="H4169" i="4"/>
  <c r="H4170" i="4"/>
  <c r="H4171" i="4"/>
  <c r="H4172" i="4"/>
  <c r="H4173" i="4"/>
  <c r="H4174" i="4"/>
  <c r="H4175" i="4"/>
  <c r="H4176" i="4"/>
  <c r="H4177" i="4"/>
  <c r="H4178" i="4"/>
  <c r="H4179" i="4"/>
  <c r="H4180" i="4"/>
  <c r="H4181" i="4"/>
  <c r="H4182" i="4"/>
  <c r="H4183" i="4"/>
  <c r="H4184" i="4"/>
  <c r="H4185" i="4"/>
  <c r="H4186" i="4"/>
  <c r="H4187" i="4"/>
  <c r="H4188" i="4"/>
  <c r="H4189" i="4"/>
  <c r="H4190" i="4"/>
  <c r="H4191" i="4"/>
  <c r="H4192" i="4"/>
  <c r="H4193" i="4"/>
  <c r="H4194" i="4"/>
  <c r="H4195" i="4"/>
  <c r="H4196" i="4"/>
  <c r="H4197" i="4"/>
  <c r="H4198" i="4"/>
  <c r="H4199" i="4"/>
  <c r="H4200" i="4"/>
  <c r="H4201" i="4"/>
  <c r="H4202" i="4"/>
  <c r="H4203" i="4"/>
  <c r="H4204" i="4"/>
  <c r="H4205" i="4"/>
  <c r="H4206" i="4"/>
  <c r="H4207" i="4"/>
  <c r="H4208" i="4"/>
  <c r="H4209" i="4"/>
  <c r="H4210" i="4"/>
  <c r="H4211" i="4"/>
  <c r="H4212" i="4"/>
  <c r="H4213" i="4"/>
  <c r="H4214" i="4"/>
  <c r="H4215" i="4"/>
  <c r="H4216" i="4"/>
  <c r="H4217" i="4"/>
  <c r="H4218" i="4"/>
  <c r="H4219" i="4"/>
  <c r="H4220" i="4"/>
  <c r="H4221" i="4"/>
  <c r="H4222" i="4"/>
  <c r="H4223" i="4"/>
  <c r="H4224" i="4"/>
  <c r="H4225" i="4"/>
  <c r="H4226" i="4"/>
  <c r="H4227" i="4"/>
  <c r="H4228" i="4"/>
  <c r="H4229" i="4"/>
  <c r="H4230" i="4"/>
  <c r="H4231" i="4"/>
  <c r="H4232" i="4"/>
  <c r="H4233" i="4"/>
  <c r="H4234" i="4"/>
  <c r="H4235" i="4"/>
  <c r="H4236" i="4"/>
  <c r="H4237" i="4"/>
  <c r="H4238" i="4"/>
  <c r="H4239" i="4"/>
  <c r="H4240" i="4"/>
  <c r="H4241" i="4"/>
  <c r="H4242" i="4"/>
  <c r="H4243" i="4"/>
  <c r="H4244" i="4"/>
  <c r="H4245" i="4"/>
  <c r="H4246" i="4"/>
  <c r="H4247" i="4"/>
  <c r="H4248" i="4"/>
  <c r="H4249" i="4"/>
  <c r="H4250" i="4"/>
  <c r="H4251" i="4"/>
  <c r="H4252" i="4"/>
  <c r="H4253" i="4"/>
  <c r="H4254" i="4"/>
  <c r="H4255" i="4"/>
  <c r="H4256" i="4"/>
  <c r="H4257" i="4"/>
  <c r="H4258" i="4"/>
  <c r="H4259" i="4"/>
  <c r="H4260" i="4"/>
  <c r="H4261" i="4"/>
  <c r="H4262" i="4"/>
  <c r="H4263" i="4"/>
  <c r="H4264" i="4"/>
  <c r="H4265" i="4"/>
  <c r="H4266" i="4"/>
  <c r="H4267" i="4"/>
  <c r="H4268" i="4"/>
  <c r="H4269" i="4"/>
  <c r="H4270" i="4"/>
  <c r="H4271" i="4"/>
  <c r="H4272" i="4"/>
  <c r="H4273" i="4"/>
  <c r="H4274" i="4"/>
  <c r="H4275" i="4"/>
  <c r="H4276" i="4"/>
  <c r="H4277" i="4"/>
  <c r="H4278" i="4"/>
  <c r="H4279" i="4"/>
  <c r="H4280" i="4"/>
  <c r="H4281" i="4"/>
  <c r="H4282" i="4"/>
  <c r="H4283" i="4"/>
  <c r="H4284" i="4"/>
  <c r="H4285" i="4"/>
  <c r="H4286" i="4"/>
  <c r="H4287" i="4"/>
  <c r="H4288" i="4"/>
  <c r="H4289" i="4"/>
  <c r="H4290" i="4"/>
  <c r="H4291" i="4"/>
  <c r="H4292" i="4"/>
  <c r="H4293" i="4"/>
  <c r="H4294" i="4"/>
  <c r="H4295" i="4"/>
  <c r="H4296" i="4"/>
  <c r="H4297" i="4"/>
  <c r="H4298" i="4"/>
  <c r="H4299" i="4"/>
  <c r="H4300" i="4"/>
  <c r="H4301" i="4"/>
  <c r="H4302" i="4"/>
  <c r="H4303" i="4"/>
  <c r="H4304" i="4"/>
  <c r="H4305" i="4"/>
  <c r="H4306" i="4"/>
  <c r="H4307" i="4"/>
  <c r="H4308" i="4"/>
  <c r="H4309" i="4"/>
  <c r="H4310" i="4"/>
  <c r="H4311" i="4"/>
  <c r="H4312" i="4"/>
  <c r="H4313" i="4"/>
  <c r="H4314" i="4"/>
  <c r="H4315" i="4"/>
  <c r="H4316" i="4"/>
  <c r="H4317" i="4"/>
  <c r="H4318" i="4"/>
  <c r="H4319" i="4"/>
  <c r="H4320" i="4"/>
  <c r="H4321" i="4"/>
  <c r="H4322" i="4"/>
  <c r="H4323" i="4"/>
  <c r="H4324" i="4"/>
  <c r="H4325" i="4"/>
  <c r="H4326" i="4"/>
  <c r="H4327" i="4"/>
  <c r="H4328" i="4"/>
  <c r="H4329" i="4"/>
  <c r="H4330" i="4"/>
  <c r="H4331" i="4"/>
  <c r="H4332" i="4"/>
  <c r="H4333" i="4"/>
  <c r="H4334" i="4"/>
  <c r="H4335" i="4"/>
  <c r="H4336" i="4"/>
  <c r="H4337" i="4"/>
  <c r="H4338" i="4"/>
  <c r="H4339" i="4"/>
  <c r="H4340" i="4"/>
  <c r="H4341" i="4"/>
  <c r="H4342" i="4"/>
  <c r="H4343" i="4"/>
  <c r="H4344" i="4"/>
  <c r="H4345" i="4"/>
  <c r="H4346" i="4"/>
  <c r="H4347" i="4"/>
  <c r="H4348" i="4"/>
  <c r="H4349" i="4"/>
  <c r="H4350" i="4"/>
  <c r="H4351" i="4"/>
  <c r="H4352" i="4"/>
  <c r="H4353" i="4"/>
  <c r="H4354" i="4"/>
  <c r="H4355" i="4"/>
  <c r="H4356" i="4"/>
  <c r="H4357" i="4"/>
  <c r="H4358" i="4"/>
  <c r="H4359" i="4"/>
  <c r="H4360" i="4"/>
  <c r="H4361" i="4"/>
  <c r="H4362" i="4"/>
  <c r="H4363" i="4"/>
  <c r="H4364" i="4"/>
  <c r="H4365" i="4"/>
  <c r="H4366" i="4"/>
  <c r="H4367" i="4"/>
  <c r="H4368" i="4"/>
  <c r="H4369" i="4"/>
  <c r="H4370" i="4"/>
  <c r="H4371" i="4"/>
  <c r="H4372" i="4"/>
  <c r="H4373" i="4"/>
  <c r="H4374" i="4"/>
  <c r="H4375" i="4"/>
  <c r="H4376" i="4"/>
  <c r="H4377" i="4"/>
  <c r="H4378" i="4"/>
  <c r="H4379" i="4"/>
  <c r="H4380" i="4"/>
  <c r="H4381" i="4"/>
  <c r="H4382" i="4"/>
  <c r="H4383" i="4"/>
  <c r="H4384" i="4"/>
  <c r="H4385" i="4"/>
  <c r="H4386" i="4"/>
  <c r="H4387" i="4"/>
  <c r="H4388" i="4"/>
  <c r="H4389" i="4"/>
  <c r="H4390" i="4"/>
  <c r="H4391" i="4"/>
  <c r="H4392" i="4"/>
  <c r="H4393" i="4"/>
  <c r="H4394" i="4"/>
  <c r="H4395" i="4"/>
  <c r="H4396" i="4"/>
  <c r="H4397" i="4"/>
  <c r="H4398" i="4"/>
  <c r="H4399" i="4"/>
  <c r="H4400" i="4"/>
  <c r="H4401" i="4"/>
  <c r="H4402" i="4"/>
  <c r="H4403" i="4"/>
  <c r="H4404" i="4"/>
  <c r="H4405" i="4"/>
  <c r="H4406" i="4"/>
  <c r="H4407" i="4"/>
  <c r="H4408" i="4"/>
  <c r="H4409" i="4"/>
  <c r="H4410" i="4"/>
  <c r="H4411" i="4"/>
  <c r="H4412" i="4"/>
  <c r="H4413" i="4"/>
  <c r="H4414" i="4"/>
  <c r="H4415" i="4"/>
  <c r="H4416" i="4"/>
  <c r="H4417" i="4"/>
  <c r="H4418" i="4"/>
  <c r="H4419" i="4"/>
  <c r="H4420" i="4"/>
  <c r="H4421" i="4"/>
  <c r="H4422" i="4"/>
  <c r="H4423" i="4"/>
  <c r="H4424" i="4"/>
  <c r="H4425" i="4"/>
  <c r="H4426" i="4"/>
  <c r="H4427" i="4"/>
  <c r="H4428" i="4"/>
  <c r="H4429" i="4"/>
  <c r="H4430" i="4"/>
  <c r="H4431" i="4"/>
  <c r="H4432" i="4"/>
  <c r="H4433" i="4"/>
  <c r="H4434" i="4"/>
  <c r="H4435" i="4"/>
  <c r="H4436" i="4"/>
  <c r="H4437" i="4"/>
  <c r="H4438" i="4"/>
  <c r="H4439" i="4"/>
  <c r="H4440" i="4"/>
  <c r="H4441" i="4"/>
  <c r="H4442" i="4"/>
  <c r="H4443" i="4"/>
  <c r="H4444" i="4"/>
  <c r="H4445" i="4"/>
  <c r="H4446" i="4"/>
  <c r="H4447" i="4"/>
  <c r="H4448" i="4"/>
  <c r="H4449" i="4"/>
  <c r="H4450" i="4"/>
  <c r="H4451" i="4"/>
  <c r="H4452" i="4"/>
  <c r="H4453" i="4"/>
  <c r="H4454" i="4"/>
  <c r="H4455" i="4"/>
  <c r="H4456" i="4"/>
  <c r="H4457" i="4"/>
  <c r="H4458" i="4"/>
  <c r="H4459" i="4"/>
  <c r="H4460" i="4"/>
  <c r="H4461" i="4"/>
  <c r="H4462" i="4"/>
  <c r="H4463" i="4"/>
  <c r="H4464" i="4"/>
  <c r="H4465" i="4"/>
  <c r="H4466" i="4"/>
  <c r="H4467" i="4"/>
  <c r="H4468" i="4"/>
  <c r="H4469" i="4"/>
  <c r="H4470" i="4"/>
  <c r="H4471" i="4"/>
  <c r="H4472" i="4"/>
  <c r="H4473" i="4"/>
  <c r="H4474" i="4"/>
  <c r="H4475" i="4"/>
  <c r="H4476" i="4"/>
  <c r="H4477" i="4"/>
  <c r="H4478" i="4"/>
  <c r="H4479" i="4"/>
  <c r="H4480" i="4"/>
  <c r="H4481" i="4"/>
  <c r="H4482" i="4"/>
  <c r="H4483" i="4"/>
  <c r="H4484" i="4"/>
  <c r="H4485" i="4"/>
  <c r="H4486" i="4"/>
  <c r="H4487" i="4"/>
  <c r="H4488" i="4"/>
  <c r="H4489" i="4"/>
  <c r="H4490" i="4"/>
  <c r="H4491" i="4"/>
  <c r="H4492" i="4"/>
  <c r="H4493" i="4"/>
  <c r="H4494" i="4"/>
  <c r="H4495" i="4"/>
  <c r="H4496" i="4"/>
  <c r="H4497" i="4"/>
  <c r="H4498" i="4"/>
  <c r="H4499" i="4"/>
  <c r="H4500" i="4"/>
  <c r="H4501" i="4"/>
  <c r="H4502" i="4"/>
  <c r="H4503" i="4"/>
  <c r="H4504" i="4"/>
  <c r="H4505" i="4"/>
  <c r="H4506" i="4"/>
  <c r="H4507" i="4"/>
  <c r="H4508" i="4"/>
  <c r="H4509" i="4"/>
  <c r="H4510" i="4"/>
  <c r="H4511" i="4"/>
  <c r="H4512" i="4"/>
  <c r="H4513" i="4"/>
  <c r="H4514" i="4"/>
  <c r="H4515" i="4"/>
  <c r="H4516" i="4"/>
  <c r="H4517" i="4"/>
  <c r="H4518" i="4"/>
  <c r="H4519" i="4"/>
  <c r="H4520" i="4"/>
  <c r="H4521" i="4"/>
  <c r="H4522" i="4"/>
  <c r="H4523" i="4"/>
  <c r="H4524" i="4"/>
  <c r="H4525" i="4"/>
  <c r="H4526" i="4"/>
  <c r="H4527" i="4"/>
  <c r="H4528" i="4"/>
  <c r="H4529" i="4"/>
  <c r="H4530" i="4"/>
  <c r="H4531" i="4"/>
  <c r="H4532" i="4"/>
  <c r="H4533" i="4"/>
  <c r="H4534" i="4"/>
  <c r="H4535" i="4"/>
  <c r="H4536" i="4"/>
  <c r="H4537" i="4"/>
  <c r="H4538" i="4"/>
  <c r="H4539" i="4"/>
  <c r="H4540" i="4"/>
  <c r="H4541" i="4"/>
  <c r="H4542" i="4"/>
  <c r="H4543" i="4"/>
  <c r="H4544" i="4"/>
  <c r="H4545" i="4"/>
  <c r="H4546" i="4"/>
  <c r="H4547" i="4"/>
  <c r="H4548" i="4"/>
  <c r="H4549" i="4"/>
  <c r="H4550" i="4"/>
  <c r="H4551" i="4"/>
  <c r="H4552" i="4"/>
  <c r="H4553" i="4"/>
  <c r="H4554" i="4"/>
  <c r="H4555" i="4"/>
  <c r="H4556" i="4"/>
  <c r="H4557" i="4"/>
  <c r="H4558" i="4"/>
  <c r="H4559" i="4"/>
  <c r="H4560" i="4"/>
  <c r="H4561" i="4"/>
  <c r="H4562" i="4"/>
  <c r="H4563" i="4"/>
  <c r="H4564" i="4"/>
  <c r="H4565" i="4"/>
  <c r="H4566" i="4"/>
  <c r="H4567" i="4"/>
  <c r="H4568" i="4"/>
  <c r="H4569" i="4"/>
  <c r="H4570" i="4"/>
  <c r="H4571" i="4"/>
  <c r="H4572" i="4"/>
  <c r="H4573" i="4"/>
  <c r="H4574" i="4"/>
  <c r="H4575" i="4"/>
  <c r="H4576" i="4"/>
  <c r="H4577" i="4"/>
  <c r="H4578" i="4"/>
  <c r="H4579" i="4"/>
  <c r="H4580" i="4"/>
  <c r="H4581" i="4"/>
  <c r="H4582" i="4"/>
  <c r="H4583" i="4"/>
  <c r="H4584" i="4"/>
  <c r="H4585" i="4"/>
  <c r="H4586" i="4"/>
  <c r="H4587" i="4"/>
  <c r="H4588" i="4"/>
  <c r="H4589" i="4"/>
  <c r="H4590" i="4"/>
  <c r="H4591" i="4"/>
  <c r="H4592" i="4"/>
  <c r="H4593" i="4"/>
  <c r="H4594" i="4"/>
  <c r="H4595" i="4"/>
  <c r="H4596" i="4"/>
  <c r="H4597" i="4"/>
  <c r="H4598" i="4"/>
  <c r="H4599" i="4"/>
  <c r="H4600" i="4"/>
  <c r="H4601" i="4"/>
  <c r="H4602" i="4"/>
  <c r="H4603" i="4"/>
  <c r="H4604" i="4"/>
  <c r="H4605" i="4"/>
  <c r="H4606" i="4"/>
  <c r="H4607" i="4"/>
  <c r="H4608" i="4"/>
  <c r="H4609" i="4"/>
  <c r="H4610" i="4"/>
  <c r="H4611" i="4"/>
  <c r="H4612" i="4"/>
  <c r="H4613" i="4"/>
  <c r="H4614" i="4"/>
  <c r="H4615" i="4"/>
  <c r="H4616" i="4"/>
  <c r="H4617" i="4"/>
  <c r="H4618" i="4"/>
  <c r="H4619" i="4"/>
  <c r="H4620" i="4"/>
  <c r="H4621" i="4"/>
  <c r="H4622" i="4"/>
  <c r="H4623" i="4"/>
  <c r="H4624" i="4"/>
  <c r="H4625" i="4"/>
  <c r="H4626" i="4"/>
  <c r="H4627" i="4"/>
  <c r="H4628" i="4"/>
  <c r="H4629" i="4"/>
  <c r="H4630" i="4"/>
  <c r="H4631" i="4"/>
  <c r="H4632" i="4"/>
  <c r="H4633" i="4"/>
  <c r="H4634" i="4"/>
  <c r="H4635" i="4"/>
  <c r="H4636" i="4"/>
  <c r="H4637" i="4"/>
  <c r="H4638" i="4"/>
  <c r="H4639" i="4"/>
  <c r="H4640" i="4"/>
  <c r="H4641" i="4"/>
  <c r="H4642" i="4"/>
  <c r="H4643" i="4"/>
  <c r="H4644" i="4"/>
  <c r="H4645" i="4"/>
  <c r="H4646" i="4"/>
  <c r="H4647" i="4"/>
  <c r="H4648" i="4"/>
  <c r="H4649" i="4"/>
  <c r="H4650" i="4"/>
  <c r="H4651" i="4"/>
  <c r="H4652" i="4"/>
  <c r="H4653" i="4"/>
  <c r="H4654" i="4"/>
  <c r="H4655" i="4"/>
  <c r="H4656" i="4"/>
  <c r="H4657" i="4"/>
  <c r="H4658" i="4"/>
  <c r="H4659" i="4"/>
  <c r="H4660" i="4"/>
  <c r="H4661" i="4"/>
  <c r="H4662" i="4"/>
  <c r="H4663" i="4"/>
  <c r="H4664" i="4"/>
  <c r="H4665" i="4"/>
  <c r="H4666" i="4"/>
  <c r="H4667" i="4"/>
  <c r="H4668" i="4"/>
  <c r="H4669" i="4"/>
  <c r="H4670" i="4"/>
  <c r="H4671" i="4"/>
  <c r="H4672" i="4"/>
  <c r="H4673" i="4"/>
  <c r="H4674" i="4"/>
  <c r="H4675" i="4"/>
  <c r="H4676" i="4"/>
  <c r="H4677" i="4"/>
  <c r="H4678" i="4"/>
  <c r="H4679" i="4"/>
  <c r="H4680" i="4"/>
  <c r="H4681" i="4"/>
  <c r="H4682" i="4"/>
  <c r="H4683" i="4"/>
  <c r="H4684" i="4"/>
  <c r="H4685" i="4"/>
  <c r="H4686" i="4"/>
  <c r="H4687" i="4"/>
  <c r="H4688" i="4"/>
  <c r="H4689" i="4"/>
  <c r="H4690" i="4"/>
  <c r="H4691" i="4"/>
  <c r="H4692" i="4"/>
  <c r="H4693" i="4"/>
  <c r="H4694" i="4"/>
  <c r="H4695" i="4"/>
  <c r="H4696" i="4"/>
  <c r="H4697" i="4"/>
  <c r="H4698" i="4"/>
  <c r="H4699" i="4"/>
  <c r="H4700" i="4"/>
  <c r="H4701" i="4"/>
  <c r="H4702" i="4"/>
  <c r="H4703" i="4"/>
  <c r="H4704" i="4"/>
  <c r="H4705" i="4"/>
  <c r="H4706" i="4"/>
  <c r="H4707" i="4"/>
  <c r="H4708" i="4"/>
  <c r="H4709" i="4"/>
  <c r="H4710" i="4"/>
  <c r="H4711" i="4"/>
  <c r="H4712" i="4"/>
  <c r="H4713" i="4"/>
  <c r="H4714" i="4"/>
  <c r="H4715" i="4"/>
  <c r="H4716" i="4"/>
  <c r="H4717" i="4"/>
  <c r="H4718" i="4"/>
  <c r="H4719" i="4"/>
  <c r="H4720" i="4"/>
  <c r="H4721" i="4"/>
  <c r="H4722" i="4"/>
  <c r="H4723" i="4"/>
  <c r="H4724" i="4"/>
  <c r="H4725" i="4"/>
  <c r="H4726" i="4"/>
  <c r="H4727" i="4"/>
  <c r="H4728" i="4"/>
  <c r="H4729" i="4"/>
  <c r="H4730" i="4"/>
  <c r="H4731" i="4"/>
  <c r="H4732" i="4"/>
  <c r="H4733" i="4"/>
  <c r="H4734" i="4"/>
  <c r="H4735" i="4"/>
  <c r="H4736" i="4"/>
  <c r="H4737" i="4"/>
  <c r="H4738" i="4"/>
  <c r="H4739" i="4"/>
  <c r="H4740" i="4"/>
  <c r="H4741" i="4"/>
  <c r="H4742" i="4"/>
  <c r="H4743" i="4"/>
  <c r="H4744" i="4"/>
  <c r="H4745" i="4"/>
  <c r="H4746" i="4"/>
  <c r="H4747" i="4"/>
  <c r="H4748" i="4"/>
  <c r="H4749" i="4"/>
  <c r="H4750" i="4"/>
  <c r="H4751" i="4"/>
  <c r="H4752" i="4"/>
  <c r="H4753" i="4"/>
  <c r="H4754" i="4"/>
  <c r="H4755" i="4"/>
  <c r="H4756" i="4"/>
  <c r="H4757" i="4"/>
  <c r="H4758" i="4"/>
  <c r="H4759" i="4"/>
  <c r="H4760" i="4"/>
  <c r="H4761" i="4"/>
  <c r="H4762" i="4"/>
  <c r="H4763" i="4"/>
  <c r="H4764" i="4"/>
  <c r="H4765" i="4"/>
  <c r="H4766" i="4"/>
  <c r="H4767" i="4"/>
  <c r="H4768" i="4"/>
  <c r="H4769" i="4"/>
  <c r="H4770" i="4"/>
  <c r="H4771" i="4"/>
  <c r="H4772" i="4"/>
  <c r="H4773" i="4"/>
  <c r="H4774" i="4"/>
  <c r="H4775" i="4"/>
  <c r="H4776" i="4"/>
  <c r="H4777" i="4"/>
  <c r="H4778" i="4"/>
  <c r="H4779" i="4"/>
  <c r="H4780" i="4"/>
  <c r="H4781" i="4"/>
  <c r="H4782" i="4"/>
  <c r="H4783" i="4"/>
  <c r="H4784" i="4"/>
  <c r="H4785" i="4"/>
  <c r="H4786" i="4"/>
  <c r="H4787" i="4"/>
  <c r="H4788" i="4"/>
  <c r="H4789" i="4"/>
  <c r="H4790" i="4"/>
  <c r="H4791" i="4"/>
  <c r="H4792" i="4"/>
  <c r="H4793" i="4"/>
  <c r="H4794" i="4"/>
  <c r="H4795" i="4"/>
  <c r="H4796" i="4"/>
  <c r="H4797" i="4"/>
  <c r="H4798" i="4"/>
  <c r="H4799" i="4"/>
  <c r="H4800" i="4"/>
  <c r="H4801" i="4"/>
  <c r="H4802" i="4"/>
  <c r="H4803" i="4"/>
  <c r="H4804" i="4"/>
  <c r="H4805" i="4"/>
  <c r="H4806" i="4"/>
  <c r="H4807" i="4"/>
  <c r="H4808" i="4"/>
  <c r="H4809" i="4"/>
  <c r="H4810" i="4"/>
  <c r="H4811" i="4"/>
  <c r="H4812" i="4"/>
  <c r="H4813" i="4"/>
  <c r="H4814" i="4"/>
  <c r="H4815" i="4"/>
  <c r="H4816" i="4"/>
  <c r="H4817" i="4"/>
  <c r="H4818" i="4"/>
  <c r="H4819" i="4"/>
  <c r="H4820" i="4"/>
  <c r="H4821" i="4"/>
  <c r="H4822" i="4"/>
  <c r="H4823" i="4"/>
  <c r="H4824" i="4"/>
  <c r="H4825" i="4"/>
  <c r="H4826" i="4"/>
  <c r="H4827" i="4"/>
  <c r="H4828" i="4"/>
  <c r="H4829" i="4"/>
  <c r="H4830" i="4"/>
  <c r="H4831" i="4"/>
  <c r="H4832" i="4"/>
  <c r="H4833" i="4"/>
  <c r="H4834" i="4"/>
  <c r="H4835" i="4"/>
  <c r="H4836" i="4"/>
  <c r="H4837" i="4"/>
  <c r="H4838" i="4"/>
  <c r="H4839" i="4"/>
  <c r="H4840" i="4"/>
  <c r="H4841" i="4"/>
  <c r="H4842" i="4"/>
  <c r="H4843" i="4"/>
  <c r="H4844" i="4"/>
  <c r="H4845" i="4"/>
  <c r="H4846" i="4"/>
  <c r="H4847" i="4"/>
  <c r="H4848" i="4"/>
  <c r="H4849" i="4"/>
  <c r="H4850" i="4"/>
  <c r="H4851" i="4"/>
  <c r="H4852" i="4"/>
  <c r="H4853" i="4"/>
  <c r="H4854" i="4"/>
  <c r="H4855" i="4"/>
  <c r="H4856" i="4"/>
  <c r="H4857" i="4"/>
  <c r="H4858" i="4"/>
  <c r="H4859" i="4"/>
  <c r="H4860" i="4"/>
  <c r="H4861" i="4"/>
  <c r="H4862" i="4"/>
  <c r="H4863" i="4"/>
  <c r="H4864" i="4"/>
  <c r="H4865" i="4"/>
  <c r="H4866" i="4"/>
  <c r="H4867" i="4"/>
  <c r="H4868" i="4"/>
  <c r="H4869" i="4"/>
  <c r="H4870" i="4"/>
  <c r="H4871" i="4"/>
  <c r="H4872" i="4"/>
  <c r="H4873" i="4"/>
  <c r="H4874" i="4"/>
  <c r="H4875" i="4"/>
  <c r="H4876" i="4"/>
  <c r="H4877" i="4"/>
  <c r="H4878" i="4"/>
  <c r="H4879" i="4"/>
  <c r="H4880" i="4"/>
  <c r="H4881" i="4"/>
  <c r="H4882" i="4"/>
  <c r="H4883" i="4"/>
  <c r="H4884" i="4"/>
  <c r="H4885" i="4"/>
  <c r="H4886" i="4"/>
  <c r="H4887" i="4"/>
  <c r="H4888" i="4"/>
  <c r="H4889" i="4"/>
  <c r="H4890" i="4"/>
  <c r="H4891" i="4"/>
  <c r="H4892" i="4"/>
  <c r="H4893" i="4"/>
  <c r="H4894" i="4"/>
  <c r="H4895" i="4"/>
  <c r="H4896" i="4"/>
  <c r="H4897" i="4"/>
  <c r="H4898" i="4"/>
  <c r="H4899" i="4"/>
  <c r="H4900" i="4"/>
  <c r="H4901" i="4"/>
  <c r="H4902" i="4"/>
  <c r="H4903" i="4"/>
  <c r="H4904" i="4"/>
  <c r="H4905" i="4"/>
  <c r="H4906" i="4"/>
  <c r="H4907" i="4"/>
  <c r="H4908" i="4"/>
  <c r="H4909" i="4"/>
  <c r="H4910" i="4"/>
  <c r="H4911" i="4"/>
  <c r="H4912" i="4"/>
  <c r="H4913" i="4"/>
  <c r="H4914" i="4"/>
  <c r="H4915" i="4"/>
  <c r="H4916" i="4"/>
  <c r="H4917" i="4"/>
  <c r="H4918" i="4"/>
  <c r="H4919" i="4"/>
  <c r="H4920" i="4"/>
  <c r="H4921" i="4"/>
  <c r="H4922" i="4"/>
  <c r="H4923" i="4"/>
  <c r="H4924" i="4"/>
  <c r="H4925" i="4"/>
  <c r="H4926" i="4"/>
  <c r="H4927" i="4"/>
  <c r="H4928" i="4"/>
  <c r="H4929" i="4"/>
  <c r="H4930" i="4"/>
  <c r="H4931" i="4"/>
  <c r="H4932" i="4"/>
  <c r="H4933" i="4"/>
  <c r="H4934" i="4"/>
  <c r="H4935" i="4"/>
  <c r="H4936" i="4"/>
  <c r="H4937" i="4"/>
  <c r="H4938" i="4"/>
  <c r="H4939" i="4"/>
  <c r="H4940" i="4"/>
  <c r="H4941" i="4"/>
  <c r="H4942" i="4"/>
  <c r="H4943" i="4"/>
  <c r="H4944" i="4"/>
  <c r="H4945" i="4"/>
  <c r="H4946" i="4"/>
  <c r="H4947" i="4"/>
  <c r="H4948" i="4"/>
  <c r="H4949" i="4"/>
  <c r="H4950" i="4"/>
  <c r="H4951" i="4"/>
  <c r="H4952" i="4"/>
  <c r="H4953" i="4"/>
  <c r="H4954" i="4"/>
  <c r="H4955" i="4"/>
  <c r="H4956" i="4"/>
  <c r="H4957" i="4"/>
  <c r="H4958" i="4"/>
  <c r="H4959" i="4"/>
  <c r="H4960" i="4"/>
  <c r="H4961" i="4"/>
  <c r="H4962" i="4"/>
  <c r="H4963" i="4"/>
  <c r="H4964" i="4"/>
  <c r="H4965" i="4"/>
  <c r="H4966" i="4"/>
  <c r="H4967" i="4"/>
  <c r="H4968" i="4"/>
  <c r="H4969" i="4"/>
  <c r="H4970" i="4"/>
  <c r="H4971" i="4"/>
  <c r="H4972" i="4"/>
  <c r="H4973" i="4"/>
  <c r="H4974" i="4"/>
  <c r="H4975" i="4"/>
  <c r="H4976" i="4"/>
  <c r="H4977" i="4"/>
  <c r="H4978" i="4"/>
  <c r="H4979" i="4"/>
  <c r="H4980" i="4"/>
  <c r="H4981" i="4"/>
  <c r="H4982" i="4"/>
  <c r="H4983" i="4"/>
  <c r="H4984" i="4"/>
  <c r="H4985" i="4"/>
  <c r="H4986" i="4"/>
  <c r="H4987" i="4"/>
  <c r="H4988" i="4"/>
  <c r="H4989" i="4"/>
  <c r="H4990" i="4"/>
  <c r="H4991" i="4"/>
  <c r="H4992" i="4"/>
  <c r="H4993" i="4"/>
  <c r="H4994" i="4"/>
  <c r="H4995" i="4"/>
  <c r="H4996" i="4"/>
  <c r="H4997" i="4"/>
  <c r="H4998" i="4"/>
  <c r="H4999" i="4"/>
  <c r="H5000" i="4"/>
  <c r="H5001" i="4"/>
  <c r="H5002" i="4"/>
  <c r="H5003" i="4"/>
  <c r="H5004" i="4"/>
  <c r="H5005" i="4"/>
  <c r="H5006" i="4"/>
  <c r="H5007" i="4"/>
  <c r="H5008" i="4"/>
  <c r="H5009" i="4"/>
  <c r="H5010" i="4"/>
  <c r="H5011" i="4"/>
  <c r="H5012" i="4"/>
  <c r="H5013" i="4"/>
  <c r="H5014" i="4"/>
  <c r="H5015" i="4"/>
  <c r="H5016" i="4"/>
  <c r="H5017" i="4"/>
  <c r="H5018" i="4"/>
  <c r="H5019" i="4"/>
  <c r="H5020" i="4"/>
  <c r="H5021" i="4"/>
  <c r="H5022" i="4"/>
  <c r="H5023" i="4"/>
  <c r="H5024" i="4"/>
  <c r="H5025" i="4"/>
  <c r="H5026" i="4"/>
  <c r="H5027" i="4"/>
  <c r="H5028" i="4"/>
  <c r="H5029" i="4"/>
  <c r="H5030" i="4"/>
  <c r="H5031" i="4"/>
  <c r="H5032" i="4"/>
  <c r="H5033" i="4"/>
  <c r="H5034" i="4"/>
  <c r="H5035" i="4"/>
  <c r="H5036" i="4"/>
  <c r="H5037" i="4"/>
  <c r="H5038" i="4"/>
  <c r="H5039" i="4"/>
  <c r="H5040" i="4"/>
  <c r="H5041" i="4"/>
  <c r="H5042" i="4"/>
  <c r="H5043" i="4"/>
  <c r="H5044" i="4"/>
  <c r="H5045" i="4"/>
  <c r="H5046" i="4"/>
  <c r="H5047" i="4"/>
  <c r="H5048" i="4"/>
  <c r="H5049" i="4"/>
  <c r="H5050" i="4"/>
  <c r="H5051" i="4"/>
  <c r="H5052" i="4"/>
  <c r="H5053" i="4"/>
  <c r="H5054" i="4"/>
  <c r="H5055" i="4"/>
  <c r="H5056" i="4"/>
  <c r="H5057" i="4"/>
  <c r="H5058" i="4"/>
  <c r="H5059" i="4"/>
  <c r="H5060" i="4"/>
  <c r="H5061" i="4"/>
  <c r="H5062" i="4"/>
  <c r="H5063" i="4"/>
  <c r="H5064" i="4"/>
  <c r="H5065" i="4"/>
  <c r="H5066" i="4"/>
  <c r="H5067" i="4"/>
  <c r="H5068" i="4"/>
  <c r="H5069" i="4"/>
  <c r="H5070" i="4"/>
  <c r="H5071" i="4"/>
  <c r="H5072" i="4"/>
  <c r="H5073" i="4"/>
  <c r="H5074" i="4"/>
  <c r="H5075" i="4"/>
  <c r="H5076" i="4"/>
  <c r="H5077" i="4"/>
  <c r="H5078" i="4"/>
  <c r="H5079" i="4"/>
  <c r="H5080" i="4"/>
  <c r="H5081" i="4"/>
  <c r="H5082" i="4"/>
  <c r="H5083" i="4"/>
  <c r="H5084" i="4"/>
  <c r="H5085" i="4"/>
  <c r="H5086" i="4"/>
  <c r="H5087" i="4"/>
  <c r="H5088" i="4"/>
  <c r="H5089" i="4"/>
  <c r="H5090" i="4"/>
  <c r="H5091" i="4"/>
  <c r="H5092" i="4"/>
  <c r="H5093" i="4"/>
  <c r="H5094" i="4"/>
  <c r="H5095" i="4"/>
  <c r="H5096" i="4"/>
  <c r="H5097" i="4"/>
  <c r="H5098" i="4"/>
  <c r="H5099" i="4"/>
  <c r="H5100" i="4"/>
  <c r="H5101" i="4"/>
  <c r="H5102" i="4"/>
  <c r="H5103" i="4"/>
  <c r="H5104" i="4"/>
  <c r="H5105" i="4"/>
  <c r="H5106" i="4"/>
  <c r="H5107" i="4"/>
  <c r="H5108" i="4"/>
  <c r="H5109" i="4"/>
  <c r="H5110" i="4"/>
  <c r="H5111" i="4"/>
  <c r="H5112" i="4"/>
  <c r="H5113" i="4"/>
  <c r="H5114" i="4"/>
  <c r="H5115" i="4"/>
  <c r="H5116" i="4"/>
  <c r="H5117" i="4"/>
  <c r="H5118" i="4"/>
  <c r="H5119" i="4"/>
  <c r="H5120" i="4"/>
  <c r="H5121" i="4"/>
  <c r="H5122" i="4"/>
  <c r="H5123" i="4"/>
  <c r="H5124" i="4"/>
  <c r="H5125" i="4"/>
  <c r="H5126" i="4"/>
  <c r="H5127" i="4"/>
  <c r="H5128" i="4"/>
  <c r="H5129" i="4"/>
  <c r="H5130" i="4"/>
  <c r="H5131" i="4"/>
  <c r="H5132" i="4"/>
  <c r="H5133" i="4"/>
  <c r="H5134" i="4"/>
  <c r="H5135" i="4"/>
  <c r="H5136" i="4"/>
  <c r="H5137" i="4"/>
  <c r="H5138" i="4"/>
  <c r="H5139" i="4"/>
  <c r="H5140" i="4"/>
  <c r="H5141" i="4"/>
  <c r="H5142" i="4"/>
  <c r="H5143" i="4"/>
  <c r="H5144" i="4"/>
  <c r="H5145" i="4"/>
  <c r="H5146" i="4"/>
  <c r="H5147" i="4"/>
  <c r="H5148" i="4"/>
  <c r="H5149" i="4"/>
  <c r="H5150" i="4"/>
  <c r="H5151" i="4"/>
  <c r="H5152" i="4"/>
  <c r="H5153" i="4"/>
  <c r="H5154" i="4"/>
  <c r="H5155" i="4"/>
  <c r="H5156" i="4"/>
  <c r="H5157" i="4"/>
  <c r="H5158" i="4"/>
  <c r="H5159" i="4"/>
  <c r="H5160" i="4"/>
  <c r="H5161" i="4"/>
  <c r="H5162" i="4"/>
  <c r="H5163" i="4"/>
  <c r="H5164" i="4"/>
  <c r="H5165" i="4"/>
  <c r="H5166" i="4"/>
  <c r="H5167" i="4"/>
  <c r="H5168" i="4"/>
  <c r="H5169" i="4"/>
  <c r="H5170" i="4"/>
  <c r="H5171" i="4"/>
  <c r="H5172" i="4"/>
  <c r="H5173" i="4"/>
  <c r="H5174" i="4"/>
  <c r="H5175" i="4"/>
  <c r="H5176" i="4"/>
  <c r="H5177" i="4"/>
  <c r="H5178" i="4"/>
  <c r="H5179" i="4"/>
  <c r="H5180" i="4"/>
  <c r="H5181" i="4"/>
  <c r="H5182" i="4"/>
  <c r="H5183" i="4"/>
  <c r="H5184" i="4"/>
  <c r="H5185" i="4"/>
  <c r="H5186" i="4"/>
  <c r="H5187" i="4"/>
  <c r="H5188" i="4"/>
  <c r="H5189" i="4"/>
  <c r="H5190" i="4"/>
  <c r="H5191" i="4"/>
  <c r="I4066" i="4"/>
  <c r="I4067" i="4"/>
  <c r="I4068" i="4"/>
  <c r="I4069" i="4"/>
  <c r="I4070" i="4"/>
  <c r="I4071" i="4"/>
  <c r="I4072" i="4"/>
  <c r="I4073" i="4"/>
  <c r="I4074" i="4"/>
  <c r="I4075" i="4"/>
  <c r="I4076" i="4"/>
  <c r="I4077" i="4"/>
  <c r="I4078" i="4"/>
  <c r="I4079" i="4"/>
  <c r="I4080" i="4"/>
  <c r="I4081" i="4"/>
  <c r="I4082" i="4"/>
  <c r="I4083" i="4"/>
  <c r="I4084" i="4"/>
  <c r="I4085" i="4"/>
  <c r="I4086" i="4"/>
  <c r="I4087" i="4"/>
  <c r="I4088" i="4"/>
  <c r="I4089" i="4"/>
  <c r="I4090" i="4"/>
  <c r="I4091" i="4"/>
  <c r="I4092" i="4"/>
  <c r="I4093" i="4"/>
  <c r="I4094" i="4"/>
  <c r="I4095" i="4"/>
  <c r="I4096" i="4"/>
  <c r="I4097" i="4"/>
  <c r="I4098" i="4"/>
  <c r="I4099" i="4"/>
  <c r="I4100" i="4"/>
  <c r="I4101" i="4"/>
  <c r="I4102" i="4"/>
  <c r="I4103" i="4"/>
  <c r="I4104" i="4"/>
  <c r="I4105" i="4"/>
  <c r="I4106" i="4"/>
  <c r="I4107" i="4"/>
  <c r="I4108" i="4"/>
  <c r="I4109" i="4"/>
  <c r="I4110" i="4"/>
  <c r="I4111" i="4"/>
  <c r="I4112" i="4"/>
  <c r="I4113" i="4"/>
  <c r="I4114" i="4"/>
  <c r="I4115"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I4154" i="4"/>
  <c r="I4155" i="4"/>
  <c r="I4156" i="4"/>
  <c r="I4157" i="4"/>
  <c r="I4158" i="4"/>
  <c r="I4159" i="4"/>
  <c r="I4160" i="4"/>
  <c r="I4161" i="4"/>
  <c r="I4162" i="4"/>
  <c r="I4163" i="4"/>
  <c r="I4164" i="4"/>
  <c r="I4165" i="4"/>
  <c r="I4166" i="4"/>
  <c r="I4167" i="4"/>
  <c r="I4168" i="4"/>
  <c r="I4169" i="4"/>
  <c r="I4170" i="4"/>
  <c r="I4171" i="4"/>
  <c r="I4172" i="4"/>
  <c r="I4173" i="4"/>
  <c r="I4174" i="4"/>
  <c r="I4175" i="4"/>
  <c r="I4176" i="4"/>
  <c r="I4177" i="4"/>
  <c r="I4178" i="4"/>
  <c r="I4179" i="4"/>
  <c r="I4180" i="4"/>
  <c r="I4181" i="4"/>
  <c r="I4182" i="4"/>
  <c r="I4183" i="4"/>
  <c r="I4184" i="4"/>
  <c r="I4185" i="4"/>
  <c r="I4186" i="4"/>
  <c r="I4187" i="4"/>
  <c r="I4188" i="4"/>
  <c r="I4189" i="4"/>
  <c r="I4190" i="4"/>
  <c r="I4191" i="4"/>
  <c r="I4192" i="4"/>
  <c r="I4193" i="4"/>
  <c r="I4194" i="4"/>
  <c r="I4195" i="4"/>
  <c r="I4196" i="4"/>
  <c r="I4197" i="4"/>
  <c r="I4198" i="4"/>
  <c r="I4199" i="4"/>
  <c r="I4200" i="4"/>
  <c r="I4201" i="4"/>
  <c r="I4202" i="4"/>
  <c r="I4203" i="4"/>
  <c r="I4204" i="4"/>
  <c r="I4205" i="4"/>
  <c r="I4206" i="4"/>
  <c r="I4207" i="4"/>
  <c r="I4208" i="4"/>
  <c r="I4209" i="4"/>
  <c r="I4210" i="4"/>
  <c r="I4211" i="4"/>
  <c r="I4212" i="4"/>
  <c r="I4213" i="4"/>
  <c r="I4214" i="4"/>
  <c r="I4215" i="4"/>
  <c r="I4216" i="4"/>
  <c r="I4217" i="4"/>
  <c r="I4218" i="4"/>
  <c r="I4219" i="4"/>
  <c r="I4220" i="4"/>
  <c r="I4221" i="4"/>
  <c r="I4222" i="4"/>
  <c r="I4223" i="4"/>
  <c r="I4224" i="4"/>
  <c r="I4225" i="4"/>
  <c r="I4226" i="4"/>
  <c r="I4227" i="4"/>
  <c r="I4228" i="4"/>
  <c r="I4229" i="4"/>
  <c r="I4230" i="4"/>
  <c r="I4231" i="4"/>
  <c r="I4232" i="4"/>
  <c r="I4233" i="4"/>
  <c r="I4234" i="4"/>
  <c r="I4235" i="4"/>
  <c r="I4236" i="4"/>
  <c r="I4237" i="4"/>
  <c r="I4238" i="4"/>
  <c r="I4239" i="4"/>
  <c r="I4240" i="4"/>
  <c r="I4241" i="4"/>
  <c r="I4242" i="4"/>
  <c r="I4243" i="4"/>
  <c r="I4244" i="4"/>
  <c r="I4245" i="4"/>
  <c r="I4246" i="4"/>
  <c r="I4247" i="4"/>
  <c r="I4248" i="4"/>
  <c r="I4249" i="4"/>
  <c r="I4250" i="4"/>
  <c r="I4251" i="4"/>
  <c r="I4252" i="4"/>
  <c r="I4253" i="4"/>
  <c r="I4254" i="4"/>
  <c r="I4255" i="4"/>
  <c r="I4256" i="4"/>
  <c r="I4257" i="4"/>
  <c r="I4258" i="4"/>
  <c r="I4259" i="4"/>
  <c r="I4260" i="4"/>
  <c r="I4261" i="4"/>
  <c r="I4262" i="4"/>
  <c r="I4263" i="4"/>
  <c r="I4264" i="4"/>
  <c r="I4265" i="4"/>
  <c r="I4266" i="4"/>
  <c r="I4267" i="4"/>
  <c r="I4268" i="4"/>
  <c r="I4269" i="4"/>
  <c r="I4270" i="4"/>
  <c r="I4271" i="4"/>
  <c r="I4272" i="4"/>
  <c r="I4273" i="4"/>
  <c r="I4274" i="4"/>
  <c r="I4275" i="4"/>
  <c r="I4276" i="4"/>
  <c r="I4277" i="4"/>
  <c r="I4278" i="4"/>
  <c r="I4279" i="4"/>
  <c r="I4280" i="4"/>
  <c r="I4281" i="4"/>
  <c r="I4282" i="4"/>
  <c r="I4283" i="4"/>
  <c r="I4284" i="4"/>
  <c r="I4285" i="4"/>
  <c r="I4286" i="4"/>
  <c r="I4287" i="4"/>
  <c r="I4288" i="4"/>
  <c r="I4289" i="4"/>
  <c r="I4290" i="4"/>
  <c r="I4291" i="4"/>
  <c r="I4292" i="4"/>
  <c r="I4293" i="4"/>
  <c r="I4294" i="4"/>
  <c r="I4295" i="4"/>
  <c r="I4296" i="4"/>
  <c r="I4297" i="4"/>
  <c r="I4298" i="4"/>
  <c r="I4299" i="4"/>
  <c r="I4300" i="4"/>
  <c r="I4301" i="4"/>
  <c r="I4302" i="4"/>
  <c r="I4303" i="4"/>
  <c r="I4304" i="4"/>
  <c r="I4305" i="4"/>
  <c r="I4306" i="4"/>
  <c r="I4307" i="4"/>
  <c r="I4308" i="4"/>
  <c r="I4309" i="4"/>
  <c r="I4310" i="4"/>
  <c r="I4311" i="4"/>
  <c r="I4312" i="4"/>
  <c r="I4313" i="4"/>
  <c r="I4314" i="4"/>
  <c r="I4315" i="4"/>
  <c r="I4316" i="4"/>
  <c r="I4317" i="4"/>
  <c r="I4318" i="4"/>
  <c r="I4319" i="4"/>
  <c r="I4320" i="4"/>
  <c r="I4321" i="4"/>
  <c r="I4322" i="4"/>
  <c r="I4323" i="4"/>
  <c r="I4324" i="4"/>
  <c r="I4325" i="4"/>
  <c r="I4326" i="4"/>
  <c r="I4327" i="4"/>
  <c r="I4328" i="4"/>
  <c r="I4329" i="4"/>
  <c r="I4330" i="4"/>
  <c r="I4331" i="4"/>
  <c r="I4332" i="4"/>
  <c r="I4333" i="4"/>
  <c r="I4334" i="4"/>
  <c r="I4335" i="4"/>
  <c r="I4336" i="4"/>
  <c r="I4337" i="4"/>
  <c r="I4338" i="4"/>
  <c r="I4339" i="4"/>
  <c r="I4340" i="4"/>
  <c r="I4341" i="4"/>
  <c r="I4342" i="4"/>
  <c r="I4343" i="4"/>
  <c r="I4344" i="4"/>
  <c r="I4345" i="4"/>
  <c r="I4346" i="4"/>
  <c r="I4347" i="4"/>
  <c r="I4348" i="4"/>
  <c r="I4349" i="4"/>
  <c r="I4350" i="4"/>
  <c r="I4351" i="4"/>
  <c r="I4352" i="4"/>
  <c r="I4353" i="4"/>
  <c r="I4354" i="4"/>
  <c r="I4355" i="4"/>
  <c r="I4356" i="4"/>
  <c r="I4357" i="4"/>
  <c r="I4358" i="4"/>
  <c r="I4359" i="4"/>
  <c r="I4360" i="4"/>
  <c r="I4361" i="4"/>
  <c r="I4362" i="4"/>
  <c r="I4363" i="4"/>
  <c r="I4364" i="4"/>
  <c r="I4365" i="4"/>
  <c r="I4366" i="4"/>
  <c r="I4367" i="4"/>
  <c r="I4368" i="4"/>
  <c r="I4369" i="4"/>
  <c r="I4370" i="4"/>
  <c r="I4371" i="4"/>
  <c r="I4372" i="4"/>
  <c r="I4373" i="4"/>
  <c r="I4374" i="4"/>
  <c r="I4375" i="4"/>
  <c r="I4376" i="4"/>
  <c r="I4377" i="4"/>
  <c r="I4378" i="4"/>
  <c r="I4379" i="4"/>
  <c r="I4380" i="4"/>
  <c r="I4381" i="4"/>
  <c r="I4382" i="4"/>
  <c r="I4383" i="4"/>
  <c r="I4384" i="4"/>
  <c r="I4385" i="4"/>
  <c r="I4386" i="4"/>
  <c r="I4387" i="4"/>
  <c r="I4388" i="4"/>
  <c r="I4389" i="4"/>
  <c r="I4390" i="4"/>
  <c r="I4391" i="4"/>
  <c r="I4392" i="4"/>
  <c r="I4393" i="4"/>
  <c r="I4394" i="4"/>
  <c r="I4395" i="4"/>
  <c r="I4396" i="4"/>
  <c r="I4397" i="4"/>
  <c r="I4398" i="4"/>
  <c r="I4399" i="4"/>
  <c r="I4400" i="4"/>
  <c r="I4401" i="4"/>
  <c r="I4402" i="4"/>
  <c r="I4403" i="4"/>
  <c r="I4404" i="4"/>
  <c r="I4405" i="4"/>
  <c r="I4406" i="4"/>
  <c r="I4407" i="4"/>
  <c r="I4408" i="4"/>
  <c r="I4409" i="4"/>
  <c r="I4410" i="4"/>
  <c r="I4411" i="4"/>
  <c r="I4412" i="4"/>
  <c r="I4413" i="4"/>
  <c r="I4414" i="4"/>
  <c r="I4415" i="4"/>
  <c r="I4416" i="4"/>
  <c r="I4417" i="4"/>
  <c r="I4418" i="4"/>
  <c r="I4419" i="4"/>
  <c r="I4420" i="4"/>
  <c r="I4421" i="4"/>
  <c r="I4422" i="4"/>
  <c r="I4423" i="4"/>
  <c r="I4424" i="4"/>
  <c r="I4425" i="4"/>
  <c r="I4426" i="4"/>
  <c r="I4427" i="4"/>
  <c r="I4428" i="4"/>
  <c r="I4429" i="4"/>
  <c r="I4430" i="4"/>
  <c r="I4431" i="4"/>
  <c r="I4432" i="4"/>
  <c r="I4433" i="4"/>
  <c r="I4434" i="4"/>
  <c r="I4435" i="4"/>
  <c r="I4436" i="4"/>
  <c r="I4437" i="4"/>
  <c r="I4438" i="4"/>
  <c r="I4439" i="4"/>
  <c r="I4440" i="4"/>
  <c r="I4441" i="4"/>
  <c r="I4442" i="4"/>
  <c r="I4443" i="4"/>
  <c r="I4444" i="4"/>
  <c r="I4445" i="4"/>
  <c r="I4446" i="4"/>
  <c r="I4447" i="4"/>
  <c r="I4448" i="4"/>
  <c r="I4449" i="4"/>
  <c r="I4450" i="4"/>
  <c r="I4451" i="4"/>
  <c r="I4452" i="4"/>
  <c r="I4453" i="4"/>
  <c r="I4454" i="4"/>
  <c r="I4455" i="4"/>
  <c r="I4456" i="4"/>
  <c r="I4457" i="4"/>
  <c r="I4458" i="4"/>
  <c r="I4459" i="4"/>
  <c r="I4460" i="4"/>
  <c r="I4461" i="4"/>
  <c r="I4462" i="4"/>
  <c r="I4463" i="4"/>
  <c r="I4464" i="4"/>
  <c r="I4465" i="4"/>
  <c r="I4466" i="4"/>
  <c r="I4467" i="4"/>
  <c r="I4468" i="4"/>
  <c r="I4469" i="4"/>
  <c r="I4470" i="4"/>
  <c r="I4471" i="4"/>
  <c r="I4472" i="4"/>
  <c r="I4473" i="4"/>
  <c r="I4474" i="4"/>
  <c r="I4475" i="4"/>
  <c r="I4476" i="4"/>
  <c r="I4477" i="4"/>
  <c r="I4478" i="4"/>
  <c r="I4479" i="4"/>
  <c r="I4480" i="4"/>
  <c r="I4481" i="4"/>
  <c r="I4482" i="4"/>
  <c r="I4483" i="4"/>
  <c r="I4484" i="4"/>
  <c r="I4485" i="4"/>
  <c r="I4486" i="4"/>
  <c r="I4487" i="4"/>
  <c r="I4488" i="4"/>
  <c r="I4489" i="4"/>
  <c r="I4490" i="4"/>
  <c r="I4491" i="4"/>
  <c r="I4492" i="4"/>
  <c r="I4493" i="4"/>
  <c r="I4494" i="4"/>
  <c r="I4495" i="4"/>
  <c r="I4496" i="4"/>
  <c r="I4497" i="4"/>
  <c r="I4498" i="4"/>
  <c r="I4499" i="4"/>
  <c r="I4500" i="4"/>
  <c r="I4501" i="4"/>
  <c r="I4502" i="4"/>
  <c r="I4503" i="4"/>
  <c r="I4504" i="4"/>
  <c r="I4505" i="4"/>
  <c r="I4506" i="4"/>
  <c r="I4507" i="4"/>
  <c r="I4508" i="4"/>
  <c r="I4509" i="4"/>
  <c r="I4510" i="4"/>
  <c r="I4511" i="4"/>
  <c r="I4512" i="4"/>
  <c r="I4513" i="4"/>
  <c r="I4514" i="4"/>
  <c r="I4515" i="4"/>
  <c r="I4516" i="4"/>
  <c r="I4517" i="4"/>
  <c r="I4518" i="4"/>
  <c r="I4519" i="4"/>
  <c r="I4520" i="4"/>
  <c r="I4521" i="4"/>
  <c r="I4522" i="4"/>
  <c r="I4523" i="4"/>
  <c r="I4524" i="4"/>
  <c r="I4525" i="4"/>
  <c r="I4526" i="4"/>
  <c r="I4527" i="4"/>
  <c r="I4528" i="4"/>
  <c r="I4529" i="4"/>
  <c r="I4530" i="4"/>
  <c r="I4531" i="4"/>
  <c r="I4532" i="4"/>
  <c r="I4533" i="4"/>
  <c r="I4534" i="4"/>
  <c r="I4535" i="4"/>
  <c r="I4536" i="4"/>
  <c r="I4537" i="4"/>
  <c r="I4538" i="4"/>
  <c r="I4539" i="4"/>
  <c r="I4540" i="4"/>
  <c r="I4541" i="4"/>
  <c r="I4542" i="4"/>
  <c r="I4543" i="4"/>
  <c r="I4544" i="4"/>
  <c r="I4545" i="4"/>
  <c r="I4546" i="4"/>
  <c r="I4547" i="4"/>
  <c r="I4548" i="4"/>
  <c r="I4549" i="4"/>
  <c r="I4550" i="4"/>
  <c r="I4551" i="4"/>
  <c r="I4552" i="4"/>
  <c r="I4553" i="4"/>
  <c r="I4554" i="4"/>
  <c r="I4555" i="4"/>
  <c r="I4556" i="4"/>
  <c r="I4557" i="4"/>
  <c r="I4558" i="4"/>
  <c r="I4559" i="4"/>
  <c r="I4560" i="4"/>
  <c r="I4561" i="4"/>
  <c r="I4562" i="4"/>
  <c r="I4563" i="4"/>
  <c r="I4564" i="4"/>
  <c r="I4565" i="4"/>
  <c r="I4566" i="4"/>
  <c r="I4567" i="4"/>
  <c r="I4568" i="4"/>
  <c r="I4569" i="4"/>
  <c r="I4570" i="4"/>
  <c r="I4571" i="4"/>
  <c r="I4572" i="4"/>
  <c r="I4573" i="4"/>
  <c r="I4574" i="4"/>
  <c r="I4575" i="4"/>
  <c r="I4576" i="4"/>
  <c r="I4577" i="4"/>
  <c r="I4578" i="4"/>
  <c r="I4579" i="4"/>
  <c r="I4580" i="4"/>
  <c r="I4581" i="4"/>
  <c r="I4582" i="4"/>
  <c r="I4583" i="4"/>
  <c r="I4584" i="4"/>
  <c r="I4585" i="4"/>
  <c r="I4586" i="4"/>
  <c r="I4587" i="4"/>
  <c r="I4588" i="4"/>
  <c r="I4589" i="4"/>
  <c r="I4590" i="4"/>
  <c r="I4591" i="4"/>
  <c r="I4592" i="4"/>
  <c r="I4593" i="4"/>
  <c r="I4594" i="4"/>
  <c r="I4595" i="4"/>
  <c r="I4596" i="4"/>
  <c r="I4597" i="4"/>
  <c r="I4598" i="4"/>
  <c r="I4599" i="4"/>
  <c r="I4600" i="4"/>
  <c r="I4601" i="4"/>
  <c r="I4602" i="4"/>
  <c r="I4603" i="4"/>
  <c r="I4604" i="4"/>
  <c r="I4605" i="4"/>
  <c r="I4606" i="4"/>
  <c r="I4607" i="4"/>
  <c r="I4608" i="4"/>
  <c r="I4609" i="4"/>
  <c r="I4610" i="4"/>
  <c r="I4611" i="4"/>
  <c r="I4612" i="4"/>
  <c r="I4613" i="4"/>
  <c r="I4614" i="4"/>
  <c r="I4615" i="4"/>
  <c r="I4616" i="4"/>
  <c r="I4617" i="4"/>
  <c r="I4618" i="4"/>
  <c r="I4619" i="4"/>
  <c r="I4620" i="4"/>
  <c r="I4621" i="4"/>
  <c r="I4622" i="4"/>
  <c r="I4623" i="4"/>
  <c r="I4624" i="4"/>
  <c r="I4625" i="4"/>
  <c r="I4626" i="4"/>
  <c r="I4627" i="4"/>
  <c r="I4628" i="4"/>
  <c r="I4629" i="4"/>
  <c r="I4630" i="4"/>
  <c r="I4631" i="4"/>
  <c r="I4632" i="4"/>
  <c r="I4633" i="4"/>
  <c r="I4634" i="4"/>
  <c r="I4635" i="4"/>
  <c r="I4636" i="4"/>
  <c r="I4637" i="4"/>
  <c r="I4638" i="4"/>
  <c r="I4639" i="4"/>
  <c r="I4640" i="4"/>
  <c r="I4641" i="4"/>
  <c r="I4642" i="4"/>
  <c r="I4643" i="4"/>
  <c r="I4644" i="4"/>
  <c r="I4645" i="4"/>
  <c r="I4646" i="4"/>
  <c r="I4647" i="4"/>
  <c r="I4648" i="4"/>
  <c r="I4649" i="4"/>
  <c r="I4650" i="4"/>
  <c r="I4651" i="4"/>
  <c r="I4652" i="4"/>
  <c r="I4653" i="4"/>
  <c r="I4654" i="4"/>
  <c r="I4655" i="4"/>
  <c r="I4656" i="4"/>
  <c r="I4657" i="4"/>
  <c r="I4658" i="4"/>
  <c r="I4659" i="4"/>
  <c r="I4660" i="4"/>
  <c r="I4661" i="4"/>
  <c r="I4662" i="4"/>
  <c r="I4663" i="4"/>
  <c r="I4664" i="4"/>
  <c r="I4665" i="4"/>
  <c r="I4666" i="4"/>
  <c r="I4667" i="4"/>
  <c r="I4668" i="4"/>
  <c r="I4669" i="4"/>
  <c r="I4670" i="4"/>
  <c r="I4671" i="4"/>
  <c r="I4672" i="4"/>
  <c r="I4673" i="4"/>
  <c r="I4674" i="4"/>
  <c r="I4675" i="4"/>
  <c r="I4676" i="4"/>
  <c r="I4677" i="4"/>
  <c r="I4678" i="4"/>
  <c r="I4679" i="4"/>
  <c r="I4680" i="4"/>
  <c r="I4681" i="4"/>
  <c r="I4682" i="4"/>
  <c r="I4683" i="4"/>
  <c r="I4684" i="4"/>
  <c r="I4685" i="4"/>
  <c r="I4686" i="4"/>
  <c r="I4687" i="4"/>
  <c r="I4688" i="4"/>
  <c r="I4689" i="4"/>
  <c r="I4690" i="4"/>
  <c r="I4691" i="4"/>
  <c r="I4692" i="4"/>
  <c r="I4693" i="4"/>
  <c r="I4694" i="4"/>
  <c r="I4695" i="4"/>
  <c r="I4696" i="4"/>
  <c r="I4697" i="4"/>
  <c r="I4698" i="4"/>
  <c r="I4699" i="4"/>
  <c r="I4700" i="4"/>
  <c r="I4701" i="4"/>
  <c r="I4702" i="4"/>
  <c r="I4703" i="4"/>
  <c r="I4704" i="4"/>
  <c r="I4705" i="4"/>
  <c r="I4706" i="4"/>
  <c r="I4707" i="4"/>
  <c r="I4708" i="4"/>
  <c r="I4709" i="4"/>
  <c r="I4710" i="4"/>
  <c r="I4711" i="4"/>
  <c r="I4712" i="4"/>
  <c r="I4713" i="4"/>
  <c r="I4714" i="4"/>
  <c r="I4715" i="4"/>
  <c r="I4716" i="4"/>
  <c r="I4717" i="4"/>
  <c r="I4718" i="4"/>
  <c r="I4719" i="4"/>
  <c r="I4720" i="4"/>
  <c r="I4721" i="4"/>
  <c r="I4722" i="4"/>
  <c r="I4723" i="4"/>
  <c r="I4724" i="4"/>
  <c r="I4725" i="4"/>
  <c r="I4726" i="4"/>
  <c r="I4727" i="4"/>
  <c r="I4728" i="4"/>
  <c r="I4729" i="4"/>
  <c r="I4730" i="4"/>
  <c r="I4731" i="4"/>
  <c r="I4732" i="4"/>
  <c r="I4733" i="4"/>
  <c r="I4734" i="4"/>
  <c r="I4735" i="4"/>
  <c r="I4736" i="4"/>
  <c r="I4737" i="4"/>
  <c r="I4738" i="4"/>
  <c r="I4739" i="4"/>
  <c r="I4740" i="4"/>
  <c r="I4741" i="4"/>
  <c r="I4742" i="4"/>
  <c r="I4743" i="4"/>
  <c r="I4744" i="4"/>
  <c r="I4745" i="4"/>
  <c r="I4746" i="4"/>
  <c r="I4747" i="4"/>
  <c r="I4748" i="4"/>
  <c r="I4749" i="4"/>
  <c r="I4750" i="4"/>
  <c r="I4751" i="4"/>
  <c r="I4752" i="4"/>
  <c r="I4753" i="4"/>
  <c r="I4754" i="4"/>
  <c r="I4755" i="4"/>
  <c r="I4756" i="4"/>
  <c r="I4757" i="4"/>
  <c r="I4758" i="4"/>
  <c r="I4759" i="4"/>
  <c r="I4760" i="4"/>
  <c r="I4761" i="4"/>
  <c r="I4762" i="4"/>
  <c r="I4763" i="4"/>
  <c r="I4764" i="4"/>
  <c r="I4765" i="4"/>
  <c r="I4766" i="4"/>
  <c r="I4767" i="4"/>
  <c r="I4768" i="4"/>
  <c r="I4769" i="4"/>
  <c r="I4770" i="4"/>
  <c r="I4771" i="4"/>
  <c r="I4772" i="4"/>
  <c r="I4773" i="4"/>
  <c r="I4774" i="4"/>
  <c r="I4775" i="4"/>
  <c r="I4776" i="4"/>
  <c r="I4777" i="4"/>
  <c r="I4778" i="4"/>
  <c r="I4779" i="4"/>
  <c r="I4780" i="4"/>
  <c r="I4781" i="4"/>
  <c r="I4782" i="4"/>
  <c r="I4783" i="4"/>
  <c r="I4784" i="4"/>
  <c r="I4785" i="4"/>
  <c r="I4786" i="4"/>
  <c r="I4787" i="4"/>
  <c r="I4788" i="4"/>
  <c r="I4789" i="4"/>
  <c r="I4790" i="4"/>
  <c r="I4791" i="4"/>
  <c r="I4792" i="4"/>
  <c r="I4793" i="4"/>
  <c r="I4794" i="4"/>
  <c r="I4795" i="4"/>
  <c r="I4796" i="4"/>
  <c r="I4797" i="4"/>
  <c r="I4798" i="4"/>
  <c r="I4799" i="4"/>
  <c r="I4800" i="4"/>
  <c r="I4801" i="4"/>
  <c r="I4802" i="4"/>
  <c r="I4803" i="4"/>
  <c r="I4804" i="4"/>
  <c r="I4805" i="4"/>
  <c r="I4806" i="4"/>
  <c r="I4807" i="4"/>
  <c r="I4808" i="4"/>
  <c r="I4809" i="4"/>
  <c r="I4810" i="4"/>
  <c r="I4811" i="4"/>
  <c r="I4812" i="4"/>
  <c r="I4813" i="4"/>
  <c r="I4814" i="4"/>
  <c r="I4815" i="4"/>
  <c r="I4816" i="4"/>
  <c r="I4817" i="4"/>
  <c r="I4818" i="4"/>
  <c r="I4819" i="4"/>
  <c r="I4820" i="4"/>
  <c r="I4821" i="4"/>
  <c r="I4822" i="4"/>
  <c r="I4823" i="4"/>
  <c r="I4824" i="4"/>
  <c r="I4825" i="4"/>
  <c r="I4826" i="4"/>
  <c r="I4827" i="4"/>
  <c r="I4828" i="4"/>
  <c r="I4829" i="4"/>
  <c r="I4830" i="4"/>
  <c r="I4831" i="4"/>
  <c r="I4832" i="4"/>
  <c r="I4833" i="4"/>
  <c r="I4834" i="4"/>
  <c r="I4835" i="4"/>
  <c r="I4836" i="4"/>
  <c r="I4837" i="4"/>
  <c r="I4838" i="4"/>
  <c r="I4839" i="4"/>
  <c r="I4840" i="4"/>
  <c r="I4841" i="4"/>
  <c r="I4842" i="4"/>
  <c r="I4843" i="4"/>
  <c r="I4844" i="4"/>
  <c r="I4845" i="4"/>
  <c r="I4846" i="4"/>
  <c r="I4847" i="4"/>
  <c r="I4848" i="4"/>
  <c r="I4849" i="4"/>
  <c r="I4850" i="4"/>
  <c r="I4851" i="4"/>
  <c r="I4852" i="4"/>
  <c r="I4853" i="4"/>
  <c r="I4854" i="4"/>
  <c r="I4855" i="4"/>
  <c r="I4856" i="4"/>
  <c r="I4857" i="4"/>
  <c r="I4858" i="4"/>
  <c r="I4859" i="4"/>
  <c r="I4860" i="4"/>
  <c r="I4861" i="4"/>
  <c r="I4862" i="4"/>
  <c r="I4863" i="4"/>
  <c r="I4864" i="4"/>
  <c r="I4865" i="4"/>
  <c r="I4866" i="4"/>
  <c r="I4867" i="4"/>
  <c r="I4868" i="4"/>
  <c r="I4869" i="4"/>
  <c r="I4870" i="4"/>
  <c r="I4871" i="4"/>
  <c r="I4872" i="4"/>
  <c r="I4873" i="4"/>
  <c r="I4874" i="4"/>
  <c r="I4875" i="4"/>
  <c r="I4876" i="4"/>
  <c r="I4877" i="4"/>
  <c r="I4878" i="4"/>
  <c r="I4879" i="4"/>
  <c r="I4880" i="4"/>
  <c r="I4881" i="4"/>
  <c r="I4882" i="4"/>
  <c r="I4883" i="4"/>
  <c r="I4884" i="4"/>
  <c r="I4885" i="4"/>
  <c r="I4886" i="4"/>
  <c r="I4887" i="4"/>
  <c r="I4888" i="4"/>
  <c r="I4889" i="4"/>
  <c r="I4890" i="4"/>
  <c r="I4891" i="4"/>
  <c r="I4892" i="4"/>
  <c r="I4893" i="4"/>
  <c r="I4894" i="4"/>
  <c r="I4895" i="4"/>
  <c r="I4896" i="4"/>
  <c r="I4897" i="4"/>
  <c r="I4898" i="4"/>
  <c r="I4899" i="4"/>
  <c r="I4900" i="4"/>
  <c r="I4901" i="4"/>
  <c r="I4902" i="4"/>
  <c r="I4903" i="4"/>
  <c r="I4904" i="4"/>
  <c r="I4905" i="4"/>
  <c r="I4906" i="4"/>
  <c r="I4907" i="4"/>
  <c r="I4908" i="4"/>
  <c r="I4909" i="4"/>
  <c r="I4910" i="4"/>
  <c r="I4911" i="4"/>
  <c r="I4912" i="4"/>
  <c r="I4913" i="4"/>
  <c r="I4914" i="4"/>
  <c r="I4915" i="4"/>
  <c r="I4916" i="4"/>
  <c r="I4917" i="4"/>
  <c r="I4918" i="4"/>
  <c r="I4919" i="4"/>
  <c r="I4920" i="4"/>
  <c r="I4921" i="4"/>
  <c r="I4922" i="4"/>
  <c r="I4923" i="4"/>
  <c r="I4924" i="4"/>
  <c r="I4925" i="4"/>
  <c r="I4926" i="4"/>
  <c r="I4927" i="4"/>
  <c r="I4928" i="4"/>
  <c r="I4929" i="4"/>
  <c r="I4930" i="4"/>
  <c r="I4931" i="4"/>
  <c r="I4932" i="4"/>
  <c r="I4933" i="4"/>
  <c r="I4934" i="4"/>
  <c r="I4935" i="4"/>
  <c r="I4936" i="4"/>
  <c r="I4937" i="4"/>
  <c r="I4938" i="4"/>
  <c r="I4939" i="4"/>
  <c r="I4940" i="4"/>
  <c r="I4941" i="4"/>
  <c r="I4942" i="4"/>
  <c r="I4943" i="4"/>
  <c r="I4944" i="4"/>
  <c r="I4945" i="4"/>
  <c r="I4946" i="4"/>
  <c r="I4947" i="4"/>
  <c r="I4948" i="4"/>
  <c r="I4949" i="4"/>
  <c r="I4950" i="4"/>
  <c r="I4951" i="4"/>
  <c r="I4952" i="4"/>
  <c r="I4953" i="4"/>
  <c r="I4954" i="4"/>
  <c r="I4955" i="4"/>
  <c r="I4956" i="4"/>
  <c r="I4957" i="4"/>
  <c r="I4958" i="4"/>
  <c r="I4959" i="4"/>
  <c r="I4960" i="4"/>
  <c r="I4961" i="4"/>
  <c r="I4962" i="4"/>
  <c r="I4963" i="4"/>
  <c r="I4964" i="4"/>
  <c r="I4965" i="4"/>
  <c r="I4966" i="4"/>
  <c r="I4967" i="4"/>
  <c r="I4968" i="4"/>
  <c r="I4969" i="4"/>
  <c r="I4970" i="4"/>
  <c r="I4971" i="4"/>
  <c r="I4972" i="4"/>
  <c r="I4973" i="4"/>
  <c r="I4974" i="4"/>
  <c r="I4975" i="4"/>
  <c r="I4976" i="4"/>
  <c r="I4977" i="4"/>
  <c r="I4978" i="4"/>
  <c r="I4979" i="4"/>
  <c r="I4980" i="4"/>
  <c r="I4981" i="4"/>
  <c r="I4982" i="4"/>
  <c r="I4983" i="4"/>
  <c r="I4984" i="4"/>
  <c r="I4985" i="4"/>
  <c r="I4986" i="4"/>
  <c r="I4987" i="4"/>
  <c r="I4988" i="4"/>
  <c r="I4989" i="4"/>
  <c r="I4990" i="4"/>
  <c r="I4991" i="4"/>
  <c r="I4992" i="4"/>
  <c r="I4993" i="4"/>
  <c r="I4994" i="4"/>
  <c r="I4995" i="4"/>
  <c r="I4996" i="4"/>
  <c r="I4997" i="4"/>
  <c r="I4998" i="4"/>
  <c r="I4999" i="4"/>
  <c r="I5000" i="4"/>
  <c r="I5001" i="4"/>
  <c r="I5002" i="4"/>
  <c r="I5003" i="4"/>
  <c r="I5004" i="4"/>
  <c r="I5005" i="4"/>
  <c r="I5006" i="4"/>
  <c r="I5007" i="4"/>
  <c r="I5008" i="4"/>
  <c r="I5009" i="4"/>
  <c r="I5010" i="4"/>
  <c r="I5011" i="4"/>
  <c r="I5012" i="4"/>
  <c r="I5013" i="4"/>
  <c r="I5014" i="4"/>
  <c r="I5015" i="4"/>
  <c r="I5016" i="4"/>
  <c r="I5017" i="4"/>
  <c r="I5018" i="4"/>
  <c r="I5019" i="4"/>
  <c r="I5020" i="4"/>
  <c r="I5021" i="4"/>
  <c r="I5022" i="4"/>
  <c r="I5023" i="4"/>
  <c r="I5024" i="4"/>
  <c r="I5025" i="4"/>
  <c r="I5026" i="4"/>
  <c r="I5027" i="4"/>
  <c r="I5028" i="4"/>
  <c r="I5029" i="4"/>
  <c r="I5030" i="4"/>
  <c r="I5031" i="4"/>
  <c r="I5032" i="4"/>
  <c r="I5033" i="4"/>
  <c r="I5034" i="4"/>
  <c r="I5035" i="4"/>
  <c r="I5036" i="4"/>
  <c r="I5037" i="4"/>
  <c r="I5038" i="4"/>
  <c r="I5039" i="4"/>
  <c r="I5040" i="4"/>
  <c r="I5041" i="4"/>
  <c r="I5042" i="4"/>
  <c r="I5043" i="4"/>
  <c r="I5044" i="4"/>
  <c r="I5045" i="4"/>
  <c r="I5046" i="4"/>
  <c r="I5047" i="4"/>
  <c r="I5048" i="4"/>
  <c r="I5049" i="4"/>
  <c r="I5050" i="4"/>
  <c r="I5051" i="4"/>
  <c r="I5052" i="4"/>
  <c r="I5053" i="4"/>
  <c r="I5054" i="4"/>
  <c r="I5055" i="4"/>
  <c r="I5056" i="4"/>
  <c r="I5057" i="4"/>
  <c r="I5058" i="4"/>
  <c r="I5059" i="4"/>
  <c r="I5060" i="4"/>
  <c r="I5061" i="4"/>
  <c r="I5062" i="4"/>
  <c r="I5063" i="4"/>
  <c r="I5064" i="4"/>
  <c r="I5065" i="4"/>
  <c r="I5066" i="4"/>
  <c r="I5067" i="4"/>
  <c r="I5068" i="4"/>
  <c r="I5069" i="4"/>
  <c r="I5070" i="4"/>
  <c r="I5071" i="4"/>
  <c r="I5072" i="4"/>
  <c r="I5073" i="4"/>
  <c r="I5074" i="4"/>
  <c r="I5075" i="4"/>
  <c r="I5076" i="4"/>
  <c r="I5077" i="4"/>
  <c r="I5078" i="4"/>
  <c r="I5079" i="4"/>
  <c r="I5080" i="4"/>
  <c r="I5081" i="4"/>
  <c r="I5082" i="4"/>
  <c r="I5083" i="4"/>
  <c r="I5084" i="4"/>
  <c r="I5085" i="4"/>
  <c r="I5086" i="4"/>
  <c r="I5087" i="4"/>
  <c r="I5088" i="4"/>
  <c r="I5089" i="4"/>
  <c r="I5090" i="4"/>
  <c r="I5091" i="4"/>
  <c r="I5092" i="4"/>
  <c r="I5093" i="4"/>
  <c r="I5094" i="4"/>
  <c r="I5095" i="4"/>
  <c r="I5096" i="4"/>
  <c r="I5097" i="4"/>
  <c r="I5098" i="4"/>
  <c r="I5099" i="4"/>
  <c r="I5100" i="4"/>
  <c r="I5101" i="4"/>
  <c r="I5102" i="4"/>
  <c r="I5103" i="4"/>
  <c r="I5104" i="4"/>
  <c r="I5105" i="4"/>
  <c r="I5106" i="4"/>
  <c r="I5107" i="4"/>
  <c r="I5108" i="4"/>
  <c r="I5109" i="4"/>
  <c r="I5110" i="4"/>
  <c r="I5111" i="4"/>
  <c r="I5112" i="4"/>
  <c r="I5113" i="4"/>
  <c r="I5114" i="4"/>
  <c r="I5115" i="4"/>
  <c r="I5116" i="4"/>
  <c r="I5117" i="4"/>
  <c r="I5118" i="4"/>
  <c r="I5119" i="4"/>
  <c r="I5120" i="4"/>
  <c r="I5121" i="4"/>
  <c r="I5122" i="4"/>
  <c r="I5123" i="4"/>
  <c r="I5124" i="4"/>
  <c r="I5125" i="4"/>
  <c r="I5126" i="4"/>
  <c r="I5127" i="4"/>
  <c r="I5128" i="4"/>
  <c r="I5129" i="4"/>
  <c r="I5130" i="4"/>
  <c r="I5131" i="4"/>
  <c r="I5132" i="4"/>
  <c r="I5133" i="4"/>
  <c r="I5134" i="4"/>
  <c r="I5135" i="4"/>
  <c r="I5136" i="4"/>
  <c r="I5137" i="4"/>
  <c r="I5138" i="4"/>
  <c r="I5139" i="4"/>
  <c r="I5140" i="4"/>
  <c r="I5141" i="4"/>
  <c r="I5142" i="4"/>
  <c r="I5143" i="4"/>
  <c r="I5144" i="4"/>
  <c r="I5145" i="4"/>
  <c r="I5146" i="4"/>
  <c r="I5147" i="4"/>
  <c r="I5148" i="4"/>
  <c r="I5149" i="4"/>
  <c r="I5150" i="4"/>
  <c r="I5151" i="4"/>
  <c r="I5152" i="4"/>
  <c r="I5153" i="4"/>
  <c r="I5154" i="4"/>
  <c r="I5155" i="4"/>
  <c r="I5156" i="4"/>
  <c r="I5157" i="4"/>
  <c r="I5158" i="4"/>
  <c r="I5159" i="4"/>
  <c r="I5160" i="4"/>
  <c r="I5161" i="4"/>
  <c r="I5162" i="4"/>
  <c r="I5163" i="4"/>
  <c r="I5164" i="4"/>
  <c r="I5165" i="4"/>
  <c r="I5166" i="4"/>
  <c r="I5167" i="4"/>
  <c r="I5168" i="4"/>
  <c r="I5169" i="4"/>
  <c r="I5170" i="4"/>
  <c r="I5171" i="4"/>
  <c r="I5172" i="4"/>
  <c r="I5173" i="4"/>
  <c r="I5174" i="4"/>
  <c r="I5175" i="4"/>
  <c r="I5176" i="4"/>
  <c r="I5177" i="4"/>
  <c r="I5178" i="4"/>
  <c r="I5179" i="4"/>
  <c r="I5180" i="4"/>
  <c r="I5181" i="4"/>
  <c r="I5182" i="4"/>
  <c r="I5183" i="4"/>
  <c r="I5184" i="4"/>
  <c r="I5185" i="4"/>
  <c r="I5186" i="4"/>
  <c r="I5187" i="4"/>
  <c r="I5188" i="4"/>
  <c r="I5189" i="4"/>
  <c r="I5190" i="4"/>
  <c r="I5191" i="4"/>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I162" i="2"/>
  <c r="I163" i="2"/>
  <c r="J160" i="2"/>
  <c r="L160" i="2" s="1"/>
  <c r="O160" i="2"/>
  <c r="O161" i="2"/>
  <c r="O162" i="2"/>
  <c r="O163" i="2"/>
  <c r="O164" i="2"/>
  <c r="O165" i="2"/>
  <c r="Q163"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I136" i="2"/>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170" i="2" l="1"/>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<sst xmlns="http://schemas.openxmlformats.org/spreadsheetml/2006/main" count="31008" uniqueCount="15728">
  <si>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</si>
  <si>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</si>
  <si>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</si>
  <si>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</si>
  <si>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</si>
  <si>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</si>
  <si>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</si>
  <si>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</si>
  <si>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</si>
  <si>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</si>
  <si>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</si>
  <si>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</si>
  <si>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</si>
  <si>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</si>
  <si>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</si>
  <si>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</si>
  <si>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</si>
  <si>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</si>
  <si>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</si>
  <si>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</si>
  <si>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</si>
  <si>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</si>
  <si>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</si>
  <si>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</si>
  <si>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</si>
  <si>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</si>
  <si>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</si>
  <si>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</si>
  <si>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</si>
  <si>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</si>
  <si>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</si>
  <si>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</si>
  <si>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</si>
  <si>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</si>
  <si>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</si>
  <si>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</si>
  <si>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</si>
  <si>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</si>
  <si>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</si>
  <si>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</si>
  <si>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</si>
  <si>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</si>
  <si>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</si>
  <si>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</si>
  <si>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</si>
  <si>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</si>
  <si>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</si>
  <si>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</si>
  <si>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</si>
  <si>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</si>
  <si>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</si>
  <si>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</si>
  <si>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</si>
  <si>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</si>
  <si>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</si>
  <si>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</si>
  <si>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</si>
  <si>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</si>
  <si>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</si>
  <si>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</si>
  <si>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</si>
  <si>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</si>
  <si>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</si>
  <si>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</si>
  <si>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</si>
  <si>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</si>
  <si>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</si>
  <si>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</si>
  <si>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</si>
  <si>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</si>
  <si>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</si>
  <si>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</si>
  <si>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</si>
  <si>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</si>
  <si>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</si>
  <si>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</si>
  <si>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</si>
  <si>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</si>
  <si>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</si>
  <si>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</si>
  <si>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</si>
  <si>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</si>
  <si>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</si>
  <si>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</si>
  <si>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</si>
  <si>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</si>
  <si>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</si>
  <si>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</si>
  <si>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</si>
  <si>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</si>
  <si>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</si>
  <si>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</si>
  <si>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</si>
  <si>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</si>
  <si>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</si>
  <si>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</si>
  <si>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</si>
  <si>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</si>
  <si>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</si>
  <si>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</si>
  <si>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</si>
  <si>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</si>
  <si>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</si>
  <si>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</si>
  <si>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</si>
  <si>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</si>
  <si>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</si>
  <si>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</si>
  <si>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</si>
  <si>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</si>
  <si>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</si>
  <si>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</si>
  <si>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</si>
  <si>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</si>
  <si>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</si>
  <si>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</si>
  <si>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</si>
  <si>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</si>
  <si>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</si>
  <si>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</si>
  <si>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</si>
  <si>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</si>
  <si>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</si>
  <si>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</si>
  <si>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</si>
  <si>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</si>
  <si>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</si>
  <si>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</si>
  <si>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</si>
  <si>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</si>
  <si>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</si>
  <si>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</si>
  <si>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</si>
  <si>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</si>
  <si>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</si>
  <si>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</si>
  <si>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</si>
  <si>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</si>
  <si>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</si>
  <si>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</si>
  <si>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</si>
  <si>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</si>
  <si>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</si>
  <si>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</si>
  <si>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</si>
  <si>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</si>
  <si>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</si>
  <si>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</si>
  <si>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</si>
  <si>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</si>
  <si>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</si>
  <si>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</si>
  <si>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</si>
  <si>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</si>
  <si>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</si>
  <si>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</si>
  <si>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</si>
  <si>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</si>
  <si>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</si>
  <si>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</si>
  <si>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</si>
  <si>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</si>
  <si>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</si>
  <si>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</si>
  <si>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</si>
  <si>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</si>
  <si>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</si>
  <si>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</si>
  <si>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</si>
  <si>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</si>
  <si>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</si>
  <si>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</si>
  <si>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</si>
  <si>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</si>
  <si>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</si>
  <si>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</si>
  <si>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</si>
  <si>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</si>
  <si>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</si>
  <si>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</si>
  <si>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</si>
  <si>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</si>
  <si>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</si>
  <si>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</si>
  <si>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</si>
  <si>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</si>
  <si>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</si>
  <si>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</si>
  <si>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</si>
  <si>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</si>
  <si>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</si>
  <si>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</si>
  <si>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</si>
  <si>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</si>
  <si>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</si>
  <si>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</si>
  <si>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</si>
  <si>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</si>
  <si>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</si>
  <si>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</si>
  <si>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</si>
  <si>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</si>
  <si>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</si>
  <si>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</si>
  <si>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</si>
  <si>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</si>
  <si>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</si>
  <si>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</si>
  <si>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</si>
  <si>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</si>
  <si>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</si>
  <si>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</si>
  <si>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</si>
  <si>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</si>
  <si>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</si>
  <si>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</si>
  <si>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</si>
  <si>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</si>
  <si>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</si>
  <si>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</si>
  <si>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</si>
  <si>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</si>
  <si>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</si>
  <si>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</si>
  <si>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</si>
  <si>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</si>
  <si>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</si>
  <si>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</si>
  <si>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</si>
  <si>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</si>
  <si>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</si>
  <si>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</si>
  <si>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</si>
  <si>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</si>
  <si>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</si>
  <si>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</si>
  <si>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</si>
  <si>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</si>
  <si>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</si>
  <si>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</si>
  <si>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</si>
  <si>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</si>
  <si>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</si>
  <si>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</si>
  <si>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</si>
  <si>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</si>
  <si>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</si>
  <si>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</si>
  <si>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</si>
  <si>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</si>
  <si>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</si>
  <si>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</si>
  <si>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</si>
  <si>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</si>
  <si>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</si>
  <si>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</si>
  <si>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</si>
  <si>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</si>
  <si>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</si>
  <si>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</si>
  <si>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</si>
  <si>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</si>
  <si>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</si>
  <si>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</si>
  <si>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</si>
  <si>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</si>
  <si>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</si>
  <si>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</si>
  <si>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</si>
  <si>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</si>
  <si>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</si>
  <si>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</si>
  <si>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</si>
  <si>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</si>
  <si>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</si>
  <si>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</si>
  <si>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</si>
  <si>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</si>
  <si>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</si>
  <si>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</si>
  <si>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</si>
  <si>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</si>
  <si>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</si>
  <si>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</si>
  <si>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</si>
  <si>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</si>
  <si>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</si>
  <si>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</si>
  <si>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</si>
  <si>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</si>
  <si>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</si>
  <si>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</si>
  <si>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</si>
  <si>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</si>
  <si>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</si>
  <si>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</si>
  <si>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</si>
  <si>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</si>
  <si>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</si>
  <si>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</si>
  <si>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</si>
  <si>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</si>
  <si>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</si>
  <si>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</si>
  <si>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</si>
  <si>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</si>
  <si>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</si>
  <si>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</si>
  <si>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</si>
  <si>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</si>
  <si>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</si>
  <si>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</si>
  <si>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</si>
  <si>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</si>
  <si>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</si>
  <si>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</si>
  <si>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</si>
  <si>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</si>
  <si>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</si>
  <si>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</si>
  <si>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</si>
  <si>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</si>
  <si>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</si>
  <si>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</si>
  <si>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</si>
  <si>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</si>
  <si>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</si>
  <si>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</si>
  <si>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</si>
  <si>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</si>
  <si>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</si>
  <si>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</si>
  <si>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</si>
  <si>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</si>
  <si>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</si>
  <si>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</si>
  <si>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</si>
  <si>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</si>
  <si>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</si>
  <si>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</si>
  <si>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</si>
  <si>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</si>
  <si>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</si>
  <si>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</si>
  <si>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</si>
  <si>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</si>
  <si>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</si>
  <si>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</si>
  <si>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</si>
  <si>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</si>
  <si>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</si>
  <si>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</si>
  <si>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</si>
  <si>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</si>
  <si>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</si>
  <si>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</si>
  <si>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</si>
  <si>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</si>
  <si>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</si>
  <si>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</si>
  <si>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</si>
  <si>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</si>
  <si>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</si>
  <si>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</si>
  <si>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</si>
  <si>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</si>
  <si>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</si>
  <si>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</si>
  <si>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</si>
  <si>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</si>
  <si>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</si>
  <si>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</si>
  <si>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</si>
  <si>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</si>
  <si>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</si>
  <si>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</si>
  <si>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</si>
  <si>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</si>
  <si>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</si>
  <si>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</si>
  <si>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</si>
  <si>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</si>
  <si>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</si>
  <si>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</si>
  <si>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</si>
  <si>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</si>
  <si>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</si>
  <si>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</si>
  <si>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</si>
  <si>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</si>
  <si>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</si>
  <si>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</si>
  <si>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</si>
  <si>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</si>
  <si>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</si>
  <si>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</si>
  <si>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</si>
  <si>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</si>
  <si>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</si>
  <si>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</si>
  <si>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</si>
  <si>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</si>
  <si>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</si>
  <si>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</si>
  <si>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</si>
  <si>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</si>
  <si>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</si>
  <si>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</si>
  <si>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</si>
  <si>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</si>
  <si>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</si>
  <si>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</si>
  <si>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</si>
  <si>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</si>
  <si>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</si>
  <si>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</si>
  <si>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</si>
  <si>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</si>
  <si>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</si>
  <si>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</si>
  <si>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</si>
  <si>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</si>
  <si>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</si>
  <si>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</si>
  <si>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</si>
  <si>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</si>
  <si>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</si>
  <si>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</si>
  <si>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</si>
  <si>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</si>
  <si>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</si>
  <si>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</si>
  <si>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</si>
  <si>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</si>
  <si>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</si>
  <si>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</si>
  <si>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</si>
  <si>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</si>
  <si>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</si>
  <si>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</si>
  <si>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</si>
  <si>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</si>
  <si>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</si>
  <si>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</si>
  <si>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</si>
  <si>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</si>
  <si>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</si>
  <si>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</si>
  <si>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</si>
  <si>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</si>
  <si>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</si>
  <si>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</si>
  <si>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</si>
  <si>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</si>
  <si>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</si>
  <si>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</si>
  <si>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</si>
  <si>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</si>
  <si>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</si>
  <si>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</si>
  <si>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</si>
  <si>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</si>
  <si>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</si>
  <si>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</si>
  <si>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</si>
  <si>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</si>
  <si>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</si>
  <si>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</si>
  <si>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</si>
  <si>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</si>
  <si>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</si>
  <si>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</si>
  <si>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</si>
  <si>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</si>
  <si>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</si>
  <si>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</si>
  <si>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</si>
  <si>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</si>
  <si>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</si>
  <si>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</si>
  <si>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</si>
  <si>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</si>
  <si>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</si>
  <si>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</si>
  <si>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</si>
  <si>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</si>
  <si>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</si>
  <si>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</si>
  <si>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</si>
  <si>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</si>
  <si>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</si>
  <si>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</si>
  <si>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</si>
  <si>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</si>
  <si>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</si>
  <si>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</si>
  <si>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</si>
  <si>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</si>
  <si>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</si>
  <si>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</si>
  <si>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</si>
  <si>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</si>
  <si>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</si>
  <si>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</si>
  <si>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</si>
  <si>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</si>
  <si>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</si>
  <si>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</si>
  <si>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</si>
  <si>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</si>
  <si>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</si>
  <si>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</si>
  <si>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</si>
  <si>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</si>
  <si>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</si>
  <si>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</si>
  <si>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</si>
  <si>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</si>
  <si>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</si>
  <si>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</si>
  <si>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</si>
  <si>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</si>
  <si>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</si>
  <si>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</si>
  <si>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</si>
  <si>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</si>
  <si>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</si>
  <si>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</si>
  <si>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</si>
  <si>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</si>
  <si>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</si>
  <si>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</si>
  <si>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</si>
  <si>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</si>
  <si>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</si>
  <si>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</si>
  <si>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</si>
  <si>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</si>
  <si>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</si>
  <si>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</si>
  <si>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</si>
  <si>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</si>
  <si>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</si>
  <si>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</si>
  <si>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</si>
  <si>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</si>
  <si>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</si>
  <si>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</si>
  <si>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</si>
  <si>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</si>
  <si>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</si>
  <si>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</si>
  <si>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</si>
  <si>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</si>
  <si>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</si>
  <si>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</si>
  <si>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</si>
  <si>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</si>
  <si>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</si>
  <si>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</si>
  <si>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</si>
  <si>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</si>
  <si>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</si>
  <si>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</si>
  <si>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</si>
  <si>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</si>
  <si>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</si>
  <si>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</si>
  <si>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</si>
  <si>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</si>
  <si>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</si>
  <si>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</si>
  <si>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</si>
  <si>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</si>
  <si>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</si>
  <si>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</si>
  <si>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</si>
  <si>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</si>
  <si>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</si>
  <si>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</si>
  <si>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</si>
  <si>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</si>
  <si>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</si>
  <si>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</si>
  <si>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</si>
  <si>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</si>
  <si>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</si>
  <si>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</si>
  <si>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</si>
  <si>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</si>
  <si>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</si>
  <si>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</si>
  <si>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</si>
  <si>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</si>
  <si>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</si>
  <si>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</si>
  <si>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</si>
  <si>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</si>
  <si>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</si>
  <si>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</si>
  <si>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</si>
  <si>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</si>
  <si>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</si>
  <si>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</si>
  <si>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</si>
  <si>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</si>
  <si>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</si>
  <si>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</si>
  <si>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</si>
  <si>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</si>
  <si>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</si>
  <si>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</si>
  <si>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</si>
  <si>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</si>
  <si>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</si>
  <si>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</si>
  <si>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</si>
  <si>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</si>
  <si>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</si>
  <si>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</si>
  <si>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</si>
  <si>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</si>
  <si>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</si>
  <si>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</si>
  <si>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</si>
  <si>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</si>
  <si>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</si>
  <si>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</si>
  <si>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</si>
  <si>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</si>
  <si>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</si>
  <si>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</si>
  <si>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</si>
  <si>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</si>
  <si>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</si>
  <si>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</si>
  <si>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</si>
  <si>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</si>
  <si>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</si>
  <si>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</si>
  <si>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</si>
  <si>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</si>
  <si>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</si>
  <si>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</si>
  <si>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</si>
  <si>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</si>
  <si>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</si>
  <si>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</si>
  <si>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</si>
  <si>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</si>
  <si>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</si>
  <si>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</si>
  <si>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</si>
  <si>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</si>
  <si>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</si>
  <si>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</si>
  <si>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</si>
  <si>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</si>
  <si>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</si>
  <si>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</si>
  <si>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</si>
  <si>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</si>
  <si>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</si>
  <si>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</si>
  <si>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</si>
  <si>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</si>
  <si>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</si>
  <si>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</si>
  <si>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</si>
  <si>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</si>
  <si>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</si>
  <si>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</si>
  <si>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</si>
  <si>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</si>
  <si>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</si>
  <si>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</si>
  <si>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</si>
  <si>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</si>
  <si>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</si>
  <si>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</si>
  <si>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</si>
  <si>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</si>
  <si>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</si>
  <si>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</si>
  <si>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</si>
  <si>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</si>
  <si>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</si>
  <si>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</si>
  <si>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</si>
  <si>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</si>
  <si>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</si>
  <si>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</si>
  <si>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</si>
  <si>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</si>
  <si>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</si>
  <si>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</si>
  <si>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</si>
  <si>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</si>
  <si>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</si>
  <si>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</si>
  <si>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</si>
  <si>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</si>
  <si>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</si>
  <si>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</si>
  <si>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</si>
  <si>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</si>
  <si>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</si>
  <si>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</si>
  <si>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</si>
  <si>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</si>
  <si>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</si>
  <si>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</si>
  <si>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</si>
  <si>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</si>
  <si>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</si>
  <si>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</si>
  <si>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</si>
  <si>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</si>
  <si>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</si>
  <si>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</si>
  <si>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</si>
  <si>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</si>
  <si>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</si>
  <si>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</si>
  <si>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</si>
  <si>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</si>
  <si>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</si>
  <si>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</si>
  <si>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</si>
  <si>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</si>
  <si>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</si>
  <si>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</si>
  <si>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</si>
  <si>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</si>
  <si>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</si>
  <si>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</si>
  <si>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</si>
  <si>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</si>
  <si>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</si>
  <si>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</si>
  <si>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</si>
  <si>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</si>
  <si>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</si>
  <si>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</si>
  <si>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</si>
  <si>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</si>
  <si>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</si>
  <si>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</si>
  <si>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</si>
  <si>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</si>
  <si>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</si>
  <si>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</si>
  <si>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</si>
  <si>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</si>
  <si>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</si>
  <si>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</si>
  <si>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</si>
  <si>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</si>
  <si>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</si>
  <si>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</si>
  <si>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</si>
  <si>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</si>
  <si>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</si>
  <si>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</si>
  <si>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</si>
  <si>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</si>
  <si>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</si>
  <si>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</si>
  <si>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</si>
  <si>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</si>
  <si>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</si>
  <si>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</si>
  <si>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</si>
  <si>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</si>
  <si>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</si>
  <si>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</si>
  <si>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</si>
  <si>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</si>
  <si>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</si>
  <si>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</si>
  <si>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</si>
  <si>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</si>
  <si>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</si>
  <si>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</si>
  <si>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</si>
  <si>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</si>
  <si>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</si>
  <si>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</si>
  <si>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</si>
  <si>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</si>
  <si>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</si>
  <si>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</si>
  <si>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</si>
  <si>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</si>
  <si>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</si>
  <si>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</si>
  <si>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</si>
  <si>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</si>
  <si>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</si>
  <si>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</si>
  <si>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</si>
  <si>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</si>
  <si>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</si>
  <si>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</si>
  <si>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</si>
  <si>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</si>
  <si>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</si>
  <si>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</si>
  <si>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</si>
  <si>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</si>
  <si>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</si>
  <si>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</si>
  <si>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</si>
  <si>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</si>
  <si>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</si>
  <si>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</si>
  <si>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</si>
  <si>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</si>
  <si>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</si>
  <si>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</si>
  <si>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</si>
  <si>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</si>
  <si>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</si>
  <si>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</si>
  <si>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</si>
  <si>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</si>
  <si>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</si>
  <si>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</si>
  <si>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</si>
  <si>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</si>
  <si>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</si>
  <si>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</si>
  <si>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</si>
  <si>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</si>
  <si>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</si>
  <si>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</si>
  <si>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</si>
  <si>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</si>
  <si>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</si>
  <si>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</si>
  <si>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</si>
  <si>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</si>
  <si>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</si>
  <si>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</si>
  <si>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</si>
  <si>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</si>
  <si>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</si>
  <si>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</si>
  <si>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</si>
  <si>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</si>
  <si>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</si>
  <si>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</si>
  <si>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</si>
  <si>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</si>
  <si>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</si>
  <si>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</si>
  <si>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</si>
  <si>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</si>
  <si>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</si>
  <si>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</si>
  <si>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</si>
  <si>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</si>
  <si>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</si>
  <si>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</si>
  <si>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</si>
  <si>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</si>
  <si>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</si>
  <si>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</si>
  <si>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</si>
  <si>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</si>
  <si>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</si>
  <si>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</si>
  <si>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</si>
  <si>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</si>
  <si>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</si>
  <si>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</si>
  <si>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</si>
  <si>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</si>
  <si>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</si>
  <si>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</si>
  <si>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</si>
  <si>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</si>
  <si>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</si>
  <si>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</si>
  <si>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</si>
  <si>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</si>
  <si>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</si>
  <si>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</si>
  <si>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</si>
  <si>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</si>
  <si>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</si>
  <si>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</si>
  <si>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</si>
  <si>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</si>
  <si>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</si>
  <si>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</si>
  <si>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</si>
  <si>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</si>
  <si>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</si>
  <si>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</si>
  <si>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</si>
  <si>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</si>
  <si>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</si>
  <si>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</si>
  <si>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</si>
  <si>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</si>
  <si>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</si>
  <si>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</si>
  <si>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</si>
  <si>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</si>
  <si>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</si>
  <si>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</si>
  <si>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</si>
  <si>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</si>
  <si>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</si>
  <si>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</si>
  <si>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</si>
  <si>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</si>
  <si>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</si>
  <si>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</si>
  <si>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</si>
  <si>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</si>
  <si>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</si>
  <si>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</si>
  <si>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</si>
  <si>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</si>
  <si>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</si>
  <si>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</si>
  <si>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</si>
  <si>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</si>
  <si>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</si>
  <si>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</si>
  <si>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</si>
  <si>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</si>
  <si>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</si>
  <si>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</si>
  <si>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</si>
  <si>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</si>
  <si>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</si>
  <si>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</si>
  <si>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</si>
  <si>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</si>
  <si>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</si>
  <si>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</si>
  <si>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</si>
  <si>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</si>
  <si>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</si>
  <si>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</si>
  <si>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</si>
  <si>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</si>
  <si>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</si>
  <si>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</si>
  <si>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</si>
  <si>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</si>
  <si>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</si>
  <si>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</si>
  <si>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</si>
  <si>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</si>
  <si>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</si>
  <si>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</si>
  <si>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</si>
  <si>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</si>
  <si>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</si>
  <si>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</si>
  <si>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</si>
  <si>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</si>
  <si>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</si>
  <si>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</si>
  <si>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</si>
  <si>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</si>
  <si>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</si>
  <si>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</si>
  <si>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</si>
  <si>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</si>
  <si>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</si>
  <si>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</si>
  <si>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</si>
  <si>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</si>
  <si>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</si>
  <si>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</si>
  <si>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</si>
  <si>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</si>
  <si>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</si>
  <si>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</si>
  <si>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</si>
  <si>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</si>
  <si>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</si>
  <si>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</si>
  <si>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</si>
  <si>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</si>
  <si>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</si>
  <si>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</si>
  <si>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</si>
  <si>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</si>
  <si>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</si>
  <si>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</si>
  <si>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</si>
  <si>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</si>
  <si>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</si>
  <si>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</si>
  <si>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</si>
  <si>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</si>
  <si>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</si>
  <si>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</si>
  <si>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</si>
  <si>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</si>
  <si>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</si>
  <si>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</si>
  <si>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</si>
  <si>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</si>
  <si>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</si>
  <si>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</si>
  <si>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</si>
  <si>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</si>
  <si>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</si>
  <si>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</si>
  <si>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</si>
  <si>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</si>
  <si>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</si>
  <si>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</si>
  <si>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</si>
  <si>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</si>
  <si>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</si>
  <si>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</si>
  <si>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</si>
  <si>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</si>
  <si>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</si>
  <si>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</si>
  <si>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</si>
  <si>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</si>
  <si>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</si>
  <si>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</si>
  <si>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</si>
  <si>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</si>
  <si>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</si>
  <si>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</si>
  <si>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</si>
  <si>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</si>
  <si>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</si>
  <si>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</si>
  <si>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</si>
  <si>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</si>
  <si>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</si>
  <si>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</si>
  <si>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</si>
  <si>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</si>
  <si>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</si>
  <si>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</si>
  <si>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</si>
  <si>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</si>
  <si>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</si>
  <si>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</si>
  <si>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</si>
  <si>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</si>
  <si>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</si>
  <si>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</si>
  <si>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</si>
  <si>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</si>
  <si>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</si>
  <si>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</si>
  <si>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</si>
  <si>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</si>
  <si>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</si>
  <si>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</si>
  <si>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</si>
  <si>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</si>
  <si>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</si>
  <si>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</si>
  <si>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</si>
  <si>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</si>
  <si>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</si>
  <si>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</si>
  <si>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</si>
  <si>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</si>
  <si>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</si>
  <si>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</si>
  <si>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</si>
  <si>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</si>
  <si>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</si>
  <si>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</si>
  <si>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</si>
  <si>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</si>
  <si>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</si>
  <si>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</si>
  <si>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</si>
  <si>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</si>
  <si>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</si>
  <si>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</si>
  <si>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</si>
  <si>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</si>
  <si>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</si>
  <si>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</si>
  <si>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</si>
  <si>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</si>
  <si>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</si>
  <si>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</si>
  <si>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</si>
  <si>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</si>
  <si>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</si>
  <si>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</si>
  <si>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</si>
  <si>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</si>
  <si>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</si>
  <si>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</si>
  <si>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</si>
  <si>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</si>
  <si>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</si>
  <si>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</si>
  <si>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</si>
  <si>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</si>
  <si>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</si>
  <si>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</si>
  <si>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</si>
  <si>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</si>
  <si>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</si>
  <si>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</si>
  <si>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</si>
  <si>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</si>
  <si>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</si>
  <si>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</si>
  <si>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</si>
  <si>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</si>
  <si>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</si>
  <si>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</si>
  <si>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</si>
  <si>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</si>
  <si>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</si>
  <si>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</si>
  <si>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</si>
  <si>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</si>
  <si>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</si>
  <si>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</si>
  <si>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</si>
  <si>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</si>
  <si>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</si>
  <si>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</si>
  <si>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</si>
  <si>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</si>
  <si>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</si>
  <si>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</si>
  <si>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</si>
  <si>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</si>
  <si>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</si>
  <si>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</si>
  <si>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</si>
  <si>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</si>
  <si>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</si>
  <si>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</si>
  <si>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</si>
  <si>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</si>
  <si>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</si>
  <si>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</si>
  <si>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</si>
  <si>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</si>
  <si>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</si>
  <si>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</si>
  <si>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</si>
  <si>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</si>
  <si>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</si>
  <si>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</si>
  <si>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</si>
  <si>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</si>
  <si>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</si>
  <si>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</si>
  <si>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</si>
  <si>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</si>
  <si>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</si>
  <si>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</si>
  <si>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</si>
  <si>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</si>
  <si>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</si>
  <si>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</si>
  <si>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</si>
  <si>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</si>
  <si>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</si>
  <si>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</si>
  <si>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</si>
  <si>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</si>
  <si>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</si>
  <si>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</si>
  <si>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</si>
  <si>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</si>
  <si>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</si>
  <si>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</si>
  <si>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</si>
  <si>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</si>
  <si>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</si>
  <si>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</si>
  <si>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</si>
  <si>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</si>
  <si>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</si>
  <si>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</si>
  <si>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</si>
  <si>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</si>
  <si>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</si>
  <si>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</si>
  <si>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</si>
  <si>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</si>
  <si>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</si>
  <si>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</si>
  <si>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</si>
  <si>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</si>
  <si>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</si>
  <si>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</si>
  <si>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</si>
  <si>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</si>
  <si>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</si>
  <si>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</si>
  <si>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</si>
  <si>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</si>
  <si>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</si>
  <si>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</si>
  <si>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</si>
  <si>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</si>
  <si>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</si>
  <si>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</si>
  <si>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</si>
  <si>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</si>
  <si>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</si>
  <si>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</si>
  <si>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</si>
  <si>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</si>
  <si>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</si>
  <si>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</si>
  <si>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</si>
  <si>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</si>
  <si>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</si>
  <si>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</si>
  <si>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</si>
  <si>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</si>
  <si>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</si>
  <si>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</si>
  <si>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</si>
  <si>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</si>
  <si>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</si>
  <si>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</si>
  <si>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</si>
  <si>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</si>
  <si>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</si>
  <si>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</si>
  <si>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</si>
  <si>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</si>
  <si>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</si>
  <si>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</si>
  <si>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</si>
  <si>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</si>
  <si>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</si>
  <si>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</si>
  <si>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</si>
  <si>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</si>
  <si>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</si>
  <si>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</si>
  <si>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</si>
  <si>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</si>
  <si>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</si>
  <si>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</si>
  <si>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</si>
  <si>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</si>
  <si>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</si>
  <si>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</si>
  <si>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</si>
  <si>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</si>
  <si>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</si>
  <si>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</si>
  <si>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</si>
  <si>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</si>
  <si>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</si>
  <si>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</si>
  <si>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</si>
  <si>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</si>
  <si>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</si>
  <si>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</si>
  <si>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</si>
  <si>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</si>
  <si>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</si>
  <si>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</si>
  <si>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</si>
  <si>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</si>
  <si>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</si>
  <si>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</si>
  <si>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</si>
  <si>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</si>
  <si>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</si>
  <si>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</si>
  <si>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</si>
  <si>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</si>
  <si>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</si>
  <si>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</si>
  <si>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</si>
  <si>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</si>
  <si>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</si>
  <si>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</si>
  <si>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</si>
  <si>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</si>
  <si>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</si>
  <si>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</si>
  <si>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</si>
  <si>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</si>
  <si>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</si>
  <si>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</si>
  <si>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</si>
  <si>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</si>
  <si>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</si>
  <si>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</si>
  <si>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</si>
  <si>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</si>
  <si>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</si>
  <si>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</si>
  <si>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</si>
  <si>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</si>
  <si>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</si>
  <si>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</si>
  <si>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</si>
  <si>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</si>
  <si>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</si>
  <si>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</si>
  <si>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</si>
  <si>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</si>
  <si>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</si>
  <si>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</si>
  <si>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</si>
  <si>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</si>
  <si>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</si>
  <si>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</si>
  <si>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</si>
  <si>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</si>
  <si>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</si>
  <si>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</si>
  <si>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</si>
  <si>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</si>
  <si>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</si>
  <si>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</si>
  <si>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</si>
  <si>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</si>
  <si>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</si>
  <si>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</si>
  <si>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</si>
  <si>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</si>
  <si>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</si>
  <si>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</si>
  <si>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</si>
  <si>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</si>
  <si>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</si>
  <si>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</si>
  <si>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</si>
  <si>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</si>
  <si>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</si>
  <si>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</si>
  <si>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</si>
  <si>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</si>
  <si>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</si>
  <si>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</si>
  <si>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</si>
  <si>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</si>
  <si>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</si>
  <si>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</si>
  <si>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</si>
  <si>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</si>
  <si>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</si>
  <si>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</si>
  <si>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</si>
  <si>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</si>
  <si>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</si>
  <si>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</si>
  <si>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</si>
  <si>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</si>
  <si>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</si>
  <si>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</si>
  <si>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</si>
  <si>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</si>
  <si>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</si>
  <si>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</si>
  <si>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</si>
  <si>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</si>
  <si>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</si>
  <si>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</si>
  <si>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</si>
  <si>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</si>
  <si>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</si>
  <si>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</si>
  <si>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</si>
  <si>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</si>
  <si>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</si>
  <si>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</si>
  <si>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</si>
  <si>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</si>
  <si>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</si>
  <si>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</si>
  <si>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</si>
  <si>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</si>
  <si>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</si>
  <si>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</si>
  <si>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</si>
  <si>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</si>
  <si>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</si>
  <si>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</si>
  <si>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</si>
  <si>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</si>
  <si>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</si>
  <si>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</si>
  <si>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</si>
  <si>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</si>
  <si>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</si>
  <si>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</si>
  <si>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</si>
  <si>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</si>
  <si>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</si>
  <si>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</si>
  <si>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</si>
  <si>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</si>
  <si>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</si>
  <si>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</si>
  <si>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</si>
  <si>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</si>
  <si>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</si>
  <si>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</si>
  <si>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</si>
  <si>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</si>
  <si>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</si>
  <si>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</si>
  <si>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</si>
  <si>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</si>
  <si>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</si>
  <si>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</si>
  <si>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</si>
  <si>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</si>
  <si>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</si>
  <si>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</si>
  <si>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</si>
  <si>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</si>
  <si>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</si>
  <si>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</si>
  <si>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</si>
  <si>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</si>
  <si>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</si>
  <si>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</si>
  <si>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</si>
  <si>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</si>
  <si>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</si>
  <si>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</si>
  <si>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</si>
  <si>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</si>
  <si>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</si>
  <si>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</si>
  <si>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</si>
  <si>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</si>
  <si>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</si>
  <si>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</si>
  <si>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</si>
  <si>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</si>
  <si>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</si>
  <si>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</si>
  <si>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</si>
  <si>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</si>
  <si>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</si>
  <si>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</si>
  <si>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</si>
  <si>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</si>
  <si>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</si>
  <si>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</si>
  <si>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</si>
  <si>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</si>
  <si>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</si>
  <si>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</si>
  <si>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</si>
  <si>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</si>
  <si>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</si>
  <si>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</si>
  <si>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</si>
  <si>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</si>
  <si>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</si>
  <si>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</si>
  <si>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</si>
  <si>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</si>
  <si>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</si>
  <si>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</si>
  <si>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</si>
  <si>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</si>
  <si>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</si>
  <si>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</si>
  <si>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</si>
  <si>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</si>
  <si>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</si>
  <si>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</si>
  <si>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</si>
  <si>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</si>
  <si>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</si>
  <si>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</si>
  <si>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</si>
  <si>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</si>
  <si>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</si>
  <si>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</si>
  <si>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</si>
  <si>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</si>
  <si>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</si>
  <si>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</si>
  <si>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</si>
  <si>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</si>
  <si>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</si>
  <si>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</si>
  <si>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</si>
  <si>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</si>
  <si>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</si>
  <si>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</si>
  <si>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</si>
  <si>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</si>
  <si>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</si>
  <si>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</si>
  <si>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</si>
  <si>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</si>
  <si>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</si>
  <si>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</si>
  <si>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</si>
  <si>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</si>
  <si>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</si>
  <si>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</si>
  <si>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</si>
  <si>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</si>
  <si>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</si>
  <si>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</si>
  <si>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</si>
  <si>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</si>
  <si>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</si>
  <si>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</si>
  <si>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</si>
  <si>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</si>
  <si>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</si>
  <si>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</si>
  <si>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</si>
  <si>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</si>
  <si>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</si>
  <si>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</si>
  <si>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</si>
  <si>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</si>
  <si>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</si>
  <si>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</si>
  <si>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</si>
  <si>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</si>
  <si>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</si>
  <si>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</si>
  <si>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</si>
  <si>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</si>
  <si>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</si>
  <si>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</si>
  <si>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</si>
  <si>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</si>
  <si>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</si>
  <si>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</si>
  <si>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</si>
  <si>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</si>
  <si>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</si>
  <si>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</si>
  <si>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</si>
  <si>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</si>
  <si>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</si>
  <si>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</si>
  <si>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</si>
  <si>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</si>
  <si>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</si>
  <si>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</si>
  <si>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</si>
  <si>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</si>
  <si>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</si>
  <si>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</si>
  <si>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</si>
  <si>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</si>
  <si>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</si>
  <si>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</si>
  <si>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</si>
  <si>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</si>
  <si>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</si>
  <si>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</si>
  <si>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</si>
  <si>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</si>
  <si>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</si>
  <si>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</si>
  <si>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</si>
  <si>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</si>
  <si>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</si>
  <si>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</si>
  <si>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</si>
  <si>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</si>
  <si>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</si>
  <si>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</si>
  <si>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</si>
  <si>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</si>
  <si>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</si>
  <si>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</si>
  <si>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</si>
  <si>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</si>
  <si>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</si>
  <si>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</si>
  <si>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</si>
  <si>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</si>
  <si>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</si>
  <si>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</si>
  <si>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</si>
  <si>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</si>
  <si>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</si>
  <si>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</si>
  <si>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</si>
  <si>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</si>
  <si>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</si>
  <si>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</si>
  <si>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</si>
  <si>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</si>
  <si>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</si>
  <si>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</si>
  <si>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</si>
  <si>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</si>
  <si>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</si>
  <si>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</si>
  <si>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</si>
  <si>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</si>
  <si>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</si>
  <si>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</si>
  <si>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</si>
  <si>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</si>
  <si>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</si>
  <si>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</si>
  <si>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</si>
  <si>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</si>
  <si>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</si>
  <si>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</si>
  <si>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</si>
  <si>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</si>
  <si>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</si>
  <si>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</si>
  <si>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</si>
  <si>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</si>
  <si>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</si>
  <si>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</si>
  <si>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</si>
  <si>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</si>
  <si>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</si>
  <si>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</si>
  <si>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</si>
  <si>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</si>
  <si>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</si>
  <si>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</si>
  <si>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</si>
  <si>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</si>
  <si>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</si>
  <si>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</si>
  <si>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</si>
  <si>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</si>
  <si>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</si>
  <si>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</si>
  <si>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</si>
  <si>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</si>
  <si>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</si>
  <si>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</si>
  <si>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</si>
  <si>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</si>
  <si>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</si>
  <si>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</si>
  <si>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</si>
  <si>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</si>
  <si>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</si>
  <si>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</si>
  <si>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</si>
  <si>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</si>
  <si>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</si>
  <si>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</si>
  <si>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</si>
  <si>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</si>
  <si>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</si>
  <si>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</si>
  <si>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</si>
  <si>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</si>
  <si>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</si>
  <si>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</si>
  <si>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</si>
  <si>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</si>
  <si>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</si>
  <si>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</si>
  <si>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</si>
  <si>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</si>
  <si>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</si>
  <si>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</si>
  <si>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</si>
  <si>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</si>
  <si>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</si>
  <si>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</si>
  <si>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</si>
  <si>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</si>
  <si>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</si>
  <si>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</si>
  <si>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</si>
  <si>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</si>
  <si>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</si>
  <si>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</si>
  <si>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</si>
  <si>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</si>
  <si>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</si>
  <si>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</si>
  <si>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</si>
  <si>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</si>
  <si>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</si>
  <si>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</si>
  <si>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</si>
  <si>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</si>
  <si>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</si>
  <si>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</si>
  <si>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</si>
  <si>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</si>
  <si>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</si>
  <si>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</si>
  <si>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</si>
  <si>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</si>
  <si>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</si>
  <si>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</si>
  <si>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</si>
  <si>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</si>
  <si>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</si>
  <si>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</si>
  <si>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</si>
  <si>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</si>
  <si>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</si>
  <si>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</si>
  <si>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</si>
  <si>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</si>
  <si>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</si>
  <si>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</si>
  <si>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</si>
  <si>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</si>
  <si>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</si>
  <si>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</si>
  <si>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</si>
  <si>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</si>
  <si>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</si>
  <si>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</si>
  <si>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</si>
  <si>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</si>
  <si>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</si>
  <si>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</si>
  <si>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</si>
  <si>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</si>
  <si>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</si>
  <si>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</si>
  <si>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</si>
  <si>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</si>
  <si>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</si>
  <si>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</si>
  <si>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</si>
  <si>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</si>
  <si>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</si>
  <si>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</si>
  <si>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</si>
  <si>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</si>
  <si>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</si>
  <si>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</si>
  <si>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</si>
  <si>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</si>
  <si>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</si>
  <si>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</si>
  <si>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</si>
  <si>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</si>
  <si>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</si>
  <si>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</si>
  <si>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</si>
  <si>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</si>
  <si>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</si>
  <si>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</si>
  <si>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</si>
  <si>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</si>
  <si>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</si>
  <si>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</si>
  <si>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</si>
  <si>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</si>
  <si>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</si>
  <si>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</si>
  <si>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</si>
  <si>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</si>
  <si>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</si>
  <si>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</si>
  <si>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</si>
  <si>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</si>
  <si>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</si>
  <si>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</si>
  <si>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</si>
  <si>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</si>
  <si>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</si>
  <si>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</si>
  <si>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</si>
  <si>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</si>
  <si>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</si>
  <si>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</si>
  <si>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</si>
  <si>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</si>
  <si>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</si>
  <si>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</si>
  <si>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</si>
  <si>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</si>
  <si>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</si>
  <si>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</si>
  <si>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</si>
  <si>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</si>
  <si>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</si>
  <si>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</si>
  <si>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</si>
  <si>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</si>
  <si>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</si>
  <si>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</si>
  <si>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</si>
  <si>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</si>
  <si>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</si>
  <si>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</si>
  <si>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</si>
  <si>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</si>
  <si>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</si>
  <si>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</si>
  <si>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</si>
  <si>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</si>
  <si>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</si>
  <si>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</si>
  <si>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</si>
  <si>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</si>
  <si>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</si>
  <si>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</si>
  <si>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</si>
  <si>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</si>
  <si>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</si>
  <si>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</si>
  <si>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</si>
  <si>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</si>
  <si>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</si>
  <si>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</si>
  <si>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</si>
  <si>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</si>
  <si>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</si>
  <si>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</si>
  <si>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</si>
  <si>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</si>
  <si>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</si>
  <si>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</si>
  <si>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</si>
  <si>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</si>
  <si>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</si>
  <si>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</si>
  <si>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</si>
  <si>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</si>
  <si>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</si>
  <si>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</si>
  <si>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</si>
  <si>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</si>
  <si>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</si>
  <si>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</si>
  <si>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</si>
  <si>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</si>
  <si>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</si>
  <si>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</si>
  <si>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</si>
  <si>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</si>
  <si>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</si>
  <si>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</si>
  <si>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</si>
  <si>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</si>
  <si>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</si>
  <si>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</si>
  <si>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</si>
  <si>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</si>
  <si>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</si>
  <si>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</si>
  <si>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</si>
  <si>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</si>
  <si>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</si>
  <si>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</si>
  <si>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</si>
  <si>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</si>
  <si>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</si>
  <si>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</si>
  <si>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</si>
  <si>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</si>
  <si>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</si>
  <si>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</si>
  <si>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</si>
  <si>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</si>
  <si>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</si>
  <si>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</si>
  <si>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</si>
  <si>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</si>
  <si>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</si>
  <si>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</si>
  <si>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</si>
  <si>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</si>
  <si>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</si>
  <si>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</si>
  <si>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</si>
  <si>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</si>
  <si>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</si>
  <si>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</si>
  <si>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</si>
  <si>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</si>
  <si>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</si>
  <si>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</si>
  <si>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</si>
  <si>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</si>
  <si>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</si>
  <si>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</si>
  <si>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</si>
  <si>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</si>
  <si>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</si>
  <si>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</si>
  <si>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</si>
  <si>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</si>
  <si>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</si>
  <si>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</si>
  <si>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</si>
  <si>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</si>
  <si>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</si>
  <si>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</si>
  <si>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</si>
  <si>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</si>
  <si>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</si>
  <si>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</si>
  <si>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</si>
  <si>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</si>
  <si>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</si>
  <si>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</si>
  <si>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</si>
  <si>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</si>
  <si>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</si>
  <si>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</si>
  <si>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</si>
  <si>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</si>
  <si>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</si>
  <si>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</si>
  <si>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</si>
  <si>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</si>
  <si>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</si>
  <si>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</si>
  <si>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</si>
  <si>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</si>
  <si>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</si>
  <si>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</si>
  <si>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</si>
  <si>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</si>
  <si>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</si>
  <si>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</si>
  <si>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</si>
  <si>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</si>
  <si>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</si>
  <si>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</si>
  <si>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</si>
  <si>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</si>
  <si>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</si>
  <si>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</si>
  <si>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</si>
  <si>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</si>
  <si>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</si>
  <si>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</si>
  <si>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</si>
  <si>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</si>
  <si>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</si>
  <si>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</si>
  <si>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</si>
  <si>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</si>
  <si>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</si>
  <si>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</si>
  <si>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</si>
  <si>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</si>
  <si>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</si>
  <si>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</si>
  <si>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</si>
  <si>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</si>
  <si>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</si>
  <si>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</si>
  <si>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</si>
  <si>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</si>
  <si>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</si>
  <si>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</si>
  <si>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</si>
  <si>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</si>
  <si>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</si>
  <si>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</si>
  <si>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</si>
  <si>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</si>
  <si>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</si>
  <si>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</si>
  <si>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</si>
  <si>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</si>
  <si>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</si>
  <si>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</si>
  <si>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</si>
  <si>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</si>
  <si>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</si>
  <si>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</si>
  <si>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</si>
  <si>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</si>
  <si>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</si>
  <si>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</si>
  <si>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</si>
  <si>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</si>
  <si>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</si>
  <si>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</si>
  <si>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</si>
  <si>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</si>
  <si>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</si>
  <si>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</si>
  <si>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</si>
  <si>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</si>
  <si>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</si>
  <si>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</si>
  <si>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</si>
  <si>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</si>
  <si>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</si>
  <si>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</si>
  <si>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</si>
  <si>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</si>
  <si>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</si>
  <si>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</si>
  <si>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</si>
  <si>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</si>
  <si>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</si>
  <si>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</si>
  <si>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</si>
  <si>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</si>
  <si>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</si>
  <si>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</si>
  <si>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</si>
  <si>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</si>
  <si>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</si>
  <si>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</si>
  <si>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</si>
  <si>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</si>
  <si>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</si>
  <si>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</si>
  <si>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</si>
  <si>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</si>
  <si>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</si>
  <si>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</si>
  <si>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</si>
  <si>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</si>
  <si>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</si>
  <si>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</si>
  <si>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</si>
  <si>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</si>
  <si>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</si>
  <si>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</si>
  <si>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</si>
  <si>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</si>
  <si>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</si>
  <si>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</si>
  <si>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</si>
  <si>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</si>
  <si>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</si>
  <si>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</si>
  <si>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</si>
  <si>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</si>
  <si>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</si>
  <si>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</si>
  <si>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</si>
  <si>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</si>
  <si>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</si>
  <si>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</si>
  <si>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</si>
  <si>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</si>
  <si>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</si>
  <si>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</si>
  <si>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</si>
  <si>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</si>
  <si>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</si>
  <si>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</si>
  <si>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</si>
  <si>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</si>
  <si>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</si>
  <si>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</si>
  <si>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</si>
  <si>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</si>
  <si>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</si>
  <si>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</si>
  <si>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</si>
  <si>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</si>
  <si>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</si>
  <si>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</si>
  <si>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</si>
  <si>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</si>
  <si>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</si>
  <si>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</si>
  <si>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</si>
  <si>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</si>
  <si>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</si>
  <si>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</si>
  <si>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</si>
  <si>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</si>
  <si>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</si>
  <si>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</si>
  <si>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</si>
  <si>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</si>
  <si>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</si>
  <si>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</si>
  <si>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</si>
  <si>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</si>
  <si>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</si>
  <si>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</si>
  <si>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</si>
  <si>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</si>
  <si>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</si>
  <si>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</si>
  <si>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</si>
  <si>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</si>
  <si>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</si>
  <si>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</si>
  <si>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</si>
  <si>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</si>
  <si>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</si>
  <si>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</si>
  <si>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</si>
  <si>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</si>
  <si>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</si>
  <si>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</si>
  <si>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</si>
  <si>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</si>
  <si>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</si>
  <si>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</si>
  <si>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</si>
  <si>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</si>
  <si>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</si>
  <si>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</si>
  <si>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</si>
  <si>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</si>
  <si>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</si>
  <si>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</si>
  <si>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</si>
  <si>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</si>
  <si>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</si>
  <si>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</si>
  <si>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</si>
  <si>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</si>
  <si>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</si>
  <si>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</si>
  <si>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</si>
  <si>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</si>
  <si>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</si>
  <si>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</si>
  <si>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</si>
  <si>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</si>
  <si>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</si>
  <si>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</si>
  <si>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</si>
  <si>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</si>
  <si>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</si>
  <si>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</si>
  <si>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</si>
  <si>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</si>
  <si>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</si>
  <si>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</si>
  <si>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</si>
  <si>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</si>
  <si>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</si>
  <si>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</si>
  <si>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</si>
  <si>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</si>
  <si>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</si>
  <si>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</si>
  <si>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</si>
  <si>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</si>
  <si>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</si>
  <si>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</si>
  <si>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</si>
  <si>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</si>
  <si>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</si>
  <si>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</si>
  <si>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</si>
  <si>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</si>
  <si>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</si>
  <si>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</si>
  <si>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</si>
  <si>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</si>
  <si>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</si>
  <si>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</si>
  <si>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</si>
  <si>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</si>
  <si>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</si>
  <si>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</si>
  <si>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</si>
  <si>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</si>
  <si>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</si>
  <si>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</si>
  <si>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</si>
  <si>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</si>
  <si>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</si>
  <si>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</si>
  <si>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</si>
  <si>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</si>
  <si>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</si>
  <si>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</si>
  <si>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</si>
  <si>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</si>
  <si>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</si>
  <si>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</si>
  <si>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</si>
  <si>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</si>
  <si>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</si>
  <si>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</si>
  <si>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</si>
  <si>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</si>
  <si>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</si>
  <si>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</si>
  <si>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</si>
  <si>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</si>
  <si>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</si>
  <si>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</si>
  <si>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</si>
  <si>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</si>
  <si>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</si>
  <si>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</si>
  <si>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</si>
  <si>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</si>
  <si>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</si>
  <si>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</si>
  <si>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</si>
  <si>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</si>
  <si>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</si>
  <si>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</si>
  <si>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</si>
  <si>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</si>
  <si>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</si>
  <si>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</si>
  <si>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</si>
  <si>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</si>
  <si>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</si>
  <si>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</si>
  <si>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</si>
  <si>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</si>
  <si>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</si>
  <si>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</si>
  <si>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</si>
  <si>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</si>
  <si>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</si>
  <si>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</si>
  <si>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</si>
  <si>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</si>
  <si>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</si>
  <si>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</si>
  <si>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</si>
  <si>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</si>
  <si>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</si>
  <si>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</si>
  <si>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</si>
  <si>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</si>
  <si>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</si>
  <si>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</si>
  <si>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</si>
  <si>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</si>
  <si>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</si>
  <si>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</si>
  <si>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</si>
  <si>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</si>
  <si>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</si>
  <si>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</si>
  <si>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</si>
  <si>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</si>
  <si>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</si>
  <si>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</si>
  <si>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</si>
  <si>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</si>
  <si>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</si>
  <si>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</si>
  <si>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</si>
  <si>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</si>
  <si>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</si>
  <si>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</si>
  <si>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</si>
  <si>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</si>
  <si>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</si>
  <si>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</si>
  <si>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</si>
  <si>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</si>
  <si>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</si>
  <si>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</si>
  <si>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</si>
  <si>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</si>
  <si>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</si>
  <si>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</si>
  <si>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</si>
  <si>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</si>
  <si>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</si>
  <si>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</si>
  <si>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</si>
  <si>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</si>
  <si>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</si>
  <si>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</si>
  <si>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</si>
  <si>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</si>
  <si>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</si>
  <si>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</si>
  <si>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</si>
  <si>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</si>
  <si>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</si>
  <si>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</si>
  <si>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</si>
  <si>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</si>
  <si>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</si>
  <si>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</si>
  <si>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</si>
  <si>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</si>
  <si>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</si>
  <si>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</si>
  <si>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</si>
  <si>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</si>
  <si>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</si>
  <si>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</si>
  <si>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</si>
  <si>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</si>
  <si>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</si>
  <si>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</si>
  <si>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</si>
  <si>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</si>
  <si>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</si>
  <si>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</si>
  <si>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</si>
  <si>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</si>
  <si>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</si>
  <si>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</si>
  <si>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</si>
  <si>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</si>
  <si>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</si>
  <si>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</si>
  <si>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</si>
  <si>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</si>
  <si>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</si>
  <si>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</si>
  <si>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</si>
  <si>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</si>
  <si>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</si>
  <si>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</si>
  <si>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</si>
  <si>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</si>
  <si>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</si>
  <si>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</si>
  <si>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</si>
  <si>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</si>
  <si>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</si>
  <si>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</si>
  <si>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</si>
  <si>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</si>
  <si>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</si>
  <si>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</si>
  <si>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</si>
  <si>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</si>
  <si>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</si>
  <si>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</si>
  <si>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</si>
  <si>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</si>
  <si>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</si>
  <si>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</si>
  <si>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</si>
  <si>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</si>
  <si>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</si>
  <si>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</si>
  <si>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</si>
  <si>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</si>
  <si>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</si>
  <si>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</si>
  <si>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</si>
  <si>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</si>
  <si>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</si>
  <si>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</si>
  <si>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</si>
  <si>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</si>
  <si>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</si>
  <si>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</si>
  <si>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</si>
  <si>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</si>
  <si>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</si>
  <si>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</si>
  <si>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</si>
  <si>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</si>
  <si>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</si>
  <si>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</si>
  <si>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</si>
  <si>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</si>
  <si>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</si>
  <si>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</si>
  <si>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</si>
  <si>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</si>
  <si>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</si>
  <si>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</si>
  <si>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</si>
  <si>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</si>
  <si>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</si>
  <si>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</si>
  <si>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</si>
  <si>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</si>
  <si>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</si>
  <si>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</si>
  <si>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</si>
  <si>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</si>
  <si>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</si>
  <si>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</si>
  <si>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</si>
  <si>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</si>
  <si>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</si>
  <si>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</si>
  <si>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</si>
  <si>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</si>
  <si>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</si>
  <si>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</si>
  <si>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</si>
  <si>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</si>
  <si>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</si>
  <si>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</si>
  <si>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</si>
  <si>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</si>
  <si>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</si>
  <si>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</si>
  <si>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</si>
  <si>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</si>
  <si>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</si>
  <si>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</si>
  <si>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</si>
  <si>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</si>
  <si>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</si>
  <si>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</si>
  <si>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</si>
  <si>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</si>
  <si>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</si>
  <si>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</si>
  <si>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</si>
  <si>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</si>
  <si>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</si>
  <si>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</si>
  <si>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</si>
  <si>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</si>
  <si>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</si>
  <si>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</si>
  <si>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</si>
  <si>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</si>
  <si>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</si>
  <si>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</si>
  <si>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</si>
  <si>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</si>
  <si>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</si>
  <si>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</si>
  <si>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</si>
  <si>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</si>
  <si>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</si>
  <si>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</si>
  <si>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</si>
  <si>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</si>
  <si>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</si>
  <si>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</si>
  <si>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</si>
  <si>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</si>
  <si>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</si>
  <si>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</si>
  <si>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</si>
  <si>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</si>
  <si>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</si>
  <si>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</si>
  <si>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</si>
  <si>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</si>
  <si>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</si>
  <si>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</si>
  <si>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</si>
  <si>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</si>
  <si>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</si>
  <si>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</si>
  <si>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</si>
  <si>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</si>
  <si>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</si>
  <si>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</si>
  <si>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</si>
  <si>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</si>
  <si>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</si>
  <si>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</si>
  <si>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</si>
  <si>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</si>
  <si>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</si>
  <si>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</si>
  <si>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</si>
  <si>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</si>
  <si>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</si>
  <si>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</si>
  <si>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</si>
  <si>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</si>
  <si>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</si>
  <si>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</si>
  <si>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</si>
  <si>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</si>
  <si>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</si>
  <si>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</si>
  <si>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</si>
  <si>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</si>
  <si>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</si>
  <si>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</si>
  <si>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</si>
  <si>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</si>
  <si>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</si>
  <si>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</si>
  <si>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</si>
  <si>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</si>
  <si>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</si>
  <si>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</si>
  <si>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</si>
  <si>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</si>
  <si>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</si>
  <si>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</si>
  <si>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</si>
  <si>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</si>
  <si>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</si>
  <si>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</si>
  <si>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</si>
  <si>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</si>
  <si>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</si>
  <si>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</si>
  <si>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</si>
  <si>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</si>
  <si>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</si>
  <si>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</si>
  <si>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</si>
  <si>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</si>
  <si>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</si>
  <si>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</si>
  <si>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</si>
  <si>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</si>
  <si>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</si>
  <si>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</si>
  <si>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</si>
  <si>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</si>
  <si>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</si>
  <si>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</si>
  <si>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</si>
  <si>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</si>
  <si>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</si>
  <si>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</si>
  <si>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</si>
  <si>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</si>
  <si>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</si>
  <si>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</si>
  <si>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</si>
  <si>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</si>
  <si>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</si>
  <si>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</si>
  <si>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</si>
  <si>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</si>
  <si>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</si>
  <si>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</si>
  <si>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</si>
  <si>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</si>
  <si>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</si>
  <si>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</si>
  <si>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</si>
  <si>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</si>
  <si>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</si>
  <si>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</si>
  <si>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</si>
  <si>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</si>
  <si>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</si>
  <si>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</si>
  <si>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</si>
  <si>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</si>
  <si>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</si>
  <si>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</si>
  <si>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</si>
  <si>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</si>
  <si>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</si>
  <si>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</si>
  <si>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</si>
  <si>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</si>
  <si>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</si>
  <si>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</si>
  <si>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</si>
  <si>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</si>
  <si>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</si>
  <si>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</si>
  <si>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</si>
  <si>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</si>
  <si>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</si>
  <si>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</si>
  <si>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</si>
  <si>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</si>
  <si>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</si>
  <si>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</si>
  <si>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</si>
  <si>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</si>
  <si>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</si>
  <si>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</si>
  <si>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</si>
  <si>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</si>
  <si>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</si>
  <si>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</si>
  <si>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</si>
  <si>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</si>
  <si>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</si>
  <si>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</si>
  <si>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</si>
  <si>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</si>
  <si>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</si>
  <si>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</si>
  <si>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</si>
  <si>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</si>
  <si>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</si>
  <si>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</si>
  <si>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</si>
  <si>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</si>
  <si>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</si>
  <si>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</si>
  <si>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</si>
  <si>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</si>
  <si>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</si>
  <si>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</si>
  <si>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</si>
  <si>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</si>
  <si>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</si>
  <si>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</si>
  <si>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</si>
  <si>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</si>
  <si>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</si>
  <si>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</si>
  <si>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</si>
  <si>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</si>
  <si>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</si>
  <si>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</si>
  <si>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</si>
  <si>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</si>
  <si>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</si>
  <si>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</si>
  <si>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</si>
  <si>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</si>
  <si>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</si>
  <si>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</si>
  <si>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</si>
  <si>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</si>
  <si>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</si>
  <si>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</si>
  <si>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</si>
  <si>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</si>
  <si>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</si>
  <si>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</si>
  <si>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</si>
  <si>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</si>
  <si>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</si>
  <si>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</si>
  <si>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</si>
  <si>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</si>
  <si>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</si>
  <si>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</si>
  <si>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</si>
  <si>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</si>
  <si>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</si>
  <si>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</si>
  <si>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</si>
  <si>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</si>
  <si>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</si>
  <si>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</si>
  <si>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</si>
  <si>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</si>
  <si>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</si>
  <si>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</si>
  <si>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</si>
  <si>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</si>
  <si>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</si>
  <si>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</si>
  <si>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</si>
  <si>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</si>
  <si>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</si>
  <si>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</si>
  <si>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</si>
  <si>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</si>
  <si>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</si>
  <si>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</si>
  <si>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</si>
  <si>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</si>
  <si>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</si>
  <si>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</si>
  <si>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</si>
  <si>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</si>
  <si>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</si>
  <si>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</si>
  <si>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</si>
  <si>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</si>
  <si>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</si>
  <si>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</si>
  <si>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</si>
  <si>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</si>
  <si>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</si>
  <si>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</si>
  <si>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</si>
  <si>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</si>
  <si>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</si>
  <si>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</si>
  <si>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</si>
  <si>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</si>
  <si>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</si>
  <si>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</si>
  <si>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</si>
  <si>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</si>
  <si>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</si>
  <si>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</si>
  <si>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</si>
  <si>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</si>
  <si>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</si>
  <si>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</si>
  <si>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</si>
  <si>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</si>
  <si>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</si>
  <si>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</si>
  <si>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</si>
  <si>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</si>
  <si>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</si>
  <si>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</si>
  <si>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</si>
  <si>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</si>
  <si>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</si>
  <si>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</si>
  <si>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</si>
  <si>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</si>
  <si>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</si>
  <si>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</si>
  <si>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</si>
  <si>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</si>
  <si>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</si>
  <si>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</si>
  <si>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</si>
  <si>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</si>
  <si>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</si>
  <si>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</si>
  <si>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</si>
  <si>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</si>
  <si>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</si>
  <si>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</si>
  <si>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</si>
  <si>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</si>
  <si>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</si>
  <si>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</si>
  <si>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</si>
  <si>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</si>
  <si>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</si>
  <si>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</si>
  <si>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</si>
  <si>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</si>
  <si>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</si>
  <si>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</si>
  <si>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</si>
  <si>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</si>
  <si>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</si>
  <si>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</si>
  <si>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</si>
  <si>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</si>
  <si>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</si>
  <si>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</si>
  <si>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</si>
  <si>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</si>
  <si>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</si>
  <si>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</si>
  <si>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</si>
  <si>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</si>
  <si>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</si>
  <si>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</si>
  <si>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</si>
  <si>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</si>
  <si>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</si>
  <si>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</si>
  <si>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</si>
  <si>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</si>
  <si>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</si>
  <si>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</si>
  <si>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</si>
  <si>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</si>
  <si>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</si>
  <si>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</si>
  <si>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</si>
  <si>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</si>
  <si>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</si>
  <si>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</si>
  <si>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</si>
  <si>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</si>
  <si>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</si>
  <si>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</si>
  <si>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</si>
  <si>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</si>
  <si>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</si>
  <si>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</si>
  <si>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</si>
  <si>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</si>
  <si>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</si>
  <si>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</si>
  <si>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</si>
  <si>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</si>
  <si>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</si>
  <si>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</si>
  <si>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</si>
  <si>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</si>
  <si>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</si>
  <si>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</si>
  <si>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</si>
  <si>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</si>
  <si>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</si>
  <si>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</si>
  <si>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</si>
  <si>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</si>
  <si>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</si>
  <si>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</si>
  <si>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</si>
  <si>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</si>
  <si>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</si>
  <si>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</si>
  <si>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</si>
  <si>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</si>
  <si>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</si>
  <si>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</si>
  <si>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</si>
  <si>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</si>
  <si>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</si>
  <si>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</si>
  <si>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</si>
  <si>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</si>
  <si>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</si>
  <si>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</si>
  <si>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</si>
  <si>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</si>
  <si>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</si>
  <si>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</si>
  <si>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</si>
  <si>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</si>
  <si>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</si>
  <si>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</si>
  <si>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</si>
  <si>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</si>
  <si>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</si>
  <si>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</si>
  <si>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</si>
  <si>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</si>
  <si>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</si>
  <si>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</si>
  <si>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</si>
  <si>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</si>
  <si>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</si>
  <si>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</si>
  <si>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</si>
  <si>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</si>
  <si>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</si>
  <si>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</si>
  <si>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</si>
  <si>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</si>
  <si>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</si>
  <si>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</si>
  <si>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</si>
  <si>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</si>
  <si>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</si>
  <si>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</si>
  <si>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</si>
  <si>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</si>
  <si>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</si>
  <si>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</si>
  <si>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</si>
  <si>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</si>
  <si>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</si>
  <si>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</si>
  <si>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</si>
  <si>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</si>
  <si>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</si>
  <si>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</si>
  <si>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</si>
  <si>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</si>
  <si>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</si>
  <si>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</si>
  <si>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</si>
  <si>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</si>
  <si>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</si>
  <si>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</si>
  <si>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</si>
  <si>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</si>
  <si>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</si>
  <si>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</si>
  <si>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</si>
  <si>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</si>
  <si>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</si>
  <si>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</si>
  <si>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</si>
  <si>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</si>
  <si>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</si>
  <si>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</si>
  <si>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</si>
  <si>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</si>
  <si>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</si>
  <si>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</si>
  <si>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</si>
  <si>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</si>
  <si>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</si>
  <si>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</si>
  <si>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</si>
  <si>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</si>
  <si>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</si>
  <si>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</si>
  <si>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</si>
  <si>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</si>
  <si>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</si>
  <si>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</si>
  <si>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</si>
  <si>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</si>
  <si>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</si>
  <si>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</si>
  <si>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</si>
  <si>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</si>
  <si>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</si>
  <si>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</si>
  <si>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</si>
  <si>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</si>
  <si>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</si>
  <si>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</si>
  <si>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</si>
  <si>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</si>
  <si>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</si>
  <si>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</si>
  <si>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</si>
  <si>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</si>
  <si>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</si>
  <si>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</si>
  <si>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</si>
  <si>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</si>
  <si>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</si>
  <si>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</si>
  <si>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</si>
  <si>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</si>
  <si>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</si>
  <si>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</si>
  <si>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</si>
  <si>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</si>
  <si>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</si>
  <si>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</si>
  <si>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</si>
  <si>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</si>
  <si>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</si>
  <si>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</si>
  <si>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</si>
  <si>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</si>
  <si>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</si>
  <si>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</si>
  <si>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</si>
  <si>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</si>
  <si>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</si>
  <si>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</si>
  <si>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</si>
  <si>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</si>
  <si>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</si>
  <si>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</si>
  <si>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</si>
  <si>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</si>
  <si>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</si>
  <si>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</si>
  <si>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</si>
  <si>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</si>
  <si>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</si>
  <si>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</si>
  <si>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</si>
  <si>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</si>
  <si>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</si>
  <si>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</si>
  <si>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</si>
  <si>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</si>
  <si>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</si>
  <si>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</si>
  <si>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</si>
  <si>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</si>
  <si>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</si>
  <si>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</si>
  <si>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</si>
  <si>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</si>
  <si>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</si>
  <si>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</si>
  <si>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</si>
  <si>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</si>
  <si>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</si>
  <si>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</si>
  <si>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</si>
  <si>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</si>
  <si>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</si>
  <si>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</si>
  <si>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</si>
  <si>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</si>
  <si>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</si>
  <si>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</si>
  <si>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</si>
  <si>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</si>
  <si>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</si>
  <si>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</si>
  <si>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</si>
  <si>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</si>
  <si>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</si>
  <si>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</si>
  <si>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</si>
  <si>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</si>
  <si>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</si>
  <si>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</si>
  <si>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</si>
  <si>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</si>
  <si>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</si>
  <si>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</si>
  <si>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</si>
  <si>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</si>
  <si>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</si>
  <si>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</si>
  <si>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</si>
  <si>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</si>
  <si>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</si>
  <si>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</si>
  <si>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</si>
  <si>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</si>
  <si>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</si>
  <si>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</si>
  <si>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</si>
  <si>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</si>
  <si>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</si>
  <si>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</si>
  <si>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</si>
  <si>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</si>
  <si>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</si>
  <si>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</si>
  <si>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</si>
  <si>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</si>
  <si>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</si>
  <si>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</si>
  <si>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</si>
  <si>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</si>
  <si>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</si>
  <si>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</si>
  <si>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</si>
  <si>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</si>
  <si>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</si>
  <si>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</si>
  <si>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</si>
  <si>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</si>
  <si>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</si>
  <si>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</si>
  <si>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</si>
  <si>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</si>
  <si>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</si>
  <si>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</si>
  <si>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</si>
  <si>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</si>
  <si>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</si>
  <si>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</si>
  <si>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</si>
  <si>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</si>
  <si>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</si>
  <si>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</si>
  <si>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</si>
  <si>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</si>
  <si>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</si>
  <si>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</si>
  <si>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</si>
  <si>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</si>
  <si>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</si>
  <si>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</si>
  <si>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</si>
  <si>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</si>
  <si>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</si>
  <si>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</si>
  <si>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</si>
  <si>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</si>
  <si>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</si>
  <si>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</si>
  <si>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</si>
  <si>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</si>
  <si>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</si>
  <si>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</si>
  <si>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</si>
  <si>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</si>
  <si>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</si>
  <si>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</si>
  <si>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</si>
  <si>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</si>
  <si>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</si>
  <si>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</si>
  <si>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</si>
  <si>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</si>
  <si>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</si>
  <si>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</si>
  <si>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</si>
  <si>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</si>
  <si>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</si>
  <si>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</si>
  <si>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</si>
  <si>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</si>
  <si>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</si>
  <si>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</si>
  <si>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</si>
  <si>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</si>
  <si>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</si>
  <si>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</si>
  <si>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</si>
  <si>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</si>
  <si>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</si>
  <si>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</si>
  <si>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</si>
  <si>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</si>
  <si>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</si>
  <si>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</si>
  <si>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</si>
  <si>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</si>
  <si>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</si>
  <si>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</si>
  <si>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</si>
  <si>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</si>
  <si>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</si>
  <si>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</si>
  <si>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</si>
  <si>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</si>
  <si>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</si>
  <si>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</si>
  <si>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</si>
  <si>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</si>
  <si>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</si>
  <si>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</si>
  <si>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</si>
  <si>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</si>
  <si>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</si>
  <si>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</si>
  <si>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</si>
  <si>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</si>
  <si>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</si>
  <si>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</si>
  <si>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</si>
  <si>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</si>
  <si>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</si>
  <si>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</si>
  <si>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</si>
  <si>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</si>
  <si>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</si>
  <si>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</si>
  <si>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</si>
  <si>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</si>
  <si>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</si>
  <si>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</si>
  <si>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</si>
  <si>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</si>
  <si>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</si>
  <si>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</si>
  <si>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</si>
  <si>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</si>
  <si>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</si>
  <si>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</si>
  <si>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</si>
  <si>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</si>
  <si>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</si>
  <si>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</si>
  <si>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</si>
  <si>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</si>
  <si>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</si>
  <si>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</si>
  <si>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</si>
  <si>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</si>
  <si>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</si>
  <si>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</si>
  <si>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</si>
  <si>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</si>
  <si>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</si>
  <si>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</si>
  <si>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</si>
  <si>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</si>
  <si>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</si>
  <si>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</si>
  <si>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</si>
  <si>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</si>
  <si>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</si>
  <si>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</si>
  <si>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</si>
  <si>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</si>
  <si>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</si>
  <si>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</si>
  <si>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</si>
  <si>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</si>
  <si>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</si>
  <si>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</si>
  <si>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</si>
  <si>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</si>
  <si>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</si>
  <si>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</si>
  <si>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</si>
  <si>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</si>
  <si>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</si>
  <si>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</si>
  <si>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</si>
  <si>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</si>
  <si>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</si>
  <si>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</si>
  <si>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</si>
  <si>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</si>
  <si>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</si>
  <si>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</si>
  <si>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</si>
  <si>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</si>
  <si>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</si>
  <si>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</si>
  <si>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</si>
  <si>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</si>
  <si>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</si>
  <si>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</si>
  <si>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</si>
  <si>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</si>
  <si>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</si>
  <si>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</si>
  <si>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</si>
  <si>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</si>
  <si>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</si>
  <si>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</si>
  <si>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</si>
  <si>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</si>
  <si>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</si>
  <si>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</si>
  <si>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</si>
  <si>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</si>
  <si>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</si>
  <si>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</si>
  <si>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</si>
  <si>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</si>
  <si>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</si>
  <si>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</si>
  <si>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</si>
  <si>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</si>
  <si>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</si>
  <si>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</si>
  <si>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</si>
  <si>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</si>
  <si>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</si>
  <si>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</si>
  <si>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</si>
  <si>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</si>
  <si>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</si>
  <si>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</si>
  <si>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</si>
  <si>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</si>
  <si>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</si>
  <si>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</si>
  <si>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</si>
  <si>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</si>
  <si>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</si>
  <si>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</si>
  <si>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</si>
  <si>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</si>
  <si>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</si>
  <si>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</si>
  <si>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</si>
  <si>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</si>
  <si>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</si>
  <si>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</si>
  <si>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</si>
  <si>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</si>
  <si>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</si>
  <si>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</si>
  <si>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</si>
  <si>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</si>
  <si>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</si>
  <si>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</si>
  <si>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</si>
  <si>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</si>
  <si>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</si>
  <si>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</si>
  <si>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</si>
  <si>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</si>
  <si>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</si>
  <si>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</si>
  <si>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</si>
  <si>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</si>
  <si>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</si>
  <si>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</si>
  <si>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</si>
  <si>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</si>
  <si>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</si>
  <si>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</si>
  <si>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</si>
  <si>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</si>
  <si>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</si>
  <si>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</si>
  <si>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</si>
  <si>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</si>
  <si>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</si>
  <si>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</si>
  <si>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</si>
  <si>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</si>
  <si>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</si>
  <si>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</si>
  <si>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</si>
  <si>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</si>
  <si>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</si>
  <si>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</si>
  <si>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</si>
  <si>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</si>
  <si>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</si>
  <si>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</si>
  <si>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</si>
  <si>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</si>
  <si>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</si>
  <si>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</si>
  <si>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</si>
  <si>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</si>
  <si>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</si>
  <si>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</si>
  <si>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</si>
  <si>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</si>
  <si>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</si>
  <si>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</si>
  <si>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</si>
  <si>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</si>
  <si>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</si>
  <si>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</si>
  <si>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</si>
  <si>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</si>
  <si>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</si>
  <si>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</si>
  <si>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</si>
  <si>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</si>
  <si>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</si>
  <si>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</si>
  <si>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</si>
  <si>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</si>
  <si>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</si>
  <si>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</si>
  <si>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</si>
  <si>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</si>
  <si>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</si>
  <si>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</si>
  <si>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</si>
  <si>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</si>
  <si>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</si>
  <si>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</si>
  <si>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</si>
  <si>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</si>
  <si>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</si>
  <si>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</si>
  <si>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</si>
  <si>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</si>
  <si>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</si>
  <si>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</si>
  <si>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</si>
  <si>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</si>
  <si>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</si>
  <si>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</si>
  <si>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</si>
  <si>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</si>
  <si>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</si>
  <si>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</si>
  <si>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</si>
  <si>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</si>
  <si>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</si>
  <si>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</si>
  <si>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</si>
  <si>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</si>
  <si>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</si>
  <si>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</si>
  <si>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</si>
  <si>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</si>
  <si>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</si>
  <si>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</si>
  <si>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</si>
  <si>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</si>
  <si>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</si>
  <si>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</si>
  <si>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</si>
  <si>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</si>
  <si>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</si>
  <si>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</si>
  <si>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</si>
  <si>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</si>
  <si>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</si>
  <si>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</si>
  <si>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</si>
  <si>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</si>
  <si>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</si>
  <si>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</si>
  <si>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</si>
  <si>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</si>
  <si>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</si>
  <si>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</si>
  <si>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</si>
  <si>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</si>
  <si>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</si>
  <si>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</si>
  <si>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</si>
  <si>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</si>
  <si>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</si>
  <si>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</si>
  <si>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</si>
  <si>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</si>
  <si>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</si>
  <si>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</si>
  <si>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</si>
  <si>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</si>
  <si>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</si>
  <si>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</si>
  <si>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</si>
  <si>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</si>
  <si>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</si>
  <si>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</si>
  <si>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</si>
  <si>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</si>
  <si>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</si>
  <si>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</si>
  <si>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</si>
  <si>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</si>
  <si>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</si>
  <si>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</si>
  <si>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</si>
  <si>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</si>
  <si>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</si>
  <si>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</si>
  <si>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</si>
  <si>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</si>
  <si>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</si>
  <si>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</si>
  <si>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</si>
  <si>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</si>
  <si>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</si>
  <si>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</si>
  <si>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</si>
  <si>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</si>
  <si>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</si>
  <si>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</si>
  <si>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</si>
  <si>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</si>
  <si>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</si>
  <si>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</si>
  <si>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</si>
  <si>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</si>
  <si>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</si>
  <si>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</si>
  <si>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</si>
  <si>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</si>
  <si>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</si>
  <si>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</si>
  <si>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</si>
  <si>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</si>
  <si>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</si>
  <si>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</si>
  <si>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</si>
  <si>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</si>
  <si>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</si>
  <si>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</si>
  <si>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</si>
  <si>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</si>
  <si>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</si>
  <si>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</si>
  <si>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</si>
  <si>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</si>
  <si>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</si>
  <si>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</si>
  <si>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</si>
  <si>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</si>
  <si>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</si>
  <si>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</si>
  <si>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</si>
  <si>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</si>
  <si>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</si>
  <si>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</si>
  <si>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</si>
  <si>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</si>
  <si>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</si>
  <si>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</si>
  <si>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</si>
  <si>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</si>
  <si>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</si>
  <si>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</si>
  <si>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</si>
  <si>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</si>
  <si>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</si>
  <si>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</si>
  <si>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</si>
  <si>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</si>
  <si>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</si>
  <si>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</si>
  <si>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</si>
  <si>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</si>
  <si>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</si>
  <si>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</si>
  <si>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</si>
  <si>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</si>
  <si>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</si>
  <si>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</si>
  <si>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</si>
  <si>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</si>
  <si>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</si>
  <si>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</si>
  <si>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</si>
  <si>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</si>
  <si>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</si>
  <si>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</si>
  <si>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</si>
  <si>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</si>
  <si>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</si>
  <si>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</si>
  <si>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</si>
  <si>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</si>
  <si>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</si>
  <si>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</si>
  <si>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</si>
  <si>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</si>
  <si>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</si>
  <si>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</si>
  <si>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</si>
  <si>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</si>
  <si>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</si>
  <si>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</si>
  <si>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</si>
  <si>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</si>
  <si>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</si>
  <si>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</si>
  <si>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</si>
  <si>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</si>
  <si>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</si>
  <si>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</si>
  <si>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</si>
  <si>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</si>
  <si>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</si>
  <si>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</si>
  <si>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</si>
  <si>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</si>
  <si>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</si>
  <si>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</si>
  <si>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</si>
  <si>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</si>
  <si>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</si>
  <si>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</si>
  <si>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</si>
  <si>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</si>
  <si>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</si>
  <si>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</si>
  <si>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</si>
  <si>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</si>
  <si>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</si>
  <si>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</si>
  <si>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</si>
  <si>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</si>
  <si>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</si>
  <si>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</si>
  <si>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</si>
  <si>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</si>
  <si>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</si>
  <si>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</si>
  <si>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</si>
  <si>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</si>
  <si>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</si>
  <si>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</si>
  <si>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</si>
  <si>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</si>
  <si>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</si>
  <si>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</si>
  <si>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</si>
  <si>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</si>
  <si>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</si>
  <si>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</si>
  <si>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</si>
  <si>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</si>
  <si>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</si>
  <si>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</si>
  <si>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</si>
  <si>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</si>
  <si>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</si>
  <si>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</si>
  <si>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</si>
  <si>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</si>
  <si>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</si>
  <si>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</si>
  <si>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</si>
  <si>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</si>
  <si>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</si>
  <si>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</si>
  <si>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</si>
  <si>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</si>
  <si>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</si>
  <si>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</si>
  <si>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</si>
  <si>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</si>
  <si>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</si>
  <si>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</si>
  <si>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</si>
  <si>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</si>
  <si>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</si>
  <si>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</si>
  <si>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</si>
  <si>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</si>
  <si>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</si>
  <si>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</si>
  <si>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</si>
  <si>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</si>
  <si>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</si>
  <si>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</si>
  <si>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</si>
  <si>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</si>
  <si>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</si>
  <si>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</si>
  <si>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</si>
  <si>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</si>
  <si>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</si>
  <si>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</si>
  <si>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</si>
  <si>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</si>
  <si>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</si>
  <si>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</si>
  <si>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</si>
  <si>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</si>
  <si>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</si>
  <si>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</si>
  <si>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</si>
  <si>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</si>
  <si>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</si>
  <si>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</si>
  <si>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</si>
  <si>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</si>
  <si>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</si>
  <si>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</si>
  <si>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</si>
  <si>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</si>
  <si>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</si>
  <si>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</si>
  <si>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</si>
  <si>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</si>
  <si>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</si>
  <si>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</si>
  <si>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</si>
  <si>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</si>
  <si>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</si>
  <si>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</si>
  <si>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</si>
  <si>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</si>
  <si>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</si>
  <si>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</si>
  <si>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</si>
  <si>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</si>
  <si>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</si>
  <si>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</si>
  <si>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</si>
  <si>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</si>
  <si>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</si>
  <si>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</si>
  <si>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</si>
  <si>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</si>
  <si>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</si>
  <si>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</si>
  <si>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</si>
  <si>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</si>
  <si>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</si>
  <si>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</si>
  <si>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</si>
  <si>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</si>
  <si>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</si>
  <si>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</si>
  <si>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</si>
  <si>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</si>
  <si>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</si>
  <si>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</si>
  <si>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</si>
  <si>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</si>
  <si>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</si>
  <si>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</si>
  <si>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</si>
  <si>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</si>
  <si>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</si>
  <si>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</si>
  <si>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</si>
  <si>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</si>
  <si>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</si>
  <si>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</si>
  <si>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</si>
  <si>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</si>
  <si>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</si>
  <si>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</si>
  <si>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</si>
  <si>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</si>
  <si>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</si>
  <si>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</si>
  <si>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</si>
  <si>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</si>
  <si>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</si>
  <si>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</si>
  <si>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</si>
  <si>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</si>
  <si>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</si>
  <si>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</si>
  <si>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</si>
  <si>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</si>
  <si>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</si>
  <si>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</si>
  <si>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</si>
  <si>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</si>
  <si>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</si>
  <si>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</si>
  <si>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</si>
  <si>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</si>
  <si>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</si>
  <si>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</si>
  <si>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</si>
  <si>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</si>
  <si>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</si>
  <si>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</si>
  <si>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</si>
  <si>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</si>
  <si>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</si>
  <si>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</si>
  <si>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</si>
  <si>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</si>
  <si>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</si>
  <si>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</si>
  <si>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</si>
  <si>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</si>
  <si>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</si>
  <si>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</si>
  <si>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</si>
  <si>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</si>
  <si>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</si>
  <si>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</si>
  <si>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</si>
  <si>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</si>
  <si>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</si>
  <si>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</si>
  <si>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</si>
  <si>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</si>
  <si>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</si>
  <si>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</si>
  <si>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</si>
  <si>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</si>
  <si>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</si>
  <si>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</si>
  <si>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</si>
  <si>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</si>
  <si>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</si>
  <si>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</si>
  <si>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</si>
  <si>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</si>
  <si>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</si>
  <si>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</si>
  <si>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</si>
  <si>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</si>
  <si>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</si>
  <si>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</si>
  <si>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</si>
  <si>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</si>
  <si>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</si>
  <si>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</si>
  <si>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</si>
  <si>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</si>
  <si>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</si>
  <si>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</si>
  <si>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</si>
  <si>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</si>
  <si>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</si>
  <si>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</si>
  <si>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</si>
  <si>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</si>
  <si>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</si>
  <si>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</si>
  <si>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</si>
  <si>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</si>
  <si>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</si>
  <si>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</si>
  <si>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</si>
  <si>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</si>
  <si>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</si>
  <si>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</si>
  <si>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</si>
  <si>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</si>
  <si>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</si>
  <si>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</si>
  <si>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</si>
  <si>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</si>
  <si>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</si>
  <si>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</si>
  <si>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</si>
  <si>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</si>
  <si>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</si>
  <si>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</si>
  <si>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</si>
  <si>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</si>
  <si>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</si>
  <si>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</si>
  <si>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</si>
  <si>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</si>
  <si>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</si>
  <si>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</si>
  <si>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</si>
  <si>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</si>
  <si>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</si>
  <si>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</si>
  <si>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</si>
  <si>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</si>
  <si>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</si>
  <si>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</si>
  <si>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</si>
  <si>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</si>
  <si>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</si>
  <si>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</si>
  <si>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</si>
  <si>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</si>
  <si>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</si>
  <si>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</si>
  <si>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</si>
  <si>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</si>
  <si>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</si>
  <si>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</si>
  <si>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</si>
  <si>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</si>
  <si>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</si>
  <si>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</si>
  <si>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</si>
  <si>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</si>
  <si>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</si>
  <si>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</si>
  <si>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</si>
  <si>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</si>
  <si>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</si>
  <si>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</si>
  <si>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</si>
  <si>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</si>
  <si>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</si>
  <si>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</si>
  <si>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</si>
  <si>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</si>
  <si>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</si>
  <si>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</si>
  <si>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</si>
  <si>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</si>
  <si>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</si>
  <si>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</si>
  <si>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</si>
  <si>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</si>
  <si>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</si>
  <si>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</si>
  <si>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</si>
  <si>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</si>
  <si>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</si>
  <si>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</si>
  <si>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</si>
  <si>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</si>
  <si>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</si>
  <si>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</si>
  <si>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</si>
  <si>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</si>
  <si>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</si>
  <si>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</si>
  <si>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</si>
  <si>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</si>
  <si>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</si>
  <si>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</si>
  <si>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</si>
  <si>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</si>
  <si>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</si>
  <si>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</si>
  <si>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</si>
  <si>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</si>
  <si>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</si>
  <si>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</si>
  <si>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</si>
  <si>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</si>
  <si>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</si>
  <si>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</si>
  <si>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</si>
  <si>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</si>
  <si>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</si>
  <si>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</si>
  <si>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</si>
  <si>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</si>
  <si>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</si>
  <si>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</si>
  <si>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</si>
  <si>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</si>
  <si>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</si>
  <si>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</si>
  <si>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</si>
  <si>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</si>
  <si>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</si>
  <si>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</si>
  <si>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</si>
  <si>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</si>
  <si>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</si>
  <si>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</si>
  <si>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</si>
  <si>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</si>
  <si>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</si>
  <si>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</si>
  <si>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</si>
  <si>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</si>
  <si>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</si>
  <si>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</si>
  <si>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</si>
  <si>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</si>
  <si>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</si>
  <si>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</si>
  <si>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</si>
  <si>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</si>
  <si>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</si>
  <si>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</si>
  <si>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</si>
  <si>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</si>
  <si>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</si>
  <si>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</si>
  <si>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</si>
  <si>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</si>
  <si>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</si>
  <si>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</si>
  <si>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</si>
  <si>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</si>
  <si>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</si>
  <si>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</si>
  <si>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</si>
  <si>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</si>
  <si>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</si>
  <si>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</si>
  <si>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</si>
  <si>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</si>
  <si>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</si>
  <si>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</si>
  <si>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</si>
  <si>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</si>
  <si>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</si>
  <si>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</si>
  <si>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</si>
  <si>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</si>
  <si>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</si>
  <si>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</si>
  <si>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</si>
  <si>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</si>
  <si>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</si>
  <si>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</si>
  <si>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</si>
  <si>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</si>
  <si>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</si>
  <si>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</si>
  <si>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</si>
  <si>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</si>
  <si>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</si>
  <si>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</si>
  <si>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</si>
  <si>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</si>
  <si>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</si>
  <si>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</si>
  <si>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</si>
  <si>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</si>
  <si>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</si>
  <si>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</si>
  <si>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</si>
  <si>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</si>
  <si>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</si>
  <si>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</si>
  <si>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</si>
  <si>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</si>
  <si>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</si>
  <si>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</si>
  <si>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</si>
  <si>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</si>
  <si>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</si>
  <si>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</si>
  <si>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</si>
  <si>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</si>
  <si>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</si>
  <si>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</si>
  <si>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</si>
  <si>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</si>
  <si>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</si>
  <si>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</si>
  <si>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</si>
  <si>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</si>
  <si>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</si>
  <si>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</si>
  <si>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</si>
  <si>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</si>
  <si>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</si>
  <si>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</si>
  <si>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</si>
  <si>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</si>
  <si>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</si>
  <si>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</si>
  <si>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</si>
  <si>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</si>
  <si>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</si>
  <si>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</si>
  <si>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</si>
  <si>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</si>
  <si>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</si>
  <si>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</si>
  <si>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</si>
  <si>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</si>
  <si>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</si>
  <si>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</si>
  <si>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</si>
  <si>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</si>
  <si>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</si>
  <si>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</si>
  <si>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</si>
  <si>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</si>
  <si>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</si>
  <si>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</si>
  <si>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</si>
  <si>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</si>
  <si>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</si>
  <si>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</si>
  <si>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</si>
  <si>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</si>
  <si>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</si>
  <si>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</si>
  <si>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</si>
  <si>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</si>
  <si>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</si>
  <si>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</si>
  <si>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</si>
  <si>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</si>
  <si>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</si>
  <si>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</si>
  <si>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</si>
  <si>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</si>
  <si>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</si>
  <si>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</si>
  <si>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</si>
  <si>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</si>
  <si>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</si>
  <si>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</si>
  <si>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</si>
  <si>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</si>
  <si>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</si>
  <si>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</si>
  <si>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</si>
  <si>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</si>
  <si>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</si>
  <si>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</si>
  <si>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</si>
  <si>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</si>
  <si>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</si>
  <si>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</si>
  <si>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</si>
  <si>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</si>
  <si>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</si>
  <si>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</si>
  <si>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</si>
  <si>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</si>
  <si>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</si>
  <si>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</si>
  <si>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</si>
  <si>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</si>
  <si>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</si>
  <si>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</si>
  <si>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</si>
  <si>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</si>
  <si>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</si>
  <si>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</si>
  <si>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</si>
  <si>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</si>
  <si>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</si>
  <si>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</si>
  <si>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</si>
  <si>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</si>
  <si>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</si>
  <si>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</si>
  <si>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</si>
  <si>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</si>
  <si>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</si>
  <si>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</si>
  <si>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</si>
  <si>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</si>
  <si>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</si>
  <si>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</si>
  <si>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</si>
  <si>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</si>
  <si>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</si>
  <si>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</si>
  <si>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</si>
  <si>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</si>
  <si>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</si>
  <si>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</si>
  <si>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</si>
  <si>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</si>
  <si>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</si>
  <si>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</si>
  <si>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</si>
  <si>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</si>
  <si>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</si>
  <si>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</si>
  <si>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</si>
  <si>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</si>
  <si>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</si>
  <si>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</si>
  <si>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</si>
  <si>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</si>
  <si>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</si>
  <si>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</si>
  <si>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</si>
  <si>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</si>
  <si>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</si>
  <si>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</si>
  <si>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</si>
  <si>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</si>
  <si>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</si>
  <si>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</si>
  <si>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</si>
  <si>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</si>
  <si>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</si>
  <si>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</si>
  <si>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</si>
  <si>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</si>
  <si>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</si>
  <si>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</si>
  <si>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</si>
  <si>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</si>
  <si>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</si>
  <si>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</si>
  <si>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</si>
  <si>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</si>
  <si>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</si>
  <si>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</si>
  <si>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</si>
  <si>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</si>
  <si>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</si>
  <si>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</si>
  <si>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</si>
  <si>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</si>
  <si>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</si>
  <si>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</si>
  <si>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</si>
  <si>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</si>
  <si>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</si>
  <si>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</si>
  <si>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</si>
  <si>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</si>
  <si>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</si>
  <si>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</si>
  <si>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</si>
  <si>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</si>
  <si>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</si>
  <si>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</si>
  <si>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</si>
  <si>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</si>
  <si>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</si>
  <si>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</si>
  <si>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</si>
  <si>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</si>
  <si>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</si>
  <si>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</si>
  <si>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</si>
  <si>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</si>
  <si>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</si>
  <si>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</si>
  <si>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</si>
  <si>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</si>
  <si>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</si>
  <si>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</si>
  <si>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</si>
  <si>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</si>
  <si>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</si>
  <si>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</si>
  <si>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</si>
  <si>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</si>
  <si>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</si>
  <si>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</si>
  <si>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</si>
  <si>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</si>
  <si>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</si>
  <si>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</si>
  <si>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</si>
  <si>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</si>
  <si>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</si>
  <si>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</si>
  <si>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</si>
  <si>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</si>
  <si>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</si>
  <si>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</si>
  <si>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</si>
  <si>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</si>
  <si>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</si>
  <si>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</si>
  <si>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</si>
  <si>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</si>
  <si>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</si>
  <si>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</si>
  <si>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</si>
  <si>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</si>
  <si>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</si>
  <si>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</si>
  <si>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</si>
  <si>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</si>
  <si>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</si>
  <si>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</si>
  <si>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</si>
  <si>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</si>
  <si>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</si>
  <si>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</si>
  <si>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</si>
  <si>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</si>
  <si>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</si>
  <si>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</si>
  <si>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</si>
  <si>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</si>
  <si>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</si>
  <si>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</si>
  <si>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</si>
  <si>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</si>
  <si>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</si>
  <si>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</si>
  <si>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</si>
  <si>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</si>
  <si>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</si>
  <si>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</si>
  <si>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</si>
  <si>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</si>
  <si>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</si>
  <si>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</si>
  <si>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</si>
  <si>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</si>
  <si>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</si>
  <si>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</si>
  <si>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</si>
  <si>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</si>
  <si>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</si>
  <si>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</si>
  <si>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</si>
  <si>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</si>
  <si>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</si>
  <si>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</si>
  <si>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</si>
  <si>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</si>
  <si>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</si>
  <si>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</si>
  <si>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</si>
  <si>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</si>
  <si>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</si>
  <si>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</si>
  <si>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</si>
  <si>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</si>
  <si>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</si>
  <si>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</si>
  <si>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</si>
  <si>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</si>
  <si>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</si>
  <si>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</si>
  <si>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</si>
  <si>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</si>
  <si>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</si>
  <si>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</si>
  <si>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</si>
  <si>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</si>
  <si>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</si>
  <si>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</si>
  <si>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</si>
  <si>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</si>
  <si>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</si>
  <si>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</si>
  <si>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</si>
  <si>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</si>
  <si>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</si>
  <si>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</si>
  <si>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</si>
  <si>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</si>
  <si>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</si>
  <si>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</si>
  <si>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</si>
  <si>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</si>
  <si>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</si>
  <si>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</si>
  <si>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</si>
  <si>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</si>
  <si>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</si>
  <si>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</si>
  <si>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</si>
  <si>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</si>
  <si>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</si>
  <si>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</si>
  <si>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</si>
  <si>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</si>
  <si>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</si>
  <si>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</si>
  <si>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</si>
  <si>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</si>
  <si>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</si>
  <si>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</si>
  <si>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</si>
  <si>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</si>
  <si>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</si>
  <si>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</si>
  <si>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</si>
  <si>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</si>
  <si>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</si>
  <si>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</si>
  <si>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</si>
  <si>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</si>
  <si>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</si>
  <si>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</si>
  <si>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</si>
  <si>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</si>
  <si>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</si>
  <si>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</si>
  <si>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</si>
  <si>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</si>
  <si>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</si>
  <si>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</si>
  <si>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</si>
  <si>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</si>
  <si>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</si>
  <si>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</si>
  <si>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</si>
  <si>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</si>
  <si>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</si>
  <si>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</si>
  <si>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</si>
  <si>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</si>
  <si>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</si>
  <si>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</si>
  <si>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</si>
  <si>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</si>
  <si>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</si>
  <si>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</si>
  <si>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</si>
  <si>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</si>
  <si>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</si>
  <si>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</si>
  <si>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</si>
  <si>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</si>
  <si>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</si>
  <si>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</si>
  <si>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</si>
  <si>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</si>
  <si>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</si>
  <si>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</si>
  <si>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</si>
  <si>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</si>
  <si>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</si>
  <si>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</si>
  <si>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</si>
  <si>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</si>
  <si>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</si>
  <si>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</si>
  <si>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</si>
  <si>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</si>
  <si>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</si>
  <si>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</si>
  <si>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</si>
  <si>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</si>
  <si>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</si>
  <si>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</si>
  <si>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</si>
  <si>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</si>
  <si>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</si>
  <si>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</si>
  <si>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</si>
  <si>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</si>
  <si>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</si>
  <si>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</si>
  <si>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</si>
  <si>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</si>
  <si>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</si>
  <si>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</si>
  <si>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</si>
  <si>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</si>
  <si>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</si>
  <si>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</si>
  <si>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</si>
  <si>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</si>
  <si>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</si>
  <si>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</si>
  <si>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</si>
  <si>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</si>
  <si>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</si>
  <si>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</si>
  <si>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</si>
  <si>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</si>
  <si>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</si>
  <si>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</si>
  <si>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</si>
  <si>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</si>
  <si>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</si>
  <si>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</si>
  <si>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</si>
  <si>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</si>
  <si>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</si>
  <si>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</si>
  <si>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</si>
  <si>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</si>
  <si>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</si>
  <si>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</si>
  <si>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</si>
  <si>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</si>
  <si>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</si>
  <si>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</si>
  <si>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</si>
  <si>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</si>
  <si>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</si>
  <si>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</si>
  <si>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</si>
  <si>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</si>
  <si>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</si>
  <si>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</si>
  <si>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</si>
  <si>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</si>
  <si>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</si>
  <si>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</si>
  <si>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</si>
  <si>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</si>
  <si>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</si>
  <si>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</si>
  <si>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</si>
  <si>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</si>
  <si>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</si>
  <si>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</si>
  <si>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</si>
  <si>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</si>
  <si>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</si>
  <si>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</si>
  <si>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</si>
  <si>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</si>
  <si>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</si>
  <si>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</si>
  <si>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</si>
  <si>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</si>
  <si>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</si>
  <si>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</si>
  <si>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</si>
  <si>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</si>
  <si>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</si>
  <si>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</si>
  <si>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</si>
  <si>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</si>
  <si>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</si>
  <si>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</si>
  <si>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</si>
  <si>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</si>
  <si>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</si>
  <si>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</si>
  <si>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</si>
  <si>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</si>
  <si>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</si>
  <si>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</si>
  <si>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</si>
  <si>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</si>
  <si>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</si>
  <si>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</si>
  <si>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</si>
  <si>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</si>
  <si>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</si>
  <si>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</si>
  <si>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</si>
  <si>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</si>
  <si>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</si>
  <si>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</si>
  <si>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</si>
  <si>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</si>
  <si>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</si>
  <si>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</si>
  <si>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</si>
  <si>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</si>
  <si>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</si>
  <si>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</si>
  <si>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</si>
  <si>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</si>
  <si>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</si>
  <si>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</si>
  <si>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</si>
  <si>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</si>
  <si>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</si>
  <si>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</si>
  <si>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</si>
  <si>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</si>
  <si>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</si>
  <si>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</si>
  <si>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</si>
  <si>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</si>
  <si>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</si>
  <si>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</si>
  <si>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</si>
  <si>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</si>
  <si>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</si>
  <si>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</si>
  <si>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</si>
  <si>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</si>
  <si>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</si>
  <si>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</si>
  <si>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</si>
  <si>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</si>
  <si>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</si>
  <si>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</si>
  <si>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</si>
  <si>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</si>
  <si>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</si>
  <si>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</si>
  <si>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</si>
  <si>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</si>
  <si>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</si>
  <si>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</si>
  <si>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</si>
  <si>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</si>
  <si>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</si>
  <si>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</si>
  <si>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</si>
  <si>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</si>
  <si>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</si>
  <si>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</si>
  <si>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</si>
  <si>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</si>
  <si>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</si>
  <si>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</si>
  <si>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</si>
  <si>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</si>
  <si>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</si>
  <si>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</si>
  <si>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</si>
  <si>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</si>
  <si>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</si>
  <si>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</si>
  <si>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</si>
  <si>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</si>
  <si>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</si>
  <si>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</si>
  <si>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</si>
  <si>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</si>
  <si>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</si>
  <si>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</si>
  <si>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</si>
  <si>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</si>
  <si>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</si>
  <si>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</si>
  <si>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</si>
  <si>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</si>
  <si>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</si>
  <si>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</si>
  <si>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</si>
  <si>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</si>
  <si>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</si>
  <si>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</si>
  <si>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</si>
  <si>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</si>
  <si>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</si>
  <si>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</si>
  <si>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</si>
  <si>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</si>
  <si>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</si>
  <si>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</si>
  <si>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</si>
  <si>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</si>
  <si>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</si>
  <si>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</si>
  <si>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</si>
  <si>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</si>
  <si>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</si>
  <si>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</si>
  <si>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</si>
  <si>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</si>
  <si>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</si>
  <si>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</si>
  <si>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</si>
  <si>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</si>
  <si>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</si>
  <si>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</si>
  <si>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</si>
  <si>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</si>
  <si>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</si>
  <si>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</si>
  <si>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</si>
  <si>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</si>
  <si>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</si>
  <si>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</si>
  <si>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</si>
  <si>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</si>
  <si>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</si>
  <si>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</si>
  <si>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</si>
  <si>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</si>
  <si>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</si>
  <si>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</si>
  <si>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</si>
  <si>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</si>
  <si>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</si>
  <si>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</si>
  <si>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</si>
  <si>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</si>
  <si>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</si>
  <si>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</si>
  <si>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</si>
  <si>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</si>
  <si>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</si>
  <si>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</si>
  <si>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</si>
  <si>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</si>
  <si>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</si>
  <si>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</si>
  <si>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</si>
  <si>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</si>
  <si>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</si>
  <si>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</si>
  <si>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</si>
  <si>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</si>
  <si>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</si>
  <si>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</si>
  <si>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</si>
  <si>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</si>
  <si>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</si>
  <si>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</si>
  <si>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</si>
  <si>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</si>
  <si>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</si>
  <si>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</si>
  <si>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</si>
  <si>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</si>
  <si>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</si>
  <si>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</si>
  <si>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</si>
  <si>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</si>
  <si>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</si>
  <si>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</si>
  <si>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</si>
  <si>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</si>
  <si>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</si>
  <si>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</si>
  <si>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</si>
  <si>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</si>
  <si>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</si>
  <si>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</si>
  <si>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</si>
  <si>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</si>
  <si>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</si>
  <si>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</si>
  <si>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</si>
  <si>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</si>
  <si>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</si>
  <si>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</si>
  <si>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</si>
  <si>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</si>
  <si>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</si>
  <si>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</si>
  <si>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</si>
  <si>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</si>
  <si>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</si>
  <si>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</si>
  <si>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</si>
  <si>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</si>
  <si>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</si>
  <si>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</si>
  <si>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</si>
  <si>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</si>
  <si>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</si>
  <si>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</si>
  <si>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</si>
  <si>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</si>
  <si>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</si>
  <si>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</si>
  <si>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</si>
  <si>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</si>
  <si>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</si>
  <si>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</si>
  <si>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</si>
  <si>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</si>
  <si>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</si>
  <si>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</si>
  <si>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</si>
  <si>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</si>
  <si>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</si>
  <si>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</si>
  <si>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</si>
  <si>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</si>
  <si>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</si>
  <si>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</si>
  <si>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</si>
  <si>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</si>
  <si>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</si>
  <si>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</si>
  <si>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</si>
  <si>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</si>
  <si>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</si>
  <si>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</si>
  <si>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</si>
  <si>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</si>
  <si>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</si>
  <si>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</si>
  <si>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</si>
  <si>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</si>
  <si>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</si>
  <si>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</si>
  <si>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</si>
  <si>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</si>
  <si>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</si>
  <si>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</si>
  <si>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</si>
  <si>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</si>
  <si>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</si>
  <si>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</si>
  <si>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</si>
  <si>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</si>
  <si>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</si>
  <si>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</si>
  <si>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</si>
  <si>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</si>
  <si>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</si>
  <si>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</si>
  <si>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</si>
  <si>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</si>
  <si>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</si>
  <si>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</si>
  <si>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</si>
  <si>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</si>
  <si>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</si>
  <si>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</si>
  <si>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</si>
  <si>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</si>
  <si>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</si>
  <si>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</si>
  <si>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</si>
  <si>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</si>
  <si>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</si>
  <si>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</si>
  <si>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</si>
  <si>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</si>
  <si>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</si>
  <si>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</si>
  <si>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</si>
  <si>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</si>
  <si>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</si>
  <si>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</si>
  <si>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</si>
  <si>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</si>
  <si>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</si>
  <si>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</si>
  <si>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</si>
  <si>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</si>
  <si>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</si>
  <si>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</si>
  <si>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</si>
  <si>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</si>
  <si>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</si>
  <si>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</si>
  <si>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</si>
  <si>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</si>
  <si>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</si>
  <si>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</si>
  <si>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</si>
  <si>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</si>
  <si>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</si>
  <si>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</si>
  <si>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</si>
  <si>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</si>
  <si>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</si>
  <si>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</si>
  <si>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</si>
  <si>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</si>
  <si>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</si>
  <si>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</si>
  <si>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</si>
  <si>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</si>
  <si>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</si>
  <si>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</si>
  <si>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</si>
  <si>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</si>
  <si>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</si>
  <si>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</si>
  <si>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</si>
  <si>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</si>
  <si>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</si>
  <si>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</si>
  <si>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</si>
  <si>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</si>
  <si>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</si>
  <si>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</si>
  <si>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</si>
  <si>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</si>
  <si>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</si>
  <si>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</si>
  <si>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</si>
  <si>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</si>
  <si>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</si>
  <si>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</si>
  <si>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</si>
  <si>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</si>
  <si>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</si>
  <si>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</si>
  <si>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</si>
  <si>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</si>
  <si>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</si>
  <si>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</si>
  <si>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</si>
  <si>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</si>
  <si>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</si>
  <si>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</si>
  <si>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</si>
  <si>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</si>
  <si>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</si>
  <si>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</si>
  <si>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</si>
  <si>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</si>
  <si>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</si>
  <si>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</si>
  <si>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</si>
  <si>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</si>
  <si>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</si>
  <si>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</si>
  <si>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</si>
  <si>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</si>
  <si>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</si>
  <si>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</si>
  <si>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</si>
  <si>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</si>
  <si>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</si>
  <si>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</si>
  <si>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</si>
  <si>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</si>
  <si>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</si>
  <si>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</si>
  <si>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</si>
  <si>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</si>
  <si>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</si>
  <si>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</si>
  <si>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</si>
  <si>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</si>
  <si>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</si>
  <si>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</si>
  <si>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</si>
  <si>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</si>
  <si>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</si>
  <si>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</si>
  <si>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</si>
  <si>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</si>
  <si>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</si>
  <si>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</si>
  <si>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</si>
  <si>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</si>
  <si>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</si>
  <si>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</si>
  <si>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</si>
  <si>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</si>
  <si>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</si>
  <si>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</si>
  <si>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</si>
  <si>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</si>
  <si>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</si>
  <si>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</si>
  <si>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</si>
  <si>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</si>
  <si>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</si>
  <si>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</si>
  <si>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</si>
  <si>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</si>
  <si>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</si>
  <si>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</si>
  <si>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</si>
  <si>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</si>
  <si>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</si>
  <si>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</si>
  <si>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</si>
  <si>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</si>
  <si>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</si>
  <si>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</si>
  <si>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</si>
  <si>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</si>
  <si>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</si>
  <si>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</si>
  <si>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</si>
  <si>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</si>
  <si>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</si>
  <si>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</si>
  <si>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</si>
  <si>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</si>
  <si>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</si>
  <si>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</si>
  <si>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</si>
  <si>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</si>
  <si>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</si>
  <si>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</si>
  <si>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</si>
  <si>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</si>
  <si>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</si>
  <si>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</si>
  <si>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</si>
  <si>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</si>
  <si>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</si>
  <si>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</si>
  <si>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</si>
  <si>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</si>
  <si>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</si>
  <si>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</si>
  <si>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</si>
  <si>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</si>
  <si>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</si>
  <si>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</si>
  <si>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</si>
  <si>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</si>
  <si>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</si>
  <si>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</si>
  <si>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</si>
  <si>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</si>
  <si>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</si>
  <si>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</si>
  <si>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</si>
  <si>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</si>
  <si>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</si>
  <si>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</si>
  <si>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</si>
  <si>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</si>
  <si>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</si>
  <si>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</si>
  <si>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</si>
  <si>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</si>
  <si>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</si>
  <si>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</si>
  <si>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</si>
  <si>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</si>
  <si>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</si>
  <si>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</si>
  <si>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</si>
  <si>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</si>
  <si>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</si>
  <si>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</si>
  <si>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</si>
  <si>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</si>
  <si>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</si>
  <si>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</si>
  <si>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</si>
  <si>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</si>
  <si>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</si>
  <si>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</si>
  <si>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</si>
  <si>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</si>
  <si>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</si>
  <si>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</si>
  <si>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</si>
  <si>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</si>
  <si>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</si>
  <si>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</si>
  <si>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</si>
  <si>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</si>
  <si>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</si>
  <si>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</si>
  <si>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</si>
  <si>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</si>
  <si>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</si>
  <si>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</si>
  <si>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</si>
  <si>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</si>
  <si>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</si>
  <si>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</si>
  <si>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</si>
  <si>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</si>
  <si>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</si>
  <si>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</si>
  <si>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</si>
  <si>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</si>
  <si>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</si>
  <si>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</si>
  <si>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</si>
  <si>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</si>
  <si>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</si>
  <si>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</si>
  <si>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</si>
  <si>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</si>
  <si>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</si>
  <si>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</si>
  <si>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</si>
  <si>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</si>
  <si>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</si>
  <si>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</si>
  <si>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</si>
  <si>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</si>
  <si>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</si>
  <si>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</si>
  <si>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</si>
  <si>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</si>
  <si>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</si>
  <si>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</si>
  <si>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</si>
  <si>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</si>
  <si>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</si>
  <si>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</si>
  <si>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</si>
  <si>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</si>
  <si>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</si>
  <si>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</si>
  <si>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</si>
  <si>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</si>
  <si>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</si>
  <si>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</si>
  <si>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</si>
  <si>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</si>
  <si>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</si>
  <si>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</si>
  <si>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</si>
  <si>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</si>
  <si>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</si>
  <si>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</si>
  <si>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</si>
  <si>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</si>
  <si>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</si>
  <si>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</si>
  <si>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</si>
  <si>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</si>
  <si>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</si>
  <si>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</si>
  <si>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</si>
  <si>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</si>
  <si>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</si>
  <si>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</si>
  <si>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</si>
  <si>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</si>
  <si>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</si>
  <si>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</si>
  <si>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</si>
  <si>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</si>
  <si>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</si>
  <si>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</si>
  <si>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</si>
  <si>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</si>
  <si>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</si>
  <si>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</si>
  <si>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</si>
  <si>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</si>
  <si>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</si>
  <si>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</si>
  <si>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</si>
  <si>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</si>
  <si>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</si>
  <si>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</si>
  <si>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</si>
  <si>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</si>
  <si>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</si>
  <si>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</si>
  <si>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</si>
  <si>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</si>
  <si>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</si>
  <si>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</si>
  <si>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</si>
  <si>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</si>
  <si>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</si>
  <si>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</si>
  <si>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</si>
  <si>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</si>
  <si>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</si>
  <si>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</si>
  <si>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</si>
  <si>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</si>
  <si>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</si>
  <si>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</si>
  <si>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</si>
  <si>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</si>
  <si>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</si>
  <si>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</si>
  <si>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</si>
  <si>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</si>
  <si>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</si>
  <si>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</si>
  <si>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</si>
  <si>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</si>
  <si>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</si>
  <si>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</si>
  <si>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</si>
  <si>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</si>
  <si>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</si>
  <si>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</si>
  <si>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</si>
  <si>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</si>
  <si>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</si>
  <si>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</si>
  <si>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</si>
  <si>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</si>
  <si>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</si>
  <si>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</si>
  <si>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</si>
  <si>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</si>
  <si>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</si>
  <si>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</si>
  <si>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</si>
  <si>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</si>
  <si>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</si>
  <si>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</si>
  <si>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</si>
  <si>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</si>
  <si>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</si>
  <si>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</si>
  <si>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</si>
  <si>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</si>
  <si>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</si>
  <si>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</si>
  <si>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</si>
  <si>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</si>
  <si>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</si>
  <si>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</si>
  <si>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</si>
  <si>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</si>
  <si>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</si>
  <si>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</si>
  <si>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</si>
  <si>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</si>
  <si>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</si>
  <si>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</si>
  <si>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</si>
  <si>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</si>
  <si>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</si>
  <si>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</si>
  <si>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</si>
  <si>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</si>
  <si>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</si>
  <si>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</si>
  <si>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</si>
  <si>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</si>
  <si>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</si>
  <si>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</si>
  <si>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</si>
  <si>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</si>
  <si>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</si>
  <si>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</si>
  <si>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</si>
  <si>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</si>
  <si>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</si>
  <si>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</si>
  <si>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</si>
  <si>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</si>
  <si>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</si>
  <si>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</si>
  <si>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</si>
  <si>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</si>
  <si>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</si>
  <si>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</si>
  <si>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</si>
  <si>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</si>
  <si>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</si>
  <si>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</si>
  <si>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</si>
  <si>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</si>
  <si>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</si>
  <si>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</si>
  <si>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</si>
  <si>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</si>
  <si>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</si>
  <si>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</si>
  <si>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</si>
  <si>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</si>
  <si>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</si>
  <si>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</si>
  <si>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</si>
  <si>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</si>
  <si>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</si>
  <si>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</si>
  <si>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</si>
  <si>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</si>
  <si>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</si>
  <si>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</si>
  <si>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</si>
  <si>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</si>
  <si>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</si>
  <si>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</si>
  <si>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</si>
  <si>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</si>
  <si>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</si>
  <si>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</si>
  <si>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</si>
  <si>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</si>
  <si>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</si>
  <si>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</si>
  <si>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</si>
  <si>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</si>
  <si>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</si>
  <si>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</si>
  <si>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</si>
  <si>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</si>
  <si>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</si>
  <si>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</si>
  <si>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</si>
  <si>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</si>
  <si>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</si>
  <si>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</si>
  <si>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</si>
  <si>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</si>
  <si>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</si>
  <si>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</si>
  <si>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</si>
  <si>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</si>
  <si>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</si>
  <si>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</si>
  <si>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</si>
  <si>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</si>
  <si>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</si>
  <si>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</si>
  <si>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</si>
  <si>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</si>
  <si>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</si>
  <si>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</si>
  <si>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</si>
  <si>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</si>
  <si>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</si>
  <si>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</si>
  <si>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</si>
  <si>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</si>
  <si>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</si>
  <si>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</si>
  <si>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</si>
  <si>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</si>
  <si>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</si>
  <si>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</si>
  <si>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</si>
  <si>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</si>
  <si>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</si>
  <si>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</si>
  <si>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</si>
  <si>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</si>
  <si>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</si>
  <si>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</si>
  <si>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</si>
  <si>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</si>
  <si>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</si>
  <si>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</si>
  <si>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</si>
  <si>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</si>
  <si>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</si>
  <si>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</si>
  <si>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</si>
  <si>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</si>
  <si>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</si>
  <si>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</si>
  <si>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</si>
  <si>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</si>
  <si>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</si>
  <si>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</si>
  <si>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</si>
  <si>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</si>
  <si>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</si>
  <si>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</si>
  <si>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</si>
  <si>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</si>
  <si>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</si>
  <si>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</si>
  <si>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</si>
  <si>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</si>
  <si>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</si>
  <si>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</si>
  <si>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</si>
  <si>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</si>
  <si>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</si>
  <si>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</si>
  <si>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</si>
  <si>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</si>
  <si>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</si>
  <si>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</si>
  <si>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</si>
  <si>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</si>
  <si>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</si>
  <si>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</si>
  <si>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</si>
  <si>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</si>
  <si>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</si>
  <si>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</si>
  <si>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</si>
  <si>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</si>
  <si>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</si>
  <si>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</si>
  <si>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</si>
  <si>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</si>
  <si>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</si>
  <si>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</si>
  <si>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</si>
  <si>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</si>
  <si>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</si>
  <si>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</si>
  <si>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</si>
  <si>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</si>
  <si>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</si>
  <si>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</si>
  <si>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</si>
  <si>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</si>
  <si>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</si>
  <si>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</si>
  <si>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</si>
  <si>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</si>
  <si>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</si>
  <si>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</si>
  <si>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</si>
  <si>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</si>
  <si>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</si>
  <si>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</si>
  <si>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</si>
  <si>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</si>
  <si>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</si>
  <si>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</si>
  <si>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</si>
  <si>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</si>
  <si>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</si>
  <si>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</si>
  <si>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</si>
  <si>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</si>
  <si>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</si>
  <si>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</si>
  <si>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</si>
  <si>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</si>
  <si>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</si>
  <si>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</si>
  <si>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</si>
  <si>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</si>
  <si>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</si>
  <si>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</si>
  <si>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</si>
  <si>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</si>
  <si>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</si>
  <si>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</si>
  <si>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</si>
  <si>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</si>
  <si>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</si>
  <si>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</si>
  <si>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</si>
  <si>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</si>
  <si>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</si>
  <si>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</si>
  <si>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</si>
  <si>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</si>
  <si>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</si>
  <si>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</si>
  <si>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</si>
  <si>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</si>
  <si>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</si>
  <si>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</si>
  <si>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</si>
  <si>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</si>
  <si>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</si>
  <si>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</si>
  <si>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</si>
  <si>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</si>
  <si>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</si>
  <si>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</si>
  <si>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</si>
  <si>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</si>
  <si>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</si>
  <si>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</si>
  <si>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</si>
  <si>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</si>
  <si>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</si>
  <si>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</si>
  <si>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</si>
  <si>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</si>
  <si>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</si>
  <si>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</si>
  <si>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</si>
  <si>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</si>
  <si>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</si>
  <si>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</si>
  <si>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</si>
  <si>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</si>
  <si>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</si>
  <si>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</si>
  <si>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</si>
  <si>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</si>
  <si>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</si>
  <si>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</si>
  <si>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</si>
  <si>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</si>
  <si>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</si>
  <si>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</si>
  <si>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</si>
  <si>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</si>
  <si>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</si>
  <si>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</si>
  <si>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</si>
  <si>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</si>
  <si>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</si>
  <si>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</si>
  <si>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</si>
  <si>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</si>
  <si>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</si>
  <si>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</si>
  <si>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</si>
  <si>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</si>
  <si>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</si>
  <si>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</si>
  <si>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</si>
  <si>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</si>
  <si>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</si>
  <si>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</si>
  <si>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</si>
  <si>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</si>
  <si>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</si>
  <si>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</si>
  <si>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</si>
  <si>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</si>
  <si>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</si>
  <si>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</si>
  <si>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</si>
  <si>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</si>
  <si>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</si>
  <si>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</si>
  <si>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</si>
  <si>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</si>
  <si>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</si>
  <si>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</si>
  <si>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</si>
  <si>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</si>
  <si>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</si>
  <si>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</si>
  <si>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</si>
  <si>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</si>
  <si>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</si>
  <si>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</si>
  <si>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</si>
  <si>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</si>
  <si>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</si>
  <si>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</si>
  <si>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</si>
  <si>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</si>
  <si>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</si>
  <si>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</si>
  <si>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</si>
  <si>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</si>
  <si>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</si>
  <si>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</si>
  <si>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</si>
  <si>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</si>
  <si>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</si>
  <si>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</si>
  <si>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</si>
  <si>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</si>
  <si>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</si>
  <si>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</si>
  <si>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</si>
  <si>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</si>
  <si>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</si>
  <si>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</si>
  <si>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</si>
  <si>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</si>
  <si>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</si>
  <si>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</si>
  <si>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</si>
  <si>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</si>
  <si>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</si>
  <si>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</si>
  <si>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</si>
  <si>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</si>
  <si>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</si>
  <si>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</si>
  <si>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</si>
  <si>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</si>
  <si>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</si>
  <si>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</si>
  <si>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</si>
  <si>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</si>
  <si>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</si>
  <si>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</si>
  <si>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</si>
  <si>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</si>
  <si>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</si>
  <si>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</si>
  <si>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</si>
  <si>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</si>
  <si>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</si>
  <si>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</si>
  <si>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</si>
  <si>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</si>
  <si>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</si>
  <si>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</si>
  <si>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</si>
  <si>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</si>
  <si>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</si>
  <si>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</si>
  <si>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</si>
  <si>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</si>
  <si>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</si>
  <si>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</si>
  <si>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</si>
  <si>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</si>
  <si>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</si>
  <si>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</si>
  <si>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</si>
  <si>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</si>
  <si>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</si>
  <si>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</si>
  <si>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</si>
  <si>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</si>
  <si>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</si>
  <si>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</si>
  <si>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</si>
  <si>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</si>
  <si>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</si>
  <si>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</si>
  <si>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</si>
  <si>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</si>
  <si>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</si>
  <si>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</si>
  <si>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</si>
  <si>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</si>
  <si>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</si>
  <si>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</si>
  <si>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</si>
  <si>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</si>
  <si>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</si>
  <si>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</si>
  <si>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</si>
  <si>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</si>
  <si>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</si>
  <si>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</si>
  <si>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</si>
  <si>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</si>
  <si>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</si>
  <si>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</si>
  <si>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</si>
  <si>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</si>
  <si>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</si>
  <si>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</si>
  <si>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</si>
  <si>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</si>
  <si>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</si>
  <si>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</si>
  <si>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</si>
  <si>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</si>
  <si>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</si>
  <si>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</si>
  <si>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</si>
  <si>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</si>
  <si>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</si>
  <si>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</si>
  <si>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</si>
  <si>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</si>
  <si>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</si>
  <si>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</si>
  <si>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</si>
  <si>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</si>
  <si>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</si>
  <si>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</si>
  <si>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</si>
  <si>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</si>
  <si>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</si>
  <si>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</si>
  <si>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</si>
  <si>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</si>
  <si>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</si>
  <si>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</si>
  <si>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</si>
  <si>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</si>
  <si>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</si>
  <si>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</si>
  <si>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</si>
  <si>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</si>
  <si>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</si>
  <si>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</si>
  <si>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</si>
  <si>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</si>
  <si>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</si>
  <si>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</si>
  <si>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</si>
  <si>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</si>
  <si>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</si>
  <si>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</si>
  <si>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</si>
  <si>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</si>
  <si>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</si>
  <si>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</si>
  <si>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</si>
  <si>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</si>
  <si>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</si>
  <si>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</si>
  <si>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</si>
  <si>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</si>
  <si>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</si>
  <si>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</si>
  <si>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</si>
  <si>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</si>
  <si>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</si>
  <si>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</si>
  <si>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</si>
  <si>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</si>
  <si>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</si>
  <si>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</si>
  <si>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</si>
  <si>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</si>
  <si>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</si>
  <si>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</si>
  <si>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</si>
  <si>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</si>
  <si>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</si>
  <si>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</si>
  <si>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</si>
  <si>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</si>
  <si>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</si>
  <si>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</si>
  <si>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</si>
  <si>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</si>
  <si>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</si>
  <si>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</si>
  <si>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</si>
  <si>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</si>
  <si>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</si>
  <si>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</si>
  <si>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</si>
  <si>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</si>
  <si>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</si>
  <si>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</si>
  <si>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</si>
  <si>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</si>
  <si>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</si>
  <si>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</si>
  <si>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</si>
  <si>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</si>
  <si>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</si>
  <si>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</si>
  <si>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</si>
  <si>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</si>
  <si>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</si>
  <si>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</si>
  <si>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</si>
  <si>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</si>
  <si>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</si>
  <si>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</si>
  <si>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</si>
  <si>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</si>
  <si>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</si>
  <si>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</si>
  <si>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</si>
  <si>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</si>
  <si>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</si>
  <si>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</si>
  <si>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</si>
  <si>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</si>
  <si>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</si>
  <si>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</si>
  <si>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</si>
  <si>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</si>
  <si>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</si>
  <si>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</si>
  <si>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</si>
  <si>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</si>
  <si>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</si>
  <si>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</si>
  <si>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</si>
  <si>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</si>
  <si>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</si>
  <si>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</si>
  <si>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</si>
  <si>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</si>
  <si>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</si>
  <si>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</si>
  <si>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</si>
  <si>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</si>
  <si>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</si>
  <si>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</si>
  <si>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</si>
  <si>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</si>
  <si>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</si>
  <si>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</si>
  <si>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</si>
  <si>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</si>
  <si>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</si>
  <si>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</si>
  <si>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</si>
  <si>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</si>
  <si>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</si>
  <si>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</si>
  <si>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</si>
  <si>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</si>
  <si>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</si>
  <si>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</si>
  <si>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</si>
  <si>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</si>
  <si>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</si>
  <si>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</si>
  <si>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</si>
  <si>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</si>
  <si>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</si>
  <si>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</si>
  <si>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</si>
  <si>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</si>
  <si>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</si>
  <si>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</si>
  <si>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</si>
  <si>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</si>
  <si>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</si>
  <si>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</si>
  <si>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</si>
  <si>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</si>
  <si>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</si>
  <si>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</si>
  <si>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</si>
  <si>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</si>
  <si>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</si>
  <si>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</si>
  <si>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</si>
  <si>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</si>
  <si>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</si>
  <si>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</si>
  <si>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</si>
  <si>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</si>
  <si>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</si>
  <si>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</si>
  <si>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</si>
  <si>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</si>
  <si>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</si>
  <si>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</si>
  <si>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</si>
  <si>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</si>
  <si>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</si>
  <si>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</si>
  <si>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</si>
  <si>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</si>
  <si>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</si>
  <si>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</si>
  <si>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</si>
  <si>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</si>
  <si>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</si>
  <si>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</si>
  <si>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</si>
  <si>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</si>
  <si>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</si>
  <si>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</si>
  <si>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</si>
  <si>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</si>
  <si>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</si>
  <si>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</si>
  <si>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</si>
  <si>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</si>
  <si>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</si>
  <si>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</si>
  <si>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</si>
  <si>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</si>
  <si>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</si>
  <si>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</si>
  <si>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</si>
  <si>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</si>
  <si>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</si>
  <si>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</si>
  <si>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</si>
  <si>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</si>
  <si>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</si>
  <si>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</si>
  <si>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</si>
  <si>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</si>
  <si>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</si>
  <si>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</si>
  <si>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</si>
  <si>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</si>
  <si>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</si>
  <si>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</si>
  <si>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</si>
  <si>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</si>
  <si>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</si>
  <si>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</si>
  <si>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</si>
  <si>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</si>
  <si>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</si>
  <si>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</si>
  <si>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</si>
  <si>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</si>
  <si>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</si>
  <si>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</si>
  <si>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</si>
  <si>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</si>
  <si>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</si>
  <si>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</si>
  <si>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</si>
  <si>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</si>
  <si>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</si>
  <si>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</si>
  <si>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</si>
  <si>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</si>
  <si>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</si>
  <si>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</si>
  <si>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</si>
  <si>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</si>
  <si>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</si>
  <si>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</si>
  <si>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</si>
  <si>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</si>
  <si>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</si>
  <si>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</si>
  <si>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</si>
  <si>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</si>
  <si>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</si>
  <si>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</si>
  <si>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</si>
  <si>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</si>
  <si>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</si>
  <si>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</si>
  <si>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</si>
  <si>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</si>
  <si>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</si>
  <si>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</si>
  <si>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</si>
  <si>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</si>
  <si>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</si>
  <si>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</si>
  <si>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</si>
  <si>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</si>
  <si>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</si>
  <si>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</si>
  <si>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</si>
  <si>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</si>
  <si>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</si>
  <si>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</si>
  <si>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</si>
  <si>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</si>
  <si>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</si>
  <si>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</si>
  <si>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</si>
  <si>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</si>
  <si>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</si>
  <si>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</si>
  <si>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</si>
  <si>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</si>
  <si>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</si>
  <si>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</si>
  <si>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</si>
  <si>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</si>
  <si>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</si>
  <si>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</si>
  <si>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</si>
  <si>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</si>
  <si>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</si>
  <si>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</si>
  <si>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</si>
  <si>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</si>
  <si>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</si>
  <si>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</si>
  <si>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</si>
  <si>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</si>
  <si>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</si>
  <si>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</si>
  <si>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</si>
  <si>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</si>
  <si>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</si>
  <si>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</si>
  <si>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</si>
  <si>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</si>
  <si>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</si>
  <si>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</si>
  <si>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</si>
  <si>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</si>
  <si>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</si>
  <si>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</si>
  <si>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</si>
  <si>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</si>
  <si>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</si>
  <si>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</si>
  <si>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</si>
  <si>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</si>
  <si>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</si>
  <si>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</si>
  <si>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</si>
  <si>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</si>
  <si>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</si>
  <si>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</si>
  <si>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</si>
  <si>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</si>
  <si>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</si>
  <si>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</si>
  <si>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</si>
  <si>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</si>
  <si>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</si>
  <si>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</si>
  <si>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</si>
  <si>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</si>
  <si>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</si>
  <si>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</si>
  <si>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</si>
  <si>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</si>
  <si>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</si>
  <si>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</si>
  <si>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</si>
  <si>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</si>
  <si>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</si>
  <si>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</si>
  <si>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</si>
  <si>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</si>
  <si>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</si>
  <si>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</si>
  <si>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</si>
  <si>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</si>
  <si>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</si>
  <si>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</si>
  <si>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</si>
  <si>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</si>
  <si>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</si>
  <si>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</si>
  <si>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</si>
  <si>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</si>
  <si>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</si>
  <si>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</si>
  <si>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</si>
  <si>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</si>
  <si>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</si>
  <si>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</si>
  <si>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</si>
  <si>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</si>
  <si>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</si>
  <si>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</si>
  <si>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</si>
  <si>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</si>
  <si>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</si>
  <si>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</si>
  <si>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</si>
  <si>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</si>
  <si>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</si>
  <si>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</si>
  <si>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</si>
  <si>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</si>
  <si>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</si>
  <si>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</si>
  <si>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</si>
  <si>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</si>
  <si>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</si>
  <si>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</si>
  <si>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</si>
  <si>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</si>
  <si>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</si>
  <si>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</si>
  <si>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</si>
  <si>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</si>
  <si>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</si>
  <si>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</si>
  <si>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</si>
  <si>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</si>
  <si>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</si>
  <si>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</si>
  <si>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</si>
  <si>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</si>
  <si>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</si>
  <si>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</si>
  <si>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</si>
  <si>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</si>
  <si>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</si>
  <si>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</si>
  <si>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</si>
  <si>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</si>
  <si>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</si>
  <si>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</si>
  <si>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</si>
  <si>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</si>
  <si>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</si>
  <si>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</si>
  <si>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</si>
  <si>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</si>
  <si>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</si>
  <si>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</si>
  <si>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</si>
  <si>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</si>
  <si>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</si>
  <si>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</si>
  <si>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</si>
  <si>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</si>
  <si>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</si>
  <si>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</si>
  <si>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</si>
  <si>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</si>
  <si>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</si>
  <si>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</si>
  <si>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</si>
  <si>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</si>
  <si>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</si>
  <si>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</si>
  <si>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</si>
  <si>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</si>
  <si>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</si>
  <si>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</si>
  <si>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</si>
  <si>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</si>
  <si>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</si>
  <si>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</si>
  <si>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</si>
  <si>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</si>
  <si>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</si>
  <si>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</si>
  <si>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</si>
  <si>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</si>
  <si>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</si>
  <si>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</si>
  <si>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</si>
  <si>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</si>
  <si>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</si>
  <si>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</si>
  <si>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</si>
  <si>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</si>
  <si>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</si>
  <si>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</si>
  <si>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</si>
  <si>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</si>
  <si>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</si>
  <si>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</si>
  <si>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</si>
  <si>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</si>
  <si>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</si>
  <si>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</si>
  <si>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</si>
  <si>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</si>
  <si>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</si>
  <si>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</si>
  <si>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</si>
  <si>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</si>
  <si>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</si>
  <si>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</si>
  <si>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</si>
  <si>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</si>
  <si>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</si>
  <si>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</si>
  <si>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</si>
  <si>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</si>
  <si>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</si>
  <si>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</si>
  <si>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</si>
  <si>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</si>
  <si>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</si>
  <si>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</si>
  <si>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</si>
  <si>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</si>
  <si>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</si>
  <si>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</si>
  <si>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</si>
  <si>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</si>
  <si>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</si>
  <si>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</si>
  <si>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</si>
  <si>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</si>
  <si>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</si>
  <si>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</si>
  <si>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</si>
  <si>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</si>
  <si>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</si>
  <si>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</si>
  <si>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</si>
  <si>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</si>
  <si>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</si>
  <si>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</si>
  <si>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</si>
  <si>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</si>
  <si>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</si>
  <si>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</si>
  <si>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</si>
  <si>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</si>
  <si>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</si>
  <si>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</si>
  <si>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</si>
  <si>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</si>
  <si>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</si>
  <si>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</si>
  <si>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</si>
  <si>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</si>
  <si>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</si>
  <si>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</si>
  <si>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</si>
  <si>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</si>
  <si>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</si>
  <si>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</si>
  <si>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</si>
  <si>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</si>
  <si>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</si>
  <si>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</si>
  <si>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</si>
  <si>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</si>
  <si>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</si>
  <si>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</si>
  <si>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</si>
  <si>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</si>
  <si>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</si>
  <si>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</si>
  <si>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</si>
  <si>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</si>
  <si>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</si>
  <si>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</si>
  <si>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</si>
  <si>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</si>
  <si>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</si>
  <si>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</si>
  <si>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</si>
  <si>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</si>
  <si>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</si>
  <si>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</si>
  <si>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</si>
  <si>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</si>
  <si>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</si>
  <si>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</si>
  <si>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</si>
  <si>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</si>
  <si>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</si>
  <si>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</si>
  <si>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</si>
  <si>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</si>
  <si>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</si>
  <si>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</si>
  <si>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</si>
  <si>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</si>
  <si>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</si>
  <si>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</si>
  <si>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</si>
  <si>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</si>
  <si>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</si>
  <si>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</si>
  <si>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</si>
  <si>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</si>
  <si>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</si>
  <si>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</si>
  <si>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</si>
  <si>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</si>
  <si>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</si>
  <si>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</si>
  <si>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</si>
  <si>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</si>
  <si>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</si>
  <si>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</si>
  <si>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</si>
  <si>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</si>
  <si>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</si>
  <si>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</si>
  <si>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</si>
  <si>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</si>
  <si>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</si>
  <si>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</si>
  <si>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</si>
  <si>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</si>
  <si>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</si>
  <si>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</si>
  <si>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</si>
  <si>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</si>
  <si>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</si>
  <si>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</si>
  <si>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</si>
  <si>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</si>
  <si>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</si>
  <si>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</si>
  <si>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</si>
  <si>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</si>
  <si>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</si>
  <si>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</si>
  <si>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</si>
  <si>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</si>
  <si>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</si>
  <si>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</si>
  <si>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</si>
  <si>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</si>
  <si>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</si>
  <si>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</si>
  <si>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</si>
  <si>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</si>
  <si>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</si>
  <si>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</si>
  <si>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</si>
  <si>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</si>
  <si>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</si>
  <si>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</si>
  <si>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</si>
  <si>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</si>
  <si>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</si>
  <si>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</si>
  <si>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</si>
  <si>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</si>
  <si>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</si>
  <si>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</si>
  <si>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</si>
  <si>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</si>
  <si>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</si>
  <si>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</si>
  <si>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</si>
  <si>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</si>
  <si>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</si>
  <si>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</si>
  <si>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</si>
  <si>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</si>
  <si>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</si>
  <si>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</si>
  <si>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</si>
  <si>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</si>
  <si>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</si>
  <si>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</si>
  <si>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</si>
  <si>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</si>
  <si>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</si>
  <si>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</si>
  <si>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</si>
  <si>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</si>
  <si>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</si>
  <si>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</si>
  <si>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</si>
  <si>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</si>
  <si>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</si>
  <si>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</si>
  <si>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</si>
  <si>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</si>
  <si>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</si>
  <si>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</si>
  <si>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</si>
  <si>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</si>
  <si>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</si>
  <si>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</si>
  <si>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</si>
  <si>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</si>
  <si>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</si>
  <si>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</si>
  <si>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</si>
  <si>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</si>
  <si>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</si>
  <si>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</si>
  <si>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</si>
  <si>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</si>
  <si>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</si>
  <si>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</si>
  <si>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</si>
  <si>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</si>
  <si>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</si>
  <si>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</si>
  <si>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</si>
  <si>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</si>
  <si>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</si>
  <si>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</si>
  <si>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</si>
  <si>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</si>
  <si>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</si>
  <si>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</si>
  <si>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</si>
  <si>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</si>
  <si>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</si>
  <si>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</si>
  <si>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</si>
  <si>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</si>
  <si>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</si>
  <si>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</si>
  <si>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</si>
  <si>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</si>
  <si>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</si>
  <si>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</si>
  <si>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</si>
  <si>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</si>
  <si>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</si>
  <si>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</si>
  <si>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</si>
  <si>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</si>
  <si>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</si>
  <si>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</si>
  <si>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</si>
  <si>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</si>
  <si>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</si>
  <si>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</si>
  <si>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</si>
  <si>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</si>
  <si>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</si>
  <si>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</si>
  <si>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</si>
  <si>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</si>
  <si>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</si>
  <si>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</si>
  <si>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</si>
  <si>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</si>
  <si>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</si>
  <si>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</si>
  <si>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</si>
  <si>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</si>
  <si>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</si>
  <si>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</si>
  <si>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</si>
  <si>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</si>
  <si>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</si>
  <si>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</si>
  <si>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</si>
  <si>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</si>
  <si>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</si>
  <si>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</si>
  <si>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</si>
  <si>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</si>
  <si>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</si>
  <si>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</si>
  <si>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</si>
  <si>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</si>
  <si>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</si>
  <si>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</si>
  <si>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</si>
  <si>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</si>
  <si>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</si>
  <si>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</si>
  <si>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</si>
  <si>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</si>
  <si>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</si>
  <si>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</si>
  <si>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</si>
  <si>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</si>
  <si>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</si>
  <si>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</si>
  <si>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</si>
  <si>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</si>
  <si>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</si>
  <si>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</si>
  <si>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</si>
  <si>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</si>
  <si>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</si>
  <si>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</si>
  <si>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</si>
  <si>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</si>
  <si>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</si>
  <si>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</si>
  <si>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</si>
  <si>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</si>
  <si>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</si>
  <si>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</si>
  <si>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</si>
  <si>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</si>
  <si>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</si>
  <si>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</si>
  <si>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</si>
  <si>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</si>
  <si>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</si>
  <si>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</si>
  <si>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</si>
  <si>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</si>
  <si>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</si>
  <si>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</si>
  <si>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</si>
  <si>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</si>
  <si>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</si>
  <si>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</si>
  <si>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</si>
  <si>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</si>
  <si>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</si>
  <si>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</si>
  <si>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</si>
  <si>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</si>
  <si>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</si>
  <si>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</si>
  <si>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</si>
  <si>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</si>
  <si>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</si>
  <si>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</si>
  <si>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</si>
  <si>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</si>
  <si>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</si>
  <si>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</si>
  <si>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</si>
  <si>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</si>
  <si>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</si>
  <si>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</si>
  <si>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</si>
  <si>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</si>
  <si>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</si>
  <si>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</si>
  <si>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</si>
  <si>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</si>
  <si>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</si>
  <si>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</si>
  <si>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</si>
  <si>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</si>
  <si>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</si>
  <si>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</si>
  <si>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</si>
  <si>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</si>
  <si>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</si>
  <si>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</si>
  <si>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</si>
  <si>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</si>
  <si>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</si>
  <si>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</si>
  <si>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</si>
  <si>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</si>
  <si>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</si>
  <si>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</si>
  <si>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</si>
  <si>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</si>
  <si>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</si>
  <si>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</si>
  <si>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</si>
  <si>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</si>
  <si>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</si>
  <si>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</si>
  <si>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</si>
  <si>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</si>
  <si>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</si>
  <si>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</si>
  <si>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</si>
  <si>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</si>
  <si>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</si>
  <si>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</si>
  <si>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</si>
  <si>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</si>
  <si>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</si>
  <si>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</si>
  <si>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</si>
  <si>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</si>
  <si>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</si>
  <si>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</si>
  <si>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</si>
  <si>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</si>
  <si>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</si>
  <si>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</si>
  <si>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</si>
  <si>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</si>
  <si>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</si>
  <si>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</si>
  <si>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</si>
  <si>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</si>
  <si>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</si>
  <si>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</si>
  <si>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</si>
  <si>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</si>
  <si>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</si>
  <si>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</si>
  <si>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</si>
  <si>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</si>
  <si>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</si>
  <si>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</si>
  <si>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</si>
  <si>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</si>
  <si>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</si>
  <si>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</si>
  <si>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</si>
  <si>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</si>
  <si>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</si>
  <si>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</si>
  <si>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</si>
  <si>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</si>
  <si>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</si>
  <si>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</si>
  <si>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</si>
  <si>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</si>
  <si>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</si>
  <si>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</si>
  <si>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</si>
  <si>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</si>
  <si>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</si>
  <si>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</si>
  <si>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</si>
  <si>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</si>
  <si>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</si>
  <si>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</si>
  <si>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</si>
  <si>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</si>
  <si>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</si>
  <si>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</si>
  <si>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</si>
  <si>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</si>
  <si>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</si>
  <si>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</si>
  <si>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</si>
  <si>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</si>
  <si>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</si>
  <si>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</si>
  <si>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</si>
  <si>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</si>
  <si>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</si>
  <si>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</si>
  <si>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</si>
  <si>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</si>
  <si>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</si>
  <si>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</si>
  <si>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</si>
  <si>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</si>
  <si>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</si>
  <si>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</si>
  <si>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</si>
  <si>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</si>
  <si>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</si>
  <si>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</si>
  <si>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</si>
  <si>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</si>
  <si>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</si>
  <si>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</si>
  <si>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</si>
  <si>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</si>
  <si>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</si>
  <si>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</si>
  <si>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</si>
  <si>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</si>
  <si>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</si>
  <si>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</si>
  <si>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</si>
  <si>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</si>
  <si>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</si>
  <si>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</si>
  <si>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</si>
  <si>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</si>
  <si>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</si>
  <si>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</si>
  <si>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</si>
  <si>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</si>
  <si>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</si>
  <si>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</si>
  <si>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</si>
  <si>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</si>
  <si>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</si>
  <si>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</si>
  <si>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</si>
  <si>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</si>
  <si>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</si>
  <si>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</si>
  <si>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</si>
  <si>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</si>
  <si>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</si>
  <si>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</si>
  <si>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</si>
  <si>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</si>
  <si>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</si>
  <si>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</si>
  <si>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</si>
  <si>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</si>
  <si>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</si>
  <si>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</si>
  <si>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</si>
  <si>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</si>
  <si>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</si>
  <si>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</si>
  <si>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</si>
  <si>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</si>
  <si>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</si>
  <si>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</si>
  <si>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</si>
  <si>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</si>
  <si>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</si>
  <si>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</si>
  <si>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</si>
  <si>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</si>
  <si>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</si>
  <si>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</si>
  <si>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</si>
  <si>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</si>
  <si>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</si>
  <si>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</si>
  <si>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</si>
  <si>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</si>
  <si>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</si>
  <si>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</si>
  <si>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</si>
  <si>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</si>
  <si>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</si>
  <si>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</si>
  <si>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</si>
  <si>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</si>
  <si>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</si>
  <si>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</si>
  <si>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</si>
  <si>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</si>
  <si>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</si>
  <si>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</si>
  <si>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</si>
  <si>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</si>
  <si>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</si>
  <si>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</si>
  <si>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</si>
  <si>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</si>
  <si>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</si>
  <si>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</si>
  <si>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</si>
  <si>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</si>
  <si>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</si>
  <si>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</si>
  <si>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</si>
  <si>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</si>
  <si>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</si>
  <si>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</si>
  <si>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</si>
  <si>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</si>
  <si>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</si>
  <si>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</si>
  <si>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</si>
  <si>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</si>
  <si>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</si>
  <si>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</si>
  <si>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</si>
  <si>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</si>
  <si>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</si>
  <si>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</si>
  <si>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</si>
  <si>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</si>
  <si>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</si>
  <si>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</si>
  <si>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</si>
  <si>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</si>
  <si>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</si>
  <si>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</si>
  <si>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</si>
  <si>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</si>
  <si>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</si>
  <si>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</si>
  <si>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</si>
  <si>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</si>
  <si>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</si>
  <si>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</si>
  <si>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</si>
  <si>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</si>
  <si>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</si>
  <si>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</si>
  <si>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</si>
  <si>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</si>
  <si>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</si>
  <si>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</si>
  <si>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</si>
  <si>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</si>
  <si>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</si>
  <si>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</si>
  <si>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</si>
  <si>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</si>
  <si>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</si>
  <si>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</si>
  <si>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</si>
  <si>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</si>
  <si>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</si>
  <si>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</si>
  <si>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</si>
  <si>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</si>
  <si>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</si>
  <si>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</si>
  <si>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</si>
  <si>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</si>
  <si>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</si>
  <si>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</si>
  <si>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</si>
  <si>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</si>
  <si>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</si>
  <si>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</si>
  <si>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</si>
  <si>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</si>
  <si>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</si>
  <si>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</si>
  <si>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</si>
  <si>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</si>
  <si>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</si>
  <si>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</si>
  <si>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</si>
  <si>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</si>
  <si>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</si>
  <si>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</si>
  <si>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</si>
  <si>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</si>
  <si>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</si>
  <si>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</si>
  <si>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</si>
  <si>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</si>
  <si>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</si>
  <si>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</si>
  <si>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</si>
  <si>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</si>
  <si>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</si>
  <si>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</si>
  <si>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</si>
  <si>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</si>
  <si>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</si>
  <si>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</si>
  <si>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</si>
  <si>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</si>
  <si>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</si>
  <si>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</si>
  <si>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</si>
  <si>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</si>
  <si>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</si>
  <si>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</si>
  <si>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</si>
  <si>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</si>
  <si>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</si>
  <si>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</si>
  <si>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</si>
  <si>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</si>
  <si>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</si>
  <si>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</si>
  <si>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</si>
  <si>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</si>
  <si>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</si>
  <si>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</si>
  <si>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</si>
  <si>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</si>
  <si>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</si>
  <si>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</si>
  <si>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</si>
  <si>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</si>
  <si>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</si>
  <si>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</si>
  <si>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</si>
  <si>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</si>
  <si>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</si>
  <si>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</si>
  <si>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</si>
  <si>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</si>
  <si>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</si>
  <si>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</si>
  <si>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</si>
  <si>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</si>
  <si>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</si>
  <si>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</si>
  <si>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</si>
  <si>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</si>
  <si>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</si>
  <si>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</si>
  <si>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</si>
  <si>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</si>
  <si>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</si>
  <si>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</si>
  <si>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</si>
  <si>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</si>
  <si>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</si>
  <si>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</si>
  <si>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</si>
  <si>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</si>
  <si>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</si>
  <si>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</si>
  <si>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</si>
  <si>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</si>
  <si>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</si>
  <si>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</si>
  <si>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</si>
  <si>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</si>
  <si>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</si>
  <si>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</si>
  <si>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</si>
  <si>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</si>
  <si>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</si>
  <si>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</si>
  <si>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</si>
  <si>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</si>
  <si>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</si>
  <si>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</si>
  <si>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</si>
  <si>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</si>
  <si>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</si>
  <si>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</si>
  <si>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</si>
  <si>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</si>
  <si>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</si>
  <si>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</si>
  <si>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</si>
  <si>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</si>
  <si>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</si>
  <si>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</si>
  <si>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</si>
  <si>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</si>
  <si>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</si>
  <si>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</si>
  <si>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</si>
  <si>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</si>
  <si>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</si>
  <si>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</si>
  <si>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</si>
  <si>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</si>
  <si>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</si>
  <si>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</si>
  <si>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</si>
  <si>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</si>
  <si>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</si>
  <si>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</si>
  <si>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</si>
  <si>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</si>
  <si>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</si>
  <si>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</si>
  <si>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</si>
  <si>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</si>
  <si>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</si>
  <si>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</si>
  <si>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</si>
  <si>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</si>
  <si>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</si>
  <si>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</si>
  <si>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</si>
  <si>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</si>
  <si>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</si>
  <si>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</si>
  <si>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</si>
  <si>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</si>
  <si>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</si>
  <si>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</si>
  <si>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</si>
  <si>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</si>
  <si>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</si>
  <si>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</si>
  <si>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</si>
  <si>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</si>
  <si>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</si>
  <si>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</si>
  <si>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</si>
  <si>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</si>
  <si>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</si>
  <si>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</si>
  <si>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</si>
  <si>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</si>
  <si>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</si>
  <si>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</si>
  <si>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</si>
  <si>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</si>
  <si>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</si>
  <si>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</si>
  <si>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</si>
  <si>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</si>
  <si>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</si>
  <si>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</si>
  <si>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</si>
  <si>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</si>
  <si>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</si>
  <si>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</si>
  <si>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</si>
  <si>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</si>
  <si>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</si>
  <si>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</si>
  <si>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</si>
  <si>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</si>
  <si>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</si>
  <si>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</si>
  <si>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</si>
  <si>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</si>
  <si>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</si>
  <si>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</si>
  <si>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</si>
  <si>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</si>
  <si>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</si>
  <si>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</si>
  <si>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</si>
  <si>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</si>
  <si>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</si>
  <si>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</si>
  <si>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</si>
  <si>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</si>
  <si>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</si>
  <si>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</si>
  <si>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</si>
  <si>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</si>
  <si>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</si>
  <si>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</si>
  <si>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</si>
  <si>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</si>
  <si>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</si>
  <si>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</si>
  <si>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</si>
  <si>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</si>
  <si>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</si>
  <si>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</si>
  <si>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</si>
  <si>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</si>
  <si>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</si>
  <si>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</si>
  <si>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</si>
  <si>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</si>
  <si>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</si>
  <si>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</si>
  <si>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</si>
  <si>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</si>
  <si>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</si>
  <si>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</si>
  <si>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</si>
  <si>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</si>
  <si>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</si>
  <si>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</si>
  <si>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</si>
  <si>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</si>
  <si>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</si>
  <si>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</si>
  <si>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</si>
  <si>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</si>
  <si>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</si>
  <si>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</si>
  <si>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</si>
  <si>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</si>
  <si>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</si>
  <si>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</si>
  <si>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</si>
  <si>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</si>
  <si>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</si>
  <si>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</si>
  <si>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</si>
  <si>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</si>
  <si>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</si>
  <si>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</si>
  <si>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</si>
  <si>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</si>
  <si>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</si>
  <si>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</si>
  <si>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</si>
  <si>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</si>
  <si>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</si>
  <si>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</si>
  <si>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</si>
  <si>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</si>
  <si>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</si>
  <si>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</si>
  <si>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</si>
  <si>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</si>
  <si>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</si>
  <si>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</si>
  <si>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</si>
  <si>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</si>
  <si>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</si>
  <si>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</si>
  <si>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</si>
  <si>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</si>
  <si>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</si>
  <si>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</si>
  <si>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</si>
  <si>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</si>
  <si>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</si>
  <si>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</si>
  <si>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</si>
  <si>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</si>
  <si>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</si>
  <si>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</si>
  <si>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</si>
  <si>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</si>
  <si>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</si>
  <si>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</si>
  <si>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</si>
  <si>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</si>
  <si>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</si>
  <si>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</si>
  <si>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</si>
  <si>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</si>
  <si>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</si>
  <si>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</si>
  <si>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</si>
  <si>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</si>
  <si>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</si>
  <si>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</si>
  <si>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</si>
  <si>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</si>
  <si>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</si>
  <si>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</si>
  <si>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</si>
  <si>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</si>
  <si>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</si>
  <si>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</si>
  <si>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</si>
  <si>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</si>
  <si>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</si>
  <si>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</si>
  <si>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</si>
  <si>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</si>
  <si>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</si>
  <si>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</si>
  <si>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</si>
  <si>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</si>
  <si>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</si>
  <si>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</si>
  <si>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</si>
  <si>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</si>
  <si>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</si>
  <si>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</si>
  <si>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</si>
  <si>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</si>
  <si>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</si>
  <si>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</si>
  <si>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</si>
  <si>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</si>
  <si>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</si>
  <si>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</si>
  <si>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</si>
  <si>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</si>
  <si>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</si>
  <si>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</si>
  <si>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</si>
  <si>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</si>
  <si>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</si>
  <si>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</si>
  <si>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</si>
  <si>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</si>
  <si>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</si>
  <si>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</si>
  <si>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</si>
  <si>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</si>
  <si>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</si>
  <si>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</si>
  <si>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</si>
  <si>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</si>
  <si>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</si>
  <si>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</si>
  <si>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</si>
  <si>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</si>
  <si>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</si>
  <si>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</si>
  <si>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</si>
  <si>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</si>
  <si>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</si>
  <si>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</si>
  <si>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</si>
  <si>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</si>
  <si>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</si>
  <si>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</si>
  <si>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</si>
  <si>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</si>
  <si>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</si>
  <si>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</si>
  <si>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</si>
  <si>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</si>
  <si>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</si>
  <si>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</si>
  <si>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</si>
  <si>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</si>
  <si>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</si>
  <si>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</si>
  <si>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</si>
  <si>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</si>
  <si>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</si>
  <si>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</si>
  <si>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</si>
  <si>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</si>
  <si>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</si>
  <si>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</si>
  <si>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</si>
  <si>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</si>
  <si>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</si>
  <si>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</si>
  <si>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</si>
  <si>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</si>
  <si>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</si>
  <si>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</si>
  <si>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</si>
  <si>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</si>
  <si>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</si>
  <si>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</si>
  <si>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</si>
  <si>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</si>
  <si>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</si>
  <si>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</si>
  <si>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</si>
  <si>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</si>
  <si>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</si>
  <si>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</si>
  <si>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</si>
  <si>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</si>
  <si>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</si>
  <si>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</si>
  <si>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</si>
  <si>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</si>
  <si>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</si>
  <si>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</si>
  <si>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</si>
  <si>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</si>
  <si>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</si>
  <si>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</si>
  <si>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</si>
  <si>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</si>
  <si>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</si>
  <si>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</si>
  <si>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</si>
  <si>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</si>
  <si>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</si>
  <si>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</si>
  <si>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</si>
  <si>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</si>
  <si>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</si>
  <si>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</si>
  <si>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</si>
  <si>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</si>
  <si>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</si>
  <si>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</si>
  <si>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</si>
  <si>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</si>
  <si>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</si>
  <si>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</si>
  <si>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</si>
  <si>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</si>
  <si>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</si>
  <si>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</si>
  <si>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</si>
  <si>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</si>
  <si>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</si>
  <si>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</si>
  <si>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</si>
  <si>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</si>
  <si>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</si>
  <si>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</si>
  <si>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</si>
  <si>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</si>
  <si>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</si>
  <si>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</si>
  <si>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</si>
  <si>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</si>
  <si>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</si>
  <si>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</si>
  <si>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</si>
  <si>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</si>
  <si>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</si>
  <si>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</si>
  <si>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</si>
  <si>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</si>
  <si>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</si>
  <si>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</si>
  <si>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</si>
  <si>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</si>
  <si>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</si>
  <si>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</si>
  <si>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</si>
  <si>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</si>
  <si>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</si>
  <si>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</si>
  <si>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</si>
  <si>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</si>
  <si>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</si>
  <si>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</si>
  <si>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</si>
  <si>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</si>
  <si>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</si>
  <si>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</si>
  <si>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</si>
  <si>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</si>
  <si>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</si>
  <si>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</si>
  <si>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</si>
  <si>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</si>
  <si>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</si>
  <si>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</si>
  <si>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</si>
  <si>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</si>
  <si>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</si>
  <si>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</si>
  <si>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</si>
  <si>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</si>
  <si>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</si>
  <si>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</si>
  <si>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</si>
  <si>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</si>
  <si>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</si>
  <si>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</si>
  <si>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</si>
  <si>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</si>
  <si>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</si>
  <si>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</si>
  <si>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</si>
  <si>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</si>
  <si>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</si>
  <si>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</si>
  <si>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</si>
  <si>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</si>
  <si>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</si>
  <si>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</si>
  <si>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</si>
  <si>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</si>
  <si>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</si>
  <si>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</si>
  <si>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</si>
  <si>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</si>
  <si>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</si>
  <si>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</si>
  <si>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</si>
  <si>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</si>
  <si>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</si>
  <si>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</si>
  <si>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</si>
  <si>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</si>
  <si>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</si>
  <si>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</si>
  <si>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</si>
  <si>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</si>
  <si>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</si>
  <si>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</si>
  <si>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</si>
  <si>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</si>
  <si>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</si>
  <si>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</si>
  <si>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</si>
  <si>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</si>
  <si>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</si>
  <si>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</si>
  <si>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</si>
  <si>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</si>
  <si>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</si>
  <si>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</si>
  <si>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</si>
  <si>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</si>
  <si>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</si>
  <si>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</si>
  <si>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</si>
  <si>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</si>
  <si>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</si>
  <si>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</si>
  <si>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</si>
  <si>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</si>
  <si>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</si>
  <si>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</si>
  <si>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</si>
  <si>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</si>
  <si>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</si>
  <si>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</si>
  <si>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</si>
  <si>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</si>
  <si>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</si>
  <si>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</si>
  <si>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</si>
  <si>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</si>
  <si>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</si>
  <si>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</si>
  <si>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</si>
  <si>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</si>
  <si>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</si>
  <si>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</si>
  <si>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</si>
  <si>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</si>
  <si>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</si>
  <si>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</si>
  <si>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</si>
  <si>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</si>
  <si>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</si>
  <si>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</si>
  <si>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</si>
  <si>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</si>
  <si>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</si>
  <si>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</si>
  <si>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</si>
  <si>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</si>
  <si>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</si>
  <si>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</si>
  <si>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</si>
  <si>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</si>
  <si>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</si>
  <si>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</si>
  <si>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</si>
  <si>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</si>
  <si>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</si>
  <si>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</si>
  <si>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</si>
  <si>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</si>
  <si>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</si>
  <si>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</si>
  <si>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</si>
  <si>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</si>
  <si>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</si>
  <si>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</si>
  <si>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</si>
  <si>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</si>
  <si>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</si>
  <si>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</si>
  <si>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</si>
  <si>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</si>
  <si>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</si>
  <si>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</si>
  <si>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</si>
  <si>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</si>
  <si>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</si>
  <si>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</si>
  <si>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</si>
  <si>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</si>
  <si>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</si>
  <si>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</si>
  <si>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</si>
  <si>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</si>
  <si>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</si>
  <si>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</si>
  <si>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</si>
  <si>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</si>
  <si>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</si>
  <si>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</si>
  <si>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</si>
  <si>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</si>
  <si>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</si>
  <si>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</si>
  <si>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</si>
  <si>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</si>
  <si>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</si>
  <si>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</si>
  <si>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</si>
  <si>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</si>
  <si>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</si>
  <si>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</si>
  <si>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</si>
  <si>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</si>
  <si>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</si>
  <si>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</si>
  <si>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</si>
  <si>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</si>
  <si>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</si>
  <si>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</si>
  <si>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</si>
  <si>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</si>
  <si>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</si>
  <si>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</si>
  <si>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</si>
  <si>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</si>
  <si>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</si>
  <si>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</si>
  <si>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</si>
  <si>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</si>
  <si>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</si>
  <si>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</si>
  <si>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</si>
  <si>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</si>
  <si>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</si>
  <si>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</si>
  <si>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</si>
  <si>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</si>
  <si>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</si>
  <si>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</si>
  <si>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</si>
  <si>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</si>
  <si>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</si>
  <si>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</si>
  <si>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</si>
  <si>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</si>
  <si>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</si>
  <si>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</si>
  <si>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</si>
  <si>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</si>
  <si>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</si>
  <si>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</si>
  <si>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</si>
  <si>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</si>
  <si>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</si>
  <si>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</si>
  <si>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</si>
  <si>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</si>
  <si>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</si>
  <si>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</si>
  <si>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</si>
  <si>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</si>
  <si>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</si>
  <si>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</si>
  <si>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</si>
  <si>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</si>
  <si>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</si>
  <si>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</si>
  <si>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</si>
  <si>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</si>
  <si>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</si>
  <si>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</si>
  <si>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</si>
  <si>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</si>
  <si>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</si>
  <si>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</si>
  <si>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</si>
  <si>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</si>
  <si>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</si>
  <si>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</si>
  <si>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</si>
  <si>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</si>
  <si>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</si>
  <si>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</si>
  <si>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</si>
  <si>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</si>
  <si>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</si>
  <si>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</si>
  <si>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</si>
  <si>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</si>
  <si>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</si>
  <si>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</si>
  <si>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</si>
  <si>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</si>
  <si>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</si>
  <si>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</si>
  <si>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</si>
  <si>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</si>
  <si>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</si>
  <si>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</si>
  <si>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</si>
  <si>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</si>
  <si>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</si>
  <si>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</si>
  <si>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</si>
  <si>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</si>
  <si>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</si>
  <si>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</si>
  <si>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</si>
  <si>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</si>
  <si>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</si>
  <si>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</si>
  <si>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</si>
  <si>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</si>
  <si>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</si>
  <si>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</si>
  <si>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</si>
  <si>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</si>
  <si>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</si>
  <si>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</si>
  <si>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</si>
  <si>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</si>
  <si>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</si>
  <si>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</si>
  <si>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</si>
  <si>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</si>
  <si>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</si>
  <si>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</si>
  <si>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</si>
  <si>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</si>
  <si>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</si>
  <si>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</si>
  <si>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</si>
  <si>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</si>
  <si>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</si>
  <si>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</si>
  <si>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</si>
  <si>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</si>
  <si>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</si>
  <si>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</si>
  <si>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</si>
  <si>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</si>
  <si>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</si>
  <si>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</si>
  <si>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</si>
  <si>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</si>
  <si>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</si>
  <si>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</si>
  <si>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</si>
  <si>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</si>
  <si>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</si>
  <si>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</si>
  <si>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</si>
  <si>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</si>
  <si>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</si>
  <si>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</si>
  <si>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</si>
  <si>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</si>
  <si>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</si>
  <si>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</si>
  <si>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</si>
  <si>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</si>
  <si>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</si>
  <si>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</si>
  <si>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</si>
  <si>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</si>
  <si>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</si>
  <si>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</si>
  <si>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</si>
  <si>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</si>
  <si>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</si>
  <si>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</si>
  <si>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</si>
  <si>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</si>
  <si>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</si>
  <si>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</si>
  <si>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</si>
  <si>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</si>
  <si>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</si>
  <si>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</si>
  <si>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</si>
  <si>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</si>
  <si>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</si>
  <si>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</si>
  <si>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</si>
  <si>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</si>
  <si>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</si>
  <si>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</si>
  <si>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</si>
  <si>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</si>
  <si>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</si>
  <si>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</si>
  <si>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</si>
  <si>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</si>
  <si>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</si>
  <si>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</si>
  <si>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</si>
  <si>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</si>
  <si>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</si>
  <si>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</si>
  <si>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</si>
  <si>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</si>
  <si>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</si>
  <si>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</si>
  <si>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</si>
  <si>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</si>
  <si>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</si>
  <si>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</si>
  <si>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</si>
  <si>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</si>
  <si>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</si>
  <si>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</si>
  <si>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</si>
  <si>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</si>
  <si>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</si>
  <si>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</si>
  <si>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</si>
  <si>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</si>
  <si>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</si>
  <si>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</si>
  <si>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</si>
  <si>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</si>
  <si>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</si>
  <si>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</si>
  <si>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</si>
  <si>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</si>
  <si>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</si>
  <si>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</si>
  <si>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</si>
  <si>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</si>
  <si>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</si>
  <si>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</si>
  <si>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</si>
  <si>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</si>
  <si>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</si>
  <si>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</si>
  <si>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</si>
  <si>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</si>
  <si>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</si>
  <si>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</si>
  <si>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</si>
  <si>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</si>
  <si>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</si>
  <si>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</si>
  <si>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</si>
  <si>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</si>
  <si>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</si>
  <si>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</si>
  <si>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</si>
  <si>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</si>
  <si>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</si>
  <si>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</si>
  <si>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</si>
  <si>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</si>
  <si>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</si>
  <si>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</si>
  <si>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</si>
  <si>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</si>
  <si>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</si>
  <si>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</si>
  <si>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</si>
  <si>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</si>
  <si>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</si>
  <si>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</si>
  <si>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</si>
  <si>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</si>
  <si>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</si>
  <si>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</si>
  <si>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</si>
  <si>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</si>
  <si>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</si>
  <si>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</si>
  <si>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</si>
  <si>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</si>
  <si>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</si>
  <si>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</si>
  <si>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</si>
  <si>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</si>
  <si>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</si>
  <si>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</si>
  <si>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</si>
  <si>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</si>
  <si>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</si>
  <si>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</si>
  <si>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</si>
  <si>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</si>
  <si>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</si>
  <si>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</si>
  <si>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</si>
  <si>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</si>
  <si>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</si>
  <si>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</si>
  <si>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</si>
  <si>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</si>
  <si>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</si>
  <si>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</si>
  <si>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</si>
  <si>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</si>
  <si>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</si>
  <si>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</si>
  <si>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</si>
  <si>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</si>
  <si>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</si>
  <si>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</si>
  <si>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</si>
  <si>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</si>
  <si>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</si>
  <si>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</si>
  <si>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</si>
  <si>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</si>
  <si>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</si>
  <si>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</si>
  <si>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</si>
  <si>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</si>
  <si>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</si>
  <si>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</si>
  <si>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</si>
  <si>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</si>
  <si>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</si>
  <si>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</si>
  <si>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</si>
  <si>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</si>
  <si>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</si>
  <si>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</si>
  <si>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</si>
  <si>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</si>
  <si>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</si>
  <si>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</si>
  <si>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</si>
  <si>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</si>
  <si>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</si>
  <si>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</si>
  <si>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</si>
  <si>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</si>
  <si>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</si>
  <si>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</si>
  <si>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</si>
  <si>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</si>
  <si>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</si>
  <si>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</si>
  <si>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</si>
  <si>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</si>
  <si>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</si>
  <si>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</si>
  <si>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</si>
  <si>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</si>
  <si>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</si>
  <si>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</si>
  <si>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</si>
  <si>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</si>
  <si>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</si>
  <si>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</si>
  <si>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</si>
  <si>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</si>
  <si>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</si>
  <si>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</si>
  <si>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</si>
  <si>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</si>
  <si>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</si>
  <si>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</si>
  <si>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</si>
  <si>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</si>
  <si>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</si>
  <si>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</si>
  <si>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</si>
  <si>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</si>
  <si>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</si>
  <si>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</si>
  <si>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</si>
  <si>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</si>
  <si>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</si>
  <si>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</si>
  <si>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</si>
  <si>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</si>
  <si>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</si>
  <si>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</si>
  <si>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</si>
  <si>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</si>
  <si>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</si>
  <si>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</si>
  <si>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</si>
  <si>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</si>
  <si>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</si>
  <si>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</si>
  <si>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</si>
  <si>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</si>
  <si>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</si>
  <si>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</si>
  <si>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</si>
  <si>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</si>
  <si>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</si>
  <si>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</si>
  <si>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</si>
  <si>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</si>
  <si>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</si>
  <si>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</si>
  <si>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</si>
  <si>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</si>
  <si>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</si>
  <si>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</si>
  <si>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</si>
  <si>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</si>
  <si>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</si>
  <si>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</si>
  <si>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</si>
  <si>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</si>
  <si>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</si>
  <si>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</si>
  <si>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</si>
  <si>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</si>
  <si>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</si>
  <si>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</si>
  <si>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</si>
  <si>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</si>
  <si>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</si>
  <si>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</si>
  <si>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</si>
  <si>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</si>
  <si>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</si>
  <si>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</si>
  <si>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</si>
  <si>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</si>
  <si>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</si>
  <si>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</si>
  <si>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</si>
  <si>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</si>
  <si>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</si>
  <si>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</si>
  <si>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</si>
  <si>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</si>
  <si>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</si>
  <si>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</si>
  <si>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</si>
  <si>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</si>
  <si>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</si>
  <si>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</si>
  <si>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</si>
  <si>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</si>
  <si>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</si>
  <si>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</si>
  <si>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</si>
  <si>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</si>
  <si>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</si>
  <si>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</si>
  <si>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</si>
  <si>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</si>
  <si>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</si>
  <si>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</si>
  <si>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</si>
  <si>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</si>
  <si>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</si>
  <si>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</si>
  <si>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</si>
  <si>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</si>
  <si>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</si>
  <si>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</si>
  <si>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</si>
  <si>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</si>
  <si>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</si>
  <si>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</si>
  <si>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</si>
  <si>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</si>
  <si>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</si>
  <si>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</si>
  <si>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</si>
  <si>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</si>
  <si>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</si>
  <si>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</si>
  <si>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</si>
  <si>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</si>
  <si>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</si>
  <si>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</si>
  <si>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</si>
  <si>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</si>
  <si>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</si>
  <si>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</si>
  <si>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</si>
  <si>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</si>
  <si>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</si>
  <si>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</si>
  <si>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</si>
  <si>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</si>
  <si>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</si>
  <si>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</si>
  <si>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</si>
  <si>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</si>
  <si>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</si>
  <si>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</si>
  <si>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</si>
  <si>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</si>
  <si>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</si>
  <si>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</si>
  <si>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</si>
  <si>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</si>
  <si>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</si>
  <si>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</si>
  <si>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</si>
  <si>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</si>
  <si>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</si>
  <si>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</si>
  <si>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</si>
  <si>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</si>
  <si>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</si>
  <si>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</si>
  <si>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</si>
  <si>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</si>
  <si>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</si>
  <si>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</si>
  <si>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</si>
  <si>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</si>
  <si>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</si>
  <si>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</si>
  <si>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</si>
  <si>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</si>
  <si>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</si>
  <si>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</si>
  <si>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</si>
  <si>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</si>
  <si>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</si>
  <si>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</si>
  <si>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</si>
  <si>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</si>
  <si>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</si>
  <si>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</si>
  <si>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</si>
  <si>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</si>
  <si>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</si>
  <si>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</si>
  <si>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</si>
  <si>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</si>
  <si>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</si>
  <si>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</si>
  <si>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</si>
  <si>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</si>
  <si>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</si>
  <si>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</si>
  <si>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</si>
  <si>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</si>
  <si>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</si>
  <si>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</si>
  <si>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</si>
  <si>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</si>
  <si>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</si>
  <si>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</si>
  <si>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</si>
  <si>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</si>
  <si>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</si>
  <si>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</si>
  <si>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</si>
  <si>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</si>
  <si>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</si>
  <si>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</si>
  <si>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</si>
  <si>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</si>
  <si>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</si>
  <si>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</si>
  <si>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</si>
  <si>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</si>
  <si>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</si>
  <si>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</si>
  <si>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</si>
  <si>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</si>
  <si>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</si>
  <si>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</si>
  <si>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</si>
  <si>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</si>
  <si>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</si>
  <si>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</si>
  <si>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</si>
  <si>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</si>
  <si>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</si>
  <si>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</si>
  <si>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</si>
  <si>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</si>
  <si>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</si>
  <si>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</si>
  <si>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</si>
  <si>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</si>
  <si>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</si>
  <si>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</si>
  <si>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</si>
  <si>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</si>
  <si>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</si>
  <si>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</si>
  <si>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</si>
  <si>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</si>
  <si>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</si>
  <si>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</si>
  <si>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</si>
  <si>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</si>
  <si>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</si>
  <si>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</si>
  <si>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</si>
  <si>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</si>
  <si>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</si>
  <si>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</si>
  <si>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</si>
  <si>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</si>
  <si>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</si>
  <si>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</si>
  <si>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</si>
  <si>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</si>
  <si>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</si>
  <si>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</si>
  <si>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</si>
  <si>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</si>
  <si>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</si>
  <si>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</si>
  <si>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</si>
  <si>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</si>
  <si>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</si>
  <si>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</si>
  <si>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</si>
  <si>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</si>
  <si>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</si>
  <si>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</si>
  <si>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</si>
  <si>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</si>
  <si>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</si>
  <si>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</si>
  <si>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</si>
  <si>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</si>
  <si>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</si>
  <si>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</si>
  <si>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</si>
  <si>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</si>
  <si>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</si>
  <si>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</si>
  <si>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</si>
  <si>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</si>
  <si>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</si>
  <si>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</si>
  <si>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</si>
  <si>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</si>
  <si>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</si>
  <si>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</si>
  <si>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</si>
  <si>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</si>
  <si>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</si>
  <si>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</si>
  <si>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</si>
  <si>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</si>
  <si>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</si>
  <si>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</si>
  <si>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</si>
  <si>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</si>
  <si>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</si>
  <si>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</si>
  <si>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</si>
  <si>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</si>
  <si>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</si>
  <si>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</si>
  <si>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</si>
  <si>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</si>
  <si>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</si>
  <si>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</si>
  <si>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</si>
  <si>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</si>
  <si>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</si>
  <si>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</si>
  <si>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</si>
  <si>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</si>
  <si>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</si>
  <si>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</si>
  <si>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</si>
  <si>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</si>
  <si>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</si>
  <si>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</si>
  <si>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</si>
  <si>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</si>
  <si>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</si>
  <si>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</si>
  <si>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</si>
  <si>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</si>
  <si>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</si>
  <si>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</si>
  <si>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</si>
  <si>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</si>
  <si>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</si>
  <si>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</si>
  <si>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</si>
  <si>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</si>
  <si>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</si>
  <si>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</si>
  <si>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</si>
  <si>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</si>
  <si>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</si>
  <si>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</si>
  <si>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</si>
  <si>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</si>
  <si>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</si>
  <si>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</si>
  <si>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</si>
  <si>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</si>
  <si>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</si>
  <si>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</si>
  <si>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</si>
  <si>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</si>
  <si>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</si>
  <si>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</si>
  <si>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</si>
  <si>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</si>
  <si>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</si>
  <si>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</si>
  <si>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</si>
  <si>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</si>
  <si>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</si>
  <si>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</si>
  <si>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</si>
  <si>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</si>
  <si>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</si>
  <si>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</si>
  <si>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</si>
  <si>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</si>
  <si>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</si>
  <si>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</si>
  <si>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</si>
  <si>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</si>
  <si>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</si>
  <si>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</si>
  <si>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</si>
  <si>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</si>
  <si>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</si>
  <si>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</si>
  <si>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</si>
  <si>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</si>
  <si>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</si>
  <si>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</si>
  <si>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</si>
  <si>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</si>
  <si>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</si>
  <si>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</si>
  <si>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</si>
  <si>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</si>
  <si>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</si>
  <si>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</si>
  <si>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</si>
  <si>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</si>
  <si>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</si>
  <si>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</si>
  <si>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</si>
  <si>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</si>
  <si>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</si>
  <si>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</si>
  <si>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</si>
  <si>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</si>
  <si>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</si>
  <si>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</si>
  <si>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</si>
  <si>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</si>
  <si>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</si>
  <si>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</si>
  <si>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</si>
  <si>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</si>
  <si>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</si>
  <si>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</si>
  <si>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</si>
  <si>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</si>
  <si>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</si>
  <si>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</si>
  <si>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</si>
  <si>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</si>
  <si>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</si>
  <si>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</si>
  <si>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</si>
  <si>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</si>
  <si>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</si>
  <si>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</si>
  <si>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</si>
  <si>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</si>
  <si>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</si>
  <si>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</si>
  <si>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</si>
  <si>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</si>
  <si>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</si>
  <si>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</si>
  <si>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</si>
  <si>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</si>
  <si>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</si>
  <si>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</si>
  <si>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</si>
  <si>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</si>
  <si>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</si>
  <si>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</si>
  <si>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</si>
  <si>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</si>
  <si>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</si>
  <si>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</si>
  <si>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</si>
  <si>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</si>
  <si>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</si>
  <si>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</si>
  <si>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</si>
  <si>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</si>
  <si>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</si>
  <si>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</si>
  <si>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</si>
  <si>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</si>
  <si>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</si>
  <si>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</si>
  <si>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</si>
  <si>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</si>
  <si>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</si>
  <si>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</si>
  <si>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</si>
  <si>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</si>
  <si>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</si>
  <si>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</si>
  <si>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</si>
  <si>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</si>
  <si>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</si>
  <si>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</si>
  <si>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</si>
  <si>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</si>
  <si>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</si>
  <si>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</si>
  <si>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</si>
  <si>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</si>
  <si>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</si>
  <si>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</si>
  <si>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</si>
  <si>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</si>
  <si>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</si>
  <si>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</si>
  <si>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</si>
  <si>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</si>
  <si>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</si>
  <si>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</si>
  <si>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</si>
  <si>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</si>
  <si>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</si>
  <si>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</si>
  <si>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</si>
  <si>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</si>
  <si>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</si>
  <si>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</si>
  <si>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</si>
  <si>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</si>
  <si>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</si>
  <si>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</si>
  <si>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</si>
  <si>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</si>
  <si>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</si>
  <si>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</si>
  <si>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</si>
  <si>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</si>
  <si>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</si>
  <si>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</si>
  <si>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</si>
  <si>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</si>
  <si>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</si>
  <si>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</si>
  <si>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</si>
  <si>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</si>
  <si>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</si>
  <si>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</si>
  <si>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</si>
  <si>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</si>
  <si>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</si>
  <si>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</si>
  <si>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</si>
  <si>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</si>
  <si>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</si>
  <si>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</si>
  <si>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</si>
  <si>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</si>
  <si>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</si>
  <si>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</si>
  <si>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</si>
  <si>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</si>
  <si>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</si>
  <si>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</si>
  <si>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</si>
  <si>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</si>
  <si>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</si>
  <si>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</si>
  <si>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</si>
  <si>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</si>
  <si>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</si>
  <si>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</si>
  <si>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</si>
  <si>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</si>
  <si>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</si>
  <si>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</si>
  <si>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</si>
  <si>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</si>
  <si>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</si>
  <si>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</si>
  <si>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</si>
  <si>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</si>
  <si>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</si>
  <si>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</si>
  <si>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</si>
  <si>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</si>
  <si>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</si>
  <si>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</si>
  <si>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</si>
  <si>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</si>
  <si>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</si>
  <si>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</si>
  <si>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</si>
  <si>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</si>
  <si>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</si>
  <si>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</si>
  <si>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</si>
  <si>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</si>
  <si>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</si>
  <si>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</si>
  <si>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</si>
  <si>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</si>
  <si>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</si>
  <si>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</si>
  <si>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</si>
  <si>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</si>
  <si>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</si>
  <si>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</si>
  <si>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</si>
  <si>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</si>
  <si>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</si>
  <si>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</si>
  <si>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</si>
  <si>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</si>
  <si>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</si>
  <si>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</si>
  <si>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</si>
  <si>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</si>
  <si>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</si>
  <si>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</si>
  <si>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</si>
  <si>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</si>
  <si>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</si>
  <si>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</si>
  <si>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</si>
  <si>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</si>
  <si>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</si>
  <si>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</si>
  <si>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</si>
  <si>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</si>
  <si>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</si>
  <si>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</si>
  <si>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</si>
  <si>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</si>
  <si>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</si>
  <si>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</si>
  <si>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</si>
  <si>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</si>
  <si>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</si>
  <si>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</si>
  <si>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</si>
  <si>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</si>
  <si>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</si>
  <si>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</si>
  <si>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</si>
  <si>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</si>
  <si>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</si>
  <si>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</si>
  <si>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</si>
  <si>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</si>
  <si>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</si>
  <si>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</si>
  <si>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</si>
  <si>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</si>
  <si>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</si>
  <si>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</si>
  <si>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</si>
  <si>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</si>
  <si>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</si>
  <si>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</si>
  <si>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</si>
  <si>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</si>
  <si>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</si>
  <si>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</si>
  <si>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</si>
  <si>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</si>
  <si>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</si>
  <si>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</si>
  <si>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</si>
  <si>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</si>
  <si>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</si>
  <si>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</si>
  <si>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</si>
  <si>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</si>
  <si>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</si>
  <si>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</si>
  <si>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</si>
  <si>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</si>
  <si>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</si>
  <si>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</si>
  <si>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</si>
  <si>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</si>
  <si>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</si>
  <si>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</si>
  <si>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</si>
  <si>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</si>
  <si>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</si>
  <si>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</si>
  <si>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</si>
  <si>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</si>
  <si>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</si>
  <si>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</si>
  <si>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</si>
  <si>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</si>
  <si>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</si>
  <si>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</si>
  <si>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</si>
  <si>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</si>
  <si>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</si>
  <si>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</si>
  <si>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</si>
  <si>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</si>
  <si>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</si>
  <si>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</si>
  <si>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</si>
  <si>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</si>
  <si>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</si>
  <si>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</si>
  <si>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</si>
  <si>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</si>
  <si>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</si>
  <si>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</si>
  <si>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</si>
  <si>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</si>
  <si>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</si>
  <si>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</si>
  <si>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</si>
  <si>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</si>
  <si>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</si>
  <si>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</si>
  <si>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</si>
  <si>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</si>
  <si>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</si>
  <si>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</si>
  <si>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</si>
  <si>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</si>
  <si>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</si>
  <si>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</si>
  <si>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</si>
  <si>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</si>
  <si>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</si>
  <si>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</si>
  <si>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</si>
  <si>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</si>
  <si>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</si>
  <si>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</si>
  <si>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</si>
  <si>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</si>
  <si>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</si>
  <si>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</si>
  <si>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</si>
  <si>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</si>
  <si>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</si>
  <si>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</si>
  <si>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</si>
  <si>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</si>
  <si>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</si>
  <si>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</si>
  <si>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</si>
  <si>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</si>
  <si>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</si>
  <si>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</si>
  <si>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</si>
  <si>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</si>
  <si>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</si>
  <si>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</si>
  <si>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</si>
  <si>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</si>
  <si>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</si>
  <si>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</si>
  <si>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</si>
  <si>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</si>
  <si>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</si>
  <si>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</si>
  <si>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</si>
  <si>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</si>
  <si>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</si>
  <si>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</si>
  <si>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</si>
  <si>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</si>
  <si>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</si>
  <si>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</si>
  <si>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</si>
  <si>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</si>
  <si>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</si>
  <si>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</si>
  <si>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</si>
  <si>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</si>
  <si>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</si>
  <si>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</si>
  <si>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</si>
  <si>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</si>
  <si>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</si>
  <si>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</si>
  <si>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</si>
  <si>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</si>
  <si>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</si>
  <si>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</si>
  <si>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</si>
  <si>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</si>
  <si>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</si>
  <si>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</si>
  <si>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</si>
  <si>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</si>
  <si>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</si>
  <si>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</si>
  <si>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</si>
  <si>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</si>
  <si>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</si>
  <si>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</si>
  <si>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</si>
  <si>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</si>
  <si>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</si>
  <si>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</si>
  <si>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</si>
  <si>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</si>
  <si>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</si>
  <si>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</si>
  <si>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</si>
  <si>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</si>
  <si>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</si>
  <si>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</si>
  <si>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</si>
  <si>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</si>
  <si>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</si>
  <si>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</si>
  <si>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</si>
  <si>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</si>
  <si>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</si>
  <si>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</si>
  <si>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</si>
  <si>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</si>
  <si>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</si>
  <si>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</si>
  <si>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</si>
  <si>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</si>
  <si>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</si>
  <si>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</si>
  <si>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</si>
  <si>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</si>
  <si>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</si>
  <si>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</si>
  <si>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</si>
  <si>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</si>
  <si>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</si>
  <si>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</si>
  <si>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</si>
  <si>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</si>
  <si>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</si>
  <si>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</si>
  <si>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</si>
  <si>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</si>
  <si>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</si>
  <si>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</si>
  <si>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</si>
  <si>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</si>
  <si>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</si>
  <si>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</si>
  <si>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</si>
  <si>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</si>
  <si>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</si>
  <si>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</si>
  <si>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</si>
  <si>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</si>
  <si>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</si>
  <si>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</si>
  <si>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</si>
  <si>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</si>
  <si>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</si>
  <si>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</si>
  <si>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</si>
  <si>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</si>
  <si>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</si>
  <si>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</si>
  <si>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</si>
  <si>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</si>
  <si>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</si>
  <si>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</si>
  <si>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</si>
  <si>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</si>
  <si>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</si>
  <si>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</si>
  <si>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</si>
  <si>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</si>
  <si>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</si>
  <si>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</si>
  <si>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</si>
  <si>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</si>
  <si>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</si>
  <si>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</si>
  <si>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</si>
  <si>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</si>
  <si>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</si>
  <si>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</si>
  <si>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</si>
  <si>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</si>
  <si>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</si>
  <si>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</si>
  <si>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</si>
  <si>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</si>
  <si>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</si>
  <si>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</si>
  <si>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</si>
  <si>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</si>
  <si>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</si>
  <si>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</si>
  <si>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</si>
  <si>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</si>
  <si>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</si>
  <si>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</si>
  <si>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</si>
  <si>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</si>
  <si>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</si>
  <si>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</si>
  <si>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</si>
  <si>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</si>
  <si>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</si>
  <si>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</si>
  <si>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</si>
  <si>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</si>
  <si>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</si>
  <si>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</si>
  <si>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</si>
  <si>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</si>
  <si>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</si>
  <si>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</si>
  <si>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</si>
  <si>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</si>
  <si>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</si>
  <si>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</si>
  <si>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</si>
  <si>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</si>
  <si>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</si>
  <si>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</si>
  <si>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</si>
  <si>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</si>
  <si>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</si>
  <si>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</si>
  <si>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</si>
  <si>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</si>
  <si>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</si>
  <si>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</si>
  <si>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</si>
  <si>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</si>
  <si>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</si>
  <si>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</si>
  <si>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</si>
  <si>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</si>
  <si>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</si>
  <si>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</si>
  <si>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</si>
  <si>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</si>
  <si>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</si>
  <si>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</si>
  <si>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</si>
  <si>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</si>
  <si>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</si>
  <si>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</si>
  <si>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</si>
  <si>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</si>
  <si>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</si>
  <si>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</si>
  <si>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</si>
  <si>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</si>
  <si>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</si>
  <si>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</si>
  <si>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</si>
  <si>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</si>
  <si>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</si>
  <si>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</si>
  <si>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</si>
  <si>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</si>
  <si>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</si>
  <si>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</si>
  <si>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</si>
  <si>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</si>
  <si>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</si>
  <si>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</si>
  <si>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</si>
  <si>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</si>
  <si>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</si>
  <si>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</si>
  <si>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</si>
  <si>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</si>
  <si>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</si>
  <si>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</si>
  <si>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</si>
  <si>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</si>
  <si>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</si>
  <si>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</si>
  <si>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</si>
  <si>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</si>
  <si>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</si>
  <si>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</si>
  <si>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</si>
  <si>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</si>
  <si>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</si>
  <si>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</si>
  <si>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</si>
  <si>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</si>
  <si>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</si>
  <si>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</si>
  <si>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</si>
  <si>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</si>
  <si>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</si>
  <si>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</si>
  <si>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</si>
  <si>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</si>
  <si>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</si>
  <si>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</si>
  <si>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</si>
  <si>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</si>
  <si>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</si>
  <si>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</si>
  <si>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</si>
  <si>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</si>
  <si>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</si>
  <si>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</si>
  <si>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</si>
  <si>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</si>
  <si>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</si>
  <si>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</si>
  <si>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</si>
  <si>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</si>
  <si>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</si>
  <si>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</si>
  <si>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</si>
  <si>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</si>
  <si>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</si>
  <si>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</si>
  <si>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</si>
  <si>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</si>
  <si>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</si>
  <si>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</si>
  <si>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</si>
  <si>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</si>
  <si>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</si>
  <si>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</si>
  <si>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</si>
  <si>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</si>
  <si>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</si>
  <si>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</si>
  <si>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</si>
  <si>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</si>
  <si>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</si>
  <si>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</si>
  <si>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</si>
  <si>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</si>
  <si>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</si>
  <si>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</si>
  <si>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</si>
  <si>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</si>
  <si>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</si>
  <si>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</si>
  <si>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</si>
  <si>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</si>
  <si>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</si>
  <si>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</si>
  <si>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</si>
  <si>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</si>
  <si>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</si>
  <si>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</si>
  <si>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</si>
  <si>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</si>
  <si>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</si>
  <si>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</si>
  <si>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</si>
  <si>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</si>
  <si>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</si>
  <si>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</si>
  <si>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</si>
  <si>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</si>
  <si>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</si>
  <si>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</si>
  <si>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</si>
  <si>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</si>
  <si>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</si>
  <si>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</si>
  <si>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</si>
  <si>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</si>
  <si>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</si>
  <si>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</si>
  <si>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</si>
  <si>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</si>
  <si>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</si>
  <si>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</si>
  <si>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</si>
  <si>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</si>
  <si>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</si>
  <si>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</si>
  <si>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</si>
  <si>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</si>
  <si>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</si>
  <si>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</si>
  <si>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</si>
  <si>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</si>
  <si>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</si>
  <si>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</si>
  <si>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</si>
  <si>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</si>
  <si>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</si>
  <si>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</si>
  <si>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</si>
  <si>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</si>
  <si>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</si>
  <si>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</si>
  <si>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</si>
  <si>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</si>
  <si>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</si>
  <si>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</si>
  <si>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</si>
  <si>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</si>
  <si>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</si>
  <si>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</si>
  <si>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</si>
  <si>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</si>
  <si>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</si>
  <si>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</si>
  <si>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</si>
  <si>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</si>
  <si>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</si>
  <si>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</si>
  <si>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</si>
  <si>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</si>
  <si>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</si>
  <si>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</si>
  <si>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</si>
  <si>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</si>
  <si>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</si>
  <si>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</si>
  <si>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</si>
  <si>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</si>
  <si>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</si>
  <si>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</si>
  <si>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</si>
  <si>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</si>
  <si>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</si>
  <si>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</si>
  <si>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</si>
  <si>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</si>
  <si>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</si>
  <si>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</si>
  <si>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</si>
  <si>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</si>
  <si>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</si>
  <si>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</si>
  <si>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</si>
  <si>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</si>
  <si>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</si>
  <si>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</si>
  <si>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</si>
  <si>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</si>
  <si>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</si>
  <si>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</si>
  <si>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</si>
  <si>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</si>
  <si>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</si>
  <si>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</si>
  <si>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</si>
  <si>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</si>
  <si>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</si>
  <si>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</si>
  <si>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</si>
  <si>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</si>
  <si>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</si>
  <si>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</si>
  <si>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</si>
  <si>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</si>
  <si>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</si>
  <si>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</si>
  <si>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</si>
  <si>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</si>
  <si>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</si>
  <si>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</si>
  <si>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</si>
  <si>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</si>
  <si>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</si>
  <si>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</si>
  <si>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</si>
  <si>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</si>
  <si>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</si>
  <si>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</si>
  <si>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</si>
  <si>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</si>
  <si>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</si>
  <si>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</si>
  <si>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</si>
  <si>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</si>
  <si>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</si>
  <si>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</si>
  <si>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</si>
  <si>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</si>
  <si>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</si>
  <si>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</si>
  <si>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</si>
  <si>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</si>
  <si>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</si>
  <si>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</si>
  <si>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</si>
  <si>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</si>
  <si>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</si>
  <si>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</si>
  <si>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</si>
  <si>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</si>
  <si>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</si>
  <si>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</si>
  <si>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</si>
  <si>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</si>
  <si>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</si>
  <si>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</si>
  <si>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</si>
  <si>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</si>
  <si>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</si>
  <si>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</si>
  <si>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</si>
  <si>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</si>
  <si>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</si>
  <si>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</si>
  <si>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</si>
  <si>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</si>
  <si>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</si>
  <si>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</si>
  <si>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</si>
  <si>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</si>
  <si>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</si>
  <si>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</si>
  <si>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</si>
  <si>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</si>
  <si>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</si>
  <si>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</si>
  <si>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</si>
  <si>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</si>
  <si>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</si>
  <si>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</si>
  <si>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</si>
  <si>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</si>
  <si>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</si>
  <si>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</si>
  <si>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</si>
  <si>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</si>
  <si>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</si>
  <si>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</si>
  <si>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</si>
  <si>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</si>
  <si>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</si>
  <si>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</si>
  <si>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</si>
  <si>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</si>
  <si>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</si>
  <si>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</si>
  <si>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</si>
  <si>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</si>
  <si>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</si>
  <si>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</si>
  <si>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</si>
  <si>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</si>
  <si>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</si>
  <si>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</si>
  <si>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</si>
  <si>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</si>
  <si>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</si>
  <si>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</si>
  <si>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</si>
  <si>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</si>
  <si>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</si>
  <si>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</si>
  <si>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</si>
  <si>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</si>
  <si>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</si>
  <si>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</si>
  <si>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</si>
  <si>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</si>
  <si>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</si>
  <si>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</si>
  <si>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</si>
  <si>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</si>
  <si>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</si>
  <si>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</si>
  <si>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</si>
  <si>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</si>
  <si>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</si>
  <si>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</si>
  <si>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</si>
  <si>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</si>
  <si>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</si>
  <si>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</si>
  <si>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</si>
  <si>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</si>
  <si>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</si>
  <si>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</si>
  <si>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</si>
  <si>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</si>
  <si>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</si>
  <si>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</si>
  <si>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</si>
  <si>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</si>
  <si>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</si>
  <si>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</si>
  <si>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</si>
  <si>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</si>
  <si>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</si>
  <si>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</si>
  <si>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</si>
  <si>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</si>
  <si>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</si>
  <si>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</si>
  <si>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</si>
  <si>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</si>
  <si>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</si>
  <si>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</si>
  <si>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</si>
  <si>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</si>
  <si>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</si>
  <si>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</si>
  <si>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</si>
  <si>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</si>
  <si>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</si>
  <si>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</si>
  <si>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</si>
  <si>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</si>
  <si>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</si>
  <si>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</si>
  <si>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</si>
  <si>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</si>
  <si>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</si>
  <si>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</si>
  <si>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</si>
  <si>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</si>
  <si>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</si>
  <si>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</si>
  <si>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</si>
  <si>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</si>
  <si>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</si>
  <si>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</si>
  <si>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</si>
  <si>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</si>
  <si>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</si>
  <si>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</si>
  <si>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</si>
  <si>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</si>
  <si>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</si>
  <si>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</si>
  <si>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</si>
  <si>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</si>
  <si>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</si>
  <si>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</si>
  <si>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</si>
  <si>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</si>
  <si>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</si>
  <si>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</si>
  <si>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</si>
  <si>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</si>
  <si>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</si>
  <si>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</si>
  <si>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</si>
  <si>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</si>
  <si>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</si>
  <si>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</si>
  <si>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</si>
  <si>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</si>
  <si>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</si>
  <si>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</si>
  <si>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</si>
  <si>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</si>
  <si>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</si>
  <si>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</si>
  <si>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</si>
  <si>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</si>
  <si>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</si>
  <si>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</si>
  <si>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</si>
  <si>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</si>
  <si>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</si>
  <si>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</si>
  <si>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</si>
  <si>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</si>
  <si>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</si>
  <si>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</si>
  <si>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</si>
  <si>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</si>
  <si>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</si>
  <si>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</si>
  <si>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</si>
  <si>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</si>
  <si>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</si>
  <si>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</si>
  <si>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</si>
  <si>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</si>
  <si>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</si>
  <si>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</si>
  <si>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</si>
  <si>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</si>
  <si>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</si>
  <si>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</si>
  <si>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</si>
  <si>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</si>
  <si>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</si>
  <si>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</si>
  <si>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</si>
  <si>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</si>
  <si>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</si>
  <si>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</si>
  <si>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</si>
  <si>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</si>
  <si>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</si>
  <si>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</si>
  <si>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</si>
  <si>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</si>
  <si>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</si>
  <si>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</si>
  <si>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</si>
  <si>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</si>
  <si>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</si>
  <si>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</si>
  <si>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</si>
  <si>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</si>
  <si>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</si>
  <si>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</si>
  <si>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</si>
  <si>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</si>
  <si>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</si>
  <si>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</si>
  <si>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</si>
  <si>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</si>
  <si>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</si>
  <si>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</si>
  <si>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</si>
  <si>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</si>
  <si>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</si>
  <si>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</si>
  <si>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</si>
  <si>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</si>
  <si>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</si>
  <si>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</si>
  <si>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</si>
  <si>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</si>
  <si>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</si>
  <si>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</si>
  <si>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</si>
  <si>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</si>
  <si>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</si>
  <si>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</si>
  <si>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</si>
  <si>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</si>
  <si>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</si>
  <si>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</si>
  <si>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</si>
  <si>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</si>
  <si>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</si>
  <si>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</si>
  <si>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</si>
  <si>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</si>
  <si>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</si>
  <si>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</si>
  <si>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</si>
  <si>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</si>
  <si>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</si>
  <si>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</si>
  <si>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</si>
  <si>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</si>
  <si>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</si>
  <si>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</si>
  <si>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</si>
  <si>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</si>
  <si>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</si>
  <si>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</si>
  <si>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</si>
  <si>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</si>
  <si>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</si>
  <si>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</si>
  <si>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</si>
  <si>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</si>
  <si>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</si>
  <si>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</si>
  <si>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</si>
  <si>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</si>
  <si>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</si>
  <si>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</si>
  <si>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</si>
  <si>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</si>
  <si>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</si>
  <si>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</si>
  <si>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</si>
  <si>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</si>
  <si>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</si>
  <si>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</si>
  <si>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</si>
  <si>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</si>
  <si>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</si>
  <si>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</si>
  <si>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</si>
  <si>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</si>
  <si>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</si>
  <si>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</si>
  <si>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</si>
  <si>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</si>
  <si>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</si>
  <si>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</si>
  <si>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</si>
  <si>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</si>
  <si>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</si>
  <si>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</si>
  <si>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</si>
  <si>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</si>
  <si>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</si>
  <si>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</si>
  <si>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</si>
  <si>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</si>
  <si>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</si>
  <si>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</si>
  <si>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</si>
  <si>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</si>
  <si>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</si>
  <si>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</si>
  <si>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</si>
  <si>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</si>
  <si>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</si>
  <si>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</si>
  <si>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</si>
  <si>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</si>
  <si>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</si>
  <si>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</si>
  <si>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</si>
  <si>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</si>
  <si>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</si>
  <si>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</si>
  <si>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</si>
  <si>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</si>
  <si>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</si>
  <si>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</si>
  <si>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</si>
  <si>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</si>
  <si>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</si>
  <si>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</si>
  <si>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</si>
  <si>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</si>
  <si>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</si>
  <si>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</si>
  <si>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</si>
  <si>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</si>
  <si>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</si>
  <si>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</si>
  <si>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</si>
  <si>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</si>
  <si>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</si>
  <si>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</si>
  <si>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</si>
  <si>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</si>
  <si>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</si>
  <si>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</si>
  <si>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</si>
  <si>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</si>
  <si>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</si>
  <si>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</si>
  <si>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</si>
  <si>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</si>
  <si>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</si>
  <si>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</si>
  <si>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</si>
  <si>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</si>
  <si>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</si>
  <si>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</si>
  <si>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</si>
  <si>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</si>
  <si>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</si>
  <si>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</si>
  <si>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</si>
  <si>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</si>
  <si>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</si>
  <si>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</si>
  <si>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</si>
  <si>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</si>
  <si>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</si>
  <si>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</si>
  <si>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</si>
  <si>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</si>
  <si>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</si>
  <si>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</si>
  <si>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</si>
  <si>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</si>
  <si>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</si>
  <si>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</si>
  <si>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</si>
  <si>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</si>
  <si>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</si>
  <si>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</si>
  <si>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</si>
  <si>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</si>
  <si>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</si>
  <si>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</si>
  <si>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</si>
  <si>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</si>
  <si>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</si>
  <si>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</si>
  <si>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</si>
  <si>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</si>
  <si>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</si>
  <si>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</si>
  <si>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</si>
  <si>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</si>
  <si>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</si>
  <si>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</si>
  <si>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</si>
  <si>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</si>
  <si>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</si>
  <si>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</si>
  <si>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</si>
  <si>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</si>
  <si>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</si>
  <si>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</si>
  <si>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</si>
  <si>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</si>
  <si>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</si>
  <si>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</si>
  <si>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</si>
  <si>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</si>
  <si>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</si>
  <si>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</si>
  <si>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</si>
  <si>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</si>
  <si>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</si>
  <si>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</si>
  <si>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</si>
  <si>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</si>
  <si>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</si>
  <si>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</si>
  <si>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</si>
  <si>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</si>
  <si>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</si>
  <si>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</si>
  <si>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</si>
  <si>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</si>
  <si>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</si>
  <si>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</si>
  <si>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</si>
  <si>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</si>
  <si>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</si>
  <si>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</si>
  <si>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</si>
  <si>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</si>
  <si>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</si>
  <si>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</si>
  <si>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</si>
  <si>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</si>
  <si>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</si>
  <si>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</si>
  <si>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</si>
  <si>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</si>
  <si>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</si>
  <si>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</si>
  <si>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</si>
  <si>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</si>
  <si>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</si>
  <si>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</si>
  <si>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</si>
  <si>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</si>
  <si>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</si>
  <si>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</si>
  <si>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</si>
  <si>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</si>
  <si>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</si>
  <si>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</si>
  <si>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</si>
  <si>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</si>
  <si>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</si>
  <si>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</si>
  <si>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</si>
  <si>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</si>
  <si>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</si>
  <si>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</si>
  <si>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</si>
  <si>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</si>
  <si>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</si>
  <si>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</si>
  <si>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</si>
  <si>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</si>
  <si>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</si>
  <si>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</si>
  <si>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</si>
  <si>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</si>
  <si>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</si>
  <si>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</si>
  <si>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</si>
  <si>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</si>
  <si>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</si>
  <si>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</si>
  <si>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</si>
  <si>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</si>
  <si>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</si>
  <si>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</si>
  <si>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</si>
  <si>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</si>
  <si>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</si>
  <si>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</si>
  <si>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</si>
  <si>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</si>
  <si>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</si>
  <si>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</si>
  <si>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</si>
  <si>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</si>
  <si>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</si>
  <si>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</si>
  <si>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</si>
  <si>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</si>
  <si>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</si>
  <si>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</si>
  <si>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</si>
  <si>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</si>
  <si>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</si>
  <si>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</si>
  <si>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</si>
  <si>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</si>
  <si>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</si>
  <si>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</si>
  <si>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</si>
  <si>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</si>
  <si>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</si>
  <si>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</si>
  <si>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</si>
  <si>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</si>
  <si>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</si>
  <si>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</si>
  <si>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</si>
  <si>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</si>
  <si>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</si>
  <si>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</si>
  <si>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</si>
  <si>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</si>
  <si>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</si>
  <si>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</si>
  <si>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</si>
  <si>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</si>
  <si>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</si>
  <si>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</si>
  <si>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</si>
  <si>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</si>
  <si>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</si>
  <si>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</si>
  <si>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</si>
  <si>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</si>
  <si>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</si>
  <si>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</si>
  <si>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</si>
  <si>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</si>
  <si>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</si>
  <si>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</si>
  <si>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</si>
  <si>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</si>
  <si>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</si>
  <si>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</si>
  <si>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</si>
  <si>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</si>
  <si>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</si>
  <si>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</si>
  <si>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</si>
  <si>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</si>
  <si>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</si>
  <si>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</si>
  <si>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</si>
  <si>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</si>
  <si>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</si>
  <si>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</si>
  <si>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</si>
  <si>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</si>
  <si>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</si>
  <si>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</si>
  <si>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</si>
  <si>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</si>
  <si>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</si>
  <si>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</si>
  <si>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</si>
  <si>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</si>
  <si>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</si>
  <si>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</si>
  <si>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</si>
  <si>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</si>
  <si>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</si>
  <si>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</si>
  <si>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</si>
  <si>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</si>
  <si>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</si>
  <si>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</si>
  <si>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</si>
  <si>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</si>
  <si>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</si>
  <si>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</si>
  <si>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</si>
  <si>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</si>
  <si>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</si>
  <si>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</si>
  <si>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</si>
  <si>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</si>
  <si>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</si>
  <si>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</si>
  <si>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</si>
  <si>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</si>
  <si>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</si>
  <si>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</si>
  <si>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</si>
  <si>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</si>
  <si>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</si>
  <si>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</si>
  <si>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</si>
  <si>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</si>
  <si>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</si>
  <si>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</si>
  <si>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</si>
  <si>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</si>
  <si>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</si>
  <si>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</si>
  <si>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</si>
  <si>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</si>
  <si>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</si>
  <si>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</si>
  <si>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</si>
  <si>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</si>
  <si>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</si>
  <si>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</si>
  <si>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</si>
  <si>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</si>
  <si>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</si>
  <si>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</si>
  <si>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</si>
  <si>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</si>
  <si>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</si>
  <si>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</si>
  <si>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</si>
  <si>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</si>
  <si>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</si>
  <si>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</si>
  <si>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</si>
  <si>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</si>
  <si>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</si>
  <si>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</si>
  <si>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</si>
  <si>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</si>
  <si>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</si>
  <si>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</si>
  <si>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</si>
  <si>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</si>
  <si>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</si>
  <si>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</si>
  <si>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</si>
  <si>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</si>
  <si>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</si>
  <si>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</si>
  <si>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</si>
  <si>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</si>
  <si>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</si>
  <si>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</si>
  <si>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</si>
  <si>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</si>
  <si>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</si>
  <si>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</si>
  <si>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</si>
  <si>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</si>
  <si>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</si>
  <si>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</si>
  <si>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</si>
  <si>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</si>
  <si>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</si>
  <si>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</si>
  <si>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</si>
  <si>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</si>
  <si>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</si>
  <si>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</si>
  <si>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</si>
  <si>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</si>
  <si>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</si>
  <si>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</si>
  <si>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</si>
  <si>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</si>
  <si>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</si>
  <si>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</si>
  <si>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</si>
  <si>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</si>
  <si>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</si>
  <si>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</si>
  <si>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</si>
  <si>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</si>
  <si>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</si>
  <si>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</si>
  <si>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</si>
  <si>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</si>
  <si>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</si>
  <si>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</si>
  <si>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</si>
  <si>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</si>
  <si>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</si>
  <si>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</si>
  <si>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</si>
  <si>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</si>
  <si>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</si>
  <si>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</si>
  <si>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</si>
  <si>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</si>
  <si>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</si>
  <si>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</si>
  <si>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</si>
  <si>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</si>
  <si>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</si>
  <si>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</si>
  <si>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</si>
  <si>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</si>
  <si>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</si>
  <si>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</si>
  <si>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</si>
  <si>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</si>
  <si>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</si>
  <si>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</si>
  <si>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</si>
  <si>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</si>
  <si>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</si>
  <si>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</si>
  <si>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</si>
  <si>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</si>
  <si>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</si>
  <si>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</si>
  <si>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</si>
  <si>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</si>
  <si>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</si>
  <si>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</si>
  <si>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</si>
  <si>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</si>
  <si>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</si>
  <si>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</si>
  <si>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</si>
  <si>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</si>
  <si>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</si>
  <si>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</si>
  <si>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</si>
  <si>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</si>
  <si>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</si>
  <si>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</si>
  <si>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</si>
  <si>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</si>
  <si>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</si>
  <si>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</si>
  <si>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</si>
  <si>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</si>
  <si>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</si>
  <si>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</si>
  <si>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</si>
  <si>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</si>
  <si>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</si>
  <si>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</si>
  <si>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</si>
  <si>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</si>
  <si>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</si>
  <si>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</si>
  <si>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</si>
  <si>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</si>
  <si>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</si>
  <si>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</si>
  <si>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</si>
  <si>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</si>
  <si>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</si>
  <si>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</si>
  <si>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</si>
  <si>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</si>
  <si>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</si>
  <si>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</si>
  <si>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</si>
  <si>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</si>
  <si>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</si>
  <si>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</si>
  <si>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</si>
  <si>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</si>
  <si>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</si>
  <si>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</si>
  <si>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</si>
  <si>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</si>
  <si>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</si>
  <si>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</si>
  <si>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</si>
  <si>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</si>
  <si>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</si>
  <si>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</si>
  <si>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</si>
  <si>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</si>
  <si>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</si>
  <si>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</si>
  <si>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</si>
  <si>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</si>
  <si>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</si>
  <si>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</si>
  <si>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</si>
  <si>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</si>
  <si>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</si>
  <si>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</si>
  <si>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</si>
  <si>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</si>
  <si>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</si>
  <si>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</si>
  <si>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</si>
  <si>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</si>
  <si>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</si>
  <si>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</si>
  <si>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</si>
  <si>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</si>
  <si>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</si>
  <si>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</si>
  <si>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</si>
  <si>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</si>
  <si>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</si>
  <si>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</si>
  <si>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</si>
  <si>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</si>
  <si>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</si>
  <si>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</si>
  <si>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</si>
  <si>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</si>
  <si>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</si>
  <si>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</si>
  <si>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</si>
  <si>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</si>
  <si>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</si>
  <si>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</si>
  <si>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</si>
  <si>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</si>
  <si>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</si>
  <si>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</si>
  <si>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</si>
  <si>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</si>
  <si>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</si>
  <si>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</si>
  <si>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</si>
  <si>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</si>
  <si>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</si>
  <si>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</si>
  <si>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</si>
  <si>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</si>
  <si>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</si>
  <si>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</si>
  <si>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</si>
  <si>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</si>
  <si>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</si>
  <si>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</si>
  <si>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</si>
  <si>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</si>
  <si>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</si>
  <si>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</si>
  <si>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</si>
  <si>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</si>
  <si>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</si>
  <si>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</si>
  <si>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</si>
  <si>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</si>
  <si>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</si>
  <si>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</si>
  <si>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</si>
  <si>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</si>
  <si>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</si>
  <si>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</si>
  <si>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</si>
  <si>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</si>
  <si>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</si>
  <si>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</si>
  <si>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</si>
  <si>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</si>
  <si>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</si>
  <si>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</si>
  <si>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</si>
  <si>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</si>
  <si>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</si>
  <si>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</si>
  <si>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</si>
  <si>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</si>
  <si>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</si>
  <si>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</si>
  <si>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</si>
  <si>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</si>
  <si>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</si>
  <si>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</si>
  <si>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</si>
  <si>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</si>
  <si>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</si>
  <si>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</si>
  <si>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</si>
  <si>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</si>
  <si>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</si>
  <si>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</si>
  <si>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</si>
  <si>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</si>
  <si>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</si>
  <si>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</si>
  <si>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</si>
  <si>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</si>
  <si>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</si>
  <si>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</si>
  <si>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</si>
  <si>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</si>
  <si>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</si>
  <si>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</si>
  <si>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</si>
  <si>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</si>
  <si>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</si>
  <si>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</si>
  <si>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</si>
  <si>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</si>
  <si>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</si>
  <si>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</si>
  <si>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</si>
  <si>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</si>
  <si>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</si>
  <si>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</si>
  <si>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</si>
  <si>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</si>
  <si>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</si>
  <si>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</si>
  <si>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</si>
  <si>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</si>
  <si>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</si>
  <si>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</si>
  <si>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</si>
  <si>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</si>
  <si>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</si>
  <si>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</si>
  <si>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</si>
  <si>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</si>
  <si>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</si>
  <si>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</si>
  <si>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</si>
  <si>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</si>
  <si>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</si>
  <si>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</si>
  <si>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</si>
  <si>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</si>
  <si>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</si>
  <si>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</si>
  <si>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</si>
  <si>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</si>
  <si>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</si>
  <si>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</si>
  <si>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</si>
  <si>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</si>
  <si>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</si>
  <si>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</si>
  <si>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</si>
  <si>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</si>
  <si>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</si>
  <si>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</si>
  <si>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</si>
  <si>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</si>
  <si>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</si>
  <si>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</si>
  <si>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</si>
  <si>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</si>
  <si>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</si>
  <si>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</si>
  <si>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</si>
  <si>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</si>
  <si>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</si>
  <si>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</si>
  <si>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</si>
  <si>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</si>
  <si>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</si>
  <si>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</si>
  <si>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</si>
  <si>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</si>
  <si>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</si>
  <si>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</si>
  <si>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</si>
  <si>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</si>
  <si>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</si>
  <si>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</si>
  <si>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</si>
  <si>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</si>
  <si>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</si>
  <si>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</si>
  <si>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</si>
  <si>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</si>
  <si>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</si>
  <si>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</si>
  <si>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</si>
  <si>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</si>
  <si>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</si>
  <si>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</si>
  <si>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</si>
  <si>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</si>
  <si>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</si>
  <si>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</si>
  <si>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</si>
  <si>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</si>
  <si>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</si>
  <si>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</si>
  <si>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</si>
  <si>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</si>
  <si>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</si>
  <si>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</si>
  <si>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</si>
  <si>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</si>
  <si>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</si>
  <si>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</si>
  <si>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</si>
  <si>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</si>
  <si>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</si>
  <si>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</si>
  <si>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</si>
  <si>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</si>
  <si>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</si>
  <si>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</si>
  <si>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</si>
  <si>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</si>
  <si>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</si>
  <si>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</si>
  <si>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</si>
  <si>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</si>
  <si>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</si>
  <si>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</si>
  <si>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</si>
  <si>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</si>
  <si>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</si>
  <si>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</si>
  <si>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</si>
  <si>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</si>
  <si>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</si>
  <si>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</si>
  <si>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</si>
  <si>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</si>
  <si>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</si>
  <si>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</si>
  <si>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</si>
  <si>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</si>
  <si>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</si>
  <si>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</si>
  <si>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</si>
  <si>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</si>
  <si>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</si>
  <si>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</si>
  <si>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</si>
  <si>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</si>
  <si>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</si>
  <si>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</si>
  <si>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</si>
  <si>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</si>
  <si>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</si>
  <si>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</si>
  <si>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</si>
  <si>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</si>
  <si>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</si>
  <si>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</si>
  <si>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</si>
  <si>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</si>
  <si>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</si>
  <si>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</si>
  <si>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</si>
  <si>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</si>
  <si>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</si>
  <si>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</si>
  <si>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</si>
  <si>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</si>
  <si>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</si>
  <si>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</si>
  <si>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</si>
  <si>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</si>
  <si>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</si>
  <si>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</si>
  <si>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</si>
  <si>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</si>
  <si>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</si>
  <si>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</si>
  <si>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</si>
  <si>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</si>
  <si>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</si>
  <si>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</si>
  <si>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</si>
  <si>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</si>
  <si>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</si>
  <si>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</si>
  <si>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</si>
  <si>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</si>
  <si>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</si>
  <si>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</si>
  <si>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</si>
  <si>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</si>
  <si>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</si>
  <si>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</si>
  <si>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</si>
  <si>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</si>
  <si>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</si>
  <si>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</si>
  <si>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</si>
  <si>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</si>
  <si>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</si>
  <si>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</si>
  <si>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</si>
  <si>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</si>
  <si>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</si>
  <si>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</si>
  <si>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</si>
  <si>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</si>
  <si>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</si>
  <si>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</si>
  <si>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</si>
  <si>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</si>
  <si>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</si>
  <si>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</si>
  <si>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</si>
  <si>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</si>
  <si>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</si>
  <si>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</si>
  <si>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</si>
  <si>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</si>
  <si>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</si>
  <si>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</si>
  <si>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</si>
  <si>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</si>
  <si>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</si>
  <si>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</si>
  <si>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</si>
  <si>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</si>
  <si>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</si>
  <si>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</si>
  <si>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</si>
  <si>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</si>
  <si>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</si>
  <si>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</si>
  <si>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</si>
  <si>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</si>
  <si>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</si>
  <si>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</si>
  <si>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</si>
  <si>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</si>
  <si>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</si>
  <si>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</si>
  <si>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</si>
  <si>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</si>
  <si>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</si>
  <si>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</si>
  <si>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</si>
  <si>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</si>
  <si>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</si>
  <si>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</si>
  <si>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</si>
  <si>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</si>
  <si>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</si>
  <si>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</si>
  <si>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</si>
  <si>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</si>
  <si>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</si>
  <si>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</si>
  <si>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</si>
  <si>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</si>
  <si>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</si>
  <si>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</si>
  <si>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</si>
  <si>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</si>
  <si>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</si>
  <si>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</si>
  <si>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</si>
  <si>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</si>
  <si>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</si>
  <si>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</si>
  <si>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</si>
  <si>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</si>
  <si>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</si>
  <si>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</si>
  <si>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</si>
  <si>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</si>
  <si>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</si>
  <si>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</si>
  <si>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</si>
  <si>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</si>
  <si>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</si>
  <si>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</si>
  <si>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</si>
  <si>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</si>
  <si>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</si>
  <si>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</si>
  <si>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</si>
  <si>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</si>
  <si>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</si>
  <si>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</si>
  <si>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</si>
  <si>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</si>
  <si>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</si>
  <si>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</si>
  <si>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</si>
  <si>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</si>
  <si>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</si>
  <si>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</si>
  <si>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</si>
  <si>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</si>
  <si>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</si>
  <si>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</si>
  <si>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</si>
  <si>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</si>
  <si>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</si>
  <si>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</si>
  <si>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</si>
  <si>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</si>
  <si>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</si>
  <si>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</si>
  <si>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</si>
  <si>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</si>
  <si>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</si>
  <si>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</si>
  <si>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</si>
  <si>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</si>
  <si>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</si>
  <si>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</si>
  <si>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</si>
  <si>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</si>
  <si>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</si>
  <si>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</si>
  <si>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</si>
  <si>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</si>
  <si>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</si>
  <si>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</si>
  <si>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</si>
  <si>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</si>
  <si>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</si>
  <si>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</si>
  <si>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</si>
  <si>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</si>
  <si>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</si>
  <si>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</si>
  <si>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</si>
  <si>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</si>
  <si>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</si>
  <si>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</si>
  <si>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</si>
  <si>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</si>
  <si>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</si>
  <si>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</si>
  <si>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</si>
  <si>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</si>
  <si>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</si>
  <si>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</si>
  <si>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</si>
  <si>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</si>
  <si>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</si>
  <si>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</si>
  <si>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</si>
  <si>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</si>
  <si>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</si>
  <si>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</si>
  <si>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</si>
  <si>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</si>
  <si>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</si>
  <si>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</si>
  <si>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</si>
  <si>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</si>
  <si>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</si>
  <si>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</si>
  <si>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</si>
  <si>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</si>
  <si>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</si>
  <si>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</si>
  <si>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</si>
  <si>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</si>
  <si>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</si>
  <si>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</si>
  <si>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</si>
  <si>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</si>
  <si>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</si>
  <si>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</si>
  <si>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</si>
  <si>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</si>
  <si>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</si>
  <si>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</si>
  <si>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</si>
  <si>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</si>
  <si>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</si>
  <si>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</si>
  <si>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</si>
  <si>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</si>
  <si>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</si>
  <si>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</si>
  <si>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</si>
  <si>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</si>
  <si>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</si>
  <si>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</si>
  <si>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</si>
  <si>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</si>
  <si>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</si>
  <si>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</si>
  <si>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</si>
  <si>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</si>
  <si>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</si>
  <si>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</si>
  <si>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</si>
  <si>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</si>
  <si>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</si>
  <si>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</si>
  <si>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</si>
  <si>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</si>
  <si>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</si>
  <si>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</si>
  <si>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</si>
  <si>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</si>
  <si>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</si>
  <si>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</si>
  <si>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</si>
  <si>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</si>
  <si>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</si>
  <si>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</si>
  <si>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</si>
  <si>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</si>
  <si>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</si>
  <si>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</si>
  <si>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</si>
  <si>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</si>
  <si>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</si>
  <si>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</si>
  <si>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</si>
  <si>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</si>
  <si>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</si>
  <si>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</si>
  <si>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</si>
  <si>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</si>
  <si>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</si>
  <si>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</si>
  <si>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</si>
  <si>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</si>
  <si>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</si>
  <si>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</si>
  <si>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</si>
  <si>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</si>
  <si>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</si>
  <si>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</si>
  <si>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</si>
  <si>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</si>
  <si>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</si>
  <si>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</si>
  <si>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</si>
  <si>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</si>
  <si>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</si>
  <si>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</si>
  <si>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</si>
  <si>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</si>
  <si>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</si>
  <si>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</si>
  <si>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</si>
  <si>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</si>
  <si>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</si>
  <si>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</si>
  <si>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</si>
  <si>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</si>
  <si>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</si>
  <si>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</si>
  <si>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</si>
  <si>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</si>
  <si>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</si>
  <si>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</si>
  <si>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</si>
  <si>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</si>
  <si>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</si>
  <si>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</si>
  <si>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</si>
  <si>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</si>
  <si>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</si>
  <si>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</si>
  <si>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</si>
  <si>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</si>
  <si>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</si>
  <si>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</si>
  <si>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</si>
  <si>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</si>
  <si>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</si>
  <si>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</si>
  <si>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</si>
  <si>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</si>
  <si>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</si>
  <si>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</si>
  <si>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</si>
  <si>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</si>
  <si>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</si>
  <si>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</si>
  <si>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</si>
  <si>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</si>
  <si>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</si>
  <si>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</si>
  <si>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</si>
  <si>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</si>
  <si>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</si>
  <si>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</si>
  <si>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</si>
  <si>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</si>
  <si>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</si>
  <si>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</si>
  <si>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</si>
  <si>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</si>
  <si>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</si>
  <si>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</si>
  <si>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</si>
  <si>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</si>
  <si>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</si>
  <si>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</si>
  <si>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</si>
  <si>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</si>
  <si>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</si>
  <si>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</si>
  <si>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</si>
  <si>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</si>
  <si>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</si>
  <si>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</si>
  <si>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</si>
  <si>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</si>
  <si>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</si>
  <si>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</si>
  <si>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</si>
  <si>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</si>
  <si>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</si>
  <si>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</si>
  <si>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</si>
  <si>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</si>
  <si>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</si>
  <si>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</si>
  <si>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</si>
  <si>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</si>
  <si>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</si>
  <si>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</si>
  <si>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</si>
  <si>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</si>
  <si>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</si>
  <si>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</si>
  <si>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</si>
  <si>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</si>
  <si>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</si>
  <si>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</si>
  <si>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</si>
  <si>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</si>
  <si>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</si>
  <si>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</si>
  <si>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</si>
  <si>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</si>
  <si>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</si>
  <si>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</si>
  <si>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</si>
  <si>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</si>
  <si>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</si>
  <si>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</si>
  <si>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</si>
  <si>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</si>
  <si>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</si>
  <si>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</si>
  <si>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</si>
  <si>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</si>
  <si>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</si>
  <si>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</si>
  <si>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</si>
  <si>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</si>
  <si>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</si>
  <si>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</si>
  <si>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</si>
  <si>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</si>
  <si>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</si>
  <si>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</si>
  <si>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</si>
  <si>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</si>
  <si>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</si>
  <si>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</si>
  <si>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</si>
  <si>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</si>
  <si>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</si>
  <si>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</si>
  <si>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</si>
  <si>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</si>
  <si>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</si>
  <si>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</si>
  <si>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</si>
  <si>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</si>
  <si>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</si>
  <si>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</si>
  <si>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</si>
  <si>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</si>
  <si>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</si>
  <si>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</si>
  <si>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</si>
  <si>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</si>
  <si>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</si>
  <si>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</si>
  <si>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</si>
  <si>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</si>
  <si>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</si>
  <si>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</si>
  <si>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</si>
  <si>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</si>
  <si>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</si>
  <si>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</si>
  <si>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</si>
  <si>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</si>
  <si>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</si>
  <si>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</si>
  <si>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</si>
  <si>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</si>
  <si>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</si>
  <si>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</si>
  <si>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</si>
  <si>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</si>
  <si>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</si>
  <si>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</si>
  <si>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</si>
  <si>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</si>
  <si>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</si>
  <si>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</si>
  <si>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</si>
  <si>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</si>
  <si>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</si>
  <si>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</si>
  <si>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</si>
  <si>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</si>
  <si>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</si>
  <si>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</si>
  <si>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</si>
  <si>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</si>
  <si>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</si>
  <si>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</si>
  <si>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</si>
  <si>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</si>
  <si>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</si>
  <si>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</si>
  <si>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</si>
  <si>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</si>
  <si>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</si>
  <si>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</si>
  <si>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</si>
  <si>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</si>
  <si>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</si>
  <si>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</si>
  <si>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</si>
  <si>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</si>
  <si>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</si>
  <si>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</si>
  <si>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</si>
  <si>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</si>
  <si>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</si>
  <si>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</si>
  <si>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</si>
  <si>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</si>
  <si>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</si>
  <si>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</si>
  <si>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</si>
  <si>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</si>
  <si>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</si>
  <si>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</si>
  <si>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</si>
  <si>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</si>
  <si>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</si>
  <si>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</si>
  <si>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</si>
  <si>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</si>
  <si>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</si>
  <si>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</si>
  <si>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</si>
  <si>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</si>
  <si>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</si>
  <si>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</si>
  <si>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</si>
  <si>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</si>
  <si>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</si>
  <si>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</si>
  <si>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</si>
  <si>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</si>
  <si>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</si>
  <si>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</si>
  <si>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</si>
  <si>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</si>
  <si>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</si>
  <si>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</si>
  <si>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</si>
  <si>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</si>
  <si>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</si>
  <si>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</si>
  <si>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</si>
  <si>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</si>
  <si>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</si>
  <si>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</si>
  <si>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</si>
  <si>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</si>
  <si>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</si>
  <si>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</si>
  <si>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</si>
  <si>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</si>
  <si>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</si>
  <si>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</si>
  <si>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</si>
  <si>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</si>
  <si>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</si>
  <si>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</si>
  <si>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</si>
  <si>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</si>
  <si>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</si>
  <si>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</si>
  <si>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</si>
  <si>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</si>
  <si>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</si>
  <si>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</si>
  <si>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</si>
  <si>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</si>
  <si>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</si>
  <si>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</si>
  <si>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</si>
  <si>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</si>
  <si>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</si>
  <si>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</si>
  <si>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</si>
  <si>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</si>
  <si>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</si>
  <si>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</si>
  <si>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</si>
  <si>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</si>
  <si>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</si>
  <si>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</si>
  <si>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</si>
  <si>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</si>
  <si>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</si>
  <si>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</si>
  <si>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</si>
  <si>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</si>
  <si>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</si>
  <si>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</si>
  <si>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</si>
  <si>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</si>
  <si>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</si>
  <si>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</si>
  <si>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</si>
  <si>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</si>
  <si>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</si>
  <si>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</si>
  <si>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</si>
  <si>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</si>
  <si>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</si>
  <si>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</si>
  <si>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</si>
  <si>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</si>
  <si>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</si>
  <si>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</si>
  <si>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</si>
  <si>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</si>
  <si>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</si>
  <si>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</si>
  <si>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</si>
  <si>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</si>
  <si>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</si>
  <si>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</si>
  <si>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</si>
  <si>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</si>
  <si>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</si>
  <si>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</si>
  <si>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</si>
  <si>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</si>
  <si>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</si>
  <si>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</si>
  <si>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</si>
  <si>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</si>
  <si>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</si>
  <si>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</si>
  <si>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</si>
  <si>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</si>
  <si>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</si>
  <si>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</si>
  <si>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</si>
  <si>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</si>
  <si>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</si>
  <si>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</si>
  <si>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</si>
  <si>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</si>
  <si>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</si>
  <si>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</si>
  <si>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</si>
  <si>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</si>
  <si>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</si>
  <si>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</si>
  <si>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</si>
  <si>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</si>
  <si>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</si>
  <si>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</si>
  <si>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</si>
  <si>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</si>
  <si>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</si>
  <si>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</si>
  <si>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</si>
  <si>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</si>
  <si>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</si>
  <si>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</si>
  <si>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</si>
  <si>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</si>
  <si>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</si>
  <si>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</si>
  <si>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</si>
  <si>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</si>
  <si>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</si>
  <si>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</si>
  <si>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</si>
  <si>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</si>
  <si>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</si>
  <si>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</si>
  <si>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</si>
  <si>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</si>
  <si>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</si>
  <si>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</si>
  <si>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</si>
  <si>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</si>
  <si>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</si>
  <si>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</si>
  <si>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</si>
  <si>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</si>
  <si>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</si>
  <si>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</si>
  <si>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</si>
  <si>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</si>
  <si>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</si>
  <si>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</si>
  <si>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</si>
  <si>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</si>
  <si>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</si>
  <si>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</si>
  <si>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</si>
  <si>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</si>
  <si>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</si>
  <si>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</si>
  <si>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</si>
  <si>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</si>
  <si>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</si>
  <si>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</si>
  <si>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</si>
  <si>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</si>
  <si>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</si>
  <si>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</si>
  <si>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</si>
  <si>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</si>
  <si>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</si>
  <si>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</si>
  <si>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</si>
  <si>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</si>
  <si>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</si>
  <si>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</si>
  <si>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</si>
  <si>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</si>
  <si>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</si>
  <si>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</si>
  <si>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</si>
  <si>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</si>
  <si>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</si>
  <si>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</si>
  <si>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</si>
  <si>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</si>
  <si>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</si>
  <si>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</si>
  <si>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</si>
  <si>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</si>
  <si>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</si>
  <si>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</si>
  <si>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</si>
  <si>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</si>
  <si>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</si>
  <si>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</si>
  <si>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</si>
  <si>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</si>
  <si>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</si>
  <si>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</si>
  <si>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</si>
  <si>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</si>
  <si>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</si>
  <si>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</si>
  <si>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</si>
  <si>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</si>
  <si>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</si>
  <si>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</si>
  <si>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</si>
  <si>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</si>
  <si>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</si>
  <si>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</si>
  <si>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</si>
  <si>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</si>
  <si>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</si>
  <si>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</si>
  <si>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</si>
  <si>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</si>
  <si>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</si>
  <si>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</si>
  <si>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</si>
  <si>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</si>
  <si>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</si>
  <si>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</si>
  <si>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</si>
  <si>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</si>
  <si>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</si>
  <si>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</si>
  <si>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</si>
  <si>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</si>
  <si>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</si>
  <si>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</si>
  <si>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</si>
  <si>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</si>
  <si>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</si>
  <si>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</si>
  <si>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</si>
  <si>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</si>
  <si>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</si>
  <si>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</si>
  <si>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</si>
  <si>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</si>
  <si>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</si>
  <si>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</si>
  <si>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</si>
  <si>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</si>
  <si>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</si>
  <si>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</si>
  <si>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</si>
  <si>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</si>
  <si>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</si>
  <si>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</si>
  <si>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</si>
  <si>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</si>
  <si>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</si>
  <si>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</si>
  <si>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</si>
  <si>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</si>
  <si>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</si>
  <si>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</si>
  <si>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</si>
  <si>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</si>
  <si>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</si>
  <si>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</si>
  <si>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</si>
  <si>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</si>
  <si>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</si>
  <si>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</si>
  <si>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</si>
  <si>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</si>
  <si>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</si>
  <si>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</si>
  <si>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</si>
  <si>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</si>
  <si>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</si>
  <si>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</si>
  <si>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</si>
  <si>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</si>
  <si>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</si>
  <si>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</si>
  <si>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</si>
  <si>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</si>
  <si>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</si>
  <si>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</si>
  <si>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</si>
  <si>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</si>
  <si>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</si>
  <si>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</si>
  <si>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</si>
  <si>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</si>
  <si>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</si>
  <si>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</si>
  <si>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</si>
  <si>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</si>
  <si>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</si>
  <si>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</si>
  <si>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</si>
  <si>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</si>
  <si>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</si>
  <si>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</si>
  <si>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</si>
  <si>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</si>
  <si>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</si>
  <si>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</si>
  <si>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</si>
  <si>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</si>
  <si>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</si>
  <si>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</si>
  <si>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</si>
  <si>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</si>
  <si>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</si>
  <si>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</si>
  <si>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</si>
  <si>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</si>
  <si>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</si>
  <si>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</si>
  <si>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</si>
  <si>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</si>
  <si>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</si>
  <si>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</si>
  <si>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</si>
  <si>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</si>
  <si>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</si>
  <si>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</si>
  <si>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</si>
  <si>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</si>
  <si>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</si>
  <si>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</si>
  <si>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</si>
  <si>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</si>
  <si>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</si>
  <si>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</si>
  <si>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</si>
  <si>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</si>
  <si>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</si>
  <si>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</si>
  <si>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</si>
  <si>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</si>
  <si>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</si>
  <si>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</si>
  <si>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</si>
  <si>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</si>
  <si>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</si>
  <si>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</si>
  <si>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</si>
  <si>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</si>
  <si>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</si>
  <si>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</si>
  <si>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</si>
  <si>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</si>
  <si>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</si>
  <si>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</si>
  <si>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</si>
  <si>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</si>
  <si>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</si>
  <si>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</si>
  <si>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</si>
  <si>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</si>
  <si>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</si>
  <si>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</si>
  <si>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</si>
  <si>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</si>
  <si>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</si>
  <si>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</si>
  <si>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</si>
  <si>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</si>
  <si>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</si>
  <si>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</si>
  <si>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</si>
  <si>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</si>
  <si>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</si>
  <si>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</si>
  <si>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</si>
  <si>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</si>
  <si>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</si>
  <si>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</si>
  <si>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</si>
  <si>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</si>
  <si>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</si>
  <si>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</si>
  <si>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</si>
  <si>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</si>
  <si>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</si>
  <si>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</si>
  <si>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</si>
  <si>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</si>
  <si>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</si>
  <si>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</si>
  <si>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</si>
  <si>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</si>
  <si>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</si>
  <si>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</si>
  <si>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</si>
  <si>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</si>
  <si>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</si>
  <si>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</si>
  <si>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</si>
  <si>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</si>
  <si>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</si>
  <si>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</si>
  <si>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</si>
  <si>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</si>
  <si>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</si>
  <si>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</si>
  <si>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</si>
  <si>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</si>
  <si>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</si>
  <si>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</si>
  <si>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</si>
  <si>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</si>
  <si>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</si>
  <si>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</si>
  <si>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</si>
  <si>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</si>
  <si>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</si>
  <si>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</si>
  <si>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</si>
  <si>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</si>
  <si>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</si>
  <si>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</si>
  <si>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</si>
  <si>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</si>
  <si>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</si>
  <si>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</si>
  <si>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</si>
  <si>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</si>
  <si>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</si>
  <si>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</si>
  <si>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</si>
  <si>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</si>
  <si>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</si>
  <si>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</si>
  <si>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</si>
  <si>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</si>
  <si>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</si>
  <si>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</si>
  <si>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</si>
  <si>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</si>
  <si>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</si>
  <si>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</si>
  <si>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</si>
  <si>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</si>
  <si>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</si>
  <si>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</si>
  <si>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</si>
  <si>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</si>
  <si>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</si>
  <si>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</si>
  <si>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</si>
  <si>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</si>
  <si>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</si>
  <si>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</si>
  <si>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</si>
  <si>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</si>
  <si>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</si>
  <si>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</si>
  <si>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</si>
  <si>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</si>
  <si>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</si>
  <si>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</si>
  <si>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</si>
  <si>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</si>
  <si>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</si>
  <si>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</si>
  <si>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</si>
  <si>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</si>
  <si>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</si>
  <si>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</si>
  <si>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</si>
  <si>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</si>
  <si>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</si>
  <si>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</si>
  <si>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</si>
  <si>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</si>
  <si>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</si>
  <si>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</si>
  <si>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</si>
  <si>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</si>
  <si>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</si>
  <si>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</si>
  <si>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</si>
  <si>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</si>
  <si>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</si>
  <si>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</si>
  <si>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</si>
  <si>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</si>
  <si>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</si>
  <si>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</si>
  <si>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</si>
  <si>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</si>
  <si>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</si>
  <si>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</si>
  <si>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</si>
  <si>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</si>
  <si>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</si>
  <si>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</si>
  <si>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</si>
  <si>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</si>
  <si>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</si>
  <si>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</si>
  <si>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</si>
  <si>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</si>
  <si>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</si>
  <si>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</si>
  <si>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</si>
  <si>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</si>
  <si>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</si>
  <si>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</si>
  <si>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</si>
  <si>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</si>
  <si>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</si>
  <si>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</si>
  <si>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</si>
  <si>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</si>
  <si>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</si>
  <si>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</si>
  <si>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</si>
  <si>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</si>
  <si>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</si>
  <si>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</si>
  <si>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</si>
  <si>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</si>
  <si>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</si>
  <si>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</si>
  <si>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</si>
  <si>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</si>
  <si>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</si>
  <si>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</si>
  <si>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</si>
  <si>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</si>
  <si>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</si>
  <si>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</si>
  <si>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</si>
  <si>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</si>
  <si>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</si>
  <si>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</si>
  <si>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</si>
  <si>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</si>
  <si>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</si>
  <si>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</si>
  <si>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</si>
  <si>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</si>
  <si>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</si>
  <si>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</si>
  <si>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</si>
  <si>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</si>
  <si>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</si>
  <si>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</si>
  <si>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</si>
  <si>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</si>
  <si>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</si>
  <si>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</si>
  <si>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</si>
  <si>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</si>
  <si>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</si>
  <si>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</si>
  <si>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</si>
  <si>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</si>
  <si>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</si>
  <si>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</si>
  <si>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</si>
  <si>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</si>
  <si>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</si>
  <si>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</si>
  <si>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</si>
  <si>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</si>
  <si>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</si>
  <si>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</si>
  <si>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</si>
  <si>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</si>
  <si>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</si>
  <si>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</si>
  <si>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</si>
  <si>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</si>
  <si>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</si>
  <si>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</si>
  <si>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</si>
  <si>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</si>
  <si>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</si>
  <si>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</si>
  <si>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</si>
  <si>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</si>
  <si>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</si>
  <si>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</si>
  <si>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</si>
  <si>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</si>
  <si>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</si>
  <si>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</si>
  <si>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</si>
  <si>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</si>
  <si>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</si>
  <si>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</si>
  <si>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</si>
  <si>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</si>
  <si>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</si>
  <si>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</si>
  <si>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</si>
  <si>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</si>
  <si>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</si>
  <si>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</si>
  <si>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</si>
  <si>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</si>
  <si>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</si>
  <si>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</si>
  <si>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</si>
  <si>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</si>
  <si>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</si>
  <si>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</si>
  <si>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</si>
  <si>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</si>
  <si>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</si>
  <si>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</si>
  <si>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</si>
  <si>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</si>
  <si>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</si>
  <si>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</si>
  <si>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</si>
  <si>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</si>
  <si>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</si>
  <si>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</si>
  <si>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</si>
  <si>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</si>
  <si>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</si>
  <si>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</si>
  <si>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</si>
  <si>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</si>
  <si>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</si>
  <si>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</si>
  <si>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</si>
  <si>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</si>
  <si>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</si>
  <si>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</si>
  <si>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</si>
  <si>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</si>
  <si>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</si>
  <si>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</si>
  <si>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</si>
  <si>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</si>
  <si>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</si>
  <si>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</si>
  <si>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</si>
  <si>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</si>
  <si>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</si>
  <si>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</si>
  <si>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</si>
  <si>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</si>
  <si>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</si>
  <si>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</si>
  <si>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</si>
  <si>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</si>
  <si>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</si>
  <si>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</si>
  <si>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</si>
  <si>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</si>
  <si>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</si>
  <si>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</si>
  <si>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</si>
  <si>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</si>
  <si>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</si>
  <si>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</si>
  <si>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</si>
  <si>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</si>
  <si>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</si>
  <si>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</si>
  <si>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</si>
  <si>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</si>
  <si>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</si>
  <si>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</si>
  <si>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</si>
  <si>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</si>
  <si>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</si>
  <si>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</si>
  <si>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</si>
  <si>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</si>
  <si>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</si>
  <si>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</si>
  <si>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</si>
  <si>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</si>
  <si>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</si>
  <si>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</si>
  <si>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</si>
  <si>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</si>
  <si>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</si>
  <si>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</si>
  <si>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</si>
  <si>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</si>
  <si>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</si>
  <si>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</si>
  <si>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</si>
  <si>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</si>
  <si>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</si>
  <si>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</si>
  <si>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</si>
  <si>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</si>
  <si>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</si>
  <si>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</si>
  <si>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</si>
  <si>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</si>
  <si>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</si>
  <si>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</si>
  <si>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</si>
  <si>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</si>
  <si>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</si>
  <si>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</si>
  <si>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</si>
  <si>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</si>
  <si>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</si>
  <si>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</si>
  <si>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</si>
  <si>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</si>
  <si>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</si>
  <si>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</si>
  <si>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</si>
  <si>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</si>
  <si>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</si>
  <si>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</si>
  <si>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</si>
  <si>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</si>
  <si>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</si>
  <si>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</si>
  <si>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</si>
  <si>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</si>
  <si>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</si>
  <si>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</si>
  <si>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</si>
  <si>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</si>
  <si>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</si>
  <si>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</si>
  <si>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</si>
  <si>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</si>
  <si>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</si>
  <si>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</si>
  <si>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</si>
  <si>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</si>
  <si>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</si>
  <si>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</si>
  <si>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</si>
  <si>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</si>
  <si>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</si>
  <si>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</si>
  <si>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</si>
  <si>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</si>
  <si>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</si>
  <si>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</si>
  <si>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</si>
  <si>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</si>
  <si>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</si>
  <si>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</si>
  <si>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</si>
  <si>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</si>
  <si>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</si>
  <si>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</si>
  <si>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</si>
  <si>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</si>
  <si>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</si>
  <si>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</si>
  <si>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</si>
  <si>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</si>
  <si>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</si>
  <si>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</si>
  <si>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</si>
  <si>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</si>
  <si>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</si>
  <si>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</si>
  <si>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</si>
  <si>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</si>
  <si>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</si>
  <si>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</si>
  <si>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</si>
  <si>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</si>
  <si>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</si>
  <si>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</si>
  <si>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</si>
  <si>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</si>
  <si>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</si>
  <si>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</si>
  <si>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</si>
  <si>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</si>
  <si>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</si>
  <si>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</si>
  <si>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</si>
  <si>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</si>
  <si>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</si>
  <si>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</si>
  <si>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</si>
  <si>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</si>
  <si>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</si>
  <si>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</si>
  <si>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</si>
  <si>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</si>
  <si>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</si>
  <si>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</si>
  <si>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</si>
  <si>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</si>
  <si>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</si>
  <si>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</si>
  <si>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</si>
  <si>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</si>
  <si>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</si>
  <si>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</si>
  <si>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</si>
  <si>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</si>
  <si>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</si>
  <si>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</si>
  <si>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</si>
  <si>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</si>
  <si>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</si>
  <si>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</si>
  <si>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</si>
  <si>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</si>
  <si>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</si>
  <si>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</si>
  <si>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</si>
  <si>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</si>
  <si>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</si>
  <si>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</si>
  <si>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</si>
  <si>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</si>
  <si>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</si>
  <si>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</si>
  <si>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</si>
  <si>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</si>
  <si>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</si>
  <si>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</si>
  <si>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</si>
  <si>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</si>
  <si>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</si>
  <si>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</si>
  <si>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</si>
  <si>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</si>
  <si>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</si>
  <si>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</si>
  <si>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</si>
  <si>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</si>
  <si>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</si>
  <si>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</si>
  <si>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</si>
  <si>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</si>
  <si>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</si>
  <si>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</si>
  <si>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</si>
  <si>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</si>
  <si>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</si>
  <si>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</si>
  <si>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</si>
  <si>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</si>
  <si>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</si>
  <si>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</si>
  <si>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</si>
  <si>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</si>
  <si>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</si>
  <si>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</si>
  <si>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</si>
  <si>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</si>
  <si>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</si>
  <si>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</si>
  <si>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</si>
  <si>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</si>
  <si>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</si>
  <si>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</si>
  <si>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</si>
  <si>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</si>
  <si>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</si>
  <si>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</si>
  <si>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</si>
  <si>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</si>
  <si>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</si>
  <si>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</si>
  <si>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</si>
  <si>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</si>
  <si>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</si>
  <si>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</si>
  <si>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</si>
  <si>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</si>
  <si>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</si>
  <si>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</si>
  <si>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</si>
  <si>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</si>
  <si>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</si>
  <si>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</si>
  <si>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</si>
  <si>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</si>
  <si>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</si>
  <si>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</si>
  <si>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</si>
  <si>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</si>
  <si>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</si>
  <si>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</si>
  <si>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</si>
  <si>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</si>
  <si>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</si>
  <si>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</si>
  <si>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</si>
  <si>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</si>
  <si>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</si>
  <si>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</si>
  <si>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</si>
  <si>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</si>
  <si>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</si>
  <si>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</si>
  <si>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</si>
  <si>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</si>
  <si>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</si>
  <si>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</si>
  <si>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</si>
  <si>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</si>
  <si>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</si>
  <si>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</si>
  <si>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</si>
  <si>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</si>
  <si>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</si>
  <si>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</si>
  <si>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</si>
  <si>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</si>
  <si>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</si>
  <si>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</si>
  <si>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</si>
  <si>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</si>
  <si>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</si>
  <si>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</si>
  <si>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</si>
  <si>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</si>
  <si>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</si>
  <si>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</si>
  <si>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</si>
  <si>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</si>
  <si>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</si>
  <si>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</si>
  <si>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</si>
  <si>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</si>
  <si>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</si>
  <si>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</si>
  <si>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</si>
  <si>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</si>
  <si>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</si>
  <si>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</si>
  <si>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</si>
  <si>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</si>
  <si>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</si>
  <si>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</si>
  <si>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</si>
  <si>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</si>
  <si>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</si>
  <si>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</si>
  <si>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</si>
  <si>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</si>
  <si>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</si>
  <si>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</si>
  <si>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</si>
  <si>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</si>
  <si>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</si>
  <si>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</si>
  <si>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</si>
  <si>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</si>
  <si>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</si>
  <si>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</si>
  <si>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</si>
  <si>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</si>
  <si>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</si>
  <si>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</si>
  <si>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</si>
  <si>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</si>
  <si>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</si>
  <si>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</si>
  <si>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</si>
  <si>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</si>
  <si>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</si>
  <si>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</si>
  <si>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</si>
  <si>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</si>
  <si>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</si>
  <si>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</si>
  <si>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</si>
  <si>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</si>
  <si>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</si>
  <si>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</si>
  <si>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</si>
  <si>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</si>
  <si>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</si>
  <si>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</si>
  <si>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</si>
  <si>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</si>
  <si>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</si>
  <si>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</si>
  <si>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</si>
  <si>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</si>
  <si>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</si>
  <si>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</si>
  <si>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</si>
  <si>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</si>
  <si>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</si>
  <si>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</si>
  <si>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</si>
  <si>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</si>
  <si>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</si>
  <si>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</si>
  <si>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</si>
  <si>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</si>
  <si>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</si>
  <si>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</si>
  <si>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</si>
  <si>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</si>
  <si>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</si>
  <si>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</si>
  <si>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</si>
  <si>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</si>
  <si>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</si>
  <si>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</si>
  <si>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</si>
  <si>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</si>
  <si>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</si>
  <si>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</si>
  <si>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</si>
  <si>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</si>
  <si>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</si>
  <si>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</si>
  <si>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</si>
  <si>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</si>
  <si>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</si>
  <si>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</si>
  <si>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</si>
  <si>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</si>
  <si>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</si>
  <si>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</si>
  <si>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</si>
  <si>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</si>
  <si>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</si>
  <si>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</si>
  <si>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</si>
  <si>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</si>
  <si>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</si>
  <si>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</si>
  <si>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</si>
  <si>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</si>
  <si>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</si>
  <si>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</si>
  <si>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</si>
  <si>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</si>
  <si>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</si>
  <si>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</si>
  <si>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</si>
  <si>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</si>
  <si>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</si>
  <si>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</si>
  <si>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</si>
  <si>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</si>
  <si>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</si>
  <si>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</si>
  <si>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</si>
  <si>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</si>
  <si>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</si>
  <si>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</si>
  <si>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</si>
  <si>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</si>
  <si>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</si>
  <si>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</si>
  <si>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</si>
  <si>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</si>
  <si>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</si>
  <si>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</si>
  <si>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</si>
  <si>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</si>
  <si>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</si>
  <si>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</si>
  <si>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</si>
  <si>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</si>
  <si>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</si>
  <si>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</si>
  <si>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</si>
  <si>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</si>
  <si>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</si>
  <si>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</si>
  <si>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</si>
  <si>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</si>
  <si>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</si>
  <si>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</si>
  <si>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</si>
  <si>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</si>
  <si>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</si>
  <si>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</si>
  <si>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</si>
  <si>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</si>
  <si>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</si>
  <si>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</si>
  <si>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</si>
  <si>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</si>
  <si>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</si>
  <si>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</si>
  <si>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</si>
  <si>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</si>
  <si>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</si>
  <si>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</si>
  <si>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</si>
  <si>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</si>
  <si>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</si>
  <si>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</si>
  <si>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</si>
  <si>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</si>
  <si>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</si>
  <si>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</si>
  <si>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</si>
  <si>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</si>
  <si>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</si>
  <si>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</si>
  <si>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</si>
  <si>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</si>
  <si>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</si>
  <si>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</si>
  <si>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</si>
  <si>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</si>
  <si>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</si>
  <si>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</si>
  <si>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</si>
  <si>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</si>
  <si>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</si>
  <si>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</si>
  <si>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</si>
  <si>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</si>
  <si>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</si>
  <si>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</si>
  <si>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</si>
  <si>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</si>
  <si>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</si>
  <si>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</si>
  <si>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</si>
  <si>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</si>
  <si>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</si>
  <si>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</si>
  <si>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</si>
  <si>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</si>
  <si>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</si>
  <si>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</si>
  <si>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</si>
  <si>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</si>
  <si>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</si>
  <si>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</si>
  <si>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</si>
  <si>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</si>
  <si>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</si>
  <si>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</si>
  <si>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</si>
  <si>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</si>
  <si>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</si>
  <si>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</si>
  <si>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</si>
  <si>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</si>
  <si>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</si>
  <si>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</si>
  <si>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</si>
  <si>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</si>
  <si>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</si>
  <si>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</si>
  <si>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</si>
  <si>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</si>
  <si>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</si>
  <si>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</si>
  <si>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</si>
  <si>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</si>
  <si>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</si>
  <si>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</si>
  <si>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</si>
  <si>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</si>
  <si>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</si>
  <si>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</si>
  <si>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</si>
  <si>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</si>
  <si>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</si>
  <si>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</si>
  <si>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</si>
  <si>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</si>
  <si>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</si>
  <si>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</si>
  <si>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</si>
  <si>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</si>
  <si>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</si>
  <si>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</si>
  <si>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</si>
  <si>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</si>
  <si>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</si>
  <si>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</si>
  <si>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</si>
  <si>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</si>
  <si>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</si>
  <si>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</si>
  <si>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</si>
  <si>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</si>
  <si>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</si>
  <si>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</si>
  <si>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</si>
  <si>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</si>
  <si>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</si>
  <si>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</si>
  <si>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</si>
  <si>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</si>
  <si>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</si>
  <si>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</si>
  <si>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</si>
  <si>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</si>
  <si>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</si>
  <si>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</si>
  <si>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</si>
  <si>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</si>
  <si>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</si>
  <si>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</si>
  <si>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</si>
  <si>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</si>
  <si>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</si>
  <si>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</si>
  <si>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</si>
  <si>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</si>
  <si>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</si>
  <si>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</si>
  <si>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</si>
  <si>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</si>
  <si>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</si>
  <si>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</si>
  <si>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</si>
  <si>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</si>
  <si>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</si>
  <si>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</si>
  <si>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</si>
  <si>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</si>
  <si>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</si>
  <si>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</si>
  <si>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</si>
  <si>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</si>
  <si>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</si>
  <si>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</si>
  <si>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</si>
  <si>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</si>
  <si>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</si>
  <si>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</si>
  <si>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</si>
  <si>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</si>
  <si>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</si>
  <si>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</si>
  <si>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</si>
  <si>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</si>
  <si>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</si>
  <si>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</si>
  <si>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</si>
  <si>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</si>
  <si>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</si>
  <si>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</si>
  <si>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</si>
  <si>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</si>
  <si>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</si>
  <si>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</si>
  <si>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</si>
  <si>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</si>
  <si>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</si>
  <si>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</si>
  <si>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</si>
  <si>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</si>
  <si>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</si>
  <si>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</si>
  <si>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</si>
  <si>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</si>
  <si>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</si>
  <si>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</si>
  <si>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</si>
  <si>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</si>
  <si>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</si>
  <si>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</si>
  <si>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</si>
  <si>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</si>
  <si>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</si>
  <si>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</si>
  <si>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</si>
  <si>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</si>
  <si>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</si>
  <si>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</si>
  <si>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</si>
  <si>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</si>
  <si>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</si>
  <si>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</si>
  <si>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</si>
  <si>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</si>
  <si>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</si>
  <si>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</si>
  <si>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</si>
  <si>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</si>
  <si>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</si>
  <si>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</si>
  <si>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</si>
  <si>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</si>
  <si>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</si>
  <si>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</si>
  <si>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</si>
  <si>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</si>
  <si>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</si>
  <si>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</si>
  <si>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</si>
  <si>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</si>
  <si>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</si>
  <si>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</si>
  <si>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</si>
  <si>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</si>
  <si>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</si>
  <si>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</si>
  <si>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</si>
  <si>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</si>
  <si>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</si>
  <si>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</si>
  <si>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</si>
  <si>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</si>
  <si>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</si>
  <si>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</si>
  <si>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</si>
  <si>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</si>
  <si>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</si>
  <si>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</si>
  <si>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</si>
  <si>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</si>
  <si>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</si>
  <si>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</si>
  <si>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</si>
  <si>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</si>
  <si>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</si>
  <si>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</si>
  <si>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</si>
  <si>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</si>
  <si>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</si>
  <si>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</si>
  <si>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</si>
  <si>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</si>
  <si>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</si>
  <si>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</si>
  <si>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</si>
  <si>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</si>
  <si>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</si>
  <si>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</si>
  <si>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</si>
  <si>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</si>
  <si>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</si>
  <si>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</si>
  <si>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</si>
  <si>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</si>
  <si>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</si>
  <si>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</si>
  <si>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</si>
  <si>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</si>
  <si>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</si>
  <si>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</si>
  <si>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</si>
  <si>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</si>
  <si>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</si>
  <si>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</si>
  <si>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</si>
  <si>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</si>
  <si>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</si>
  <si>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</si>
  <si>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</si>
  <si>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</si>
  <si>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</si>
  <si>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</si>
  <si>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</si>
  <si>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</si>
  <si>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</si>
  <si>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</si>
  <si>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</si>
  <si>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</si>
  <si>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</si>
  <si>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</si>
  <si>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</si>
  <si>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</si>
  <si>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</si>
  <si>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</si>
  <si>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</si>
  <si>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</si>
  <si>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</si>
  <si>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</si>
  <si>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</si>
  <si>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</si>
  <si>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</si>
  <si>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</si>
  <si>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</si>
  <si>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</si>
  <si>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</si>
  <si>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</si>
  <si>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</si>
  <si>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</si>
  <si>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</si>
  <si>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</si>
  <si>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</si>
  <si>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</si>
  <si>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</si>
  <si>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</si>
  <si>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</si>
  <si>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</si>
  <si>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</si>
  <si>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</si>
  <si>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</si>
  <si>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</si>
  <si>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</si>
  <si>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</si>
  <si>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</si>
  <si>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</si>
  <si>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</si>
  <si>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</si>
  <si>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</si>
  <si>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</si>
  <si>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</si>
  <si>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</si>
  <si>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</si>
  <si>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</si>
  <si>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</si>
  <si>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</si>
  <si>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</si>
  <si>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</si>
  <si>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</si>
  <si>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</si>
  <si>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</si>
  <si>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</si>
  <si>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</si>
  <si>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</si>
  <si>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</si>
  <si>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</si>
  <si>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</si>
  <si>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</si>
  <si>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</si>
  <si>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</si>
  <si>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</si>
  <si>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</si>
  <si>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</si>
  <si>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</si>
  <si>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</si>
  <si>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</si>
  <si>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</si>
  <si>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</si>
  <si>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</si>
  <si>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</si>
  <si>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</si>
  <si>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</si>
  <si>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</si>
  <si>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</si>
  <si>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</si>
  <si>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</si>
  <si>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</si>
  <si>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</si>
  <si>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</si>
  <si>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</si>
  <si>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</si>
  <si>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</si>
  <si>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</si>
  <si>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</si>
  <si>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</si>
  <si>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</si>
  <si>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</si>
  <si>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</si>
  <si>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</si>
  <si>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</si>
  <si>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</si>
  <si>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</si>
  <si>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</si>
  <si>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</si>
  <si>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</si>
  <si>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</si>
  <si>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</si>
  <si>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</si>
  <si>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</si>
  <si>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</si>
  <si>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</si>
  <si>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</si>
  <si>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</si>
  <si>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</si>
  <si>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</si>
  <si>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</si>
  <si>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</si>
  <si>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</si>
  <si>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</si>
  <si>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</si>
  <si>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</si>
  <si>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</si>
  <si>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</si>
  <si>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</si>
  <si>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</si>
  <si>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</si>
  <si>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</si>
  <si>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</si>
  <si>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</si>
  <si>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</si>
  <si>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</si>
  <si>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</si>
  <si>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</si>
  <si>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</si>
  <si>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</si>
  <si>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</si>
  <si>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</si>
  <si>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</si>
  <si>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</si>
  <si>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</si>
  <si>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</si>
  <si>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</si>
  <si>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</si>
  <si>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</si>
  <si>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</si>
  <si>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</si>
  <si>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</si>
  <si>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</si>
  <si>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</si>
  <si>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</si>
  <si>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</si>
  <si>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</si>
  <si>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</si>
  <si>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</si>
  <si>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</si>
  <si>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</si>
  <si>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</si>
  <si>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</si>
  <si>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</si>
  <si>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</si>
  <si>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</si>
  <si>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</si>
  <si>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</si>
  <si>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</si>
  <si>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</si>
  <si>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</si>
  <si>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</si>
  <si>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</si>
  <si>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</si>
  <si>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</si>
  <si>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</si>
  <si>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</si>
  <si>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</si>
  <si>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</si>
  <si>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</si>
  <si>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</si>
  <si>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</si>
  <si>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</si>
  <si>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</si>
  <si>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</si>
  <si>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</si>
  <si>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</si>
  <si>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</si>
  <si>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</si>
  <si>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</si>
  <si>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</si>
  <si>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</si>
  <si>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</si>
  <si>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</si>
  <si>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</si>
  <si>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</si>
  <si>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</si>
  <si>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</si>
  <si>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</si>
  <si>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</si>
  <si>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</si>
  <si>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</si>
  <si>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</si>
  <si>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</si>
  <si>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</si>
  <si>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</si>
  <si>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</si>
  <si>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</si>
  <si>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</si>
  <si>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</si>
  <si>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</si>
  <si>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</si>
  <si>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</si>
  <si>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</si>
  <si>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</si>
  <si>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</si>
  <si>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</si>
  <si>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</si>
  <si>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</si>
  <si>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</si>
  <si>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</si>
  <si>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</si>
  <si>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</si>
  <si>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</si>
  <si>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</si>
  <si>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</si>
  <si>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</si>
  <si>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</si>
  <si>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</si>
  <si>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</si>
  <si>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</si>
  <si>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</si>
  <si>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</si>
  <si>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</si>
  <si>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</si>
  <si>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</si>
  <si>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</si>
  <si>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</si>
  <si>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</si>
  <si>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</si>
  <si>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</si>
  <si>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</si>
  <si>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</si>
  <si>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</si>
  <si>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</si>
  <si>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</si>
  <si>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</si>
  <si>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</si>
  <si>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</si>
  <si>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</si>
  <si>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</si>
  <si>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</si>
  <si>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</si>
  <si>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</si>
  <si>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</si>
  <si>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</si>
  <si>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</si>
  <si>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</si>
  <si>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</si>
  <si>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</si>
  <si>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</si>
  <si>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</si>
  <si>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</si>
  <si>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</si>
  <si>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</si>
  <si>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</si>
  <si>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</si>
  <si>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</si>
  <si>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</si>
  <si>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</si>
  <si>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</si>
  <si>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</si>
  <si>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</si>
  <si>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</si>
  <si>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</si>
  <si>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</si>
  <si>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</si>
  <si>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</si>
  <si>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</si>
  <si>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</si>
  <si>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</si>
  <si>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</si>
  <si>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</si>
  <si>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</si>
  <si>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</si>
  <si>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</si>
  <si>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</si>
  <si>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</si>
  <si>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</si>
  <si>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</si>
  <si>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</si>
  <si>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</si>
  <si>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</si>
  <si>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</si>
  <si>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</si>
  <si>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</si>
  <si>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</si>
  <si>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</si>
  <si>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</si>
  <si>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</si>
  <si>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</si>
  <si>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</si>
  <si>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</si>
  <si>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</si>
  <si>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</si>
  <si>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</si>
  <si>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</si>
  <si>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</si>
  <si>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</si>
  <si>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</si>
  <si>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</si>
  <si>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</si>
  <si>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</si>
  <si>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</si>
  <si>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</si>
  <si>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</si>
  <si>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</si>
  <si>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</si>
  <si>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</si>
  <si>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</si>
  <si>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</si>
  <si>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</si>
  <si>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</si>
  <si>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</si>
  <si>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</si>
  <si>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</si>
  <si>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</si>
  <si>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</si>
  <si>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</si>
  <si>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</si>
  <si>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</si>
  <si>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</si>
  <si>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</si>
  <si>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</si>
  <si>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</si>
  <si>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</si>
  <si>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</si>
  <si>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</si>
  <si>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</si>
  <si>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</si>
  <si>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</si>
  <si>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</si>
  <si>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</si>
  <si>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</si>
  <si>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</si>
  <si>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</si>
  <si>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</si>
  <si>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</si>
  <si>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</si>
  <si>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</si>
  <si>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</si>
  <si>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</si>
  <si>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</si>
  <si>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</si>
  <si>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</si>
  <si>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</si>
  <si>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</si>
  <si>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</si>
  <si>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</si>
  <si>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</si>
  <si>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</si>
  <si>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</si>
  <si>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</si>
  <si>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</si>
  <si>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</si>
  <si>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</si>
  <si>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</si>
  <si>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</si>
  <si>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</si>
  <si>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</si>
  <si>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</si>
  <si>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</si>
  <si>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</si>
  <si>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</si>
  <si>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</si>
  <si>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</si>
  <si>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</si>
  <si>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</si>
  <si>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</si>
  <si>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</si>
  <si>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</si>
  <si>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</si>
  <si>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</si>
  <si>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</si>
  <si>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</si>
  <si>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</si>
  <si>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</si>
  <si>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</si>
  <si>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</si>
  <si>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</si>
  <si>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</si>
  <si>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</si>
  <si>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</si>
  <si>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</si>
  <si>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</si>
  <si>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</si>
  <si>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</si>
  <si>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</si>
  <si>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</si>
  <si>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</si>
  <si>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</si>
  <si>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</si>
  <si>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</si>
  <si>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</si>
  <si>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</si>
  <si>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</si>
  <si>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</si>
  <si>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</si>
  <si>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</si>
  <si>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</si>
  <si>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</si>
  <si>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</si>
  <si>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</si>
  <si>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</si>
  <si>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</si>
  <si>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</si>
  <si>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</si>
  <si>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</si>
  <si>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</si>
  <si>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</si>
  <si>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</si>
  <si>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</si>
  <si>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</si>
  <si>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</si>
  <si>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</si>
  <si>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</si>
  <si>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</si>
  <si>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</si>
  <si>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</si>
  <si>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</si>
  <si>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</si>
  <si>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</si>
  <si>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</si>
  <si>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</si>
  <si>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</si>
  <si>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</si>
  <si>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</si>
  <si>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</si>
  <si>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</si>
  <si>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</si>
  <si>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</si>
  <si>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</si>
  <si>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</si>
  <si>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</si>
  <si>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</si>
  <si>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</si>
  <si>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</si>
  <si>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</si>
  <si>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</si>
  <si>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</si>
  <si>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</si>
  <si>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</si>
  <si>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</si>
  <si>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</si>
  <si>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</si>
  <si>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</si>
  <si>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</si>
  <si>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</si>
  <si>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</si>
  <si>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</si>
  <si>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</si>
  <si>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</si>
  <si>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</si>
  <si>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</si>
  <si>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</si>
  <si>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</si>
  <si>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</si>
  <si>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</si>
  <si>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</si>
  <si>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</si>
  <si>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</si>
  <si>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</si>
  <si>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</si>
  <si>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</si>
  <si>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</si>
  <si>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</si>
  <si>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</si>
  <si>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</si>
  <si>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</si>
  <si>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</si>
  <si>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</si>
  <si>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</si>
  <si>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</si>
  <si>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</si>
  <si>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</si>
  <si>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</si>
  <si>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</si>
  <si>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</si>
  <si>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</si>
  <si>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</si>
  <si>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</si>
  <si>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</si>
  <si>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</si>
  <si>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</si>
  <si>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</si>
  <si>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</si>
  <si>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</si>
  <si>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</si>
  <si>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</si>
  <si>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</si>
  <si>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</si>
  <si>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</si>
  <si>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</si>
  <si>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</si>
  <si>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</si>
  <si>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</si>
  <si>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</si>
  <si>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</si>
  <si>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</si>
  <si>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</si>
  <si>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</si>
  <si>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</si>
  <si>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</si>
  <si>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</si>
  <si>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</si>
  <si>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</si>
  <si>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</si>
  <si>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</si>
  <si>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</si>
  <si>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</si>
  <si>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</si>
  <si>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</si>
  <si>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</si>
  <si>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</si>
  <si>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</si>
  <si>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</si>
  <si>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</si>
  <si>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</si>
  <si>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</si>
  <si>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</si>
  <si>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</si>
  <si>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</si>
  <si>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</si>
  <si>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</si>
  <si>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</si>
  <si>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</si>
  <si>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</si>
  <si>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</si>
  <si>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</si>
  <si>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</si>
  <si>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</si>
  <si>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</si>
  <si>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</si>
  <si>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</si>
  <si>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</si>
  <si>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</si>
  <si>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</si>
  <si>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</si>
  <si>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</si>
  <si>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</si>
  <si>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</si>
  <si>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</si>
  <si>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</si>
  <si>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</si>
  <si>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</si>
  <si>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</si>
  <si>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</si>
  <si>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</si>
  <si>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</si>
  <si>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</si>
  <si>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</si>
  <si>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</si>
  <si>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</si>
  <si>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</si>
  <si>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</si>
  <si>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</si>
  <si>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</si>
  <si>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</si>
  <si>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</si>
  <si>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</si>
  <si>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</si>
  <si>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</si>
  <si>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</si>
  <si>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</si>
  <si>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</si>
  <si>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</si>
  <si>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</si>
  <si>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</si>
  <si>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</si>
  <si>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</si>
  <si>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</si>
  <si>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</si>
  <si>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</si>
  <si>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</si>
  <si>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</si>
  <si>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</si>
  <si>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</si>
  <si>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</si>
  <si>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</si>
  <si>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</si>
  <si>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</si>
  <si>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</si>
  <si>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</si>
  <si>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</si>
  <si>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</si>
  <si>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</si>
  <si>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</si>
  <si>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</si>
  <si>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</si>
  <si>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</si>
  <si>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</si>
  <si>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</si>
  <si>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</si>
  <si>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</si>
  <si>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</si>
  <si>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</si>
  <si>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</si>
  <si>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</si>
  <si>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</si>
  <si>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</si>
  <si>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</si>
  <si>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</si>
  <si>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</si>
  <si>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</si>
  <si>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</si>
  <si>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</si>
  <si>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</si>
  <si>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</si>
  <si>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</si>
  <si>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</si>
  <si>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</si>
  <si>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</si>
  <si>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</si>
  <si>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</si>
  <si>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</si>
  <si>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</si>
  <si>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</si>
  <si>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</si>
  <si>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</si>
  <si>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</si>
  <si>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</si>
  <si>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</si>
  <si>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</si>
  <si>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</si>
  <si>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</si>
  <si>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</si>
  <si>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</si>
  <si>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</si>
  <si>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</si>
  <si>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</si>
  <si>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</si>
  <si>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</si>
  <si>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</si>
  <si>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</si>
  <si>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</si>
  <si>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</si>
  <si>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</si>
  <si>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</si>
  <si>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</si>
  <si>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</si>
  <si>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</si>
  <si>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</si>
  <si>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</si>
  <si>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</si>
  <si>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</si>
  <si>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</si>
  <si>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</si>
  <si>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</si>
  <si>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</si>
  <si>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</si>
  <si>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</si>
  <si>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</si>
  <si>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</si>
  <si>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</si>
  <si>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</si>
  <si>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</si>
  <si>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</si>
  <si>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</si>
  <si>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</si>
  <si>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</si>
  <si>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</si>
  <si>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</si>
  <si>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</si>
  <si>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</si>
  <si>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</si>
  <si>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</si>
  <si>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</si>
  <si>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</si>
  <si>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</si>
  <si>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</si>
  <si>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</si>
  <si>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</si>
  <si>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</si>
  <si>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</si>
  <si>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</si>
  <si>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</si>
  <si>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</si>
  <si>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</si>
  <si>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</si>
  <si>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</si>
  <si>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</si>
  <si>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</si>
  <si>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</si>
  <si>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</si>
  <si>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</si>
  <si>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</si>
  <si>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</si>
  <si>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</si>
  <si>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</si>
  <si>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</si>
  <si>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</si>
  <si>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</si>
  <si>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</si>
  <si>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</si>
  <si>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</si>
  <si>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</si>
  <si>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</si>
  <si>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</si>
  <si>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</si>
  <si>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</si>
  <si>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</si>
  <si>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</si>
  <si>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</si>
  <si>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</si>
  <si>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</si>
  <si>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</si>
  <si>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</si>
  <si>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</si>
  <si>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</si>
  <si>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</si>
  <si>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</si>
  <si>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</si>
  <si>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</si>
  <si>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</si>
  <si>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</si>
  <si>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</si>
  <si>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</si>
  <si>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</si>
  <si>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</si>
  <si>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</si>
  <si>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</si>
  <si>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</si>
  <si>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</si>
  <si>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</si>
  <si>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</si>
  <si>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</si>
  <si>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</si>
  <si>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</si>
  <si>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</si>
  <si>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</si>
  <si>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</si>
  <si>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</si>
  <si>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</si>
  <si>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</si>
  <si>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</si>
  <si>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</si>
  <si>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</si>
  <si>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</si>
  <si>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</si>
  <si>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</si>
  <si>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</si>
  <si>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</si>
  <si>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</si>
  <si>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</si>
  <si>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</si>
  <si>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</si>
  <si>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</si>
  <si>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</si>
  <si>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</si>
  <si>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</si>
  <si>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</si>
  <si>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</si>
  <si>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</si>
  <si>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</si>
  <si>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</si>
  <si>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</si>
  <si>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</si>
  <si>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</si>
  <si>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</si>
  <si>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</si>
  <si>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</si>
  <si>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</si>
  <si>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</si>
  <si>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</si>
  <si>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</si>
  <si>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</si>
  <si>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</si>
  <si>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</si>
  <si>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</si>
  <si>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</si>
  <si>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</si>
  <si>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</si>
  <si>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</si>
  <si>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</si>
  <si>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</si>
  <si>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</si>
  <si>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</si>
  <si>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</si>
  <si>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</si>
  <si>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</si>
  <si>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</si>
  <si>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</si>
  <si>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</si>
  <si>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</si>
  <si>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</si>
  <si>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</si>
  <si>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</si>
  <si>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</si>
  <si>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</si>
  <si>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</si>
  <si>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</si>
  <si>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</si>
  <si>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</si>
  <si>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</si>
  <si>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</si>
  <si>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</si>
  <si>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</si>
  <si>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</si>
  <si>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</si>
  <si>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</si>
  <si>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</si>
  <si>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</si>
  <si>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</si>
  <si>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</si>
  <si>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</si>
  <si>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</si>
  <si>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</si>
  <si>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</si>
  <si>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</si>
  <si>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</si>
  <si>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</si>
  <si>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</si>
  <si>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</si>
  <si>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</si>
  <si>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</si>
  <si>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</si>
  <si>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</si>
  <si>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</si>
  <si>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</si>
  <si>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</si>
  <si>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</si>
  <si>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</si>
  <si>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</si>
  <si>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</si>
  <si>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</si>
  <si>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</si>
  <si>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</si>
  <si>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</si>
  <si>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</si>
  <si>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</si>
  <si>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</si>
  <si>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</si>
  <si>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</si>
  <si>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</si>
  <si>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</si>
  <si>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</si>
  <si>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</si>
  <si>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</si>
  <si>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</si>
  <si>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</si>
  <si>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</si>
  <si>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</si>
  <si>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</si>
  <si>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</si>
  <si>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</si>
  <si>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</si>
  <si>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</si>
  <si>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</si>
  <si>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</si>
  <si>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</si>
  <si>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</si>
  <si>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</si>
  <si>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</si>
  <si>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</si>
  <si>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</si>
  <si>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</si>
  <si>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</si>
  <si>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</si>
  <si>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</si>
  <si>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</si>
  <si>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</si>
  <si>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</si>
  <si>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</si>
  <si>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</si>
  <si>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</si>
  <si>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</si>
  <si>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</si>
  <si>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</si>
  <si>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</si>
  <si>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</si>
  <si>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</si>
  <si>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</si>
  <si>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</si>
  <si>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</si>
  <si>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</si>
  <si>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</si>
  <si>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</si>
  <si>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</si>
  <si>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</si>
  <si>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</si>
  <si>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</si>
  <si>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</si>
  <si>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</si>
  <si>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</si>
  <si>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</si>
  <si>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</si>
  <si>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</si>
  <si>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</si>
  <si>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</si>
  <si>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</si>
  <si>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</si>
  <si>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</si>
  <si>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</si>
  <si>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</si>
  <si>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</si>
  <si>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</si>
  <si>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</si>
  <si>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</si>
  <si>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</si>
  <si>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</si>
  <si>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</si>
  <si>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</si>
  <si>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</si>
  <si>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</si>
  <si>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</si>
  <si>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</si>
  <si>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</si>
  <si>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</si>
  <si>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</si>
  <si>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</si>
  <si>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</si>
  <si>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</si>
  <si>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</si>
  <si>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</si>
  <si>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</si>
  <si>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</si>
  <si>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</si>
  <si>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</si>
  <si>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</si>
  <si>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</si>
  <si>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</si>
  <si>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</si>
  <si>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</si>
  <si>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</si>
  <si>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</si>
  <si>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</si>
  <si>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</si>
  <si>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</si>
  <si>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</si>
  <si>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</si>
  <si>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</si>
  <si>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</si>
  <si>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</si>
  <si>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</si>
  <si>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</si>
  <si>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</si>
  <si>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</si>
  <si>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</si>
  <si>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</si>
  <si>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</si>
  <si>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</si>
  <si>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</si>
  <si>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</si>
  <si>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</si>
  <si>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</si>
  <si>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</si>
  <si>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</si>
  <si>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</si>
  <si>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</si>
  <si>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</si>
  <si>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</si>
  <si>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</si>
  <si>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</si>
  <si>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</si>
  <si>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</si>
  <si>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</si>
  <si>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</si>
  <si>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</si>
  <si>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</si>
  <si>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</si>
  <si>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</si>
  <si>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</si>
  <si>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</si>
  <si>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</si>
  <si>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</si>
  <si>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</si>
  <si>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</si>
  <si>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</si>
  <si>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</si>
  <si>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</si>
  <si>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</si>
  <si>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</si>
  <si>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</si>
  <si>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</si>
  <si>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</si>
  <si>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</si>
  <si>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</si>
  <si>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</si>
  <si>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</si>
  <si>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</si>
  <si>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</si>
  <si>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</si>
  <si>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</si>
  <si>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</si>
  <si>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</si>
  <si>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</si>
  <si>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</si>
  <si>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</si>
  <si>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</si>
  <si>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</si>
  <si>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</si>
  <si>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</si>
  <si>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</si>
  <si>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</si>
  <si>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</si>
  <si>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</si>
  <si>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</si>
  <si>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</si>
  <si>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</si>
  <si>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</si>
  <si>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</si>
  <si>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</si>
  <si>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</si>
  <si>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</si>
  <si>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</si>
  <si>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</si>
  <si>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</si>
  <si>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</si>
  <si>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</si>
  <si>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</si>
  <si>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</si>
  <si>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</si>
  <si>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</si>
  <si>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</si>
  <si>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</si>
  <si>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</si>
  <si>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</si>
  <si>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</si>
  <si>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</si>
  <si>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</si>
  <si>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</si>
  <si>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</si>
  <si>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</si>
  <si>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</si>
  <si>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</si>
  <si>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</si>
  <si>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</si>
  <si>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</si>
  <si>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</si>
  <si>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</si>
  <si>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</si>
  <si>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</si>
  <si>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</si>
  <si>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</si>
  <si>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</si>
  <si>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</si>
  <si>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</si>
  <si>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</si>
  <si>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</si>
  <si>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</si>
  <si>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</si>
  <si>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</si>
  <si>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</si>
  <si>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</si>
  <si>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</si>
  <si>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</si>
  <si>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</si>
  <si>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</si>
  <si>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</si>
  <si>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</si>
  <si>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</si>
  <si>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</si>
  <si>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</si>
  <si>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</si>
  <si>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</si>
  <si>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</si>
  <si>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</si>
  <si>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</si>
  <si>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</si>
  <si>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</si>
  <si>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</si>
  <si>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</si>
  <si>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</si>
  <si>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</si>
  <si>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</si>
  <si>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</si>
  <si>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</si>
  <si>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</si>
  <si>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</si>
  <si>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</si>
  <si>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</si>
  <si>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</si>
  <si>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</si>
  <si>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</si>
  <si>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</si>
  <si>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</si>
  <si>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</si>
  <si>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</si>
  <si>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</si>
  <si>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</si>
  <si>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</si>
  <si>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</si>
  <si>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</si>
  <si>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</si>
  <si>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</si>
  <si>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</si>
  <si>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</si>
  <si>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</si>
  <si>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</si>
  <si>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</si>
  <si>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</si>
  <si>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</si>
  <si>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</si>
  <si>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</si>
  <si>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</si>
  <si>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</si>
  <si>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</si>
  <si>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</si>
  <si>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</si>
  <si>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</si>
  <si>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</si>
  <si>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</si>
  <si>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</si>
  <si>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</si>
  <si>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</si>
  <si>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</si>
  <si>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</si>
  <si>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</si>
  <si>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</si>
  <si>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</si>
  <si>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</si>
  <si>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</si>
  <si>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</si>
  <si>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</si>
  <si>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</si>
  <si>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</si>
  <si>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</si>
  <si>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</si>
  <si>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</si>
  <si>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</si>
  <si>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</si>
  <si>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</si>
  <si>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</si>
  <si>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</si>
  <si>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</si>
  <si>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</si>
  <si>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</si>
  <si>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</si>
  <si>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</si>
  <si>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</si>
  <si>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</si>
  <si>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</si>
  <si>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</si>
  <si>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</si>
  <si>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</si>
  <si>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</si>
  <si>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</si>
  <si>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</si>
  <si>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</si>
  <si>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</si>
  <si>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</si>
  <si>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</si>
  <si>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</si>
  <si>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</si>
  <si>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</si>
  <si>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</si>
  <si>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</si>
  <si>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</si>
  <si>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</si>
  <si>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</si>
  <si>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</si>
  <si>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</si>
  <si>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</si>
  <si>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</si>
  <si>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</si>
  <si>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</si>
  <si>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</si>
  <si>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</si>
  <si>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</si>
  <si>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</si>
  <si>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</si>
  <si>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</si>
  <si>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</si>
  <si>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</si>
  <si>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</si>
  <si>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</si>
  <si>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</si>
  <si>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</si>
  <si>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</si>
  <si>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</si>
  <si>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</si>
  <si>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</si>
  <si>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</si>
  <si>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</si>
  <si>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</si>
  <si>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</si>
  <si>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</si>
  <si>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</si>
  <si>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</si>
  <si>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</si>
  <si>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</si>
  <si>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</si>
  <si>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</si>
  <si>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</si>
  <si>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</si>
  <si>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</si>
  <si>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</si>
  <si>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</si>
  <si>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</si>
  <si>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</si>
  <si>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</si>
  <si>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</si>
  <si>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</si>
  <si>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</si>
  <si>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</si>
  <si>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</si>
  <si>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</si>
  <si>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</si>
  <si>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</si>
  <si>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</si>
  <si>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</si>
  <si>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</si>
  <si>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</si>
  <si>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</si>
  <si>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</si>
  <si>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</si>
  <si>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</si>
  <si>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</si>
  <si>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</si>
  <si>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</si>
  <si>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</si>
  <si>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</si>
  <si>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</si>
  <si>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</si>
  <si>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</si>
  <si>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</si>
  <si>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</si>
  <si>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</si>
  <si>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</si>
  <si>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</si>
  <si>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</si>
  <si>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</si>
  <si>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</si>
  <si>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</si>
  <si>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</si>
  <si>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</si>
  <si>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</si>
  <si>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</si>
  <si>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</si>
  <si>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</si>
  <si>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</si>
  <si>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</si>
  <si>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</si>
  <si>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</si>
  <si>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</si>
  <si>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</si>
  <si>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</si>
  <si>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</si>
  <si>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</si>
  <si>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</si>
  <si>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</si>
  <si>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</si>
  <si>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</si>
  <si>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</si>
  <si>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</si>
  <si>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</si>
  <si>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</si>
  <si>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</si>
  <si>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</si>
  <si>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</si>
  <si>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</si>
  <si>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</si>
  <si>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</si>
  <si>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</si>
  <si>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</si>
  <si>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</si>
  <si>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</si>
  <si>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</si>
  <si>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</si>
  <si>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</si>
  <si>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</si>
  <si>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</si>
  <si>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</si>
  <si>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</si>
  <si>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</si>
  <si>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</si>
  <si>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</si>
  <si>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</si>
  <si>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</si>
  <si>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</si>
  <si>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</si>
  <si>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</si>
  <si>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</si>
  <si>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</si>
  <si>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</si>
  <si>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</si>
  <si>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</si>
  <si>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</si>
  <si>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</si>
  <si>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</si>
  <si>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</si>
  <si>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</si>
  <si>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</si>
  <si>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</si>
  <si>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</si>
  <si>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</si>
  <si>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</si>
  <si>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</si>
  <si>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</si>
  <si>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</si>
  <si>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</si>
  <si>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</si>
  <si>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</si>
  <si>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</si>
  <si>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</si>
  <si>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</si>
  <si>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</si>
  <si>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</si>
  <si>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</si>
  <si>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</si>
  <si>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</si>
  <si>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</si>
  <si>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</si>
  <si>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</si>
  <si>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</si>
  <si>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</si>
  <si>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</si>
  <si>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</si>
  <si>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</si>
  <si>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</si>
  <si>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</si>
  <si>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</si>
  <si>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</si>
  <si>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</si>
  <si>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</si>
  <si>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</si>
  <si>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</si>
  <si>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</si>
  <si>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</si>
  <si>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</si>
  <si>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</si>
  <si>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</si>
  <si>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</si>
  <si>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</si>
  <si>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</si>
  <si>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</si>
  <si>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</si>
  <si>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</si>
  <si>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</si>
  <si>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</si>
  <si>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</si>
  <si>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</si>
  <si>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</si>
  <si>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</si>
  <si>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</si>
  <si>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</si>
  <si>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</si>
  <si>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</si>
  <si>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</si>
  <si>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</si>
  <si>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</si>
  <si>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</si>
  <si>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</si>
  <si>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</si>
  <si>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</si>
  <si>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</si>
  <si>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</si>
  <si>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</si>
  <si>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</si>
  <si>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</si>
  <si>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</si>
  <si>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</si>
  <si>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</si>
  <si>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</si>
  <si>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</si>
  <si>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</si>
  <si>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</si>
  <si>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</si>
  <si>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</si>
  <si>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</si>
  <si>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</si>
  <si>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</si>
  <si>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</si>
  <si>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</si>
  <si>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</si>
  <si>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</si>
  <si>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</si>
  <si>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</si>
  <si>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</si>
  <si>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</si>
  <si>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</si>
  <si>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</si>
  <si>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</si>
  <si>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</si>
  <si>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</si>
  <si>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</si>
  <si>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</si>
  <si>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</si>
  <si>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</si>
  <si>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</si>
  <si>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</si>
  <si>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</si>
  <si>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</si>
  <si>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</si>
  <si>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</si>
  <si>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</si>
  <si>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</si>
  <si>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</si>
  <si>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</si>
  <si>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</si>
  <si>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</si>
  <si>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</si>
  <si>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</si>
  <si>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</si>
  <si>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</si>
  <si>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</si>
  <si>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</si>
  <si>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</si>
  <si>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</si>
  <si>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</si>
  <si>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</si>
  <si>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</si>
  <si>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</si>
  <si>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</si>
  <si>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</si>
  <si>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</si>
  <si>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</si>
  <si>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</si>
  <si>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</si>
  <si>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</si>
  <si>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</si>
  <si>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</si>
  <si>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</si>
  <si>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</si>
  <si>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</si>
  <si>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</si>
  <si>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</si>
  <si>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</si>
  <si>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</si>
  <si>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</si>
  <si>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</si>
  <si>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</si>
  <si>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</si>
  <si>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</si>
  <si>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</si>
  <si>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</si>
  <si>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</si>
  <si>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</si>
  <si>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</si>
  <si>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</si>
  <si>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</si>
  <si>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</si>
  <si>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</si>
  <si>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</si>
  <si>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</si>
  <si>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</si>
  <si>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</si>
  <si>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</si>
  <si>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</si>
  <si>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</si>
  <si>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</si>
  <si>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</si>
  <si>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</si>
  <si>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</si>
  <si>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</si>
  <si>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</si>
  <si>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</si>
  <si>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</si>
  <si>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</si>
  <si>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</si>
  <si>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</si>
  <si>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</si>
  <si>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</si>
  <si>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</si>
  <si>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</si>
  <si>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</si>
  <si>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</si>
  <si>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</si>
  <si>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</si>
  <si>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</si>
  <si>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</si>
  <si>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</si>
  <si>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</si>
  <si>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</si>
  <si>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</si>
  <si>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</si>
  <si>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</si>
  <si>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</si>
  <si>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</si>
  <si>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</si>
  <si>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</si>
  <si>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</si>
  <si>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</si>
  <si>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</si>
  <si>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</si>
  <si>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</si>
  <si>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</si>
  <si>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</si>
  <si>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</si>
  <si>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</si>
  <si>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</si>
  <si>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</si>
  <si>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</si>
  <si>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</si>
  <si>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</si>
  <si>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</si>
  <si>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</si>
  <si>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</si>
  <si>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</si>
  <si>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</si>
  <si>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</si>
  <si>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</si>
  <si>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</si>
  <si>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</si>
  <si>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</si>
  <si>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</si>
  <si>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</si>
  <si>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</si>
  <si>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</si>
  <si>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</si>
  <si>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</si>
  <si>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</si>
  <si>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</si>
  <si>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</si>
  <si>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</si>
  <si>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</si>
  <si>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</si>
  <si>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</si>
  <si>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</si>
  <si>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</si>
  <si>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</si>
  <si>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</si>
  <si>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</si>
  <si>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</si>
  <si>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</si>
  <si>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</si>
  <si>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</si>
  <si>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</si>
  <si>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</si>
  <si>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</si>
  <si>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</si>
  <si>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</si>
  <si>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</si>
  <si>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</si>
  <si>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</si>
  <si>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</si>
  <si>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</si>
  <si>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</si>
  <si>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</si>
  <si>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</si>
  <si>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</si>
  <si>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</si>
  <si>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</si>
  <si>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</si>
  <si>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</si>
  <si>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</si>
  <si>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</si>
  <si>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</si>
  <si>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</si>
  <si>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</si>
  <si>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</si>
  <si>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</si>
  <si>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</si>
  <si>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</si>
  <si>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</si>
  <si>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</si>
  <si>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</si>
  <si>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</si>
  <si>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</si>
  <si>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</si>
  <si>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</si>
  <si>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</si>
  <si>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</si>
  <si>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</si>
  <si>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</si>
  <si>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</si>
  <si>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</si>
  <si>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</si>
  <si>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</si>
  <si>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</si>
  <si>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</si>
  <si>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</si>
  <si>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</si>
  <si>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</si>
  <si>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</si>
  <si>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</si>
  <si>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</si>
  <si>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</si>
  <si>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</si>
  <si>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</si>
  <si>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</si>
  <si>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</si>
  <si>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</si>
  <si>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</si>
  <si>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</si>
  <si>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</si>
  <si>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</si>
  <si>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</si>
  <si>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</si>
  <si>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</si>
  <si>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</si>
  <si>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</si>
  <si>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</si>
  <si>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</si>
  <si>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</si>
  <si>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</si>
  <si>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</si>
  <si>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</si>
  <si>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</si>
  <si>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</si>
  <si>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</si>
  <si>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</si>
  <si>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</si>
  <si>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</si>
  <si>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</si>
  <si>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</si>
  <si>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</si>
  <si>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</si>
  <si>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</si>
  <si>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</si>
  <si>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</si>
  <si>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</si>
  <si>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</si>
  <si>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</si>
  <si>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</si>
  <si>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</si>
  <si>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</si>
  <si>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</si>
  <si>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</si>
  <si>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</si>
  <si>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</si>
  <si>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</si>
  <si>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</si>
  <si>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</si>
  <si>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</si>
  <si>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</si>
  <si>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</si>
  <si>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</si>
  <si>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</si>
  <si>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</si>
  <si>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</si>
  <si>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</si>
  <si>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</si>
  <si>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</si>
  <si>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</si>
  <si>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</si>
  <si>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</si>
  <si>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</si>
  <si>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</si>
  <si>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</si>
  <si>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</si>
  <si>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</si>
  <si>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</si>
  <si>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</si>
  <si>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</si>
  <si>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</si>
  <si>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</si>
  <si>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</si>
  <si>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</si>
  <si>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</si>
  <si>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</si>
  <si>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</si>
  <si>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</si>
  <si>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</si>
  <si>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</si>
  <si>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</si>
  <si>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</si>
  <si>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</si>
  <si>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</si>
  <si>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</si>
  <si>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</si>
  <si>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</si>
  <si>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</si>
  <si>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</si>
  <si>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</si>
  <si>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</si>
  <si>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</si>
  <si>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</si>
  <si>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</si>
  <si>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</si>
  <si>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</si>
  <si>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</si>
  <si>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</si>
  <si>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</si>
  <si>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</si>
  <si>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</si>
  <si>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</si>
  <si>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</si>
  <si>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</si>
  <si>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</si>
  <si>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</si>
  <si>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</si>
  <si>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</si>
  <si>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</si>
  <si>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</si>
  <si>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</si>
  <si>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</si>
  <si>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</si>
  <si>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</si>
  <si>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</si>
  <si>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</si>
  <si>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</si>
  <si>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</si>
  <si>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</si>
  <si>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</si>
  <si>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</si>
  <si>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</si>
  <si>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</si>
  <si>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</si>
  <si>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</si>
  <si>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</si>
  <si>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</si>
  <si>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</si>
  <si>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</si>
  <si>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</si>
  <si>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</si>
  <si>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</si>
  <si>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</si>
  <si>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</si>
  <si>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</si>
  <si>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</si>
  <si>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</si>
  <si>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</si>
  <si>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</si>
  <si>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</si>
  <si>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</si>
  <si>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</si>
  <si>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</si>
  <si>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</si>
  <si>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</si>
  <si>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</si>
  <si>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</si>
  <si>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</si>
  <si>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</si>
  <si>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</si>
  <si>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</si>
  <si>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</si>
  <si>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</si>
  <si>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</si>
  <si>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</si>
  <si>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</si>
  <si>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</si>
  <si>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</si>
  <si>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</si>
  <si>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</si>
  <si>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</si>
  <si>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</si>
  <si>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</si>
  <si>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</si>
  <si>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</si>
  <si>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</si>
  <si>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</si>
  <si>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</si>
  <si>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</si>
  <si>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</si>
  <si>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</si>
  <si>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</si>
  <si>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</si>
  <si>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</si>
  <si>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</si>
  <si>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</si>
  <si>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</si>
  <si>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</si>
  <si>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</si>
  <si>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</si>
  <si>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</si>
  <si>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</si>
  <si>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</si>
  <si>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</si>
  <si>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</si>
  <si>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</si>
  <si>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</si>
  <si>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</si>
  <si>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</si>
  <si>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</si>
  <si>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</si>
  <si>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</si>
  <si>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</si>
  <si>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</si>
  <si>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</si>
  <si>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</si>
  <si>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</si>
  <si>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</si>
  <si>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</si>
  <si>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</si>
  <si>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</si>
  <si>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</si>
  <si>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</si>
  <si>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</si>
  <si>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</si>
  <si>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</si>
  <si>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</si>
  <si>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</si>
  <si>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</si>
  <si>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</si>
  <si>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</si>
  <si>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</si>
  <si>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</si>
  <si>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</si>
  <si>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</si>
  <si>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</si>
  <si>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</si>
  <si>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</si>
  <si>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</si>
  <si>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</si>
  <si>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</si>
  <si>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</si>
  <si>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</si>
  <si>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</si>
  <si>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</si>
  <si>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</si>
  <si>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</si>
  <si>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</si>
  <si>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</si>
  <si>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</si>
  <si>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</si>
  <si>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</si>
  <si>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</si>
  <si>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2042</t>
  </si>
  <si>
    <t>2226</t>
  </si>
  <si>
    <t>2386</t>
  </si>
  <si>
    <t>2387</t>
  </si>
  <si>
    <t>2446</t>
  </si>
  <si>
    <t>2458</t>
  </si>
  <si>
    <t>2507</t>
  </si>
  <si>
    <t>2638</t>
  </si>
  <si>
    <t>2639</t>
  </si>
  <si>
    <t>2641</t>
  </si>
  <si>
    <t>2669</t>
  </si>
  <si>
    <t>2672</t>
  </si>
  <si>
    <t>2682</t>
  </si>
  <si>
    <t>2685</t>
  </si>
  <si>
    <t>2881</t>
  </si>
  <si>
    <t>2886</t>
  </si>
  <si>
    <t>2894</t>
  </si>
  <si>
    <t>2931</t>
  </si>
  <si>
    <t>2934</t>
  </si>
  <si>
    <t>2954</t>
  </si>
  <si>
    <t>2961</t>
  </si>
  <si>
    <t>2968</t>
  </si>
  <si>
    <t>4163</t>
  </si>
  <si>
    <t>3010</t>
  </si>
  <si>
    <t>3019</t>
  </si>
  <si>
    <t>3035</t>
  </si>
  <si>
    <t>3050</t>
  </si>
  <si>
    <t>3058</t>
  </si>
  <si>
    <t>3063</t>
  </si>
  <si>
    <t>3069</t>
  </si>
  <si>
    <t>3115</t>
  </si>
  <si>
    <t>3126</t>
  </si>
  <si>
    <t>3140</t>
  </si>
  <si>
    <t>3146</t>
  </si>
  <si>
    <t>3156</t>
  </si>
  <si>
    <t>3165</t>
  </si>
  <si>
    <t>3193</t>
  </si>
  <si>
    <t>3241</t>
  </si>
  <si>
    <t>3254</t>
  </si>
  <si>
    <t>3282</t>
  </si>
  <si>
    <t>3339</t>
  </si>
  <si>
    <t>3379</t>
  </si>
  <si>
    <t>3387</t>
  </si>
  <si>
    <t>3413</t>
  </si>
  <si>
    <t>3419</t>
  </si>
  <si>
    <t>3448</t>
  </si>
  <si>
    <t>3469</t>
  </si>
  <si>
    <t>3490</t>
  </si>
  <si>
    <t>3504</t>
  </si>
  <si>
    <t>3535</t>
  </si>
  <si>
    <t>3537</t>
  </si>
  <si>
    <t>3551</t>
  </si>
  <si>
    <t>3563</t>
  </si>
  <si>
    <t>3595</t>
  </si>
  <si>
    <t>3604</t>
  </si>
  <si>
    <t>3605</t>
  </si>
  <si>
    <t>3626</t>
  </si>
  <si>
    <t>3646</t>
  </si>
  <si>
    <t>3647</t>
  </si>
  <si>
    <t>3663</t>
  </si>
  <si>
    <t>3667</t>
  </si>
  <si>
    <t>3873</t>
  </si>
  <si>
    <t>3735</t>
  </si>
  <si>
    <t>3757</t>
  </si>
  <si>
    <t>3768</t>
  </si>
  <si>
    <t>3771</t>
  </si>
  <si>
    <t>3785</t>
  </si>
  <si>
    <t>3798</t>
  </si>
  <si>
    <t>3808</t>
  </si>
  <si>
    <t>6900</t>
  </si>
  <si>
    <t>3828</t>
  </si>
  <si>
    <t>3829</t>
  </si>
  <si>
    <t>3888</t>
  </si>
  <si>
    <t>3902</t>
  </si>
  <si>
    <t>3920</t>
  </si>
  <si>
    <t>3926</t>
  </si>
  <si>
    <t>4056</t>
  </si>
  <si>
    <t>3974</t>
  </si>
  <si>
    <t>3977</t>
  </si>
  <si>
    <t>3984</t>
  </si>
  <si>
    <t>4044</t>
  </si>
  <si>
    <t>4047</t>
  </si>
  <si>
    <t>4058</t>
  </si>
  <si>
    <t>4131</t>
  </si>
  <si>
    <t>4139</t>
  </si>
  <si>
    <t>4149</t>
  </si>
  <si>
    <t>4152</t>
  </si>
  <si>
    <t>4158</t>
  </si>
  <si>
    <t>4181</t>
  </si>
  <si>
    <t>4195</t>
  </si>
  <si>
    <t>4204</t>
  </si>
  <si>
    <t>4205</t>
  </si>
  <si>
    <t>4207</t>
  </si>
  <si>
    <t>4226</t>
  </si>
  <si>
    <t>4227</t>
  </si>
  <si>
    <t>4228</t>
  </si>
  <si>
    <t>4242</t>
  </si>
  <si>
    <t>4264</t>
  </si>
  <si>
    <t>2AH0</t>
  </si>
  <si>
    <t>4293</t>
  </si>
  <si>
    <t>4296</t>
  </si>
  <si>
    <t>4311</t>
  </si>
  <si>
    <t>4313</t>
  </si>
  <si>
    <t>4314</t>
  </si>
  <si>
    <t>4319</t>
  </si>
  <si>
    <t>4332</t>
  </si>
  <si>
    <t>4336</t>
  </si>
  <si>
    <t>4349</t>
  </si>
  <si>
    <t>4372</t>
  </si>
  <si>
    <t>4386</t>
  </si>
  <si>
    <t>4399</t>
  </si>
  <si>
    <t>4401</t>
  </si>
  <si>
    <t>4412</t>
  </si>
  <si>
    <t>4415</t>
  </si>
  <si>
    <t>4416</t>
  </si>
  <si>
    <t>4435</t>
  </si>
  <si>
    <t>4469</t>
  </si>
  <si>
    <t>4471</t>
  </si>
  <si>
    <t>4472</t>
  </si>
  <si>
    <t>4501</t>
  </si>
  <si>
    <t>4530</t>
  </si>
  <si>
    <t>4546</t>
  </si>
  <si>
    <t>4547</t>
  </si>
  <si>
    <t>4548</t>
  </si>
  <si>
    <t>4549</t>
  </si>
  <si>
    <t>4550</t>
  </si>
  <si>
    <t>4557</t>
  </si>
  <si>
    <t>4558</t>
  </si>
  <si>
    <t>4562</t>
  </si>
  <si>
    <t>4573</t>
  </si>
  <si>
    <t>4576</t>
  </si>
  <si>
    <t>4578</t>
  </si>
  <si>
    <t>4590</t>
  </si>
  <si>
    <t>4593</t>
  </si>
  <si>
    <t>4606</t>
  </si>
  <si>
    <t>4607</t>
  </si>
  <si>
    <t>4616</t>
  </si>
  <si>
    <t>4618</t>
  </si>
  <si>
    <t>4619</t>
  </si>
  <si>
    <t>4620</t>
  </si>
  <si>
    <t>4621</t>
  </si>
  <si>
    <t>4623</t>
  </si>
  <si>
    <t>4366</t>
  </si>
  <si>
    <t>4686</t>
  </si>
  <si>
    <t>4687</t>
  </si>
  <si>
    <t>4694</t>
  </si>
  <si>
    <t>4704</t>
  </si>
  <si>
    <t>4730</t>
  </si>
  <si>
    <t>4751</t>
  </si>
  <si>
    <t>4763</t>
  </si>
  <si>
    <t>4772</t>
  </si>
  <si>
    <t>4784</t>
  </si>
  <si>
    <t>4786</t>
  </si>
  <si>
    <t>4787</t>
  </si>
  <si>
    <t>4818</t>
  </si>
  <si>
    <t>4819</t>
  </si>
  <si>
    <t>4823</t>
  </si>
  <si>
    <t>4846</t>
  </si>
  <si>
    <t>4858</t>
  </si>
  <si>
    <t>4860</t>
  </si>
  <si>
    <t>4862</t>
  </si>
  <si>
    <t>6691</t>
  </si>
  <si>
    <t>4868</t>
  </si>
  <si>
    <t>4884</t>
  </si>
  <si>
    <t>4921</t>
  </si>
  <si>
    <t>4932</t>
  </si>
  <si>
    <t>4938</t>
  </si>
  <si>
    <t>4960</t>
  </si>
  <si>
    <t>5006</t>
  </si>
  <si>
    <t>5027</t>
  </si>
  <si>
    <t>5077</t>
  </si>
  <si>
    <t>5078</t>
  </si>
  <si>
    <t>5086</t>
  </si>
  <si>
    <t>5124</t>
  </si>
  <si>
    <t>5130</t>
  </si>
  <si>
    <t>5187</t>
  </si>
  <si>
    <t>5194</t>
  </si>
  <si>
    <t>5198</t>
  </si>
  <si>
    <t>5199</t>
  </si>
  <si>
    <t>5228</t>
  </si>
  <si>
    <t>3812</t>
  </si>
  <si>
    <t>5234</t>
  </si>
  <si>
    <t>5241</t>
  </si>
  <si>
    <t>5251</t>
  </si>
  <si>
    <t>5252</t>
  </si>
  <si>
    <t>5271</t>
  </si>
  <si>
    <t>5274</t>
  </si>
  <si>
    <t>5278</t>
  </si>
  <si>
    <t>5291</t>
  </si>
  <si>
    <t>5301</t>
  </si>
  <si>
    <t>5314</t>
  </si>
  <si>
    <t>5329</t>
  </si>
  <si>
    <t>5330</t>
  </si>
  <si>
    <t>5333</t>
  </si>
  <si>
    <t>6798</t>
  </si>
  <si>
    <t>5359</t>
  </si>
  <si>
    <t>5360</t>
  </si>
  <si>
    <t>5364</t>
  </si>
  <si>
    <t>5383</t>
  </si>
  <si>
    <t>5410</t>
  </si>
  <si>
    <t>5420</t>
  </si>
  <si>
    <t>5436</t>
  </si>
  <si>
    <t>5455</t>
  </si>
  <si>
    <t>5460</t>
  </si>
  <si>
    <t>5461</t>
  </si>
  <si>
    <t>5483</t>
  </si>
  <si>
    <t>5493</t>
  </si>
  <si>
    <t>5518</t>
  </si>
  <si>
    <t>5529</t>
  </si>
  <si>
    <t>5531</t>
  </si>
  <si>
    <t>5545</t>
  </si>
  <si>
    <t>5549</t>
  </si>
  <si>
    <t>5551</t>
  </si>
  <si>
    <t>5571</t>
  </si>
  <si>
    <t>5588</t>
  </si>
  <si>
    <t>5606</t>
  </si>
  <si>
    <t>5626</t>
  </si>
  <si>
    <t>5652</t>
  </si>
  <si>
    <t>5707</t>
  </si>
  <si>
    <t>5712</t>
  </si>
  <si>
    <t>5717</t>
  </si>
  <si>
    <t>5718</t>
  </si>
  <si>
    <t>5725</t>
  </si>
  <si>
    <t>5756</t>
  </si>
  <si>
    <t>5785</t>
  </si>
  <si>
    <t>5789</t>
  </si>
  <si>
    <t>5794</t>
  </si>
  <si>
    <t>5795</t>
  </si>
  <si>
    <t>5798</t>
  </si>
  <si>
    <t>5808</t>
  </si>
  <si>
    <t>5809</t>
  </si>
  <si>
    <t>5823</t>
  </si>
  <si>
    <t>5826</t>
  </si>
  <si>
    <t>5904</t>
  </si>
  <si>
    <t>5983</t>
  </si>
  <si>
    <t>5984</t>
  </si>
  <si>
    <t>5999</t>
  </si>
  <si>
    <t>6000</t>
  </si>
  <si>
    <t>4661</t>
  </si>
  <si>
    <t>6011</t>
  </si>
  <si>
    <t>6029</t>
  </si>
  <si>
    <t>6031</t>
  </si>
  <si>
    <t>6032</t>
  </si>
  <si>
    <t>6034</t>
  </si>
  <si>
    <t>6035</t>
  </si>
  <si>
    <t>6055</t>
  </si>
  <si>
    <t>6056</t>
  </si>
  <si>
    <t>6058</t>
  </si>
  <si>
    <t>6066</t>
  </si>
  <si>
    <t>6069</t>
  </si>
  <si>
    <t>6070</t>
  </si>
  <si>
    <t>6086</t>
  </si>
  <si>
    <t>6089</t>
  </si>
  <si>
    <t>6096</t>
  </si>
  <si>
    <t>6097</t>
  </si>
  <si>
    <t>6102</t>
  </si>
  <si>
    <t>6103</t>
  </si>
  <si>
    <t>6122</t>
  </si>
  <si>
    <t>6124</t>
  </si>
  <si>
    <t>6138</t>
  </si>
  <si>
    <t>6150</t>
  </si>
  <si>
    <t>6159</t>
  </si>
  <si>
    <t>6164</t>
  </si>
  <si>
    <t>6186</t>
  </si>
  <si>
    <t>6188</t>
  </si>
  <si>
    <t>6190</t>
  </si>
  <si>
    <t>6227</t>
  </si>
  <si>
    <t>6235</t>
  </si>
  <si>
    <t>6239</t>
  </si>
  <si>
    <t>6245</t>
  </si>
  <si>
    <t>6246</t>
  </si>
  <si>
    <t>6250</t>
  </si>
  <si>
    <t>6259</t>
  </si>
  <si>
    <t>6272</t>
  </si>
  <si>
    <t>6273</t>
  </si>
  <si>
    <t>6275</t>
  </si>
  <si>
    <t>6276</t>
  </si>
  <si>
    <t>6277</t>
  </si>
  <si>
    <t>6319</t>
  </si>
  <si>
    <t>6354</t>
  </si>
  <si>
    <t>6358</t>
  </si>
  <si>
    <t>6359</t>
  </si>
  <si>
    <t>6373</t>
  </si>
  <si>
    <t>6389</t>
  </si>
  <si>
    <t>6390</t>
  </si>
  <si>
    <t>6409</t>
  </si>
  <si>
    <t>6413</t>
  </si>
  <si>
    <t>6415</t>
  </si>
  <si>
    <t>6421</t>
  </si>
  <si>
    <t>6429</t>
  </si>
  <si>
    <t>6468</t>
  </si>
  <si>
    <t>6469</t>
  </si>
  <si>
    <t>6478</t>
  </si>
  <si>
    <t>6483</t>
  </si>
  <si>
    <t>6488</t>
  </si>
  <si>
    <t>6506</t>
  </si>
  <si>
    <t>6507</t>
  </si>
  <si>
    <t>6534</t>
  </si>
  <si>
    <t>6544</t>
  </si>
  <si>
    <t>6545</t>
  </si>
  <si>
    <t>6558</t>
  </si>
  <si>
    <t>6566</t>
  </si>
  <si>
    <t>4278</t>
  </si>
  <si>
    <t>6573</t>
  </si>
  <si>
    <t>6581</t>
  </si>
  <si>
    <t>6591</t>
  </si>
  <si>
    <t>6594</t>
  </si>
  <si>
    <t>6607</t>
  </si>
  <si>
    <t>6608</t>
  </si>
  <si>
    <t>6649</t>
  </si>
  <si>
    <t>6651</t>
  </si>
  <si>
    <t>6654</t>
  </si>
  <si>
    <t>6662</t>
  </si>
  <si>
    <t>6672</t>
  </si>
  <si>
    <t>6687</t>
  </si>
  <si>
    <t>6693</t>
  </si>
  <si>
    <t>6699</t>
  </si>
  <si>
    <t>6702</t>
  </si>
  <si>
    <t>6710</t>
  </si>
  <si>
    <t>6711</t>
  </si>
  <si>
    <t>6730</t>
  </si>
  <si>
    <t>6734</t>
  </si>
  <si>
    <t>6735</t>
  </si>
  <si>
    <t>6744</t>
  </si>
  <si>
    <t>6756</t>
  </si>
  <si>
    <t>6757</t>
  </si>
  <si>
    <t>6772</t>
  </si>
  <si>
    <t>6781</t>
  </si>
  <si>
    <t>6782</t>
  </si>
  <si>
    <t>6785</t>
  </si>
  <si>
    <t>5232</t>
  </si>
  <si>
    <t>6796</t>
  </si>
  <si>
    <t>6797</t>
  </si>
  <si>
    <t>5335</t>
  </si>
  <si>
    <t>6803</t>
  </si>
  <si>
    <t>6815</t>
  </si>
  <si>
    <t>6817</t>
  </si>
  <si>
    <t>6818</t>
  </si>
  <si>
    <t>6823</t>
  </si>
  <si>
    <t>6840</t>
  </si>
  <si>
    <t>2991</t>
  </si>
  <si>
    <t>6846</t>
  </si>
  <si>
    <t>6860</t>
  </si>
  <si>
    <t>6863</t>
  </si>
  <si>
    <t>6869</t>
  </si>
  <si>
    <t>6874</t>
  </si>
  <si>
    <t>6885</t>
  </si>
  <si>
    <t>6920</t>
  </si>
  <si>
    <t>6934</t>
  </si>
  <si>
    <t>6935</t>
  </si>
  <si>
    <t>6951</t>
  </si>
  <si>
    <t>6952</t>
  </si>
  <si>
    <t>6974</t>
  </si>
  <si>
    <t>6985</t>
  </si>
  <si>
    <t>6997</t>
  </si>
  <si>
    <t>6999</t>
  </si>
  <si>
    <t>2A05</t>
  </si>
  <si>
    <t>2A07</t>
  </si>
  <si>
    <t>2A13</t>
  </si>
  <si>
    <t>3810</t>
  </si>
  <si>
    <t>2A46</t>
  </si>
  <si>
    <t>2A48</t>
  </si>
  <si>
    <t>2A65</t>
  </si>
  <si>
    <t>2A77</t>
  </si>
  <si>
    <t>2A81</t>
  </si>
  <si>
    <t>2A85</t>
  </si>
  <si>
    <t>2A88</t>
  </si>
  <si>
    <t>2AA5</t>
  </si>
  <si>
    <t>2AA8</t>
  </si>
  <si>
    <t>2AB0</t>
  </si>
  <si>
    <t>2AB1</t>
  </si>
  <si>
    <t>2AB6</t>
  </si>
  <si>
    <t>2AC7</t>
  </si>
  <si>
    <t>2AC8</t>
  </si>
  <si>
    <t>2AE0</t>
  </si>
  <si>
    <t>2AE2</t>
  </si>
  <si>
    <t>2AE9</t>
  </si>
  <si>
    <t>2AF5</t>
  </si>
  <si>
    <t>2AF7</t>
  </si>
  <si>
    <t>2AG2</t>
  </si>
  <si>
    <t>2AI1</t>
  </si>
  <si>
    <t>2AL4</t>
  </si>
  <si>
    <t>2AL5</t>
  </si>
  <si>
    <t>2AL7</t>
  </si>
  <si>
    <t>2AM4</t>
  </si>
  <si>
    <t>2AP9</t>
  </si>
  <si>
    <t>2AQ4</t>
  </si>
  <si>
    <t>2AR9</t>
  </si>
  <si>
    <t>2AY1</t>
  </si>
  <si>
    <t>2AAV</t>
  </si>
  <si>
    <t>2ABF</t>
  </si>
  <si>
    <t>2ABN</t>
  </si>
  <si>
    <t>2ABY</t>
  </si>
  <si>
    <t>2ADC</t>
  </si>
  <si>
    <t>6845</t>
  </si>
  <si>
    <t>2AEX</t>
  </si>
  <si>
    <t>2AEZ</t>
  </si>
  <si>
    <t>2A92</t>
  </si>
  <si>
    <t>2AFX</t>
  </si>
  <si>
    <t>2AGI</t>
  </si>
  <si>
    <t>2AGX</t>
  </si>
  <si>
    <t>2AGY</t>
  </si>
  <si>
    <t>2AHS</t>
  </si>
  <si>
    <t>2AHV</t>
  </si>
  <si>
    <t>2AKJ</t>
  </si>
  <si>
    <t>2ALN</t>
  </si>
  <si>
    <t>2AMB</t>
  </si>
  <si>
    <t>2ANU</t>
  </si>
  <si>
    <t>2ANT</t>
  </si>
  <si>
    <t>3283</t>
  </si>
  <si>
    <t>2AKI</t>
  </si>
  <si>
    <t>2ARR</t>
  </si>
  <si>
    <t>2AHK</t>
  </si>
  <si>
    <t>2AVK</t>
  </si>
  <si>
    <t>2AVM</t>
  </si>
  <si>
    <t>2AVI</t>
  </si>
  <si>
    <t>2B48</t>
  </si>
  <si>
    <t>2BC6</t>
  </si>
  <si>
    <t>2BC1</t>
  </si>
  <si>
    <t>2BE0</t>
  </si>
  <si>
    <t>2BH7</t>
  </si>
  <si>
    <t>2BH6</t>
  </si>
  <si>
    <t>2BH5</t>
  </si>
  <si>
    <t>4459</t>
  </si>
  <si>
    <t>4292</t>
  </si>
  <si>
    <t>2BI7</t>
  </si>
  <si>
    <t>2BK8</t>
  </si>
  <si>
    <t>2BP7</t>
  </si>
  <si>
    <t>2BN5</t>
  </si>
  <si>
    <t>3007</t>
  </si>
  <si>
    <t>3163</t>
  </si>
  <si>
    <t>3213</t>
  </si>
  <si>
    <t>3932</t>
  </si>
  <si>
    <t>3285</t>
  </si>
  <si>
    <t>3296</t>
  </si>
  <si>
    <t>3223</t>
  </si>
  <si>
    <t>3258</t>
  </si>
  <si>
    <t>3357</t>
  </si>
  <si>
    <t>3353</t>
  </si>
  <si>
    <t>3430</t>
  </si>
  <si>
    <t>3420</t>
  </si>
  <si>
    <t>3392</t>
  </si>
  <si>
    <t>3484</t>
  </si>
  <si>
    <t>3414</t>
  </si>
  <si>
    <t>3441</t>
  </si>
  <si>
    <t>3426</t>
  </si>
  <si>
    <t>3316</t>
  </si>
  <si>
    <t>3294</t>
  </si>
  <si>
    <t>3286</t>
  </si>
  <si>
    <t>3516</t>
  </si>
  <si>
    <t>3579</t>
  </si>
  <si>
    <t>3630</t>
  </si>
  <si>
    <t>3356</t>
  </si>
  <si>
    <t>3669</t>
  </si>
  <si>
    <t>3726</t>
  </si>
  <si>
    <t>3673</t>
  </si>
  <si>
    <t>3566</t>
  </si>
  <si>
    <t>3843</t>
  </si>
  <si>
    <t>3847</t>
  </si>
  <si>
    <t>3800</t>
  </si>
  <si>
    <t>3964</t>
  </si>
  <si>
    <t>4013</t>
  </si>
  <si>
    <t>3919</t>
  </si>
  <si>
    <t>3906</t>
  </si>
  <si>
    <t>4084</t>
  </si>
  <si>
    <t>4120</t>
  </si>
  <si>
    <t>4148</t>
  </si>
  <si>
    <t>4202</t>
  </si>
  <si>
    <t>4240</t>
  </si>
  <si>
    <t>3907</t>
  </si>
  <si>
    <t>4323</t>
  </si>
  <si>
    <t>4345</t>
  </si>
  <si>
    <t>4420</t>
  </si>
  <si>
    <t>4299</t>
  </si>
  <si>
    <t>4310</t>
  </si>
  <si>
    <t>4318</t>
  </si>
  <si>
    <t>4485</t>
  </si>
  <si>
    <t>4493</t>
  </si>
  <si>
    <t>4609</t>
  </si>
  <si>
    <t>4674</t>
  </si>
  <si>
    <t>4675</t>
  </si>
  <si>
    <t>4733</t>
  </si>
  <si>
    <t>4788</t>
  </si>
  <si>
    <t>4802</t>
  </si>
  <si>
    <t>5024</t>
  </si>
  <si>
    <t>5017</t>
  </si>
  <si>
    <t>5059</t>
  </si>
  <si>
    <t>5118</t>
  </si>
  <si>
    <t>5141</t>
  </si>
  <si>
    <t>5182</t>
  </si>
  <si>
    <t>5213</t>
  </si>
  <si>
    <t>4962</t>
  </si>
  <si>
    <t>4963</t>
  </si>
  <si>
    <t>5046</t>
  </si>
  <si>
    <t>5164</t>
  </si>
  <si>
    <t>5172</t>
  </si>
  <si>
    <t>5211</t>
  </si>
  <si>
    <t>5237</t>
  </si>
  <si>
    <t>5107</t>
  </si>
  <si>
    <t>5149</t>
  </si>
  <si>
    <t>5151</t>
  </si>
  <si>
    <t>5193</t>
  </si>
  <si>
    <t>5200</t>
  </si>
  <si>
    <t>5106</t>
  </si>
  <si>
    <t>5127</t>
  </si>
  <si>
    <t>5212</t>
  </si>
  <si>
    <t>5243</t>
  </si>
  <si>
    <t>5276</t>
  </si>
  <si>
    <t>5242</t>
  </si>
  <si>
    <t>5253</t>
  </si>
  <si>
    <t>5356</t>
  </si>
  <si>
    <t>5391</t>
  </si>
  <si>
    <t>5435</t>
  </si>
  <si>
    <t>5447</t>
  </si>
  <si>
    <t>5450</t>
  </si>
  <si>
    <t>5103</t>
  </si>
  <si>
    <t>5201</t>
  </si>
  <si>
    <t>5357</t>
  </si>
  <si>
    <t>5462</t>
  </si>
  <si>
    <t>5240</t>
  </si>
  <si>
    <t>5299</t>
  </si>
  <si>
    <t>5384</t>
  </si>
  <si>
    <t>5386</t>
  </si>
  <si>
    <t>5419</t>
  </si>
  <si>
    <t>5437</t>
  </si>
  <si>
    <t>5414</t>
  </si>
  <si>
    <t>5477</t>
  </si>
  <si>
    <t>5544</t>
  </si>
  <si>
    <t>6020</t>
  </si>
  <si>
    <t>5476</t>
  </si>
  <si>
    <t>5498</t>
  </si>
  <si>
    <t>5521</t>
  </si>
  <si>
    <t>5550</t>
  </si>
  <si>
    <t>5494</t>
  </si>
  <si>
    <t>5650</t>
  </si>
  <si>
    <t>5733</t>
  </si>
  <si>
    <t>5734</t>
  </si>
  <si>
    <t>5745</t>
  </si>
  <si>
    <t>5854</t>
  </si>
  <si>
    <t>5781</t>
  </si>
  <si>
    <t>2ALM</t>
  </si>
  <si>
    <t>6030</t>
  </si>
  <si>
    <t>5971</t>
  </si>
  <si>
    <t>6008</t>
  </si>
  <si>
    <t>6133</t>
  </si>
  <si>
    <t>6144</t>
  </si>
  <si>
    <t>5980</t>
  </si>
  <si>
    <t>6105</t>
  </si>
  <si>
    <t>5833</t>
  </si>
  <si>
    <t>6151</t>
  </si>
  <si>
    <t>2A25</t>
  </si>
  <si>
    <t>6134</t>
  </si>
  <si>
    <t>6230</t>
  </si>
  <si>
    <t>6187</t>
  </si>
  <si>
    <t>6229</t>
  </si>
  <si>
    <t>6192</t>
  </si>
  <si>
    <t>6206</t>
  </si>
  <si>
    <t>6010</t>
  </si>
  <si>
    <t>6211</t>
  </si>
  <si>
    <t>6216</t>
  </si>
  <si>
    <t>6241</t>
  </si>
  <si>
    <t>6260</t>
  </si>
  <si>
    <t>6228</t>
  </si>
  <si>
    <t>6278</t>
  </si>
  <si>
    <t>6267</t>
  </si>
  <si>
    <t>6317</t>
  </si>
  <si>
    <t>6339</t>
  </si>
  <si>
    <t>6318</t>
  </si>
  <si>
    <t>6382</t>
  </si>
  <si>
    <t>6404</t>
  </si>
  <si>
    <t>6408</t>
  </si>
  <si>
    <t>6410</t>
  </si>
  <si>
    <t>6473</t>
  </si>
  <si>
    <t>6411</t>
  </si>
  <si>
    <t>6474</t>
  </si>
  <si>
    <t>6406</t>
  </si>
  <si>
    <t>6487</t>
  </si>
  <si>
    <t>6504</t>
  </si>
  <si>
    <t>6505</t>
  </si>
  <si>
    <t>6515</t>
  </si>
  <si>
    <t>6499</t>
  </si>
  <si>
    <t>6530</t>
  </si>
  <si>
    <t>6475</t>
  </si>
  <si>
    <t>6500</t>
  </si>
  <si>
    <t>6531</t>
  </si>
  <si>
    <t>6537</t>
  </si>
  <si>
    <t>6549</t>
  </si>
  <si>
    <t>6550</t>
  </si>
  <si>
    <t>6547</t>
  </si>
  <si>
    <t>6458</t>
  </si>
  <si>
    <t>6519</t>
  </si>
  <si>
    <t>6536</t>
  </si>
  <si>
    <t>6565</t>
  </si>
  <si>
    <t>6567</t>
  </si>
  <si>
    <t>6582</t>
  </si>
  <si>
    <t>6615</t>
  </si>
  <si>
    <t>6616</t>
  </si>
  <si>
    <t>6617</t>
  </si>
  <si>
    <t>6626</t>
  </si>
  <si>
    <t>6572</t>
  </si>
  <si>
    <t>6609</t>
  </si>
  <si>
    <t>6655</t>
  </si>
  <si>
    <t>6656</t>
  </si>
  <si>
    <t>6657</t>
  </si>
  <si>
    <t>6670</t>
  </si>
  <si>
    <t>6678</t>
  </si>
  <si>
    <t>6682</t>
  </si>
  <si>
    <t>6703</t>
  </si>
  <si>
    <t>6688</t>
  </si>
  <si>
    <t>6674</t>
  </si>
  <si>
    <t>6704</t>
  </si>
  <si>
    <t>6715</t>
  </si>
  <si>
    <t>6731</t>
  </si>
  <si>
    <t>6597</t>
  </si>
  <si>
    <t>6916</t>
  </si>
  <si>
    <t>6729</t>
  </si>
  <si>
    <t>6748</t>
  </si>
  <si>
    <t>6759</t>
  </si>
  <si>
    <t>6701</t>
  </si>
  <si>
    <t>6795</t>
  </si>
  <si>
    <t>6799</t>
  </si>
  <si>
    <t>6824</t>
  </si>
  <si>
    <t>6825</t>
  </si>
  <si>
    <t>6827</t>
  </si>
  <si>
    <t>6828</t>
  </si>
  <si>
    <t>6830</t>
  </si>
  <si>
    <t>6832</t>
  </si>
  <si>
    <t>6833</t>
  </si>
  <si>
    <t>6841</t>
  </si>
  <si>
    <t>6843</t>
  </si>
  <si>
    <t>6851</t>
  </si>
  <si>
    <t>6810</t>
  </si>
  <si>
    <t>4867</t>
  </si>
  <si>
    <t>6918</t>
  </si>
  <si>
    <t>6571</t>
  </si>
  <si>
    <t>6921</t>
  </si>
  <si>
    <t>6938</t>
  </si>
  <si>
    <t>6928</t>
  </si>
  <si>
    <t>6931</t>
  </si>
  <si>
    <t>6993</t>
  </si>
  <si>
    <t>2A01</t>
  </si>
  <si>
    <t>2A18</t>
  </si>
  <si>
    <t>2A32</t>
  </si>
  <si>
    <t>2AE7</t>
  </si>
  <si>
    <t>2AB7</t>
  </si>
  <si>
    <t>2AG1</t>
  </si>
  <si>
    <t>2AE1</t>
  </si>
  <si>
    <t>2AE6</t>
  </si>
  <si>
    <t>2AH6</t>
  </si>
  <si>
    <t>2AG3</t>
  </si>
  <si>
    <t>2AK8</t>
  </si>
  <si>
    <t>2AN7</t>
  </si>
  <si>
    <t>2AO2</t>
  </si>
  <si>
    <t>2ACY</t>
  </si>
  <si>
    <t>2ANO</t>
  </si>
  <si>
    <t>2AOM</t>
  </si>
  <si>
    <t>2AJC</t>
  </si>
  <si>
    <t>2AQT</t>
  </si>
  <si>
    <t>2AKX</t>
  </si>
  <si>
    <t>2BS6</t>
  </si>
  <si>
    <t>2BS7</t>
  </si>
  <si>
    <t>2BU6</t>
  </si>
  <si>
    <t>2023</t>
  </si>
  <si>
    <t>2026</t>
  </si>
  <si>
    <t>2030</t>
  </si>
  <si>
    <t>2035</t>
  </si>
  <si>
    <t>2036</t>
  </si>
  <si>
    <t>2043</t>
  </si>
  <si>
    <t>2045</t>
  </si>
  <si>
    <t>2052</t>
  </si>
  <si>
    <t>2107</t>
  </si>
  <si>
    <t>2227</t>
  </si>
  <si>
    <t>2503</t>
  </si>
  <si>
    <t>2615</t>
  </si>
  <si>
    <t>2721</t>
  </si>
  <si>
    <t>2882</t>
  </si>
  <si>
    <t>2891</t>
  </si>
  <si>
    <t>2892</t>
  </si>
  <si>
    <t>2929</t>
  </si>
  <si>
    <t>2965</t>
  </si>
  <si>
    <t>2988</t>
  </si>
  <si>
    <t>3016</t>
  </si>
  <si>
    <t>3078</t>
  </si>
  <si>
    <t>3079</t>
  </si>
  <si>
    <t>3084</t>
  </si>
  <si>
    <t>3112</t>
  </si>
  <si>
    <t>3135</t>
  </si>
  <si>
    <t>3147</t>
  </si>
  <si>
    <t>3157</t>
  </si>
  <si>
    <t>3158</t>
  </si>
  <si>
    <t>3173</t>
  </si>
  <si>
    <t>3175</t>
  </si>
  <si>
    <t>3185</t>
  </si>
  <si>
    <t>3204</t>
  </si>
  <si>
    <t>3205</t>
  </si>
  <si>
    <t>3218</t>
  </si>
  <si>
    <t>3242</t>
  </si>
  <si>
    <t>3243</t>
  </si>
  <si>
    <t>3259</t>
  </si>
  <si>
    <t>3274</t>
  </si>
  <si>
    <t>3287</t>
  </si>
  <si>
    <t>3305</t>
  </si>
  <si>
    <t>3321</t>
  </si>
  <si>
    <t>3327</t>
  </si>
  <si>
    <t>3331</t>
  </si>
  <si>
    <t>3352</t>
  </si>
  <si>
    <t>3355</t>
  </si>
  <si>
    <t>3359</t>
  </si>
  <si>
    <t>3360</t>
  </si>
  <si>
    <t>3376</t>
  </si>
  <si>
    <t>3386</t>
  </si>
  <si>
    <t>3388</t>
  </si>
  <si>
    <t>3394</t>
  </si>
  <si>
    <t>3396</t>
  </si>
  <si>
    <t>3397</t>
  </si>
  <si>
    <t>3399</t>
  </si>
  <si>
    <t>3409</t>
  </si>
  <si>
    <t>3411</t>
  </si>
  <si>
    <t>3422</t>
  </si>
  <si>
    <t>3424</t>
  </si>
  <si>
    <t>3425</t>
  </si>
  <si>
    <t>3427</t>
  </si>
  <si>
    <t>3443</t>
  </si>
  <si>
    <t>3444</t>
  </si>
  <si>
    <t>3445</t>
  </si>
  <si>
    <t>3449</t>
  </si>
  <si>
    <t>3456</t>
  </si>
  <si>
    <t>3457</t>
  </si>
  <si>
    <t>3473</t>
  </si>
  <si>
    <t>3502</t>
  </si>
  <si>
    <t>3505</t>
  </si>
  <si>
    <t>3508</t>
  </si>
  <si>
    <t>3533</t>
  </si>
  <si>
    <t>3534</t>
  </si>
  <si>
    <t>3559</t>
  </si>
  <si>
    <t>3562</t>
  </si>
  <si>
    <t>3578</t>
  </si>
  <si>
    <t>3590</t>
  </si>
  <si>
    <t>3592</t>
  </si>
  <si>
    <t>3593</t>
  </si>
  <si>
    <t>3594</t>
  </si>
  <si>
    <t>3596</t>
  </si>
  <si>
    <t>3612</t>
  </si>
  <si>
    <t>3619</t>
  </si>
  <si>
    <t>3620</t>
  </si>
  <si>
    <t>3634</t>
  </si>
  <si>
    <t>3635</t>
  </si>
  <si>
    <t>3644</t>
  </si>
  <si>
    <t>3645</t>
  </si>
  <si>
    <t>3666</t>
  </si>
  <si>
    <t>3670</t>
  </si>
  <si>
    <t>3671</t>
  </si>
  <si>
    <t>3677</t>
  </si>
  <si>
    <t>3678</t>
  </si>
  <si>
    <t>3695</t>
  </si>
  <si>
    <t>3697</t>
  </si>
  <si>
    <t>3705</t>
  </si>
  <si>
    <t>3736</t>
  </si>
  <si>
    <t>3740</t>
  </si>
  <si>
    <t>3742</t>
  </si>
  <si>
    <t>3758</t>
  </si>
  <si>
    <t>3759</t>
  </si>
  <si>
    <t>3760</t>
  </si>
  <si>
    <t>3769</t>
  </si>
  <si>
    <t>3770</t>
  </si>
  <si>
    <t>3774</t>
  </si>
  <si>
    <t>3775</t>
  </si>
  <si>
    <t>3780</t>
  </si>
  <si>
    <t>3783</t>
  </si>
  <si>
    <t>3788</t>
  </si>
  <si>
    <t>3802</t>
  </si>
  <si>
    <t>3807</t>
  </si>
  <si>
    <t>3811</t>
  </si>
  <si>
    <t>3814</t>
  </si>
  <si>
    <t>3816</t>
  </si>
  <si>
    <t>3831</t>
  </si>
  <si>
    <t>3834</t>
  </si>
  <si>
    <t>3855</t>
  </si>
  <si>
    <t>3870</t>
  </si>
  <si>
    <t>3880</t>
  </si>
  <si>
    <t>3892</t>
  </si>
  <si>
    <t>3894</t>
  </si>
  <si>
    <t>3904</t>
  </si>
  <si>
    <t>3911</t>
  </si>
  <si>
    <t>3921</t>
  </si>
  <si>
    <t>3922</t>
  </si>
  <si>
    <t>3933</t>
  </si>
  <si>
    <t>3934</t>
  </si>
  <si>
    <t>3946</t>
  </si>
  <si>
    <t>3947</t>
  </si>
  <si>
    <t>3965</t>
  </si>
  <si>
    <t>3970</t>
  </si>
  <si>
    <t>3971</t>
  </si>
  <si>
    <t>3976</t>
  </si>
  <si>
    <t>3983</t>
  </si>
  <si>
    <t>3996</t>
  </si>
  <si>
    <t>4012</t>
  </si>
  <si>
    <t>4016</t>
  </si>
  <si>
    <t>4027</t>
  </si>
  <si>
    <t>4045</t>
  </si>
  <si>
    <t>4055</t>
  </si>
  <si>
    <t>5358</t>
  </si>
  <si>
    <t>4073</t>
  </si>
  <si>
    <t>4074</t>
  </si>
  <si>
    <t>4090</t>
  </si>
  <si>
    <t>4091</t>
  </si>
  <si>
    <t>4092</t>
  </si>
  <si>
    <t>4100</t>
  </si>
  <si>
    <t>4112</t>
  </si>
  <si>
    <t>4132</t>
  </si>
  <si>
    <t>4145</t>
  </si>
  <si>
    <t>4146</t>
  </si>
  <si>
    <t>4147</t>
  </si>
  <si>
    <t>4150</t>
  </si>
  <si>
    <t>4151</t>
  </si>
  <si>
    <t>4154</t>
  </si>
  <si>
    <t>4162</t>
  </si>
  <si>
    <t>6786</t>
  </si>
  <si>
    <t>4165</t>
  </si>
  <si>
    <t>4182</t>
  </si>
  <si>
    <t>4186</t>
  </si>
  <si>
    <t>4187</t>
  </si>
  <si>
    <t>4194</t>
  </si>
  <si>
    <t>4200</t>
  </si>
  <si>
    <t>4203</t>
  </si>
  <si>
    <t>4209</t>
  </si>
  <si>
    <t>4223</t>
  </si>
  <si>
    <t>4224</t>
  </si>
  <si>
    <t>4229</t>
  </si>
  <si>
    <t>4239</t>
  </si>
  <si>
    <t>4250</t>
  </si>
  <si>
    <t>4251</t>
  </si>
  <si>
    <t>4257</t>
  </si>
  <si>
    <t>4268</t>
  </si>
  <si>
    <t>4281</t>
  </si>
  <si>
    <t>4285</t>
  </si>
  <si>
    <t>4286</t>
  </si>
  <si>
    <t>4290</t>
  </si>
  <si>
    <t>4297</t>
  </si>
  <si>
    <t>4303</t>
  </si>
  <si>
    <t>4312</t>
  </si>
  <si>
    <t>4320</t>
  </si>
  <si>
    <t>4324</t>
  </si>
  <si>
    <t>4330</t>
  </si>
  <si>
    <t>4351</t>
  </si>
  <si>
    <t>4352</t>
  </si>
  <si>
    <t>4354</t>
  </si>
  <si>
    <t>6003</t>
  </si>
  <si>
    <t>4376</t>
  </si>
  <si>
    <t>4378</t>
  </si>
  <si>
    <t>4381</t>
  </si>
  <si>
    <t>4382</t>
  </si>
  <si>
    <t>4383</t>
  </si>
  <si>
    <t>4384</t>
  </si>
  <si>
    <t>4388</t>
  </si>
  <si>
    <t>4390</t>
  </si>
  <si>
    <t>4393</t>
  </si>
  <si>
    <t>4395</t>
  </si>
  <si>
    <t>4396</t>
  </si>
  <si>
    <t>4397</t>
  </si>
  <si>
    <t>4405</t>
  </si>
  <si>
    <t>4421</t>
  </si>
  <si>
    <t>4441</t>
  </si>
  <si>
    <t>4462</t>
  </si>
  <si>
    <t>4463</t>
  </si>
  <si>
    <t>4465</t>
  </si>
  <si>
    <t>4468</t>
  </si>
  <si>
    <t>4506</t>
  </si>
  <si>
    <t>4510</t>
  </si>
  <si>
    <t>4569</t>
  </si>
  <si>
    <t>4608</t>
  </si>
  <si>
    <t>4615</t>
  </si>
  <si>
    <t>4662</t>
  </si>
  <si>
    <t>4673</t>
  </si>
  <si>
    <t>4774</t>
  </si>
  <si>
    <t>4779</t>
  </si>
  <si>
    <t>4783</t>
  </si>
  <si>
    <t>4785</t>
  </si>
  <si>
    <t>4808</t>
  </si>
  <si>
    <t>4821</t>
  </si>
  <si>
    <t>4881</t>
  </si>
  <si>
    <t>4895</t>
  </si>
  <si>
    <t>4915</t>
  </si>
  <si>
    <t>4922</t>
  </si>
  <si>
    <t>4935</t>
  </si>
  <si>
    <t>4937</t>
  </si>
  <si>
    <t>4940</t>
  </si>
  <si>
    <t>4943</t>
  </si>
  <si>
    <t>4948</t>
  </si>
  <si>
    <t>4952</t>
  </si>
  <si>
    <t>5005</t>
  </si>
  <si>
    <t>5007</t>
  </si>
  <si>
    <t>5019</t>
  </si>
  <si>
    <t>5025</t>
  </si>
  <si>
    <t>5026</t>
  </si>
  <si>
    <t>5029</t>
  </si>
  <si>
    <t>5043</t>
  </si>
  <si>
    <t>5115</t>
  </si>
  <si>
    <t>5126</t>
  </si>
  <si>
    <t>5140</t>
  </si>
  <si>
    <t>5230</t>
  </si>
  <si>
    <t>5231</t>
  </si>
  <si>
    <t>5233</t>
  </si>
  <si>
    <t>5238</t>
  </si>
  <si>
    <t>5269</t>
  </si>
  <si>
    <t>5270</t>
  </si>
  <si>
    <t>5334</t>
  </si>
  <si>
    <t>5338</t>
  </si>
  <si>
    <t>5354</t>
  </si>
  <si>
    <t>5355</t>
  </si>
  <si>
    <t>5387</t>
  </si>
  <si>
    <t>5388</t>
  </si>
  <si>
    <t>5427</t>
  </si>
  <si>
    <t>5449</t>
  </si>
  <si>
    <t>5451</t>
  </si>
  <si>
    <t>5459</t>
  </si>
  <si>
    <t>5479</t>
  </si>
  <si>
    <t>5480</t>
  </si>
  <si>
    <t>5499</t>
  </si>
  <si>
    <t>5517</t>
  </si>
  <si>
    <t>5532</t>
  </si>
  <si>
    <t>5547</t>
  </si>
  <si>
    <t>5548</t>
  </si>
  <si>
    <t>5556</t>
  </si>
  <si>
    <t>5557</t>
  </si>
  <si>
    <t>5591</t>
  </si>
  <si>
    <t>5637</t>
  </si>
  <si>
    <t>5647</t>
  </si>
  <si>
    <t>5648</t>
  </si>
  <si>
    <t>5657</t>
  </si>
  <si>
    <t>5755</t>
  </si>
  <si>
    <t>5776</t>
  </si>
  <si>
    <t>5786</t>
  </si>
  <si>
    <t>5793</t>
  </si>
  <si>
    <t>5822</t>
  </si>
  <si>
    <t>5824</t>
  </si>
  <si>
    <t>5827</t>
  </si>
  <si>
    <t>5839</t>
  </si>
  <si>
    <t>5840</t>
  </si>
  <si>
    <t>5920</t>
  </si>
  <si>
    <t>5972</t>
  </si>
  <si>
    <t>5973</t>
  </si>
  <si>
    <t>5979</t>
  </si>
  <si>
    <t>6001</t>
  </si>
  <si>
    <t>6002</t>
  </si>
  <si>
    <t>6009</t>
  </si>
  <si>
    <t>6036</t>
  </si>
  <si>
    <t>6057</t>
  </si>
  <si>
    <t>6060</t>
  </si>
  <si>
    <t>6065</t>
  </si>
  <si>
    <t>6067</t>
  </si>
  <si>
    <t>6068</t>
  </si>
  <si>
    <t>6088</t>
  </si>
  <si>
    <t>6113</t>
  </si>
  <si>
    <t>6114</t>
  </si>
  <si>
    <t>6123</t>
  </si>
  <si>
    <t>6135</t>
  </si>
  <si>
    <t>6143</t>
  </si>
  <si>
    <t>6145</t>
  </si>
  <si>
    <t>6158</t>
  </si>
  <si>
    <t>6160</t>
  </si>
  <si>
    <t>6185</t>
  </si>
  <si>
    <t>6203</t>
  </si>
  <si>
    <t>6220</t>
  </si>
  <si>
    <t>6234</t>
  </si>
  <si>
    <t>6242</t>
  </si>
  <si>
    <t>6254</t>
  </si>
  <si>
    <t>6256</t>
  </si>
  <si>
    <t>6266</t>
  </si>
  <si>
    <t>6279</t>
  </si>
  <si>
    <t>6283</t>
  </si>
  <si>
    <t>6290</t>
  </si>
  <si>
    <t>6295</t>
  </si>
  <si>
    <t>6305</t>
  </si>
  <si>
    <t>6316</t>
  </si>
  <si>
    <t>6343</t>
  </si>
  <si>
    <t>6350</t>
  </si>
  <si>
    <t>6383</t>
  </si>
  <si>
    <t>6391</t>
  </si>
  <si>
    <t>6416</t>
  </si>
  <si>
    <t>6422</t>
  </si>
  <si>
    <t>6426</t>
  </si>
  <si>
    <t>6427</t>
  </si>
  <si>
    <t>6437</t>
  </si>
  <si>
    <t>6461</t>
  </si>
  <si>
    <t>6463</t>
  </si>
  <si>
    <t>6472</t>
  </si>
  <si>
    <t>6497</t>
  </si>
  <si>
    <t>6508</t>
  </si>
  <si>
    <t>6518</t>
  </si>
  <si>
    <t>6590</t>
  </si>
  <si>
    <t>6593</t>
  </si>
  <si>
    <t>6596</t>
  </si>
  <si>
    <t>6606</t>
  </si>
  <si>
    <t>6618</t>
  </si>
  <si>
    <t>6650</t>
  </si>
  <si>
    <t>6652</t>
  </si>
  <si>
    <t>6653</t>
  </si>
  <si>
    <t>6658</t>
  </si>
  <si>
    <t>6673</t>
  </si>
  <si>
    <t>6675</t>
  </si>
  <si>
    <t>6692</t>
  </si>
  <si>
    <t>6705</t>
  </si>
  <si>
    <t>6709</t>
  </si>
  <si>
    <t>6716</t>
  </si>
  <si>
    <t>6771</t>
  </si>
  <si>
    <t>6773</t>
  </si>
  <si>
    <t>6802</t>
  </si>
  <si>
    <t>6826</t>
  </si>
  <si>
    <t>6829</t>
  </si>
  <si>
    <t>6839</t>
  </si>
  <si>
    <t>6842</t>
  </si>
  <si>
    <t>6844</t>
  </si>
  <si>
    <t>6859</t>
  </si>
  <si>
    <t>6875</t>
  </si>
  <si>
    <t>6886</t>
  </si>
  <si>
    <t>6896</t>
  </si>
  <si>
    <t>6897</t>
  </si>
  <si>
    <t>6889</t>
  </si>
  <si>
    <t>6932</t>
  </si>
  <si>
    <t>6943</t>
  </si>
  <si>
    <t>6953</t>
  </si>
  <si>
    <t>6957</t>
  </si>
  <si>
    <t>6964</t>
  </si>
  <si>
    <t>6970</t>
  </si>
  <si>
    <t>6992</t>
  </si>
  <si>
    <t>2A10</t>
  </si>
  <si>
    <t>2A12</t>
  </si>
  <si>
    <t>2A19</t>
  </si>
  <si>
    <t>2A39</t>
  </si>
  <si>
    <t>2A40</t>
  </si>
  <si>
    <t>2A49</t>
  </si>
  <si>
    <t>2AC9</t>
  </si>
  <si>
    <t>2AF4</t>
  </si>
  <si>
    <t>2AG4</t>
  </si>
  <si>
    <t>2AG7</t>
  </si>
  <si>
    <t>6191</t>
  </si>
  <si>
    <t>2AI5</t>
  </si>
  <si>
    <t>2AK7</t>
  </si>
  <si>
    <t>2AM6</t>
  </si>
  <si>
    <t>2AP6</t>
  </si>
  <si>
    <t>2AR0</t>
  </si>
  <si>
    <t>2AR7</t>
  </si>
  <si>
    <t>2AR8</t>
  </si>
  <si>
    <t>2AT1</t>
  </si>
  <si>
    <t>2AAO</t>
  </si>
  <si>
    <t>2AW6</t>
  </si>
  <si>
    <t>2AHZ</t>
  </si>
  <si>
    <t>2AHJ</t>
  </si>
  <si>
    <t>2ABG</t>
  </si>
  <si>
    <t>2APU</t>
  </si>
  <si>
    <t>2ASG</t>
  </si>
  <si>
    <t>2BQN</t>
  </si>
  <si>
    <t>2BRC</t>
  </si>
  <si>
    <t>2BUS</t>
  </si>
  <si>
    <t>2CAO</t>
  </si>
  <si>
    <t>2CEH</t>
  </si>
  <si>
    <t>2CEI</t>
  </si>
  <si>
    <t>2BQB</t>
  </si>
  <si>
    <t>2BZV</t>
  </si>
  <si>
    <t>2CHX</t>
  </si>
  <si>
    <t>2CLJ</t>
  </si>
  <si>
    <t>2CEC</t>
  </si>
  <si>
    <t>2CGY</t>
  </si>
  <si>
    <t>2CHV</t>
  </si>
  <si>
    <t>2CHY</t>
  </si>
  <si>
    <t>2CJV</t>
  </si>
  <si>
    <t>2CKE</t>
  </si>
  <si>
    <t>2BHO</t>
  </si>
  <si>
    <t>2CDW</t>
  </si>
  <si>
    <t>2BAH</t>
  </si>
  <si>
    <t>2CED</t>
  </si>
  <si>
    <t>2CNC</t>
  </si>
  <si>
    <t>2CNF</t>
  </si>
  <si>
    <t>2CJW</t>
  </si>
  <si>
    <t>2CUF</t>
  </si>
  <si>
    <t>2CUO</t>
  </si>
  <si>
    <t>2AXS</t>
  </si>
  <si>
    <t>2AXZ</t>
  </si>
  <si>
    <t>2BI9</t>
  </si>
  <si>
    <t>2BJ6</t>
  </si>
  <si>
    <t>1545</t>
  </si>
  <si>
    <t>1544</t>
  </si>
  <si>
    <t>1527</t>
  </si>
  <si>
    <t>1549</t>
  </si>
  <si>
    <t>1561</t>
  </si>
  <si>
    <t>1528</t>
  </si>
  <si>
    <t>1513</t>
  </si>
  <si>
    <t>1567</t>
  </si>
  <si>
    <t>1551</t>
  </si>
  <si>
    <t>1568</t>
  </si>
  <si>
    <t>1596</t>
  </si>
  <si>
    <t>1597</t>
  </si>
  <si>
    <t>1631</t>
  </si>
  <si>
    <t>1630</t>
  </si>
  <si>
    <t>1702</t>
  </si>
  <si>
    <t>1681</t>
  </si>
  <si>
    <t>1683</t>
  </si>
  <si>
    <t>1685</t>
  </si>
  <si>
    <t>1548</t>
  </si>
  <si>
    <t>1591</t>
  </si>
  <si>
    <t>1560</t>
  </si>
  <si>
    <t>1674</t>
  </si>
  <si>
    <t>1518</t>
  </si>
  <si>
    <t>1615</t>
  </si>
  <si>
    <t>1705</t>
  </si>
  <si>
    <t>1547</t>
  </si>
  <si>
    <t>1519</t>
  </si>
  <si>
    <t>1587</t>
  </si>
  <si>
    <t>1563</t>
  </si>
  <si>
    <t>1593</t>
  </si>
  <si>
    <t>1586</t>
  </si>
  <si>
    <t>1703</t>
  </si>
  <si>
    <t>1595</t>
  </si>
  <si>
    <t>1599</t>
  </si>
  <si>
    <t>1602</t>
  </si>
  <si>
    <t>1639</t>
  </si>
  <si>
    <t>1511</t>
  </si>
  <si>
    <t>1614</t>
  </si>
  <si>
    <t>1632</t>
  </si>
  <si>
    <t>1640</t>
  </si>
  <si>
    <t>1636</t>
  </si>
  <si>
    <t>1704</t>
  </si>
  <si>
    <t>1540</t>
  </si>
  <si>
    <t>1617</t>
  </si>
  <si>
    <t>1707</t>
  </si>
  <si>
    <t>WM+ HCM Hoàng Anh GoldHouse</t>
  </si>
  <si>
    <t>WM+ HCM 022 Tản Đà</t>
  </si>
  <si>
    <t>WM+ HCM Tân Chánh Hiệp</t>
  </si>
  <si>
    <t>WM+ HCM CC SUNVIEW</t>
  </si>
  <si>
    <t>WM+ HCM 94 Trần Văn Dư</t>
  </si>
  <si>
    <t>WM+ HCM Ehome 3 Tây Sài Gòn</t>
  </si>
  <si>
    <t>WM+ HCM 18 Trương Gia Mô</t>
  </si>
  <si>
    <t>WM+ HCM 162 Linh Đông</t>
  </si>
  <si>
    <t>WM+ HCM 58 – 60 Man Thiện</t>
  </si>
  <si>
    <t>WM+ HCM Lương Định Của</t>
  </si>
  <si>
    <t>WM+ HCM 86 Trần Quang Diệu</t>
  </si>
  <si>
    <t>WM+ HCM 218 Phan Văn Hân</t>
  </si>
  <si>
    <t>WM+ HCM 10 Đường D5</t>
  </si>
  <si>
    <t>WM+ HCM 148EF Lý Chính Thắng</t>
  </si>
  <si>
    <t>WM+ HCM 258 Phan Văn Hớn</t>
  </si>
  <si>
    <t>WM+ HCM 197 Nguyễn Thị Nhỏ</t>
  </si>
  <si>
    <t>WM+ HCM 131 Đặng Văn Ngữ</t>
  </si>
  <si>
    <t>WM+ HCM CC Thủ Thiêm Star</t>
  </si>
  <si>
    <t>WM+ DNI 86 Võ Thị Sáu</t>
  </si>
  <si>
    <t>WM+ HCM Cao Ốc Him Lam</t>
  </si>
  <si>
    <t>WM+ HCM Sơn Kỳ 1</t>
  </si>
  <si>
    <t>WM+ HCM Vinhomes Central Park C2</t>
  </si>
  <si>
    <t>WIN DNI 3.9 Nguyễn Văn Tỏ</t>
  </si>
  <si>
    <t>WM+ HCM 89 Hiệp Bình</t>
  </si>
  <si>
    <t>WM+ HCM 65 Linh Đông</t>
  </si>
  <si>
    <t>WM+ CTO 1B Trần Quang Khải</t>
  </si>
  <si>
    <t>WM+ CTO 119-121 Đề Thám</t>
  </si>
  <si>
    <t>WM+ DNI 266/5 Phan Trung</t>
  </si>
  <si>
    <t>WM+ HCM 70 Đường số 8</t>
  </si>
  <si>
    <t>WM+ HCM 57 Quang Trung</t>
  </si>
  <si>
    <t>WM+ HCM B2 Hoàng Anh Gold House</t>
  </si>
  <si>
    <t>WM+ HCM 649/115C Điện Biên Phủ</t>
  </si>
  <si>
    <t>WM+ HCM 220/16 Xô Viết Nghệ Tĩnh</t>
  </si>
  <si>
    <t>WM+ DNI 042 Tổ 2</t>
  </si>
  <si>
    <t>WM+ HCM Citibella</t>
  </si>
  <si>
    <t>WM+ CTO 9 Trần Chiên</t>
  </si>
  <si>
    <t>WM+ HCM 24 Lê Bình</t>
  </si>
  <si>
    <t>WM+ HCM 1206 Lê Đức Thọ</t>
  </si>
  <si>
    <t>WM+ HCM 54B Nguyễn Thị Huỳnh</t>
  </si>
  <si>
    <t>WM+ HCM 130E-130G Đường Gò Dưa</t>
  </si>
  <si>
    <t>WM+ HCM 6 Trần Thị Nghỉ</t>
  </si>
  <si>
    <t>WM+ HCM Vinhomes Central Park L6</t>
  </si>
  <si>
    <t>WM+ HCM 651-653 Tỉnh lộ 43</t>
  </si>
  <si>
    <t>WM+ HCM 18 Đường số 2</t>
  </si>
  <si>
    <t>WM+ HCM 744 Tỉnh lộ 43</t>
  </si>
  <si>
    <t>WM+ HCM 39A1 Bình Chiểu</t>
  </si>
  <si>
    <t>WM+ HCM 109 Đường 39</t>
  </si>
  <si>
    <t>WM+ CTO 1B Đinh Tiên Hoàng</t>
  </si>
  <si>
    <t>WM+ CTO 29-31 Đường A3</t>
  </si>
  <si>
    <t>WM+ DNI Khu dân cư An Bình</t>
  </si>
  <si>
    <t>WM+ HCM Golden River A3. SH10</t>
  </si>
  <si>
    <t>WM+ CTO 38 Võ Văn Kiệt</t>
  </si>
  <si>
    <t>WM+ HCM 137 Trần Hữu Trang</t>
  </si>
  <si>
    <t>WM+ HCM 165 - 167 An Dương Vương</t>
  </si>
  <si>
    <t>WM+ TGG 152 Lý Thường Kiệt</t>
  </si>
  <si>
    <t>WM+ HCM 68 Hồ Văn Long</t>
  </si>
  <si>
    <t>WM+ DNI 4/4 Tổ 6, KP10</t>
  </si>
  <si>
    <t>WM+ HCM 1266 Kha Vạn Cân</t>
  </si>
  <si>
    <t>WM+ HCM 28 Đường 14</t>
  </si>
  <si>
    <t>WM+ HCM 56-58 Đường số 23</t>
  </si>
  <si>
    <t>WM+ HCM 117 Dương Quảng Hàm</t>
  </si>
  <si>
    <t>WIN HCM 121 Nguyễn Văn Đậu</t>
  </si>
  <si>
    <t>WM+ CTO 21-22 Võ Nguyên Giáp, Diệu Hiền</t>
  </si>
  <si>
    <t>WM+ HCM 39A-41 Đường Đội Cung</t>
  </si>
  <si>
    <t>WM+ HCM 298 Phan Văn Trị</t>
  </si>
  <si>
    <t>WM+ CTO Số 2 Trần Hoàng Na</t>
  </si>
  <si>
    <t>WM+ HCM 54 đường 339</t>
  </si>
  <si>
    <t>WM+ BDG 223 Cách Mạng Tháng 8</t>
  </si>
  <si>
    <t>WM+ BDG 39 Trần Hưng Đạo</t>
  </si>
  <si>
    <t>WIN HCM 220/110 Nguyễn Văn Khối</t>
  </si>
  <si>
    <t>WM+ HCM 319 Chiến Lược</t>
  </si>
  <si>
    <t>WM+ CTO 370 Khu vực Yên Trung</t>
  </si>
  <si>
    <t>WM+ DNI 53 Hoàng Bá Bích</t>
  </si>
  <si>
    <t>WM+ CTO Thửa 12 Yên Hoà</t>
  </si>
  <si>
    <t>WM+ BDG 108 Hoàng Hoa Thám</t>
  </si>
  <si>
    <t>WM+ HCM 179 Trần Thanh Mại</t>
  </si>
  <si>
    <t>WIN HCM 282 Nguyễn Văn Khối</t>
  </si>
  <si>
    <t>WM+ HCM 520 Quốc Lộ 13</t>
  </si>
  <si>
    <t>WM+ HCM 413/39 Lê Văn Quới</t>
  </si>
  <si>
    <t>WM+ HCM 148 Nguyễn Duy Cung</t>
  </si>
  <si>
    <t>WM+ DNI 389 Đường N6</t>
  </si>
  <si>
    <t>WM+ HCM 04 Hoàng Thiều Hoa</t>
  </si>
  <si>
    <t>WM+ HCM D1 Đường 672 Khu Phố 1</t>
  </si>
  <si>
    <t>WM+ HCM Lô B, CC 312 Lạc Long Quân</t>
  </si>
  <si>
    <t>WM+ DNI 157-159 Phan Đình Phùng</t>
  </si>
  <si>
    <t>WM+ HCM 121 Lê Niệm</t>
  </si>
  <si>
    <t>WM+ HCM 186 đường số 1</t>
  </si>
  <si>
    <t>WM+ HCM 202A Quốc Lộ 13 cũ</t>
  </si>
  <si>
    <t>WM+ BDG CC Hiệp Thành 3</t>
  </si>
  <si>
    <t>WM+ BDG 524C/12 Khu C</t>
  </si>
  <si>
    <t>WM+ BDG 342/2A KP Chiêu Liêu</t>
  </si>
  <si>
    <t>WM+ HCM A-0.04 Ehome 3 Tây Sài Gòn</t>
  </si>
  <si>
    <t>WM+ HCM 314 Phú Thọ Hòa</t>
  </si>
  <si>
    <t>WM+ HCM 96 Lâm Văn Bền</t>
  </si>
  <si>
    <t>WM+ DNI 869 Hoàng Tam Kỳ</t>
  </si>
  <si>
    <t>WM+ BDG Thửa 4128, KP Nội Hoá 2</t>
  </si>
  <si>
    <t>WM+ HCM 344 Đất Mới</t>
  </si>
  <si>
    <t>WM+ HCM 87 Trần Quang Diệu</t>
  </si>
  <si>
    <t>WIN HCM 4A Nguyễn Văn Dung</t>
  </si>
  <si>
    <t>WM+ HCM 270 Man Thiện</t>
  </si>
  <si>
    <t>WM+ CTO 90A2-92A2 KDC Hưng Phú 1</t>
  </si>
  <si>
    <t>WM+ HCM 65-65A-B-C Nguyễn Đỗ Cung</t>
  </si>
  <si>
    <t>WM+ HCM A01-05, T1, CC Golden Star</t>
  </si>
  <si>
    <t>WM+ CTO 83-85 Nguyễn Hiền</t>
  </si>
  <si>
    <t>WM+ HCM 492-494 đường số 7</t>
  </si>
  <si>
    <t>WM+ HCM 94 đường số 4</t>
  </si>
  <si>
    <t>WM+ HCM 07 Nguyễn Duy Dương</t>
  </si>
  <si>
    <t>WM+ HCM 496/12 Dương Quảng Hàm</t>
  </si>
  <si>
    <t>WM+ HCM CC 4S Riverside</t>
  </si>
  <si>
    <t>WM+ HCM CC Lucky Palace</t>
  </si>
  <si>
    <t>WM+ BDG CC Hiệp Thành III Khối B</t>
  </si>
  <si>
    <t>WM+ BDG CC Phú Thịnh Bình Dương</t>
  </si>
  <si>
    <t>WM+ HCM 34 Chử Đồng Tử</t>
  </si>
  <si>
    <t>WM+ CTO 155 Lý Tự Trọng</t>
  </si>
  <si>
    <t>WM+ HCM 113 – 113A Tam Châu</t>
  </si>
  <si>
    <t>WM+ HCM 219 Tây Thạnh</t>
  </si>
  <si>
    <t>WM+ HCM 71 Đường số 9</t>
  </si>
  <si>
    <t>WM+ BDG 300 Nguyễn Đức Thiệu</t>
  </si>
  <si>
    <t>WM+ BDG 2A Nguyễn Trãi</t>
  </si>
  <si>
    <t>WM+ CTO13-15 Xuân Thủy</t>
  </si>
  <si>
    <t>WM+ CTO 44-46 Bùi Quang Trinh</t>
  </si>
  <si>
    <t>WM+ CTO 28 Đường 3/2</t>
  </si>
  <si>
    <t>WM+ CTO 1056 Quốc Lộ 91</t>
  </si>
  <si>
    <t>WM+ CTO 51 Đường 26/3</t>
  </si>
  <si>
    <t>WM+ AGG 268/4 và 268/5 Hùng Vương</t>
  </si>
  <si>
    <t>WM+ AGG 54A Lý Thường Kiệt</t>
  </si>
  <si>
    <t>WM+ TGG 203 Lý Thường Kiệt</t>
  </si>
  <si>
    <t>WM+ AGG 4Bis Lê Minh Ngươn</t>
  </si>
  <si>
    <t>WM+ AGG 244-245 Hàm Nghi</t>
  </si>
  <si>
    <t>WM+ AGG 535A Võ Thị Sáu</t>
  </si>
  <si>
    <t>WM+ AGG 01 Thái Phiên</t>
  </si>
  <si>
    <t>WM+ HCM 145A Lê Đình Cẩn</t>
  </si>
  <si>
    <t>WM+ HCM SH11 Luxgarden</t>
  </si>
  <si>
    <t>WM+ TGG 915B Trần Hưng Đạo</t>
  </si>
  <si>
    <t>WM+ AGG 104 đường Trần Quang Khải</t>
  </si>
  <si>
    <t>WM+ DNI 27 Tổ 1, Khu phố 4</t>
  </si>
  <si>
    <t>WM+ BTN 180 Võ Thị Sáu</t>
  </si>
  <si>
    <t>WM+ BTN 29B Nguyễn Đình Chiểu</t>
  </si>
  <si>
    <t>WM+ BTN 9 Nguyễn Tương</t>
  </si>
  <si>
    <t>WM+ BTN 67 Lê Quang Đạo</t>
  </si>
  <si>
    <t>WM+ LAN 468 Nguyễn Đình Chiểu</t>
  </si>
  <si>
    <t>WM+ LAN 69 Hùng Vương</t>
  </si>
  <si>
    <t>WIN HCM CC 237 Nguyễn Văn Hưởng</t>
  </si>
  <si>
    <t>WM+ BTN 118 Từ Văn Tư</t>
  </si>
  <si>
    <t>WM+ BTN 44-46 Phạm Ngọc Thạch</t>
  </si>
  <si>
    <t>WM+ AGG 493/26 Quản Cơ Thành</t>
  </si>
  <si>
    <t>WM+ HCM 159 Tân Lập II</t>
  </si>
  <si>
    <t>WM+ CTO 35 Nguyễn Chí Thanh</t>
  </si>
  <si>
    <t>WM+ AGG Thửa 75 và 74, TBĐ 017</t>
  </si>
  <si>
    <t>WM+ AGG Thửa 173, TBĐ 6</t>
  </si>
  <si>
    <t>WM+HCM 001 SAV2, CC Avenue</t>
  </si>
  <si>
    <t>WM+ VLG 68 đường 2 tháng 9</t>
  </si>
  <si>
    <t>WM+ VLG 33/15D Phạm Thái Bường</t>
  </si>
  <si>
    <t>WM+ VLG 01 Mậu Thân</t>
  </si>
  <si>
    <t>WM+ KGG Lô số F14-30, đường 3/2</t>
  </si>
  <si>
    <t>WM+ KGG 07-07A Nguyễn Bỉnh Khiêm</t>
  </si>
  <si>
    <t>WM+HCM RS4-SH.03 Chung cư Richstar</t>
  </si>
  <si>
    <t>WM+ HCM 16 đường số 5A</t>
  </si>
  <si>
    <t>WM+ HCM 351/29 Lê Đại Hành</t>
  </si>
  <si>
    <t>WM+ LAN 10-11-12 Trương Định</t>
  </si>
  <si>
    <t>WM+ KGG Lô số D4-25, đường 3/2</t>
  </si>
  <si>
    <t>WM+ AGG 54-56 Nguyễn Văn Cừ</t>
  </si>
  <si>
    <t>WM+ KGG 14 Trần Quang Khải</t>
  </si>
  <si>
    <t>WM+ HCM 23/2 đường số 9</t>
  </si>
  <si>
    <t>WM+ VLG 27A Lê Văn Tám</t>
  </si>
  <si>
    <t>WM+ KGG 37 đường 3/2</t>
  </si>
  <si>
    <t>WM+ BTN 213 Nguyễn Hội</t>
  </si>
  <si>
    <t>WM+ KGG 79 Quang Trung</t>
  </si>
  <si>
    <t>WM+ HCM 185B Nguyễn Thị Định</t>
  </si>
  <si>
    <t>WM+ BTN 17 Ung Chiếm</t>
  </si>
  <si>
    <t>WM+ HCM 254/63 âu Cơ</t>
  </si>
  <si>
    <t>WM+ CTO Thửa 1717, TBĐ 7 Vũ Đình Liệu</t>
  </si>
  <si>
    <t>WM+ HCM 120 Lò Lu</t>
  </si>
  <si>
    <t>WM+ HCM Thủ Thiêm Garden</t>
  </si>
  <si>
    <t>WM+ KGG Lô L7 – 6 Huỳnh Thúc Kháng</t>
  </si>
  <si>
    <t>WM+ HCM 483 Lê Văn Quới, KP6</t>
  </si>
  <si>
    <t>WM+ BDG 10/9 Võ Thị Sáu, KP Tây A</t>
  </si>
  <si>
    <t>WM+ BDG 23/1 Khu phố Tân Thắng</t>
  </si>
  <si>
    <t>WM+ DNI 202/15/4 -202/17 Huỳnh Văn Nghệ</t>
  </si>
  <si>
    <t>WM+ KGG 6 Mai Thị Hồng Hạnh</t>
  </si>
  <si>
    <t>WM+ BDG 15B Nguyễn Văn Tiết</t>
  </si>
  <si>
    <t>WM+ CTO 158 đường 30/4</t>
  </si>
  <si>
    <t>WM+ DNI 8F2-9F2 đường N4</t>
  </si>
  <si>
    <t>WM+ DNI, 31 Lô B5, P. Tân Phong</t>
  </si>
  <si>
    <t>WM+ TGG 42/4 Nguyễn Huỳnh Đức</t>
  </si>
  <si>
    <t>WM+ CTO 399 Nguyễn Đệ</t>
  </si>
  <si>
    <t>WM+ HCM 109-111 Kênh Nước Đen</t>
  </si>
  <si>
    <t>WM+ HCM Chung cư Hoa Phượng (Zen Tower)</t>
  </si>
  <si>
    <t>WM+ HCM 55 Trương Phước Phan</t>
  </si>
  <si>
    <t>WM+ HCM 1033 Nguyễn Xiển</t>
  </si>
  <si>
    <t>WM+ DNI 170 Hoàng Minh Chánh</t>
  </si>
  <si>
    <t>WM+ HCM 120-122 đường số 2</t>
  </si>
  <si>
    <t>WM+ BDG 24/1 -24/3 Lê Trọng Tấn</t>
  </si>
  <si>
    <t>WM+ BTN 41-41B Trương Văn Ly</t>
  </si>
  <si>
    <t>WM+ CTO 118 Đường Nguyễn Văn Cừ Nối Dài</t>
  </si>
  <si>
    <t>WM+ BTN 92 Hoàng Văn Thụ</t>
  </si>
  <si>
    <t>WM+ HCM 15 Võ Văn Kiệt</t>
  </si>
  <si>
    <t>WM+ BTN 22-24 Nguyễn Hội</t>
  </si>
  <si>
    <t>WM+ HCM 149 Đội Cung</t>
  </si>
  <si>
    <t>WM+ DNI 64 Trần Thị Hoa</t>
  </si>
  <si>
    <t>WM+ HCM 120E Xóm Đất</t>
  </si>
  <si>
    <t>WM+HCM 70 Lê Văn Thịnh</t>
  </si>
  <si>
    <t>WM+ DNI 26/90 KP13</t>
  </si>
  <si>
    <t>WM+ BTN 126 Trần Hưng Đạo</t>
  </si>
  <si>
    <t>WM+ BTN 272 Thủ Khoa Huân</t>
  </si>
  <si>
    <t>WM+ HCM Căn 0.01-lô B, CC Thủ Thiêm Lô P</t>
  </si>
  <si>
    <t>WM+ HCM Lô D(CT4), Khu nhà ở Quân đội</t>
  </si>
  <si>
    <t>WM+ AGG_125 Nguyễn Thái Học</t>
  </si>
  <si>
    <t>WM+ KGG 186 -188 Nguyễn Hùng Sơn</t>
  </si>
  <si>
    <t>WM+ LAN 320 Quốc lộ 62</t>
  </si>
  <si>
    <t>WM+ HCM 0.03 Tầng 01, CC1, khối HQ4</t>
  </si>
  <si>
    <t>WM+ KGG 327 Nguyễn Trung Trực</t>
  </si>
  <si>
    <t>WM+ VLG 86 Nguyễn Huệ</t>
  </si>
  <si>
    <t>WM+ DNI 6/3 Nguyễn Thị Tồn</t>
  </si>
  <si>
    <t>WM+ HCM Lô TM BPA-01.05-Botanica Premier</t>
  </si>
  <si>
    <t>WM+ HCM 685/32 Xô Viết Nghệ Tĩnh</t>
  </si>
  <si>
    <t>WM+ BDG SB.07 CC Marina Tower</t>
  </si>
  <si>
    <t>WM+ HCM S2.0501S11 Vinhomes Grand Park</t>
  </si>
  <si>
    <t>WM+ AGG 225 Thoại Ngọc Hầu</t>
  </si>
  <si>
    <t>WM+ HCM 0.04 CC Conic Riverside</t>
  </si>
  <si>
    <t>WM+ HCM 1.01, CC B2 (9 View Apartment)</t>
  </si>
  <si>
    <t>WM+ CTO 43-45 Võ Trường Toản</t>
  </si>
  <si>
    <t>WM+ HCM S3.0101S02 Vinhomes Grand Park</t>
  </si>
  <si>
    <t>WM+ BDG CC Phúc Đạt, Căn 0124 - 0125</t>
  </si>
  <si>
    <t>WM+ HCM 28/40 Lê Thị Hồng</t>
  </si>
  <si>
    <t>WM+ LAN 1B Trần Phong Sắc</t>
  </si>
  <si>
    <t>WM+ HCM 244 Phạm Hữu Lầu</t>
  </si>
  <si>
    <t>WM+ LAN 236A-238 Châu Thị Kim</t>
  </si>
  <si>
    <t>WM+ DNI 249 CMT8</t>
  </si>
  <si>
    <t>WM+ HCM 0.08 Chung cư Melody</t>
  </si>
  <si>
    <t>WM+ HCM 174A Trịnh Đình Trọng</t>
  </si>
  <si>
    <t>WM+ HCM 136 Nguyễn Công Hoan</t>
  </si>
  <si>
    <t>WM+ DNI 507 Phùng Hưng</t>
  </si>
  <si>
    <t>WM+ HCM SH-02 Block A, KCH Opal Garden</t>
  </si>
  <si>
    <t>WM+ HCM Số 31 Đường số 4 KDC Nguyên</t>
  </si>
  <si>
    <t>WM+ LAN 78 Nguyễn Cửu Vân</t>
  </si>
  <si>
    <t>WM+ CTO 131 - 133 Đồng Văn Cống</t>
  </si>
  <si>
    <t>WM+ HCM 11 Trần Quang Cơ</t>
  </si>
  <si>
    <t>WM+ CTO 140B/1 Nguyễn Văn Cừ</t>
  </si>
  <si>
    <t>WM+CTO 81B/2 đường Mạc Thiên Tích</t>
  </si>
  <si>
    <t>WM+ KGG 841 Nguyễn Trung Trực</t>
  </si>
  <si>
    <t>WM+ HCM 318 Âu Cơ</t>
  </si>
  <si>
    <t>WM+ HCM 0.03 Moonlight Boulevard 51</t>
  </si>
  <si>
    <t>WM+ BDG A-S-04 và A-S-05 EcoXuân</t>
  </si>
  <si>
    <t>WM+ KGG Lô P2-36+37 Đường 3/2</t>
  </si>
  <si>
    <t>WM+ DNI G1/31 Tổ 19</t>
  </si>
  <si>
    <t>WM+ HCM 27 Ỷ Lan</t>
  </si>
  <si>
    <t>WM+ HCM CC The Botanica, TB-01.19</t>
  </si>
  <si>
    <t>WM+ HCM 59-61 Tân Hải</t>
  </si>
  <si>
    <t>WM+ VLG 79/9 Phó Cơ Điều</t>
  </si>
  <si>
    <t>WM+ HCM 726 Phạm Thế Hiển</t>
  </si>
  <si>
    <t>WM+ HCM 515-517 Hương Lộ 2</t>
  </si>
  <si>
    <t>WM+ HCM 151 Lý Thánh Tông</t>
  </si>
  <si>
    <t>WM+ BDG 200 Đường D1-KDC Phú Hòa 1</t>
  </si>
  <si>
    <t>WM+ CTO 95/31 Nguyễn Thông</t>
  </si>
  <si>
    <t>WM+ HCM TM02 tầng 1+2 Lavita Charm</t>
  </si>
  <si>
    <t>WM+ HCM 1/84 Cư Xá Lữ Gia</t>
  </si>
  <si>
    <t>WM+ CTO 369/14 KDC Bình Nhựt</t>
  </si>
  <si>
    <t>WM+ CTO 24A Hồ Trung Thành</t>
  </si>
  <si>
    <t>WM+ DNI 1706, Tổ 13, KP Vườn Dừa</t>
  </si>
  <si>
    <t>WM+ AGG 1 Nguyễn Trường Tộ</t>
  </si>
  <si>
    <t>WM+ HCM 152 Phạm Đăng Giảng</t>
  </si>
  <si>
    <t>WM+ HCM C-S6, Block CS, Diamond Riverside</t>
  </si>
  <si>
    <t>WM+ HCM C00.02 CC Carina</t>
  </si>
  <si>
    <t>WM+ HCM 245B Huỳnh Văn Bánh</t>
  </si>
  <si>
    <t>WM+ HCM 108 Tùng Thiện Vương</t>
  </si>
  <si>
    <t>WM+ KGG 212 Ngô Quyền</t>
  </si>
  <si>
    <t>WM+ KGG 686 Mạc Cửu</t>
  </si>
  <si>
    <t>WM+ HCM 04 Đường số 2</t>
  </si>
  <si>
    <t>WM+ HCM 06 - 07 Block B3, CC TopazHome</t>
  </si>
  <si>
    <t>WM+ AGG 210 Thục Phán</t>
  </si>
  <si>
    <t>WM+ CTO 51D1 Đường 3/2</t>
  </si>
  <si>
    <t>WM+ HCM T1-0.02, Calla Garden</t>
  </si>
  <si>
    <t>WM+ HCM 151 Nguyễn Duy Trinh</t>
  </si>
  <si>
    <t>WM+ HCM 451 Tân Hòa Đông</t>
  </si>
  <si>
    <t>WM+ HCM 64A Đường số 15</t>
  </si>
  <si>
    <t>WM+ CTO 91 Trần Văn Long</t>
  </si>
  <si>
    <t>WM+ CTO 31-33 Ấp Thị Tứ</t>
  </si>
  <si>
    <t>WM+ HCM 60/14 Lâm Văn Bền</t>
  </si>
  <si>
    <t>WM+ KGG 250 Lâm Quang Ky</t>
  </si>
  <si>
    <t>WM+ VLG 46C Đinh Tiên Hoàng</t>
  </si>
  <si>
    <t>WM+ HCM 33/23 Gò Cát</t>
  </si>
  <si>
    <t>WM+ HCM C00.01, 35 Hồ Học Lãm</t>
  </si>
  <si>
    <t>WM+ HCM 31/55 Ung Văn Khiêm</t>
  </si>
  <si>
    <t>WM+ DNI 167 Ngô Quyền</t>
  </si>
  <si>
    <t>WM+ HCM C5/BC68 đường Tân Liêm</t>
  </si>
  <si>
    <t>WM+ KGG 24A Tổ 1</t>
  </si>
  <si>
    <t>WM+ HCM RS2-SH.13, T1-2, Richstar Residence</t>
  </si>
  <si>
    <t>WM+ HCM B0.01 CC Green Valley</t>
  </si>
  <si>
    <t>WM+ HCM CC Citisoho, B0.07</t>
  </si>
  <si>
    <t>WM+ HCM 330 Nguyễn Thượng Hiền</t>
  </si>
  <si>
    <t>WM+ HCM 38 Đường số 18B</t>
  </si>
  <si>
    <t>WM+ HCM 2398 Phạm Thế Hiển</t>
  </si>
  <si>
    <t>WM+ AGG Thửa 4082 – 4122 Ung Văn Khiêm</t>
  </si>
  <si>
    <t>WM+ DNI 1111 Bùi Văn Hòa</t>
  </si>
  <si>
    <t>WM+ HCM 973 Nguyễn Duy Trinh</t>
  </si>
  <si>
    <t>WM+ HCM Tầng trệt Block B CC Vision</t>
  </si>
  <si>
    <t>WM+ DNI 86 Lê Đại Hành</t>
  </si>
  <si>
    <t>WM+ HCM 1 Đường số 38</t>
  </si>
  <si>
    <t>WM+ HCM 70 Tây Hòa</t>
  </si>
  <si>
    <t>WM+ HCM A0101 CC Hoàng Anh Gia Lai 1</t>
  </si>
  <si>
    <t>WM+ HCM 1.4 Tầng 1, CC Phú Hoàng Anh</t>
  </si>
  <si>
    <t>WM+ CTO 163H-163H/7 Nguyễn Văn Cừ</t>
  </si>
  <si>
    <t>WM+ CTO 162/1 Phạm Ngũ Lão</t>
  </si>
  <si>
    <t xml:space="preserve">WM+ CTO 106 – 108 Trần Bạch Đằng </t>
  </si>
  <si>
    <t>WM+ HCM Tầng trệt CC The Mansion kh</t>
  </si>
  <si>
    <t>WM+ TGG 74/7 Lê Thị Hồng Gấm</t>
  </si>
  <si>
    <t>WM+ KGG 24 Mạc Cửu</t>
  </si>
  <si>
    <t>WM+ KGG 537 Quốc lộ 80</t>
  </si>
  <si>
    <t>WM+ DNI 134/124 Nguyễn Ái Quốc</t>
  </si>
  <si>
    <t>WM+ TGG 378 Lê Thị Hồng Gấm</t>
  </si>
  <si>
    <t>WM+ BDG CC Skyview, 212 Trần Phú</t>
  </si>
  <si>
    <t>WM+ HCM 12 – 12A Chiến Lược</t>
  </si>
  <si>
    <t>WM+ LAN 78 Huỳnh Việt Thanh</t>
  </si>
  <si>
    <t>WM+ CTO 695 Lê Thị Tạo</t>
  </si>
  <si>
    <t>WM+ BDG 65 Thích Quảng Đức</t>
  </si>
  <si>
    <t>WM+ KGG 39 Mạc Cửu</t>
  </si>
  <si>
    <t>WM+ HCM 34 Hoàng Hoa Thám</t>
  </si>
  <si>
    <t>WM+ HCM 137 Lương Thế Vinh</t>
  </si>
  <si>
    <t>WM+ HCM SL09 Cư Xá Phú Lâm A</t>
  </si>
  <si>
    <t>WM+ DNI 408 Đường số 4</t>
  </si>
  <si>
    <t>WM+ HCM 117 – 119 Trần Văn Kiểu</t>
  </si>
  <si>
    <t>WM+ HCM 9A Thoại Ngọc Hầu</t>
  </si>
  <si>
    <t>WM+ HCM 15 Đường số 1</t>
  </si>
  <si>
    <t>WM+ CTO 09 Trần Vĩnh Kiết</t>
  </si>
  <si>
    <t>WM+ HCM 662 Tên Lửa</t>
  </si>
  <si>
    <t>WM+ TNH 617 Lạc Long Quân</t>
  </si>
  <si>
    <t>WM+ HCM A0.02 CC Hưng Phát</t>
  </si>
  <si>
    <t>WM+ HCM 0.06, CC Carillon 5</t>
  </si>
  <si>
    <t>WM+ KGG 232 ĐT 971</t>
  </si>
  <si>
    <t>WM+ CTO 303 Nguyễn Văn Linh</t>
  </si>
  <si>
    <t>WM+ TNH 06 Hoàng Lê Kha</t>
  </si>
  <si>
    <t>WM+ TNH 228 Cách Mạng Tháng 8</t>
  </si>
  <si>
    <t>WM+ CTO 365/14 Nguyễn Văn Cừ</t>
  </si>
  <si>
    <t>WM+ HCM 22 Đường số 25</t>
  </si>
  <si>
    <t>WM+ DNI 420 Phạm Văn Thuận</t>
  </si>
  <si>
    <t>WM+ CTO 154 Trần Việt Châu</t>
  </si>
  <si>
    <t>WM+ TNH 245 Lạc Long Quân</t>
  </si>
  <si>
    <t>WM+ HCM 33 Đường số 6</t>
  </si>
  <si>
    <t>WM+ KGG 37 Đống Đa</t>
  </si>
  <si>
    <t>WM+ CTO 404/12 Nguyễn Văn Linh</t>
  </si>
  <si>
    <t>WM+ HCM 275 An Dương Vương</t>
  </si>
  <si>
    <t>WM+ HCM SAV.8-00.06-07, CC Sun Aven</t>
  </si>
  <si>
    <t>WM+ HCM 60 Liên khu 10-11</t>
  </si>
  <si>
    <t>WM+ HCM 33 Mai Hắc Đế</t>
  </si>
  <si>
    <t>WM+ AGG 662 Trần Hưng Đạo</t>
  </si>
  <si>
    <t>WM+ TGG 489 Quốc lộ 50</t>
  </si>
  <si>
    <t>WM+ HCM 28A Tây Lân</t>
  </si>
  <si>
    <t>WM+ BDG 39 Lê Thị Trung</t>
  </si>
  <si>
    <t>WM+ DNI 08 Lưu Văn Viết</t>
  </si>
  <si>
    <t>WM+ HCM C0.01,  CC Midtown</t>
  </si>
  <si>
    <t>WM+ DNI Kiosk số 14, CC Thanh Bình</t>
  </si>
  <si>
    <t>WM+ HCM 82 Trần Mai Ninh</t>
  </si>
  <si>
    <t>WM+ HCM 0.02 CC 243 Tân Hòa Đông</t>
  </si>
  <si>
    <t>WM+ HCM 1F Đường 18</t>
  </si>
  <si>
    <t>WM+ HCM 73 Phạm Đăng Giảng</t>
  </si>
  <si>
    <t>WM+ HCM 14-16 Bành Văn Trân</t>
  </si>
  <si>
    <t>WM+ CTO 98 Nguyễn Thị Minh Khai</t>
  </si>
  <si>
    <t>WM+ HCM 0.02 Tầng trệt, CC An Hòa</t>
  </si>
  <si>
    <t>WM+ DNI 36-38 A13 Nguyễn Văn Tiên</t>
  </si>
  <si>
    <t>WM+ HCM TM.03, CC CTL Tower</t>
  </si>
  <si>
    <t>WM+ HCM 01.03-S5.01 Vinhomes Grand</t>
  </si>
  <si>
    <t>WM+ CTO 28 Bùi Hữu Nghĩa</t>
  </si>
  <si>
    <t>WM+ HCM 122 - 124 Ni Sư Huỳnh Liên</t>
  </si>
  <si>
    <t>WM+ CTO 75A2-77A2 Bùi Quang Trinh</t>
  </si>
  <si>
    <t>WM+ BDG 245 Trương Định</t>
  </si>
  <si>
    <t>WM+ HCM 60 Đường số 40</t>
  </si>
  <si>
    <t>WM+ HCM 419 Bình Thành</t>
  </si>
  <si>
    <t>WM+ CTO 132 Đường 3/2</t>
  </si>
  <si>
    <t>WM+ HCM 22 Đường số 3</t>
  </si>
  <si>
    <t>WM+ HCM A1.01, CC D'Lusso</t>
  </si>
  <si>
    <t>WM+ CTO 380H1 Trần Nam Phú</t>
  </si>
  <si>
    <t>WM+BDG SH02-03 CC Bcons Miền Đông</t>
  </si>
  <si>
    <t>WM+ HCM B1.01- B1.02, CC Phú Gia</t>
  </si>
  <si>
    <t>WM+ CTO T1-6 CC Tây Nguyên Plaza</t>
  </si>
  <si>
    <t>WM+ HCM 79 Đường số 1</t>
  </si>
  <si>
    <t>WM+ HCM 36 Lê Quốc Trinh</t>
  </si>
  <si>
    <t>WM+ HCM 74 Nguyễn Thị Tú</t>
  </si>
  <si>
    <t>WM+ HCM 36 Đường số 4D</t>
  </si>
  <si>
    <t>WM+ KGG Lô A7.08-A7.09 Đường số 27</t>
  </si>
  <si>
    <t>WM+ CTO 8B Đường số 3</t>
  </si>
  <si>
    <t>WM+ HCM 300 Vườn Lài</t>
  </si>
  <si>
    <t>WM+ HCM 213 Gò Xoài</t>
  </si>
  <si>
    <t>WM+ HCM SI.18, CC Sài Gòn Riverside</t>
  </si>
  <si>
    <t>WM+ CTO 92 Xô Viết Nghệ Tĩnh</t>
  </si>
  <si>
    <t>WM+ DNI 93B/2 Lê Ngô Cát</t>
  </si>
  <si>
    <t>WM+ HCM 0.08, Block A1, CC Westgate</t>
  </si>
  <si>
    <t>WM+ HCM A1-0.06 Golden River</t>
  </si>
  <si>
    <t>WM+ HCM MP9-001.02, Panorama Mizuki</t>
  </si>
  <si>
    <t>WM+ BTN 73 Nguyễn Đình Chiểu</t>
  </si>
  <si>
    <t>WM+ HCM A1.03, CC Paris Hoàng Kim</t>
  </si>
  <si>
    <t>WM+ HCM C1.1.05 CC West Gate</t>
  </si>
  <si>
    <t>WM+ HCM 56-58 Nguyễn Hữu Cầu</t>
  </si>
  <si>
    <t>WM+ HCM D-01, CC 4S Riverside Linh</t>
  </si>
  <si>
    <t>WM+ DNI LK230-LK231 Đường Nguyễn Văn Hoa</t>
  </si>
  <si>
    <t>WM+ CTO 110 Nguyễn Việt Hồng</t>
  </si>
  <si>
    <t>WM+ HCM SII.23 Sài Gòn Riverside</t>
  </si>
  <si>
    <t>WM+ HCM 149 Trần Thị Trọng</t>
  </si>
  <si>
    <t>WM+ HCM 28 Đường Số 27</t>
  </si>
  <si>
    <t>WM+ BTN 321D Nguyễn Đình Chiểu</t>
  </si>
  <si>
    <t>WM+ HCM 78-80 Hòa Hưng</t>
  </si>
  <si>
    <t>WM+ HCM S30, CC Phú Mỹ 2</t>
  </si>
  <si>
    <t>WM+ BTN 135 Nguyễn Đình Chiểu</t>
  </si>
  <si>
    <t>WM+ CTO 8C/1 Đường 1B</t>
  </si>
  <si>
    <t>WM+ BDG SH11 Happy One Central</t>
  </si>
  <si>
    <t xml:space="preserve"> WM+ HCM 20 Nguyễn Huy Tự</t>
  </si>
  <si>
    <t>WM+ HCM 7A Đường Xuân Thủy</t>
  </si>
  <si>
    <t>WM+ CTO 57-59 Nguyễn Tri Phương</t>
  </si>
  <si>
    <t>WM+ BDG SH.01-02 CC Bcons Polygon</t>
  </si>
  <si>
    <t>WM+ HCM 1/45 Nguyễn Văn Qúa</t>
  </si>
  <si>
    <t>WM+ BDG CC HT Pearl Apartment</t>
  </si>
  <si>
    <t>WM+ CTO 563C Trần Quang Diệu</t>
  </si>
  <si>
    <t>WM+ DNI 921 Nguyễn Ái Quốc</t>
  </si>
  <si>
    <t>WM+ HCM 0.01-0.02 Lô B The Eastern</t>
  </si>
  <si>
    <t>WM+ HCM 01.03, CC The Pegasuite 2</t>
  </si>
  <si>
    <t>WM+ HCM Block D MT Eastmark City</t>
  </si>
  <si>
    <t>WM+ TGG 202 Nam Kỳ Khởi Nghĩa</t>
  </si>
  <si>
    <t xml:space="preserve">WM+ CTO 114B-114C Cách Mạng Tháng 8 </t>
  </si>
  <si>
    <t>WM+ CTO 27 Trần Hoàng Na</t>
  </si>
  <si>
    <t>WM+ HCM 320 Lê Quang Định</t>
  </si>
  <si>
    <t>WM+ DNI Lô 17-18 KDC Bình Dương</t>
  </si>
  <si>
    <t>WM+ LDG 181A Nguyễn Đình Chiểu</t>
  </si>
  <si>
    <t>WM+ LDG 184 Huỳnh Thúc Kháng</t>
  </si>
  <si>
    <t>WM+ CTO 18 đường A1</t>
  </si>
  <si>
    <t>WM+ CTO 184 Trần Hưng Đạo</t>
  </si>
  <si>
    <t>WM+ HCM G7, CC Horizon</t>
  </si>
  <si>
    <t>WM+ LDG KP 4, Hàm Tiến</t>
  </si>
  <si>
    <t>WM+ HCM 47 - 49 Đường S9</t>
  </si>
  <si>
    <t>WM+ LDG 58 Nguyễn Thị Minh Khai</t>
  </si>
  <si>
    <t>WM+ HCM 314 Tỉnh lộ 8</t>
  </si>
  <si>
    <t>WM+ HCM 9/3B Hà Huy Giáp</t>
  </si>
  <si>
    <t>WM+ HCM B5/119K Ấp 2</t>
  </si>
  <si>
    <t>WM+ HCM 226/17 Nguyễn Văn Lượng</t>
  </si>
  <si>
    <t>WM+ HCM 1/23B Ấp 3</t>
  </si>
  <si>
    <t>WM+ HCM 25 Bùi Công Trừng</t>
  </si>
  <si>
    <t>WM+ HCM 596/2 Tô Ký</t>
  </si>
  <si>
    <t>WM+ HCM B57 Khu phố 3</t>
  </si>
  <si>
    <t>WM+ BDG 103/1 Khu Phố 1A</t>
  </si>
  <si>
    <t>WM+ HCM 1132 Quốc lộ 50</t>
  </si>
  <si>
    <t>WM+ HCM C12/13B Liên Ấp 123</t>
  </si>
  <si>
    <t>WM+ HCM 45 Đường TL 27</t>
  </si>
  <si>
    <t>WM+ HCM 26/4B ấp Đông Lân</t>
  </si>
  <si>
    <t>WM+ HCM 101/2 Ấp 4</t>
  </si>
  <si>
    <t>WM+ HCM F12/2G Ấp 6</t>
  </si>
  <si>
    <t>WM+ HCM E8/2H Ấp 5</t>
  </si>
  <si>
    <t>WM+ HCM 3/123 Ấp Nhị Tân 1</t>
  </si>
  <si>
    <t>WM+ HCM 126/4/1 Ấp Tây Lân</t>
  </si>
  <si>
    <t>WM+ HCM C3/5 Ấp 3</t>
  </si>
  <si>
    <t>WM+ HCM 108 đường ĐHT02</t>
  </si>
  <si>
    <t>WM+ HCM 37/2B-2D Ấp Mỹ Hòa</t>
  </si>
  <si>
    <t>WM+ BDG 62 Bis Cách Mạng Tháng Tám</t>
  </si>
  <si>
    <t>WM+ HCM 17/4 Nguyễn Thị Kiểu</t>
  </si>
  <si>
    <t>WM+ HCM Số 13 Đường 78</t>
  </si>
  <si>
    <t>WM+ BDG Ô 23-DC01 KDC Viet Sing</t>
  </si>
  <si>
    <t>WM+ HCM 8/2B Trần Văn Mười</t>
  </si>
  <si>
    <t>WM+ HCM 336/55 Nguyễn Văn Luông</t>
  </si>
  <si>
    <t>WM+ HCM 143C Lê Văn Khương</t>
  </si>
  <si>
    <t>WM+ HCM 911 A-B Nguyễn Ảnh Thủ</t>
  </si>
  <si>
    <t>WM+ BDG Thửa 448- 449 Thuận Giao</t>
  </si>
  <si>
    <t>WM+ BDG 190/2 Cách Mạng Tháng 8</t>
  </si>
  <si>
    <t>WM+ HCM 1192 Lê Văn Lương</t>
  </si>
  <si>
    <t>WM+ HCM Nền L12, Thới An</t>
  </si>
  <si>
    <t>WM+ BDG Ô 119 DC 30 Đường D11</t>
  </si>
  <si>
    <t>WM+ HCM 75/4B Khu Phố 6</t>
  </si>
  <si>
    <t>WM+ BDG 147/4 Cách Mạng Tháng Tám</t>
  </si>
  <si>
    <t>WM+ BDG 40/5A11 đường N2</t>
  </si>
  <si>
    <t>WM+ HCM 23/2 Trần Văn Mười</t>
  </si>
  <si>
    <t>WM+ HCM 28 Trần Tử Bình</t>
  </si>
  <si>
    <t>WM+ BDG 7, DT746, KP Khánh Hội</t>
  </si>
  <si>
    <t>WM+ HCM 2386-2388 Huỳnh Tấn Phát</t>
  </si>
  <si>
    <t>WM+ HCM 563 Lê Văn Khương</t>
  </si>
  <si>
    <t>WM+ HCM 506/61 Nguyễn Ảnh Thủ</t>
  </si>
  <si>
    <t>WM+ HCM 42/1 TL 16</t>
  </si>
  <si>
    <t>WM+ BDG 68 đường DB8</t>
  </si>
  <si>
    <t>WM+ BDG thửa 2359</t>
  </si>
  <si>
    <t>WM+ BDG thửa 1647 Khu Mỹ Phước</t>
  </si>
  <si>
    <t>WM+ BDG C2-01 Đường TC3-KP3</t>
  </si>
  <si>
    <t>WM+ HCM 425 Tô Ký</t>
  </si>
  <si>
    <t>WM+ DTP 163 Tôn Đức Thắng</t>
  </si>
  <si>
    <t>WM+ DTP 669-671 Phạm Hữu Lầu</t>
  </si>
  <si>
    <t>WM+ DTP 74 Phạm Hữu Lầu</t>
  </si>
  <si>
    <t>WM+ DTP 106-108 Tôn Đức Thắng</t>
  </si>
  <si>
    <t>WM+ STG 80 Tôn Đức Thắng</t>
  </si>
  <si>
    <t>WM+ STG 62 đường 30 tháng 4</t>
  </si>
  <si>
    <t>WM+ HCM 33/4 ấp Mới 1</t>
  </si>
  <si>
    <t>WM+ DTP 98 Lê Lợi</t>
  </si>
  <si>
    <t>WM+ BTE 80 Nguyễn Huệ</t>
  </si>
  <si>
    <t>WM+ BTE 261K Đường Số 1</t>
  </si>
  <si>
    <t>WM+ HCM 112/6 Tân Chánh Hiệp 36</t>
  </si>
  <si>
    <t>WM+ HCM 8/9 ấp Hưng Lân</t>
  </si>
  <si>
    <t>WM+ BTE 116A1 Trương Định</t>
  </si>
  <si>
    <t>WM+ CMU 128 hẻm Bê Tông, Nguyễn Trãi</t>
  </si>
  <si>
    <t>WM+ CMU 81 Hùng Vương</t>
  </si>
  <si>
    <t>WM+ CMU 418 Trần Văn Thời</t>
  </si>
  <si>
    <t>WM+ TVH 28-29 Hùng Vương</t>
  </si>
  <si>
    <t>WM+ TVH 142A Nguyễn Đáng</t>
  </si>
  <si>
    <t>WM+ TVH 491 Nguyễn Thị Minh Khai</t>
  </si>
  <si>
    <t>WM+ CMU 168 Lý Thường Kiệt</t>
  </si>
  <si>
    <t>WM+ BTE 401B Nguyễn Đình Chiểu</t>
  </si>
  <si>
    <t>WM+ NTN 42C Đường 21 Tháng 8</t>
  </si>
  <si>
    <t>WM+ NTN 117 Cây Đa</t>
  </si>
  <si>
    <t>WM+ NTN 10 Nguyễn Du</t>
  </si>
  <si>
    <t>WM+ NTN 143 Hải Thượng Lãn Ông</t>
  </si>
  <si>
    <t>WM+ BTE 298F Khu phố 2</t>
  </si>
  <si>
    <t>WM+ BTE 63/2 Phan Đình Phùng</t>
  </si>
  <si>
    <t>WM+ BDG 612/3C kp Thanh Bình</t>
  </si>
  <si>
    <t>WM+ TVH 214 Lê Lợi</t>
  </si>
  <si>
    <t>WM+ TVH 57 Đồng Khởi</t>
  </si>
  <si>
    <t>WM+ TVH 363 khóm 8</t>
  </si>
  <si>
    <t>WM+ STG 177 Nguyễn Huệ</t>
  </si>
  <si>
    <t>WM+ BTE 600B1 Nguyễn Thị Định</t>
  </si>
  <si>
    <t>WM+ VTU Tổ 3, Ấp Mỹ Xuân</t>
  </si>
  <si>
    <t>WM+ STG 491 Lê Hồng Phong</t>
  </si>
  <si>
    <t>WM+ HCM 35A đường TX 21</t>
  </si>
  <si>
    <t>WM+ STG 176 Lê Hồng Phong</t>
  </si>
  <si>
    <t>WM+ LAN 218/2 Ấp Xóm Cống</t>
  </si>
  <si>
    <t>WM+ NTN 95 Trường Chinh</t>
  </si>
  <si>
    <t>WM+ NTN 160-162 Thống Nhất</t>
  </si>
  <si>
    <t>WM+ CMU 13 Đoàn Thị Điểm</t>
  </si>
  <si>
    <t>WM+ HCM 163 Nguyễn Thị Kiêu</t>
  </si>
  <si>
    <t>WM+ NTN 111 Lê Lợi</t>
  </si>
  <si>
    <t>WM+ VTU 83 Nguyễn Cư Trinh</t>
  </si>
  <si>
    <t>WM+ HCM 309 Nguyễn Thị Rành</t>
  </si>
  <si>
    <t>WM+ BDG Tổ 6, Đường ĐT 746</t>
  </si>
  <si>
    <t>WM+ VTU 679 – 681 Võ Văn Kiệt</t>
  </si>
  <si>
    <t>WM+ HCM 23 Nguyễn Hữu Cầu</t>
  </si>
  <si>
    <t>WM+ CMU 69 Phạm Hồng Thám</t>
  </si>
  <si>
    <t>WM+ HCM 109 Hà Đặc</t>
  </si>
  <si>
    <t>WM+ HCM 342 Nguyễn Văn Quá</t>
  </si>
  <si>
    <t>WM+ CMU 127 Nguyễn Công Trứ</t>
  </si>
  <si>
    <t>WM+ TVH 120 Trần Quốc Tuấn</t>
  </si>
  <si>
    <t>WM+ HCM 34 Tân Thới Nhất 21</t>
  </si>
  <si>
    <t>WM+ STG 78 Mạc Đỉnh Chi</t>
  </si>
  <si>
    <t>WM+ VTU Đất trống giáo xứ Thánh Phong</t>
  </si>
  <si>
    <t>WM+ DNI 123 đường Bình Minh – Quảng Tiến</t>
  </si>
  <si>
    <t>WM+ DNI 18 Hùng Vương</t>
  </si>
  <si>
    <t>WM+ DNI 79, Khu 3, ấp 7</t>
  </si>
  <si>
    <t>WM+ HCM 565G Tỉnh Lộ 15</t>
  </si>
  <si>
    <t>WM+ HCM A1/27A,  Ấp 1, Xã Vĩnh Lộc A</t>
  </si>
  <si>
    <t>WM+ DNI 518 Bình Minh-Quảng Tiến</t>
  </si>
  <si>
    <t>WM+ HCM 420A Nguyễn Văn Công</t>
  </si>
  <si>
    <t>WM+ HCM D1/1 Nguyễn Thị Tú</t>
  </si>
  <si>
    <t>WM+ BDG 52/13, đường Vĩnh Phú 41</t>
  </si>
  <si>
    <t>WM+ HCM 125A Dương Thị Mười</t>
  </si>
  <si>
    <t>WM+ HCM 36/2 – 36/2B Khu phố 8</t>
  </si>
  <si>
    <t>WM+ HCM 21 Tỉnh Lộ 8</t>
  </si>
  <si>
    <t>WM+ HCM 42B Nguyễn Văn Khạ</t>
  </si>
  <si>
    <t>WM+ DNI 27 Lê Duẩn</t>
  </si>
  <si>
    <t>WM+ VTU 41 Hai Bà Trưng</t>
  </si>
  <si>
    <t>WM+ DNI 1062 Tỉnh lộ 768</t>
  </si>
  <si>
    <t>WM+ HCM 437 Nguyễn Văn Tăng</t>
  </si>
  <si>
    <t>WM+ VTU 928 Phạm Hùng</t>
  </si>
  <si>
    <t>WM+ HCM 122 Trung Mỹ Tây 13</t>
  </si>
  <si>
    <t>WM+ DNI 55/7 Phạm Văn Đồng</t>
  </si>
  <si>
    <t>WM+ HCM 249-251 Huỳnh Thị Hai</t>
  </si>
  <si>
    <t>WM+ TGG 6A Nguyễn Huệ</t>
  </si>
  <si>
    <t>WM+ TGG 2 đường Nguyễn Trãi</t>
  </si>
  <si>
    <t>WM+ CMU 758 đường Ngô Quyền</t>
  </si>
  <si>
    <t>WM+DNI 258 Hoàng Diệu</t>
  </si>
  <si>
    <t>WM+ TVH 320A Phạm Ngũ Lão</t>
  </si>
  <si>
    <t>WM+ STG 106 Trần Hưng Đạo</t>
  </si>
  <si>
    <t>WM+ DNI 60 Yên Thế</t>
  </si>
  <si>
    <t>WM+ HCM 98/5A-5B Ấp Dân Thắng 2</t>
  </si>
  <si>
    <t>WM+ HCM 243 Tỉnh Lộ 15</t>
  </si>
  <si>
    <t>WM+ HCM C10/21 Đinh Đức Thiện</t>
  </si>
  <si>
    <t>WM+ VTU 639 Võ Thị Sáu</t>
  </si>
  <si>
    <t>WM+ CMU 10 Lê Hồng Phong</t>
  </si>
  <si>
    <t>WM+ VTU 85 Hai Bà Trưng</t>
  </si>
  <si>
    <t>WM+ HCM 8/1A KP4</t>
  </si>
  <si>
    <t>WM+ VTU 171 Nguyễn Tất Thành</t>
  </si>
  <si>
    <t>WM+ HCM E2/6N Đường Thới Hòa</t>
  </si>
  <si>
    <t>WM+ HCM 54C Nguyễn Thị Nỉ</t>
  </si>
  <si>
    <t>WM+ HCM 80 Nguyễn Thị Tiệp</t>
  </si>
  <si>
    <t>WM+ TGG 48 Đường 30/4</t>
  </si>
  <si>
    <t>WM+ DNI 291 Lý Thái Tổ</t>
  </si>
  <si>
    <t>WM+ VTU 31/3 Ấp Phước Bình</t>
  </si>
  <si>
    <t>WM+ LAN 128 Phước Lợi</t>
  </si>
  <si>
    <t>WM+ DNI 02 Khu dân cư 4, Ấp Chợ</t>
  </si>
  <si>
    <t>WM+ HCM 318 Tỉnh Lộ 2</t>
  </si>
  <si>
    <t>WM+ AGG 393 -395 Hữu Nghị</t>
  </si>
  <si>
    <t>WM+ LAN 74 Đường tỉnh 832</t>
  </si>
  <si>
    <t>WM+ AGG 107 Nguyễn Tri Phương</t>
  </si>
  <si>
    <t>WM+ BDG 33 Đường 18/09</t>
  </si>
  <si>
    <t>WM+ HCM 65 Phạm Hữu Tâm</t>
  </si>
  <si>
    <t>WM+ DNI 21 Khổng Tử</t>
  </si>
  <si>
    <t>WM+ AGG 582 Nguyễn Huệ</t>
  </si>
  <si>
    <t>WM+ BDG A84 KP Bình Đức</t>
  </si>
  <si>
    <t>WM+ TGG 1 Võ Thanh Tâm</t>
  </si>
  <si>
    <t>WM+ BDG 40 Độc Lập</t>
  </si>
  <si>
    <t>WM+ BDG 27-29/A66, KP. Bình Giao</t>
  </si>
  <si>
    <t>WM+ VTU 146 Nguyễn Thanh Đằng</t>
  </si>
  <si>
    <t>WM+ BDG 3/80 Thủ Khoa Huân</t>
  </si>
  <si>
    <t>WM+ HCM 12/1 đường TL27</t>
  </si>
  <si>
    <t>WM+ DNI 1823 Ấp 5, X. Xuân Bắc</t>
  </si>
  <si>
    <t>WM+ BDG 4/23 KP. Bình Quới</t>
  </si>
  <si>
    <t>WM+ HCM B13/29B Cây Cám, xã Vĩnh Lộc B</t>
  </si>
  <si>
    <t>WM+ AGG 581 Đường Vòng Núi Sam</t>
  </si>
  <si>
    <t>WM+ BPC 02 Trần Phú</t>
  </si>
  <si>
    <t>WM+ BPC 72 Trần Hưng Đạo</t>
  </si>
  <si>
    <t>WM+ BPC 82 Đinh Tiên Hoàng</t>
  </si>
  <si>
    <t>WM+ BPC 195 DT757, X. Bù Nho</t>
  </si>
  <si>
    <t>WM+ AGG 108 Trưng Nữ Vương</t>
  </si>
  <si>
    <t>WM+ LDG 06/27 Thôn Phi Nôm</t>
  </si>
  <si>
    <t>WM+ LDG 32 Thống Nhất</t>
  </si>
  <si>
    <t>WM+ HCM 172/16A An Phú Đông 09</t>
  </si>
  <si>
    <t>WM+ BDG 124/1 Khu Phố Đông Tư</t>
  </si>
  <si>
    <t>WM+ HCM 34/5B Trung Mỹ - Tân Xuân</t>
  </si>
  <si>
    <t>WM+ AGG 342 quốc lộ 91</t>
  </si>
  <si>
    <t>WM+ AGG 191 Thủ Khoa Nghĩa</t>
  </si>
  <si>
    <t>WM+ HCM 302 – 304 Nguyễn Thị Kiểu</t>
  </si>
  <si>
    <t>WM+ TGG 93 Võ Duy Linh</t>
  </si>
  <si>
    <t>WM+ BDG 09 Đường XC6</t>
  </si>
  <si>
    <t>WM+ VTU 180-182 Võ Thị Sáu</t>
  </si>
  <si>
    <t xml:space="preserve"> WM+ DNI 1461 QL20, X. Phú Xuân</t>
  </si>
  <si>
    <t>WM+ HCM 505 Nguyễn Văn Tạo</t>
  </si>
  <si>
    <t>WM+ DNI 301 Bắc Sơn</t>
  </si>
  <si>
    <t>WM+ STG 133 Trương Công Định</t>
  </si>
  <si>
    <t>WM+ AGG Tổ 8, Ấp Hòa Hạ</t>
  </si>
  <si>
    <t>WM+ DNI 322 Tỉnh lộ 768</t>
  </si>
  <si>
    <t>WM+ HCM 3/22A Đông Thạnh 2-3-1</t>
  </si>
  <si>
    <t>WM+ AGG Tổ 1, Đ. Tân Lộ Kiều Lương</t>
  </si>
  <si>
    <t>WM+ HCM 8/17 Đông Thạnh 3</t>
  </si>
  <si>
    <t>WM+ LDG 511 - 513 Thống Nhất, Đức Trọng</t>
  </si>
  <si>
    <t>WM+ TGG 147A Trần Công Tường</t>
  </si>
  <si>
    <t>WM+ BLU 60 Ninh Bình</t>
  </si>
  <si>
    <t>WM+ HCM 129/3 Trịnh Thị Miếng</t>
  </si>
  <si>
    <t>WM+ BLU 361 Võ Thị Sáu</t>
  </si>
  <si>
    <t>WM+ CMU 315 Lý Thường Kiệt</t>
  </si>
  <si>
    <t>WM+ BLU 6 Lê Duẩn</t>
  </si>
  <si>
    <t>WM+ HCM 1400 Tỉnh Lộ 7</t>
  </si>
  <si>
    <t>WM+ BDG 107 KP. 2,  Dầu Tiếng</t>
  </si>
  <si>
    <t>WM+ TGG TĐS 308, TBĐS 19 Quốc lộ 50</t>
  </si>
  <si>
    <t>WM+ KGG 21 Nguyễn Văn Cừ</t>
  </si>
  <si>
    <t>WM+ BDG 2/15 Nguyễn Du</t>
  </si>
  <si>
    <t>WM+ LAN 16 Nguyễn Văn Tiếp</t>
  </si>
  <si>
    <t>WM+ HCM B8/29B Hưng Nhơn</t>
  </si>
  <si>
    <t>WM+ BDG 283/3 Đường An Phú 06</t>
  </si>
  <si>
    <t>WM+ BDG 164/2C Khu Phố Thạnh Hòa B</t>
  </si>
  <si>
    <t>WM+ DNI 19 Phan Bội Châu</t>
  </si>
  <si>
    <t>WM+ HCM 77 Tân Thới Hiệp 14</t>
  </si>
  <si>
    <t>WM+ BDG 2/4 Thủ Khoa Huân</t>
  </si>
  <si>
    <t>WM+ BPC 47 Lê Duẩn</t>
  </si>
  <si>
    <t>WM+ BPC 847 Tôn Đức Thắng</t>
  </si>
  <si>
    <t>WM+ HCM 6 Xuân Thới 3</t>
  </si>
  <si>
    <t>WM+ STG 4-6 Pasteur</t>
  </si>
  <si>
    <t>WM+ BDG Ô 87-89 DC13, KDC VietSing</t>
  </si>
  <si>
    <t>WM+ BDG Lô J56 Đường NE8</t>
  </si>
  <si>
    <t>WM+ HCM 37/3A Thái Thị Giữ</t>
  </si>
  <si>
    <t>WM+ BTN 88 Thống Nhất</t>
  </si>
  <si>
    <t>WM+ HCM 49 Đông Thạnh 3-4</t>
  </si>
  <si>
    <t>WM+ NTN K1 KĐT mới Đông Bắc</t>
  </si>
  <si>
    <t>WM+ BTN 109 Cách Mạng Tháng 8</t>
  </si>
  <si>
    <t>WM+ BTN 55A Quang Trung</t>
  </si>
  <si>
    <t>WM+ NTN 34 - 36 Thống Nhất</t>
  </si>
  <si>
    <t>WM+ STG TĐ 195-TBĐ 18 Ung Công Uẩn</t>
  </si>
  <si>
    <t>WM+BDG A0102, CC Thuận Giao(Legacy)</t>
  </si>
  <si>
    <t>WM+ BTE TBĐ 75 Nguyễn Thị Định</t>
  </si>
  <si>
    <t>WM+ STG Đường tỉnh 937B, Ấp Chợ Mới</t>
  </si>
  <si>
    <t>WM+ TVH Khóm 2, TX Duyên Hải</t>
  </si>
  <si>
    <t>WM+ DNI 49 Nguyễn Trãi</t>
  </si>
  <si>
    <t>WM+ LDG 169 Trương Vĩnh Ký</t>
  </si>
  <si>
    <t>WM+ DNI 02 Hai Bà Trưng</t>
  </si>
  <si>
    <t>WIN HCM 331C Trần Hưng Đạo</t>
  </si>
  <si>
    <t>WIN HCM Hoàng Anh River View</t>
  </si>
  <si>
    <t>WIN HCM 24-24B Tôn Đản</t>
  </si>
  <si>
    <t>WIN  HCM 323-325 Bùi Hữu Nghĩa</t>
  </si>
  <si>
    <t>WIN HCM Thuận Việt</t>
  </si>
  <si>
    <t>WIN HCM Hoàng Anh 2</t>
  </si>
  <si>
    <t>WIN HCM 60 Bạch Đằng</t>
  </si>
  <si>
    <t>WIN HCM 300B Ng Trọng Tuyển</t>
  </si>
  <si>
    <t>WIN HCM 476 Phan Xích Long</t>
  </si>
  <si>
    <t>WM+ HCM 54 Huỳnh Mẫn Đạt</t>
  </si>
  <si>
    <t>WIN HCM Khu Phố Cảnh Viên</t>
  </si>
  <si>
    <t>WIN HCM Chung Cư Thái Sơn</t>
  </si>
  <si>
    <t>WIN HCM 79 Đào Duy Từ</t>
  </si>
  <si>
    <t>WIN HCM 17-19-21 Ng Văn Trỗi</t>
  </si>
  <si>
    <t>WIN HCM 03 Đường số 4</t>
  </si>
  <si>
    <t>WIN HCM Chung Cư 12 View</t>
  </si>
  <si>
    <t>WIN HCM A01-08 Hoàng Anh Thanh Bình</t>
  </si>
  <si>
    <t>WIN  HCM Cao ốc Lexington</t>
  </si>
  <si>
    <t>WIN DNI 468 Huỳnh Văn Nghệ</t>
  </si>
  <si>
    <t>WIN HCM The Era Town</t>
  </si>
  <si>
    <t>WIN HCM 89 Hoàng Quốc Việt</t>
  </si>
  <si>
    <t>WIN HCM 31 Trương Phước Phan</t>
  </si>
  <si>
    <t>WIN HCM 99 Nguyễn Thị Thập</t>
  </si>
  <si>
    <t>WIN HCM Dragon Hill Residence &amp; Suites</t>
  </si>
  <si>
    <t>WIN  HCM M-One Nam Sài Gòn</t>
  </si>
  <si>
    <t>WIN  HCM 145 Vĩnh Viễn</t>
  </si>
  <si>
    <t>WIN HCM 537 Nguyễn Duy Trinh</t>
  </si>
  <si>
    <t>WIN HCM 24 Đoàn Kết</t>
  </si>
  <si>
    <t>WIN HCM 192/72/74/76 Nguyễn Oanh</t>
  </si>
  <si>
    <t>WIN HCM 10B-10C Lê Minh Xuân</t>
  </si>
  <si>
    <t>WIN HCM Chung Cư Linh Tây</t>
  </si>
  <si>
    <t>WIN HCM 106 Bành Văn Trân</t>
  </si>
  <si>
    <t>WIN HCM IDICO Luỹ Bán Bích</t>
  </si>
  <si>
    <t>WIN HCM 89-91 Phạm Phú Thứ</t>
  </si>
  <si>
    <t>WIN HCM 4 đường D7</t>
  </si>
  <si>
    <t>WIN HCM 53 Vườn lài</t>
  </si>
  <si>
    <t>WIN HCM Flora - Fuji</t>
  </si>
  <si>
    <t>WIN HCM 10-10B Nguyễn Hữu Tiến</t>
  </si>
  <si>
    <t>WIN HCM 173 Liên khu 4-5</t>
  </si>
  <si>
    <t>WIN HCM Vinhomes Central Park P7</t>
  </si>
  <si>
    <t>WIN HCM Lô 13B Khu dân cư Conic</t>
  </si>
  <si>
    <t>WIN HCM 79 Liên khu 5-6</t>
  </si>
  <si>
    <t>WIN  VTU 602 Trương Công Định</t>
  </si>
  <si>
    <t>WIN HCM 23 24N Nguyễn Thị Tần</t>
  </si>
  <si>
    <t>WIN HCM 102 Khu phố 2</t>
  </si>
  <si>
    <t>WIN VTU 72A -72B Võ Thị Sáu</t>
  </si>
  <si>
    <t>WIN  VTU 286 Lê Lợi</t>
  </si>
  <si>
    <t>WIN  VTU 192-194 Lê Lai</t>
  </si>
  <si>
    <t>WIN HCM 909 Nguyễn Duy Trinh</t>
  </si>
  <si>
    <t>WIN HCM 602/52 Điện Biên Phủ</t>
  </si>
  <si>
    <t>WIN HCM 0.01-02-03 số 41, Trung Mỹ Tây</t>
  </si>
  <si>
    <t>WIN  VTU 1003/56 Đường Bình Giã</t>
  </si>
  <si>
    <t>WIN  VTU 921 Bình Giã</t>
  </si>
  <si>
    <t>WIN  VTU 93 Lê Lợi</t>
  </si>
  <si>
    <t>WIN  VTU 152A Xô Viết Nghệ Tĩnh</t>
  </si>
  <si>
    <t>WIN  HCM 2D – 2E Lương Thế Vinh</t>
  </si>
  <si>
    <t>WIN HCM 419 Ba Đình</t>
  </si>
  <si>
    <t>WIN  VTU 410 – 412 Trương Công Định</t>
  </si>
  <si>
    <t>WIN  VTU Chung cư Chí Linh 08</t>
  </si>
  <si>
    <t>WIN BDG 416 Nguyễn Thị Minh Khai</t>
  </si>
  <si>
    <t>WIN HCM 1189-1191 Phạm Văn Bạch</t>
  </si>
  <si>
    <t>WIN  VTU 890 đường 30/4</t>
  </si>
  <si>
    <t>WIN HCM 41 Đường 59</t>
  </si>
  <si>
    <t>WIN HCM Lô G9 Tháp AB</t>
  </si>
  <si>
    <t>WIN HCM 77A Dương Đình Hội</t>
  </si>
  <si>
    <t>WIN  VTU 21A Lê Lợi</t>
  </si>
  <si>
    <t>WIN HCM 60 Đường số 9</t>
  </si>
  <si>
    <t>WIN HCM 47-49-51 Trần Văn Ơn</t>
  </si>
  <si>
    <t>WIN HCM 152 Lê Lợi</t>
  </si>
  <si>
    <t>WIN HCM 15 Đường CN6</t>
  </si>
  <si>
    <t>WIN HCM 156A Nguyễn Hữu Thọ</t>
  </si>
  <si>
    <t>WIN HCM 860/80/22 Xô Viết Nghệ Tĩnh</t>
  </si>
  <si>
    <t>WIN HCM 64-66 Huỳnh Thiên Lộc</t>
  </si>
  <si>
    <t>WIN HCM 25 Lô A Trường Sơn</t>
  </si>
  <si>
    <t>WIN DNI 27 Đường 643</t>
  </si>
  <si>
    <t>WIN DNI 18/30A Tổ 24</t>
  </si>
  <si>
    <t>WIN DNI 2/11 Khu Phố 4</t>
  </si>
  <si>
    <t>WIN DNI 27 Lý Văn Sâm</t>
  </si>
  <si>
    <t>WIN HCM 206 Đình Phong Phú</t>
  </si>
  <si>
    <t>WIN  VTU 134B Nam Kỳ Khởi Nghĩa</t>
  </si>
  <si>
    <t>WIN  VTU 32 Trần Đồng</t>
  </si>
  <si>
    <t>WIN HCM 23 I Khuông Việt</t>
  </si>
  <si>
    <t>WIN HCM 404 A-B-C Nguyễn Oanh</t>
  </si>
  <si>
    <t>WIN HCM 53-55 Bùi Tư Toàn</t>
  </si>
  <si>
    <t>WIN HCM 104 Thống Nhất</t>
  </si>
  <si>
    <t>WIN HCM 58 Nguyễn Phúc Chu</t>
  </si>
  <si>
    <t>WIN HCM 1/54 Thanh Đa</t>
  </si>
  <si>
    <t>WIN HCM 14/6 Hoàng Dư Khương</t>
  </si>
  <si>
    <t>WIN HCM 85A Quốc Lộ 13</t>
  </si>
  <si>
    <t>WIN BDG 207A Ấp Bình Đường</t>
  </si>
  <si>
    <t>WIN HCM 135 B Đường Số 20</t>
  </si>
  <si>
    <t>WIN HCM 60 Lê Văn Chí (2)</t>
  </si>
  <si>
    <t>WIN  VTU 11-11A Lê Văn Lộc</t>
  </si>
  <si>
    <t>WIN  VTU A7-10/7 Trung Tâm Chí Linh</t>
  </si>
  <si>
    <t>WIN HCM A01-11 Dream Home Residence</t>
  </si>
  <si>
    <t>WIN HCM 68 Huỳnh Văn Nghệ</t>
  </si>
  <si>
    <t>WIN HCM 355A Đỗ Xuân Hợp</t>
  </si>
  <si>
    <t>WIN  HCM 94/54-56 Hoà Bình</t>
  </si>
  <si>
    <t>WIN HCM 82 Lý Phục Man</t>
  </si>
  <si>
    <t>WIN HCM 268 Bùi Minh Trực</t>
  </si>
  <si>
    <t>WIN HCM 176 Đường 44 Trương Đình Hội</t>
  </si>
  <si>
    <t>WIN HCM 66B Nguyễn Sỹ Sách</t>
  </si>
  <si>
    <t>WIN BDG 86 Ngô Thì Nhậm</t>
  </si>
  <si>
    <t>WIN HCM 965/44 Quang Trung</t>
  </si>
  <si>
    <t>WIN HCM 55-57 Trần Văn Kiểu</t>
  </si>
  <si>
    <t>WIN BDG 27 Nguyễn Du</t>
  </si>
  <si>
    <t>WIN HCM 15 Hồ Bá Kiện</t>
  </si>
  <si>
    <t>WIN  VTU 209 Nguyễn Hữu Cảnh</t>
  </si>
  <si>
    <t>WIN HCM 36/27 Kinh Dương Vương</t>
  </si>
  <si>
    <t>WIN DNI 249 Hà Huy Giáp</t>
  </si>
  <si>
    <t>WIN HCM Kingston Residence</t>
  </si>
  <si>
    <t>WIN HCM 63/13 Gò Dầu</t>
  </si>
  <si>
    <t>WIN HCM 38C/7-9 Đường Cây Keo</t>
  </si>
  <si>
    <t>WIN HCM 37 Đường 385 - Tăng Nhơn Phú A</t>
  </si>
  <si>
    <t>WIN HCM 34/31 &amp; 34/33 Trần Thái Tông</t>
  </si>
  <si>
    <t>WIN BDG 453 Lý Thường Kiệt</t>
  </si>
  <si>
    <t>WIN HCM CC Opal RiverSide</t>
  </si>
  <si>
    <t>WIN HCM 1E Thanh Đa</t>
  </si>
  <si>
    <t>WIN BDG 323A Bình Thung</t>
  </si>
  <si>
    <t>WIN HCM 876 Huỳnh Tấn Phát</t>
  </si>
  <si>
    <t>WIN HCM CC Orchard Garden</t>
  </si>
  <si>
    <t>WIN HCM Rivergate Residence</t>
  </si>
  <si>
    <t>WIN HCM 52A Đường Số 18</t>
  </si>
  <si>
    <t>WIN HCM 11 Đường Số 15</t>
  </si>
  <si>
    <t>WIN HCM 39 Đường Số 1</t>
  </si>
  <si>
    <t>WIN HCM 39A - 41 Đường Số 3</t>
  </si>
  <si>
    <t>WIN HCM 34 Đường số 12</t>
  </si>
  <si>
    <t>WIN VTU 09 Nguyễn Hữu Cảnh</t>
  </si>
  <si>
    <t>WIN HCM 116 Đường số 10</t>
  </si>
  <si>
    <t>WIN HCM 169 Nguyễn Phúc Nguyên</t>
  </si>
  <si>
    <t>WIN HCM 1443 Nguyễn Duy Trinh</t>
  </si>
  <si>
    <t>WIN  HCM  22A-24 Nguyễn Súy</t>
  </si>
  <si>
    <t>WIN HCM 2672A Đường Phạm Thế Hiển</t>
  </si>
  <si>
    <t>WIN HCM 66/10A Bình Thành</t>
  </si>
  <si>
    <t>WIN HCM 258/27 Bông Sao</t>
  </si>
  <si>
    <t>WIN HCM 82 đường số 9</t>
  </si>
  <si>
    <t>WIN HCM 4/1D Ấp Nam Thới</t>
  </si>
  <si>
    <t>WIN HCM 92 Đất Thánh</t>
  </si>
  <si>
    <t>WIN HCM 958/39 Âu Cơ</t>
  </si>
  <si>
    <t>WM+ NTN 9B Nguyễn Văn Cừ</t>
  </si>
  <si>
    <t>WIN HCM BS6-BS7 khu nhà ở Him Lam</t>
  </si>
  <si>
    <t>WIN BDG 12-14-14A Tân Lập</t>
  </si>
  <si>
    <t>WIN  DNI 340 Bùi Trọng Nghĩa</t>
  </si>
  <si>
    <t>WIN HCM 217A Long Phước</t>
  </si>
  <si>
    <t>WIN BDG C3-3A_C3-05 KDC Him Lam</t>
  </si>
  <si>
    <t>WIN HCM 1-3 N1, KDC P.Phú Thuận (Lacasa)</t>
  </si>
  <si>
    <t>WIN  DNI 38 Đặng Văn Trơn</t>
  </si>
  <si>
    <t>WIN  HCM Thửa 526, P. Phú Thuận</t>
  </si>
  <si>
    <t>WIN HCM 271 Bàu Cát</t>
  </si>
  <si>
    <t>WIN HCM Lô BC1, tầng trệt, khu BC</t>
  </si>
  <si>
    <t>WIN HCM 17/41 Thanh Đa</t>
  </si>
  <si>
    <t>WIN  VTU Thửa 491 và thửa 56</t>
  </si>
  <si>
    <t>WIN  HCM Trệt Block B 04 Phan Chu Trinh</t>
  </si>
  <si>
    <t>WIN HCM 197-199 đường số 12</t>
  </si>
  <si>
    <t>WIN DNI số 8 đường Đồng Khởi</t>
  </si>
  <si>
    <t>WM+ TNH 17 Nguyễn Văn Linh</t>
  </si>
  <si>
    <t>WIN HCM 209/48 Tôn Thất Thuyết</t>
  </si>
  <si>
    <t>WIN BDG 06 Đoàn Thị Kìa</t>
  </si>
  <si>
    <t>WIN DNI 89 Tổ 9, Tân Hiệp</t>
  </si>
  <si>
    <t>WIN DNI 19/5 Cách Mạng Tháng 8</t>
  </si>
  <si>
    <t>WIN HCM 755 Lê Đức Thọ</t>
  </si>
  <si>
    <t>WIN HCM 37 Hồ Hảo Hớn</t>
  </si>
  <si>
    <t>WIN HCM TS 2.0.03 Trệt CC The Tresor</t>
  </si>
  <si>
    <t>WIN BDG 116-118 đường số 9</t>
  </si>
  <si>
    <t>WIN HCM 590/32 Phan Văn Trị</t>
  </si>
  <si>
    <t>WIN  VTU 1481 đường 30/4</t>
  </si>
  <si>
    <t>WIN HCM TM02-CH3, Cityland PH</t>
  </si>
  <si>
    <t>WIN HCM CC Lexington</t>
  </si>
  <si>
    <t>WIN HCM 84 Gò Ô Môi</t>
  </si>
  <si>
    <t>WIN  HCM 61/43 Đường số 48</t>
  </si>
  <si>
    <t>WIN  VTU 193 Bình Giã</t>
  </si>
  <si>
    <t>WIN HCM 188 Hiệp Bình</t>
  </si>
  <si>
    <t>WIN HCM 002 Tầng trệt CC Sunrise</t>
  </si>
  <si>
    <t>WIN  HCM 20H9-21H9 Đường DD11</t>
  </si>
  <si>
    <t>WIN  VTU 270A Bình Giã</t>
  </si>
  <si>
    <t>WIN HCM 13/134 Trần Văn Hoàng</t>
  </si>
  <si>
    <t>WIN  VTU 40 Đô Lương</t>
  </si>
  <si>
    <t>WIN HCM Trệt CC 36 Trịnh Đình Thảo</t>
  </si>
  <si>
    <t>WIN HCM 8A đường số 12</t>
  </si>
  <si>
    <t>WIN HCM 85-87 đường số 6</t>
  </si>
  <si>
    <t>WIN  DNI A32 đường D5</t>
  </si>
  <si>
    <t>WIN  HCM SCB-01-21 Sunrise City view</t>
  </si>
  <si>
    <t>WIN  DNI H1/1 Nguyễn Ái Quốc</t>
  </si>
  <si>
    <t>WIN  DNI H2/4 tổ 34, KDC Tân Phong</t>
  </si>
  <si>
    <t>WIN  DNI 81 Nguyễn Hoàng</t>
  </si>
  <si>
    <t>WM+ VLG 80 Nguyễn Văn Thảnh</t>
  </si>
  <si>
    <t>WIN HCM CC An Gia Star</t>
  </si>
  <si>
    <t>WIN HCM CC Topaz Garden - Block A</t>
  </si>
  <si>
    <t>WIN HCM CC Riva Park</t>
  </si>
  <si>
    <t>WIN HCM CC Ehome Trần Trọng Cung</t>
  </si>
  <si>
    <t>WIN HCM CC Jamona 1 - N1</t>
  </si>
  <si>
    <t>WIN HCM CC Jamona 2 - B2</t>
  </si>
  <si>
    <t>WIN HCM CC Giai Việt, A0106-A0107</t>
  </si>
  <si>
    <t>WIN HCM CC Happy City</t>
  </si>
  <si>
    <t>WIN  HCM CC Morning Star</t>
  </si>
  <si>
    <t>WIN HCM CC City Garden</t>
  </si>
  <si>
    <t>WIN  HCM CC The Manor</t>
  </si>
  <si>
    <t>WIN HCM CC The Manor 2</t>
  </si>
  <si>
    <t>WIN  HCM 81B Lã Xuân Oai</t>
  </si>
  <si>
    <t>WIN  HCM 372A Nơ Trang Long</t>
  </si>
  <si>
    <t>WIN  HCM 1.26-1.27 CC Viva Riverside</t>
  </si>
  <si>
    <t>WIN HCM 34 Chương Dương</t>
  </si>
  <si>
    <t>WIN  HCM 48 đường số 26, KP5</t>
  </si>
  <si>
    <t>WIN  DNI G1, Khu 94, Ấp Long Đức 1</t>
  </si>
  <si>
    <t>WIN  DNI 152 Đinh Quang Ân</t>
  </si>
  <si>
    <t>WIN  DNI 155 Trương Định</t>
  </si>
  <si>
    <t>WIN DNI 77/2 Đồng Khởi</t>
  </si>
  <si>
    <t>WIN  HCM Grand Riverside</t>
  </si>
  <si>
    <t>WIN  HCM 79A Huỳnh Tịnh Của</t>
  </si>
  <si>
    <t>WIN  HCM 950-950A Tạ Quang Bửu</t>
  </si>
  <si>
    <t>WIN  HCM Tầng 1+2B Gateway Thảo Điền</t>
  </si>
  <si>
    <t>WIN  DNI 27 Phùng Hưng</t>
  </si>
  <si>
    <t>WIN HCM 45F1-46F1 đường DN5 KDC An Sương</t>
  </si>
  <si>
    <t>WIN HCM CS3-CS4 chung cư Prosper Plaza</t>
  </si>
  <si>
    <t>WIN  HCM 0.01 Chung Cư CH1, Cityland</t>
  </si>
  <si>
    <t>WIN HCM 01.04 Chung cư Pegasuite</t>
  </si>
  <si>
    <t>WIN HCM RS6-SH.15 Chung cư Richstar</t>
  </si>
  <si>
    <t>WIN HCM Lavita Garden</t>
  </si>
  <si>
    <t>WIN HCM BTM1-3 Trệt Chung cư Centana</t>
  </si>
  <si>
    <t>WIN  HCM 42-44 đường A4</t>
  </si>
  <si>
    <t>WIN HCM 001 SAV4, CC Avenue</t>
  </si>
  <si>
    <t>WIN HCM A3 Chung cư Star Light</t>
  </si>
  <si>
    <t>WIN HCM 339DE Nguyễn Cảnh Chân</t>
  </si>
  <si>
    <t>WIN HCM Jamila Khang Điền</t>
  </si>
  <si>
    <t>WIN HCM CC An Cư</t>
  </si>
  <si>
    <t>WIN HCM TM05 CC OSIMI</t>
  </si>
  <si>
    <t>WIN  DNI 6 Nguyễn Bảo Đức</t>
  </si>
  <si>
    <t>WIN  HCM 97 Nguyên Hồng</t>
  </si>
  <si>
    <t>WIN HCM 09 Phạm Vấn</t>
  </si>
  <si>
    <t>WIN HCM 7-9 Nguyễn Hiền</t>
  </si>
  <si>
    <t>WIN  HCM 606/144-606/146 Ba Tháng Hai</t>
  </si>
  <si>
    <t>WIN HCM 15 Nguyễn Quang Bích</t>
  </si>
  <si>
    <t>WIN  HCM 163/25/1 Tô Hiến Thành</t>
  </si>
  <si>
    <t>WIN HCM 42 Thăng Long</t>
  </si>
  <si>
    <t>WIN HCM 81 đường số 2</t>
  </si>
  <si>
    <t>WIN  HCM 1.17-1.04 CC Hiệp Thành-Parkland</t>
  </si>
  <si>
    <t>WIN  VTU159 Lê Quang Định</t>
  </si>
  <si>
    <t>WIN  DNI 175-177 đường N16</t>
  </si>
  <si>
    <t>WIN  HCM 2N Bình Giã</t>
  </si>
  <si>
    <t>WIN HCM T1.04 Tòa nhà La Astoria</t>
  </si>
  <si>
    <t>WIN HCM 25 đường số 17</t>
  </si>
  <si>
    <t>WIN HCM 81 Cầu Xây</t>
  </si>
  <si>
    <t>WIN HCM 179A Nghĩa Phát</t>
  </si>
  <si>
    <t>WIN HCM 82 Tô Vĩnh Diện</t>
  </si>
  <si>
    <t>WIN HCM 1042 Nguyễn Duy Trinh</t>
  </si>
  <si>
    <t>WIN HCM 196 Mã Lò</t>
  </si>
  <si>
    <t>WIN HCM Flora Anh Đào</t>
  </si>
  <si>
    <t>WIN HCM Hope Garden</t>
  </si>
  <si>
    <t>WIN HCM 51A Nguyễn Tuyển</t>
  </si>
  <si>
    <t>WIN HCM A–01 Dự án Valora Mizuki</t>
  </si>
  <si>
    <t>WIN HCM Golden Mansion</t>
  </si>
  <si>
    <t>WIN HCM 532 Phạm Văn Chiêu</t>
  </si>
  <si>
    <t>WIN HCM 152 Hoàng Hoa Thám</t>
  </si>
  <si>
    <t>WIN HCM 107 đường số 1</t>
  </si>
  <si>
    <t>WIN HCM 290 An Dương Vương</t>
  </si>
  <si>
    <t>WIN  VTU 408-410 Nguyễn Hữu Cảnh</t>
  </si>
  <si>
    <t>WIN HCM 31A-33A Gò Dầu</t>
  </si>
  <si>
    <t>WIN  HCM 25 đường số 6</t>
  </si>
  <si>
    <t>WIN HCM 50-52 đường 50A</t>
  </si>
  <si>
    <t>WIN HCM D.1.10, Tầng 1 Sunrise Riverside</t>
  </si>
  <si>
    <t>WIN HCM Lô NTR-01.02, CC Newton</t>
  </si>
  <si>
    <t>WIN HCM Dream Home Luxury</t>
  </si>
  <si>
    <t>WIN  HCM CC Bảo Minh Ezland (HAUSNEO)</t>
  </si>
  <si>
    <t>WIN HCM VE-S06, KDC New City</t>
  </si>
  <si>
    <t>WIN HCM TM 03 Tầng 1, Khối D, CC Gia Hòa</t>
  </si>
  <si>
    <t>WIN HCM 24B Lam Sơn</t>
  </si>
  <si>
    <t>WIN  VTU 117 Nguyễn Thị Minh Khai</t>
  </si>
  <si>
    <t>WIN  HCM 1.12-1.12B Lô B Sài Gòn Gateway</t>
  </si>
  <si>
    <t>WIN HCM CC Green River, Shop 8.2</t>
  </si>
  <si>
    <t>WIN BDG 01.01 CC Marina-Phú Đông Premier</t>
  </si>
  <si>
    <t>WIN HCM 1016/28 Khu Sky Garden 2-R1-2</t>
  </si>
  <si>
    <t>WIN HCM 0.08, Tầng 1, CC Saigon MIA</t>
  </si>
  <si>
    <t>WIN HCM HR1SH1 Chung cư Eco Green</t>
  </si>
  <si>
    <t>WIN HCM 0.02, CC Phúc Thịnh</t>
  </si>
  <si>
    <t>WIN HCM 26 Nhất Chi Mai</t>
  </si>
  <si>
    <t>WIN  VTU 55 Võ Trường Toản</t>
  </si>
  <si>
    <t>WIN HCM 43 Quách Văn Tuấn</t>
  </si>
  <si>
    <t>WIN HCM 39 Đường 19, Khu định cư số 4</t>
  </si>
  <si>
    <t>WIN HCM B4 Bạch Đằng</t>
  </si>
  <si>
    <t>WIN HCM 74 Nguyễn Chí Thanh</t>
  </si>
  <si>
    <t>WIN  DNI 164 Phan Trung</t>
  </si>
  <si>
    <t>WM+ HCM 1.04-S1.06 Vinhomes Grand P</t>
  </si>
  <si>
    <t>WIN BDG CH Sacom Bình Thắng</t>
  </si>
  <si>
    <t>WIN HCM A1.01.22 Tầng 1-2 Tháp A1 Saphire</t>
  </si>
  <si>
    <t>WIN HCM 232 Lê Văn Thịnh</t>
  </si>
  <si>
    <t>WIN HCM H1-04, căn 0.01, 0.28, 0.29 Citihome</t>
  </si>
  <si>
    <t>WIN  HCM 54 Lô L, Đường số 7</t>
  </si>
  <si>
    <t>WIN HCM 06 tháp A, trệt, 132 Bến Vân Đồn</t>
  </si>
  <si>
    <t>WIN HCM 181-183 Lê Cơ</t>
  </si>
  <si>
    <t>WIN HCM 104 Trần Bá Giao</t>
  </si>
  <si>
    <t>WIN HCM 139 Nguyễn Trọng Tuyển</t>
  </si>
  <si>
    <t>WIN BDG Opal Boulevard</t>
  </si>
  <si>
    <t>WIN HCM 120-122 Ca Văn Thỉnh</t>
  </si>
  <si>
    <t>WIN HCM 107 - 109 Độc Lập</t>
  </si>
  <si>
    <t>WIN HCM CC Bộ Công An, B01.05</t>
  </si>
  <si>
    <t>WIN HCM 85-86 Phan Văn Khỏe</t>
  </si>
  <si>
    <t>WIN BDG 27/2 KP Tân Thắng</t>
  </si>
  <si>
    <t>WIN HCM Khu 3 Tầng trệt CC B2 Trường Sa</t>
  </si>
  <si>
    <t>WIN  DNI 198 Nguyễn Tri Phương</t>
  </si>
  <si>
    <t>WIN  DNI A4/183 Bùi Hữu Nghĩa</t>
  </si>
  <si>
    <t>WIN HCM BPC-01.03-01.04 Botanica Pr</t>
  </si>
  <si>
    <t>WIN HCM 36 -38 Công Chúa Ngọc Hân</t>
  </si>
  <si>
    <t>WIN  BDG 16D1 Tân Đông Hiệp</t>
  </si>
  <si>
    <t>WIN HCM Shop 58-60-62, B3-CC The Park</t>
  </si>
  <si>
    <t>WIN HCM 0.01-0.02, CC Imperial Place</t>
  </si>
  <si>
    <t>WIN HCM 24-26 Tân Cảng</t>
  </si>
  <si>
    <t>WIN BDG 74 Huỳnh Thị Tươi</t>
  </si>
  <si>
    <t>WIN HCM 244 Điện Biên Phủ</t>
  </si>
  <si>
    <t>WIN  DNI LK1-32 KDC Long Châu</t>
  </si>
  <si>
    <t>WIN  BDG 97 Trần Quang Khải</t>
  </si>
  <si>
    <t>WIN HCM CC Sunwah Pearl</t>
  </si>
  <si>
    <t>WIN HCM 64 Yên Thế</t>
  </si>
  <si>
    <t>WIN HCM 115 Đặng Thùy Trâm</t>
  </si>
  <si>
    <t>WIN HCM 66 Bình Lợi</t>
  </si>
  <si>
    <t>WIN HCM 48 Đường số 53</t>
  </si>
  <si>
    <t>WIN  DNI 9/8 Nguyễn Khuyến</t>
  </si>
  <si>
    <t>WIN  VTU 79A Nơ Trang Long</t>
  </si>
  <si>
    <t>WIN HCM Tecco Town 4449 Nguyễn Cửu</t>
  </si>
  <si>
    <t>WIN HCM I.1.05-06 CC Sunrise Riverside</t>
  </si>
  <si>
    <t>WIN  VTU CC 18 Tầng Lô A, 199 NKKN</t>
  </si>
  <si>
    <t>WIN  VTU LK8-16 Huỳnh Văn Hớn</t>
  </si>
  <si>
    <t>WIN HCM 173/23/100 Khuông Việt</t>
  </si>
  <si>
    <t>WM+ HCM S9.01-01.17 Vinhomes Grand Park</t>
  </si>
  <si>
    <t>WIN HCM E1-09, CC Belleza</t>
  </si>
  <si>
    <t>WIN BDG S37 Block D CC Bcons Garden</t>
  </si>
  <si>
    <t>WIN  VTU 66 Nguyễn An Ninh</t>
  </si>
  <si>
    <t>WIN HCM AK04-000.02 CC Akari City</t>
  </si>
  <si>
    <t>WIN HCM HR2SH21 -HR2SH22, CC Eco Gr</t>
  </si>
  <si>
    <t>WIN  VTU 764 Đường 30/4</t>
  </si>
  <si>
    <t>WIN  VTU 221 Trần Phú</t>
  </si>
  <si>
    <t>WIN HCM 39 Ấp Chiến Lược</t>
  </si>
  <si>
    <t>WIN HCM S6.05-01.05 Vinhomes Grand</t>
  </si>
  <si>
    <t>WIN HCM 666/72 Đường 3 Tháng 2</t>
  </si>
  <si>
    <t>WIN  VTU 797 Bình Giã</t>
  </si>
  <si>
    <t>WIN  VTU 172A Trương Công Định</t>
  </si>
  <si>
    <t>WIN DNI 18I, P. Tân Phong</t>
  </si>
  <si>
    <t>WIN HCM 47/8 Nguyễn Hữu Tiến</t>
  </si>
  <si>
    <t>WIN HCM SH3-6, CC HQC Plaza</t>
  </si>
  <si>
    <t>WIN HCM 148 Đường số 9</t>
  </si>
  <si>
    <t>WIN  DNI 106 Hồ Hòa</t>
  </si>
  <si>
    <t>WIN HCM S3.05-01.17 Vinhomes Grand</t>
  </si>
  <si>
    <t>WIN HCM 34 Tạ Hiện</t>
  </si>
  <si>
    <t>WIN  BDG 75 - 77 Đường N4</t>
  </si>
  <si>
    <t>WIN  VTU 117-119 Hoàng Văn Thụ</t>
  </si>
  <si>
    <t>WIN BDG SH R1 Block A CC Charm Ruby</t>
  </si>
  <si>
    <t>WIN HCM B-TM01, CC Harmona</t>
  </si>
  <si>
    <t>WIN HCM 121-123-125-127 Nguyễn Quý Anh</t>
  </si>
  <si>
    <t>WIN HCM A10/27 Ấp 1 Quốc lộ 50</t>
  </si>
  <si>
    <t>WIN  BDG 108 Lê Hồng Phong</t>
  </si>
  <si>
    <t>WIN  BDG 343 Quốc Lộ 1K</t>
  </si>
  <si>
    <t>WIN HCM 776 - 778 Thống Nhất</t>
  </si>
  <si>
    <t>WIN HCM  03-04, CC TopazHome 2</t>
  </si>
  <si>
    <t>WIN HCM S7.02-01.04 Vinhomes Grand</t>
  </si>
  <si>
    <t>WIN HCM S10.03-01.04 Vinhomes Grand</t>
  </si>
  <si>
    <t>WIN HCM Gian hàng B2, CC Riverside</t>
  </si>
  <si>
    <t>WIN  VTU 2B Lương Thế Vinh</t>
  </si>
  <si>
    <t>WM+ VTU 168 Nguyễn Văn Cừ</t>
  </si>
  <si>
    <t>WIN  VTU 238 Đường 30/4</t>
  </si>
  <si>
    <t>WIN BDG 76 Bùi Thị Xuân</t>
  </si>
  <si>
    <t>WIN BDG 20-21 Bcons Green View</t>
  </si>
  <si>
    <t>WIN HCM U01-0.01 Block A10 CC Ehome</t>
  </si>
  <si>
    <t>WIN HCM 05 -06, CC Topaz Elite</t>
  </si>
  <si>
    <t>WIN HCM E1 Block E CC Tecco Town</t>
  </si>
  <si>
    <t>WIN HCM SH21, CC Homyland Riverside</t>
  </si>
  <si>
    <t>WM+ HCM S7.01-01.17 Vinhomes Grand</t>
  </si>
  <si>
    <t>WIN HCM EA4-01-06, CC Era Town</t>
  </si>
  <si>
    <t>WIN BDG SH21-22 CC Bcons Plaza</t>
  </si>
  <si>
    <t>WIN HCM 3086-3088 Phạm Thế Hiển</t>
  </si>
  <si>
    <t>WIN HCM 31 Nguyễn Thượng Hiền</t>
  </si>
  <si>
    <t>WIN HCM A9-10, CC Saigon Intela</t>
  </si>
  <si>
    <t>WIN HCM I-1.TM03, CC Hà Đô</t>
  </si>
  <si>
    <t>WIN HCM 136 Lâm Văn Bền</t>
  </si>
  <si>
    <t>WIN HCM 250-252 Phạm Văn Chiêu</t>
  </si>
  <si>
    <t>WIN DNI 119 - 121 Vũ Hồng Phô</t>
  </si>
  <si>
    <t>WM+ VTU 234 Nguyễn Văn Linh</t>
  </si>
  <si>
    <t>WIN HCM GF-03 &amp; GF-05, CC Stown</t>
  </si>
  <si>
    <t>WIN HCM 66A đường số 5</t>
  </si>
  <si>
    <t>WIN HCM 1.01, CC Park View Residenc</t>
  </si>
  <si>
    <t>WIN HCM A-0.07, CC Thủ Thiêm Dragon</t>
  </si>
  <si>
    <t>WIN HCM 118-118A Trương Công Định</t>
  </si>
  <si>
    <t>WIN HCM 1 Đường N1</t>
  </si>
  <si>
    <t>WIN HCM 97-99 Ngô Thị Thu Minh</t>
  </si>
  <si>
    <t>WIN HCM 83 Trần Hưng Đạo</t>
  </si>
  <si>
    <t>WIN HCM TM19-0.21, CC 8X-Plus</t>
  </si>
  <si>
    <t>WIN HCM 0.01, CC Nguyễn Kim</t>
  </si>
  <si>
    <t>WIN HCM CH số 34, tầng 1-CC Midtown</t>
  </si>
  <si>
    <t>WIN VTU 758 Trần Phú</t>
  </si>
  <si>
    <t>WIN HCM 1.11, 16/9 Bùi Văn Ba</t>
  </si>
  <si>
    <t>WIN HCM 1.019-CC Sunrise City North</t>
  </si>
  <si>
    <t>WIN HCM Block B The Privia</t>
  </si>
  <si>
    <t>WM+ DNI 55 Võ Văn Tần, Đồng Xoài</t>
  </si>
  <si>
    <t>WM+ HCM 126 Đông Hưng Thuận 2</t>
  </si>
  <si>
    <t>WM+ DNI A-01-04, Topaz Twins</t>
  </si>
  <si>
    <t>WM+ LDG 59 Tuyên Quang</t>
  </si>
  <si>
    <t>WM+ VLG 54/7 Mậu Thân</t>
  </si>
  <si>
    <t>WM+ VLG 60G Phạm Hùng</t>
  </si>
  <si>
    <t>WM+ HCM 25 Bùi Văn Bình</t>
  </si>
  <si>
    <t>WM+ HCM 258 Võ Thị Sáu</t>
  </si>
  <si>
    <t>WM+ CTO Đường N3, KDC Nam Long 2</t>
  </si>
  <si>
    <t>WM+ LDG 07 Nguyễn Văn Cừ</t>
  </si>
  <si>
    <t>WM+ HCM B.0109, CC Phú Mỹ-C2</t>
  </si>
  <si>
    <t>WM+ DNI Khu Phố Trung Tâm, Xuân Lập</t>
  </si>
  <si>
    <t>WM+ HCM Khu phố 3B, Thới Hòa</t>
  </si>
  <si>
    <t>WM+ DNI 57-59 Đường 6 tháng 1</t>
  </si>
  <si>
    <t>WM+ AGG Đường Trần Hưng Đạo</t>
  </si>
  <si>
    <t>WM+ VLG TĐS 533, TBĐ 16, Trần Phú</t>
  </si>
  <si>
    <t>WM+ CTO 117A/3, KV5</t>
  </si>
  <si>
    <t>WM+ AGG 332-334 Lý Thái Tổ</t>
  </si>
  <si>
    <t>2BAH-WM+ HCM 67 đường 2</t>
  </si>
  <si>
    <t>WIN HCM 1.05-1.06 Chung cư BS10</t>
  </si>
  <si>
    <t>WM+ VLG Đường 2/9, Duyên Hải</t>
  </si>
  <si>
    <t>WM+ HCM Đường DE4, Thới Hòa</t>
  </si>
  <si>
    <t>WM+ HCM A1 Green Town Bình Tân</t>
  </si>
  <si>
    <t>WM+ CMU Ấp 5, Tân Lộc</t>
  </si>
  <si>
    <t>WM+ CMU Ấp Rạch Ráng B, Trần Văn Th</t>
  </si>
  <si>
    <t>WiN HCM 0.01, Tầng 1, CC Phúc Yên 2</t>
  </si>
  <si>
    <t>WIN HCM Lô C, Him Lam Phú An</t>
  </si>
  <si>
    <t>WIN HCM 13 Hà Thị Cầu</t>
  </si>
  <si>
    <t>WIN HCM 741 Đường 30/4</t>
  </si>
  <si>
    <t>WM VCC HCM Đồng Khởi</t>
  </si>
  <si>
    <t>WM VCP HCM Thủ Đức</t>
  </si>
  <si>
    <t>WM HCM Bàu Cát</t>
  </si>
  <si>
    <t>WM VCP HCM Quang Trung</t>
  </si>
  <si>
    <t>WM VCC HCM Thảo Điền</t>
  </si>
  <si>
    <t>WM HCM Bình Trưng</t>
  </si>
  <si>
    <t>WM VCP HCM Cộng Hòa</t>
  </si>
  <si>
    <t>WM VCP HCM Lê Văn Việt</t>
  </si>
  <si>
    <t>WM VCP HCM Phan Văn Trị</t>
  </si>
  <si>
    <t>WM VC+ HCM Nguyễn Duy Trinh</t>
  </si>
  <si>
    <t>WM VCP HCM Sài Gòn Res</t>
  </si>
  <si>
    <t>WM VC+ HCM Nam Long</t>
  </si>
  <si>
    <t>WM VC+ HCM Phổ Quang</t>
  </si>
  <si>
    <t>WM VCC HCM Landmark 81</t>
  </si>
  <si>
    <t>WM HCM Novia Thủ Đức</t>
  </si>
  <si>
    <t>WM HCM Hưng Gia</t>
  </si>
  <si>
    <t>WM HCM Trung Sơn</t>
  </si>
  <si>
    <t>WM HCM Diamond</t>
  </si>
  <si>
    <t>WM VCP DNI Biên Hòa</t>
  </si>
  <si>
    <t>WM VC+ DNI Long Thành</t>
  </si>
  <si>
    <t>WM BDG Dĩ An</t>
  </si>
  <si>
    <t>WM VCP BDG Dĩ An</t>
  </si>
  <si>
    <t>WM BDG Mỹ Phước 1</t>
  </si>
  <si>
    <t>WM VCP TNH Tây Ninh</t>
  </si>
  <si>
    <t>WM VTU Gateway Vũng Tàu</t>
  </si>
  <si>
    <t>WM VCP CTO Cần Thơ</t>
  </si>
  <si>
    <t>WM CTO Ninh Kiều</t>
  </si>
  <si>
    <t>WM VCP CTO Xuân Khánh</t>
  </si>
  <si>
    <t>WM VCP AGG Long Xuyên</t>
  </si>
  <si>
    <t>WM VCP TVH Trà Vinh</t>
  </si>
  <si>
    <t>WM VC+ BLU Bạc Liêu</t>
  </si>
  <si>
    <t>WM VCP BLU Bạc Liêu</t>
  </si>
  <si>
    <t>WM VCP VLG Vĩnh Long</t>
  </si>
  <si>
    <t>WM VCP KGG Rạch Giá</t>
  </si>
  <si>
    <t>WM VCP HUG Vị Thanh</t>
  </si>
  <si>
    <t>WM VCP STG Sóc Trăng</t>
  </si>
  <si>
    <t>WM VCP HCM Ba Tháng Hai</t>
  </si>
  <si>
    <t>WM VCP LAN Long An</t>
  </si>
  <si>
    <t>WM VC+ DTP Sa Đéc</t>
  </si>
  <si>
    <t>WM VCP CMU Cà Mau</t>
  </si>
  <si>
    <t>WM VCP DTP Cao Lãnh</t>
  </si>
  <si>
    <t>WM VCP TGG Mỹ Tho</t>
  </si>
  <si>
    <t>WM VCP NTN Ninh Thuận</t>
  </si>
  <si>
    <t>WM VCP LDG Bảo Lộc</t>
  </si>
  <si>
    <t>WM LDG Đức Trọng</t>
  </si>
  <si>
    <t>73001811</t>
  </si>
  <si>
    <t>73002039</t>
  </si>
  <si>
    <t>73002037</t>
  </si>
  <si>
    <t>73002052</t>
  </si>
  <si>
    <t>73002031</t>
  </si>
  <si>
    <t>73002026</t>
  </si>
  <si>
    <t>73002024</t>
  </si>
  <si>
    <t>73002048</t>
  </si>
  <si>
    <t>73002055</t>
  </si>
  <si>
    <t>73002047</t>
  </si>
  <si>
    <t>73002051</t>
  </si>
  <si>
    <t>73002038</t>
  </si>
  <si>
    <t>73004553</t>
  </si>
  <si>
    <t>73002050</t>
  </si>
  <si>
    <t>73002030</t>
  </si>
  <si>
    <t>73002033</t>
  </si>
  <si>
    <t>73002054</t>
  </si>
  <si>
    <t>73002041</t>
  </si>
  <si>
    <t>73002028</t>
  </si>
  <si>
    <t>73002032</t>
  </si>
  <si>
    <t>73002029</t>
  </si>
  <si>
    <t>73002042</t>
  </si>
  <si>
    <t>CÔNG TY CỔ PHẦN DỊCH VỤ THƯƠNG MẠI TỔNG HỢP WINCOMMERCE</t>
  </si>
  <si>
    <t>CHI NHÁNH ĐỒNG NAI - CÔNG TY CỔ PHẦN DỊCH VỤ THƯƠNG MẠI TỔNG HỢP WINCOMMERCE</t>
  </si>
  <si>
    <t>CHI NHÁNH CẦN THƠ - CÔNG TY CỔ PHẦN DỊCH VỤ THƯƠNG MẠI TỔNG HỢP WINCOMMERCE</t>
  </si>
  <si>
    <t>CHI NHÁNH TIỀN GIANG - CÔNG TY CỔ PHẦN DỊCH VỤ THƯƠNG MẠI TỔNG HỢP WINCOMMERCE</t>
  </si>
  <si>
    <t>CHI NHÁNH BÌNH DƯƠNG - CÔNG TY CỔ PHẦN DỊCH VỤ THƯƠNG MẠI TỔNG HỢP WINCOMMERCE</t>
  </si>
  <si>
    <t>CHI NHÁNH AN GIANG - CÔNG TY CỔ PHẦN DỊCH VỤ THƯƠNG MẠI TỔNG HỢP WINCOMMERCE</t>
  </si>
  <si>
    <t>CHI NHÁNH BÌNH THUẬN - CÔNG TY CỔ PHẦN DỊCH VỤ THƯƠNG MẠI TỔNG HỢP WINCOMMERCE</t>
  </si>
  <si>
    <t>CHI NHÁNH LONG AN - CÔNG TY CỔ PHẦN DỊCH VỤ THƯƠNG MẠI TỔNG HỢP WINCOMMERCE</t>
  </si>
  <si>
    <t>CHI NHÁNH VĨNH LONG - CÔNG TY CỔ PHẦN DỊCH VỤ THƯƠNG MẠI TỔNG HỢP WINCOMMERCE</t>
  </si>
  <si>
    <t>CHI NHÁNH KIÊN GIANG - CÔNG TY CỔ PHẦN DỊCH VỤ THƯƠNG MẠI TỔNG HỢP WINCOMMERCE</t>
  </si>
  <si>
    <t>CHI NHÁNH TÂY NINH - CÔNG TY CỔ PHẦN DỊCH VỤ THƯƠNG MẠI TỔNG HỢP WINCOMMERCE</t>
  </si>
  <si>
    <t>CHI NHÁNH LÂM ĐỒNG - CÔNG TY CỔ PHẦN DỊCH VỤ THƯƠNG MẠI TỔNG HỢP WINCOMMERCE</t>
  </si>
  <si>
    <t>CHI NHÁNH ĐỒNG THÁP - CÔNG TY CỔ PHẦN DỊCH VỤ THƯƠNG MẠI TỔNG HỢP WINCOMMERCE</t>
  </si>
  <si>
    <t>CHI NHÁNH SÓC TRĂNG - CÔNG TY CỔ PHẦN DỊCH VỤ THƯƠNG MẠI TỔNG HỢP WINCOMMERCE</t>
  </si>
  <si>
    <t>CHI NHÁNH BẾN TRE - CÔNG TY CỔ PHẦN DỊCH VỤ THƯƠNG MẠI TỔNG HỢP WINCOMMERCE</t>
  </si>
  <si>
    <t>CHI NHÁNH CÀ MAU - CÔNG TY CỔ PHẦN DỊCH VỤ THƯƠNG MẠI TỔNG HỢP WINCOMMERCE</t>
  </si>
  <si>
    <t>CHI NHÁNH TRÀ VINH - CÔNG TY CỔ PHẦN DỊCH VỤ THƯƠNG MẠI TỔNG HỢP WINCOMMERCE</t>
  </si>
  <si>
    <t>CHI NHÁNH NINH THUẬN - CÔNG TY CỔ PHẦN DỊCH VỤ THƯƠNG MẠI TỔNG HỢP WINCOMMERCE</t>
  </si>
  <si>
    <t>CHI NHÁNH BÀ RỊA - VŨNG TÀU - CÔNG TY CỔ PHẦN DỊCH VỤ THƯƠNG MẠI TỔNG HỢP WINCOMMERCE</t>
  </si>
  <si>
    <t>CHI NHÁNH BÌNH PHƯỚC - CÔNG TY CỔ PHẦN DỊCH VỤ THƯƠNG MẠI TỔNG HỢP WINCOMMERCE</t>
  </si>
  <si>
    <t>CHI NHÁNH BẠC LIÊU - CÔNG TY CỔ PHẦN DỊCH VỤ THƯƠNG MẠI TỔNG HỢP WINCOMMERCE</t>
  </si>
  <si>
    <t>CHI NHÁNH HẬU GIANG - CÔNG TY CỔ PHẦN DỊCH VỤ THƯƠNG MẠI TỔNG HỢP WINCOMMERCE</t>
  </si>
  <si>
    <t>HCVG80</t>
  </si>
  <si>
    <t>HC-CT120</t>
  </si>
  <si>
    <t>B_180DB1</t>
  </si>
  <si>
    <t>B_170DB2</t>
  </si>
  <si>
    <t>B159NB3D</t>
  </si>
  <si>
    <t>2B86</t>
  </si>
  <si>
    <t>WM+ HCM Block B, CC Ngôi Sao</t>
  </si>
  <si>
    <t>SH.11-SH.12 Block B, Tầng 1, Khu Că CC Ngôi Sao, 267, Đ. Vành đai ĐHQG KP.Tân Hòa, P. Đông Hòa, TP. Hồ Chí Minh Việt Nam</t>
  </si>
  <si>
    <t>2BHN</t>
  </si>
  <si>
    <t>WM+ DNI 65 Hà Huy Giáp</t>
  </si>
  <si>
    <t>65 Hà Huy Giáp, khu phố Phước Lư, Phường Trấn Biên T. Đồng Nai Việt Nam</t>
  </si>
  <si>
    <t>2BKM</t>
  </si>
  <si>
    <t>WIN HCM TM-VP4-04 Lavida Residences</t>
  </si>
  <si>
    <t>TM-VP4-04, đường D1, Khu nhà ở cao cấp Vườn Xuân, TP. Hồ Chí Minh Việt Nam</t>
  </si>
  <si>
    <t>2BQH</t>
  </si>
  <si>
    <t>WM+ HCM Đường DB4, Vĩnh Tân</t>
  </si>
  <si>
    <t>Thửa đất số 2983-2984, TBĐ số 15, Đ. DB4, Phường Vĩnh Tân, TP. Hồ Chí Minh Việt 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</si>
</sst>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15"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s>
  <fills count="7">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91">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82">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49" fontId="0" fillId="0" borderId="2" xfId="0" applyNumberFormat="1" applyFont="1" applyBorder="1"/>
    <xf numFmtId="49" fontId="0" fillId="0" borderId="0" xfId="0" applyNumberFormat="1" applyFont="1" applyBorder="1"/>
    <xf numFmtId="49" fontId="0" fillId="0" borderId="1" xfId="0" applyNumberFormat="1" applyFont="1" applyBorder="1"/>
    <xf numFmtId="49" fontId="0" fillId="0" borderId="3" xfId="0" applyNumberFormat="1" applyFont="1" applyBorder="1"/>
    <xf numFmtId="0" fontId="0" fillId="0" borderId="1" xfId="0" applyFont="1" applyBorder="1"/>
    <xf numFmtId="0" fontId="0" fillId="0" borderId="3" xfId="0" applyFont="1" applyBorder="1"/>
    <xf numFmtId="0" fontId="0" fillId="0" borderId="4" xfId="0" applyFont="1" applyBorder="1"/>
    <xf numFmtId="0" fontId="0" fillId="0" borderId="2" xfId="0" applyNumberFormat="1" applyFont="1" applyBorder="1"/>
    <xf numFmtId="0" fontId="0" fillId="0" borderId="1" xfId="0" applyNumberFormat="1" applyFont="1" applyBorder="1"/>
    <xf numFmtId="0" fontId="0" fillId="0" borderId="3" xfId="0" applyNumberFormat="1" applyFont="1" applyBorder="1"/>
    <xf numFmtId="0" fontId="0" fillId="0" borderId="0" xfId="0" applyNumberFormat="1" applyFont="1"/>
  </cellXfs>
  <cellStyles count="91">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6" xfId="16" xr:uid="{264B1648-479B-4CBF-99BC-6ED439AAD40F}"/>
    <cellStyle name="Comma 6 2" xfId="44" xr:uid="{C7CCA391-BAD2-4A8C-A555-847B2DDDA020}"/>
    <cellStyle name="Comma 7" xfId="17" xr:uid="{B33DB79A-149E-4510-909C-176CF8DF7E23}"/>
    <cellStyle name="Comma 7 2" xfId="45" xr:uid="{57650B51-34E5-4A04-B637-F1B1EC7FA664}"/>
    <cellStyle name="Comma 8" xfId="18" xr:uid="{22C37695-9BA3-485C-8644-E00F7306C625}"/>
    <cellStyle name="Comma 8 2" xfId="46" xr:uid="{923B7DB6-3A80-43E6-A91D-EC4C7A3F3324}"/>
    <cellStyle name="Comma 9" xfId="19" xr:uid="{2875765B-C21C-466E-9062-CB80136F02D0}"/>
    <cellStyle name="Comma 9 2" xfId="47" xr:uid="{305AF4E2-BD49-4AA5-9F65-7BEABA28F9AA}"/>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Percent" xfId="3" builtinId="5"/>
    <cellStyle name="Percent 2" xfId="9" xr:uid="{F7704816-F71E-4B16-8374-BAFDC397824E}"/>
    <cellStyle name="Percent 3" xfId="36" xr:uid="{B1044FCA-8450-4C78-B2BD-61D0803C7968}"/>
  </cellStyles>
  <dxfs count="89">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8"/>
      <tableStyleElement type="headerRow"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9" tableType="queryTable" totalsRowShown="0">
  <tableColumns count="5">
    <tableColumn id="1" xr3:uid="{CE6305D2-B0A2-4AF4-AD54-51B9EE8E31D7}" uniqueName="1" name="Mã sản phẩm" queryTableFieldId="1" dataDxfId="67"/>
    <tableColumn id="2" xr3:uid="{78C0B3DE-4B0D-4F42-9CFB-367331B55B6E}" uniqueName="2" name="Tên sản phẩm" queryTableFieldId="2" dataDxfId="66"/>
    <tableColumn id="5" xr3:uid="{D7C71052-76A0-4EA7-B624-4A9D6A76F616}" uniqueName="5" name="DS - ĐV" queryTableFieldId="5" dataDxfId="65"/>
    <tableColumn id="6" xr3:uid="{72988F07-60F3-4EC8-982D-E631DB13AFBA}" uniqueName="6" name="OEM - DS - ĐV" queryTableFieldId="6" dataDxfId="64"/>
    <tableColumn id="4" xr3:uid="{06E26DB5-D709-41AE-8B98-A826C58C4A64}" uniqueName="4" name="MSG - DS - NK - ĐV" queryTableFieldId="4" dataDxfId="6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3" totalsRowShown="0" headerRowDxfId="62" dataDxfId="61">
  <tableColumns count="5">
    <tableColumn id="1" xr3:uid="{2C40A1CB-C46A-4153-AED9-D8B01B3B1FDF}" name="Mã Barcode" dataDxfId="60"/>
    <tableColumn id="2" xr3:uid="{7456A678-F847-47ED-94C4-3C260C1552F3}" name="Mã sản phẩm" dataDxfId="59"/>
    <tableColumn id="3" xr3:uid="{8F00D34E-5FF5-4B46-92CA-973A13BE3354}" name="Tên sản phẩm" dataDxfId="58"/>
    <tableColumn id="4" xr3:uid="{E1BC9259-7622-4555-971D-35D04B656BA5}" name="Giá gốc" dataDxfId="57" dataCellStyle="Comma"/>
    <tableColumn id="5" xr3:uid="{8D11E962-8D0A-471C-A0EB-B80959C9286A}" name="Hệ thống" dataDxfId="56"/>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70" totalsRowShown="0" headerRowDxfId="86" dataDxfId="85">
  <tableColumns count="17">
    <tableColumn id="16" xr3:uid="{3D638095-6A4C-4457-8987-56DFEC602049}" name="STT" dataDxfId="84" dataCellStyle="Comma">
      <calculatedColumnFormula>ROW()-1</calculatedColumnFormula>
    </tableColumn>
    <tableColumn id="1" xr3:uid="{CC8C6505-F6F3-49A5-990D-1D05F3C2A523}" name="Tên chương trình" dataDxfId="83"/>
    <tableColumn id="14" xr3:uid="{3CF3F57A-B7A9-4949-A2CD-7559736D578A}" name="Hệ thống" dataDxfId="82"/>
    <tableColumn id="13" xr3:uid="{914695FE-C4D2-4760-9B39-7E39BA176931}" name="Phạm vi" dataDxfId="81"/>
    <tableColumn id="7" xr3:uid="{0C5B54E1-CC44-4C58-883F-6EBB8D8B1560}" name="Ngày áp dụng" dataDxfId="80"/>
    <tableColumn id="6" xr3:uid="{E46FE077-A7BC-483C-9EC5-579E67208DED}" name="Ngày kết thúc" dataDxfId="79"/>
    <tableColumn id="8" xr3:uid="{38AD0AB6-8448-4FA9-90AD-E00435DC7105}" name="Barcode" dataDxfId="78"/>
    <tableColumn id="2" xr3:uid="{4F907A79-C404-45B8-8865-DAA53BD2BB5D}" name="Mã sản phẩm" dataDxfId="77">
      <calculatedColumnFormula>VLOOKUP(gia_khuyen_mai[[#This Row],[Barcode]],'Giá gốc'!$A:$B,2,0)</calculatedColumnFormula>
    </tableColumn>
    <tableColumn id="3" xr3:uid="{57D313CB-E05B-4C62-8D7B-1FBA1B603426}" name="Tên sản phẩm" dataDxfId="76">
      <calculatedColumnFormula>VLOOKUP(gia_khuyen_mai[[#This Row],[Mã sản phẩm]],'Giá gốc'!$B:$C,2,0)</calculatedColumnFormula>
    </tableColumn>
    <tableColumn id="4" xr3:uid="{4AC2CD1B-6CAA-414B-9586-47FBFA9FD3E7}" name="Giá gốc" dataDxfId="75" dataCellStyle="Comma">
      <calculatedColumnFormula>VLOOKUP(gia_khuyen_mai[[#This Row],[Mã sản phẩm]],'Giá gốc'!B:D,3,0)</calculatedColumnFormula>
    </tableColumn>
    <tableColumn id="9" xr3:uid="{BDE7683A-2B2E-4466-A858-7FCBDF8E1EF8}" name="% Giảm giá" dataDxfId="74" dataCellStyle="Percent"/>
    <tableColumn id="10" xr3:uid="{1727AD9F-F93C-4F3F-9A11-6C9525D5465E}" name="Giá khuyến mại" dataDxfId="73">
      <calculatedColumnFormula>ROUND((1-gia_khuyen_mai[[#This Row],[% Giảm giá]]) * gia_khuyen_mai[[#This Row],[Giá gốc]], 0)</calculatedColumnFormula>
    </tableColumn>
    <tableColumn id="15" xr3:uid="{309C4649-C5E5-488F-93A8-AF4DAA76C571}" name="Chương trình KM" dataDxfId="72"/>
    <tableColumn id="11" xr3:uid="{553C2C7E-2BDB-4322-B663-ED2D77F94C90}" name="Mã hàng tặng" dataDxfId="71"/>
    <tableColumn id="12" xr3:uid="{9B83A596-C597-4BF6-B840-6CC6C33B0988}" name="Tên hàng tặng" dataDxfId="70">
      <calculatedColumnFormula>IFERROR(VLOOKUP(gia_khuyen_mai[[#This Row],[Mã hàng tặng]],'Giá gốc'!B:C,2,0),"")</calculatedColumnFormula>
    </tableColumn>
    <tableColumn id="5" xr3:uid="{B98AE93A-CC51-433B-8429-C4A7F7A0D0B0}" name="Chương trình KAM" dataDxfId="69"/>
    <tableColumn id="17" xr3:uid="{622106C7-5406-4E9B-B608-2AEC51135AC8}" name="Loại hàng" dataDxfId="68">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5195" totalsRowShown="0" headerRowDxfId="55" dataDxfId="54" tableBorderDxfId="53">
  <sortState xmlns:xlrd2="http://schemas.microsoft.com/office/spreadsheetml/2017/richdata2" ref="A2:I3619">
    <sortCondition sortBy="cellColor" ref="A1:A3619" dxfId="52"/>
  </sortState>
  <tableColumns count="9">
    <tableColumn id="1" xr3:uid="{E1F7E384-0140-4EA8-AFCB-ED63BFF6E92D}" name="Mã điểm giao" dataDxfId="51"/>
    <tableColumn id="2" xr3:uid="{BC28FE72-0CF1-4B29-91F8-C1D1AFC0DADB}" name="Hệ thống" dataDxfId="50"/>
    <tableColumn id="3" xr3:uid="{1076D369-316B-4E90-8B17-68A6B514BCB4}" name="Tên điểm giao" dataDxfId="49"/>
    <tableColumn id="4" xr3:uid="{6DE5C7D4-E5DE-478F-AB4D-F95EA4269F49}" name="Địa chỉ điểm giao" dataDxfId="48"/>
    <tableColumn id="5" xr3:uid="{9E7B3702-4CDD-48E4-A385-947AA2B1546E}" name="Mã khách hàng" dataDxfId="47"/>
    <tableColumn id="6" xr3:uid="{F2ABDEAC-1268-4D68-9C33-21242C5DE7BE}" name="Tên khách hàng" dataDxfId="46">
      <calculatedColumnFormula>VLOOKUP(Table8[[#This Row],[Mã khách hàng]],code_khach_hang[],2,0)</calculatedColumnFormula>
    </tableColumn>
    <tableColumn id="7" xr3:uid="{C4E931ED-C444-4313-89B0-64B07C7D98EE}" name="Chi nhánh" dataDxfId="45">
      <calculatedColumnFormula>VLOOKUP(Table8[[#This Row],[Mã khách hàng]],code_khach_hang[],3,0)</calculatedColumnFormula>
    </tableColumn>
    <tableColumn id="8" xr3:uid="{595D2146-6C6E-4A4A-9D05-25AA528A9E5B}" name="Nhóm hàng" dataDxfId="44">
      <calculatedColumnFormula>VLOOKUP(Table8[[#This Row],[Mã khách hàng]],'Khách hàng'!A:D,4,0)</calculatedColumnFormula>
    </tableColumn>
    <tableColumn id="9" xr3:uid="{2C823544-9944-474B-AF19-F6B825C6503A}" name="Mã kho" dataDxfId="43">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72" totalsRowShown="0">
  <autoFilter ref="A1:E72"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8" totalsRowShown="0" headerRowDxfId="42">
  <autoFilter ref="A1:D18"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0" dataDxfId="39">
  <autoFilter ref="C1:C4" xr:uid="{ADC05F40-C363-4DCB-BE5D-0A0045F8B258}"/>
  <tableColumns count="1">
    <tableColumn id="1" xr3:uid="{9D66A733-528A-41BB-A541-CCD75B87ADB0}" name="Hệ thống" dataDxfId="38"/>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7" dataDxfId="36">
  <autoFilter ref="A1:A5" xr:uid="{3E5BB425-C709-4E30-B692-C634F029F4C5}"/>
  <tableColumns count="1">
    <tableColumn id="1" xr3:uid="{8068B11E-DE88-4012-B8D2-4E3A6A990A5E}" name="Phạm vi" dataDxfId="35"/>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4" dataDxfId="33">
  <autoFilter ref="E1:E3" xr:uid="{5AD308E8-3B5F-4678-BE60-E71492E4098C}"/>
  <tableColumns count="1">
    <tableColumn id="1" xr3:uid="{090FBE7C-3012-4BB8-B161-C8913DD3AD9B}" name="Chương trình KM" dataDxfId="32"/>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1" dataDxfId="30">
  <autoFilter ref="G1:G3" xr:uid="{3805AE30-E17D-426D-B46F-6302B2466CAB}"/>
  <tableColumns count="1">
    <tableColumn id="1" xr3:uid="{4C6FE016-BD59-4F65-B58B-1F846720B07D}" name="DS-DV" dataDxfId="29"/>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8" dataDxfId="27">
  <autoFilter ref="I1:I5" xr:uid="{1AFCDDEB-5F61-44C7-8FEA-25E7FC5990A5}"/>
  <tableColumns count="1">
    <tableColumn id="1" xr3:uid="{BCE62694-B0AC-41FE-8A09-62367A5AF0BA}" name="MSG - DS - NK - ĐV" dataDxfId="26"/>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5" dataDxfId="24">
  <autoFilter ref="K1:K9" xr:uid="{7DB961E9-913F-4CD7-B577-ADA7BAE73B05}"/>
  <tableColumns count="1">
    <tableColumn id="1" xr3:uid="{A0E54596-C379-4875-893B-12BE27309887}" name="Chi nhánh" dataDxfId="23"/>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9" totalsRowShown="0" headerRowDxfId="22" dataDxfId="21">
  <autoFilter ref="M1:N9" xr:uid="{987FC37B-C85C-411A-B67A-8746E3534E56}"/>
  <tableColumns count="2">
    <tableColumn id="1" xr3:uid="{61A405FA-1C6E-42CE-B141-07C2E716B041}" name="Mã kho" dataDxfId="20"/>
    <tableColumn id="2" xr3:uid="{EB2F09D8-48CD-47D6-9999-FB85D9342F16}" name="Tên kho" dataDxfId="19"/>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9"/>
  <sheetViews>
    <sheetView topLeftCell="A4" zoomScale="130" zoomScaleNormal="130" workbookViewId="0">
      <selection activeCell="B13" sqref="B13"/>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45" t="s">
        <v>13246</v>
      </c>
      <c r="B2" t="s">
        <v>9368</v>
      </c>
      <c r="C2" t="s">
        <v>9369</v>
      </c>
      <c r="D2" t="s">
        <v>9369</v>
      </c>
      <c r="E2" t="s">
        <v>9369</v>
      </c>
    </row>
    <row r="3" spans="1:5" x14ac:dyDescent="0.25">
      <c r="A3" t="s">
        <v>9370</v>
      </c>
      <c r="B3" t="s">
        <v>9371</v>
      </c>
      <c r="C3" t="s">
        <v>9369</v>
      </c>
      <c r="D3" t="s">
        <v>9369</v>
      </c>
      <c r="E3" t="s">
        <v>9369</v>
      </c>
    </row>
    <row r="4" spans="1:5" x14ac:dyDescent="0.25">
      <c r="A4" t="s">
        <v>9372</v>
      </c>
      <c r="B4" t="s">
        <v>9373</v>
      </c>
      <c r="C4" t="s">
        <v>9369</v>
      </c>
      <c r="D4" t="s">
        <v>9369</v>
      </c>
      <c r="E4" t="s">
        <v>9369</v>
      </c>
    </row>
    <row r="5" spans="1:5" x14ac:dyDescent="0.25">
      <c r="A5" t="s">
        <v>9374</v>
      </c>
      <c r="B5" t="s">
        <v>9375</v>
      </c>
      <c r="C5" t="s">
        <v>9369</v>
      </c>
      <c r="D5" t="s">
        <v>9369</v>
      </c>
      <c r="E5" t="s">
        <v>9369</v>
      </c>
    </row>
    <row r="6" spans="1:5" x14ac:dyDescent="0.25">
      <c r="A6" t="s">
        <v>9376</v>
      </c>
      <c r="B6" t="s">
        <v>9377</v>
      </c>
      <c r="C6" t="s">
        <v>9378</v>
      </c>
      <c r="D6" t="s">
        <v>9378</v>
      </c>
      <c r="E6" t="s">
        <v>9378</v>
      </c>
    </row>
    <row r="7" spans="1:5" x14ac:dyDescent="0.25">
      <c r="A7" t="s">
        <v>477</v>
      </c>
      <c r="B7" t="s">
        <v>9379</v>
      </c>
      <c r="C7" t="s">
        <v>9369</v>
      </c>
      <c r="D7" t="s">
        <v>9369</v>
      </c>
      <c r="E7" t="s">
        <v>9369</v>
      </c>
    </row>
    <row r="8" spans="1:5" x14ac:dyDescent="0.25">
      <c r="A8" t="s">
        <v>480</v>
      </c>
      <c r="B8" t="s">
        <v>9380</v>
      </c>
      <c r="C8" t="s">
        <v>9369</v>
      </c>
      <c r="D8" t="s">
        <v>9369</v>
      </c>
      <c r="E8" t="s">
        <v>9369</v>
      </c>
    </row>
    <row r="9" spans="1:5" x14ac:dyDescent="0.25">
      <c r="A9" t="s">
        <v>9381</v>
      </c>
      <c r="B9" t="s">
        <v>9382</v>
      </c>
      <c r="C9" t="s">
        <v>9378</v>
      </c>
      <c r="D9" t="s">
        <v>9378</v>
      </c>
      <c r="E9" t="s">
        <v>9378</v>
      </c>
    </row>
    <row r="10" spans="1:5" x14ac:dyDescent="0.25">
      <c r="A10" t="s">
        <v>9383</v>
      </c>
      <c r="B10" t="s">
        <v>9384</v>
      </c>
      <c r="C10" t="s">
        <v>9369</v>
      </c>
      <c r="D10" t="s">
        <v>9369</v>
      </c>
      <c r="E10" t="s">
        <v>9369</v>
      </c>
    </row>
    <row r="11" spans="1:5" x14ac:dyDescent="0.25">
      <c r="A11" t="s">
        <v>9385</v>
      </c>
      <c r="B11" t="s">
        <v>9386</v>
      </c>
      <c r="C11" t="s">
        <v>9369</v>
      </c>
      <c r="D11" t="s">
        <v>9369</v>
      </c>
      <c r="E11" t="s">
        <v>9369</v>
      </c>
    </row>
    <row r="12" spans="1:5" x14ac:dyDescent="0.25">
      <c r="A12" t="s">
        <v>9387</v>
      </c>
      <c r="B12" t="s">
        <v>9388</v>
      </c>
      <c r="C12" t="s">
        <v>9378</v>
      </c>
      <c r="D12" t="s">
        <v>9378</v>
      </c>
      <c r="E12" t="s">
        <v>9378</v>
      </c>
    </row>
    <row r="13" spans="1:5" x14ac:dyDescent="0.25">
      <c r="A13" t="s">
        <v>9389</v>
      </c>
      <c r="B13" t="s">
        <v>9390</v>
      </c>
      <c r="C13" t="s">
        <v>9378</v>
      </c>
      <c r="D13" t="s">
        <v>9378</v>
      </c>
      <c r="E13" t="s">
        <v>9378</v>
      </c>
    </row>
    <row r="14" spans="1:5" x14ac:dyDescent="0.25">
      <c r="A14" t="s">
        <v>9391</v>
      </c>
      <c r="B14" t="s">
        <v>9392</v>
      </c>
      <c r="C14" t="s">
        <v>9378</v>
      </c>
      <c r="D14" t="s">
        <v>9378</v>
      </c>
      <c r="E14" t="s">
        <v>9378</v>
      </c>
    </row>
    <row r="15" spans="1:5" x14ac:dyDescent="0.25">
      <c r="A15" t="s">
        <v>9393</v>
      </c>
      <c r="B15" t="s">
        <v>9394</v>
      </c>
      <c r="C15" t="s">
        <v>9378</v>
      </c>
      <c r="D15" t="s">
        <v>9378</v>
      </c>
      <c r="E15" t="s">
        <v>9378</v>
      </c>
    </row>
    <row r="16" spans="1:5" x14ac:dyDescent="0.25">
      <c r="A16" t="s">
        <v>9395</v>
      </c>
      <c r="B16" t="s">
        <v>9396</v>
      </c>
      <c r="C16" t="s">
        <v>9378</v>
      </c>
      <c r="D16" t="s">
        <v>9378</v>
      </c>
      <c r="E16" t="s">
        <v>9353</v>
      </c>
    </row>
    <row r="17" spans="1:5" x14ac:dyDescent="0.25">
      <c r="A17" t="s">
        <v>9397</v>
      </c>
      <c r="B17" t="s">
        <v>9398</v>
      </c>
      <c r="C17" t="s">
        <v>9378</v>
      </c>
      <c r="D17" t="s">
        <v>9378</v>
      </c>
      <c r="E17" t="s">
        <v>9353</v>
      </c>
    </row>
    <row r="18" spans="1:5" x14ac:dyDescent="0.25">
      <c r="A18" t="s">
        <v>9399</v>
      </c>
      <c r="B18" t="s">
        <v>9400</v>
      </c>
      <c r="C18" t="s">
        <v>9378</v>
      </c>
      <c r="D18" t="s">
        <v>9378</v>
      </c>
      <c r="E18" t="s">
        <v>9353</v>
      </c>
    </row>
    <row r="19" spans="1:5" x14ac:dyDescent="0.25">
      <c r="A19" t="s">
        <v>9401</v>
      </c>
      <c r="B19" t="s">
        <v>9402</v>
      </c>
      <c r="C19" t="s">
        <v>9378</v>
      </c>
      <c r="D19" t="s">
        <v>9378</v>
      </c>
      <c r="E19" t="s">
        <v>9378</v>
      </c>
    </row>
    <row r="20" spans="1:5" x14ac:dyDescent="0.25">
      <c r="A20" t="s">
        <v>9403</v>
      </c>
      <c r="B20" t="s">
        <v>9404</v>
      </c>
      <c r="C20" t="s">
        <v>9378</v>
      </c>
      <c r="D20" t="s">
        <v>9378</v>
      </c>
      <c r="E20" t="s">
        <v>9405</v>
      </c>
    </row>
    <row r="21" spans="1:5" x14ac:dyDescent="0.25">
      <c r="A21" t="s">
        <v>9406</v>
      </c>
      <c r="B21" t="s">
        <v>9407</v>
      </c>
      <c r="C21" t="s">
        <v>9378</v>
      </c>
      <c r="D21" t="s">
        <v>9378</v>
      </c>
      <c r="E21" t="s">
        <v>9378</v>
      </c>
    </row>
    <row r="22" spans="1:5" x14ac:dyDescent="0.25">
      <c r="A22" t="s">
        <v>9408</v>
      </c>
      <c r="B22" t="s">
        <v>9409</v>
      </c>
      <c r="C22" t="s">
        <v>9378</v>
      </c>
      <c r="D22" t="s">
        <v>9378</v>
      </c>
      <c r="E22" t="s">
        <v>9378</v>
      </c>
    </row>
    <row r="23" spans="1:5" x14ac:dyDescent="0.25">
      <c r="A23" t="s">
        <v>9410</v>
      </c>
      <c r="B23" t="s">
        <v>9411</v>
      </c>
      <c r="C23" t="s">
        <v>9378</v>
      </c>
      <c r="D23" t="s">
        <v>9378</v>
      </c>
      <c r="E23" t="s">
        <v>9378</v>
      </c>
    </row>
    <row r="24" spans="1:5" x14ac:dyDescent="0.25">
      <c r="A24" t="s">
        <v>9412</v>
      </c>
      <c r="B24" t="s">
        <v>9413</v>
      </c>
      <c r="C24" t="s">
        <v>9378</v>
      </c>
      <c r="D24" t="s">
        <v>9378</v>
      </c>
      <c r="E24" t="s">
        <v>9405</v>
      </c>
    </row>
    <row r="25" spans="1:5" x14ac:dyDescent="0.25">
      <c r="A25" t="s">
        <v>9414</v>
      </c>
      <c r="B25" t="s">
        <v>9415</v>
      </c>
      <c r="C25" t="s">
        <v>9378</v>
      </c>
      <c r="D25" t="s">
        <v>9378</v>
      </c>
      <c r="E25" t="s">
        <v>9378</v>
      </c>
    </row>
    <row r="26" spans="1:5" x14ac:dyDescent="0.25">
      <c r="A26" t="s">
        <v>9416</v>
      </c>
      <c r="B26" t="s">
        <v>9417</v>
      </c>
      <c r="C26" t="s">
        <v>9378</v>
      </c>
      <c r="D26" t="s">
        <v>9378</v>
      </c>
      <c r="E26" t="s">
        <v>9378</v>
      </c>
    </row>
    <row r="27" spans="1:5" x14ac:dyDescent="0.25">
      <c r="A27" t="s">
        <v>9418</v>
      </c>
      <c r="B27" t="s">
        <v>9419</v>
      </c>
      <c r="C27" t="s">
        <v>9378</v>
      </c>
      <c r="D27" t="s">
        <v>9378</v>
      </c>
      <c r="E27" t="s">
        <v>9405</v>
      </c>
    </row>
    <row r="28" spans="1:5" x14ac:dyDescent="0.25">
      <c r="A28" t="s">
        <v>9420</v>
      </c>
      <c r="B28" t="s">
        <v>9421</v>
      </c>
      <c r="C28" t="s">
        <v>9378</v>
      </c>
      <c r="D28" t="s">
        <v>9378</v>
      </c>
      <c r="E28" t="s">
        <v>9378</v>
      </c>
    </row>
    <row r="29" spans="1:5" x14ac:dyDescent="0.25">
      <c r="A29" t="s">
        <v>9422</v>
      </c>
      <c r="B29" t="s">
        <v>9423</v>
      </c>
      <c r="C29" t="s">
        <v>9378</v>
      </c>
      <c r="D29" t="s">
        <v>9378</v>
      </c>
      <c r="E29" t="s">
        <v>9378</v>
      </c>
    </row>
    <row r="30" spans="1:5" x14ac:dyDescent="0.25">
      <c r="A30" t="s">
        <v>9424</v>
      </c>
      <c r="B30" t="s">
        <v>9425</v>
      </c>
      <c r="C30" t="s">
        <v>9378</v>
      </c>
      <c r="D30" t="s">
        <v>9378</v>
      </c>
      <c r="E30" t="s">
        <v>9378</v>
      </c>
    </row>
    <row r="31" spans="1:5" x14ac:dyDescent="0.25">
      <c r="A31" t="s">
        <v>9426</v>
      </c>
      <c r="B31" t="s">
        <v>9427</v>
      </c>
      <c r="C31" t="s">
        <v>9378</v>
      </c>
      <c r="D31" t="s">
        <v>9378</v>
      </c>
      <c r="E31" t="s">
        <v>9378</v>
      </c>
    </row>
    <row r="32" spans="1:5" x14ac:dyDescent="0.25">
      <c r="A32" t="s">
        <v>9428</v>
      </c>
      <c r="B32" t="s">
        <v>9429</v>
      </c>
      <c r="C32" t="s">
        <v>9378</v>
      </c>
      <c r="D32" t="s">
        <v>9378</v>
      </c>
      <c r="E32" t="s">
        <v>9378</v>
      </c>
    </row>
    <row r="33" spans="1:5" x14ac:dyDescent="0.25">
      <c r="A33" t="s">
        <v>9430</v>
      </c>
      <c r="B33" t="s">
        <v>9431</v>
      </c>
      <c r="C33" t="s">
        <v>9378</v>
      </c>
      <c r="D33" t="s">
        <v>9378</v>
      </c>
      <c r="E33" t="s">
        <v>9378</v>
      </c>
    </row>
    <row r="34" spans="1:5" x14ac:dyDescent="0.25">
      <c r="A34" t="s">
        <v>9432</v>
      </c>
      <c r="B34" t="s">
        <v>9433</v>
      </c>
      <c r="C34" t="s">
        <v>9378</v>
      </c>
      <c r="D34" t="s">
        <v>9378</v>
      </c>
      <c r="E34" t="s">
        <v>9378</v>
      </c>
    </row>
    <row r="35" spans="1:5" x14ac:dyDescent="0.25">
      <c r="A35" t="s">
        <v>9434</v>
      </c>
      <c r="B35" t="s">
        <v>9435</v>
      </c>
      <c r="C35" t="s">
        <v>9378</v>
      </c>
      <c r="D35" t="s">
        <v>9378</v>
      </c>
      <c r="E35" t="s">
        <v>9378</v>
      </c>
    </row>
    <row r="36" spans="1:5" x14ac:dyDescent="0.25">
      <c r="A36" t="s">
        <v>9436</v>
      </c>
      <c r="B36" t="s">
        <v>9437</v>
      </c>
      <c r="C36" t="s">
        <v>9378</v>
      </c>
      <c r="D36" t="s">
        <v>9378</v>
      </c>
      <c r="E36" t="s">
        <v>9378</v>
      </c>
    </row>
    <row r="37" spans="1:5" x14ac:dyDescent="0.25">
      <c r="A37" t="s">
        <v>9438</v>
      </c>
      <c r="B37" t="s">
        <v>9439</v>
      </c>
      <c r="C37" t="s">
        <v>9378</v>
      </c>
      <c r="D37" t="s">
        <v>9378</v>
      </c>
      <c r="E37" t="s">
        <v>9378</v>
      </c>
    </row>
    <row r="38" spans="1:5" x14ac:dyDescent="0.25">
      <c r="A38" t="s">
        <v>9440</v>
      </c>
      <c r="B38" t="s">
        <v>9441</v>
      </c>
      <c r="C38" t="s">
        <v>9378</v>
      </c>
      <c r="D38" t="s">
        <v>9378</v>
      </c>
      <c r="E38" t="s">
        <v>9378</v>
      </c>
    </row>
    <row r="39" spans="1:5" x14ac:dyDescent="0.25">
      <c r="A39" t="s">
        <v>9442</v>
      </c>
      <c r="B39" t="s">
        <v>9443</v>
      </c>
      <c r="C39" t="s">
        <v>9378</v>
      </c>
      <c r="D39" t="s">
        <v>9378</v>
      </c>
      <c r="E39" t="s">
        <v>9378</v>
      </c>
    </row>
    <row r="40" spans="1:5" x14ac:dyDescent="0.25">
      <c r="A40" t="s">
        <v>9444</v>
      </c>
      <c r="B40" t="s">
        <v>9445</v>
      </c>
      <c r="C40" t="s">
        <v>9378</v>
      </c>
      <c r="D40" t="s">
        <v>9378</v>
      </c>
      <c r="E40" t="s">
        <v>9378</v>
      </c>
    </row>
    <row r="41" spans="1:5" x14ac:dyDescent="0.25">
      <c r="A41" t="s">
        <v>9446</v>
      </c>
      <c r="B41" t="s">
        <v>9447</v>
      </c>
      <c r="C41" t="s">
        <v>9378</v>
      </c>
      <c r="D41" t="s">
        <v>9378</v>
      </c>
      <c r="E41" t="s">
        <v>9378</v>
      </c>
    </row>
    <row r="42" spans="1:5" x14ac:dyDescent="0.25">
      <c r="A42" t="s">
        <v>9448</v>
      </c>
      <c r="B42" t="s">
        <v>9449</v>
      </c>
      <c r="C42" t="s">
        <v>9378</v>
      </c>
      <c r="D42" t="s">
        <v>9378</v>
      </c>
      <c r="E42" t="s">
        <v>9378</v>
      </c>
    </row>
    <row r="43" spans="1:5" x14ac:dyDescent="0.25">
      <c r="A43" t="s">
        <v>9450</v>
      </c>
      <c r="B43" t="s">
        <v>9451</v>
      </c>
      <c r="C43" t="s">
        <v>9378</v>
      </c>
      <c r="D43" t="s">
        <v>9378</v>
      </c>
      <c r="E43" t="s">
        <v>9405</v>
      </c>
    </row>
    <row r="44" spans="1:5" x14ac:dyDescent="0.25">
      <c r="A44" t="s">
        <v>9452</v>
      </c>
      <c r="B44" t="s">
        <v>9453</v>
      </c>
      <c r="C44" t="s">
        <v>9378</v>
      </c>
      <c r="D44" t="s">
        <v>9378</v>
      </c>
      <c r="E44" t="s">
        <v>9405</v>
      </c>
    </row>
    <row r="45" spans="1:5" x14ac:dyDescent="0.25">
      <c r="A45" t="s">
        <v>9454</v>
      </c>
      <c r="B45" t="s">
        <v>9455</v>
      </c>
      <c r="C45" t="s">
        <v>9378</v>
      </c>
      <c r="D45" t="s">
        <v>9378</v>
      </c>
      <c r="E45" t="s">
        <v>9378</v>
      </c>
    </row>
    <row r="46" spans="1:5" x14ac:dyDescent="0.25">
      <c r="A46" t="s">
        <v>9456</v>
      </c>
      <c r="B46" t="s">
        <v>9457</v>
      </c>
      <c r="C46" t="s">
        <v>9378</v>
      </c>
      <c r="D46" t="s">
        <v>9378</v>
      </c>
      <c r="E46" t="s">
        <v>9378</v>
      </c>
    </row>
    <row r="47" spans="1:5" x14ac:dyDescent="0.25">
      <c r="A47" t="s">
        <v>9458</v>
      </c>
      <c r="B47" t="s">
        <v>9459</v>
      </c>
      <c r="C47" t="s">
        <v>9378</v>
      </c>
      <c r="D47" t="s">
        <v>9378</v>
      </c>
      <c r="E47" t="s">
        <v>9378</v>
      </c>
    </row>
    <row r="48" spans="1:5" x14ac:dyDescent="0.25">
      <c r="A48" t="s">
        <v>9460</v>
      </c>
      <c r="B48" t="s">
        <v>9461</v>
      </c>
      <c r="C48" t="s">
        <v>9378</v>
      </c>
      <c r="D48" t="s">
        <v>9378</v>
      </c>
      <c r="E48" t="s">
        <v>9405</v>
      </c>
    </row>
    <row r="49" spans="1:5" x14ac:dyDescent="0.25">
      <c r="A49" t="s">
        <v>9462</v>
      </c>
      <c r="B49" t="s">
        <v>9463</v>
      </c>
      <c r="C49" t="s">
        <v>9378</v>
      </c>
      <c r="D49" t="s">
        <v>9378</v>
      </c>
      <c r="E49" t="s">
        <v>9378</v>
      </c>
    </row>
    <row r="50" spans="1:5" x14ac:dyDescent="0.25">
      <c r="A50" t="s">
        <v>9464</v>
      </c>
      <c r="B50" t="s">
        <v>9465</v>
      </c>
      <c r="C50" t="s">
        <v>9378</v>
      </c>
      <c r="D50" t="s">
        <v>9378</v>
      </c>
      <c r="E50" t="s">
        <v>9378</v>
      </c>
    </row>
    <row r="51" spans="1:5" x14ac:dyDescent="0.25">
      <c r="A51" t="s">
        <v>9466</v>
      </c>
      <c r="B51" t="s">
        <v>9467</v>
      </c>
      <c r="C51" t="s">
        <v>9378</v>
      </c>
      <c r="D51" t="s">
        <v>9378</v>
      </c>
      <c r="E51" t="s">
        <v>9378</v>
      </c>
    </row>
    <row r="52" spans="1:5" x14ac:dyDescent="0.25">
      <c r="A52" t="s">
        <v>9468</v>
      </c>
      <c r="B52" t="s">
        <v>9469</v>
      </c>
      <c r="C52" t="s">
        <v>9378</v>
      </c>
      <c r="D52" t="s">
        <v>9378</v>
      </c>
      <c r="E52" t="s">
        <v>9378</v>
      </c>
    </row>
    <row r="53" spans="1:5" x14ac:dyDescent="0.25">
      <c r="A53" t="s">
        <v>9470</v>
      </c>
      <c r="B53" t="s">
        <v>9471</v>
      </c>
      <c r="C53" t="s">
        <v>9378</v>
      </c>
      <c r="D53" t="s">
        <v>9378</v>
      </c>
      <c r="E53" t="s">
        <v>9378</v>
      </c>
    </row>
    <row r="54" spans="1:5" x14ac:dyDescent="0.25">
      <c r="A54" t="s">
        <v>9472</v>
      </c>
      <c r="B54" t="s">
        <v>9473</v>
      </c>
      <c r="C54" t="s">
        <v>9378</v>
      </c>
      <c r="D54" t="s">
        <v>9378</v>
      </c>
      <c r="E54" t="s">
        <v>9378</v>
      </c>
    </row>
    <row r="55" spans="1:5" x14ac:dyDescent="0.25">
      <c r="A55" t="s">
        <v>9474</v>
      </c>
      <c r="B55" t="s">
        <v>9475</v>
      </c>
      <c r="C55" t="s">
        <v>9378</v>
      </c>
      <c r="D55" t="s">
        <v>9378</v>
      </c>
      <c r="E55" t="s">
        <v>9378</v>
      </c>
    </row>
    <row r="56" spans="1:5" x14ac:dyDescent="0.25">
      <c r="A56" t="s">
        <v>9476</v>
      </c>
      <c r="B56" t="s">
        <v>9477</v>
      </c>
      <c r="C56" t="s">
        <v>9378</v>
      </c>
      <c r="D56" t="s">
        <v>9378</v>
      </c>
      <c r="E56" t="s">
        <v>9405</v>
      </c>
    </row>
    <row r="57" spans="1:5" x14ac:dyDescent="0.25">
      <c r="A57" t="s">
        <v>9478</v>
      </c>
      <c r="B57" t="s">
        <v>9479</v>
      </c>
      <c r="C57" t="s">
        <v>9378</v>
      </c>
      <c r="D57" t="s">
        <v>9378</v>
      </c>
      <c r="E57" t="s">
        <v>9378</v>
      </c>
    </row>
    <row r="58" spans="1:5" x14ac:dyDescent="0.25">
      <c r="A58" t="s">
        <v>9480</v>
      </c>
      <c r="B58" t="s">
        <v>9481</v>
      </c>
      <c r="C58" t="s">
        <v>9378</v>
      </c>
      <c r="D58" t="s">
        <v>9378</v>
      </c>
      <c r="E58" t="s">
        <v>9378</v>
      </c>
    </row>
    <row r="59" spans="1:5" x14ac:dyDescent="0.25">
      <c r="A59" t="s">
        <v>9482</v>
      </c>
      <c r="B59" t="s">
        <v>9483</v>
      </c>
      <c r="C59" t="s">
        <v>9378</v>
      </c>
      <c r="D59" t="s">
        <v>9378</v>
      </c>
      <c r="E59" t="s">
        <v>9378</v>
      </c>
    </row>
    <row r="60" spans="1:5" x14ac:dyDescent="0.25">
      <c r="A60" t="s">
        <v>9484</v>
      </c>
      <c r="B60" t="s">
        <v>9485</v>
      </c>
      <c r="C60" t="s">
        <v>9378</v>
      </c>
      <c r="D60" t="s">
        <v>9378</v>
      </c>
      <c r="E60" t="s">
        <v>9353</v>
      </c>
    </row>
    <row r="61" spans="1:5" x14ac:dyDescent="0.25">
      <c r="A61" t="s">
        <v>9486</v>
      </c>
      <c r="B61" t="s">
        <v>9487</v>
      </c>
      <c r="C61" t="s">
        <v>9378</v>
      </c>
      <c r="D61" t="s">
        <v>9378</v>
      </c>
      <c r="E61" t="s">
        <v>9378</v>
      </c>
    </row>
    <row r="62" spans="1:5" x14ac:dyDescent="0.25">
      <c r="A62" t="s">
        <v>9488</v>
      </c>
      <c r="B62" t="s">
        <v>9489</v>
      </c>
      <c r="C62" t="s">
        <v>9378</v>
      </c>
      <c r="D62" t="s">
        <v>9378</v>
      </c>
      <c r="E62" t="s">
        <v>9378</v>
      </c>
    </row>
    <row r="63" spans="1:5" x14ac:dyDescent="0.25">
      <c r="A63" t="s">
        <v>9490</v>
      </c>
      <c r="B63" t="s">
        <v>9491</v>
      </c>
      <c r="C63" t="s">
        <v>9378</v>
      </c>
      <c r="D63" t="s">
        <v>9378</v>
      </c>
      <c r="E63" t="s">
        <v>9378</v>
      </c>
    </row>
    <row r="64" spans="1:5" x14ac:dyDescent="0.25">
      <c r="A64" t="s">
        <v>9492</v>
      </c>
      <c r="B64" t="s">
        <v>9493</v>
      </c>
      <c r="C64" t="s">
        <v>9378</v>
      </c>
      <c r="D64" t="s">
        <v>9378</v>
      </c>
      <c r="E64" t="s">
        <v>9378</v>
      </c>
    </row>
    <row r="65" spans="1:5" x14ac:dyDescent="0.25">
      <c r="A65" t="s">
        <v>9494</v>
      </c>
      <c r="B65" t="s">
        <v>9495</v>
      </c>
      <c r="C65" t="s">
        <v>9378</v>
      </c>
      <c r="D65" t="s">
        <v>9378</v>
      </c>
      <c r="E65" t="s">
        <v>9378</v>
      </c>
    </row>
    <row r="66" spans="1:5" x14ac:dyDescent="0.25">
      <c r="A66" t="s">
        <v>9496</v>
      </c>
      <c r="B66" t="s">
        <v>9497</v>
      </c>
      <c r="C66" t="s">
        <v>9378</v>
      </c>
      <c r="D66" t="s">
        <v>9378</v>
      </c>
      <c r="E66" t="s">
        <v>9378</v>
      </c>
    </row>
    <row r="67" spans="1:5" x14ac:dyDescent="0.25">
      <c r="A67" t="s">
        <v>9498</v>
      </c>
      <c r="B67" t="s">
        <v>9499</v>
      </c>
      <c r="C67" t="s">
        <v>9378</v>
      </c>
      <c r="D67" t="s">
        <v>9378</v>
      </c>
      <c r="E67" t="s">
        <v>9378</v>
      </c>
    </row>
    <row r="68" spans="1:5" x14ac:dyDescent="0.25">
      <c r="A68" t="s">
        <v>9500</v>
      </c>
      <c r="B68" t="s">
        <v>9501</v>
      </c>
      <c r="C68" t="s">
        <v>9378</v>
      </c>
      <c r="D68" t="s">
        <v>9378</v>
      </c>
      <c r="E68" t="s">
        <v>9378</v>
      </c>
    </row>
    <row r="69" spans="1:5" x14ac:dyDescent="0.25">
      <c r="A69" t="s">
        <v>9502</v>
      </c>
      <c r="B69" t="s">
        <v>9503</v>
      </c>
      <c r="C69" t="s">
        <v>9378</v>
      </c>
      <c r="D69" t="s">
        <v>9378</v>
      </c>
      <c r="E69" t="s">
        <v>9378</v>
      </c>
    </row>
    <row r="70" spans="1:5" x14ac:dyDescent="0.25">
      <c r="A70" t="s">
        <v>9504</v>
      </c>
      <c r="B70" t="s">
        <v>9505</v>
      </c>
      <c r="C70" t="s">
        <v>9378</v>
      </c>
      <c r="D70" t="s">
        <v>9378</v>
      </c>
      <c r="E70" t="s">
        <v>9378</v>
      </c>
    </row>
    <row r="71" spans="1:5" x14ac:dyDescent="0.25">
      <c r="A71" t="s">
        <v>9506</v>
      </c>
      <c r="B71" t="s">
        <v>9507</v>
      </c>
      <c r="C71" t="s">
        <v>9378</v>
      </c>
      <c r="D71" t="s">
        <v>9378</v>
      </c>
      <c r="E71" t="s">
        <v>9378</v>
      </c>
    </row>
    <row r="72" spans="1:5" x14ac:dyDescent="0.25">
      <c r="A72" t="s">
        <v>9508</v>
      </c>
      <c r="B72" t="s">
        <v>9509</v>
      </c>
      <c r="C72" t="s">
        <v>9378</v>
      </c>
      <c r="D72" t="s">
        <v>9378</v>
      </c>
      <c r="E72" t="s">
        <v>9378</v>
      </c>
    </row>
    <row r="73" spans="1:5" x14ac:dyDescent="0.25">
      <c r="A73" t="s">
        <v>9510</v>
      </c>
      <c r="B73" t="s">
        <v>9511</v>
      </c>
      <c r="C73" t="s">
        <v>9378</v>
      </c>
      <c r="D73" t="s">
        <v>9378</v>
      </c>
      <c r="E73" t="s">
        <v>9378</v>
      </c>
    </row>
    <row r="74" spans="1:5" x14ac:dyDescent="0.25">
      <c r="A74" t="s">
        <v>9512</v>
      </c>
      <c r="B74" t="s">
        <v>9513</v>
      </c>
      <c r="C74" t="s">
        <v>9378</v>
      </c>
      <c r="D74" t="s">
        <v>9378</v>
      </c>
      <c r="E74" t="s">
        <v>9378</v>
      </c>
    </row>
    <row r="75" spans="1:5" x14ac:dyDescent="0.25">
      <c r="A75" t="s">
        <v>9514</v>
      </c>
      <c r="B75" t="s">
        <v>9515</v>
      </c>
      <c r="C75" t="s">
        <v>9378</v>
      </c>
      <c r="D75" t="s">
        <v>9378</v>
      </c>
      <c r="E75" t="s">
        <v>9378</v>
      </c>
    </row>
    <row r="76" spans="1:5" x14ac:dyDescent="0.25">
      <c r="A76" t="s">
        <v>9516</v>
      </c>
      <c r="B76" t="s">
        <v>9517</v>
      </c>
      <c r="C76" t="s">
        <v>9378</v>
      </c>
      <c r="D76" t="s">
        <v>9378</v>
      </c>
      <c r="E76" t="s">
        <v>9378</v>
      </c>
    </row>
    <row r="77" spans="1:5" x14ac:dyDescent="0.25">
      <c r="A77" t="s">
        <v>9518</v>
      </c>
      <c r="B77" t="s">
        <v>9519</v>
      </c>
      <c r="C77" t="s">
        <v>9378</v>
      </c>
      <c r="D77" t="s">
        <v>9378</v>
      </c>
      <c r="E77" t="s">
        <v>9378</v>
      </c>
    </row>
    <row r="78" spans="1:5" x14ac:dyDescent="0.25">
      <c r="A78" t="s">
        <v>9520</v>
      </c>
      <c r="B78" t="s">
        <v>9521</v>
      </c>
      <c r="C78" t="s">
        <v>9378</v>
      </c>
      <c r="D78" t="s">
        <v>9378</v>
      </c>
      <c r="E78" t="s">
        <v>9378</v>
      </c>
    </row>
    <row r="79" spans="1:5" x14ac:dyDescent="0.25">
      <c r="A79" t="s">
        <v>9522</v>
      </c>
      <c r="B79" t="s">
        <v>9523</v>
      </c>
      <c r="C79" t="s">
        <v>9378</v>
      </c>
      <c r="D79" t="s">
        <v>9378</v>
      </c>
      <c r="E79" t="s">
        <v>9378</v>
      </c>
    </row>
    <row r="80" spans="1:5" x14ac:dyDescent="0.25">
      <c r="A80" t="s">
        <v>9524</v>
      </c>
      <c r="B80" t="s">
        <v>9525</v>
      </c>
      <c r="C80" t="s">
        <v>9378</v>
      </c>
      <c r="D80" t="s">
        <v>9378</v>
      </c>
      <c r="E80" t="s">
        <v>9378</v>
      </c>
    </row>
    <row r="81" spans="1:5" x14ac:dyDescent="0.25">
      <c r="A81" t="s">
        <v>9526</v>
      </c>
      <c r="B81" t="s">
        <v>9527</v>
      </c>
      <c r="C81" t="s">
        <v>9378</v>
      </c>
      <c r="D81" t="s">
        <v>9378</v>
      </c>
      <c r="E81" t="s">
        <v>9378</v>
      </c>
    </row>
    <row r="82" spans="1:5" x14ac:dyDescent="0.25">
      <c r="A82" t="s">
        <v>9528</v>
      </c>
      <c r="B82" t="s">
        <v>9529</v>
      </c>
      <c r="C82" t="s">
        <v>9378</v>
      </c>
      <c r="D82" t="s">
        <v>9378</v>
      </c>
      <c r="E82" t="s">
        <v>9378</v>
      </c>
    </row>
    <row r="83" spans="1:5" x14ac:dyDescent="0.25">
      <c r="A83" t="s">
        <v>9530</v>
      </c>
      <c r="B83" t="s">
        <v>9531</v>
      </c>
      <c r="C83" t="s">
        <v>9378</v>
      </c>
      <c r="D83" t="s">
        <v>9378</v>
      </c>
      <c r="E83" t="s">
        <v>9378</v>
      </c>
    </row>
    <row r="84" spans="1:5" x14ac:dyDescent="0.25">
      <c r="A84" t="s">
        <v>9532</v>
      </c>
      <c r="B84" t="s">
        <v>9533</v>
      </c>
      <c r="C84" t="s">
        <v>9378</v>
      </c>
      <c r="D84" t="s">
        <v>9378</v>
      </c>
      <c r="E84" t="s">
        <v>9378</v>
      </c>
    </row>
    <row r="85" spans="1:5" x14ac:dyDescent="0.25">
      <c r="A85" t="s">
        <v>9534</v>
      </c>
      <c r="B85" t="s">
        <v>9535</v>
      </c>
      <c r="C85" t="s">
        <v>9378</v>
      </c>
      <c r="D85" t="s">
        <v>9378</v>
      </c>
      <c r="E85" t="s">
        <v>9378</v>
      </c>
    </row>
    <row r="86" spans="1:5" x14ac:dyDescent="0.25">
      <c r="A86" t="s">
        <v>9536</v>
      </c>
      <c r="B86" t="s">
        <v>9537</v>
      </c>
      <c r="C86" t="s">
        <v>9378</v>
      </c>
      <c r="D86" t="s">
        <v>9378</v>
      </c>
      <c r="E86" t="s">
        <v>9378</v>
      </c>
    </row>
    <row r="87" spans="1:5" x14ac:dyDescent="0.25">
      <c r="A87" t="s">
        <v>9538</v>
      </c>
      <c r="B87" t="s">
        <v>9539</v>
      </c>
      <c r="C87" t="s">
        <v>9378</v>
      </c>
      <c r="D87" t="s">
        <v>9378</v>
      </c>
      <c r="E87" t="s">
        <v>9378</v>
      </c>
    </row>
    <row r="88" spans="1:5" x14ac:dyDescent="0.25">
      <c r="A88" t="s">
        <v>9540</v>
      </c>
      <c r="B88" t="s">
        <v>9541</v>
      </c>
      <c r="C88" t="s">
        <v>9378</v>
      </c>
      <c r="D88" t="s">
        <v>9542</v>
      </c>
      <c r="E88" t="s">
        <v>9378</v>
      </c>
    </row>
    <row r="89" spans="1:5" x14ac:dyDescent="0.25">
      <c r="A89" t="s">
        <v>9543</v>
      </c>
      <c r="B89" t="s">
        <v>9544</v>
      </c>
      <c r="C89" t="s">
        <v>9378</v>
      </c>
      <c r="D89" t="s">
        <v>9542</v>
      </c>
      <c r="E89" t="s">
        <v>9378</v>
      </c>
    </row>
    <row r="90" spans="1:5" x14ac:dyDescent="0.25">
      <c r="A90" t="s">
        <v>9545</v>
      </c>
      <c r="B90" t="s">
        <v>9546</v>
      </c>
      <c r="C90" t="s">
        <v>9378</v>
      </c>
      <c r="D90" t="s">
        <v>9378</v>
      </c>
      <c r="E90" t="s">
        <v>9378</v>
      </c>
    </row>
    <row r="91" spans="1:5" x14ac:dyDescent="0.25">
      <c r="A91" t="s">
        <v>9547</v>
      </c>
      <c r="B91" t="s">
        <v>9548</v>
      </c>
      <c r="C91" t="s">
        <v>9378</v>
      </c>
      <c r="D91" t="s">
        <v>9378</v>
      </c>
      <c r="E91" t="s">
        <v>9378</v>
      </c>
    </row>
    <row r="92" spans="1:5" x14ac:dyDescent="0.25">
      <c r="A92" t="s">
        <v>9549</v>
      </c>
      <c r="B92" t="s">
        <v>9550</v>
      </c>
      <c r="C92" t="s">
        <v>9378</v>
      </c>
      <c r="D92" t="s">
        <v>9378</v>
      </c>
      <c r="E92" t="s">
        <v>9378</v>
      </c>
    </row>
    <row r="93" spans="1:5" x14ac:dyDescent="0.25">
      <c r="A93" t="s">
        <v>9551</v>
      </c>
      <c r="B93" t="s">
        <v>9552</v>
      </c>
      <c r="C93" t="s">
        <v>9378</v>
      </c>
      <c r="D93" t="s">
        <v>9378</v>
      </c>
      <c r="E93" t="s">
        <v>9405</v>
      </c>
    </row>
    <row r="94" spans="1:5" x14ac:dyDescent="0.25">
      <c r="A94" t="s">
        <v>9553</v>
      </c>
      <c r="B94" t="s">
        <v>9554</v>
      </c>
      <c r="C94" t="s">
        <v>9378</v>
      </c>
      <c r="D94" t="s">
        <v>9378</v>
      </c>
      <c r="E94" t="s">
        <v>9405</v>
      </c>
    </row>
    <row r="95" spans="1:5" x14ac:dyDescent="0.25">
      <c r="A95" t="s">
        <v>9555</v>
      </c>
      <c r="B95" t="s">
        <v>9556</v>
      </c>
      <c r="C95" t="s">
        <v>9378</v>
      </c>
      <c r="D95" t="s">
        <v>9378</v>
      </c>
      <c r="E95" t="s">
        <v>9378</v>
      </c>
    </row>
    <row r="96" spans="1:5" x14ac:dyDescent="0.25">
      <c r="A96" t="s">
        <v>9557</v>
      </c>
      <c r="B96" t="s">
        <v>9558</v>
      </c>
      <c r="C96" t="s">
        <v>9369</v>
      </c>
      <c r="D96" t="s">
        <v>9369</v>
      </c>
      <c r="E96" t="s">
        <v>9369</v>
      </c>
    </row>
    <row r="97" spans="1:5" x14ac:dyDescent="0.25">
      <c r="A97" t="s">
        <v>9559</v>
      </c>
      <c r="B97" t="s">
        <v>9560</v>
      </c>
      <c r="C97" t="s">
        <v>9369</v>
      </c>
      <c r="D97" t="s">
        <v>9369</v>
      </c>
      <c r="E97" t="s">
        <v>9369</v>
      </c>
    </row>
    <row r="98" spans="1:5" x14ac:dyDescent="0.25">
      <c r="A98" t="s">
        <v>9561</v>
      </c>
      <c r="B98" t="s">
        <v>9562</v>
      </c>
      <c r="C98" t="s">
        <v>9378</v>
      </c>
      <c r="D98" t="s">
        <v>9378</v>
      </c>
      <c r="E98" t="s">
        <v>9405</v>
      </c>
    </row>
    <row r="99" spans="1:5" x14ac:dyDescent="0.25">
      <c r="A99" t="s">
        <v>9563</v>
      </c>
      <c r="B99" t="s">
        <v>9564</v>
      </c>
      <c r="C99" t="s">
        <v>9378</v>
      </c>
      <c r="D99" t="s">
        <v>9378</v>
      </c>
      <c r="E99" t="s">
        <v>9405</v>
      </c>
    </row>
    <row r="100" spans="1:5" x14ac:dyDescent="0.25">
      <c r="A100" t="s">
        <v>9565</v>
      </c>
      <c r="B100" t="s">
        <v>9566</v>
      </c>
      <c r="C100" t="s">
        <v>9378</v>
      </c>
      <c r="D100" t="s">
        <v>9378</v>
      </c>
      <c r="E100" t="s">
        <v>9378</v>
      </c>
    </row>
    <row r="101" spans="1:5" x14ac:dyDescent="0.25">
      <c r="A101" t="s">
        <v>9567</v>
      </c>
      <c r="B101" t="s">
        <v>9568</v>
      </c>
      <c r="C101" t="s">
        <v>9378</v>
      </c>
      <c r="D101" t="s">
        <v>9378</v>
      </c>
      <c r="E101" t="s">
        <v>9378</v>
      </c>
    </row>
    <row r="102" spans="1:5" x14ac:dyDescent="0.25">
      <c r="A102" t="s">
        <v>9569</v>
      </c>
      <c r="B102" t="s">
        <v>9570</v>
      </c>
      <c r="C102" t="s">
        <v>9378</v>
      </c>
      <c r="D102" t="s">
        <v>9378</v>
      </c>
      <c r="E102" t="s">
        <v>9378</v>
      </c>
    </row>
    <row r="103" spans="1:5" x14ac:dyDescent="0.25">
      <c r="A103" t="s">
        <v>9571</v>
      </c>
      <c r="B103" t="s">
        <v>9572</v>
      </c>
      <c r="C103" t="s">
        <v>9378</v>
      </c>
      <c r="D103" t="s">
        <v>9378</v>
      </c>
      <c r="E103" t="s">
        <v>9378</v>
      </c>
    </row>
    <row r="104" spans="1:5" x14ac:dyDescent="0.25">
      <c r="A104" t="s">
        <v>9573</v>
      </c>
      <c r="B104" t="s">
        <v>9574</v>
      </c>
      <c r="C104" t="s">
        <v>9378</v>
      </c>
      <c r="D104" t="s">
        <v>9378</v>
      </c>
      <c r="E104" t="s">
        <v>9378</v>
      </c>
    </row>
    <row r="105" spans="1:5" x14ac:dyDescent="0.25">
      <c r="A105" t="s">
        <v>9575</v>
      </c>
      <c r="B105" t="s">
        <v>9576</v>
      </c>
      <c r="C105" t="s">
        <v>9378</v>
      </c>
      <c r="D105" t="s">
        <v>9378</v>
      </c>
      <c r="E105" t="s">
        <v>9378</v>
      </c>
    </row>
    <row r="106" spans="1:5" x14ac:dyDescent="0.25">
      <c r="A106" t="s">
        <v>9577</v>
      </c>
      <c r="B106" t="s">
        <v>9578</v>
      </c>
      <c r="C106" t="s">
        <v>9378</v>
      </c>
      <c r="D106" t="s">
        <v>9378</v>
      </c>
      <c r="E106" t="s">
        <v>9378</v>
      </c>
    </row>
    <row r="107" spans="1:5" x14ac:dyDescent="0.25">
      <c r="A107" t="s">
        <v>9579</v>
      </c>
      <c r="B107" t="s">
        <v>9580</v>
      </c>
      <c r="C107" t="s">
        <v>9378</v>
      </c>
      <c r="D107" t="s">
        <v>9378</v>
      </c>
      <c r="E107" t="s">
        <v>9378</v>
      </c>
    </row>
    <row r="108" spans="1:5" x14ac:dyDescent="0.25">
      <c r="A108" t="s">
        <v>9581</v>
      </c>
      <c r="B108" t="s">
        <v>9582</v>
      </c>
      <c r="C108" t="s">
        <v>9378</v>
      </c>
      <c r="D108" t="s">
        <v>9378</v>
      </c>
      <c r="E108" t="s">
        <v>9378</v>
      </c>
    </row>
    <row r="109" spans="1:5" x14ac:dyDescent="0.25">
      <c r="A109" t="s">
        <v>9583</v>
      </c>
      <c r="B109" t="s">
        <v>9584</v>
      </c>
      <c r="C109" t="s">
        <v>9378</v>
      </c>
      <c r="D109" t="s">
        <v>9378</v>
      </c>
      <c r="E109" t="s">
        <v>9378</v>
      </c>
    </row>
    <row r="110" spans="1:5" x14ac:dyDescent="0.25">
      <c r="A110" t="s">
        <v>9585</v>
      </c>
      <c r="B110" t="s">
        <v>9586</v>
      </c>
      <c r="C110" t="s">
        <v>9378</v>
      </c>
      <c r="D110" t="s">
        <v>9378</v>
      </c>
      <c r="E110" t="s">
        <v>9378</v>
      </c>
    </row>
    <row r="111" spans="1:5" x14ac:dyDescent="0.25">
      <c r="A111" t="s">
        <v>9587</v>
      </c>
      <c r="B111" t="s">
        <v>9588</v>
      </c>
      <c r="C111" t="s">
        <v>9378</v>
      </c>
      <c r="D111" t="s">
        <v>9378</v>
      </c>
      <c r="E111" t="s">
        <v>9378</v>
      </c>
    </row>
    <row r="112" spans="1:5" x14ac:dyDescent="0.25">
      <c r="A112" t="s">
        <v>9589</v>
      </c>
      <c r="B112" t="s">
        <v>9590</v>
      </c>
      <c r="C112" t="s">
        <v>9378</v>
      </c>
      <c r="D112" t="s">
        <v>9378</v>
      </c>
      <c r="E112" t="s">
        <v>9378</v>
      </c>
    </row>
    <row r="113" spans="1:5" x14ac:dyDescent="0.25">
      <c r="A113" t="s">
        <v>9591</v>
      </c>
      <c r="B113" t="s">
        <v>9592</v>
      </c>
      <c r="C113" t="s">
        <v>9378</v>
      </c>
      <c r="D113" t="s">
        <v>9378</v>
      </c>
      <c r="E113" t="s">
        <v>9378</v>
      </c>
    </row>
    <row r="114" spans="1:5" x14ac:dyDescent="0.25">
      <c r="A114" t="s">
        <v>9593</v>
      </c>
      <c r="B114" t="s">
        <v>9594</v>
      </c>
      <c r="C114" t="s">
        <v>9378</v>
      </c>
      <c r="D114" t="s">
        <v>9378</v>
      </c>
      <c r="E114" t="s">
        <v>9378</v>
      </c>
    </row>
    <row r="115" spans="1:5" x14ac:dyDescent="0.25">
      <c r="A115" t="s">
        <v>9595</v>
      </c>
      <c r="B115" t="s">
        <v>9596</v>
      </c>
      <c r="C115" t="s">
        <v>9378</v>
      </c>
      <c r="D115" t="s">
        <v>9378</v>
      </c>
      <c r="E115" t="s">
        <v>9378</v>
      </c>
    </row>
    <row r="116" spans="1:5" x14ac:dyDescent="0.25">
      <c r="A116" t="s">
        <v>9597</v>
      </c>
      <c r="B116" t="s">
        <v>9598</v>
      </c>
      <c r="C116" t="s">
        <v>9378</v>
      </c>
      <c r="D116" t="s">
        <v>9378</v>
      </c>
      <c r="E116" t="s">
        <v>9378</v>
      </c>
    </row>
    <row r="117" spans="1:5" x14ac:dyDescent="0.25">
      <c r="A117" t="s">
        <v>9599</v>
      </c>
      <c r="B117" t="s">
        <v>9600</v>
      </c>
      <c r="C117" t="s">
        <v>9378</v>
      </c>
      <c r="D117" t="s">
        <v>9378</v>
      </c>
      <c r="E117" t="s">
        <v>9378</v>
      </c>
    </row>
    <row r="118" spans="1:5" x14ac:dyDescent="0.25">
      <c r="A118" t="s">
        <v>9601</v>
      </c>
      <c r="B118" t="s">
        <v>9602</v>
      </c>
      <c r="C118" t="s">
        <v>9378</v>
      </c>
      <c r="D118" t="s">
        <v>9378</v>
      </c>
      <c r="E118" t="s">
        <v>9378</v>
      </c>
    </row>
    <row r="119" spans="1:5" x14ac:dyDescent="0.25">
      <c r="A119" t="s">
        <v>9603</v>
      </c>
      <c r="B119" t="s">
        <v>9604</v>
      </c>
      <c r="C119" t="s">
        <v>9378</v>
      </c>
      <c r="D119" t="s">
        <v>9378</v>
      </c>
      <c r="E119" t="s">
        <v>9378</v>
      </c>
    </row>
    <row r="120" spans="1:5" x14ac:dyDescent="0.25">
      <c r="A120" t="s">
        <v>9605</v>
      </c>
      <c r="B120" t="s">
        <v>9606</v>
      </c>
      <c r="C120" t="s">
        <v>9369</v>
      </c>
      <c r="D120" t="s">
        <v>9369</v>
      </c>
      <c r="E120" t="s">
        <v>9369</v>
      </c>
    </row>
    <row r="121" spans="1:5" x14ac:dyDescent="0.25">
      <c r="A121" t="s">
        <v>9607</v>
      </c>
      <c r="B121" t="s">
        <v>9608</v>
      </c>
      <c r="C121" t="s">
        <v>9378</v>
      </c>
      <c r="D121" t="s">
        <v>9378</v>
      </c>
      <c r="E121" t="s">
        <v>9378</v>
      </c>
    </row>
    <row r="122" spans="1:5" x14ac:dyDescent="0.25">
      <c r="A122" t="s">
        <v>9609</v>
      </c>
      <c r="B122" t="s">
        <v>9610</v>
      </c>
      <c r="C122" t="s">
        <v>9378</v>
      </c>
      <c r="D122" t="s">
        <v>9378</v>
      </c>
      <c r="E122" t="s">
        <v>9353</v>
      </c>
    </row>
    <row r="123" spans="1:5" x14ac:dyDescent="0.25">
      <c r="A123" t="s">
        <v>9611</v>
      </c>
      <c r="B123" t="s">
        <v>9612</v>
      </c>
      <c r="C123" t="s">
        <v>9378</v>
      </c>
      <c r="D123" t="s">
        <v>9378</v>
      </c>
      <c r="E123" t="s">
        <v>9353</v>
      </c>
    </row>
    <row r="124" spans="1:5" x14ac:dyDescent="0.25">
      <c r="A124" t="s">
        <v>9613</v>
      </c>
      <c r="B124" t="s">
        <v>9614</v>
      </c>
      <c r="C124" t="s">
        <v>9378</v>
      </c>
      <c r="D124" t="s">
        <v>9378</v>
      </c>
      <c r="E124" t="s">
        <v>9353</v>
      </c>
    </row>
    <row r="125" spans="1:5" x14ac:dyDescent="0.25">
      <c r="A125" t="s">
        <v>9615</v>
      </c>
      <c r="B125" t="s">
        <v>9616</v>
      </c>
      <c r="C125" t="s">
        <v>9378</v>
      </c>
      <c r="D125" t="s">
        <v>9378</v>
      </c>
      <c r="E125" t="s">
        <v>9353</v>
      </c>
    </row>
    <row r="126" spans="1:5" x14ac:dyDescent="0.25">
      <c r="A126" t="s">
        <v>9617</v>
      </c>
      <c r="B126" t="s">
        <v>9618</v>
      </c>
      <c r="C126" t="s">
        <v>9378</v>
      </c>
      <c r="D126" t="s">
        <v>9378</v>
      </c>
      <c r="E126" t="s">
        <v>9353</v>
      </c>
    </row>
    <row r="127" spans="1:5" x14ac:dyDescent="0.25">
      <c r="A127" t="s">
        <v>9619</v>
      </c>
      <c r="B127" t="s">
        <v>9620</v>
      </c>
      <c r="C127" t="s">
        <v>9378</v>
      </c>
      <c r="D127" t="s">
        <v>9378</v>
      </c>
      <c r="E127" t="s">
        <v>9353</v>
      </c>
    </row>
    <row r="128" spans="1:5" x14ac:dyDescent="0.25">
      <c r="A128" t="s">
        <v>9621</v>
      </c>
      <c r="B128" t="s">
        <v>9622</v>
      </c>
      <c r="C128" t="s">
        <v>9378</v>
      </c>
      <c r="D128" t="s">
        <v>9378</v>
      </c>
      <c r="E128" t="s">
        <v>9378</v>
      </c>
    </row>
    <row r="129" spans="1:5" x14ac:dyDescent="0.25">
      <c r="A129" t="s">
        <v>9623</v>
      </c>
      <c r="B129" t="s">
        <v>9624</v>
      </c>
      <c r="C129" t="s">
        <v>9378</v>
      </c>
      <c r="D129" t="s">
        <v>9378</v>
      </c>
      <c r="E129" t="s">
        <v>9378</v>
      </c>
    </row>
    <row r="130" spans="1:5" x14ac:dyDescent="0.25">
      <c r="A130" t="s">
        <v>9625</v>
      </c>
      <c r="B130" t="s">
        <v>9626</v>
      </c>
      <c r="C130" t="s">
        <v>9378</v>
      </c>
      <c r="D130" t="s">
        <v>9378</v>
      </c>
      <c r="E130" t="s">
        <v>9378</v>
      </c>
    </row>
    <row r="131" spans="1:5" x14ac:dyDescent="0.25">
      <c r="A131" t="s">
        <v>9627</v>
      </c>
      <c r="B131" t="s">
        <v>9628</v>
      </c>
      <c r="C131" t="s">
        <v>9378</v>
      </c>
      <c r="D131" t="s">
        <v>9378</v>
      </c>
      <c r="E131" t="s">
        <v>9378</v>
      </c>
    </row>
    <row r="132" spans="1:5" x14ac:dyDescent="0.25">
      <c r="A132" t="s">
        <v>9629</v>
      </c>
      <c r="B132" t="s">
        <v>9630</v>
      </c>
      <c r="C132" t="s">
        <v>9378</v>
      </c>
      <c r="D132" t="s">
        <v>9378</v>
      </c>
      <c r="E132" t="s">
        <v>9378</v>
      </c>
    </row>
    <row r="133" spans="1:5" x14ac:dyDescent="0.25">
      <c r="A133" t="s">
        <v>9631</v>
      </c>
      <c r="B133" t="s">
        <v>9632</v>
      </c>
      <c r="C133" t="s">
        <v>9378</v>
      </c>
      <c r="D133" t="s">
        <v>9378</v>
      </c>
      <c r="E133" t="s">
        <v>9378</v>
      </c>
    </row>
    <row r="134" spans="1:5" x14ac:dyDescent="0.25">
      <c r="A134" t="s">
        <v>9633</v>
      </c>
      <c r="B134" t="s">
        <v>9634</v>
      </c>
      <c r="C134" t="s">
        <v>9378</v>
      </c>
      <c r="D134" t="s">
        <v>9378</v>
      </c>
      <c r="E134" t="s">
        <v>9378</v>
      </c>
    </row>
    <row r="135" spans="1:5" x14ac:dyDescent="0.25">
      <c r="A135" t="s">
        <v>9635</v>
      </c>
      <c r="B135" t="s">
        <v>9636</v>
      </c>
      <c r="C135" t="s">
        <v>9378</v>
      </c>
      <c r="D135" t="s">
        <v>9378</v>
      </c>
      <c r="E135" t="s">
        <v>9378</v>
      </c>
    </row>
    <row r="136" spans="1:5" x14ac:dyDescent="0.25">
      <c r="A136" t="s">
        <v>9637</v>
      </c>
      <c r="B136" t="s">
        <v>9638</v>
      </c>
      <c r="C136" t="s">
        <v>9378</v>
      </c>
      <c r="D136" t="s">
        <v>9378</v>
      </c>
      <c r="E136" t="s">
        <v>9405</v>
      </c>
    </row>
    <row r="137" spans="1:5" x14ac:dyDescent="0.25">
      <c r="A137" t="s">
        <v>9639</v>
      </c>
      <c r="B137" t="s">
        <v>9640</v>
      </c>
      <c r="C137" t="s">
        <v>9378</v>
      </c>
      <c r="D137" t="s">
        <v>9378</v>
      </c>
      <c r="E137" t="s">
        <v>9378</v>
      </c>
    </row>
    <row r="138" spans="1:5" x14ac:dyDescent="0.25">
      <c r="A138" t="s">
        <v>9641</v>
      </c>
      <c r="B138" t="s">
        <v>9642</v>
      </c>
      <c r="C138" t="s">
        <v>9378</v>
      </c>
      <c r="D138" t="s">
        <v>9378</v>
      </c>
      <c r="E138" t="s">
        <v>9378</v>
      </c>
    </row>
    <row r="139" spans="1:5" x14ac:dyDescent="0.25">
      <c r="A139" t="s">
        <v>9643</v>
      </c>
      <c r="B139" t="s">
        <v>9644</v>
      </c>
      <c r="C139" t="s">
        <v>9378</v>
      </c>
      <c r="D139" t="s">
        <v>9378</v>
      </c>
      <c r="E139" t="s">
        <v>9378</v>
      </c>
    </row>
    <row r="140" spans="1:5" x14ac:dyDescent="0.25">
      <c r="A140" t="s">
        <v>9645</v>
      </c>
      <c r="B140" t="s">
        <v>9646</v>
      </c>
      <c r="C140" t="s">
        <v>9378</v>
      </c>
      <c r="D140" t="s">
        <v>9378</v>
      </c>
      <c r="E140" t="s">
        <v>9378</v>
      </c>
    </row>
    <row r="141" spans="1:5" x14ac:dyDescent="0.25">
      <c r="A141" t="s">
        <v>9647</v>
      </c>
      <c r="B141" t="s">
        <v>9648</v>
      </c>
      <c r="C141" t="s">
        <v>9378</v>
      </c>
      <c r="D141" t="s">
        <v>9378</v>
      </c>
      <c r="E141" t="s">
        <v>9378</v>
      </c>
    </row>
    <row r="142" spans="1:5" x14ac:dyDescent="0.25">
      <c r="A142" t="s">
        <v>9649</v>
      </c>
      <c r="B142" t="s">
        <v>9650</v>
      </c>
      <c r="C142" t="s">
        <v>9369</v>
      </c>
      <c r="D142" t="s">
        <v>9369</v>
      </c>
      <c r="E142" t="s">
        <v>9369</v>
      </c>
    </row>
    <row r="143" spans="1:5" x14ac:dyDescent="0.25">
      <c r="A143" t="s">
        <v>9651</v>
      </c>
      <c r="B143" t="s">
        <v>9652</v>
      </c>
      <c r="C143" t="s">
        <v>9378</v>
      </c>
      <c r="D143" t="s">
        <v>9378</v>
      </c>
      <c r="E143" t="s">
        <v>9378</v>
      </c>
    </row>
    <row r="144" spans="1:5" x14ac:dyDescent="0.25">
      <c r="A144" t="s">
        <v>9653</v>
      </c>
      <c r="B144" t="s">
        <v>9654</v>
      </c>
      <c r="C144" t="s">
        <v>9378</v>
      </c>
      <c r="D144" t="s">
        <v>9378</v>
      </c>
      <c r="E144" t="s">
        <v>9378</v>
      </c>
    </row>
    <row r="145" spans="1:5" x14ac:dyDescent="0.25">
      <c r="A145" t="s">
        <v>9655</v>
      </c>
      <c r="B145" t="s">
        <v>9656</v>
      </c>
      <c r="C145" t="s">
        <v>9378</v>
      </c>
      <c r="D145" t="s">
        <v>9378</v>
      </c>
      <c r="E145" t="s">
        <v>9378</v>
      </c>
    </row>
    <row r="146" spans="1:5" x14ac:dyDescent="0.25">
      <c r="A146" t="s">
        <v>9657</v>
      </c>
      <c r="B146" t="s">
        <v>9658</v>
      </c>
      <c r="C146" t="s">
        <v>9378</v>
      </c>
      <c r="D146" t="s">
        <v>9378</v>
      </c>
      <c r="E146" t="s">
        <v>9378</v>
      </c>
    </row>
    <row r="147" spans="1:5" x14ac:dyDescent="0.25">
      <c r="A147" t="s">
        <v>9659</v>
      </c>
      <c r="B147" t="s">
        <v>9660</v>
      </c>
      <c r="C147" t="s">
        <v>9378</v>
      </c>
      <c r="D147" t="s">
        <v>9378</v>
      </c>
      <c r="E147" t="s">
        <v>9378</v>
      </c>
    </row>
    <row r="148" spans="1:5" x14ac:dyDescent="0.25">
      <c r="A148" t="s">
        <v>9661</v>
      </c>
      <c r="B148" t="s">
        <v>9662</v>
      </c>
      <c r="C148" t="s">
        <v>9378</v>
      </c>
      <c r="D148" t="s">
        <v>9378</v>
      </c>
      <c r="E148" t="s">
        <v>9378</v>
      </c>
    </row>
    <row r="149" spans="1:5" x14ac:dyDescent="0.25">
      <c r="A149" t="s">
        <v>9663</v>
      </c>
      <c r="B149" t="s">
        <v>9664</v>
      </c>
      <c r="C149" t="s">
        <v>9378</v>
      </c>
      <c r="D149" t="s">
        <v>9378</v>
      </c>
      <c r="E149" t="s">
        <v>9378</v>
      </c>
    </row>
    <row r="150" spans="1:5" x14ac:dyDescent="0.25">
      <c r="A150" t="s">
        <v>9665</v>
      </c>
      <c r="B150" t="s">
        <v>9666</v>
      </c>
      <c r="C150" t="s">
        <v>9378</v>
      </c>
      <c r="D150" t="s">
        <v>9378</v>
      </c>
      <c r="E150" t="s">
        <v>9378</v>
      </c>
    </row>
    <row r="151" spans="1:5" x14ac:dyDescent="0.25">
      <c r="A151" t="s">
        <v>9667</v>
      </c>
      <c r="B151" t="s">
        <v>9668</v>
      </c>
      <c r="C151" t="s">
        <v>9378</v>
      </c>
      <c r="D151" t="s">
        <v>9378</v>
      </c>
      <c r="E151" t="s">
        <v>9378</v>
      </c>
    </row>
    <row r="152" spans="1:5" x14ac:dyDescent="0.25">
      <c r="A152" t="s">
        <v>9669</v>
      </c>
      <c r="B152" t="s">
        <v>9670</v>
      </c>
      <c r="C152" t="s">
        <v>9378</v>
      </c>
      <c r="D152" t="s">
        <v>9378</v>
      </c>
      <c r="E152" t="s">
        <v>9378</v>
      </c>
    </row>
    <row r="153" spans="1:5" x14ac:dyDescent="0.25">
      <c r="A153" t="s">
        <v>9671</v>
      </c>
      <c r="B153" t="s">
        <v>9672</v>
      </c>
      <c r="C153" t="s">
        <v>9378</v>
      </c>
      <c r="D153" t="s">
        <v>9378</v>
      </c>
      <c r="E153" t="s">
        <v>9378</v>
      </c>
    </row>
    <row r="154" spans="1:5" x14ac:dyDescent="0.25">
      <c r="A154" t="s">
        <v>9673</v>
      </c>
      <c r="B154" t="s">
        <v>9674</v>
      </c>
      <c r="C154" t="s">
        <v>9378</v>
      </c>
      <c r="D154" t="s">
        <v>9378</v>
      </c>
      <c r="E154" t="s">
        <v>9378</v>
      </c>
    </row>
    <row r="155" spans="1:5" x14ac:dyDescent="0.25">
      <c r="A155" t="s">
        <v>9675</v>
      </c>
      <c r="B155" t="s">
        <v>9676</v>
      </c>
      <c r="C155" t="s">
        <v>9378</v>
      </c>
      <c r="D155" t="s">
        <v>9378</v>
      </c>
      <c r="E155" t="s">
        <v>9378</v>
      </c>
    </row>
    <row r="156" spans="1:5" x14ac:dyDescent="0.25">
      <c r="A156" t="s">
        <v>9677</v>
      </c>
      <c r="B156" t="s">
        <v>9678</v>
      </c>
      <c r="C156" t="s">
        <v>9378</v>
      </c>
      <c r="D156" t="s">
        <v>9378</v>
      </c>
      <c r="E156" t="s">
        <v>9378</v>
      </c>
    </row>
    <row r="157" spans="1:5" x14ac:dyDescent="0.25">
      <c r="A157" t="s">
        <v>9679</v>
      </c>
      <c r="B157" t="s">
        <v>9680</v>
      </c>
      <c r="C157" t="s">
        <v>9378</v>
      </c>
      <c r="D157" t="s">
        <v>9378</v>
      </c>
      <c r="E157" t="s">
        <v>9378</v>
      </c>
    </row>
    <row r="158" spans="1:5" x14ac:dyDescent="0.25">
      <c r="A158" t="s">
        <v>9681</v>
      </c>
      <c r="B158" t="s">
        <v>9682</v>
      </c>
      <c r="C158" t="s">
        <v>9378</v>
      </c>
      <c r="D158" t="s">
        <v>9378</v>
      </c>
      <c r="E158" t="s">
        <v>9378</v>
      </c>
    </row>
    <row r="159" spans="1:5" x14ac:dyDescent="0.25">
      <c r="A159" t="s">
        <v>9683</v>
      </c>
      <c r="B159" t="s">
        <v>9684</v>
      </c>
      <c r="C159" t="s">
        <v>9378</v>
      </c>
      <c r="D159" t="s">
        <v>9378</v>
      </c>
      <c r="E159" t="s">
        <v>9378</v>
      </c>
    </row>
    <row r="160" spans="1:5" x14ac:dyDescent="0.25">
      <c r="A160" t="s">
        <v>9685</v>
      </c>
      <c r="B160" t="s">
        <v>9686</v>
      </c>
      <c r="C160" t="s">
        <v>9378</v>
      </c>
      <c r="D160" t="s">
        <v>9378</v>
      </c>
      <c r="E160" t="s">
        <v>9378</v>
      </c>
    </row>
    <row r="161" spans="1:5" x14ac:dyDescent="0.25">
      <c r="A161" t="s">
        <v>9687</v>
      </c>
      <c r="B161" t="s">
        <v>9688</v>
      </c>
      <c r="C161" t="s">
        <v>9378</v>
      </c>
      <c r="D161" t="s">
        <v>9378</v>
      </c>
      <c r="E161" t="s">
        <v>9378</v>
      </c>
    </row>
    <row r="162" spans="1:5" x14ac:dyDescent="0.25">
      <c r="A162" t="s">
        <v>9689</v>
      </c>
      <c r="B162" t="s">
        <v>9690</v>
      </c>
      <c r="C162" t="s">
        <v>9378</v>
      </c>
      <c r="D162" t="s">
        <v>9378</v>
      </c>
      <c r="E162" t="s">
        <v>9378</v>
      </c>
    </row>
    <row r="163" spans="1:5" x14ac:dyDescent="0.25">
      <c r="A163" t="s">
        <v>9691</v>
      </c>
      <c r="B163" t="s">
        <v>9692</v>
      </c>
      <c r="C163" t="s">
        <v>9378</v>
      </c>
      <c r="D163" t="s">
        <v>9378</v>
      </c>
      <c r="E163" t="s">
        <v>9378</v>
      </c>
    </row>
    <row r="164" spans="1:5" x14ac:dyDescent="0.25">
      <c r="A164" t="s">
        <v>9693</v>
      </c>
      <c r="B164" t="s">
        <v>9694</v>
      </c>
      <c r="C164" t="s">
        <v>9378</v>
      </c>
      <c r="D164" t="s">
        <v>9378</v>
      </c>
      <c r="E164" t="s">
        <v>9405</v>
      </c>
    </row>
    <row r="165" spans="1:5" x14ac:dyDescent="0.25">
      <c r="A165" t="s">
        <v>9695</v>
      </c>
      <c r="B165" t="s">
        <v>9696</v>
      </c>
      <c r="C165" t="s">
        <v>9378</v>
      </c>
      <c r="D165" t="s">
        <v>9378</v>
      </c>
      <c r="E165" t="s">
        <v>9405</v>
      </c>
    </row>
    <row r="166" spans="1:5" x14ac:dyDescent="0.25">
      <c r="A166" t="s">
        <v>9697</v>
      </c>
      <c r="B166" t="s">
        <v>9698</v>
      </c>
      <c r="C166" t="s">
        <v>9369</v>
      </c>
      <c r="D166" t="s">
        <v>9369</v>
      </c>
      <c r="E166" t="s">
        <v>9369</v>
      </c>
    </row>
    <row r="167" spans="1:5" x14ac:dyDescent="0.25">
      <c r="A167" t="s">
        <v>9699</v>
      </c>
      <c r="B167" t="s">
        <v>9700</v>
      </c>
      <c r="C167" t="s">
        <v>9369</v>
      </c>
      <c r="D167" t="s">
        <v>9369</v>
      </c>
      <c r="E167" t="s">
        <v>9369</v>
      </c>
    </row>
    <row r="168" spans="1:5" x14ac:dyDescent="0.25">
      <c r="A168" t="s">
        <v>9701</v>
      </c>
      <c r="B168" t="s">
        <v>9702</v>
      </c>
      <c r="C168" t="s">
        <v>9369</v>
      </c>
      <c r="D168" t="s">
        <v>9369</v>
      </c>
      <c r="E168" t="s">
        <v>9369</v>
      </c>
    </row>
    <row r="169" spans="1:5" x14ac:dyDescent="0.25">
      <c r="A169" t="s">
        <v>9703</v>
      </c>
      <c r="B169" t="s">
        <v>9704</v>
      </c>
      <c r="C169" t="s">
        <v>9369</v>
      </c>
      <c r="D169" t="s">
        <v>9369</v>
      </c>
      <c r="E169" t="s">
        <v>9369</v>
      </c>
    </row>
    <row r="170" spans="1:5" x14ac:dyDescent="0.25">
      <c r="A170" t="s">
        <v>9705</v>
      </c>
      <c r="B170" t="s">
        <v>9706</v>
      </c>
      <c r="C170" t="s">
        <v>9369</v>
      </c>
      <c r="D170" t="s">
        <v>9369</v>
      </c>
      <c r="E170" t="s">
        <v>9369</v>
      </c>
    </row>
    <row r="171" spans="1:5" x14ac:dyDescent="0.25">
      <c r="A171" t="s">
        <v>9707</v>
      </c>
      <c r="B171" t="s">
        <v>9708</v>
      </c>
      <c r="C171" t="s">
        <v>9369</v>
      </c>
      <c r="D171" t="s">
        <v>9369</v>
      </c>
      <c r="E171" t="s">
        <v>9369</v>
      </c>
    </row>
    <row r="172" spans="1:5" x14ac:dyDescent="0.25">
      <c r="A172" t="s">
        <v>9709</v>
      </c>
      <c r="B172" t="s">
        <v>9710</v>
      </c>
      <c r="C172" t="s">
        <v>9378</v>
      </c>
      <c r="D172" t="s">
        <v>9378</v>
      </c>
      <c r="E172" t="s">
        <v>9378</v>
      </c>
    </row>
    <row r="173" spans="1:5" x14ac:dyDescent="0.25">
      <c r="A173" t="s">
        <v>9711</v>
      </c>
      <c r="B173" t="s">
        <v>9712</v>
      </c>
      <c r="C173" t="s">
        <v>9378</v>
      </c>
      <c r="D173" t="s">
        <v>9378</v>
      </c>
      <c r="E173" t="s">
        <v>9378</v>
      </c>
    </row>
    <row r="174" spans="1:5" x14ac:dyDescent="0.25">
      <c r="A174" t="s">
        <v>9713</v>
      </c>
      <c r="B174" t="s">
        <v>9714</v>
      </c>
      <c r="C174" t="s">
        <v>9378</v>
      </c>
      <c r="D174" t="s">
        <v>9378</v>
      </c>
      <c r="E174" t="s">
        <v>9378</v>
      </c>
    </row>
    <row r="175" spans="1:5" x14ac:dyDescent="0.25">
      <c r="A175" t="s">
        <v>9715</v>
      </c>
      <c r="B175" t="s">
        <v>9716</v>
      </c>
      <c r="C175" t="s">
        <v>9378</v>
      </c>
      <c r="D175" t="s">
        <v>9378</v>
      </c>
      <c r="E175" t="s">
        <v>9378</v>
      </c>
    </row>
    <row r="176" spans="1:5" x14ac:dyDescent="0.25">
      <c r="A176" t="s">
        <v>9717</v>
      </c>
      <c r="B176" t="s">
        <v>9718</v>
      </c>
      <c r="C176" t="s">
        <v>9378</v>
      </c>
      <c r="D176" t="s">
        <v>9378</v>
      </c>
      <c r="E176" t="s">
        <v>9378</v>
      </c>
    </row>
    <row r="177" spans="1:5" x14ac:dyDescent="0.25">
      <c r="A177" t="s">
        <v>9719</v>
      </c>
      <c r="B177" t="s">
        <v>9720</v>
      </c>
      <c r="C177" t="s">
        <v>9378</v>
      </c>
      <c r="D177" t="s">
        <v>9378</v>
      </c>
      <c r="E177" t="s">
        <v>9378</v>
      </c>
    </row>
    <row r="178" spans="1:5" x14ac:dyDescent="0.25">
      <c r="A178" t="s">
        <v>9721</v>
      </c>
      <c r="B178" t="s">
        <v>9722</v>
      </c>
      <c r="C178" t="s">
        <v>9378</v>
      </c>
      <c r="D178" t="s">
        <v>9378</v>
      </c>
      <c r="E178" t="s">
        <v>9378</v>
      </c>
    </row>
    <row r="179" spans="1:5" x14ac:dyDescent="0.25">
      <c r="A179" t="s">
        <v>9723</v>
      </c>
      <c r="B179" t="s">
        <v>9724</v>
      </c>
      <c r="C179" t="s">
        <v>9378</v>
      </c>
      <c r="D179" t="s">
        <v>9378</v>
      </c>
      <c r="E179" t="s">
        <v>9378</v>
      </c>
    </row>
    <row r="180" spans="1:5" x14ac:dyDescent="0.25">
      <c r="A180" t="s">
        <v>9725</v>
      </c>
      <c r="B180" t="s">
        <v>9726</v>
      </c>
      <c r="C180" t="s">
        <v>9369</v>
      </c>
      <c r="D180" t="s">
        <v>9369</v>
      </c>
      <c r="E180" t="s">
        <v>9369</v>
      </c>
    </row>
    <row r="181" spans="1:5" x14ac:dyDescent="0.25">
      <c r="A181" t="s">
        <v>9727</v>
      </c>
      <c r="B181" t="s">
        <v>9728</v>
      </c>
      <c r="C181" t="s">
        <v>9378</v>
      </c>
      <c r="D181" t="s">
        <v>9378</v>
      </c>
      <c r="E181" t="s">
        <v>9378</v>
      </c>
    </row>
    <row r="182" spans="1:5" x14ac:dyDescent="0.25">
      <c r="A182" t="s">
        <v>9729</v>
      </c>
      <c r="B182" t="s">
        <v>9730</v>
      </c>
      <c r="C182" t="s">
        <v>9378</v>
      </c>
      <c r="D182" t="s">
        <v>9378</v>
      </c>
      <c r="E182" t="s">
        <v>9378</v>
      </c>
    </row>
    <row r="183" spans="1:5" x14ac:dyDescent="0.25">
      <c r="A183" t="s">
        <v>9731</v>
      </c>
      <c r="B183" t="s">
        <v>9732</v>
      </c>
      <c r="C183" t="s">
        <v>9378</v>
      </c>
      <c r="D183" t="s">
        <v>9378</v>
      </c>
      <c r="E183" t="s">
        <v>9378</v>
      </c>
    </row>
    <row r="184" spans="1:5" x14ac:dyDescent="0.25">
      <c r="A184" t="s">
        <v>9733</v>
      </c>
      <c r="B184" t="s">
        <v>9734</v>
      </c>
      <c r="C184" t="s">
        <v>9378</v>
      </c>
      <c r="D184" t="s">
        <v>9378</v>
      </c>
      <c r="E184" t="s">
        <v>9378</v>
      </c>
    </row>
    <row r="185" spans="1:5" x14ac:dyDescent="0.25">
      <c r="A185" t="s">
        <v>9735</v>
      </c>
      <c r="B185" t="s">
        <v>9736</v>
      </c>
      <c r="C185" t="s">
        <v>9378</v>
      </c>
      <c r="D185" t="s">
        <v>9378</v>
      </c>
      <c r="E185" t="s">
        <v>9378</v>
      </c>
    </row>
    <row r="186" spans="1:5" x14ac:dyDescent="0.25">
      <c r="A186" t="s">
        <v>9737</v>
      </c>
      <c r="B186" t="s">
        <v>9738</v>
      </c>
      <c r="C186" t="s">
        <v>9378</v>
      </c>
      <c r="D186" t="s">
        <v>9378</v>
      </c>
      <c r="E186" t="s">
        <v>9378</v>
      </c>
    </row>
    <row r="187" spans="1:5" x14ac:dyDescent="0.25">
      <c r="A187" t="s">
        <v>9739</v>
      </c>
      <c r="B187" t="s">
        <v>9740</v>
      </c>
      <c r="C187" t="s">
        <v>9378</v>
      </c>
      <c r="D187" t="s">
        <v>9378</v>
      </c>
      <c r="E187" t="s">
        <v>9378</v>
      </c>
    </row>
    <row r="188" spans="1:5" x14ac:dyDescent="0.25">
      <c r="A188" t="s">
        <v>9741</v>
      </c>
      <c r="B188" t="s">
        <v>9742</v>
      </c>
      <c r="C188" t="s">
        <v>9378</v>
      </c>
      <c r="D188" t="s">
        <v>9378</v>
      </c>
      <c r="E188" t="s">
        <v>9378</v>
      </c>
    </row>
    <row r="189" spans="1:5" x14ac:dyDescent="0.25">
      <c r="A189" t="s">
        <v>9743</v>
      </c>
      <c r="B189" t="s">
        <v>9744</v>
      </c>
      <c r="C189" t="s">
        <v>9378</v>
      </c>
      <c r="D189" t="s">
        <v>9378</v>
      </c>
      <c r="E189" t="s">
        <v>9378</v>
      </c>
    </row>
    <row r="190" spans="1:5" x14ac:dyDescent="0.25">
      <c r="A190" t="s">
        <v>9745</v>
      </c>
      <c r="B190" t="s">
        <v>9746</v>
      </c>
      <c r="C190" t="s">
        <v>9378</v>
      </c>
      <c r="D190" t="s">
        <v>9378</v>
      </c>
      <c r="E190" t="s">
        <v>9378</v>
      </c>
    </row>
    <row r="191" spans="1:5" x14ac:dyDescent="0.25">
      <c r="A191" t="s">
        <v>9747</v>
      </c>
      <c r="B191" t="s">
        <v>9748</v>
      </c>
      <c r="C191" t="s">
        <v>9378</v>
      </c>
      <c r="D191" t="s">
        <v>9378</v>
      </c>
      <c r="E191" t="s">
        <v>9378</v>
      </c>
    </row>
    <row r="192" spans="1:5" x14ac:dyDescent="0.25">
      <c r="A192" t="s">
        <v>9749</v>
      </c>
      <c r="B192" t="s">
        <v>9750</v>
      </c>
      <c r="C192" t="s">
        <v>9378</v>
      </c>
      <c r="D192" t="s">
        <v>9378</v>
      </c>
      <c r="E192" t="s">
        <v>9378</v>
      </c>
    </row>
    <row r="193" spans="1:5" x14ac:dyDescent="0.25">
      <c r="A193" t="s">
        <v>9751</v>
      </c>
      <c r="B193" t="s">
        <v>9752</v>
      </c>
      <c r="C193" t="s">
        <v>9378</v>
      </c>
      <c r="D193" t="s">
        <v>9378</v>
      </c>
      <c r="E193" t="s">
        <v>9378</v>
      </c>
    </row>
    <row r="194" spans="1:5" x14ac:dyDescent="0.25">
      <c r="A194" t="s">
        <v>9753</v>
      </c>
      <c r="B194" t="s">
        <v>9754</v>
      </c>
      <c r="C194" t="s">
        <v>9378</v>
      </c>
      <c r="D194" t="s">
        <v>9378</v>
      </c>
      <c r="E194" t="s">
        <v>9378</v>
      </c>
    </row>
    <row r="195" spans="1:5" x14ac:dyDescent="0.25">
      <c r="A195" t="s">
        <v>9755</v>
      </c>
      <c r="B195" t="s">
        <v>9756</v>
      </c>
      <c r="C195" t="s">
        <v>9378</v>
      </c>
      <c r="D195" t="s">
        <v>9378</v>
      </c>
      <c r="E195" t="s">
        <v>9353</v>
      </c>
    </row>
    <row r="196" spans="1:5" x14ac:dyDescent="0.25">
      <c r="A196" t="s">
        <v>9757</v>
      </c>
      <c r="B196" t="s">
        <v>9758</v>
      </c>
      <c r="C196" t="s">
        <v>9378</v>
      </c>
      <c r="D196" t="s">
        <v>9378</v>
      </c>
      <c r="E196" t="s">
        <v>9353</v>
      </c>
    </row>
    <row r="197" spans="1:5" x14ac:dyDescent="0.25">
      <c r="A197" t="s">
        <v>9759</v>
      </c>
      <c r="B197" t="s">
        <v>9760</v>
      </c>
      <c r="C197" t="s">
        <v>9378</v>
      </c>
      <c r="D197" t="s">
        <v>9378</v>
      </c>
      <c r="E197" t="s">
        <v>9353</v>
      </c>
    </row>
    <row r="198" spans="1:5" x14ac:dyDescent="0.25">
      <c r="A198" t="s">
        <v>9761</v>
      </c>
      <c r="B198" t="s">
        <v>9762</v>
      </c>
      <c r="C198" t="s">
        <v>9378</v>
      </c>
      <c r="D198" t="s">
        <v>9378</v>
      </c>
      <c r="E198" t="s">
        <v>9353</v>
      </c>
    </row>
    <row r="199" spans="1:5" x14ac:dyDescent="0.25">
      <c r="A199" t="s">
        <v>9763</v>
      </c>
      <c r="B199" t="s">
        <v>9764</v>
      </c>
      <c r="C199" t="s">
        <v>9378</v>
      </c>
      <c r="D199" t="s">
        <v>9378</v>
      </c>
      <c r="E199" t="s">
        <v>9353</v>
      </c>
    </row>
    <row r="200" spans="1:5" x14ac:dyDescent="0.25">
      <c r="A200" t="s">
        <v>9765</v>
      </c>
      <c r="B200" t="s">
        <v>9766</v>
      </c>
      <c r="C200" t="s">
        <v>9378</v>
      </c>
      <c r="D200" t="s">
        <v>9378</v>
      </c>
      <c r="E200" t="s">
        <v>9378</v>
      </c>
    </row>
    <row r="201" spans="1:5" x14ac:dyDescent="0.25">
      <c r="A201" t="s">
        <v>9767</v>
      </c>
      <c r="B201" t="s">
        <v>9768</v>
      </c>
      <c r="C201" t="s">
        <v>9378</v>
      </c>
      <c r="D201" t="s">
        <v>9378</v>
      </c>
      <c r="E201" t="s">
        <v>9378</v>
      </c>
    </row>
    <row r="202" spans="1:5" x14ac:dyDescent="0.25">
      <c r="A202" t="s">
        <v>9769</v>
      </c>
      <c r="B202" t="s">
        <v>9770</v>
      </c>
      <c r="C202" t="s">
        <v>9378</v>
      </c>
      <c r="D202" t="s">
        <v>9378</v>
      </c>
      <c r="E202" t="s">
        <v>9378</v>
      </c>
    </row>
    <row r="203" spans="1:5" x14ac:dyDescent="0.25">
      <c r="A203" t="s">
        <v>9771</v>
      </c>
      <c r="B203" t="s">
        <v>9772</v>
      </c>
      <c r="C203" t="s">
        <v>9378</v>
      </c>
      <c r="D203" t="s">
        <v>9378</v>
      </c>
      <c r="E203" t="s">
        <v>9378</v>
      </c>
    </row>
    <row r="204" spans="1:5" x14ac:dyDescent="0.25">
      <c r="A204" t="s">
        <v>9773</v>
      </c>
      <c r="B204" t="s">
        <v>9774</v>
      </c>
      <c r="C204" t="s">
        <v>9378</v>
      </c>
      <c r="D204" t="s">
        <v>9378</v>
      </c>
      <c r="E204" t="s">
        <v>9378</v>
      </c>
    </row>
    <row r="205" spans="1:5" x14ac:dyDescent="0.25">
      <c r="A205" t="s">
        <v>434</v>
      </c>
      <c r="B205" t="s">
        <v>435</v>
      </c>
      <c r="C205" t="s">
        <v>9369</v>
      </c>
      <c r="D205" t="s">
        <v>9369</v>
      </c>
      <c r="E205" t="s">
        <v>9369</v>
      </c>
    </row>
    <row r="206" spans="1:5" x14ac:dyDescent="0.25">
      <c r="A206" t="s">
        <v>9775</v>
      </c>
      <c r="B206" t="s">
        <v>9776</v>
      </c>
      <c r="C206" t="s">
        <v>9378</v>
      </c>
      <c r="D206" t="s">
        <v>9378</v>
      </c>
      <c r="E206" t="s">
        <v>9405</v>
      </c>
    </row>
    <row r="207" spans="1:5" x14ac:dyDescent="0.25">
      <c r="A207" t="s">
        <v>9777</v>
      </c>
      <c r="B207" t="s">
        <v>9778</v>
      </c>
      <c r="C207" t="s">
        <v>9378</v>
      </c>
      <c r="D207" t="s">
        <v>9378</v>
      </c>
      <c r="E207" t="s">
        <v>9405</v>
      </c>
    </row>
    <row r="208" spans="1:5" x14ac:dyDescent="0.25">
      <c r="A208" t="s">
        <v>9779</v>
      </c>
      <c r="B208" t="s">
        <v>9780</v>
      </c>
      <c r="C208" t="s">
        <v>9378</v>
      </c>
      <c r="D208" t="s">
        <v>9378</v>
      </c>
      <c r="E208" t="s">
        <v>9378</v>
      </c>
    </row>
    <row r="209" spans="1:5" x14ac:dyDescent="0.25">
      <c r="A209" t="s">
        <v>9781</v>
      </c>
      <c r="B209" t="s">
        <v>9782</v>
      </c>
      <c r="C209" t="s">
        <v>9378</v>
      </c>
      <c r="D209" t="s">
        <v>9378</v>
      </c>
      <c r="E209" t="s">
        <v>9378</v>
      </c>
    </row>
    <row r="210" spans="1:5" x14ac:dyDescent="0.25">
      <c r="A210" t="s">
        <v>9783</v>
      </c>
      <c r="B210" t="s">
        <v>9784</v>
      </c>
      <c r="C210" t="s">
        <v>9378</v>
      </c>
      <c r="D210" t="s">
        <v>9378</v>
      </c>
      <c r="E210" t="s">
        <v>9378</v>
      </c>
    </row>
    <row r="211" spans="1:5" x14ac:dyDescent="0.25">
      <c r="A211" t="s">
        <v>9785</v>
      </c>
      <c r="B211" t="s">
        <v>9786</v>
      </c>
      <c r="C211" t="s">
        <v>9378</v>
      </c>
      <c r="D211" t="s">
        <v>9378</v>
      </c>
      <c r="E211" t="s">
        <v>9378</v>
      </c>
    </row>
    <row r="212" spans="1:5" x14ac:dyDescent="0.25">
      <c r="A212" t="s">
        <v>9787</v>
      </c>
      <c r="B212" t="s">
        <v>9788</v>
      </c>
      <c r="C212" t="s">
        <v>9378</v>
      </c>
      <c r="D212" t="s">
        <v>9378</v>
      </c>
      <c r="E212" t="s">
        <v>9378</v>
      </c>
    </row>
    <row r="213" spans="1:5" x14ac:dyDescent="0.25">
      <c r="A213" t="s">
        <v>9789</v>
      </c>
      <c r="B213" t="s">
        <v>9790</v>
      </c>
      <c r="C213" t="s">
        <v>9378</v>
      </c>
      <c r="D213" t="s">
        <v>9378</v>
      </c>
      <c r="E213" t="s">
        <v>9378</v>
      </c>
    </row>
    <row r="214" spans="1:5" x14ac:dyDescent="0.25">
      <c r="A214" t="s">
        <v>9791</v>
      </c>
      <c r="B214" t="s">
        <v>9792</v>
      </c>
      <c r="C214" t="s">
        <v>9378</v>
      </c>
      <c r="D214" t="s">
        <v>9378</v>
      </c>
      <c r="E214" t="s">
        <v>9378</v>
      </c>
    </row>
    <row r="215" spans="1:5" x14ac:dyDescent="0.25">
      <c r="A215" t="s">
        <v>471</v>
      </c>
      <c r="B215" t="s">
        <v>472</v>
      </c>
      <c r="C215" t="s">
        <v>9369</v>
      </c>
      <c r="D215" t="s">
        <v>9369</v>
      </c>
      <c r="E215" t="s">
        <v>9369</v>
      </c>
    </row>
    <row r="216" spans="1:5" x14ac:dyDescent="0.25">
      <c r="A216" t="s">
        <v>9793</v>
      </c>
      <c r="B216" t="s">
        <v>9794</v>
      </c>
      <c r="C216" t="s">
        <v>9369</v>
      </c>
      <c r="D216" t="s">
        <v>9369</v>
      </c>
      <c r="E216" t="s">
        <v>9369</v>
      </c>
    </row>
    <row r="217" spans="1:5" x14ac:dyDescent="0.25">
      <c r="A217" t="s">
        <v>9795</v>
      </c>
      <c r="B217" t="s">
        <v>9796</v>
      </c>
      <c r="C217" t="s">
        <v>9378</v>
      </c>
      <c r="D217" t="s">
        <v>9378</v>
      </c>
      <c r="E217" t="s">
        <v>9378</v>
      </c>
    </row>
    <row r="218" spans="1:5" x14ac:dyDescent="0.25">
      <c r="A218" t="s">
        <v>9797</v>
      </c>
      <c r="B218" t="s">
        <v>9798</v>
      </c>
      <c r="C218" t="s">
        <v>9378</v>
      </c>
      <c r="D218" t="s">
        <v>9378</v>
      </c>
      <c r="E218" t="s">
        <v>9378</v>
      </c>
    </row>
    <row r="219" spans="1:5" x14ac:dyDescent="0.25">
      <c r="A219" t="s">
        <v>9799</v>
      </c>
      <c r="B219" t="s">
        <v>9800</v>
      </c>
      <c r="C219" t="s">
        <v>9378</v>
      </c>
      <c r="D219" t="s">
        <v>9378</v>
      </c>
      <c r="E219" t="s">
        <v>9378</v>
      </c>
    </row>
    <row r="220" spans="1:5" x14ac:dyDescent="0.25">
      <c r="A220" t="s">
        <v>9801</v>
      </c>
      <c r="B220" t="s">
        <v>9802</v>
      </c>
      <c r="C220" t="s">
        <v>9378</v>
      </c>
      <c r="D220" t="s">
        <v>9378</v>
      </c>
      <c r="E220" t="s">
        <v>9378</v>
      </c>
    </row>
    <row r="221" spans="1:5" x14ac:dyDescent="0.25">
      <c r="A221" t="s">
        <v>9803</v>
      </c>
      <c r="B221" t="s">
        <v>9804</v>
      </c>
      <c r="C221" t="s">
        <v>9378</v>
      </c>
      <c r="D221" t="s">
        <v>9378</v>
      </c>
      <c r="E221" t="s">
        <v>9378</v>
      </c>
    </row>
    <row r="222" spans="1:5" x14ac:dyDescent="0.25">
      <c r="A222" t="s">
        <v>9805</v>
      </c>
      <c r="B222" t="s">
        <v>9806</v>
      </c>
      <c r="C222" t="s">
        <v>9378</v>
      </c>
      <c r="D222" t="s">
        <v>9378</v>
      </c>
      <c r="E222" t="s">
        <v>9378</v>
      </c>
    </row>
    <row r="223" spans="1:5" x14ac:dyDescent="0.25">
      <c r="A223" t="s">
        <v>9807</v>
      </c>
      <c r="B223" t="s">
        <v>9808</v>
      </c>
      <c r="C223" t="s">
        <v>9369</v>
      </c>
      <c r="D223" t="s">
        <v>9369</v>
      </c>
      <c r="E223" t="s">
        <v>9369</v>
      </c>
    </row>
    <row r="224" spans="1:5" x14ac:dyDescent="0.25">
      <c r="A224" t="s">
        <v>9809</v>
      </c>
      <c r="B224" t="s">
        <v>9810</v>
      </c>
      <c r="C224" t="s">
        <v>9378</v>
      </c>
      <c r="D224" t="s">
        <v>9378</v>
      </c>
      <c r="E224" t="s">
        <v>9378</v>
      </c>
    </row>
    <row r="225" spans="1:5" x14ac:dyDescent="0.25">
      <c r="A225" t="s">
        <v>9811</v>
      </c>
      <c r="B225" t="s">
        <v>9812</v>
      </c>
      <c r="C225" t="s">
        <v>9378</v>
      </c>
      <c r="D225" t="s">
        <v>9378</v>
      </c>
      <c r="E225" t="s">
        <v>9378</v>
      </c>
    </row>
    <row r="226" spans="1:5" x14ac:dyDescent="0.25">
      <c r="A226" t="s">
        <v>9813</v>
      </c>
      <c r="B226" t="s">
        <v>9814</v>
      </c>
      <c r="C226" t="s">
        <v>9378</v>
      </c>
      <c r="D226" t="s">
        <v>9378</v>
      </c>
      <c r="E226" t="s">
        <v>9378</v>
      </c>
    </row>
    <row r="227" spans="1:5" x14ac:dyDescent="0.25">
      <c r="A227" t="s">
        <v>9815</v>
      </c>
      <c r="B227" t="s">
        <v>9816</v>
      </c>
      <c r="C227" t="s">
        <v>9378</v>
      </c>
      <c r="D227" t="s">
        <v>9378</v>
      </c>
      <c r="E227" t="s">
        <v>9378</v>
      </c>
    </row>
    <row r="228" spans="1:5" x14ac:dyDescent="0.25">
      <c r="A228" t="s">
        <v>9817</v>
      </c>
      <c r="B228" t="s">
        <v>9818</v>
      </c>
      <c r="C228" t="s">
        <v>9378</v>
      </c>
      <c r="D228" t="s">
        <v>9378</v>
      </c>
      <c r="E228" t="s">
        <v>9378</v>
      </c>
    </row>
    <row r="229" spans="1:5" x14ac:dyDescent="0.25">
      <c r="A229" t="s">
        <v>9819</v>
      </c>
      <c r="B229" t="s">
        <v>9820</v>
      </c>
      <c r="C229" t="s">
        <v>9378</v>
      </c>
      <c r="D229" t="s">
        <v>9378</v>
      </c>
      <c r="E229" t="s">
        <v>9378</v>
      </c>
    </row>
    <row r="230" spans="1:5" x14ac:dyDescent="0.25">
      <c r="A230" t="s">
        <v>9821</v>
      </c>
      <c r="B230" t="s">
        <v>9822</v>
      </c>
      <c r="C230" t="s">
        <v>9378</v>
      </c>
      <c r="D230" t="s">
        <v>9378</v>
      </c>
      <c r="E230" t="s">
        <v>9378</v>
      </c>
    </row>
    <row r="231" spans="1:5" x14ac:dyDescent="0.25">
      <c r="A231" t="s">
        <v>9823</v>
      </c>
      <c r="B231" t="s">
        <v>9824</v>
      </c>
      <c r="C231" t="s">
        <v>9378</v>
      </c>
      <c r="D231" t="s">
        <v>9378</v>
      </c>
      <c r="E231" t="s">
        <v>9378</v>
      </c>
    </row>
    <row r="232" spans="1:5" x14ac:dyDescent="0.25">
      <c r="A232" t="s">
        <v>9825</v>
      </c>
      <c r="B232" t="s">
        <v>9826</v>
      </c>
      <c r="C232" t="s">
        <v>9378</v>
      </c>
      <c r="D232" t="s">
        <v>9378</v>
      </c>
      <c r="E232" t="s">
        <v>9378</v>
      </c>
    </row>
    <row r="233" spans="1:5" x14ac:dyDescent="0.25">
      <c r="A233" t="s">
        <v>9827</v>
      </c>
      <c r="B233" t="s">
        <v>9828</v>
      </c>
      <c r="C233" t="s">
        <v>9378</v>
      </c>
      <c r="D233" t="s">
        <v>9378</v>
      </c>
      <c r="E233" t="s">
        <v>9378</v>
      </c>
    </row>
    <row r="234" spans="1:5" x14ac:dyDescent="0.25">
      <c r="A234" t="s">
        <v>9829</v>
      </c>
      <c r="B234" t="s">
        <v>9830</v>
      </c>
      <c r="C234" t="s">
        <v>9378</v>
      </c>
      <c r="D234" t="s">
        <v>9378</v>
      </c>
      <c r="E234" t="s">
        <v>9378</v>
      </c>
    </row>
    <row r="235" spans="1:5" x14ac:dyDescent="0.25">
      <c r="A235" t="s">
        <v>9831</v>
      </c>
      <c r="B235" t="s">
        <v>9832</v>
      </c>
      <c r="C235" t="s">
        <v>9378</v>
      </c>
      <c r="D235" t="s">
        <v>9378</v>
      </c>
      <c r="E235" t="s">
        <v>9405</v>
      </c>
    </row>
    <row r="236" spans="1:5" x14ac:dyDescent="0.25">
      <c r="A236" t="s">
        <v>9833</v>
      </c>
      <c r="B236" t="s">
        <v>9834</v>
      </c>
      <c r="C236" t="s">
        <v>9378</v>
      </c>
      <c r="D236" t="s">
        <v>9378</v>
      </c>
      <c r="E236" t="s">
        <v>9405</v>
      </c>
    </row>
    <row r="237" spans="1:5" x14ac:dyDescent="0.25">
      <c r="A237" t="s">
        <v>9835</v>
      </c>
      <c r="B237" t="s">
        <v>9836</v>
      </c>
      <c r="C237" t="s">
        <v>9369</v>
      </c>
      <c r="D237" t="s">
        <v>9369</v>
      </c>
      <c r="E237" t="s">
        <v>9369</v>
      </c>
    </row>
    <row r="238" spans="1:5" x14ac:dyDescent="0.25">
      <c r="A238" t="s">
        <v>9837</v>
      </c>
      <c r="B238" t="s">
        <v>9838</v>
      </c>
      <c r="C238" t="s">
        <v>9378</v>
      </c>
      <c r="D238" t="s">
        <v>9378</v>
      </c>
      <c r="E238" t="s">
        <v>9378</v>
      </c>
    </row>
    <row r="239" spans="1:5" x14ac:dyDescent="0.25">
      <c r="A239" t="s">
        <v>9839</v>
      </c>
      <c r="B239" t="s">
        <v>9840</v>
      </c>
      <c r="C239" t="s">
        <v>9378</v>
      </c>
      <c r="D239" t="s">
        <v>9378</v>
      </c>
      <c r="E239" t="s">
        <v>9378</v>
      </c>
    </row>
    <row r="240" spans="1:5" x14ac:dyDescent="0.25">
      <c r="A240" t="s">
        <v>9841</v>
      </c>
      <c r="B240" t="s">
        <v>9842</v>
      </c>
      <c r="C240" t="s">
        <v>9378</v>
      </c>
      <c r="D240" t="s">
        <v>9378</v>
      </c>
      <c r="E240" t="s">
        <v>9378</v>
      </c>
    </row>
    <row r="241" spans="1:5" x14ac:dyDescent="0.25">
      <c r="A241" t="s">
        <v>9843</v>
      </c>
      <c r="B241" t="s">
        <v>9844</v>
      </c>
      <c r="C241" t="s">
        <v>9378</v>
      </c>
      <c r="D241" t="s">
        <v>9378</v>
      </c>
      <c r="E241" t="s">
        <v>9378</v>
      </c>
    </row>
    <row r="242" spans="1:5" x14ac:dyDescent="0.25">
      <c r="A242" t="s">
        <v>9845</v>
      </c>
      <c r="B242" t="s">
        <v>9846</v>
      </c>
      <c r="C242" t="s">
        <v>9378</v>
      </c>
      <c r="D242" t="s">
        <v>9378</v>
      </c>
      <c r="E242" t="s">
        <v>9378</v>
      </c>
    </row>
    <row r="243" spans="1:5" x14ac:dyDescent="0.25">
      <c r="A243" t="s">
        <v>9847</v>
      </c>
      <c r="B243" t="s">
        <v>9848</v>
      </c>
      <c r="C243" t="s">
        <v>9378</v>
      </c>
      <c r="D243" t="s">
        <v>9378</v>
      </c>
      <c r="E243" t="s">
        <v>9378</v>
      </c>
    </row>
    <row r="244" spans="1:5" x14ac:dyDescent="0.25">
      <c r="A244" t="s">
        <v>9849</v>
      </c>
      <c r="B244" t="s">
        <v>9850</v>
      </c>
      <c r="C244" t="s">
        <v>9378</v>
      </c>
      <c r="D244" t="s">
        <v>9378</v>
      </c>
      <c r="E244" t="s">
        <v>9378</v>
      </c>
    </row>
    <row r="245" spans="1:5" x14ac:dyDescent="0.25">
      <c r="A245" t="s">
        <v>9851</v>
      </c>
      <c r="B245" t="s">
        <v>9852</v>
      </c>
      <c r="C245" t="s">
        <v>9378</v>
      </c>
      <c r="D245" t="s">
        <v>9378</v>
      </c>
      <c r="E245" t="s">
        <v>9378</v>
      </c>
    </row>
    <row r="246" spans="1:5" x14ac:dyDescent="0.25">
      <c r="A246" t="s">
        <v>9853</v>
      </c>
      <c r="B246" t="s">
        <v>9854</v>
      </c>
      <c r="C246" t="s">
        <v>9378</v>
      </c>
      <c r="D246" t="s">
        <v>9378</v>
      </c>
      <c r="E246" t="s">
        <v>9378</v>
      </c>
    </row>
    <row r="247" spans="1:5" x14ac:dyDescent="0.25">
      <c r="A247" t="s">
        <v>9855</v>
      </c>
      <c r="B247" t="s">
        <v>9856</v>
      </c>
      <c r="C247" t="s">
        <v>9378</v>
      </c>
      <c r="D247" t="s">
        <v>9378</v>
      </c>
      <c r="E247" t="s">
        <v>9378</v>
      </c>
    </row>
    <row r="248" spans="1:5" x14ac:dyDescent="0.25">
      <c r="A248" t="s">
        <v>9857</v>
      </c>
      <c r="B248" t="s">
        <v>9858</v>
      </c>
      <c r="C248" t="s">
        <v>9378</v>
      </c>
      <c r="D248" t="s">
        <v>9378</v>
      </c>
      <c r="E248" t="s">
        <v>9378</v>
      </c>
    </row>
    <row r="249" spans="1:5" x14ac:dyDescent="0.25">
      <c r="A249" t="s">
        <v>9859</v>
      </c>
      <c r="B249" t="s">
        <v>9860</v>
      </c>
      <c r="C249" t="s">
        <v>9378</v>
      </c>
      <c r="D249" t="s">
        <v>9378</v>
      </c>
      <c r="E249" t="s">
        <v>9378</v>
      </c>
    </row>
    <row r="250" spans="1:5" x14ac:dyDescent="0.25">
      <c r="A250" t="s">
        <v>9861</v>
      </c>
      <c r="B250" t="s">
        <v>9862</v>
      </c>
      <c r="C250" t="s">
        <v>9378</v>
      </c>
      <c r="D250" t="s">
        <v>9378</v>
      </c>
      <c r="E250" t="s">
        <v>9378</v>
      </c>
    </row>
    <row r="251" spans="1:5" x14ac:dyDescent="0.25">
      <c r="A251" t="s">
        <v>9863</v>
      </c>
      <c r="B251" t="s">
        <v>9864</v>
      </c>
      <c r="C251" t="s">
        <v>9378</v>
      </c>
      <c r="D251" t="s">
        <v>9378</v>
      </c>
      <c r="E251" t="s">
        <v>9378</v>
      </c>
    </row>
    <row r="252" spans="1:5" x14ac:dyDescent="0.25">
      <c r="A252" t="s">
        <v>9865</v>
      </c>
      <c r="B252" t="s">
        <v>9866</v>
      </c>
      <c r="C252" t="s">
        <v>9378</v>
      </c>
      <c r="D252" t="s">
        <v>9378</v>
      </c>
      <c r="E252" t="s">
        <v>9378</v>
      </c>
    </row>
    <row r="253" spans="1:5" x14ac:dyDescent="0.25">
      <c r="A253" t="s">
        <v>9867</v>
      </c>
      <c r="B253" t="s">
        <v>9868</v>
      </c>
      <c r="C253" t="s">
        <v>9378</v>
      </c>
      <c r="D253" t="s">
        <v>9378</v>
      </c>
      <c r="E253" t="s">
        <v>9378</v>
      </c>
    </row>
    <row r="254" spans="1:5" x14ac:dyDescent="0.25">
      <c r="A254" t="s">
        <v>9869</v>
      </c>
      <c r="B254" t="s">
        <v>9870</v>
      </c>
      <c r="C254" t="s">
        <v>9378</v>
      </c>
      <c r="D254" t="s">
        <v>9378</v>
      </c>
      <c r="E254" t="s">
        <v>9378</v>
      </c>
    </row>
    <row r="255" spans="1:5" x14ac:dyDescent="0.25">
      <c r="A255" t="s">
        <v>9871</v>
      </c>
      <c r="B255" t="s">
        <v>9872</v>
      </c>
      <c r="C255" t="s">
        <v>9378</v>
      </c>
      <c r="D255" t="s">
        <v>9378</v>
      </c>
      <c r="E255" t="s">
        <v>9405</v>
      </c>
    </row>
    <row r="256" spans="1:5" x14ac:dyDescent="0.25">
      <c r="A256" t="s">
        <v>9873</v>
      </c>
      <c r="B256" t="s">
        <v>9874</v>
      </c>
      <c r="C256" t="s">
        <v>9378</v>
      </c>
      <c r="D256" t="s">
        <v>9378</v>
      </c>
      <c r="E256" t="s">
        <v>9405</v>
      </c>
    </row>
    <row r="257" spans="1:5" x14ac:dyDescent="0.25">
      <c r="A257" t="s">
        <v>9875</v>
      </c>
      <c r="B257" t="s">
        <v>9876</v>
      </c>
      <c r="C257" t="s">
        <v>9378</v>
      </c>
      <c r="D257" t="s">
        <v>9378</v>
      </c>
      <c r="E257" t="s">
        <v>9405</v>
      </c>
    </row>
    <row r="258" spans="1:5" x14ac:dyDescent="0.25">
      <c r="A258" t="s">
        <v>9877</v>
      </c>
      <c r="B258" t="s">
        <v>9878</v>
      </c>
      <c r="C258" t="s">
        <v>9369</v>
      </c>
      <c r="D258" t="s">
        <v>9369</v>
      </c>
      <c r="E258" t="s">
        <v>9369</v>
      </c>
    </row>
    <row r="259" spans="1:5" x14ac:dyDescent="0.25">
      <c r="A259" t="s">
        <v>9879</v>
      </c>
      <c r="B259" t="s">
        <v>9880</v>
      </c>
      <c r="C259" t="s">
        <v>9378</v>
      </c>
      <c r="D259" t="s">
        <v>9378</v>
      </c>
      <c r="E259" t="s">
        <v>9353</v>
      </c>
    </row>
    <row r="260" spans="1:5" x14ac:dyDescent="0.25">
      <c r="A260" t="s">
        <v>9881</v>
      </c>
      <c r="B260" t="s">
        <v>9882</v>
      </c>
      <c r="C260" t="s">
        <v>9378</v>
      </c>
      <c r="D260" t="s">
        <v>9378</v>
      </c>
      <c r="E260" t="s">
        <v>9353</v>
      </c>
    </row>
    <row r="261" spans="1:5" x14ac:dyDescent="0.25">
      <c r="A261" t="s">
        <v>9883</v>
      </c>
      <c r="B261" t="s">
        <v>9884</v>
      </c>
      <c r="C261" t="s">
        <v>9378</v>
      </c>
      <c r="D261" t="s">
        <v>9378</v>
      </c>
      <c r="E261" t="s">
        <v>9353</v>
      </c>
    </row>
    <row r="262" spans="1:5" x14ac:dyDescent="0.25">
      <c r="A262" t="s">
        <v>9885</v>
      </c>
      <c r="B262" t="s">
        <v>9886</v>
      </c>
      <c r="C262" t="s">
        <v>9378</v>
      </c>
      <c r="D262" t="s">
        <v>9378</v>
      </c>
      <c r="E262" t="s">
        <v>9353</v>
      </c>
    </row>
    <row r="263" spans="1:5" x14ac:dyDescent="0.25">
      <c r="A263" t="s">
        <v>468</v>
      </c>
      <c r="B263" t="s">
        <v>9887</v>
      </c>
      <c r="C263" t="s">
        <v>9369</v>
      </c>
      <c r="D263" t="s">
        <v>9369</v>
      </c>
      <c r="E263" t="s">
        <v>9369</v>
      </c>
    </row>
    <row r="264" spans="1:5" x14ac:dyDescent="0.25">
      <c r="A264" t="s">
        <v>9888</v>
      </c>
      <c r="B264" t="s">
        <v>9889</v>
      </c>
      <c r="C264" t="s">
        <v>9378</v>
      </c>
      <c r="D264" t="s">
        <v>9378</v>
      </c>
      <c r="E264" t="s">
        <v>9405</v>
      </c>
    </row>
    <row r="265" spans="1:5" x14ac:dyDescent="0.25">
      <c r="A265" t="s">
        <v>9890</v>
      </c>
      <c r="B265" t="s">
        <v>9891</v>
      </c>
      <c r="C265" t="s">
        <v>9378</v>
      </c>
      <c r="D265" t="s">
        <v>9378</v>
      </c>
      <c r="E265" t="s">
        <v>9378</v>
      </c>
    </row>
    <row r="266" spans="1:5" x14ac:dyDescent="0.25">
      <c r="A266" t="s">
        <v>9892</v>
      </c>
      <c r="B266" t="s">
        <v>9893</v>
      </c>
      <c r="C266" t="s">
        <v>9378</v>
      </c>
      <c r="D266" t="s">
        <v>9378</v>
      </c>
      <c r="E266" t="s">
        <v>9378</v>
      </c>
    </row>
    <row r="267" spans="1:5" x14ac:dyDescent="0.25">
      <c r="A267" t="s">
        <v>9894</v>
      </c>
      <c r="B267" t="s">
        <v>9895</v>
      </c>
      <c r="C267" t="s">
        <v>9378</v>
      </c>
      <c r="D267" t="s">
        <v>9378</v>
      </c>
      <c r="E267" t="s">
        <v>9378</v>
      </c>
    </row>
    <row r="268" spans="1:5" x14ac:dyDescent="0.25">
      <c r="A268" t="s">
        <v>9896</v>
      </c>
      <c r="B268" t="s">
        <v>9897</v>
      </c>
      <c r="C268" t="s">
        <v>9378</v>
      </c>
      <c r="D268" t="s">
        <v>9378</v>
      </c>
      <c r="E268" t="s">
        <v>9378</v>
      </c>
    </row>
    <row r="269" spans="1:5" x14ac:dyDescent="0.25">
      <c r="A269" t="s">
        <v>9898</v>
      </c>
      <c r="B269" t="s">
        <v>9899</v>
      </c>
      <c r="C269" t="s">
        <v>9378</v>
      </c>
      <c r="D269" t="s">
        <v>9378</v>
      </c>
      <c r="E269" t="s">
        <v>9378</v>
      </c>
    </row>
    <row r="270" spans="1:5" x14ac:dyDescent="0.25">
      <c r="A270" t="s">
        <v>9900</v>
      </c>
      <c r="B270" t="s">
        <v>9901</v>
      </c>
      <c r="C270" t="s">
        <v>9378</v>
      </c>
      <c r="D270" t="s">
        <v>9378</v>
      </c>
      <c r="E270" t="s">
        <v>9378</v>
      </c>
    </row>
    <row r="271" spans="1:5" x14ac:dyDescent="0.25">
      <c r="A271" t="s">
        <v>9902</v>
      </c>
      <c r="B271" t="s">
        <v>9903</v>
      </c>
      <c r="C271" t="s">
        <v>9378</v>
      </c>
      <c r="D271" t="s">
        <v>9378</v>
      </c>
      <c r="E271" t="s">
        <v>9378</v>
      </c>
    </row>
    <row r="272" spans="1:5" x14ac:dyDescent="0.25">
      <c r="A272" t="s">
        <v>9904</v>
      </c>
      <c r="B272" t="s">
        <v>9905</v>
      </c>
      <c r="C272" t="s">
        <v>9378</v>
      </c>
      <c r="D272" t="s">
        <v>9378</v>
      </c>
      <c r="E272" t="s">
        <v>9378</v>
      </c>
    </row>
    <row r="273" spans="1:5" x14ac:dyDescent="0.25">
      <c r="A273" t="s">
        <v>9906</v>
      </c>
      <c r="B273" t="s">
        <v>9907</v>
      </c>
      <c r="C273" t="s">
        <v>9378</v>
      </c>
      <c r="D273" t="s">
        <v>9378</v>
      </c>
      <c r="E273" t="s">
        <v>9378</v>
      </c>
    </row>
    <row r="274" spans="1:5" x14ac:dyDescent="0.25">
      <c r="A274" t="s">
        <v>9908</v>
      </c>
      <c r="B274" t="s">
        <v>9909</v>
      </c>
      <c r="C274" t="s">
        <v>9378</v>
      </c>
      <c r="D274" t="s">
        <v>9378</v>
      </c>
      <c r="E274" t="s">
        <v>9378</v>
      </c>
    </row>
    <row r="275" spans="1:5" x14ac:dyDescent="0.25">
      <c r="A275" t="s">
        <v>9910</v>
      </c>
      <c r="B275" t="s">
        <v>9911</v>
      </c>
      <c r="C275" t="s">
        <v>9378</v>
      </c>
      <c r="D275" t="s">
        <v>9378</v>
      </c>
      <c r="E275" t="s">
        <v>9378</v>
      </c>
    </row>
    <row r="276" spans="1:5" x14ac:dyDescent="0.25">
      <c r="A276" t="s">
        <v>9912</v>
      </c>
      <c r="B276" t="s">
        <v>9913</v>
      </c>
      <c r="C276" t="s">
        <v>9378</v>
      </c>
      <c r="D276" t="s">
        <v>9378</v>
      </c>
      <c r="E276" t="s">
        <v>9378</v>
      </c>
    </row>
    <row r="277" spans="1:5" x14ac:dyDescent="0.25">
      <c r="A277" t="s">
        <v>9914</v>
      </c>
      <c r="B277" t="s">
        <v>9915</v>
      </c>
      <c r="C277" t="s">
        <v>9378</v>
      </c>
      <c r="D277" t="s">
        <v>9378</v>
      </c>
      <c r="E277" t="s">
        <v>9378</v>
      </c>
    </row>
    <row r="278" spans="1:5" x14ac:dyDescent="0.25">
      <c r="A278" t="s">
        <v>9916</v>
      </c>
      <c r="B278" t="s">
        <v>9917</v>
      </c>
      <c r="C278" t="s">
        <v>9378</v>
      </c>
      <c r="D278" t="s">
        <v>9378</v>
      </c>
      <c r="E278" t="s">
        <v>9378</v>
      </c>
    </row>
    <row r="279" spans="1:5" x14ac:dyDescent="0.25">
      <c r="A279" t="s">
        <v>9918</v>
      </c>
      <c r="B279" t="s">
        <v>9919</v>
      </c>
      <c r="C279" t="s">
        <v>9378</v>
      </c>
      <c r="D279" t="s">
        <v>9378</v>
      </c>
      <c r="E279" t="s">
        <v>9378</v>
      </c>
    </row>
    <row r="280" spans="1:5" x14ac:dyDescent="0.25">
      <c r="A280" t="s">
        <v>9920</v>
      </c>
      <c r="B280" t="s">
        <v>9921</v>
      </c>
      <c r="C280" t="s">
        <v>9378</v>
      </c>
      <c r="D280" t="s">
        <v>9378</v>
      </c>
      <c r="E280" t="s">
        <v>9353</v>
      </c>
    </row>
    <row r="281" spans="1:5" x14ac:dyDescent="0.25">
      <c r="A281" t="s">
        <v>9922</v>
      </c>
      <c r="B281" t="s">
        <v>9923</v>
      </c>
      <c r="C281" t="s">
        <v>9378</v>
      </c>
      <c r="D281" t="s">
        <v>9378</v>
      </c>
      <c r="E281" t="s">
        <v>9353</v>
      </c>
    </row>
    <row r="282" spans="1:5" x14ac:dyDescent="0.25">
      <c r="A282" t="s">
        <v>9924</v>
      </c>
      <c r="B282" t="s">
        <v>9925</v>
      </c>
      <c r="C282" t="s">
        <v>9378</v>
      </c>
      <c r="D282" t="s">
        <v>9378</v>
      </c>
      <c r="E282" t="s">
        <v>9353</v>
      </c>
    </row>
    <row r="283" spans="1:5" x14ac:dyDescent="0.25">
      <c r="A283" t="s">
        <v>9926</v>
      </c>
      <c r="B283" t="s">
        <v>9927</v>
      </c>
      <c r="C283" t="s">
        <v>9378</v>
      </c>
      <c r="D283" t="s">
        <v>9378</v>
      </c>
      <c r="E283" t="s">
        <v>9353</v>
      </c>
    </row>
    <row r="284" spans="1:5" x14ac:dyDescent="0.25">
      <c r="A284" t="s">
        <v>9928</v>
      </c>
      <c r="B284" t="s">
        <v>9929</v>
      </c>
      <c r="C284" t="s">
        <v>9378</v>
      </c>
      <c r="D284" t="s">
        <v>9378</v>
      </c>
      <c r="E284" t="s">
        <v>9353</v>
      </c>
    </row>
    <row r="285" spans="1:5" x14ac:dyDescent="0.25">
      <c r="A285" t="s">
        <v>9930</v>
      </c>
      <c r="B285" t="s">
        <v>9931</v>
      </c>
      <c r="C285" t="s">
        <v>9378</v>
      </c>
      <c r="D285" t="s">
        <v>9378</v>
      </c>
      <c r="E285" t="s">
        <v>9353</v>
      </c>
    </row>
    <row r="286" spans="1:5" x14ac:dyDescent="0.25">
      <c r="A286" t="s">
        <v>9932</v>
      </c>
      <c r="B286" t="s">
        <v>9933</v>
      </c>
      <c r="C286" t="s">
        <v>9378</v>
      </c>
      <c r="D286" t="s">
        <v>9378</v>
      </c>
      <c r="E286" t="s">
        <v>9378</v>
      </c>
    </row>
    <row r="287" spans="1:5" x14ac:dyDescent="0.25">
      <c r="A287" t="s">
        <v>9934</v>
      </c>
      <c r="B287" t="s">
        <v>9935</v>
      </c>
      <c r="C287" t="s">
        <v>9378</v>
      </c>
      <c r="D287" t="s">
        <v>9378</v>
      </c>
      <c r="E287" t="s">
        <v>9378</v>
      </c>
    </row>
    <row r="288" spans="1:5" x14ac:dyDescent="0.25">
      <c r="A288" t="s">
        <v>9936</v>
      </c>
      <c r="B288" t="s">
        <v>9937</v>
      </c>
      <c r="C288" t="s">
        <v>9378</v>
      </c>
      <c r="D288" t="s">
        <v>9378</v>
      </c>
      <c r="E288" t="s">
        <v>9353</v>
      </c>
    </row>
    <row r="289" spans="1:5" x14ac:dyDescent="0.25">
      <c r="A289" t="s">
        <v>9938</v>
      </c>
      <c r="B289" t="s">
        <v>9939</v>
      </c>
      <c r="C289" t="s">
        <v>9378</v>
      </c>
      <c r="D289" t="s">
        <v>9378</v>
      </c>
      <c r="E289" t="s">
        <v>9378</v>
      </c>
    </row>
    <row r="290" spans="1:5" x14ac:dyDescent="0.25">
      <c r="A290" t="s">
        <v>9940</v>
      </c>
      <c r="B290" t="s">
        <v>9941</v>
      </c>
      <c r="C290" t="s">
        <v>9378</v>
      </c>
      <c r="D290" t="s">
        <v>9378</v>
      </c>
      <c r="E290" t="s">
        <v>9378</v>
      </c>
    </row>
    <row r="291" spans="1:5" x14ac:dyDescent="0.25">
      <c r="A291" t="s">
        <v>9942</v>
      </c>
      <c r="B291" t="s">
        <v>9943</v>
      </c>
      <c r="C291" t="s">
        <v>9378</v>
      </c>
      <c r="D291" t="s">
        <v>9378</v>
      </c>
      <c r="E291" t="s">
        <v>9378</v>
      </c>
    </row>
    <row r="292" spans="1:5" x14ac:dyDescent="0.25">
      <c r="A292" t="s">
        <v>9944</v>
      </c>
      <c r="B292" t="s">
        <v>9945</v>
      </c>
      <c r="C292" t="s">
        <v>9378</v>
      </c>
      <c r="D292" t="s">
        <v>9378</v>
      </c>
      <c r="E292" t="s">
        <v>9378</v>
      </c>
    </row>
    <row r="293" spans="1:5" x14ac:dyDescent="0.25">
      <c r="A293" t="s">
        <v>9946</v>
      </c>
      <c r="B293" t="s">
        <v>9947</v>
      </c>
      <c r="C293" t="s">
        <v>9378</v>
      </c>
      <c r="D293" t="s">
        <v>9378</v>
      </c>
      <c r="E293" t="s">
        <v>9378</v>
      </c>
    </row>
    <row r="294" spans="1:5" x14ac:dyDescent="0.25">
      <c r="A294" t="s">
        <v>9948</v>
      </c>
      <c r="B294" t="s">
        <v>9949</v>
      </c>
      <c r="C294" t="s">
        <v>9378</v>
      </c>
      <c r="D294" t="s">
        <v>9378</v>
      </c>
      <c r="E294" t="s">
        <v>9378</v>
      </c>
    </row>
    <row r="295" spans="1:5" x14ac:dyDescent="0.25">
      <c r="A295" t="s">
        <v>9950</v>
      </c>
      <c r="B295" t="s">
        <v>9951</v>
      </c>
      <c r="C295" t="s">
        <v>9369</v>
      </c>
      <c r="D295" t="s">
        <v>9369</v>
      </c>
      <c r="E295" t="s">
        <v>9369</v>
      </c>
    </row>
    <row r="296" spans="1:5" x14ac:dyDescent="0.25">
      <c r="A296" t="s">
        <v>9952</v>
      </c>
      <c r="B296" t="s">
        <v>9953</v>
      </c>
      <c r="C296" t="s">
        <v>9369</v>
      </c>
      <c r="D296" t="s">
        <v>9369</v>
      </c>
      <c r="E296" t="s">
        <v>9369</v>
      </c>
    </row>
    <row r="297" spans="1:5" x14ac:dyDescent="0.25">
      <c r="A297" t="s">
        <v>9954</v>
      </c>
      <c r="B297" t="s">
        <v>9955</v>
      </c>
      <c r="C297" t="s">
        <v>9378</v>
      </c>
      <c r="D297" t="s">
        <v>9378</v>
      </c>
      <c r="E297" t="s">
        <v>9378</v>
      </c>
    </row>
    <row r="298" spans="1:5" x14ac:dyDescent="0.25">
      <c r="A298" t="s">
        <v>9956</v>
      </c>
      <c r="B298" t="s">
        <v>9957</v>
      </c>
      <c r="C298" t="s">
        <v>9378</v>
      </c>
      <c r="D298" t="s">
        <v>9378</v>
      </c>
      <c r="E298" t="s">
        <v>9378</v>
      </c>
    </row>
    <row r="299" spans="1:5" x14ac:dyDescent="0.25">
      <c r="A299" t="s">
        <v>9958</v>
      </c>
      <c r="B299" t="s">
        <v>9959</v>
      </c>
      <c r="C299" t="s">
        <v>9378</v>
      </c>
      <c r="D299" t="s">
        <v>9378</v>
      </c>
      <c r="E299" t="s">
        <v>9378</v>
      </c>
    </row>
    <row r="300" spans="1:5" x14ac:dyDescent="0.25">
      <c r="A300" t="s">
        <v>9960</v>
      </c>
      <c r="B300" t="s">
        <v>9961</v>
      </c>
      <c r="C300" t="s">
        <v>9378</v>
      </c>
      <c r="D300" t="s">
        <v>9378</v>
      </c>
      <c r="E300" t="s">
        <v>9378</v>
      </c>
    </row>
    <row r="301" spans="1:5" x14ac:dyDescent="0.25">
      <c r="A301" t="s">
        <v>9962</v>
      </c>
      <c r="B301" t="s">
        <v>9963</v>
      </c>
      <c r="C301" t="s">
        <v>9378</v>
      </c>
      <c r="D301" t="s">
        <v>9378</v>
      </c>
      <c r="E301" t="s">
        <v>9378</v>
      </c>
    </row>
    <row r="302" spans="1:5" x14ac:dyDescent="0.25">
      <c r="A302" t="s">
        <v>9964</v>
      </c>
      <c r="B302" t="s">
        <v>9965</v>
      </c>
      <c r="C302" t="s">
        <v>9378</v>
      </c>
      <c r="D302" t="s">
        <v>9378</v>
      </c>
      <c r="E302" t="s">
        <v>9378</v>
      </c>
    </row>
    <row r="303" spans="1:5" x14ac:dyDescent="0.25">
      <c r="A303" t="s">
        <v>9966</v>
      </c>
      <c r="B303" t="s">
        <v>9967</v>
      </c>
      <c r="C303" t="s">
        <v>9378</v>
      </c>
      <c r="D303" t="s">
        <v>9378</v>
      </c>
      <c r="E303" t="s">
        <v>9378</v>
      </c>
    </row>
    <row r="304" spans="1:5" x14ac:dyDescent="0.25">
      <c r="A304" t="s">
        <v>9968</v>
      </c>
      <c r="B304" t="s">
        <v>9969</v>
      </c>
      <c r="C304" t="s">
        <v>9378</v>
      </c>
      <c r="D304" t="s">
        <v>9378</v>
      </c>
      <c r="E304" t="s">
        <v>9378</v>
      </c>
    </row>
    <row r="305" spans="1:5" x14ac:dyDescent="0.25">
      <c r="A305" t="s">
        <v>9970</v>
      </c>
      <c r="B305" t="s">
        <v>9971</v>
      </c>
      <c r="C305" t="s">
        <v>9378</v>
      </c>
      <c r="D305" t="s">
        <v>9378</v>
      </c>
      <c r="E305" t="s">
        <v>9378</v>
      </c>
    </row>
    <row r="306" spans="1:5" x14ac:dyDescent="0.25">
      <c r="A306" t="s">
        <v>9972</v>
      </c>
      <c r="B306" t="s">
        <v>9973</v>
      </c>
      <c r="C306" t="s">
        <v>9378</v>
      </c>
      <c r="D306" t="s">
        <v>9378</v>
      </c>
      <c r="E306" t="s">
        <v>9378</v>
      </c>
    </row>
    <row r="307" spans="1:5" x14ac:dyDescent="0.25">
      <c r="A307" t="s">
        <v>9974</v>
      </c>
      <c r="B307" t="s">
        <v>9975</v>
      </c>
      <c r="C307" t="s">
        <v>9378</v>
      </c>
      <c r="D307" t="s">
        <v>9378</v>
      </c>
      <c r="E307" t="s">
        <v>9378</v>
      </c>
    </row>
    <row r="308" spans="1:5" x14ac:dyDescent="0.25">
      <c r="A308" t="s">
        <v>9976</v>
      </c>
      <c r="B308" t="s">
        <v>9977</v>
      </c>
      <c r="C308" t="s">
        <v>9378</v>
      </c>
      <c r="D308" t="s">
        <v>9378</v>
      </c>
      <c r="E308" t="s">
        <v>9378</v>
      </c>
    </row>
    <row r="309" spans="1:5" x14ac:dyDescent="0.25">
      <c r="A309" t="s">
        <v>9978</v>
      </c>
      <c r="B309" t="s">
        <v>9979</v>
      </c>
      <c r="C309" t="s">
        <v>9378</v>
      </c>
      <c r="D309" t="s">
        <v>9378</v>
      </c>
      <c r="E309" t="s">
        <v>9378</v>
      </c>
    </row>
    <row r="310" spans="1:5" x14ac:dyDescent="0.25">
      <c r="A310" t="s">
        <v>9980</v>
      </c>
      <c r="B310" t="s">
        <v>9981</v>
      </c>
      <c r="C310" t="s">
        <v>9378</v>
      </c>
      <c r="D310" t="s">
        <v>9378</v>
      </c>
      <c r="E310" t="s">
        <v>9378</v>
      </c>
    </row>
    <row r="311" spans="1:5" x14ac:dyDescent="0.25">
      <c r="A311" t="s">
        <v>9982</v>
      </c>
      <c r="B311" t="s">
        <v>9983</v>
      </c>
      <c r="C311" t="s">
        <v>9378</v>
      </c>
      <c r="D311" t="s">
        <v>9378</v>
      </c>
      <c r="E311" t="s">
        <v>9405</v>
      </c>
    </row>
    <row r="312" spans="1:5" x14ac:dyDescent="0.25">
      <c r="A312" t="s">
        <v>9984</v>
      </c>
      <c r="B312" t="s">
        <v>9985</v>
      </c>
      <c r="C312" t="s">
        <v>9378</v>
      </c>
      <c r="D312" t="s">
        <v>9378</v>
      </c>
      <c r="E312" t="s">
        <v>9378</v>
      </c>
    </row>
    <row r="313" spans="1:5" x14ac:dyDescent="0.25">
      <c r="A313" t="s">
        <v>9986</v>
      </c>
      <c r="B313" t="s">
        <v>9987</v>
      </c>
      <c r="C313" t="s">
        <v>9378</v>
      </c>
      <c r="D313" t="s">
        <v>9378</v>
      </c>
      <c r="E313" t="s">
        <v>9378</v>
      </c>
    </row>
    <row r="314" spans="1:5" x14ac:dyDescent="0.25">
      <c r="A314" t="s">
        <v>9988</v>
      </c>
      <c r="B314" t="s">
        <v>9989</v>
      </c>
      <c r="C314" t="s">
        <v>9378</v>
      </c>
      <c r="D314" t="s">
        <v>9378</v>
      </c>
      <c r="E314" t="s">
        <v>9378</v>
      </c>
    </row>
    <row r="315" spans="1:5" x14ac:dyDescent="0.25">
      <c r="A315" t="s">
        <v>9990</v>
      </c>
      <c r="B315" t="s">
        <v>9991</v>
      </c>
      <c r="C315" t="s">
        <v>9378</v>
      </c>
      <c r="D315" t="s">
        <v>9378</v>
      </c>
      <c r="E315" t="s">
        <v>9378</v>
      </c>
    </row>
    <row r="316" spans="1:5" x14ac:dyDescent="0.25">
      <c r="A316" t="s">
        <v>9992</v>
      </c>
      <c r="B316" t="s">
        <v>9993</v>
      </c>
      <c r="C316" t="s">
        <v>9378</v>
      </c>
      <c r="D316" t="s">
        <v>9378</v>
      </c>
      <c r="E316" t="s">
        <v>9378</v>
      </c>
    </row>
    <row r="317" spans="1:5" x14ac:dyDescent="0.25">
      <c r="A317" t="s">
        <v>9994</v>
      </c>
      <c r="B317" t="s">
        <v>9995</v>
      </c>
      <c r="C317" t="s">
        <v>9378</v>
      </c>
      <c r="D317" t="s">
        <v>9378</v>
      </c>
      <c r="E317" t="s">
        <v>9378</v>
      </c>
    </row>
    <row r="318" spans="1:5" x14ac:dyDescent="0.25">
      <c r="A318" t="s">
        <v>9996</v>
      </c>
      <c r="B318" t="s">
        <v>9997</v>
      </c>
      <c r="C318" t="s">
        <v>9378</v>
      </c>
      <c r="D318" t="s">
        <v>9378</v>
      </c>
      <c r="E318" t="s">
        <v>9378</v>
      </c>
    </row>
    <row r="319" spans="1:5" x14ac:dyDescent="0.25">
      <c r="A319" t="s">
        <v>9998</v>
      </c>
      <c r="B319" t="s">
        <v>9999</v>
      </c>
      <c r="C319" t="s">
        <v>9378</v>
      </c>
      <c r="D319" t="s">
        <v>9378</v>
      </c>
      <c r="E319" t="s">
        <v>9378</v>
      </c>
    </row>
    <row r="320" spans="1:5" x14ac:dyDescent="0.25">
      <c r="A320" t="s">
        <v>10000</v>
      </c>
      <c r="B320" t="s">
        <v>10001</v>
      </c>
      <c r="C320" t="s">
        <v>9378</v>
      </c>
      <c r="D320" t="s">
        <v>9378</v>
      </c>
      <c r="E320" t="s">
        <v>9378</v>
      </c>
    </row>
    <row r="321" spans="1:5" x14ac:dyDescent="0.25">
      <c r="A321" t="s">
        <v>10002</v>
      </c>
      <c r="B321" t="s">
        <v>10003</v>
      </c>
      <c r="C321" t="s">
        <v>9378</v>
      </c>
      <c r="D321" t="s">
        <v>9378</v>
      </c>
      <c r="E321" t="s">
        <v>9378</v>
      </c>
    </row>
    <row r="322" spans="1:5" x14ac:dyDescent="0.25">
      <c r="A322" t="s">
        <v>10004</v>
      </c>
      <c r="B322" t="s">
        <v>10005</v>
      </c>
      <c r="C322" t="s">
        <v>9378</v>
      </c>
      <c r="D322" t="s">
        <v>9378</v>
      </c>
      <c r="E322" t="s">
        <v>9378</v>
      </c>
    </row>
    <row r="323" spans="1:5" x14ac:dyDescent="0.25">
      <c r="A323" t="s">
        <v>10006</v>
      </c>
      <c r="B323" t="s">
        <v>10007</v>
      </c>
      <c r="C323" t="s">
        <v>9378</v>
      </c>
      <c r="D323" t="s">
        <v>9378</v>
      </c>
      <c r="E323" t="s">
        <v>9378</v>
      </c>
    </row>
    <row r="324" spans="1:5" x14ac:dyDescent="0.25">
      <c r="A324" t="s">
        <v>10008</v>
      </c>
      <c r="B324" t="s">
        <v>10009</v>
      </c>
      <c r="C324" t="s">
        <v>9378</v>
      </c>
      <c r="D324" t="s">
        <v>9378</v>
      </c>
      <c r="E324" t="s">
        <v>9378</v>
      </c>
    </row>
    <row r="325" spans="1:5" x14ac:dyDescent="0.25">
      <c r="A325" t="s">
        <v>10010</v>
      </c>
      <c r="B325" t="s">
        <v>10011</v>
      </c>
      <c r="C325" t="s">
        <v>9378</v>
      </c>
      <c r="D325" t="s">
        <v>9378</v>
      </c>
      <c r="E325" t="s">
        <v>9378</v>
      </c>
    </row>
    <row r="326" spans="1:5" x14ac:dyDescent="0.25">
      <c r="A326" t="s">
        <v>10012</v>
      </c>
      <c r="B326" t="s">
        <v>10013</v>
      </c>
      <c r="C326" t="s">
        <v>9378</v>
      </c>
      <c r="D326" t="s">
        <v>9378</v>
      </c>
      <c r="E326" t="s">
        <v>9378</v>
      </c>
    </row>
    <row r="327" spans="1:5" x14ac:dyDescent="0.25">
      <c r="A327" t="s">
        <v>10014</v>
      </c>
      <c r="B327" t="s">
        <v>10015</v>
      </c>
      <c r="C327" t="s">
        <v>9378</v>
      </c>
      <c r="D327" t="s">
        <v>9378</v>
      </c>
      <c r="E327" t="s">
        <v>9378</v>
      </c>
    </row>
    <row r="328" spans="1:5" x14ac:dyDescent="0.25">
      <c r="A328" t="s">
        <v>10016</v>
      </c>
      <c r="B328" t="s">
        <v>10017</v>
      </c>
      <c r="C328" t="s">
        <v>9378</v>
      </c>
      <c r="D328" t="s">
        <v>9378</v>
      </c>
      <c r="E328" t="s">
        <v>9378</v>
      </c>
    </row>
    <row r="329" spans="1:5" x14ac:dyDescent="0.25">
      <c r="A329" t="s">
        <v>10018</v>
      </c>
      <c r="B329" t="s">
        <v>10019</v>
      </c>
      <c r="C329" t="s">
        <v>9378</v>
      </c>
      <c r="D329" t="s">
        <v>9378</v>
      </c>
      <c r="E329" t="s">
        <v>9378</v>
      </c>
    </row>
    <row r="330" spans="1:5" x14ac:dyDescent="0.25">
      <c r="A330" t="s">
        <v>10020</v>
      </c>
      <c r="B330" t="s">
        <v>10021</v>
      </c>
      <c r="C330" t="s">
        <v>9378</v>
      </c>
      <c r="D330" t="s">
        <v>9378</v>
      </c>
      <c r="E330" t="s">
        <v>9378</v>
      </c>
    </row>
    <row r="331" spans="1:5" x14ac:dyDescent="0.25">
      <c r="A331" t="s">
        <v>10022</v>
      </c>
      <c r="B331" t="s">
        <v>10023</v>
      </c>
      <c r="C331" t="s">
        <v>9378</v>
      </c>
      <c r="D331" t="s">
        <v>9378</v>
      </c>
      <c r="E331" t="s">
        <v>9378</v>
      </c>
    </row>
    <row r="332" spans="1:5" x14ac:dyDescent="0.25">
      <c r="A332" t="s">
        <v>10024</v>
      </c>
      <c r="B332" t="s">
        <v>10025</v>
      </c>
      <c r="C332" t="s">
        <v>9378</v>
      </c>
      <c r="D332" t="s">
        <v>9378</v>
      </c>
      <c r="E332" t="s">
        <v>9378</v>
      </c>
    </row>
    <row r="333" spans="1:5" x14ac:dyDescent="0.25">
      <c r="A333" t="s">
        <v>10026</v>
      </c>
      <c r="B333" t="s">
        <v>10027</v>
      </c>
      <c r="C333" t="s">
        <v>9378</v>
      </c>
      <c r="D333" t="s">
        <v>9378</v>
      </c>
      <c r="E333" t="s">
        <v>9378</v>
      </c>
    </row>
    <row r="334" spans="1:5" x14ac:dyDescent="0.25">
      <c r="A334" t="s">
        <v>10028</v>
      </c>
      <c r="B334" t="s">
        <v>10029</v>
      </c>
      <c r="C334" t="s">
        <v>9378</v>
      </c>
      <c r="D334" t="s">
        <v>9378</v>
      </c>
      <c r="E334" t="s">
        <v>9378</v>
      </c>
    </row>
    <row r="335" spans="1:5" x14ac:dyDescent="0.25">
      <c r="A335" t="s">
        <v>10030</v>
      </c>
      <c r="B335" t="s">
        <v>10031</v>
      </c>
      <c r="C335" t="s">
        <v>9378</v>
      </c>
      <c r="D335" t="s">
        <v>9378</v>
      </c>
      <c r="E335" t="s">
        <v>9353</v>
      </c>
    </row>
    <row r="336" spans="1:5" x14ac:dyDescent="0.25">
      <c r="A336" t="s">
        <v>10032</v>
      </c>
      <c r="B336" t="s">
        <v>10033</v>
      </c>
      <c r="C336" t="s">
        <v>9378</v>
      </c>
      <c r="D336" t="s">
        <v>9378</v>
      </c>
      <c r="E336" t="s">
        <v>9378</v>
      </c>
    </row>
    <row r="337" spans="1:5" x14ac:dyDescent="0.25">
      <c r="A337" t="s">
        <v>10034</v>
      </c>
      <c r="B337" t="s">
        <v>10035</v>
      </c>
      <c r="C337" t="s">
        <v>9378</v>
      </c>
      <c r="D337" t="s">
        <v>9378</v>
      </c>
      <c r="E337" t="s">
        <v>9378</v>
      </c>
    </row>
    <row r="338" spans="1:5" x14ac:dyDescent="0.25">
      <c r="A338" t="s">
        <v>10036</v>
      </c>
      <c r="B338" t="s">
        <v>10037</v>
      </c>
      <c r="C338" t="s">
        <v>9378</v>
      </c>
      <c r="D338" t="s">
        <v>9378</v>
      </c>
      <c r="E338" t="s">
        <v>9378</v>
      </c>
    </row>
    <row r="339" spans="1:5" x14ac:dyDescent="0.25">
      <c r="A339" t="s">
        <v>10038</v>
      </c>
      <c r="B339" t="s">
        <v>10039</v>
      </c>
      <c r="C339" t="s">
        <v>9378</v>
      </c>
      <c r="D339" t="s">
        <v>9378</v>
      </c>
      <c r="E339" t="s">
        <v>9378</v>
      </c>
    </row>
    <row r="340" spans="1:5" x14ac:dyDescent="0.25">
      <c r="A340" t="s">
        <v>10040</v>
      </c>
      <c r="B340" t="s">
        <v>10041</v>
      </c>
      <c r="C340" t="s">
        <v>9378</v>
      </c>
      <c r="D340" t="s">
        <v>9378</v>
      </c>
      <c r="E340" t="s">
        <v>9378</v>
      </c>
    </row>
    <row r="341" spans="1:5" x14ac:dyDescent="0.25">
      <c r="A341" t="s">
        <v>10042</v>
      </c>
      <c r="B341" t="s">
        <v>10043</v>
      </c>
      <c r="C341" t="s">
        <v>9378</v>
      </c>
      <c r="D341" t="s">
        <v>9378</v>
      </c>
      <c r="E341" t="s">
        <v>9353</v>
      </c>
    </row>
    <row r="342" spans="1:5" x14ac:dyDescent="0.25">
      <c r="A342" t="s">
        <v>10044</v>
      </c>
      <c r="B342" t="s">
        <v>10045</v>
      </c>
      <c r="C342" t="s">
        <v>9378</v>
      </c>
      <c r="D342" t="s">
        <v>9378</v>
      </c>
      <c r="E342" t="s">
        <v>9353</v>
      </c>
    </row>
    <row r="343" spans="1:5" x14ac:dyDescent="0.25">
      <c r="A343" t="s">
        <v>10046</v>
      </c>
      <c r="B343" t="s">
        <v>10047</v>
      </c>
      <c r="C343" t="s">
        <v>9378</v>
      </c>
      <c r="D343" t="s">
        <v>9378</v>
      </c>
      <c r="E343" t="s">
        <v>9353</v>
      </c>
    </row>
    <row r="344" spans="1:5" x14ac:dyDescent="0.25">
      <c r="A344" t="s">
        <v>10048</v>
      </c>
      <c r="B344" t="s">
        <v>10049</v>
      </c>
      <c r="C344" t="s">
        <v>9378</v>
      </c>
      <c r="D344" t="s">
        <v>9378</v>
      </c>
      <c r="E344" t="s">
        <v>9353</v>
      </c>
    </row>
    <row r="345" spans="1:5" x14ac:dyDescent="0.25">
      <c r="A345" t="s">
        <v>10050</v>
      </c>
      <c r="B345" t="s">
        <v>10051</v>
      </c>
      <c r="C345" t="s">
        <v>9378</v>
      </c>
      <c r="D345" t="s">
        <v>9378</v>
      </c>
      <c r="E345" t="s">
        <v>9353</v>
      </c>
    </row>
    <row r="346" spans="1:5" x14ac:dyDescent="0.25">
      <c r="A346" t="s">
        <v>10052</v>
      </c>
      <c r="B346" t="s">
        <v>10053</v>
      </c>
      <c r="C346" t="s">
        <v>9378</v>
      </c>
      <c r="D346" t="s">
        <v>9378</v>
      </c>
      <c r="E346" t="s">
        <v>9353</v>
      </c>
    </row>
    <row r="347" spans="1:5" x14ac:dyDescent="0.25">
      <c r="A347" t="s">
        <v>10054</v>
      </c>
      <c r="B347" t="s">
        <v>10055</v>
      </c>
      <c r="C347" t="s">
        <v>9378</v>
      </c>
      <c r="D347" t="s">
        <v>9378</v>
      </c>
      <c r="E347" t="s">
        <v>9353</v>
      </c>
    </row>
    <row r="348" spans="1:5" x14ac:dyDescent="0.25">
      <c r="A348" t="s">
        <v>10056</v>
      </c>
      <c r="B348" t="s">
        <v>10057</v>
      </c>
      <c r="C348" t="s">
        <v>9378</v>
      </c>
      <c r="D348" t="s">
        <v>9378</v>
      </c>
      <c r="E348" t="s">
        <v>9378</v>
      </c>
    </row>
    <row r="349" spans="1:5" x14ac:dyDescent="0.25">
      <c r="A349" t="s">
        <v>10058</v>
      </c>
      <c r="B349" t="s">
        <v>10059</v>
      </c>
      <c r="C349" t="s">
        <v>9378</v>
      </c>
      <c r="D349" t="s">
        <v>9378</v>
      </c>
      <c r="E349" t="s">
        <v>9378</v>
      </c>
    </row>
    <row r="350" spans="1:5" x14ac:dyDescent="0.25">
      <c r="A350" t="s">
        <v>10060</v>
      </c>
      <c r="B350" t="s">
        <v>10061</v>
      </c>
      <c r="C350" t="s">
        <v>9378</v>
      </c>
      <c r="D350" t="s">
        <v>9378</v>
      </c>
      <c r="E350" t="s">
        <v>9378</v>
      </c>
    </row>
    <row r="351" spans="1:5" x14ac:dyDescent="0.25">
      <c r="A351" t="s">
        <v>10062</v>
      </c>
      <c r="B351" t="s">
        <v>10063</v>
      </c>
      <c r="C351" t="s">
        <v>9378</v>
      </c>
      <c r="D351" t="s">
        <v>9378</v>
      </c>
      <c r="E351" t="s">
        <v>9378</v>
      </c>
    </row>
    <row r="352" spans="1:5" x14ac:dyDescent="0.25">
      <c r="A352" t="s">
        <v>10064</v>
      </c>
      <c r="B352" t="s">
        <v>10065</v>
      </c>
      <c r="C352" t="s">
        <v>9378</v>
      </c>
      <c r="D352" t="s">
        <v>9378</v>
      </c>
      <c r="E352" t="s">
        <v>9378</v>
      </c>
    </row>
    <row r="353" spans="1:5" x14ac:dyDescent="0.25">
      <c r="A353" t="s">
        <v>10066</v>
      </c>
      <c r="B353" t="s">
        <v>10067</v>
      </c>
      <c r="C353" t="s">
        <v>9378</v>
      </c>
      <c r="D353" t="s">
        <v>9378</v>
      </c>
      <c r="E353" t="s">
        <v>9378</v>
      </c>
    </row>
    <row r="354" spans="1:5" x14ac:dyDescent="0.25">
      <c r="A354" t="s">
        <v>10068</v>
      </c>
      <c r="B354" t="s">
        <v>10069</v>
      </c>
      <c r="C354" t="s">
        <v>9378</v>
      </c>
      <c r="D354" t="s">
        <v>9378</v>
      </c>
      <c r="E354" t="s">
        <v>9378</v>
      </c>
    </row>
    <row r="355" spans="1:5" x14ac:dyDescent="0.25">
      <c r="A355" t="s">
        <v>10070</v>
      </c>
      <c r="B355" t="s">
        <v>10071</v>
      </c>
      <c r="C355" t="s">
        <v>9378</v>
      </c>
      <c r="D355" t="s">
        <v>9378</v>
      </c>
      <c r="E355" t="s">
        <v>9378</v>
      </c>
    </row>
    <row r="356" spans="1:5" x14ac:dyDescent="0.25">
      <c r="A356" t="s">
        <v>10072</v>
      </c>
      <c r="B356" t="s">
        <v>10073</v>
      </c>
      <c r="C356" t="s">
        <v>9378</v>
      </c>
      <c r="D356" t="s">
        <v>9378</v>
      </c>
      <c r="E356" t="s">
        <v>9378</v>
      </c>
    </row>
    <row r="357" spans="1:5" x14ac:dyDescent="0.25">
      <c r="A357" t="s">
        <v>10074</v>
      </c>
      <c r="B357" t="s">
        <v>10075</v>
      </c>
      <c r="C357" t="s">
        <v>9378</v>
      </c>
      <c r="D357" t="s">
        <v>9378</v>
      </c>
      <c r="E357" t="s">
        <v>9405</v>
      </c>
    </row>
    <row r="358" spans="1:5" x14ac:dyDescent="0.25">
      <c r="A358" t="s">
        <v>10076</v>
      </c>
      <c r="B358" t="s">
        <v>10077</v>
      </c>
      <c r="C358" t="s">
        <v>9378</v>
      </c>
      <c r="D358" t="s">
        <v>9378</v>
      </c>
      <c r="E358" t="s">
        <v>9378</v>
      </c>
    </row>
    <row r="359" spans="1:5" x14ac:dyDescent="0.25">
      <c r="A359" t="s">
        <v>10078</v>
      </c>
      <c r="B359" t="s">
        <v>10079</v>
      </c>
      <c r="C359" t="s">
        <v>9378</v>
      </c>
      <c r="D359" t="s">
        <v>9378</v>
      </c>
      <c r="E359" t="s">
        <v>9378</v>
      </c>
    </row>
    <row r="360" spans="1:5" x14ac:dyDescent="0.25">
      <c r="A360" t="s">
        <v>10080</v>
      </c>
      <c r="B360" t="s">
        <v>10081</v>
      </c>
      <c r="C360" t="s">
        <v>9378</v>
      </c>
      <c r="D360" t="s">
        <v>9378</v>
      </c>
      <c r="E360" t="s">
        <v>9378</v>
      </c>
    </row>
    <row r="361" spans="1:5" x14ac:dyDescent="0.25">
      <c r="A361" t="s">
        <v>10082</v>
      </c>
      <c r="B361" t="s">
        <v>10083</v>
      </c>
      <c r="C361" t="s">
        <v>9378</v>
      </c>
      <c r="D361" t="s">
        <v>9378</v>
      </c>
      <c r="E361" t="s">
        <v>9378</v>
      </c>
    </row>
    <row r="362" spans="1:5" x14ac:dyDescent="0.25">
      <c r="A362" t="s">
        <v>10084</v>
      </c>
      <c r="B362" t="s">
        <v>10085</v>
      </c>
      <c r="C362" t="s">
        <v>9378</v>
      </c>
      <c r="D362" t="s">
        <v>9378</v>
      </c>
      <c r="E362" t="s">
        <v>9353</v>
      </c>
    </row>
    <row r="363" spans="1:5" x14ac:dyDescent="0.25">
      <c r="A363" t="s">
        <v>10086</v>
      </c>
      <c r="B363" t="s">
        <v>10087</v>
      </c>
      <c r="C363" t="s">
        <v>9369</v>
      </c>
      <c r="D363" t="s">
        <v>9369</v>
      </c>
      <c r="E363" t="s">
        <v>9369</v>
      </c>
    </row>
    <row r="364" spans="1:5" x14ac:dyDescent="0.25">
      <c r="A364" t="s">
        <v>10088</v>
      </c>
      <c r="B364" t="s">
        <v>10089</v>
      </c>
      <c r="C364" t="s">
        <v>9378</v>
      </c>
      <c r="D364" t="s">
        <v>9378</v>
      </c>
      <c r="E364" t="s">
        <v>9378</v>
      </c>
    </row>
    <row r="365" spans="1:5" x14ac:dyDescent="0.25">
      <c r="A365" t="s">
        <v>506</v>
      </c>
      <c r="B365" t="s">
        <v>507</v>
      </c>
      <c r="C365" t="s">
        <v>9378</v>
      </c>
      <c r="D365" t="s">
        <v>9378</v>
      </c>
      <c r="E365" t="s">
        <v>9378</v>
      </c>
    </row>
    <row r="366" spans="1:5" x14ac:dyDescent="0.25">
      <c r="A366" t="s">
        <v>10090</v>
      </c>
      <c r="B366" t="s">
        <v>10091</v>
      </c>
      <c r="C366" t="s">
        <v>9378</v>
      </c>
      <c r="D366" t="s">
        <v>9378</v>
      </c>
      <c r="E366" t="s">
        <v>9378</v>
      </c>
    </row>
    <row r="367" spans="1:5" x14ac:dyDescent="0.25">
      <c r="A367" t="s">
        <v>10092</v>
      </c>
      <c r="B367" t="s">
        <v>10093</v>
      </c>
      <c r="C367" t="s">
        <v>9378</v>
      </c>
      <c r="D367" t="s">
        <v>9542</v>
      </c>
      <c r="E367" t="s">
        <v>9378</v>
      </c>
    </row>
    <row r="368" spans="1:5" x14ac:dyDescent="0.25">
      <c r="A368" t="s">
        <v>10094</v>
      </c>
      <c r="B368" t="s">
        <v>10095</v>
      </c>
      <c r="C368" t="s">
        <v>9378</v>
      </c>
      <c r="D368" t="s">
        <v>9542</v>
      </c>
      <c r="E368" t="s">
        <v>9378</v>
      </c>
    </row>
    <row r="369" spans="1:5" x14ac:dyDescent="0.25">
      <c r="A369" t="s">
        <v>10096</v>
      </c>
      <c r="B369" t="s">
        <v>10097</v>
      </c>
      <c r="C369" t="s">
        <v>9378</v>
      </c>
      <c r="D369" t="s">
        <v>9378</v>
      </c>
      <c r="E369" t="s">
        <v>9378</v>
      </c>
    </row>
    <row r="370" spans="1:5" x14ac:dyDescent="0.25">
      <c r="A370" t="s">
        <v>10098</v>
      </c>
      <c r="B370" t="s">
        <v>10099</v>
      </c>
      <c r="C370" t="s">
        <v>9378</v>
      </c>
      <c r="D370" t="s">
        <v>9378</v>
      </c>
      <c r="E370" t="s">
        <v>9378</v>
      </c>
    </row>
    <row r="371" spans="1:5" x14ac:dyDescent="0.25">
      <c r="A371" t="s">
        <v>10100</v>
      </c>
      <c r="B371" t="s">
        <v>10101</v>
      </c>
      <c r="C371" t="s">
        <v>9378</v>
      </c>
      <c r="D371" t="s">
        <v>9378</v>
      </c>
      <c r="E371" t="s">
        <v>9378</v>
      </c>
    </row>
    <row r="372" spans="1:5" x14ac:dyDescent="0.25">
      <c r="A372" t="s">
        <v>10102</v>
      </c>
      <c r="B372" t="s">
        <v>10103</v>
      </c>
      <c r="C372" t="s">
        <v>9378</v>
      </c>
      <c r="D372" t="s">
        <v>9378</v>
      </c>
      <c r="E372" t="s">
        <v>9378</v>
      </c>
    </row>
    <row r="373" spans="1:5" x14ac:dyDescent="0.25">
      <c r="A373" t="s">
        <v>10104</v>
      </c>
      <c r="B373" t="s">
        <v>10105</v>
      </c>
      <c r="C373" t="s">
        <v>9378</v>
      </c>
      <c r="D373" t="s">
        <v>9378</v>
      </c>
      <c r="E373" t="s">
        <v>9378</v>
      </c>
    </row>
    <row r="374" spans="1:5" x14ac:dyDescent="0.25">
      <c r="A374" t="s">
        <v>10106</v>
      </c>
      <c r="B374" t="s">
        <v>10107</v>
      </c>
      <c r="C374" t="s">
        <v>9378</v>
      </c>
      <c r="D374" t="s">
        <v>9378</v>
      </c>
      <c r="E374" t="s">
        <v>9378</v>
      </c>
    </row>
    <row r="375" spans="1:5" x14ac:dyDescent="0.25">
      <c r="A375" t="s">
        <v>10108</v>
      </c>
      <c r="B375" t="s">
        <v>10109</v>
      </c>
      <c r="C375" t="s">
        <v>9378</v>
      </c>
      <c r="D375" t="s">
        <v>9378</v>
      </c>
      <c r="E375" t="s">
        <v>9353</v>
      </c>
    </row>
    <row r="376" spans="1:5" x14ac:dyDescent="0.25">
      <c r="A376" t="s">
        <v>10110</v>
      </c>
      <c r="B376" t="s">
        <v>10111</v>
      </c>
      <c r="C376" t="s">
        <v>9378</v>
      </c>
      <c r="D376" t="s">
        <v>9378</v>
      </c>
      <c r="E376" t="s">
        <v>9378</v>
      </c>
    </row>
    <row r="377" spans="1:5" x14ac:dyDescent="0.25">
      <c r="A377" t="s">
        <v>10112</v>
      </c>
      <c r="B377" t="s">
        <v>140</v>
      </c>
      <c r="C377" t="s">
        <v>9378</v>
      </c>
      <c r="D377" t="s">
        <v>9378</v>
      </c>
      <c r="E377" t="s">
        <v>9353</v>
      </c>
    </row>
    <row r="378" spans="1:5" x14ac:dyDescent="0.25">
      <c r="A378" t="s">
        <v>10113</v>
      </c>
      <c r="B378" t="s">
        <v>10114</v>
      </c>
      <c r="C378" t="s">
        <v>9378</v>
      </c>
      <c r="D378" t="s">
        <v>9378</v>
      </c>
      <c r="E378" t="s">
        <v>9353</v>
      </c>
    </row>
    <row r="379" spans="1:5" x14ac:dyDescent="0.25">
      <c r="A379" t="s">
        <v>10115</v>
      </c>
      <c r="B379" t="s">
        <v>10116</v>
      </c>
      <c r="C379" t="s">
        <v>9378</v>
      </c>
      <c r="D379" t="s">
        <v>9378</v>
      </c>
      <c r="E379" t="s">
        <v>9353</v>
      </c>
    </row>
    <row r="380" spans="1:5" x14ac:dyDescent="0.25">
      <c r="A380" t="s">
        <v>10117</v>
      </c>
      <c r="B380" t="s">
        <v>10118</v>
      </c>
      <c r="C380" t="s">
        <v>9378</v>
      </c>
      <c r="D380" t="s">
        <v>9378</v>
      </c>
      <c r="E380" t="s">
        <v>9353</v>
      </c>
    </row>
    <row r="381" spans="1:5" x14ac:dyDescent="0.25">
      <c r="A381" t="s">
        <v>10119</v>
      </c>
      <c r="B381" t="s">
        <v>10120</v>
      </c>
      <c r="C381" t="s">
        <v>9378</v>
      </c>
      <c r="D381" t="s">
        <v>9378</v>
      </c>
      <c r="E381" t="s">
        <v>9353</v>
      </c>
    </row>
    <row r="382" spans="1:5" x14ac:dyDescent="0.25">
      <c r="A382" t="s">
        <v>10121</v>
      </c>
      <c r="B382" t="s">
        <v>10122</v>
      </c>
      <c r="C382" t="s">
        <v>9378</v>
      </c>
      <c r="D382" t="s">
        <v>9378</v>
      </c>
      <c r="E382" t="s">
        <v>9378</v>
      </c>
    </row>
    <row r="383" spans="1:5" x14ac:dyDescent="0.25">
      <c r="A383" t="s">
        <v>10123</v>
      </c>
      <c r="B383" t="s">
        <v>10124</v>
      </c>
      <c r="C383" t="s">
        <v>9378</v>
      </c>
      <c r="D383" t="s">
        <v>9378</v>
      </c>
      <c r="E383" t="s">
        <v>9378</v>
      </c>
    </row>
    <row r="384" spans="1:5" x14ac:dyDescent="0.25">
      <c r="A384" t="s">
        <v>10125</v>
      </c>
      <c r="B384" t="s">
        <v>10126</v>
      </c>
      <c r="C384" t="s">
        <v>9378</v>
      </c>
      <c r="D384" t="s">
        <v>9378</v>
      </c>
      <c r="E384" t="s">
        <v>9378</v>
      </c>
    </row>
    <row r="385" spans="1:5" x14ac:dyDescent="0.25">
      <c r="A385" t="s">
        <v>10127</v>
      </c>
      <c r="B385" t="s">
        <v>10128</v>
      </c>
      <c r="C385" t="s">
        <v>9378</v>
      </c>
      <c r="D385" t="s">
        <v>9378</v>
      </c>
      <c r="E385" t="s">
        <v>9378</v>
      </c>
    </row>
    <row r="386" spans="1:5" x14ac:dyDescent="0.25">
      <c r="A386" t="s">
        <v>10129</v>
      </c>
      <c r="B386" t="s">
        <v>10130</v>
      </c>
      <c r="C386" t="s">
        <v>9378</v>
      </c>
      <c r="D386" t="s">
        <v>9378</v>
      </c>
      <c r="E386" t="s">
        <v>9378</v>
      </c>
    </row>
    <row r="387" spans="1:5" x14ac:dyDescent="0.25">
      <c r="A387" t="s">
        <v>10131</v>
      </c>
      <c r="B387" t="s">
        <v>10132</v>
      </c>
      <c r="C387" t="s">
        <v>9378</v>
      </c>
      <c r="D387" t="s">
        <v>9378</v>
      </c>
      <c r="E387" t="s">
        <v>9378</v>
      </c>
    </row>
    <row r="388" spans="1:5" x14ac:dyDescent="0.25">
      <c r="A388" t="s">
        <v>251</v>
      </c>
      <c r="B388" t="s">
        <v>252</v>
      </c>
      <c r="C388" t="s">
        <v>9378</v>
      </c>
      <c r="D388" t="s">
        <v>9378</v>
      </c>
      <c r="E388" t="s">
        <v>9378</v>
      </c>
    </row>
    <row r="389" spans="1:5" x14ac:dyDescent="0.25">
      <c r="A389" t="s">
        <v>284</v>
      </c>
      <c r="B389" t="s">
        <v>285</v>
      </c>
      <c r="C389" t="s">
        <v>9378</v>
      </c>
      <c r="D389" t="s">
        <v>9378</v>
      </c>
      <c r="E389" t="s">
        <v>9378</v>
      </c>
    </row>
    <row r="390" spans="1:5" x14ac:dyDescent="0.25">
      <c r="A390" t="s">
        <v>10133</v>
      </c>
      <c r="B390" t="s">
        <v>10134</v>
      </c>
      <c r="C390" t="s">
        <v>9378</v>
      </c>
      <c r="D390" t="s">
        <v>9378</v>
      </c>
      <c r="E390" t="s">
        <v>9378</v>
      </c>
    </row>
    <row r="391" spans="1:5" x14ac:dyDescent="0.25">
      <c r="A391" t="s">
        <v>10135</v>
      </c>
      <c r="B391" t="s">
        <v>10136</v>
      </c>
      <c r="C391" t="s">
        <v>9378</v>
      </c>
      <c r="D391" t="s">
        <v>9378</v>
      </c>
      <c r="E391" t="s">
        <v>9378</v>
      </c>
    </row>
    <row r="392" spans="1:5" x14ac:dyDescent="0.25">
      <c r="A392" t="s">
        <v>416</v>
      </c>
      <c r="B392" t="s">
        <v>417</v>
      </c>
      <c r="C392" t="s">
        <v>9369</v>
      </c>
      <c r="D392" t="s">
        <v>9369</v>
      </c>
      <c r="E392" t="s">
        <v>9369</v>
      </c>
    </row>
    <row r="393" spans="1:5" x14ac:dyDescent="0.25">
      <c r="A393" t="s">
        <v>10137</v>
      </c>
      <c r="B393" t="s">
        <v>10138</v>
      </c>
      <c r="C393" t="s">
        <v>9369</v>
      </c>
      <c r="D393" t="s">
        <v>9369</v>
      </c>
      <c r="E393" t="s">
        <v>9369</v>
      </c>
    </row>
    <row r="394" spans="1:5" x14ac:dyDescent="0.25">
      <c r="A394" t="s">
        <v>413</v>
      </c>
      <c r="B394" t="s">
        <v>414</v>
      </c>
      <c r="C394" t="s">
        <v>9369</v>
      </c>
      <c r="D394" t="s">
        <v>9369</v>
      </c>
      <c r="E394" t="s">
        <v>9369</v>
      </c>
    </row>
    <row r="395" spans="1:5" x14ac:dyDescent="0.25">
      <c r="A395" t="s">
        <v>10139</v>
      </c>
      <c r="B395" t="s">
        <v>10140</v>
      </c>
      <c r="C395" t="s">
        <v>9369</v>
      </c>
      <c r="D395" t="s">
        <v>9369</v>
      </c>
      <c r="E395" t="s">
        <v>9369</v>
      </c>
    </row>
    <row r="396" spans="1:5" x14ac:dyDescent="0.25">
      <c r="A396" t="s">
        <v>10141</v>
      </c>
      <c r="B396" t="s">
        <v>10142</v>
      </c>
      <c r="C396" t="s">
        <v>9369</v>
      </c>
      <c r="D396" t="s">
        <v>9369</v>
      </c>
      <c r="E396" t="s">
        <v>9369</v>
      </c>
    </row>
    <row r="397" spans="1:5" x14ac:dyDescent="0.25">
      <c r="A397" t="s">
        <v>10143</v>
      </c>
      <c r="B397" t="s">
        <v>10144</v>
      </c>
      <c r="C397" t="s">
        <v>9369</v>
      </c>
      <c r="D397" t="s">
        <v>9369</v>
      </c>
      <c r="E397" t="s">
        <v>9369</v>
      </c>
    </row>
    <row r="398" spans="1:5" x14ac:dyDescent="0.25">
      <c r="A398" t="s">
        <v>425</v>
      </c>
      <c r="B398" t="s">
        <v>426</v>
      </c>
      <c r="C398" t="s">
        <v>9369</v>
      </c>
      <c r="D398" t="s">
        <v>9369</v>
      </c>
      <c r="E398" t="s">
        <v>9369</v>
      </c>
    </row>
    <row r="399" spans="1:5" x14ac:dyDescent="0.25">
      <c r="A399" t="s">
        <v>10145</v>
      </c>
      <c r="B399" t="s">
        <v>10146</v>
      </c>
      <c r="C399" t="s">
        <v>9369</v>
      </c>
      <c r="D399" t="s">
        <v>9369</v>
      </c>
      <c r="E399" t="s">
        <v>9369</v>
      </c>
    </row>
    <row r="400" spans="1:5" x14ac:dyDescent="0.25">
      <c r="A400" t="s">
        <v>10147</v>
      </c>
      <c r="B400" t="s">
        <v>10148</v>
      </c>
      <c r="C400" t="s">
        <v>9369</v>
      </c>
      <c r="D400" t="s">
        <v>9369</v>
      </c>
      <c r="E400" t="s">
        <v>9369</v>
      </c>
    </row>
    <row r="401" spans="1:5" x14ac:dyDescent="0.25">
      <c r="A401" t="s">
        <v>10149</v>
      </c>
      <c r="B401" t="s">
        <v>10150</v>
      </c>
      <c r="C401" t="s">
        <v>9369</v>
      </c>
      <c r="D401" t="s">
        <v>9369</v>
      </c>
      <c r="E401" t="s">
        <v>9369</v>
      </c>
    </row>
    <row r="402" spans="1:5" x14ac:dyDescent="0.25">
      <c r="A402" t="s">
        <v>10151</v>
      </c>
      <c r="B402" t="s">
        <v>10152</v>
      </c>
      <c r="C402" t="s">
        <v>9369</v>
      </c>
      <c r="D402" t="s">
        <v>9369</v>
      </c>
      <c r="E402" t="s">
        <v>9369</v>
      </c>
    </row>
    <row r="403" spans="1:5" x14ac:dyDescent="0.25">
      <c r="A403" t="s">
        <v>419</v>
      </c>
      <c r="B403" t="s">
        <v>420</v>
      </c>
      <c r="C403" t="s">
        <v>9369</v>
      </c>
      <c r="D403" t="s">
        <v>9369</v>
      </c>
      <c r="E403" t="s">
        <v>9369</v>
      </c>
    </row>
    <row r="404" spans="1:5" x14ac:dyDescent="0.25">
      <c r="A404" t="s">
        <v>10153</v>
      </c>
      <c r="B404" t="s">
        <v>10154</v>
      </c>
      <c r="C404" t="s">
        <v>9369</v>
      </c>
      <c r="D404" t="s">
        <v>9369</v>
      </c>
      <c r="E404" t="s">
        <v>9369</v>
      </c>
    </row>
    <row r="405" spans="1:5" x14ac:dyDescent="0.25">
      <c r="A405" t="s">
        <v>10155</v>
      </c>
      <c r="B405" t="s">
        <v>10156</v>
      </c>
      <c r="C405" t="s">
        <v>9369</v>
      </c>
      <c r="D405" t="s">
        <v>9369</v>
      </c>
      <c r="E405" t="s">
        <v>9369</v>
      </c>
    </row>
    <row r="406" spans="1:5" x14ac:dyDescent="0.25">
      <c r="A406" t="s">
        <v>10157</v>
      </c>
      <c r="B406" t="s">
        <v>10158</v>
      </c>
      <c r="C406" t="s">
        <v>9369</v>
      </c>
      <c r="D406" t="s">
        <v>9369</v>
      </c>
      <c r="E406" t="s">
        <v>9369</v>
      </c>
    </row>
    <row r="407" spans="1:5" x14ac:dyDescent="0.25">
      <c r="A407" t="s">
        <v>422</v>
      </c>
      <c r="B407" t="s">
        <v>423</v>
      </c>
      <c r="C407" t="s">
        <v>9369</v>
      </c>
      <c r="D407" t="s">
        <v>9369</v>
      </c>
      <c r="E407" t="s">
        <v>9369</v>
      </c>
    </row>
    <row r="408" spans="1:5" x14ac:dyDescent="0.25">
      <c r="A408" t="s">
        <v>10159</v>
      </c>
      <c r="B408" t="s">
        <v>9706</v>
      </c>
      <c r="C408" t="s">
        <v>9369</v>
      </c>
      <c r="D408" t="s">
        <v>9369</v>
      </c>
      <c r="E408" t="s">
        <v>9369</v>
      </c>
    </row>
    <row r="409" spans="1:5" x14ac:dyDescent="0.25">
      <c r="A409" t="s">
        <v>10160</v>
      </c>
      <c r="B409" t="s">
        <v>10161</v>
      </c>
      <c r="C409" t="s">
        <v>9369</v>
      </c>
      <c r="D409" t="s">
        <v>9369</v>
      </c>
      <c r="E409" t="s">
        <v>9369</v>
      </c>
    </row>
    <row r="410" spans="1:5" x14ac:dyDescent="0.25">
      <c r="A410" t="s">
        <v>392</v>
      </c>
      <c r="B410" t="s">
        <v>393</v>
      </c>
      <c r="C410" t="s">
        <v>9369</v>
      </c>
      <c r="D410" t="s">
        <v>9369</v>
      </c>
      <c r="E410" t="s">
        <v>9369</v>
      </c>
    </row>
    <row r="411" spans="1:5" x14ac:dyDescent="0.25">
      <c r="A411" t="s">
        <v>10162</v>
      </c>
      <c r="B411" t="s">
        <v>10163</v>
      </c>
      <c r="C411" t="s">
        <v>9369</v>
      </c>
      <c r="D411" t="s">
        <v>9369</v>
      </c>
      <c r="E411" t="s">
        <v>9369</v>
      </c>
    </row>
    <row r="412" spans="1:5" x14ac:dyDescent="0.25">
      <c r="A412" t="s">
        <v>10164</v>
      </c>
      <c r="B412" t="s">
        <v>10165</v>
      </c>
      <c r="C412" t="s">
        <v>9369</v>
      </c>
      <c r="D412" t="s">
        <v>9369</v>
      </c>
      <c r="E412" t="s">
        <v>9369</v>
      </c>
    </row>
    <row r="413" spans="1:5" x14ac:dyDescent="0.25">
      <c r="A413" t="s">
        <v>10166</v>
      </c>
      <c r="B413" t="s">
        <v>10167</v>
      </c>
      <c r="C413" t="s">
        <v>9369</v>
      </c>
      <c r="D413" t="s">
        <v>9369</v>
      </c>
      <c r="E413" t="s">
        <v>9369</v>
      </c>
    </row>
    <row r="414" spans="1:5" x14ac:dyDescent="0.25">
      <c r="A414" t="s">
        <v>10168</v>
      </c>
      <c r="B414" t="s">
        <v>10169</v>
      </c>
      <c r="C414" t="s">
        <v>9369</v>
      </c>
      <c r="D414" t="s">
        <v>9369</v>
      </c>
      <c r="E414" t="s">
        <v>9369</v>
      </c>
    </row>
    <row r="415" spans="1:5" x14ac:dyDescent="0.25">
      <c r="A415" t="s">
        <v>10170</v>
      </c>
      <c r="B415" t="s">
        <v>10171</v>
      </c>
      <c r="C415" t="s">
        <v>9369</v>
      </c>
      <c r="D415" t="s">
        <v>9369</v>
      </c>
      <c r="E415" t="s">
        <v>9369</v>
      </c>
    </row>
    <row r="416" spans="1:5" x14ac:dyDescent="0.25">
      <c r="A416" t="s">
        <v>10172</v>
      </c>
      <c r="B416" t="s">
        <v>10173</v>
      </c>
      <c r="C416" t="s">
        <v>9369</v>
      </c>
      <c r="D416" t="s">
        <v>9369</v>
      </c>
      <c r="E416" t="s">
        <v>9369</v>
      </c>
    </row>
    <row r="417" spans="1:5" x14ac:dyDescent="0.25">
      <c r="A417" t="s">
        <v>10174</v>
      </c>
      <c r="B417" t="s">
        <v>10175</v>
      </c>
      <c r="C417" t="s">
        <v>9369</v>
      </c>
      <c r="D417" t="s">
        <v>9369</v>
      </c>
      <c r="E417" t="s">
        <v>9369</v>
      </c>
    </row>
    <row r="418" spans="1:5" x14ac:dyDescent="0.25">
      <c r="A418" t="s">
        <v>10176</v>
      </c>
      <c r="B418" t="s">
        <v>10177</v>
      </c>
      <c r="C418" t="s">
        <v>9369</v>
      </c>
      <c r="D418" t="s">
        <v>9369</v>
      </c>
      <c r="E418" t="s">
        <v>9369</v>
      </c>
    </row>
    <row r="419" spans="1:5" x14ac:dyDescent="0.25">
      <c r="A419" t="s">
        <v>10178</v>
      </c>
      <c r="B419" t="s">
        <v>10179</v>
      </c>
      <c r="C419" t="s">
        <v>9369</v>
      </c>
      <c r="D419" t="s">
        <v>9369</v>
      </c>
      <c r="E419" t="s">
        <v>9369</v>
      </c>
    </row>
    <row r="420" spans="1:5" x14ac:dyDescent="0.25">
      <c r="A420" t="s">
        <v>10180</v>
      </c>
      <c r="B420" t="s">
        <v>10181</v>
      </c>
      <c r="C420" t="s">
        <v>9378</v>
      </c>
      <c r="D420" t="s">
        <v>9378</v>
      </c>
      <c r="E420" t="s">
        <v>9378</v>
      </c>
    </row>
    <row r="421" spans="1:5" x14ac:dyDescent="0.25">
      <c r="A421" t="s">
        <v>10182</v>
      </c>
      <c r="B421" t="s">
        <v>10183</v>
      </c>
      <c r="C421" t="s">
        <v>9378</v>
      </c>
      <c r="D421" t="s">
        <v>9378</v>
      </c>
      <c r="E421" t="s">
        <v>9378</v>
      </c>
    </row>
    <row r="422" spans="1:5" x14ac:dyDescent="0.25">
      <c r="A422" t="s">
        <v>10184</v>
      </c>
      <c r="B422" t="s">
        <v>10185</v>
      </c>
      <c r="C422" t="s">
        <v>9378</v>
      </c>
      <c r="D422" t="s">
        <v>9378</v>
      </c>
      <c r="E422" t="s">
        <v>9378</v>
      </c>
    </row>
    <row r="423" spans="1:5" x14ac:dyDescent="0.25">
      <c r="A423" t="s">
        <v>10186</v>
      </c>
      <c r="B423" t="s">
        <v>10187</v>
      </c>
      <c r="C423" t="s">
        <v>9378</v>
      </c>
      <c r="D423" t="s">
        <v>9378</v>
      </c>
      <c r="E423" t="s">
        <v>9405</v>
      </c>
    </row>
    <row r="424" spans="1:5" x14ac:dyDescent="0.25">
      <c r="A424" t="s">
        <v>212</v>
      </c>
      <c r="B424" t="s">
        <v>10188</v>
      </c>
      <c r="C424" t="s">
        <v>9378</v>
      </c>
      <c r="D424" t="s">
        <v>9378</v>
      </c>
      <c r="E424" t="s">
        <v>9405</v>
      </c>
    </row>
    <row r="425" spans="1:5" x14ac:dyDescent="0.25">
      <c r="A425" t="s">
        <v>10189</v>
      </c>
      <c r="B425" t="s">
        <v>10190</v>
      </c>
      <c r="C425" t="s">
        <v>9378</v>
      </c>
      <c r="D425" t="s">
        <v>9378</v>
      </c>
      <c r="E425" t="s">
        <v>9405</v>
      </c>
    </row>
    <row r="426" spans="1:5" x14ac:dyDescent="0.25">
      <c r="A426" t="s">
        <v>10191</v>
      </c>
      <c r="B426" t="s">
        <v>10192</v>
      </c>
      <c r="C426" t="s">
        <v>9378</v>
      </c>
      <c r="D426" t="s">
        <v>9378</v>
      </c>
      <c r="E426" t="s">
        <v>9405</v>
      </c>
    </row>
    <row r="427" spans="1:5" x14ac:dyDescent="0.25">
      <c r="A427" t="s">
        <v>10193</v>
      </c>
      <c r="B427" t="s">
        <v>10194</v>
      </c>
      <c r="C427" t="s">
        <v>9378</v>
      </c>
      <c r="D427" t="s">
        <v>9378</v>
      </c>
      <c r="E427" t="s">
        <v>9405</v>
      </c>
    </row>
    <row r="428" spans="1:5" x14ac:dyDescent="0.25">
      <c r="A428" t="s">
        <v>10195</v>
      </c>
      <c r="B428" t="s">
        <v>10196</v>
      </c>
      <c r="C428" t="s">
        <v>9378</v>
      </c>
      <c r="D428" t="s">
        <v>9378</v>
      </c>
      <c r="E428" t="s">
        <v>9405</v>
      </c>
    </row>
    <row r="429" spans="1:5" x14ac:dyDescent="0.25">
      <c r="A429" t="s">
        <v>10197</v>
      </c>
      <c r="B429" t="s">
        <v>10198</v>
      </c>
      <c r="C429" t="s">
        <v>9378</v>
      </c>
      <c r="D429" t="s">
        <v>9378</v>
      </c>
      <c r="E429" t="s">
        <v>9405</v>
      </c>
    </row>
    <row r="430" spans="1:5" x14ac:dyDescent="0.25">
      <c r="A430" t="s">
        <v>329</v>
      </c>
      <c r="B430" t="s">
        <v>330</v>
      </c>
      <c r="C430" t="s">
        <v>9378</v>
      </c>
      <c r="D430" t="s">
        <v>9378</v>
      </c>
      <c r="E430" t="s">
        <v>9405</v>
      </c>
    </row>
    <row r="431" spans="1:5" x14ac:dyDescent="0.25">
      <c r="A431" t="s">
        <v>10199</v>
      </c>
      <c r="B431" t="s">
        <v>10200</v>
      </c>
      <c r="C431" t="s">
        <v>9378</v>
      </c>
      <c r="D431" t="s">
        <v>9378</v>
      </c>
      <c r="E431" t="s">
        <v>9405</v>
      </c>
    </row>
    <row r="432" spans="1:5" x14ac:dyDescent="0.25">
      <c r="A432" t="s">
        <v>10201</v>
      </c>
      <c r="B432" t="s">
        <v>10202</v>
      </c>
      <c r="C432" t="s">
        <v>9378</v>
      </c>
      <c r="D432" t="s">
        <v>9378</v>
      </c>
      <c r="E432" t="s">
        <v>9405</v>
      </c>
    </row>
    <row r="433" spans="1:5" x14ac:dyDescent="0.25">
      <c r="A433" t="s">
        <v>91</v>
      </c>
      <c r="B433" t="s">
        <v>10203</v>
      </c>
      <c r="C433" t="s">
        <v>9378</v>
      </c>
      <c r="D433" t="s">
        <v>9378</v>
      </c>
      <c r="E433" t="s">
        <v>9405</v>
      </c>
    </row>
    <row r="434" spans="1:5" x14ac:dyDescent="0.25">
      <c r="A434" t="s">
        <v>242</v>
      </c>
      <c r="B434" t="s">
        <v>10204</v>
      </c>
      <c r="C434" t="s">
        <v>9378</v>
      </c>
      <c r="D434" t="s">
        <v>9378</v>
      </c>
      <c r="E434" t="s">
        <v>9405</v>
      </c>
    </row>
    <row r="435" spans="1:5" x14ac:dyDescent="0.25">
      <c r="A435" t="s">
        <v>236</v>
      </c>
      <c r="B435" t="s">
        <v>237</v>
      </c>
      <c r="C435" t="s">
        <v>9378</v>
      </c>
      <c r="D435" t="s">
        <v>9378</v>
      </c>
      <c r="E435" t="s">
        <v>9405</v>
      </c>
    </row>
    <row r="436" spans="1:5" x14ac:dyDescent="0.25">
      <c r="A436" t="s">
        <v>10205</v>
      </c>
      <c r="B436" t="s">
        <v>10206</v>
      </c>
      <c r="C436" t="s">
        <v>9378</v>
      </c>
      <c r="D436" t="s">
        <v>9378</v>
      </c>
      <c r="E436" t="s">
        <v>9405</v>
      </c>
    </row>
    <row r="437" spans="1:5" x14ac:dyDescent="0.25">
      <c r="A437" t="s">
        <v>10207</v>
      </c>
      <c r="B437" t="s">
        <v>10208</v>
      </c>
      <c r="C437" t="s">
        <v>9378</v>
      </c>
      <c r="D437" t="s">
        <v>9378</v>
      </c>
      <c r="E437" t="s">
        <v>9405</v>
      </c>
    </row>
    <row r="438" spans="1:5" x14ac:dyDescent="0.25">
      <c r="A438" t="s">
        <v>10209</v>
      </c>
      <c r="B438" t="s">
        <v>10210</v>
      </c>
      <c r="C438" t="s">
        <v>9378</v>
      </c>
      <c r="D438" t="s">
        <v>9378</v>
      </c>
      <c r="E438" t="s">
        <v>9405</v>
      </c>
    </row>
    <row r="439" spans="1:5" x14ac:dyDescent="0.25">
      <c r="A439" t="s">
        <v>10211</v>
      </c>
      <c r="B439" t="s">
        <v>10212</v>
      </c>
      <c r="C439" t="s">
        <v>9378</v>
      </c>
      <c r="D439" t="s">
        <v>9378</v>
      </c>
      <c r="E439" t="s">
        <v>9405</v>
      </c>
    </row>
    <row r="440" spans="1:5" x14ac:dyDescent="0.25">
      <c r="A440" t="s">
        <v>10213</v>
      </c>
      <c r="B440" t="s">
        <v>10214</v>
      </c>
      <c r="C440" t="s">
        <v>9378</v>
      </c>
      <c r="D440" t="s">
        <v>9378</v>
      </c>
      <c r="E440" t="s">
        <v>9405</v>
      </c>
    </row>
    <row r="441" spans="1:5" x14ac:dyDescent="0.25">
      <c r="A441" t="s">
        <v>10215</v>
      </c>
      <c r="B441" t="s">
        <v>10216</v>
      </c>
      <c r="C441" t="s">
        <v>9378</v>
      </c>
      <c r="D441" t="s">
        <v>9378</v>
      </c>
      <c r="E441" t="s">
        <v>9405</v>
      </c>
    </row>
    <row r="442" spans="1:5" x14ac:dyDescent="0.25">
      <c r="A442" t="s">
        <v>10217</v>
      </c>
      <c r="B442" t="s">
        <v>10218</v>
      </c>
      <c r="C442" t="s">
        <v>9378</v>
      </c>
      <c r="D442" t="s">
        <v>9378</v>
      </c>
      <c r="E442" t="s">
        <v>9405</v>
      </c>
    </row>
    <row r="443" spans="1:5" x14ac:dyDescent="0.25">
      <c r="A443" t="s">
        <v>10219</v>
      </c>
      <c r="B443" t="s">
        <v>10220</v>
      </c>
      <c r="C443" t="s">
        <v>9378</v>
      </c>
      <c r="D443" t="s">
        <v>9378</v>
      </c>
      <c r="E443" t="s">
        <v>9405</v>
      </c>
    </row>
    <row r="444" spans="1:5" x14ac:dyDescent="0.25">
      <c r="A444" t="s">
        <v>10221</v>
      </c>
      <c r="B444" t="s">
        <v>10222</v>
      </c>
      <c r="C444" t="s">
        <v>9378</v>
      </c>
      <c r="D444" t="s">
        <v>9378</v>
      </c>
      <c r="E444" t="s">
        <v>9405</v>
      </c>
    </row>
    <row r="445" spans="1:5" x14ac:dyDescent="0.25">
      <c r="A445" t="s">
        <v>10223</v>
      </c>
      <c r="B445" t="s">
        <v>10224</v>
      </c>
      <c r="C445" t="s">
        <v>9378</v>
      </c>
      <c r="D445" t="s">
        <v>9378</v>
      </c>
      <c r="E445" t="s">
        <v>9405</v>
      </c>
    </row>
    <row r="446" spans="1:5" x14ac:dyDescent="0.25">
      <c r="A446" t="s">
        <v>10225</v>
      </c>
      <c r="B446" t="s">
        <v>10226</v>
      </c>
      <c r="C446" t="s">
        <v>9378</v>
      </c>
      <c r="D446" t="s">
        <v>9378</v>
      </c>
      <c r="E446" t="s">
        <v>9405</v>
      </c>
    </row>
    <row r="447" spans="1:5" x14ac:dyDescent="0.25">
      <c r="A447" t="s">
        <v>10227</v>
      </c>
      <c r="B447" t="s">
        <v>10228</v>
      </c>
      <c r="C447" t="s">
        <v>9378</v>
      </c>
      <c r="D447" t="s">
        <v>9378</v>
      </c>
      <c r="E447" t="s">
        <v>9405</v>
      </c>
    </row>
    <row r="448" spans="1:5" x14ac:dyDescent="0.25">
      <c r="A448" t="s">
        <v>10229</v>
      </c>
      <c r="B448" t="s">
        <v>10230</v>
      </c>
      <c r="C448" t="s">
        <v>9378</v>
      </c>
      <c r="D448" t="s">
        <v>9378</v>
      </c>
      <c r="E448" t="s">
        <v>9405</v>
      </c>
    </row>
    <row r="449" spans="1:5" x14ac:dyDescent="0.25">
      <c r="A449" t="s">
        <v>10231</v>
      </c>
      <c r="B449" t="s">
        <v>10232</v>
      </c>
      <c r="C449" t="s">
        <v>9378</v>
      </c>
      <c r="D449" t="s">
        <v>9378</v>
      </c>
      <c r="E449" t="s">
        <v>9405</v>
      </c>
    </row>
    <row r="450" spans="1:5" x14ac:dyDescent="0.25">
      <c r="A450" t="s">
        <v>10233</v>
      </c>
      <c r="B450" t="s">
        <v>10234</v>
      </c>
      <c r="C450" t="s">
        <v>9378</v>
      </c>
      <c r="D450" t="s">
        <v>9378</v>
      </c>
      <c r="E450" t="s">
        <v>9405</v>
      </c>
    </row>
    <row r="451" spans="1:5" x14ac:dyDescent="0.25">
      <c r="A451" t="s">
        <v>10235</v>
      </c>
      <c r="B451" t="s">
        <v>10236</v>
      </c>
      <c r="C451" t="s">
        <v>9378</v>
      </c>
      <c r="D451" t="s">
        <v>9378</v>
      </c>
      <c r="E451" t="s">
        <v>9405</v>
      </c>
    </row>
    <row r="452" spans="1:5" x14ac:dyDescent="0.25">
      <c r="A452" t="s">
        <v>10237</v>
      </c>
      <c r="B452" t="s">
        <v>10238</v>
      </c>
      <c r="C452" t="s">
        <v>9378</v>
      </c>
      <c r="D452" t="s">
        <v>9378</v>
      </c>
      <c r="E452" t="s">
        <v>9405</v>
      </c>
    </row>
    <row r="453" spans="1:5" x14ac:dyDescent="0.25">
      <c r="A453" t="s">
        <v>10239</v>
      </c>
      <c r="B453" t="s">
        <v>10240</v>
      </c>
      <c r="C453" t="s">
        <v>9378</v>
      </c>
      <c r="D453" t="s">
        <v>9378</v>
      </c>
      <c r="E453" t="s">
        <v>9405</v>
      </c>
    </row>
    <row r="454" spans="1:5" x14ac:dyDescent="0.25">
      <c r="A454" t="s">
        <v>10241</v>
      </c>
      <c r="B454" t="s">
        <v>10242</v>
      </c>
      <c r="C454" t="s">
        <v>9378</v>
      </c>
      <c r="D454" t="s">
        <v>9378</v>
      </c>
      <c r="E454" t="s">
        <v>9405</v>
      </c>
    </row>
    <row r="455" spans="1:5" x14ac:dyDescent="0.25">
      <c r="A455" t="s">
        <v>10243</v>
      </c>
      <c r="B455" t="s">
        <v>10244</v>
      </c>
      <c r="C455" t="s">
        <v>9378</v>
      </c>
      <c r="D455" t="s">
        <v>9378</v>
      </c>
      <c r="E455" t="s">
        <v>9405</v>
      </c>
    </row>
    <row r="456" spans="1:5" x14ac:dyDescent="0.25">
      <c r="A456" t="s">
        <v>10245</v>
      </c>
      <c r="B456" t="s">
        <v>10246</v>
      </c>
      <c r="C456" t="s">
        <v>9378</v>
      </c>
      <c r="D456" t="s">
        <v>9378</v>
      </c>
      <c r="E456" t="s">
        <v>9405</v>
      </c>
    </row>
    <row r="457" spans="1:5" x14ac:dyDescent="0.25">
      <c r="A457" t="s">
        <v>10247</v>
      </c>
      <c r="B457" t="s">
        <v>10248</v>
      </c>
      <c r="C457" t="s">
        <v>9378</v>
      </c>
      <c r="D457" t="s">
        <v>9378</v>
      </c>
      <c r="E457" t="s">
        <v>9405</v>
      </c>
    </row>
    <row r="458" spans="1:5" x14ac:dyDescent="0.25">
      <c r="A458" t="s">
        <v>10249</v>
      </c>
      <c r="B458" t="s">
        <v>10250</v>
      </c>
      <c r="C458" t="s">
        <v>9378</v>
      </c>
      <c r="D458" t="s">
        <v>9378</v>
      </c>
      <c r="E458" t="s">
        <v>9405</v>
      </c>
    </row>
    <row r="459" spans="1:5" x14ac:dyDescent="0.25">
      <c r="A459" t="s">
        <v>10251</v>
      </c>
      <c r="B459" t="s">
        <v>10252</v>
      </c>
      <c r="C459" t="s">
        <v>9378</v>
      </c>
      <c r="D459" t="s">
        <v>9378</v>
      </c>
      <c r="E459" t="s">
        <v>9405</v>
      </c>
    </row>
    <row r="460" spans="1:5" x14ac:dyDescent="0.25">
      <c r="A460" t="s">
        <v>10253</v>
      </c>
      <c r="B460" t="s">
        <v>10254</v>
      </c>
      <c r="C460" t="s">
        <v>9378</v>
      </c>
      <c r="D460" t="s">
        <v>9378</v>
      </c>
      <c r="E460" t="s">
        <v>9405</v>
      </c>
    </row>
    <row r="461" spans="1:5" x14ac:dyDescent="0.25">
      <c r="A461" t="s">
        <v>10255</v>
      </c>
      <c r="B461" t="s">
        <v>10256</v>
      </c>
      <c r="C461" t="s">
        <v>9378</v>
      </c>
      <c r="D461" t="s">
        <v>9378</v>
      </c>
      <c r="E461" t="s">
        <v>9405</v>
      </c>
    </row>
    <row r="462" spans="1:5" x14ac:dyDescent="0.25">
      <c r="A462" t="s">
        <v>10257</v>
      </c>
      <c r="B462" t="s">
        <v>10258</v>
      </c>
      <c r="C462" t="s">
        <v>9378</v>
      </c>
      <c r="D462" t="s">
        <v>9378</v>
      </c>
      <c r="E462" t="s">
        <v>9405</v>
      </c>
    </row>
    <row r="463" spans="1:5" x14ac:dyDescent="0.25">
      <c r="A463" t="s">
        <v>10259</v>
      </c>
      <c r="B463" t="s">
        <v>10260</v>
      </c>
      <c r="C463" t="s">
        <v>9378</v>
      </c>
      <c r="D463" t="s">
        <v>9378</v>
      </c>
      <c r="E463" t="s">
        <v>9405</v>
      </c>
    </row>
    <row r="464" spans="1:5" x14ac:dyDescent="0.25">
      <c r="A464" t="s">
        <v>10261</v>
      </c>
      <c r="B464" t="s">
        <v>10262</v>
      </c>
      <c r="C464" t="s">
        <v>9378</v>
      </c>
      <c r="D464" t="s">
        <v>9378</v>
      </c>
      <c r="E464" t="s">
        <v>9405</v>
      </c>
    </row>
    <row r="465" spans="1:5" x14ac:dyDescent="0.25">
      <c r="A465" t="s">
        <v>10263</v>
      </c>
      <c r="B465" t="s">
        <v>10264</v>
      </c>
      <c r="C465" t="s">
        <v>9378</v>
      </c>
      <c r="D465" t="s">
        <v>9378</v>
      </c>
      <c r="E465" t="s">
        <v>9405</v>
      </c>
    </row>
    <row r="466" spans="1:5" x14ac:dyDescent="0.25">
      <c r="A466" t="s">
        <v>10265</v>
      </c>
      <c r="B466" t="s">
        <v>10266</v>
      </c>
      <c r="C466" t="s">
        <v>9378</v>
      </c>
      <c r="D466" t="s">
        <v>9378</v>
      </c>
      <c r="E466" t="s">
        <v>9405</v>
      </c>
    </row>
    <row r="467" spans="1:5" x14ac:dyDescent="0.25">
      <c r="A467" t="s">
        <v>10267</v>
      </c>
      <c r="B467" t="s">
        <v>10268</v>
      </c>
      <c r="C467" t="s">
        <v>9378</v>
      </c>
      <c r="D467" t="s">
        <v>9378</v>
      </c>
      <c r="E467" t="s">
        <v>9405</v>
      </c>
    </row>
    <row r="468" spans="1:5" x14ac:dyDescent="0.25">
      <c r="A468" t="s">
        <v>10269</v>
      </c>
      <c r="B468" t="s">
        <v>10270</v>
      </c>
      <c r="C468" t="s">
        <v>9378</v>
      </c>
      <c r="D468" t="s">
        <v>9378</v>
      </c>
      <c r="E468" t="s">
        <v>9405</v>
      </c>
    </row>
    <row r="469" spans="1:5" x14ac:dyDescent="0.25">
      <c r="A469" t="s">
        <v>335</v>
      </c>
      <c r="B469" t="s">
        <v>336</v>
      </c>
      <c r="C469" t="s">
        <v>9378</v>
      </c>
      <c r="D469" t="s">
        <v>9378</v>
      </c>
      <c r="E469" t="s">
        <v>9405</v>
      </c>
    </row>
    <row r="470" spans="1:5" x14ac:dyDescent="0.25">
      <c r="A470" t="s">
        <v>10271</v>
      </c>
      <c r="B470" t="s">
        <v>10272</v>
      </c>
      <c r="C470" t="s">
        <v>9378</v>
      </c>
      <c r="D470" t="s">
        <v>9378</v>
      </c>
      <c r="E470" t="s">
        <v>9405</v>
      </c>
    </row>
    <row r="471" spans="1:5" x14ac:dyDescent="0.25">
      <c r="A471" t="s">
        <v>10273</v>
      </c>
      <c r="B471" t="s">
        <v>10274</v>
      </c>
      <c r="C471" t="s">
        <v>9378</v>
      </c>
      <c r="D471" t="s">
        <v>9378</v>
      </c>
      <c r="E471" t="s">
        <v>9405</v>
      </c>
    </row>
    <row r="472" spans="1:5" x14ac:dyDescent="0.25">
      <c r="A472" t="s">
        <v>10275</v>
      </c>
      <c r="B472" t="s">
        <v>10276</v>
      </c>
      <c r="C472" t="s">
        <v>9378</v>
      </c>
      <c r="D472" t="s">
        <v>9378</v>
      </c>
      <c r="E472" t="s">
        <v>9405</v>
      </c>
    </row>
    <row r="473" spans="1:5" x14ac:dyDescent="0.25">
      <c r="A473" t="s">
        <v>10277</v>
      </c>
      <c r="B473" t="s">
        <v>10278</v>
      </c>
      <c r="C473" t="s">
        <v>9378</v>
      </c>
      <c r="D473" t="s">
        <v>9378</v>
      </c>
      <c r="E473" t="s">
        <v>9405</v>
      </c>
    </row>
    <row r="474" spans="1:5" x14ac:dyDescent="0.25">
      <c r="A474" t="s">
        <v>10279</v>
      </c>
      <c r="B474" t="s">
        <v>10280</v>
      </c>
      <c r="C474" t="s">
        <v>9378</v>
      </c>
      <c r="D474" t="s">
        <v>9378</v>
      </c>
      <c r="E474" t="s">
        <v>9405</v>
      </c>
    </row>
    <row r="475" spans="1:5" x14ac:dyDescent="0.25">
      <c r="A475" t="s">
        <v>209</v>
      </c>
      <c r="B475" t="s">
        <v>10281</v>
      </c>
      <c r="C475" t="s">
        <v>9378</v>
      </c>
      <c r="D475" t="s">
        <v>9378</v>
      </c>
      <c r="E475" t="s">
        <v>9405</v>
      </c>
    </row>
    <row r="476" spans="1:5" x14ac:dyDescent="0.25">
      <c r="A476" t="s">
        <v>10282</v>
      </c>
      <c r="B476" t="s">
        <v>10283</v>
      </c>
      <c r="C476" t="s">
        <v>9378</v>
      </c>
      <c r="D476" t="s">
        <v>9378</v>
      </c>
      <c r="E476" t="s">
        <v>9405</v>
      </c>
    </row>
    <row r="477" spans="1:5" x14ac:dyDescent="0.25">
      <c r="A477" t="s">
        <v>10284</v>
      </c>
      <c r="B477" t="s">
        <v>10285</v>
      </c>
      <c r="C477" t="s">
        <v>9378</v>
      </c>
      <c r="D477" t="s">
        <v>9378</v>
      </c>
      <c r="E477" t="s">
        <v>9405</v>
      </c>
    </row>
    <row r="478" spans="1:5" x14ac:dyDescent="0.25">
      <c r="A478" t="s">
        <v>10286</v>
      </c>
      <c r="B478" t="s">
        <v>10287</v>
      </c>
      <c r="C478" t="s">
        <v>9378</v>
      </c>
      <c r="D478" t="s">
        <v>9378</v>
      </c>
      <c r="E478" t="s">
        <v>9405</v>
      </c>
    </row>
    <row r="479" spans="1:5" x14ac:dyDescent="0.25">
      <c r="A479" t="s">
        <v>10288</v>
      </c>
      <c r="B479" t="s">
        <v>10289</v>
      </c>
      <c r="C479" t="s">
        <v>9378</v>
      </c>
      <c r="D479" t="s">
        <v>9378</v>
      </c>
      <c r="E479" t="s">
        <v>9405</v>
      </c>
    </row>
    <row r="480" spans="1:5" x14ac:dyDescent="0.25">
      <c r="A480" t="s">
        <v>10290</v>
      </c>
      <c r="B480" t="s">
        <v>10291</v>
      </c>
      <c r="C480" t="s">
        <v>9378</v>
      </c>
      <c r="D480" t="s">
        <v>9378</v>
      </c>
      <c r="E480" t="s">
        <v>9405</v>
      </c>
    </row>
    <row r="481" spans="1:5" x14ac:dyDescent="0.25">
      <c r="A481" t="s">
        <v>10292</v>
      </c>
      <c r="B481" t="s">
        <v>10293</v>
      </c>
      <c r="C481" t="s">
        <v>9378</v>
      </c>
      <c r="D481" t="s">
        <v>9378</v>
      </c>
      <c r="E481" t="s">
        <v>9405</v>
      </c>
    </row>
    <row r="482" spans="1:5" x14ac:dyDescent="0.25">
      <c r="A482" t="s">
        <v>10294</v>
      </c>
      <c r="B482" t="s">
        <v>10295</v>
      </c>
      <c r="C482" t="s">
        <v>9378</v>
      </c>
      <c r="D482" t="s">
        <v>9378</v>
      </c>
      <c r="E482" t="s">
        <v>9405</v>
      </c>
    </row>
    <row r="483" spans="1:5" x14ac:dyDescent="0.25">
      <c r="A483" t="s">
        <v>10296</v>
      </c>
      <c r="B483" t="s">
        <v>10297</v>
      </c>
      <c r="C483" t="s">
        <v>9378</v>
      </c>
      <c r="D483" t="s">
        <v>9378</v>
      </c>
      <c r="E483" t="s">
        <v>9405</v>
      </c>
    </row>
    <row r="484" spans="1:5" x14ac:dyDescent="0.25">
      <c r="A484" t="s">
        <v>10298</v>
      </c>
      <c r="B484" t="s">
        <v>10299</v>
      </c>
      <c r="C484" t="s">
        <v>9378</v>
      </c>
      <c r="D484" t="s">
        <v>9378</v>
      </c>
      <c r="E484" t="s">
        <v>9353</v>
      </c>
    </row>
    <row r="485" spans="1:5" x14ac:dyDescent="0.25">
      <c r="A485" t="s">
        <v>10300</v>
      </c>
      <c r="B485" t="s">
        <v>10301</v>
      </c>
      <c r="C485" t="s">
        <v>9378</v>
      </c>
      <c r="D485" t="s">
        <v>9378</v>
      </c>
      <c r="E485" t="s">
        <v>9353</v>
      </c>
    </row>
    <row r="486" spans="1:5" x14ac:dyDescent="0.25">
      <c r="A486" t="s">
        <v>10302</v>
      </c>
      <c r="B486" t="s">
        <v>10303</v>
      </c>
      <c r="C486" t="s">
        <v>9378</v>
      </c>
      <c r="D486" t="s">
        <v>9378</v>
      </c>
      <c r="E486" t="s">
        <v>9405</v>
      </c>
    </row>
    <row r="487" spans="1:5" x14ac:dyDescent="0.25">
      <c r="A487" t="s">
        <v>10304</v>
      </c>
      <c r="B487" t="s">
        <v>10305</v>
      </c>
      <c r="C487" t="s">
        <v>9378</v>
      </c>
      <c r="D487" t="s">
        <v>9378</v>
      </c>
      <c r="E487" t="s">
        <v>9405</v>
      </c>
    </row>
    <row r="488" spans="1:5" x14ac:dyDescent="0.25">
      <c r="A488" t="s">
        <v>10306</v>
      </c>
      <c r="B488" t="s">
        <v>10307</v>
      </c>
      <c r="C488" t="s">
        <v>9378</v>
      </c>
      <c r="D488" t="s">
        <v>9378</v>
      </c>
      <c r="E488" t="s">
        <v>9353</v>
      </c>
    </row>
    <row r="489" spans="1:5" x14ac:dyDescent="0.25">
      <c r="A489" t="s">
        <v>10308</v>
      </c>
      <c r="B489" t="s">
        <v>10309</v>
      </c>
      <c r="C489" t="s">
        <v>9378</v>
      </c>
      <c r="D489" t="s">
        <v>9378</v>
      </c>
      <c r="E489" t="s">
        <v>9353</v>
      </c>
    </row>
    <row r="490" spans="1:5" x14ac:dyDescent="0.25">
      <c r="A490" t="s">
        <v>326</v>
      </c>
      <c r="B490" t="s">
        <v>327</v>
      </c>
      <c r="C490" t="s">
        <v>9378</v>
      </c>
      <c r="D490" t="s">
        <v>9378</v>
      </c>
      <c r="E490" t="s">
        <v>9405</v>
      </c>
    </row>
    <row r="491" spans="1:5" x14ac:dyDescent="0.25">
      <c r="A491" t="s">
        <v>10310</v>
      </c>
      <c r="B491" t="s">
        <v>10311</v>
      </c>
      <c r="C491" t="s">
        <v>9378</v>
      </c>
      <c r="D491" t="s">
        <v>9378</v>
      </c>
      <c r="E491" t="s">
        <v>9405</v>
      </c>
    </row>
    <row r="492" spans="1:5" x14ac:dyDescent="0.25">
      <c r="A492" t="s">
        <v>10312</v>
      </c>
      <c r="B492" t="s">
        <v>10313</v>
      </c>
      <c r="C492" t="s">
        <v>9378</v>
      </c>
      <c r="D492" t="s">
        <v>9378</v>
      </c>
      <c r="E492" t="s">
        <v>9378</v>
      </c>
    </row>
    <row r="493" spans="1:5" x14ac:dyDescent="0.25">
      <c r="A493" t="s">
        <v>10314</v>
      </c>
      <c r="B493" t="s">
        <v>10315</v>
      </c>
      <c r="C493" t="s">
        <v>9378</v>
      </c>
      <c r="D493" t="s">
        <v>9378</v>
      </c>
      <c r="E493" t="s">
        <v>9378</v>
      </c>
    </row>
    <row r="494" spans="1:5" x14ac:dyDescent="0.25">
      <c r="A494" t="s">
        <v>248</v>
      </c>
      <c r="B494" t="s">
        <v>10316</v>
      </c>
      <c r="C494" t="s">
        <v>9378</v>
      </c>
      <c r="D494" t="s">
        <v>9378</v>
      </c>
      <c r="E494" t="s">
        <v>9378</v>
      </c>
    </row>
    <row r="495" spans="1:5" x14ac:dyDescent="0.25">
      <c r="A495" t="s">
        <v>233</v>
      </c>
      <c r="B495" t="s">
        <v>10317</v>
      </c>
      <c r="C495" t="s">
        <v>9378</v>
      </c>
      <c r="D495" t="s">
        <v>9378</v>
      </c>
      <c r="E495" t="s">
        <v>9378</v>
      </c>
    </row>
    <row r="496" spans="1:5" x14ac:dyDescent="0.25">
      <c r="A496" t="s">
        <v>10318</v>
      </c>
      <c r="B496" t="s">
        <v>10319</v>
      </c>
      <c r="C496" t="s">
        <v>9378</v>
      </c>
      <c r="D496" t="s">
        <v>9378</v>
      </c>
      <c r="E496" t="s">
        <v>9378</v>
      </c>
    </row>
    <row r="497" spans="1:5" x14ac:dyDescent="0.25">
      <c r="A497" t="s">
        <v>10320</v>
      </c>
      <c r="B497" t="s">
        <v>10321</v>
      </c>
      <c r="C497" t="s">
        <v>9378</v>
      </c>
      <c r="D497" t="s">
        <v>9378</v>
      </c>
      <c r="E497" t="s">
        <v>9378</v>
      </c>
    </row>
    <row r="498" spans="1:5" x14ac:dyDescent="0.25">
      <c r="A498" t="s">
        <v>332</v>
      </c>
      <c r="B498" t="s">
        <v>333</v>
      </c>
      <c r="C498" t="s">
        <v>9378</v>
      </c>
      <c r="D498" t="s">
        <v>9378</v>
      </c>
      <c r="E498" t="s">
        <v>9378</v>
      </c>
    </row>
    <row r="499" spans="1:5" x14ac:dyDescent="0.25">
      <c r="A499" t="s">
        <v>10322</v>
      </c>
      <c r="B499" t="s">
        <v>10323</v>
      </c>
      <c r="C499" t="s">
        <v>9378</v>
      </c>
      <c r="D499" t="s">
        <v>9378</v>
      </c>
      <c r="E499" t="s">
        <v>9378</v>
      </c>
    </row>
    <row r="500" spans="1:5" x14ac:dyDescent="0.25">
      <c r="A500" t="s">
        <v>203</v>
      </c>
      <c r="B500" t="s">
        <v>10324</v>
      </c>
      <c r="C500" t="s">
        <v>9378</v>
      </c>
      <c r="D500" t="s">
        <v>9378</v>
      </c>
      <c r="E500" t="s">
        <v>9378</v>
      </c>
    </row>
    <row r="501" spans="1:5" x14ac:dyDescent="0.25">
      <c r="A501" t="s">
        <v>299</v>
      </c>
      <c r="B501" t="s">
        <v>10325</v>
      </c>
      <c r="C501" t="s">
        <v>9378</v>
      </c>
      <c r="D501" t="s">
        <v>9378</v>
      </c>
      <c r="E501" t="s">
        <v>9378</v>
      </c>
    </row>
    <row r="502" spans="1:5" x14ac:dyDescent="0.25">
      <c r="A502" t="s">
        <v>10326</v>
      </c>
      <c r="B502" t="s">
        <v>10327</v>
      </c>
      <c r="C502" t="s">
        <v>9378</v>
      </c>
      <c r="D502" t="s">
        <v>9378</v>
      </c>
      <c r="E502" t="s">
        <v>9378</v>
      </c>
    </row>
    <row r="503" spans="1:5" x14ac:dyDescent="0.25">
      <c r="A503" t="s">
        <v>10328</v>
      </c>
      <c r="B503" t="s">
        <v>10329</v>
      </c>
      <c r="C503" t="s">
        <v>9378</v>
      </c>
      <c r="D503" t="s">
        <v>9378</v>
      </c>
      <c r="E503" t="s">
        <v>9378</v>
      </c>
    </row>
    <row r="504" spans="1:5" x14ac:dyDescent="0.25">
      <c r="A504" t="s">
        <v>197</v>
      </c>
      <c r="B504" t="s">
        <v>10330</v>
      </c>
      <c r="C504" t="s">
        <v>9378</v>
      </c>
      <c r="D504" t="s">
        <v>9378</v>
      </c>
      <c r="E504" t="s">
        <v>9378</v>
      </c>
    </row>
    <row r="505" spans="1:5" x14ac:dyDescent="0.25">
      <c r="A505" t="s">
        <v>34</v>
      </c>
      <c r="B505" t="s">
        <v>10331</v>
      </c>
      <c r="C505" t="s">
        <v>9378</v>
      </c>
      <c r="D505" t="s">
        <v>9378</v>
      </c>
      <c r="E505" t="s">
        <v>9378</v>
      </c>
    </row>
    <row r="506" spans="1:5" x14ac:dyDescent="0.25">
      <c r="A506" t="s">
        <v>10332</v>
      </c>
      <c r="B506" t="s">
        <v>10333</v>
      </c>
      <c r="C506" t="s">
        <v>9378</v>
      </c>
      <c r="D506" t="s">
        <v>9378</v>
      </c>
      <c r="E506" t="s">
        <v>9378</v>
      </c>
    </row>
    <row r="507" spans="1:5" x14ac:dyDescent="0.25">
      <c r="A507" t="s">
        <v>10334</v>
      </c>
      <c r="B507" t="s">
        <v>10335</v>
      </c>
      <c r="C507" t="s">
        <v>9378</v>
      </c>
      <c r="D507" t="s">
        <v>9378</v>
      </c>
      <c r="E507" t="s">
        <v>9378</v>
      </c>
    </row>
    <row r="508" spans="1:5" x14ac:dyDescent="0.25">
      <c r="A508" t="s">
        <v>10336</v>
      </c>
      <c r="B508" t="s">
        <v>10337</v>
      </c>
      <c r="C508" t="s">
        <v>9378</v>
      </c>
      <c r="D508" t="s">
        <v>9378</v>
      </c>
      <c r="E508" t="s">
        <v>9378</v>
      </c>
    </row>
    <row r="509" spans="1:5" x14ac:dyDescent="0.25">
      <c r="A509" t="s">
        <v>10338</v>
      </c>
      <c r="B509" t="s">
        <v>10339</v>
      </c>
      <c r="C509" t="s">
        <v>9378</v>
      </c>
      <c r="D509" t="s">
        <v>9378</v>
      </c>
      <c r="E509" t="s">
        <v>9378</v>
      </c>
    </row>
    <row r="510" spans="1:5" x14ac:dyDescent="0.25">
      <c r="A510" t="s">
        <v>10340</v>
      </c>
      <c r="B510" t="s">
        <v>10341</v>
      </c>
      <c r="C510" t="s">
        <v>9378</v>
      </c>
      <c r="D510" t="s">
        <v>9378</v>
      </c>
      <c r="E510" t="s">
        <v>9378</v>
      </c>
    </row>
    <row r="511" spans="1:5" x14ac:dyDescent="0.25">
      <c r="A511" t="s">
        <v>10342</v>
      </c>
      <c r="B511" t="s">
        <v>10343</v>
      </c>
      <c r="C511" t="s">
        <v>9378</v>
      </c>
      <c r="D511" t="s">
        <v>9378</v>
      </c>
      <c r="E511" t="s">
        <v>9378</v>
      </c>
    </row>
    <row r="512" spans="1:5" x14ac:dyDescent="0.25">
      <c r="A512" t="s">
        <v>10344</v>
      </c>
      <c r="B512" t="s">
        <v>10345</v>
      </c>
      <c r="C512" t="s">
        <v>9378</v>
      </c>
      <c r="D512" t="s">
        <v>9378</v>
      </c>
      <c r="E512" t="s">
        <v>9378</v>
      </c>
    </row>
    <row r="513" spans="1:5" x14ac:dyDescent="0.25">
      <c r="A513" t="s">
        <v>82</v>
      </c>
      <c r="B513" t="s">
        <v>83</v>
      </c>
      <c r="C513" t="s">
        <v>9378</v>
      </c>
      <c r="D513" t="s">
        <v>9378</v>
      </c>
      <c r="E513" t="s">
        <v>9378</v>
      </c>
    </row>
    <row r="514" spans="1:5" x14ac:dyDescent="0.25">
      <c r="A514" t="s">
        <v>88</v>
      </c>
      <c r="B514" t="s">
        <v>89</v>
      </c>
      <c r="C514" t="s">
        <v>9378</v>
      </c>
      <c r="D514" t="s">
        <v>9378</v>
      </c>
      <c r="E514" t="s">
        <v>9378</v>
      </c>
    </row>
    <row r="515" spans="1:5" x14ac:dyDescent="0.25">
      <c r="A515" t="s">
        <v>61</v>
      </c>
      <c r="B515" t="s">
        <v>10346</v>
      </c>
      <c r="C515" t="s">
        <v>9378</v>
      </c>
      <c r="D515" t="s">
        <v>9378</v>
      </c>
      <c r="E515" t="s">
        <v>9378</v>
      </c>
    </row>
    <row r="516" spans="1:5" x14ac:dyDescent="0.25">
      <c r="A516" t="s">
        <v>58</v>
      </c>
      <c r="B516" t="s">
        <v>10347</v>
      </c>
      <c r="C516" t="s">
        <v>9378</v>
      </c>
      <c r="D516" t="s">
        <v>9378</v>
      </c>
      <c r="E516" t="s">
        <v>9378</v>
      </c>
    </row>
    <row r="517" spans="1:5" x14ac:dyDescent="0.25">
      <c r="A517" t="s">
        <v>31</v>
      </c>
      <c r="B517" t="s">
        <v>10348</v>
      </c>
      <c r="C517" t="s">
        <v>9378</v>
      </c>
      <c r="D517" t="s">
        <v>9378</v>
      </c>
      <c r="E517" t="s">
        <v>9378</v>
      </c>
    </row>
    <row r="518" spans="1:5" x14ac:dyDescent="0.25">
      <c r="A518" t="s">
        <v>40</v>
      </c>
      <c r="B518" t="s">
        <v>10349</v>
      </c>
      <c r="C518" t="s">
        <v>9378</v>
      </c>
      <c r="D518" t="s">
        <v>9378</v>
      </c>
      <c r="E518" t="s">
        <v>9378</v>
      </c>
    </row>
    <row r="519" spans="1:5" x14ac:dyDescent="0.25">
      <c r="A519" t="s">
        <v>118</v>
      </c>
      <c r="B519" t="s">
        <v>119</v>
      </c>
      <c r="C519" t="s">
        <v>9378</v>
      </c>
      <c r="D519" t="s">
        <v>9378</v>
      </c>
      <c r="E519" t="s">
        <v>9378</v>
      </c>
    </row>
    <row r="520" spans="1:5" x14ac:dyDescent="0.25">
      <c r="A520" t="s">
        <v>266</v>
      </c>
      <c r="B520" t="s">
        <v>267</v>
      </c>
      <c r="C520" t="s">
        <v>9378</v>
      </c>
      <c r="D520" t="s">
        <v>9378</v>
      </c>
      <c r="E520" t="s">
        <v>9378</v>
      </c>
    </row>
    <row r="521" spans="1:5" x14ac:dyDescent="0.25">
      <c r="A521" t="s">
        <v>10350</v>
      </c>
      <c r="B521" t="s">
        <v>10351</v>
      </c>
      <c r="C521" t="s">
        <v>9378</v>
      </c>
      <c r="D521" t="s">
        <v>9378</v>
      </c>
      <c r="E521" t="s">
        <v>9378</v>
      </c>
    </row>
    <row r="522" spans="1:5" x14ac:dyDescent="0.25">
      <c r="A522" t="s">
        <v>10352</v>
      </c>
      <c r="B522" t="s">
        <v>10353</v>
      </c>
      <c r="C522" t="s">
        <v>9378</v>
      </c>
      <c r="D522" t="s">
        <v>9378</v>
      </c>
      <c r="E522" t="s">
        <v>9378</v>
      </c>
    </row>
    <row r="523" spans="1:5" x14ac:dyDescent="0.25">
      <c r="A523" t="s">
        <v>10354</v>
      </c>
      <c r="B523" t="s">
        <v>10355</v>
      </c>
      <c r="C523" t="s">
        <v>9378</v>
      </c>
      <c r="D523" t="s">
        <v>9378</v>
      </c>
      <c r="E523" t="s">
        <v>9378</v>
      </c>
    </row>
    <row r="524" spans="1:5" x14ac:dyDescent="0.25">
      <c r="A524" t="s">
        <v>10356</v>
      </c>
      <c r="B524" t="s">
        <v>10357</v>
      </c>
      <c r="C524" t="s">
        <v>9378</v>
      </c>
      <c r="D524" t="s">
        <v>9378</v>
      </c>
      <c r="E524" t="s">
        <v>9378</v>
      </c>
    </row>
    <row r="525" spans="1:5" x14ac:dyDescent="0.25">
      <c r="A525" t="s">
        <v>260</v>
      </c>
      <c r="B525" t="s">
        <v>261</v>
      </c>
      <c r="C525" t="s">
        <v>9378</v>
      </c>
      <c r="D525" t="s">
        <v>9378</v>
      </c>
      <c r="E525" t="s">
        <v>9378</v>
      </c>
    </row>
    <row r="526" spans="1:5" x14ac:dyDescent="0.25">
      <c r="A526" t="s">
        <v>10358</v>
      </c>
      <c r="B526" t="s">
        <v>10359</v>
      </c>
      <c r="C526" t="s">
        <v>9378</v>
      </c>
      <c r="D526" t="s">
        <v>9378</v>
      </c>
      <c r="E526" t="s">
        <v>9378</v>
      </c>
    </row>
    <row r="527" spans="1:5" x14ac:dyDescent="0.25">
      <c r="A527" t="s">
        <v>10360</v>
      </c>
      <c r="B527" t="s">
        <v>10361</v>
      </c>
      <c r="C527" t="s">
        <v>9378</v>
      </c>
      <c r="D527" t="s">
        <v>9378</v>
      </c>
      <c r="E527" t="s">
        <v>9378</v>
      </c>
    </row>
    <row r="528" spans="1:5" x14ac:dyDescent="0.25">
      <c r="A528" t="s">
        <v>37</v>
      </c>
      <c r="B528" t="s">
        <v>10362</v>
      </c>
      <c r="C528" t="s">
        <v>9378</v>
      </c>
      <c r="D528" t="s">
        <v>9378</v>
      </c>
      <c r="E528" t="s">
        <v>9378</v>
      </c>
    </row>
    <row r="529" spans="1:5" x14ac:dyDescent="0.25">
      <c r="A529" t="s">
        <v>73</v>
      </c>
      <c r="B529" t="s">
        <v>10363</v>
      </c>
      <c r="C529" t="s">
        <v>9378</v>
      </c>
      <c r="D529" t="s">
        <v>9378</v>
      </c>
      <c r="E529" t="s">
        <v>9378</v>
      </c>
    </row>
    <row r="530" spans="1:5" x14ac:dyDescent="0.25">
      <c r="A530" t="s">
        <v>206</v>
      </c>
      <c r="B530" t="s">
        <v>10364</v>
      </c>
      <c r="C530" t="s">
        <v>9378</v>
      </c>
      <c r="D530" t="s">
        <v>9378</v>
      </c>
      <c r="E530" t="s">
        <v>9378</v>
      </c>
    </row>
    <row r="531" spans="1:5" x14ac:dyDescent="0.25">
      <c r="A531" t="s">
        <v>227</v>
      </c>
      <c r="B531" t="s">
        <v>10365</v>
      </c>
      <c r="C531" t="s">
        <v>9378</v>
      </c>
      <c r="D531" t="s">
        <v>9378</v>
      </c>
      <c r="E531" t="s">
        <v>9378</v>
      </c>
    </row>
    <row r="532" spans="1:5" x14ac:dyDescent="0.25">
      <c r="A532" t="s">
        <v>194</v>
      </c>
      <c r="B532" t="s">
        <v>10366</v>
      </c>
      <c r="C532" t="s">
        <v>9378</v>
      </c>
      <c r="D532" t="s">
        <v>9378</v>
      </c>
      <c r="E532" t="s">
        <v>9378</v>
      </c>
    </row>
    <row r="533" spans="1:5" x14ac:dyDescent="0.25">
      <c r="A533" t="s">
        <v>215</v>
      </c>
      <c r="B533" t="s">
        <v>10367</v>
      </c>
      <c r="C533" t="s">
        <v>9378</v>
      </c>
      <c r="D533" t="s">
        <v>9378</v>
      </c>
      <c r="E533" t="s">
        <v>9378</v>
      </c>
    </row>
    <row r="534" spans="1:5" x14ac:dyDescent="0.25">
      <c r="A534" t="s">
        <v>10368</v>
      </c>
      <c r="B534" t="s">
        <v>10369</v>
      </c>
      <c r="C534" t="s">
        <v>9378</v>
      </c>
      <c r="D534" t="s">
        <v>9378</v>
      </c>
      <c r="E534" t="s">
        <v>9378</v>
      </c>
    </row>
    <row r="535" spans="1:5" x14ac:dyDescent="0.25">
      <c r="A535" t="s">
        <v>10370</v>
      </c>
      <c r="B535" t="s">
        <v>10371</v>
      </c>
      <c r="C535" t="s">
        <v>9378</v>
      </c>
      <c r="D535" t="s">
        <v>9378</v>
      </c>
      <c r="E535" t="s">
        <v>9378</v>
      </c>
    </row>
    <row r="536" spans="1:5" x14ac:dyDescent="0.25">
      <c r="A536" t="s">
        <v>10372</v>
      </c>
      <c r="B536" t="s">
        <v>10373</v>
      </c>
      <c r="C536" t="s">
        <v>9378</v>
      </c>
      <c r="D536" t="s">
        <v>9378</v>
      </c>
      <c r="E536" t="s">
        <v>9378</v>
      </c>
    </row>
    <row r="537" spans="1:5" x14ac:dyDescent="0.25">
      <c r="A537" t="s">
        <v>10374</v>
      </c>
      <c r="B537" t="s">
        <v>10375</v>
      </c>
      <c r="C537" t="s">
        <v>9378</v>
      </c>
      <c r="D537" t="s">
        <v>9378</v>
      </c>
      <c r="E537" t="s">
        <v>9378</v>
      </c>
    </row>
    <row r="538" spans="1:5" x14ac:dyDescent="0.25">
      <c r="A538" t="s">
        <v>10376</v>
      </c>
      <c r="B538" t="s">
        <v>10377</v>
      </c>
      <c r="C538" t="s">
        <v>9378</v>
      </c>
      <c r="D538" t="s">
        <v>9378</v>
      </c>
      <c r="E538" t="s">
        <v>9378</v>
      </c>
    </row>
    <row r="539" spans="1:5" x14ac:dyDescent="0.25">
      <c r="A539" t="s">
        <v>10378</v>
      </c>
      <c r="B539" t="s">
        <v>10379</v>
      </c>
      <c r="C539" t="s">
        <v>9378</v>
      </c>
      <c r="D539" t="s">
        <v>9378</v>
      </c>
      <c r="E539" t="s">
        <v>9378</v>
      </c>
    </row>
    <row r="540" spans="1:5" x14ac:dyDescent="0.25">
      <c r="A540" t="s">
        <v>10380</v>
      </c>
      <c r="B540" t="s">
        <v>10381</v>
      </c>
      <c r="C540" t="s">
        <v>9378</v>
      </c>
      <c r="D540" t="s">
        <v>9378</v>
      </c>
      <c r="E540" t="s">
        <v>9378</v>
      </c>
    </row>
    <row r="541" spans="1:5" x14ac:dyDescent="0.25">
      <c r="A541" t="s">
        <v>10382</v>
      </c>
      <c r="B541" t="s">
        <v>10383</v>
      </c>
      <c r="C541" t="s">
        <v>9378</v>
      </c>
      <c r="D541" t="s">
        <v>9378</v>
      </c>
      <c r="E541" t="s">
        <v>9378</v>
      </c>
    </row>
    <row r="542" spans="1:5" x14ac:dyDescent="0.25">
      <c r="A542" t="s">
        <v>10384</v>
      </c>
      <c r="B542" t="s">
        <v>10385</v>
      </c>
      <c r="C542" t="s">
        <v>9378</v>
      </c>
      <c r="D542" t="s">
        <v>9378</v>
      </c>
      <c r="E542" t="s">
        <v>9378</v>
      </c>
    </row>
    <row r="543" spans="1:5" x14ac:dyDescent="0.25">
      <c r="A543" t="s">
        <v>10386</v>
      </c>
      <c r="B543" t="s">
        <v>10387</v>
      </c>
      <c r="C543" t="s">
        <v>9378</v>
      </c>
      <c r="D543" t="s">
        <v>9378</v>
      </c>
      <c r="E543" t="s">
        <v>9378</v>
      </c>
    </row>
    <row r="544" spans="1:5" x14ac:dyDescent="0.25">
      <c r="A544" t="s">
        <v>10388</v>
      </c>
      <c r="B544" t="s">
        <v>10389</v>
      </c>
      <c r="C544" t="s">
        <v>9378</v>
      </c>
      <c r="D544" t="s">
        <v>9378</v>
      </c>
      <c r="E544" t="s">
        <v>9378</v>
      </c>
    </row>
    <row r="545" spans="1:5" x14ac:dyDescent="0.25">
      <c r="A545" t="s">
        <v>10390</v>
      </c>
      <c r="B545" t="s">
        <v>10391</v>
      </c>
      <c r="C545" t="s">
        <v>9378</v>
      </c>
      <c r="D545" t="s">
        <v>9378</v>
      </c>
      <c r="E545" t="s">
        <v>9378</v>
      </c>
    </row>
    <row r="546" spans="1:5" x14ac:dyDescent="0.25">
      <c r="A546" t="s">
        <v>10392</v>
      </c>
      <c r="B546" t="s">
        <v>10393</v>
      </c>
      <c r="C546" t="s">
        <v>9378</v>
      </c>
      <c r="D546" t="s">
        <v>9378</v>
      </c>
      <c r="E546" t="s">
        <v>9378</v>
      </c>
    </row>
    <row r="547" spans="1:5" x14ac:dyDescent="0.25">
      <c r="A547" t="s">
        <v>10394</v>
      </c>
      <c r="B547" t="s">
        <v>10395</v>
      </c>
      <c r="C547" t="s">
        <v>9378</v>
      </c>
      <c r="D547" t="s">
        <v>9378</v>
      </c>
      <c r="E547" t="s">
        <v>9378</v>
      </c>
    </row>
    <row r="548" spans="1:5" x14ac:dyDescent="0.25">
      <c r="A548" t="s">
        <v>10396</v>
      </c>
      <c r="B548" t="s">
        <v>10397</v>
      </c>
      <c r="C548" t="s">
        <v>9378</v>
      </c>
      <c r="D548" t="s">
        <v>9378</v>
      </c>
      <c r="E548" t="s">
        <v>9378</v>
      </c>
    </row>
    <row r="549" spans="1:5" x14ac:dyDescent="0.25">
      <c r="A549" t="s">
        <v>10398</v>
      </c>
      <c r="B549" t="s">
        <v>10399</v>
      </c>
      <c r="C549" t="s">
        <v>9378</v>
      </c>
      <c r="D549" t="s">
        <v>9378</v>
      </c>
      <c r="E549" t="s">
        <v>9378</v>
      </c>
    </row>
    <row r="550" spans="1:5" x14ac:dyDescent="0.25">
      <c r="A550" t="s">
        <v>10400</v>
      </c>
      <c r="B550" t="s">
        <v>10401</v>
      </c>
      <c r="C550" t="s">
        <v>9378</v>
      </c>
      <c r="D550" t="s">
        <v>9378</v>
      </c>
      <c r="E550" t="s">
        <v>9378</v>
      </c>
    </row>
    <row r="551" spans="1:5" x14ac:dyDescent="0.25">
      <c r="A551" t="s">
        <v>10402</v>
      </c>
      <c r="B551" t="s">
        <v>10403</v>
      </c>
      <c r="C551" t="s">
        <v>9378</v>
      </c>
      <c r="D551" t="s">
        <v>9378</v>
      </c>
      <c r="E551" t="s">
        <v>9405</v>
      </c>
    </row>
    <row r="552" spans="1:5" x14ac:dyDescent="0.25">
      <c r="A552" t="s">
        <v>10404</v>
      </c>
      <c r="B552" t="s">
        <v>10405</v>
      </c>
      <c r="C552" t="s">
        <v>9378</v>
      </c>
      <c r="D552" t="s">
        <v>9378</v>
      </c>
      <c r="E552" t="s">
        <v>9378</v>
      </c>
    </row>
    <row r="553" spans="1:5" x14ac:dyDescent="0.25">
      <c r="A553" t="s">
        <v>115</v>
      </c>
      <c r="B553" t="s">
        <v>10406</v>
      </c>
      <c r="C553" t="s">
        <v>9378</v>
      </c>
      <c r="D553" t="s">
        <v>9378</v>
      </c>
      <c r="E553" t="s">
        <v>9378</v>
      </c>
    </row>
    <row r="554" spans="1:5" x14ac:dyDescent="0.25">
      <c r="A554" t="s">
        <v>85</v>
      </c>
      <c r="B554" t="s">
        <v>10407</v>
      </c>
      <c r="C554" t="s">
        <v>9378</v>
      </c>
      <c r="D554" t="s">
        <v>9378</v>
      </c>
      <c r="E554" t="s">
        <v>9378</v>
      </c>
    </row>
    <row r="555" spans="1:5" x14ac:dyDescent="0.25">
      <c r="A555" t="s">
        <v>106</v>
      </c>
      <c r="B555" t="s">
        <v>10408</v>
      </c>
      <c r="C555" t="s">
        <v>9378</v>
      </c>
      <c r="D555" t="s">
        <v>9378</v>
      </c>
      <c r="E555" t="s">
        <v>9378</v>
      </c>
    </row>
    <row r="556" spans="1:5" x14ac:dyDescent="0.25">
      <c r="A556" t="s">
        <v>224</v>
      </c>
      <c r="B556" t="s">
        <v>10409</v>
      </c>
      <c r="C556" t="s">
        <v>9378</v>
      </c>
      <c r="D556" t="s">
        <v>9378</v>
      </c>
      <c r="E556" t="s">
        <v>9378</v>
      </c>
    </row>
    <row r="557" spans="1:5" x14ac:dyDescent="0.25">
      <c r="A557" t="s">
        <v>10410</v>
      </c>
      <c r="B557" t="s">
        <v>10411</v>
      </c>
      <c r="C557" t="s">
        <v>9378</v>
      </c>
      <c r="D557" t="s">
        <v>9378</v>
      </c>
      <c r="E557" t="s">
        <v>9378</v>
      </c>
    </row>
    <row r="558" spans="1:5" x14ac:dyDescent="0.25">
      <c r="A558" t="s">
        <v>124</v>
      </c>
      <c r="B558" t="s">
        <v>125</v>
      </c>
      <c r="C558" t="s">
        <v>9378</v>
      </c>
      <c r="D558" t="s">
        <v>9378</v>
      </c>
      <c r="E558" t="s">
        <v>9378</v>
      </c>
    </row>
    <row r="559" spans="1:5" x14ac:dyDescent="0.25">
      <c r="A559" t="s">
        <v>10412</v>
      </c>
      <c r="B559" t="s">
        <v>10413</v>
      </c>
      <c r="C559" t="s">
        <v>9378</v>
      </c>
      <c r="D559" t="s">
        <v>9378</v>
      </c>
      <c r="E559" t="s">
        <v>9378</v>
      </c>
    </row>
    <row r="560" spans="1:5" x14ac:dyDescent="0.25">
      <c r="A560" t="s">
        <v>10414</v>
      </c>
      <c r="B560" t="s">
        <v>10415</v>
      </c>
      <c r="C560" t="s">
        <v>9378</v>
      </c>
      <c r="D560" t="s">
        <v>9378</v>
      </c>
      <c r="E560" t="s">
        <v>9378</v>
      </c>
    </row>
    <row r="561" spans="1:5" x14ac:dyDescent="0.25">
      <c r="A561" t="s">
        <v>10416</v>
      </c>
      <c r="B561" t="s">
        <v>10417</v>
      </c>
      <c r="C561" t="s">
        <v>9378</v>
      </c>
      <c r="D561" t="s">
        <v>9378</v>
      </c>
      <c r="E561" t="s">
        <v>9378</v>
      </c>
    </row>
    <row r="562" spans="1:5" x14ac:dyDescent="0.25">
      <c r="A562" t="s">
        <v>10418</v>
      </c>
      <c r="B562" t="s">
        <v>10419</v>
      </c>
      <c r="C562" t="s">
        <v>9378</v>
      </c>
      <c r="D562" t="s">
        <v>9378</v>
      </c>
      <c r="E562" t="s">
        <v>9378</v>
      </c>
    </row>
    <row r="563" spans="1:5" x14ac:dyDescent="0.25">
      <c r="A563" t="s">
        <v>10420</v>
      </c>
      <c r="B563" t="s">
        <v>10421</v>
      </c>
      <c r="C563" t="s">
        <v>9378</v>
      </c>
      <c r="D563" t="s">
        <v>9378</v>
      </c>
      <c r="E563" t="s">
        <v>9378</v>
      </c>
    </row>
    <row r="564" spans="1:5" x14ac:dyDescent="0.25">
      <c r="A564" t="s">
        <v>10422</v>
      </c>
      <c r="B564" t="s">
        <v>10423</v>
      </c>
      <c r="C564" t="s">
        <v>9378</v>
      </c>
      <c r="D564" t="s">
        <v>9378</v>
      </c>
      <c r="E564" t="s">
        <v>9378</v>
      </c>
    </row>
    <row r="565" spans="1:5" x14ac:dyDescent="0.25">
      <c r="A565" t="s">
        <v>191</v>
      </c>
      <c r="B565" t="s">
        <v>192</v>
      </c>
      <c r="C565" t="s">
        <v>9378</v>
      </c>
      <c r="D565" t="s">
        <v>9378</v>
      </c>
      <c r="E565" t="s">
        <v>9378</v>
      </c>
    </row>
    <row r="566" spans="1:5" x14ac:dyDescent="0.25">
      <c r="A566" t="s">
        <v>52</v>
      </c>
      <c r="B566" t="s">
        <v>53</v>
      </c>
      <c r="C566" t="s">
        <v>9378</v>
      </c>
      <c r="D566" t="s">
        <v>9378</v>
      </c>
      <c r="E566" t="s">
        <v>9378</v>
      </c>
    </row>
    <row r="567" spans="1:5" x14ac:dyDescent="0.25">
      <c r="A567" t="s">
        <v>25</v>
      </c>
      <c r="B567" t="s">
        <v>10424</v>
      </c>
      <c r="C567" t="s">
        <v>9378</v>
      </c>
      <c r="D567" t="s">
        <v>9378</v>
      </c>
      <c r="E567" t="s">
        <v>9378</v>
      </c>
    </row>
    <row r="568" spans="1:5" x14ac:dyDescent="0.25">
      <c r="A568" t="s">
        <v>94</v>
      </c>
      <c r="B568" t="s">
        <v>95</v>
      </c>
      <c r="C568" t="s">
        <v>9378</v>
      </c>
      <c r="D568" t="s">
        <v>9378</v>
      </c>
      <c r="E568" t="s">
        <v>9378</v>
      </c>
    </row>
    <row r="569" spans="1:5" x14ac:dyDescent="0.25">
      <c r="A569" t="s">
        <v>109</v>
      </c>
      <c r="B569" t="s">
        <v>110</v>
      </c>
      <c r="C569" t="s">
        <v>9378</v>
      </c>
      <c r="D569" t="s">
        <v>9378</v>
      </c>
      <c r="E569" t="s">
        <v>9378</v>
      </c>
    </row>
    <row r="570" spans="1:5" x14ac:dyDescent="0.25">
      <c r="A570" t="s">
        <v>311</v>
      </c>
      <c r="B570" t="s">
        <v>312</v>
      </c>
      <c r="C570" t="s">
        <v>9378</v>
      </c>
      <c r="D570" t="s">
        <v>9378</v>
      </c>
      <c r="E570" t="s">
        <v>9378</v>
      </c>
    </row>
    <row r="571" spans="1:5" x14ac:dyDescent="0.25">
      <c r="A571" t="s">
        <v>10425</v>
      </c>
      <c r="B571" t="s">
        <v>10426</v>
      </c>
      <c r="C571" t="s">
        <v>9378</v>
      </c>
      <c r="D571" t="s">
        <v>9378</v>
      </c>
      <c r="E571" t="s">
        <v>9378</v>
      </c>
    </row>
    <row r="572" spans="1:5" x14ac:dyDescent="0.25">
      <c r="A572" t="s">
        <v>10427</v>
      </c>
      <c r="B572" t="s">
        <v>10428</v>
      </c>
      <c r="C572" t="s">
        <v>9378</v>
      </c>
      <c r="D572" t="s">
        <v>9378</v>
      </c>
      <c r="E572" t="s">
        <v>9378</v>
      </c>
    </row>
    <row r="573" spans="1:5" x14ac:dyDescent="0.25">
      <c r="A573" t="s">
        <v>218</v>
      </c>
      <c r="B573" t="s">
        <v>10429</v>
      </c>
      <c r="C573" t="s">
        <v>9378</v>
      </c>
      <c r="D573" t="s">
        <v>9378</v>
      </c>
      <c r="E573" t="s">
        <v>9378</v>
      </c>
    </row>
    <row r="574" spans="1:5" x14ac:dyDescent="0.25">
      <c r="A574" t="s">
        <v>239</v>
      </c>
      <c r="B574" t="s">
        <v>10430</v>
      </c>
      <c r="C574" t="s">
        <v>9378</v>
      </c>
      <c r="D574" t="s">
        <v>9378</v>
      </c>
      <c r="E574" t="s">
        <v>9378</v>
      </c>
    </row>
    <row r="575" spans="1:5" x14ac:dyDescent="0.25">
      <c r="A575" t="s">
        <v>3</v>
      </c>
      <c r="B575" t="s">
        <v>10431</v>
      </c>
      <c r="C575" t="s">
        <v>9378</v>
      </c>
      <c r="D575" t="s">
        <v>9378</v>
      </c>
      <c r="E575" t="s">
        <v>9378</v>
      </c>
    </row>
    <row r="576" spans="1:5" x14ac:dyDescent="0.25">
      <c r="A576" t="s">
        <v>10432</v>
      </c>
      <c r="B576" t="s">
        <v>10433</v>
      </c>
      <c r="C576" t="s">
        <v>9378</v>
      </c>
      <c r="D576" t="s">
        <v>9378</v>
      </c>
      <c r="E576" t="s">
        <v>9378</v>
      </c>
    </row>
    <row r="577" spans="1:5" x14ac:dyDescent="0.25">
      <c r="A577" t="s">
        <v>10434</v>
      </c>
      <c r="B577" t="s">
        <v>10435</v>
      </c>
      <c r="C577" t="s">
        <v>9378</v>
      </c>
      <c r="D577" t="s">
        <v>9378</v>
      </c>
      <c r="E577" t="s">
        <v>9405</v>
      </c>
    </row>
    <row r="578" spans="1:5" x14ac:dyDescent="0.25">
      <c r="A578" t="s">
        <v>10436</v>
      </c>
      <c r="B578" t="s">
        <v>10437</v>
      </c>
      <c r="C578" t="s">
        <v>9378</v>
      </c>
      <c r="D578" t="s">
        <v>9378</v>
      </c>
      <c r="E578" t="s">
        <v>9378</v>
      </c>
    </row>
    <row r="579" spans="1:5" x14ac:dyDescent="0.25">
      <c r="A579" t="s">
        <v>10438</v>
      </c>
      <c r="B579" t="s">
        <v>10439</v>
      </c>
      <c r="C579" t="s">
        <v>9378</v>
      </c>
      <c r="D579" t="s">
        <v>9378</v>
      </c>
      <c r="E579" t="s">
        <v>9378</v>
      </c>
    </row>
    <row r="580" spans="1:5" x14ac:dyDescent="0.25">
      <c r="A580" t="s">
        <v>10440</v>
      </c>
      <c r="B580" t="s">
        <v>10441</v>
      </c>
      <c r="C580" t="s">
        <v>9378</v>
      </c>
      <c r="D580" t="s">
        <v>9378</v>
      </c>
      <c r="E580" t="s">
        <v>9378</v>
      </c>
    </row>
    <row r="581" spans="1:5" x14ac:dyDescent="0.25">
      <c r="A581" t="s">
        <v>10442</v>
      </c>
      <c r="B581" t="s">
        <v>10443</v>
      </c>
      <c r="C581" t="s">
        <v>9378</v>
      </c>
      <c r="D581" t="s">
        <v>9378</v>
      </c>
      <c r="E581" t="s">
        <v>9378</v>
      </c>
    </row>
    <row r="582" spans="1:5" x14ac:dyDescent="0.25">
      <c r="A582" t="s">
        <v>10444</v>
      </c>
      <c r="B582" t="s">
        <v>10445</v>
      </c>
      <c r="C582" t="s">
        <v>9378</v>
      </c>
      <c r="D582" t="s">
        <v>9378</v>
      </c>
      <c r="E582" t="s">
        <v>9378</v>
      </c>
    </row>
    <row r="583" spans="1:5" x14ac:dyDescent="0.25">
      <c r="A583" t="s">
        <v>10446</v>
      </c>
      <c r="B583" t="s">
        <v>10447</v>
      </c>
      <c r="C583" t="s">
        <v>9378</v>
      </c>
      <c r="D583" t="s">
        <v>9378</v>
      </c>
      <c r="E583" t="s">
        <v>9378</v>
      </c>
    </row>
    <row r="584" spans="1:5" x14ac:dyDescent="0.25">
      <c r="A584" t="s">
        <v>10448</v>
      </c>
      <c r="B584" t="s">
        <v>10449</v>
      </c>
      <c r="C584" t="s">
        <v>9378</v>
      </c>
      <c r="D584" t="s">
        <v>9378</v>
      </c>
      <c r="E584" t="s">
        <v>9378</v>
      </c>
    </row>
    <row r="585" spans="1:5" x14ac:dyDescent="0.25">
      <c r="A585" t="s">
        <v>79</v>
      </c>
      <c r="B585" t="s">
        <v>10450</v>
      </c>
      <c r="C585" t="s">
        <v>9378</v>
      </c>
      <c r="D585" t="s">
        <v>9378</v>
      </c>
      <c r="E585" t="s">
        <v>9378</v>
      </c>
    </row>
    <row r="586" spans="1:5" x14ac:dyDescent="0.25">
      <c r="A586" t="s">
        <v>103</v>
      </c>
      <c r="B586" t="s">
        <v>10451</v>
      </c>
      <c r="C586" t="s">
        <v>9378</v>
      </c>
      <c r="D586" t="s">
        <v>9378</v>
      </c>
      <c r="E586" t="s">
        <v>9378</v>
      </c>
    </row>
    <row r="587" spans="1:5" x14ac:dyDescent="0.25">
      <c r="A587" t="s">
        <v>317</v>
      </c>
      <c r="B587" t="s">
        <v>10452</v>
      </c>
      <c r="C587" t="s">
        <v>9378</v>
      </c>
      <c r="D587" t="s">
        <v>9378</v>
      </c>
      <c r="E587" t="s">
        <v>9378</v>
      </c>
    </row>
    <row r="588" spans="1:5" x14ac:dyDescent="0.25">
      <c r="A588" t="s">
        <v>10453</v>
      </c>
      <c r="B588" t="s">
        <v>10454</v>
      </c>
      <c r="C588" t="s">
        <v>9378</v>
      </c>
      <c r="D588" t="s">
        <v>9378</v>
      </c>
      <c r="E588" t="s">
        <v>9378</v>
      </c>
    </row>
    <row r="589" spans="1:5" x14ac:dyDescent="0.25">
      <c r="A589" t="s">
        <v>10455</v>
      </c>
      <c r="B589" t="s">
        <v>10456</v>
      </c>
      <c r="C589" t="s">
        <v>9378</v>
      </c>
      <c r="D589" t="s">
        <v>9378</v>
      </c>
      <c r="E589" t="s">
        <v>9378</v>
      </c>
    </row>
    <row r="590" spans="1:5" x14ac:dyDescent="0.25">
      <c r="A590" t="s">
        <v>10457</v>
      </c>
      <c r="B590" t="s">
        <v>10458</v>
      </c>
      <c r="C590" t="s">
        <v>9378</v>
      </c>
      <c r="D590" t="s">
        <v>9378</v>
      </c>
      <c r="E590" t="s">
        <v>9378</v>
      </c>
    </row>
    <row r="591" spans="1:5" x14ac:dyDescent="0.25">
      <c r="A591" t="s">
        <v>10459</v>
      </c>
      <c r="B591" t="s">
        <v>10460</v>
      </c>
      <c r="C591" t="s">
        <v>9378</v>
      </c>
      <c r="D591" t="s">
        <v>9378</v>
      </c>
      <c r="E591" t="s">
        <v>9378</v>
      </c>
    </row>
    <row r="592" spans="1:5" x14ac:dyDescent="0.25">
      <c r="A592" t="s">
        <v>10461</v>
      </c>
      <c r="B592" t="s">
        <v>10462</v>
      </c>
      <c r="C592" t="s">
        <v>9378</v>
      </c>
      <c r="D592" t="s">
        <v>9378</v>
      </c>
      <c r="E592" t="s">
        <v>9378</v>
      </c>
    </row>
    <row r="593" spans="1:5" x14ac:dyDescent="0.25">
      <c r="A593" t="s">
        <v>10463</v>
      </c>
      <c r="B593" t="s">
        <v>10464</v>
      </c>
      <c r="C593" t="s">
        <v>9378</v>
      </c>
      <c r="D593" t="s">
        <v>9378</v>
      </c>
      <c r="E593" t="s">
        <v>9378</v>
      </c>
    </row>
    <row r="594" spans="1:5" x14ac:dyDescent="0.25">
      <c r="A594" t="s">
        <v>10465</v>
      </c>
      <c r="B594" t="s">
        <v>10466</v>
      </c>
      <c r="C594" t="s">
        <v>9378</v>
      </c>
      <c r="D594" t="s">
        <v>9378</v>
      </c>
      <c r="E594" t="s">
        <v>9378</v>
      </c>
    </row>
    <row r="595" spans="1:5" x14ac:dyDescent="0.25">
      <c r="A595" t="s">
        <v>10467</v>
      </c>
      <c r="B595" t="s">
        <v>10468</v>
      </c>
      <c r="C595" t="s">
        <v>9378</v>
      </c>
      <c r="D595" t="s">
        <v>9378</v>
      </c>
      <c r="E595" t="s">
        <v>9378</v>
      </c>
    </row>
    <row r="596" spans="1:5" x14ac:dyDescent="0.25">
      <c r="A596" t="s">
        <v>10469</v>
      </c>
      <c r="B596" t="s">
        <v>10470</v>
      </c>
      <c r="C596" t="s">
        <v>9378</v>
      </c>
      <c r="D596" t="s">
        <v>9378</v>
      </c>
      <c r="E596" t="s">
        <v>9378</v>
      </c>
    </row>
    <row r="597" spans="1:5" x14ac:dyDescent="0.25">
      <c r="A597" t="s">
        <v>10471</v>
      </c>
      <c r="B597" t="s">
        <v>10472</v>
      </c>
      <c r="C597" t="s">
        <v>9378</v>
      </c>
      <c r="D597" t="s">
        <v>9378</v>
      </c>
      <c r="E597" t="s">
        <v>9378</v>
      </c>
    </row>
    <row r="598" spans="1:5" x14ac:dyDescent="0.25">
      <c r="A598" t="s">
        <v>10473</v>
      </c>
      <c r="B598" t="s">
        <v>10474</v>
      </c>
      <c r="C598" t="s">
        <v>9378</v>
      </c>
      <c r="D598" t="s">
        <v>9378</v>
      </c>
      <c r="E598" t="s">
        <v>9378</v>
      </c>
    </row>
    <row r="599" spans="1:5" x14ac:dyDescent="0.25">
      <c r="A599" t="s">
        <v>10475</v>
      </c>
      <c r="B599" t="s">
        <v>10476</v>
      </c>
      <c r="C599" t="s">
        <v>9378</v>
      </c>
      <c r="D599" t="s">
        <v>9378</v>
      </c>
      <c r="E599" t="s">
        <v>9378</v>
      </c>
    </row>
    <row r="600" spans="1:5" x14ac:dyDescent="0.25">
      <c r="A600" t="s">
        <v>10477</v>
      </c>
      <c r="B600" t="s">
        <v>10478</v>
      </c>
      <c r="C600" t="s">
        <v>9378</v>
      </c>
      <c r="D600" t="s">
        <v>9378</v>
      </c>
      <c r="E600" t="s">
        <v>9378</v>
      </c>
    </row>
    <row r="601" spans="1:5" x14ac:dyDescent="0.25">
      <c r="A601" t="s">
        <v>10479</v>
      </c>
      <c r="B601" t="s">
        <v>10480</v>
      </c>
      <c r="C601" t="s">
        <v>9378</v>
      </c>
      <c r="D601" t="s">
        <v>9378</v>
      </c>
      <c r="E601" t="s">
        <v>9378</v>
      </c>
    </row>
    <row r="602" spans="1:5" x14ac:dyDescent="0.25">
      <c r="A602" t="s">
        <v>10481</v>
      </c>
      <c r="B602" t="s">
        <v>10482</v>
      </c>
      <c r="C602" t="s">
        <v>9378</v>
      </c>
      <c r="D602" t="s">
        <v>9378</v>
      </c>
      <c r="E602" t="s">
        <v>9378</v>
      </c>
    </row>
    <row r="603" spans="1:5" x14ac:dyDescent="0.25">
      <c r="A603" t="s">
        <v>10483</v>
      </c>
      <c r="B603" t="s">
        <v>10484</v>
      </c>
      <c r="C603" t="s">
        <v>9378</v>
      </c>
      <c r="D603" t="s">
        <v>9378</v>
      </c>
      <c r="E603" t="s">
        <v>9378</v>
      </c>
    </row>
    <row r="604" spans="1:5" x14ac:dyDescent="0.25">
      <c r="A604" t="s">
        <v>10485</v>
      </c>
      <c r="B604" t="s">
        <v>10486</v>
      </c>
      <c r="C604" t="s">
        <v>9378</v>
      </c>
      <c r="D604" t="s">
        <v>9378</v>
      </c>
      <c r="E604" t="s">
        <v>9378</v>
      </c>
    </row>
    <row r="605" spans="1:5" x14ac:dyDescent="0.25">
      <c r="A605" t="s">
        <v>10487</v>
      </c>
      <c r="B605" t="s">
        <v>10488</v>
      </c>
      <c r="C605" t="s">
        <v>9378</v>
      </c>
      <c r="D605" t="s">
        <v>9378</v>
      </c>
      <c r="E605" t="s">
        <v>9378</v>
      </c>
    </row>
    <row r="606" spans="1:5" x14ac:dyDescent="0.25">
      <c r="A606" t="s">
        <v>10489</v>
      </c>
      <c r="B606" t="s">
        <v>10490</v>
      </c>
      <c r="C606" t="s">
        <v>9378</v>
      </c>
      <c r="D606" t="s">
        <v>9378</v>
      </c>
      <c r="E606" t="s">
        <v>9378</v>
      </c>
    </row>
    <row r="607" spans="1:5" x14ac:dyDescent="0.25">
      <c r="A607" t="s">
        <v>302</v>
      </c>
      <c r="B607" t="s">
        <v>303</v>
      </c>
      <c r="C607" t="s">
        <v>9378</v>
      </c>
      <c r="D607" t="s">
        <v>9378</v>
      </c>
      <c r="E607" t="s">
        <v>9378</v>
      </c>
    </row>
    <row r="608" spans="1:5" x14ac:dyDescent="0.25">
      <c r="A608" t="s">
        <v>10491</v>
      </c>
      <c r="B608" t="s">
        <v>10492</v>
      </c>
      <c r="C608" t="s">
        <v>9378</v>
      </c>
      <c r="D608" t="s">
        <v>9378</v>
      </c>
      <c r="E608" t="s">
        <v>9378</v>
      </c>
    </row>
    <row r="609" spans="1:5" x14ac:dyDescent="0.25">
      <c r="A609" t="s">
        <v>10493</v>
      </c>
      <c r="B609" t="s">
        <v>10494</v>
      </c>
      <c r="C609" t="s">
        <v>9378</v>
      </c>
      <c r="D609" t="s">
        <v>9378</v>
      </c>
      <c r="E609" t="s">
        <v>9378</v>
      </c>
    </row>
    <row r="610" spans="1:5" x14ac:dyDescent="0.25">
      <c r="A610" t="s">
        <v>10495</v>
      </c>
      <c r="B610" t="s">
        <v>10496</v>
      </c>
      <c r="C610" t="s">
        <v>9378</v>
      </c>
      <c r="D610" t="s">
        <v>9378</v>
      </c>
      <c r="E610" t="s">
        <v>9378</v>
      </c>
    </row>
    <row r="611" spans="1:5" x14ac:dyDescent="0.25">
      <c r="A611" t="s">
        <v>112</v>
      </c>
      <c r="B611" t="s">
        <v>113</v>
      </c>
      <c r="C611" t="s">
        <v>9378</v>
      </c>
      <c r="D611" t="s">
        <v>9378</v>
      </c>
      <c r="E611" t="s">
        <v>9378</v>
      </c>
    </row>
    <row r="612" spans="1:5" x14ac:dyDescent="0.25">
      <c r="A612" t="s">
        <v>281</v>
      </c>
      <c r="B612" t="s">
        <v>282</v>
      </c>
      <c r="C612" t="s">
        <v>9378</v>
      </c>
      <c r="D612" t="s">
        <v>9378</v>
      </c>
      <c r="E612" t="s">
        <v>9378</v>
      </c>
    </row>
    <row r="613" spans="1:5" x14ac:dyDescent="0.25">
      <c r="A613" t="s">
        <v>290</v>
      </c>
      <c r="B613" t="s">
        <v>10497</v>
      </c>
      <c r="C613" t="s">
        <v>9378</v>
      </c>
      <c r="D613" t="s">
        <v>9378</v>
      </c>
      <c r="E613" t="s">
        <v>9378</v>
      </c>
    </row>
    <row r="614" spans="1:5" x14ac:dyDescent="0.25">
      <c r="A614" t="s">
        <v>97</v>
      </c>
      <c r="B614" t="s">
        <v>98</v>
      </c>
      <c r="C614" t="s">
        <v>9378</v>
      </c>
      <c r="D614" t="s">
        <v>9378</v>
      </c>
      <c r="E614" t="s">
        <v>9378</v>
      </c>
    </row>
    <row r="615" spans="1:5" x14ac:dyDescent="0.25">
      <c r="A615" t="s">
        <v>10498</v>
      </c>
      <c r="B615" t="s">
        <v>10499</v>
      </c>
      <c r="C615" t="s">
        <v>9378</v>
      </c>
      <c r="D615" t="s">
        <v>9378</v>
      </c>
      <c r="E615" t="s">
        <v>9378</v>
      </c>
    </row>
    <row r="616" spans="1:5" x14ac:dyDescent="0.25">
      <c r="A616" t="s">
        <v>10</v>
      </c>
      <c r="B616" t="s">
        <v>11</v>
      </c>
      <c r="C616" t="s">
        <v>9378</v>
      </c>
      <c r="D616" t="s">
        <v>9378</v>
      </c>
      <c r="E616" t="s">
        <v>9378</v>
      </c>
    </row>
    <row r="617" spans="1:5" x14ac:dyDescent="0.25">
      <c r="A617" t="s">
        <v>7</v>
      </c>
      <c r="B617" t="s">
        <v>10500</v>
      </c>
      <c r="C617" t="s">
        <v>9378</v>
      </c>
      <c r="D617" t="s">
        <v>9378</v>
      </c>
      <c r="E617" t="s">
        <v>9378</v>
      </c>
    </row>
    <row r="618" spans="1:5" x14ac:dyDescent="0.25">
      <c r="A618" t="s">
        <v>10501</v>
      </c>
      <c r="B618" t="s">
        <v>10502</v>
      </c>
      <c r="C618" t="s">
        <v>9378</v>
      </c>
      <c r="D618" t="s">
        <v>9378</v>
      </c>
      <c r="E618" t="s">
        <v>9378</v>
      </c>
    </row>
    <row r="619" spans="1:5" x14ac:dyDescent="0.25">
      <c r="A619" t="s">
        <v>10503</v>
      </c>
      <c r="B619" t="s">
        <v>10504</v>
      </c>
      <c r="C619" t="s">
        <v>9378</v>
      </c>
      <c r="D619" t="s">
        <v>9378</v>
      </c>
      <c r="E619" t="s">
        <v>9378</v>
      </c>
    </row>
    <row r="620" spans="1:5" x14ac:dyDescent="0.25">
      <c r="A620" t="s">
        <v>10505</v>
      </c>
      <c r="B620" t="s">
        <v>10506</v>
      </c>
      <c r="C620" t="s">
        <v>9378</v>
      </c>
      <c r="D620" t="s">
        <v>9378</v>
      </c>
      <c r="E620" t="s">
        <v>9378</v>
      </c>
    </row>
    <row r="621" spans="1:5" x14ac:dyDescent="0.25">
      <c r="A621" t="s">
        <v>10507</v>
      </c>
      <c r="B621" t="s">
        <v>10508</v>
      </c>
      <c r="C621" t="s">
        <v>9378</v>
      </c>
      <c r="D621" t="s">
        <v>9378</v>
      </c>
      <c r="E621" t="s">
        <v>9378</v>
      </c>
    </row>
    <row r="622" spans="1:5" x14ac:dyDescent="0.25">
      <c r="A622" t="s">
        <v>133</v>
      </c>
      <c r="B622" t="s">
        <v>134</v>
      </c>
      <c r="C622" t="s">
        <v>9378</v>
      </c>
      <c r="D622" t="s">
        <v>9378</v>
      </c>
      <c r="E622" t="s">
        <v>9378</v>
      </c>
    </row>
    <row r="623" spans="1:5" x14ac:dyDescent="0.25">
      <c r="A623" t="s">
        <v>10509</v>
      </c>
      <c r="B623" t="s">
        <v>10510</v>
      </c>
      <c r="C623" t="s">
        <v>9378</v>
      </c>
      <c r="D623" t="s">
        <v>9378</v>
      </c>
      <c r="E623" t="s">
        <v>9378</v>
      </c>
    </row>
    <row r="624" spans="1:5" x14ac:dyDescent="0.25">
      <c r="A624" t="s">
        <v>10511</v>
      </c>
      <c r="B624" t="s">
        <v>10512</v>
      </c>
      <c r="C624" t="s">
        <v>9378</v>
      </c>
      <c r="D624" t="s">
        <v>9378</v>
      </c>
      <c r="E624" t="s">
        <v>9378</v>
      </c>
    </row>
    <row r="625" spans="1:5" x14ac:dyDescent="0.25">
      <c r="A625" t="s">
        <v>10513</v>
      </c>
      <c r="B625" t="s">
        <v>10514</v>
      </c>
      <c r="C625" t="s">
        <v>9378</v>
      </c>
      <c r="D625" t="s">
        <v>9378</v>
      </c>
      <c r="E625" t="s">
        <v>9378</v>
      </c>
    </row>
    <row r="626" spans="1:5" x14ac:dyDescent="0.25">
      <c r="A626" t="s">
        <v>10515</v>
      </c>
      <c r="B626" t="s">
        <v>10516</v>
      </c>
      <c r="C626" t="s">
        <v>9378</v>
      </c>
      <c r="D626" t="s">
        <v>9378</v>
      </c>
      <c r="E626" t="s">
        <v>9378</v>
      </c>
    </row>
    <row r="627" spans="1:5" x14ac:dyDescent="0.25">
      <c r="A627" t="s">
        <v>10517</v>
      </c>
      <c r="B627" t="s">
        <v>10518</v>
      </c>
      <c r="C627" t="s">
        <v>9378</v>
      </c>
      <c r="D627" t="s">
        <v>9378</v>
      </c>
      <c r="E627" t="s">
        <v>9378</v>
      </c>
    </row>
    <row r="628" spans="1:5" x14ac:dyDescent="0.25">
      <c r="A628" t="s">
        <v>10519</v>
      </c>
      <c r="B628" t="s">
        <v>10520</v>
      </c>
      <c r="C628" t="s">
        <v>9378</v>
      </c>
      <c r="D628" t="s">
        <v>9378</v>
      </c>
      <c r="E628" t="s">
        <v>9378</v>
      </c>
    </row>
    <row r="629" spans="1:5" x14ac:dyDescent="0.25">
      <c r="A629" t="s">
        <v>10521</v>
      </c>
      <c r="B629" t="s">
        <v>10522</v>
      </c>
      <c r="C629" t="s">
        <v>9378</v>
      </c>
      <c r="D629" t="s">
        <v>9378</v>
      </c>
      <c r="E629" t="s">
        <v>9378</v>
      </c>
    </row>
    <row r="630" spans="1:5" x14ac:dyDescent="0.25">
      <c r="A630" t="s">
        <v>257</v>
      </c>
      <c r="B630" t="s">
        <v>10523</v>
      </c>
      <c r="C630" t="s">
        <v>9378</v>
      </c>
      <c r="D630" t="s">
        <v>9378</v>
      </c>
      <c r="E630" t="s">
        <v>9378</v>
      </c>
    </row>
    <row r="631" spans="1:5" x14ac:dyDescent="0.25">
      <c r="A631" t="s">
        <v>221</v>
      </c>
      <c r="B631" t="s">
        <v>10524</v>
      </c>
      <c r="C631" t="s">
        <v>9378</v>
      </c>
      <c r="D631" t="s">
        <v>9378</v>
      </c>
      <c r="E631" t="s">
        <v>9378</v>
      </c>
    </row>
    <row r="632" spans="1:5" x14ac:dyDescent="0.25">
      <c r="A632" t="s">
        <v>10525</v>
      </c>
      <c r="B632" t="s">
        <v>10526</v>
      </c>
      <c r="C632" t="s">
        <v>9378</v>
      </c>
      <c r="D632" t="s">
        <v>9378</v>
      </c>
      <c r="E632" t="s">
        <v>9378</v>
      </c>
    </row>
    <row r="633" spans="1:5" x14ac:dyDescent="0.25">
      <c r="A633" t="s">
        <v>10527</v>
      </c>
      <c r="B633" t="s">
        <v>10528</v>
      </c>
      <c r="C633" t="s">
        <v>9378</v>
      </c>
      <c r="D633" t="s">
        <v>9378</v>
      </c>
      <c r="E633" t="s">
        <v>9378</v>
      </c>
    </row>
    <row r="634" spans="1:5" x14ac:dyDescent="0.25">
      <c r="A634" t="s">
        <v>10529</v>
      </c>
      <c r="B634" t="s">
        <v>10530</v>
      </c>
      <c r="C634" t="s">
        <v>9378</v>
      </c>
      <c r="D634" t="s">
        <v>9378</v>
      </c>
      <c r="E634" t="s">
        <v>9378</v>
      </c>
    </row>
    <row r="635" spans="1:5" x14ac:dyDescent="0.25">
      <c r="A635" t="s">
        <v>10531</v>
      </c>
      <c r="B635" t="s">
        <v>10532</v>
      </c>
      <c r="C635" t="s">
        <v>9378</v>
      </c>
      <c r="D635" t="s">
        <v>9378</v>
      </c>
      <c r="E635" t="s">
        <v>9378</v>
      </c>
    </row>
    <row r="636" spans="1:5" x14ac:dyDescent="0.25">
      <c r="A636" t="s">
        <v>10533</v>
      </c>
      <c r="B636" t="s">
        <v>10534</v>
      </c>
      <c r="C636" t="s">
        <v>9378</v>
      </c>
      <c r="D636" t="s">
        <v>9378</v>
      </c>
      <c r="E636" t="s">
        <v>9378</v>
      </c>
    </row>
    <row r="637" spans="1:5" x14ac:dyDescent="0.25">
      <c r="A637" t="s">
        <v>46</v>
      </c>
      <c r="B637" t="s">
        <v>10535</v>
      </c>
      <c r="C637" t="s">
        <v>9378</v>
      </c>
      <c r="D637" t="s">
        <v>9378</v>
      </c>
      <c r="E637" t="s">
        <v>9378</v>
      </c>
    </row>
    <row r="638" spans="1:5" x14ac:dyDescent="0.25">
      <c r="A638" t="s">
        <v>76</v>
      </c>
      <c r="B638" t="s">
        <v>10536</v>
      </c>
      <c r="C638" t="s">
        <v>9378</v>
      </c>
      <c r="D638" t="s">
        <v>9378</v>
      </c>
      <c r="E638" t="s">
        <v>9378</v>
      </c>
    </row>
    <row r="639" spans="1:5" x14ac:dyDescent="0.25">
      <c r="A639" t="s">
        <v>55</v>
      </c>
      <c r="B639" t="s">
        <v>10537</v>
      </c>
      <c r="C639" t="s">
        <v>9378</v>
      </c>
      <c r="D639" t="s">
        <v>9378</v>
      </c>
      <c r="E639" t="s">
        <v>9378</v>
      </c>
    </row>
    <row r="640" spans="1:5" x14ac:dyDescent="0.25">
      <c r="A640" t="s">
        <v>127</v>
      </c>
      <c r="B640" t="s">
        <v>128</v>
      </c>
      <c r="C640" t="s">
        <v>9378</v>
      </c>
      <c r="D640" t="s">
        <v>9378</v>
      </c>
      <c r="E640" t="s">
        <v>9378</v>
      </c>
    </row>
    <row r="641" spans="1:5" x14ac:dyDescent="0.25">
      <c r="A641" t="s">
        <v>10538</v>
      </c>
      <c r="B641" t="s">
        <v>10539</v>
      </c>
      <c r="C641" t="s">
        <v>9378</v>
      </c>
      <c r="D641" t="s">
        <v>9378</v>
      </c>
      <c r="E641" t="s">
        <v>9378</v>
      </c>
    </row>
    <row r="642" spans="1:5" x14ac:dyDescent="0.25">
      <c r="A642" t="s">
        <v>10540</v>
      </c>
      <c r="B642" t="s">
        <v>10541</v>
      </c>
      <c r="C642" t="s">
        <v>9378</v>
      </c>
      <c r="D642" t="s">
        <v>9378</v>
      </c>
      <c r="E642" t="s">
        <v>9378</v>
      </c>
    </row>
    <row r="643" spans="1:5" x14ac:dyDescent="0.25">
      <c r="A643" t="s">
        <v>10542</v>
      </c>
      <c r="B643" t="s">
        <v>10543</v>
      </c>
      <c r="C643" t="s">
        <v>9369</v>
      </c>
      <c r="D643" t="s">
        <v>9369</v>
      </c>
      <c r="E643" t="s">
        <v>9369</v>
      </c>
    </row>
    <row r="644" spans="1:5" x14ac:dyDescent="0.25">
      <c r="A644" t="s">
        <v>10544</v>
      </c>
      <c r="B644" t="s">
        <v>10545</v>
      </c>
      <c r="C644" t="s">
        <v>9378</v>
      </c>
      <c r="D644" t="s">
        <v>9378</v>
      </c>
      <c r="E644" t="s">
        <v>9378</v>
      </c>
    </row>
    <row r="645" spans="1:5" x14ac:dyDescent="0.25">
      <c r="A645" t="s">
        <v>341</v>
      </c>
      <c r="B645" t="s">
        <v>508</v>
      </c>
      <c r="C645" t="s">
        <v>9378</v>
      </c>
      <c r="D645" t="s">
        <v>9378</v>
      </c>
      <c r="E645" t="s">
        <v>9405</v>
      </c>
    </row>
    <row r="646" spans="1:5" x14ac:dyDescent="0.25">
      <c r="A646" t="s">
        <v>10546</v>
      </c>
      <c r="B646" t="s">
        <v>10547</v>
      </c>
      <c r="C646" t="s">
        <v>9378</v>
      </c>
      <c r="D646" t="s">
        <v>9378</v>
      </c>
      <c r="E646" t="s">
        <v>9378</v>
      </c>
    </row>
    <row r="647" spans="1:5" x14ac:dyDescent="0.25">
      <c r="A647" t="s">
        <v>10548</v>
      </c>
      <c r="B647" t="s">
        <v>10549</v>
      </c>
      <c r="C647" t="s">
        <v>9378</v>
      </c>
      <c r="D647" t="s">
        <v>9378</v>
      </c>
      <c r="E647" t="s">
        <v>9378</v>
      </c>
    </row>
    <row r="648" spans="1:5" x14ac:dyDescent="0.25">
      <c r="A648" t="s">
        <v>70</v>
      </c>
      <c r="B648" t="s">
        <v>10550</v>
      </c>
      <c r="C648" t="s">
        <v>9378</v>
      </c>
      <c r="D648" t="s">
        <v>9378</v>
      </c>
      <c r="E648" t="s">
        <v>9378</v>
      </c>
    </row>
    <row r="649" spans="1:5" x14ac:dyDescent="0.25">
      <c r="A649" t="s">
        <v>100</v>
      </c>
      <c r="B649" t="s">
        <v>10551</v>
      </c>
      <c r="C649" t="s">
        <v>9378</v>
      </c>
      <c r="D649" t="s">
        <v>9378</v>
      </c>
      <c r="E649" t="s">
        <v>9378</v>
      </c>
    </row>
    <row r="650" spans="1:5" x14ac:dyDescent="0.25">
      <c r="A650" t="s">
        <v>130</v>
      </c>
      <c r="B650" t="s">
        <v>10552</v>
      </c>
      <c r="C650" t="s">
        <v>9378</v>
      </c>
      <c r="D650" t="s">
        <v>9378</v>
      </c>
      <c r="E650" t="s">
        <v>9378</v>
      </c>
    </row>
    <row r="651" spans="1:5" x14ac:dyDescent="0.25">
      <c r="A651" t="s">
        <v>10553</v>
      </c>
      <c r="B651" t="s">
        <v>10554</v>
      </c>
      <c r="C651" t="s">
        <v>9378</v>
      </c>
      <c r="D651" t="s">
        <v>9378</v>
      </c>
      <c r="E651" t="s">
        <v>9378</v>
      </c>
    </row>
    <row r="652" spans="1:5" x14ac:dyDescent="0.25">
      <c r="A652" t="s">
        <v>10555</v>
      </c>
      <c r="B652" t="s">
        <v>10556</v>
      </c>
      <c r="C652" t="s">
        <v>9378</v>
      </c>
      <c r="D652" t="s">
        <v>9378</v>
      </c>
      <c r="E652" t="s">
        <v>9378</v>
      </c>
    </row>
    <row r="653" spans="1:5" x14ac:dyDescent="0.25">
      <c r="A653" t="s">
        <v>10557</v>
      </c>
      <c r="B653" t="s">
        <v>10558</v>
      </c>
      <c r="C653" t="s">
        <v>9378</v>
      </c>
      <c r="D653" t="s">
        <v>9378</v>
      </c>
      <c r="E653" t="s">
        <v>9378</v>
      </c>
    </row>
    <row r="654" spans="1:5" x14ac:dyDescent="0.25">
      <c r="A654" t="s">
        <v>10559</v>
      </c>
      <c r="B654" t="s">
        <v>10560</v>
      </c>
      <c r="C654" t="s">
        <v>9378</v>
      </c>
      <c r="D654" t="s">
        <v>9378</v>
      </c>
      <c r="E654" t="s">
        <v>9378</v>
      </c>
    </row>
    <row r="655" spans="1:5" x14ac:dyDescent="0.25">
      <c r="A655" t="s">
        <v>10561</v>
      </c>
      <c r="B655" t="s">
        <v>10562</v>
      </c>
      <c r="C655" t="s">
        <v>9378</v>
      </c>
      <c r="D655" t="s">
        <v>9378</v>
      </c>
      <c r="E655" t="s">
        <v>9378</v>
      </c>
    </row>
    <row r="656" spans="1:5" x14ac:dyDescent="0.25">
      <c r="A656" t="s">
        <v>10563</v>
      </c>
      <c r="B656" t="s">
        <v>10564</v>
      </c>
      <c r="C656" t="s">
        <v>9378</v>
      </c>
      <c r="D656" t="s">
        <v>9378</v>
      </c>
      <c r="E656" t="s">
        <v>9378</v>
      </c>
    </row>
    <row r="657" spans="1:5" x14ac:dyDescent="0.25">
      <c r="A657" t="s">
        <v>136</v>
      </c>
      <c r="B657" t="s">
        <v>137</v>
      </c>
      <c r="C657" t="s">
        <v>9378</v>
      </c>
      <c r="D657" t="s">
        <v>9378</v>
      </c>
      <c r="E657" t="s">
        <v>9405</v>
      </c>
    </row>
    <row r="658" spans="1:5" x14ac:dyDescent="0.25">
      <c r="A658" t="s">
        <v>305</v>
      </c>
      <c r="B658" t="s">
        <v>306</v>
      </c>
      <c r="C658" t="s">
        <v>9378</v>
      </c>
      <c r="D658" t="s">
        <v>9378</v>
      </c>
      <c r="E658" t="s">
        <v>9405</v>
      </c>
    </row>
    <row r="659" spans="1:5" x14ac:dyDescent="0.25">
      <c r="A659" t="s">
        <v>10565</v>
      </c>
      <c r="B659" t="s">
        <v>10566</v>
      </c>
      <c r="C659" t="s">
        <v>9378</v>
      </c>
      <c r="D659" t="s">
        <v>9378</v>
      </c>
      <c r="E659" t="s">
        <v>9405</v>
      </c>
    </row>
    <row r="660" spans="1:5" x14ac:dyDescent="0.25">
      <c r="A660" t="s">
        <v>10567</v>
      </c>
      <c r="B660" t="s">
        <v>10568</v>
      </c>
      <c r="C660" t="s">
        <v>9378</v>
      </c>
      <c r="D660" t="s">
        <v>9378</v>
      </c>
      <c r="E660" t="s">
        <v>9378</v>
      </c>
    </row>
    <row r="661" spans="1:5" x14ac:dyDescent="0.25">
      <c r="A661" t="s">
        <v>10569</v>
      </c>
      <c r="B661" t="s">
        <v>10570</v>
      </c>
      <c r="C661" t="s">
        <v>9378</v>
      </c>
      <c r="D661" t="s">
        <v>9378</v>
      </c>
      <c r="E661" t="s">
        <v>9378</v>
      </c>
    </row>
    <row r="662" spans="1:5" x14ac:dyDescent="0.25">
      <c r="A662" t="s">
        <v>10571</v>
      </c>
      <c r="B662" t="s">
        <v>10572</v>
      </c>
      <c r="C662" t="s">
        <v>9378</v>
      </c>
      <c r="D662" t="s">
        <v>9378</v>
      </c>
      <c r="E662" t="s">
        <v>9378</v>
      </c>
    </row>
    <row r="663" spans="1:5" x14ac:dyDescent="0.25">
      <c r="A663" t="s">
        <v>10573</v>
      </c>
      <c r="B663" t="s">
        <v>10574</v>
      </c>
      <c r="C663" t="s">
        <v>9378</v>
      </c>
      <c r="D663" t="s">
        <v>9378</v>
      </c>
      <c r="E663" t="s">
        <v>9378</v>
      </c>
    </row>
    <row r="664" spans="1:5" x14ac:dyDescent="0.25">
      <c r="A664" t="s">
        <v>10575</v>
      </c>
      <c r="B664" t="s">
        <v>10576</v>
      </c>
      <c r="C664" t="s">
        <v>9378</v>
      </c>
      <c r="D664" t="s">
        <v>9378</v>
      </c>
      <c r="E664" t="s">
        <v>9378</v>
      </c>
    </row>
    <row r="665" spans="1:5" x14ac:dyDescent="0.25">
      <c r="A665" t="s">
        <v>275</v>
      </c>
      <c r="B665" t="s">
        <v>276</v>
      </c>
      <c r="C665" t="s">
        <v>9378</v>
      </c>
      <c r="D665" t="s">
        <v>9378</v>
      </c>
      <c r="E665" t="s">
        <v>9378</v>
      </c>
    </row>
    <row r="666" spans="1:5" x14ac:dyDescent="0.25">
      <c r="A666" t="s">
        <v>254</v>
      </c>
      <c r="B666" t="s">
        <v>255</v>
      </c>
      <c r="C666" t="s">
        <v>9378</v>
      </c>
      <c r="D666" t="s">
        <v>9378</v>
      </c>
      <c r="E666" t="s">
        <v>9378</v>
      </c>
    </row>
    <row r="667" spans="1:5" x14ac:dyDescent="0.25">
      <c r="A667" t="s">
        <v>121</v>
      </c>
      <c r="B667" t="s">
        <v>122</v>
      </c>
      <c r="C667" t="s">
        <v>9378</v>
      </c>
      <c r="D667" t="s">
        <v>9378</v>
      </c>
      <c r="E667" t="s">
        <v>9378</v>
      </c>
    </row>
    <row r="668" spans="1:5" x14ac:dyDescent="0.25">
      <c r="A668" t="s">
        <v>263</v>
      </c>
      <c r="B668" t="s">
        <v>264</v>
      </c>
      <c r="C668" t="s">
        <v>9378</v>
      </c>
      <c r="D668" t="s">
        <v>9378</v>
      </c>
      <c r="E668" t="s">
        <v>9378</v>
      </c>
    </row>
    <row r="669" spans="1:5" x14ac:dyDescent="0.25">
      <c r="A669" t="s">
        <v>296</v>
      </c>
      <c r="B669" t="s">
        <v>297</v>
      </c>
      <c r="C669" t="s">
        <v>9378</v>
      </c>
      <c r="D669" t="s">
        <v>9378</v>
      </c>
      <c r="E669" t="s">
        <v>9378</v>
      </c>
    </row>
    <row r="670" spans="1:5" x14ac:dyDescent="0.25">
      <c r="A670" t="s">
        <v>314</v>
      </c>
      <c r="B670" t="s">
        <v>315</v>
      </c>
      <c r="C670" t="s">
        <v>9378</v>
      </c>
      <c r="D670" t="s">
        <v>9378</v>
      </c>
      <c r="E670" t="s">
        <v>9378</v>
      </c>
    </row>
    <row r="671" spans="1:5" x14ac:dyDescent="0.25">
      <c r="A671" t="s">
        <v>278</v>
      </c>
      <c r="B671" t="s">
        <v>279</v>
      </c>
      <c r="C671" t="s">
        <v>9378</v>
      </c>
      <c r="D671" t="s">
        <v>9378</v>
      </c>
      <c r="E671" t="s">
        <v>9378</v>
      </c>
    </row>
    <row r="672" spans="1:5" x14ac:dyDescent="0.25">
      <c r="A672" t="s">
        <v>323</v>
      </c>
      <c r="B672" t="s">
        <v>324</v>
      </c>
      <c r="C672" t="s">
        <v>9378</v>
      </c>
      <c r="D672" t="s">
        <v>9378</v>
      </c>
      <c r="E672" t="s">
        <v>9378</v>
      </c>
    </row>
    <row r="673" spans="1:5" x14ac:dyDescent="0.25">
      <c r="A673" t="s">
        <v>10577</v>
      </c>
      <c r="B673" t="s">
        <v>10578</v>
      </c>
      <c r="C673" t="s">
        <v>9378</v>
      </c>
      <c r="D673" t="s">
        <v>9378</v>
      </c>
      <c r="E673" t="s">
        <v>9378</v>
      </c>
    </row>
    <row r="674" spans="1:5" x14ac:dyDescent="0.25">
      <c r="A674" t="s">
        <v>139</v>
      </c>
      <c r="B674" t="s">
        <v>10579</v>
      </c>
      <c r="C674" t="s">
        <v>9378</v>
      </c>
      <c r="D674" t="s">
        <v>9378</v>
      </c>
      <c r="E674" t="s">
        <v>9353</v>
      </c>
    </row>
    <row r="675" spans="1:5" x14ac:dyDescent="0.25">
      <c r="A675" t="s">
        <v>10580</v>
      </c>
      <c r="B675" t="s">
        <v>10581</v>
      </c>
      <c r="C675" t="s">
        <v>9378</v>
      </c>
      <c r="D675" t="s">
        <v>9378</v>
      </c>
      <c r="E675" t="s">
        <v>9378</v>
      </c>
    </row>
    <row r="676" spans="1:5" x14ac:dyDescent="0.25">
      <c r="A676" t="s">
        <v>10582</v>
      </c>
      <c r="B676" t="s">
        <v>10583</v>
      </c>
      <c r="C676" t="s">
        <v>9378</v>
      </c>
      <c r="D676" t="s">
        <v>9378</v>
      </c>
      <c r="E676" t="s">
        <v>9378</v>
      </c>
    </row>
    <row r="677" spans="1:5" x14ac:dyDescent="0.25">
      <c r="A677" t="s">
        <v>10584</v>
      </c>
      <c r="B677" t="s">
        <v>10585</v>
      </c>
      <c r="C677" t="s">
        <v>9378</v>
      </c>
      <c r="D677" t="s">
        <v>9378</v>
      </c>
      <c r="E677" t="s">
        <v>9378</v>
      </c>
    </row>
    <row r="678" spans="1:5" x14ac:dyDescent="0.25">
      <c r="A678" t="s">
        <v>10586</v>
      </c>
      <c r="B678" t="s">
        <v>10587</v>
      </c>
      <c r="C678" t="s">
        <v>9378</v>
      </c>
      <c r="D678" t="s">
        <v>9378</v>
      </c>
      <c r="E678" t="s">
        <v>9378</v>
      </c>
    </row>
    <row r="679" spans="1:5" x14ac:dyDescent="0.25">
      <c r="A679" t="s">
        <v>10588</v>
      </c>
      <c r="B679" t="s">
        <v>10589</v>
      </c>
      <c r="C679" t="s">
        <v>9378</v>
      </c>
      <c r="D679" t="s">
        <v>9378</v>
      </c>
      <c r="E679" t="s">
        <v>9378</v>
      </c>
    </row>
    <row r="680" spans="1:5" x14ac:dyDescent="0.25">
      <c r="A680" t="s">
        <v>10590</v>
      </c>
      <c r="B680" t="s">
        <v>10591</v>
      </c>
      <c r="C680" t="s">
        <v>9378</v>
      </c>
      <c r="D680" t="s">
        <v>9378</v>
      </c>
      <c r="E680" t="s">
        <v>9378</v>
      </c>
    </row>
    <row r="681" spans="1:5" x14ac:dyDescent="0.25">
      <c r="A681" t="s">
        <v>10592</v>
      </c>
      <c r="B681" t="s">
        <v>10593</v>
      </c>
      <c r="C681" t="s">
        <v>9378</v>
      </c>
      <c r="D681" t="s">
        <v>9378</v>
      </c>
      <c r="E681" t="s">
        <v>9378</v>
      </c>
    </row>
    <row r="682" spans="1:5" x14ac:dyDescent="0.25">
      <c r="A682" t="s">
        <v>10594</v>
      </c>
      <c r="B682" t="s">
        <v>10595</v>
      </c>
      <c r="C682" t="s">
        <v>9378</v>
      </c>
      <c r="D682" t="s">
        <v>9378</v>
      </c>
      <c r="E682" t="s">
        <v>9378</v>
      </c>
    </row>
    <row r="683" spans="1:5" x14ac:dyDescent="0.25">
      <c r="A683" t="s">
        <v>10596</v>
      </c>
      <c r="B683" t="s">
        <v>10597</v>
      </c>
      <c r="C683" t="s">
        <v>9369</v>
      </c>
      <c r="D683" t="s">
        <v>9369</v>
      </c>
      <c r="E683" t="s">
        <v>9369</v>
      </c>
    </row>
    <row r="684" spans="1:5" x14ac:dyDescent="0.25">
      <c r="A684" t="s">
        <v>10598</v>
      </c>
      <c r="B684" t="s">
        <v>10599</v>
      </c>
      <c r="C684" t="s">
        <v>9378</v>
      </c>
      <c r="D684" t="s">
        <v>9378</v>
      </c>
      <c r="E684" t="s">
        <v>9378</v>
      </c>
    </row>
    <row r="685" spans="1:5" x14ac:dyDescent="0.25">
      <c r="A685" t="s">
        <v>10600</v>
      </c>
      <c r="B685" t="s">
        <v>10601</v>
      </c>
      <c r="C685" t="s">
        <v>9369</v>
      </c>
      <c r="D685" t="s">
        <v>9369</v>
      </c>
      <c r="E685" t="s">
        <v>9369</v>
      </c>
    </row>
    <row r="686" spans="1:5" x14ac:dyDescent="0.25">
      <c r="A686" t="s">
        <v>10602</v>
      </c>
      <c r="B686" t="s">
        <v>10603</v>
      </c>
      <c r="C686" t="s">
        <v>9378</v>
      </c>
      <c r="D686" t="s">
        <v>9378</v>
      </c>
      <c r="E686" t="s">
        <v>9378</v>
      </c>
    </row>
    <row r="687" spans="1:5" x14ac:dyDescent="0.25">
      <c r="A687" t="s">
        <v>16</v>
      </c>
      <c r="B687" t="s">
        <v>17</v>
      </c>
      <c r="C687" t="s">
        <v>9378</v>
      </c>
      <c r="D687" t="s">
        <v>9378</v>
      </c>
      <c r="E687" t="s">
        <v>9378</v>
      </c>
    </row>
    <row r="688" spans="1:5" x14ac:dyDescent="0.25">
      <c r="A688" t="s">
        <v>22</v>
      </c>
      <c r="B688" t="s">
        <v>23</v>
      </c>
      <c r="C688" t="s">
        <v>9378</v>
      </c>
      <c r="D688" t="s">
        <v>9378</v>
      </c>
      <c r="E688" t="s">
        <v>9378</v>
      </c>
    </row>
    <row r="689" spans="1:5" x14ac:dyDescent="0.25">
      <c r="A689" t="s">
        <v>13</v>
      </c>
      <c r="B689" t="s">
        <v>14</v>
      </c>
      <c r="C689" t="s">
        <v>9378</v>
      </c>
      <c r="D689" t="s">
        <v>9378</v>
      </c>
      <c r="E689" t="s">
        <v>9378</v>
      </c>
    </row>
    <row r="690" spans="1:5" x14ac:dyDescent="0.25">
      <c r="A690" t="s">
        <v>19</v>
      </c>
      <c r="B690" t="s">
        <v>20</v>
      </c>
      <c r="C690" t="s">
        <v>9378</v>
      </c>
      <c r="D690" t="s">
        <v>9378</v>
      </c>
      <c r="E690" t="s">
        <v>9378</v>
      </c>
    </row>
    <row r="691" spans="1:5" x14ac:dyDescent="0.25">
      <c r="A691" t="s">
        <v>10604</v>
      </c>
      <c r="B691" t="s">
        <v>10605</v>
      </c>
      <c r="C691" t="s">
        <v>9378</v>
      </c>
      <c r="D691" t="s">
        <v>9378</v>
      </c>
      <c r="E691" t="s">
        <v>9378</v>
      </c>
    </row>
    <row r="692" spans="1:5" x14ac:dyDescent="0.25">
      <c r="A692" t="s">
        <v>10606</v>
      </c>
      <c r="B692" t="s">
        <v>10607</v>
      </c>
      <c r="C692" t="s">
        <v>9378</v>
      </c>
      <c r="D692" t="s">
        <v>9378</v>
      </c>
      <c r="E692" t="s">
        <v>9378</v>
      </c>
    </row>
    <row r="693" spans="1:5" x14ac:dyDescent="0.25">
      <c r="A693" t="s">
        <v>350</v>
      </c>
      <c r="B693" t="s">
        <v>10608</v>
      </c>
      <c r="C693" t="s">
        <v>9378</v>
      </c>
      <c r="D693" t="s">
        <v>9378</v>
      </c>
      <c r="E693" t="s">
        <v>9378</v>
      </c>
    </row>
    <row r="694" spans="1:5" x14ac:dyDescent="0.25">
      <c r="A694" t="s">
        <v>151</v>
      </c>
      <c r="B694" t="s">
        <v>152</v>
      </c>
      <c r="C694" t="s">
        <v>9378</v>
      </c>
      <c r="D694" t="s">
        <v>9378</v>
      </c>
      <c r="E694" t="s">
        <v>9378</v>
      </c>
    </row>
    <row r="695" spans="1:5" x14ac:dyDescent="0.25">
      <c r="A695" t="s">
        <v>157</v>
      </c>
      <c r="B695" t="s">
        <v>158</v>
      </c>
      <c r="C695" t="s">
        <v>9378</v>
      </c>
      <c r="D695" t="s">
        <v>9378</v>
      </c>
      <c r="E695" t="s">
        <v>9378</v>
      </c>
    </row>
    <row r="696" spans="1:5" x14ac:dyDescent="0.25">
      <c r="A696" t="s">
        <v>10609</v>
      </c>
      <c r="B696" t="s">
        <v>10610</v>
      </c>
      <c r="C696" t="s">
        <v>9378</v>
      </c>
      <c r="D696" t="s">
        <v>9378</v>
      </c>
      <c r="E696" t="s">
        <v>9378</v>
      </c>
    </row>
    <row r="697" spans="1:5" x14ac:dyDescent="0.25">
      <c r="A697" t="s">
        <v>344</v>
      </c>
      <c r="B697" t="s">
        <v>10611</v>
      </c>
      <c r="C697" t="s">
        <v>9378</v>
      </c>
      <c r="D697" t="s">
        <v>9378</v>
      </c>
      <c r="E697" t="s">
        <v>9378</v>
      </c>
    </row>
    <row r="698" spans="1:5" x14ac:dyDescent="0.25">
      <c r="A698" t="s">
        <v>145</v>
      </c>
      <c r="B698" t="s">
        <v>10612</v>
      </c>
      <c r="C698" t="s">
        <v>9378</v>
      </c>
      <c r="D698" t="s">
        <v>9378</v>
      </c>
      <c r="E698" t="s">
        <v>9378</v>
      </c>
    </row>
    <row r="699" spans="1:5" x14ac:dyDescent="0.25">
      <c r="A699" t="s">
        <v>142</v>
      </c>
      <c r="B699" t="s">
        <v>10613</v>
      </c>
      <c r="C699" t="s">
        <v>9378</v>
      </c>
      <c r="D699" t="s">
        <v>9378</v>
      </c>
      <c r="E699" t="s">
        <v>9378</v>
      </c>
    </row>
    <row r="700" spans="1:5" x14ac:dyDescent="0.25">
      <c r="A700" t="s">
        <v>10614</v>
      </c>
      <c r="B700" t="s">
        <v>10615</v>
      </c>
      <c r="C700" t="s">
        <v>9369</v>
      </c>
      <c r="D700" t="s">
        <v>9369</v>
      </c>
      <c r="E700" t="s">
        <v>9369</v>
      </c>
    </row>
    <row r="701" spans="1:5" x14ac:dyDescent="0.25">
      <c r="A701" t="s">
        <v>148</v>
      </c>
      <c r="B701" t="s">
        <v>10616</v>
      </c>
      <c r="C701" t="s">
        <v>9378</v>
      </c>
      <c r="D701" t="s">
        <v>9378</v>
      </c>
      <c r="E701" t="s">
        <v>9378</v>
      </c>
    </row>
    <row r="702" spans="1:5" x14ac:dyDescent="0.25">
      <c r="A702" t="s">
        <v>356</v>
      </c>
      <c r="B702" t="s">
        <v>10617</v>
      </c>
      <c r="C702" t="s">
        <v>9378</v>
      </c>
      <c r="D702" t="s">
        <v>9378</v>
      </c>
      <c r="E702" t="s">
        <v>9378</v>
      </c>
    </row>
    <row r="703" spans="1:5" x14ac:dyDescent="0.25">
      <c r="A703" t="s">
        <v>10618</v>
      </c>
      <c r="B703" t="s">
        <v>10619</v>
      </c>
      <c r="C703" t="s">
        <v>9378</v>
      </c>
      <c r="D703" t="s">
        <v>9378</v>
      </c>
      <c r="E703" t="s">
        <v>9378</v>
      </c>
    </row>
    <row r="704" spans="1:5" x14ac:dyDescent="0.25">
      <c r="A704" t="s">
        <v>160</v>
      </c>
      <c r="B704" t="s">
        <v>10620</v>
      </c>
      <c r="C704" t="s">
        <v>9378</v>
      </c>
      <c r="D704" t="s">
        <v>9378</v>
      </c>
      <c r="E704" t="s">
        <v>9378</v>
      </c>
    </row>
    <row r="705" spans="1:5" x14ac:dyDescent="0.25">
      <c r="A705" t="s">
        <v>181</v>
      </c>
      <c r="B705" t="s">
        <v>10621</v>
      </c>
      <c r="C705" t="s">
        <v>9378</v>
      </c>
      <c r="D705" t="s">
        <v>9378</v>
      </c>
      <c r="E705" t="s">
        <v>9378</v>
      </c>
    </row>
    <row r="706" spans="1:5" x14ac:dyDescent="0.25">
      <c r="A706" t="s">
        <v>154</v>
      </c>
      <c r="B706" t="s">
        <v>155</v>
      </c>
      <c r="C706" t="s">
        <v>9378</v>
      </c>
      <c r="D706" t="s">
        <v>9378</v>
      </c>
      <c r="E706" t="s">
        <v>9405</v>
      </c>
    </row>
    <row r="707" spans="1:5" x14ac:dyDescent="0.25">
      <c r="A707" t="s">
        <v>359</v>
      </c>
      <c r="B707" t="s">
        <v>360</v>
      </c>
      <c r="C707" t="s">
        <v>9378</v>
      </c>
      <c r="D707" t="s">
        <v>9378</v>
      </c>
      <c r="E707" t="s">
        <v>9405</v>
      </c>
    </row>
    <row r="708" spans="1:5" x14ac:dyDescent="0.25">
      <c r="A708" t="s">
        <v>10622</v>
      </c>
      <c r="B708" t="s">
        <v>10623</v>
      </c>
      <c r="C708" t="s">
        <v>9378</v>
      </c>
      <c r="D708" t="s">
        <v>9378</v>
      </c>
      <c r="E708" t="s">
        <v>9405</v>
      </c>
    </row>
    <row r="709" spans="1:5" x14ac:dyDescent="0.25">
      <c r="A709" t="s">
        <v>10624</v>
      </c>
      <c r="B709" t="s">
        <v>10625</v>
      </c>
      <c r="C709" t="s">
        <v>9378</v>
      </c>
      <c r="D709" t="s">
        <v>9378</v>
      </c>
      <c r="E709" t="s">
        <v>9405</v>
      </c>
    </row>
    <row r="710" spans="1:5" x14ac:dyDescent="0.25">
      <c r="A710" t="s">
        <v>10626</v>
      </c>
      <c r="B710" t="s">
        <v>10627</v>
      </c>
      <c r="C710" t="s">
        <v>9378</v>
      </c>
      <c r="D710" t="s">
        <v>9378</v>
      </c>
      <c r="E710" t="s">
        <v>9405</v>
      </c>
    </row>
    <row r="711" spans="1:5" x14ac:dyDescent="0.25">
      <c r="A711" t="s">
        <v>338</v>
      </c>
      <c r="B711" t="s">
        <v>339</v>
      </c>
      <c r="C711" t="s">
        <v>9378</v>
      </c>
      <c r="D711" t="s">
        <v>9378</v>
      </c>
      <c r="E711" t="s">
        <v>9405</v>
      </c>
    </row>
    <row r="712" spans="1:5" x14ac:dyDescent="0.25">
      <c r="A712" t="s">
        <v>10628</v>
      </c>
      <c r="B712" t="s">
        <v>10629</v>
      </c>
      <c r="C712" t="s">
        <v>9378</v>
      </c>
      <c r="D712" t="s">
        <v>9378</v>
      </c>
      <c r="E712" t="s">
        <v>9405</v>
      </c>
    </row>
    <row r="713" spans="1:5" x14ac:dyDescent="0.25">
      <c r="A713" t="s">
        <v>10630</v>
      </c>
      <c r="B713" t="s">
        <v>10631</v>
      </c>
      <c r="C713" t="s">
        <v>9378</v>
      </c>
      <c r="D713" t="s">
        <v>9378</v>
      </c>
      <c r="E713" t="s">
        <v>9405</v>
      </c>
    </row>
    <row r="714" spans="1:5" x14ac:dyDescent="0.25">
      <c r="A714" t="s">
        <v>185</v>
      </c>
      <c r="B714" t="s">
        <v>10632</v>
      </c>
      <c r="C714" t="s">
        <v>9378</v>
      </c>
      <c r="D714" t="s">
        <v>9378</v>
      </c>
      <c r="E714" t="s">
        <v>9405</v>
      </c>
    </row>
    <row r="715" spans="1:5" x14ac:dyDescent="0.25">
      <c r="A715" t="s">
        <v>10633</v>
      </c>
      <c r="B715" t="s">
        <v>10634</v>
      </c>
      <c r="C715" t="s">
        <v>9378</v>
      </c>
      <c r="D715" t="s">
        <v>9378</v>
      </c>
      <c r="E715" t="s">
        <v>9405</v>
      </c>
    </row>
    <row r="716" spans="1:5" x14ac:dyDescent="0.25">
      <c r="A716" t="s">
        <v>269</v>
      </c>
      <c r="B716" t="s">
        <v>270</v>
      </c>
      <c r="C716" t="s">
        <v>9378</v>
      </c>
      <c r="D716" t="s">
        <v>9378</v>
      </c>
      <c r="E716" t="s">
        <v>9405</v>
      </c>
    </row>
    <row r="717" spans="1:5" x14ac:dyDescent="0.25">
      <c r="A717" t="s">
        <v>10635</v>
      </c>
      <c r="B717" t="s">
        <v>10636</v>
      </c>
      <c r="C717" t="s">
        <v>9378</v>
      </c>
      <c r="D717" t="s">
        <v>9378</v>
      </c>
      <c r="E717" t="s">
        <v>9405</v>
      </c>
    </row>
    <row r="718" spans="1:5" x14ac:dyDescent="0.25">
      <c r="A718" t="s">
        <v>320</v>
      </c>
      <c r="B718" t="s">
        <v>321</v>
      </c>
      <c r="C718" t="s">
        <v>9378</v>
      </c>
      <c r="D718" t="s">
        <v>9378</v>
      </c>
      <c r="E718" t="s">
        <v>9405</v>
      </c>
    </row>
    <row r="719" spans="1:5" x14ac:dyDescent="0.25">
      <c r="A719" t="s">
        <v>10637</v>
      </c>
      <c r="B719" t="s">
        <v>10638</v>
      </c>
      <c r="C719" t="s">
        <v>9378</v>
      </c>
      <c r="D719" t="s">
        <v>9378</v>
      </c>
      <c r="E719" t="s">
        <v>9405</v>
      </c>
    </row>
    <row r="720" spans="1:5" x14ac:dyDescent="0.25">
      <c r="A720" t="s">
        <v>43</v>
      </c>
      <c r="B720" t="s">
        <v>44</v>
      </c>
      <c r="C720" t="s">
        <v>9378</v>
      </c>
      <c r="D720" t="s">
        <v>9378</v>
      </c>
      <c r="E720" t="s">
        <v>9405</v>
      </c>
    </row>
    <row r="721" spans="1:5" x14ac:dyDescent="0.25">
      <c r="A721" t="s">
        <v>188</v>
      </c>
      <c r="B721" t="s">
        <v>189</v>
      </c>
      <c r="C721" t="s">
        <v>9378</v>
      </c>
      <c r="D721" t="s">
        <v>9378</v>
      </c>
      <c r="E721" t="s">
        <v>9405</v>
      </c>
    </row>
    <row r="722" spans="1:5" x14ac:dyDescent="0.25">
      <c r="A722" t="s">
        <v>10639</v>
      </c>
      <c r="B722" t="s">
        <v>10640</v>
      </c>
      <c r="C722" t="s">
        <v>9378</v>
      </c>
      <c r="D722" t="s">
        <v>9378</v>
      </c>
      <c r="E722" t="s">
        <v>9405</v>
      </c>
    </row>
    <row r="723" spans="1:5" x14ac:dyDescent="0.25">
      <c r="A723" t="s">
        <v>10641</v>
      </c>
      <c r="B723" t="s">
        <v>10642</v>
      </c>
      <c r="C723" t="s">
        <v>9378</v>
      </c>
      <c r="D723" t="s">
        <v>9378</v>
      </c>
      <c r="E723" t="s">
        <v>9405</v>
      </c>
    </row>
    <row r="724" spans="1:5" x14ac:dyDescent="0.25">
      <c r="A724" t="s">
        <v>10643</v>
      </c>
      <c r="B724" t="s">
        <v>10644</v>
      </c>
      <c r="C724" t="s">
        <v>9378</v>
      </c>
      <c r="D724" t="s">
        <v>9378</v>
      </c>
      <c r="E724" t="s">
        <v>9405</v>
      </c>
    </row>
    <row r="725" spans="1:5" x14ac:dyDescent="0.25">
      <c r="A725" t="s">
        <v>308</v>
      </c>
      <c r="B725" t="s">
        <v>10645</v>
      </c>
      <c r="C725" t="s">
        <v>9378</v>
      </c>
      <c r="D725" t="s">
        <v>9378</v>
      </c>
      <c r="E725" t="s">
        <v>9405</v>
      </c>
    </row>
    <row r="726" spans="1:5" x14ac:dyDescent="0.25">
      <c r="A726" t="s">
        <v>10646</v>
      </c>
      <c r="B726" t="s">
        <v>10647</v>
      </c>
      <c r="C726" t="s">
        <v>9378</v>
      </c>
      <c r="D726" t="s">
        <v>9378</v>
      </c>
      <c r="E726" t="s">
        <v>9405</v>
      </c>
    </row>
    <row r="727" spans="1:5" x14ac:dyDescent="0.25">
      <c r="A727" t="s">
        <v>49</v>
      </c>
      <c r="B727" t="s">
        <v>10648</v>
      </c>
      <c r="C727" t="s">
        <v>9378</v>
      </c>
      <c r="D727" t="s">
        <v>9378</v>
      </c>
      <c r="E727" t="s">
        <v>9405</v>
      </c>
    </row>
    <row r="728" spans="1:5" x14ac:dyDescent="0.25">
      <c r="A728" t="s">
        <v>10649</v>
      </c>
      <c r="B728" t="s">
        <v>10650</v>
      </c>
      <c r="C728" t="s">
        <v>9378</v>
      </c>
      <c r="D728" t="s">
        <v>9378</v>
      </c>
      <c r="E728" t="s">
        <v>9405</v>
      </c>
    </row>
    <row r="729" spans="1:5" x14ac:dyDescent="0.25">
      <c r="A729" t="s">
        <v>64</v>
      </c>
      <c r="B729" t="s">
        <v>10651</v>
      </c>
      <c r="C729" t="s">
        <v>9378</v>
      </c>
      <c r="D729" t="s">
        <v>9378</v>
      </c>
      <c r="E729" t="s">
        <v>9405</v>
      </c>
    </row>
    <row r="730" spans="1:5" x14ac:dyDescent="0.25">
      <c r="A730" t="s">
        <v>230</v>
      </c>
      <c r="B730" t="s">
        <v>231</v>
      </c>
      <c r="C730" t="s">
        <v>9378</v>
      </c>
      <c r="D730" t="s">
        <v>9378</v>
      </c>
      <c r="E730" t="s">
        <v>9405</v>
      </c>
    </row>
    <row r="731" spans="1:5" x14ac:dyDescent="0.25">
      <c r="A731" t="s">
        <v>10652</v>
      </c>
      <c r="B731" t="s">
        <v>10653</v>
      </c>
      <c r="C731" t="s">
        <v>9378</v>
      </c>
      <c r="D731" t="s">
        <v>9378</v>
      </c>
      <c r="E731" t="s">
        <v>9405</v>
      </c>
    </row>
    <row r="732" spans="1:5" x14ac:dyDescent="0.25">
      <c r="A732" t="s">
        <v>10654</v>
      </c>
      <c r="B732" t="s">
        <v>10655</v>
      </c>
      <c r="C732" t="s">
        <v>9378</v>
      </c>
      <c r="D732" t="s">
        <v>9378</v>
      </c>
      <c r="E732" t="s">
        <v>9405</v>
      </c>
    </row>
    <row r="733" spans="1:5" x14ac:dyDescent="0.25">
      <c r="A733" t="s">
        <v>28</v>
      </c>
      <c r="B733" t="s">
        <v>29</v>
      </c>
      <c r="C733" t="s">
        <v>9378</v>
      </c>
      <c r="D733" t="s">
        <v>9378</v>
      </c>
      <c r="E733" t="s">
        <v>9405</v>
      </c>
    </row>
    <row r="734" spans="1:5" x14ac:dyDescent="0.25">
      <c r="A734" t="s">
        <v>10656</v>
      </c>
      <c r="B734" t="s">
        <v>10657</v>
      </c>
      <c r="C734" t="s">
        <v>9378</v>
      </c>
      <c r="D734" t="s">
        <v>9378</v>
      </c>
      <c r="E734" t="s">
        <v>9405</v>
      </c>
    </row>
    <row r="735" spans="1:5" x14ac:dyDescent="0.25">
      <c r="A735" t="s">
        <v>10658</v>
      </c>
      <c r="B735" t="s">
        <v>10659</v>
      </c>
      <c r="C735" t="s">
        <v>9378</v>
      </c>
      <c r="D735" t="s">
        <v>9378</v>
      </c>
      <c r="E735" t="s">
        <v>9405</v>
      </c>
    </row>
    <row r="736" spans="1:5" x14ac:dyDescent="0.25">
      <c r="A736" t="s">
        <v>10660</v>
      </c>
      <c r="B736" t="s">
        <v>10661</v>
      </c>
      <c r="C736" t="s">
        <v>9378</v>
      </c>
      <c r="D736" t="s">
        <v>9378</v>
      </c>
      <c r="E736" t="s">
        <v>9405</v>
      </c>
    </row>
    <row r="737" spans="1:5" x14ac:dyDescent="0.25">
      <c r="A737" t="s">
        <v>10662</v>
      </c>
      <c r="B737" t="s">
        <v>10663</v>
      </c>
      <c r="C737" t="s">
        <v>9378</v>
      </c>
      <c r="D737" t="s">
        <v>9378</v>
      </c>
      <c r="E737" t="s">
        <v>9405</v>
      </c>
    </row>
    <row r="738" spans="1:5" x14ac:dyDescent="0.25">
      <c r="A738" t="s">
        <v>10664</v>
      </c>
      <c r="B738" t="s">
        <v>10665</v>
      </c>
      <c r="C738" t="s">
        <v>9378</v>
      </c>
      <c r="D738" t="s">
        <v>9378</v>
      </c>
      <c r="E738" t="s">
        <v>9405</v>
      </c>
    </row>
    <row r="739" spans="1:5" x14ac:dyDescent="0.25">
      <c r="A739" t="s">
        <v>10666</v>
      </c>
      <c r="B739" t="s">
        <v>10667</v>
      </c>
      <c r="C739" t="s">
        <v>9378</v>
      </c>
      <c r="D739" t="s">
        <v>9378</v>
      </c>
      <c r="E739" t="s">
        <v>9405</v>
      </c>
    </row>
    <row r="740" spans="1:5" x14ac:dyDescent="0.25">
      <c r="A740" t="s">
        <v>10668</v>
      </c>
      <c r="B740" t="s">
        <v>10669</v>
      </c>
      <c r="C740" t="s">
        <v>9378</v>
      </c>
      <c r="D740" t="s">
        <v>9378</v>
      </c>
      <c r="E740" t="s">
        <v>9405</v>
      </c>
    </row>
    <row r="741" spans="1:5" x14ac:dyDescent="0.25">
      <c r="A741" t="s">
        <v>10670</v>
      </c>
      <c r="B741" t="s">
        <v>10671</v>
      </c>
      <c r="C741" t="s">
        <v>9378</v>
      </c>
      <c r="D741" t="s">
        <v>9378</v>
      </c>
      <c r="E741" t="s">
        <v>9405</v>
      </c>
    </row>
    <row r="742" spans="1:5" x14ac:dyDescent="0.25">
      <c r="A742" t="s">
        <v>10672</v>
      </c>
      <c r="B742" t="s">
        <v>10673</v>
      </c>
      <c r="C742" t="s">
        <v>9378</v>
      </c>
      <c r="D742" t="s">
        <v>9378</v>
      </c>
      <c r="E742" t="s">
        <v>9405</v>
      </c>
    </row>
    <row r="743" spans="1:5" x14ac:dyDescent="0.25">
      <c r="A743" t="s">
        <v>10674</v>
      </c>
      <c r="B743" t="s">
        <v>10675</v>
      </c>
      <c r="C743" t="s">
        <v>9378</v>
      </c>
      <c r="D743" t="s">
        <v>9378</v>
      </c>
      <c r="E743" t="s">
        <v>9405</v>
      </c>
    </row>
    <row r="744" spans="1:5" x14ac:dyDescent="0.25">
      <c r="A744" t="s">
        <v>10676</v>
      </c>
      <c r="B744" t="s">
        <v>10677</v>
      </c>
      <c r="C744" t="s">
        <v>9378</v>
      </c>
      <c r="D744" t="s">
        <v>9378</v>
      </c>
      <c r="E744" t="s">
        <v>9405</v>
      </c>
    </row>
    <row r="745" spans="1:5" x14ac:dyDescent="0.25">
      <c r="A745" t="s">
        <v>10678</v>
      </c>
      <c r="B745" t="s">
        <v>10679</v>
      </c>
      <c r="C745" t="s">
        <v>9378</v>
      </c>
      <c r="D745" t="s">
        <v>9378</v>
      </c>
      <c r="E745" t="s">
        <v>9405</v>
      </c>
    </row>
    <row r="746" spans="1:5" x14ac:dyDescent="0.25">
      <c r="A746" t="s">
        <v>10680</v>
      </c>
      <c r="B746" t="s">
        <v>10681</v>
      </c>
      <c r="C746" t="s">
        <v>9378</v>
      </c>
      <c r="D746" t="s">
        <v>9378</v>
      </c>
      <c r="E746" t="s">
        <v>9405</v>
      </c>
    </row>
    <row r="747" spans="1:5" x14ac:dyDescent="0.25">
      <c r="A747" t="s">
        <v>10682</v>
      </c>
      <c r="B747" t="s">
        <v>10683</v>
      </c>
      <c r="C747" t="s">
        <v>9378</v>
      </c>
      <c r="D747" t="s">
        <v>9378</v>
      </c>
      <c r="E747" t="s">
        <v>9405</v>
      </c>
    </row>
    <row r="748" spans="1:5" x14ac:dyDescent="0.25">
      <c r="A748" t="s">
        <v>10684</v>
      </c>
      <c r="B748" t="s">
        <v>10685</v>
      </c>
      <c r="C748" t="s">
        <v>9378</v>
      </c>
      <c r="D748" t="s">
        <v>9378</v>
      </c>
      <c r="E748" t="s">
        <v>9405</v>
      </c>
    </row>
    <row r="749" spans="1:5" x14ac:dyDescent="0.25">
      <c r="A749" t="s">
        <v>10686</v>
      </c>
      <c r="B749" t="s">
        <v>10687</v>
      </c>
      <c r="C749" t="s">
        <v>9378</v>
      </c>
      <c r="D749" t="s">
        <v>9378</v>
      </c>
      <c r="E749" t="s">
        <v>9405</v>
      </c>
    </row>
    <row r="750" spans="1:5" x14ac:dyDescent="0.25">
      <c r="A750" t="s">
        <v>10688</v>
      </c>
      <c r="B750" t="s">
        <v>10689</v>
      </c>
      <c r="C750" t="s">
        <v>9378</v>
      </c>
      <c r="D750" t="s">
        <v>9378</v>
      </c>
      <c r="E750" t="s">
        <v>9405</v>
      </c>
    </row>
    <row r="751" spans="1:5" x14ac:dyDescent="0.25">
      <c r="A751" t="s">
        <v>10690</v>
      </c>
      <c r="B751" t="s">
        <v>10691</v>
      </c>
      <c r="C751" t="s">
        <v>9378</v>
      </c>
      <c r="D751" t="s">
        <v>9378</v>
      </c>
      <c r="E751" t="s">
        <v>9405</v>
      </c>
    </row>
    <row r="752" spans="1:5" x14ac:dyDescent="0.25">
      <c r="A752" t="s">
        <v>10692</v>
      </c>
      <c r="B752" t="s">
        <v>10693</v>
      </c>
      <c r="C752" t="s">
        <v>9378</v>
      </c>
      <c r="D752" t="s">
        <v>9378</v>
      </c>
      <c r="E752" t="s">
        <v>9405</v>
      </c>
    </row>
    <row r="753" spans="1:5" x14ac:dyDescent="0.25">
      <c r="A753" t="s">
        <v>169</v>
      </c>
      <c r="B753" t="s">
        <v>170</v>
      </c>
      <c r="C753" t="s">
        <v>9378</v>
      </c>
      <c r="D753" t="s">
        <v>9378</v>
      </c>
      <c r="E753" t="s">
        <v>9378</v>
      </c>
    </row>
    <row r="754" spans="1:5" x14ac:dyDescent="0.25">
      <c r="A754" t="s">
        <v>166</v>
      </c>
      <c r="B754" t="s">
        <v>10694</v>
      </c>
      <c r="C754" t="s">
        <v>9378</v>
      </c>
      <c r="D754" t="s">
        <v>9378</v>
      </c>
      <c r="E754" t="s">
        <v>9378</v>
      </c>
    </row>
    <row r="755" spans="1:5" x14ac:dyDescent="0.25">
      <c r="A755" t="s">
        <v>163</v>
      </c>
      <c r="B755" t="s">
        <v>164</v>
      </c>
      <c r="C755" t="s">
        <v>9378</v>
      </c>
      <c r="D755" t="s">
        <v>9378</v>
      </c>
      <c r="E755" t="s">
        <v>9378</v>
      </c>
    </row>
    <row r="756" spans="1:5" x14ac:dyDescent="0.25">
      <c r="A756" t="s">
        <v>272</v>
      </c>
      <c r="B756" t="s">
        <v>273</v>
      </c>
      <c r="C756" t="s">
        <v>9378</v>
      </c>
      <c r="D756" t="s">
        <v>9378</v>
      </c>
      <c r="E756" t="s">
        <v>9405</v>
      </c>
    </row>
    <row r="757" spans="1:5" x14ac:dyDescent="0.25">
      <c r="A757" t="s">
        <v>10695</v>
      </c>
      <c r="B757" t="s">
        <v>10696</v>
      </c>
      <c r="C757" t="s">
        <v>9378</v>
      </c>
      <c r="D757" t="s">
        <v>9378</v>
      </c>
      <c r="E757" t="s">
        <v>9405</v>
      </c>
    </row>
    <row r="758" spans="1:5" x14ac:dyDescent="0.25">
      <c r="A758" t="s">
        <v>10697</v>
      </c>
      <c r="B758" t="s">
        <v>10698</v>
      </c>
      <c r="C758" t="s">
        <v>9378</v>
      </c>
      <c r="D758" t="s">
        <v>9542</v>
      </c>
      <c r="E758" t="s">
        <v>9378</v>
      </c>
    </row>
    <row r="759" spans="1:5" x14ac:dyDescent="0.25">
      <c r="A759" t="s">
        <v>353</v>
      </c>
      <c r="B759" t="s">
        <v>354</v>
      </c>
      <c r="C759" t="s">
        <v>9378</v>
      </c>
      <c r="D759" t="s">
        <v>9378</v>
      </c>
      <c r="E759" t="s">
        <v>9405</v>
      </c>
    </row>
    <row r="760" spans="1:5" x14ac:dyDescent="0.25">
      <c r="A760" t="s">
        <v>347</v>
      </c>
      <c r="B760" t="s">
        <v>348</v>
      </c>
      <c r="C760" t="s">
        <v>9378</v>
      </c>
      <c r="D760" t="s">
        <v>9542</v>
      </c>
      <c r="E760" t="s">
        <v>9378</v>
      </c>
    </row>
    <row r="761" spans="1:5" x14ac:dyDescent="0.25">
      <c r="A761" t="s">
        <v>10699</v>
      </c>
      <c r="B761" t="s">
        <v>10700</v>
      </c>
      <c r="C761" t="s">
        <v>9378</v>
      </c>
      <c r="D761" t="s">
        <v>9378</v>
      </c>
      <c r="E761" t="s">
        <v>9405</v>
      </c>
    </row>
    <row r="762" spans="1:5" x14ac:dyDescent="0.25">
      <c r="A762" t="s">
        <v>10701</v>
      </c>
      <c r="B762" t="s">
        <v>10702</v>
      </c>
      <c r="C762" t="s">
        <v>9378</v>
      </c>
      <c r="D762" t="s">
        <v>9542</v>
      </c>
      <c r="E762" t="s">
        <v>9378</v>
      </c>
    </row>
    <row r="763" spans="1:5" x14ac:dyDescent="0.25">
      <c r="A763" t="s">
        <v>10703</v>
      </c>
      <c r="B763" t="s">
        <v>10704</v>
      </c>
      <c r="C763" t="s">
        <v>9378</v>
      </c>
      <c r="D763" t="s">
        <v>9542</v>
      </c>
      <c r="E763" t="s">
        <v>9378</v>
      </c>
    </row>
    <row r="764" spans="1:5" x14ac:dyDescent="0.25">
      <c r="A764" t="s">
        <v>175</v>
      </c>
      <c r="B764" t="s">
        <v>505</v>
      </c>
      <c r="C764" t="s">
        <v>9378</v>
      </c>
      <c r="D764" t="s">
        <v>9378</v>
      </c>
      <c r="E764" t="s">
        <v>9405</v>
      </c>
    </row>
    <row r="765" spans="1:5" x14ac:dyDescent="0.25">
      <c r="A765" t="s">
        <v>362</v>
      </c>
      <c r="B765" t="s">
        <v>10705</v>
      </c>
      <c r="C765" t="s">
        <v>9378</v>
      </c>
      <c r="D765" t="s">
        <v>9378</v>
      </c>
      <c r="E765" t="s">
        <v>9405</v>
      </c>
    </row>
    <row r="766" spans="1:5" x14ac:dyDescent="0.25">
      <c r="A766" t="s">
        <v>172</v>
      </c>
      <c r="B766" t="s">
        <v>10706</v>
      </c>
      <c r="C766" t="s">
        <v>9378</v>
      </c>
      <c r="D766" t="s">
        <v>9378</v>
      </c>
      <c r="E766" t="s">
        <v>9378</v>
      </c>
    </row>
    <row r="767" spans="1:5" x14ac:dyDescent="0.25">
      <c r="A767" t="s">
        <v>178</v>
      </c>
      <c r="B767" t="s">
        <v>10707</v>
      </c>
      <c r="C767" t="s">
        <v>9378</v>
      </c>
      <c r="D767" t="s">
        <v>9378</v>
      </c>
      <c r="E767" t="s">
        <v>9378</v>
      </c>
    </row>
    <row r="768" spans="1:5" x14ac:dyDescent="0.25">
      <c r="A768" t="s">
        <v>10708</v>
      </c>
      <c r="B768" t="s">
        <v>10709</v>
      </c>
      <c r="C768" t="s">
        <v>9378</v>
      </c>
      <c r="D768" t="s">
        <v>9378</v>
      </c>
      <c r="E768" t="s">
        <v>9378</v>
      </c>
    </row>
    <row r="769" spans="1:5" x14ac:dyDescent="0.25">
      <c r="A769" t="s">
        <v>10710</v>
      </c>
      <c r="B769" t="s">
        <v>10711</v>
      </c>
      <c r="C769" t="s">
        <v>9369</v>
      </c>
      <c r="D769" t="s">
        <v>9369</v>
      </c>
      <c r="E769" t="s">
        <v>9369</v>
      </c>
    </row>
    <row r="770" spans="1:5" x14ac:dyDescent="0.25">
      <c r="A770" t="s">
        <v>465</v>
      </c>
      <c r="B770" t="s">
        <v>466</v>
      </c>
      <c r="C770" t="s">
        <v>9369</v>
      </c>
      <c r="D770" t="s">
        <v>9369</v>
      </c>
      <c r="E770" t="s">
        <v>9369</v>
      </c>
    </row>
    <row r="771" spans="1:5" x14ac:dyDescent="0.25">
      <c r="A771" t="s">
        <v>10712</v>
      </c>
      <c r="B771" t="s">
        <v>10713</v>
      </c>
      <c r="C771" t="s">
        <v>9369</v>
      </c>
      <c r="D771" t="s">
        <v>9369</v>
      </c>
      <c r="E771" t="s">
        <v>9369</v>
      </c>
    </row>
    <row r="772" spans="1:5" x14ac:dyDescent="0.25">
      <c r="A772" t="s">
        <v>10714</v>
      </c>
      <c r="B772" t="s">
        <v>10715</v>
      </c>
      <c r="C772" t="s">
        <v>9369</v>
      </c>
      <c r="D772" t="s">
        <v>9369</v>
      </c>
      <c r="E772" t="s">
        <v>9369</v>
      </c>
    </row>
    <row r="773" spans="1:5" x14ac:dyDescent="0.25">
      <c r="A773" t="s">
        <v>10716</v>
      </c>
      <c r="B773" t="s">
        <v>10717</v>
      </c>
      <c r="C773" t="s">
        <v>9369</v>
      </c>
      <c r="D773" t="s">
        <v>9369</v>
      </c>
      <c r="E773" t="s">
        <v>9369</v>
      </c>
    </row>
    <row r="774" spans="1:5" x14ac:dyDescent="0.25">
      <c r="A774" t="s">
        <v>10718</v>
      </c>
      <c r="B774" t="s">
        <v>10719</v>
      </c>
      <c r="C774" t="s">
        <v>9369</v>
      </c>
      <c r="D774" t="s">
        <v>9369</v>
      </c>
      <c r="E774" t="s">
        <v>9369</v>
      </c>
    </row>
    <row r="775" spans="1:5" x14ac:dyDescent="0.25">
      <c r="A775" t="s">
        <v>10720</v>
      </c>
      <c r="B775" t="s">
        <v>10721</v>
      </c>
      <c r="C775" t="s">
        <v>9369</v>
      </c>
      <c r="D775" t="s">
        <v>9369</v>
      </c>
      <c r="E775" t="s">
        <v>9369</v>
      </c>
    </row>
    <row r="776" spans="1:5" x14ac:dyDescent="0.25">
      <c r="A776" t="s">
        <v>10722</v>
      </c>
      <c r="B776" t="s">
        <v>10723</v>
      </c>
      <c r="C776" t="s">
        <v>9369</v>
      </c>
      <c r="D776" t="s">
        <v>9369</v>
      </c>
      <c r="E776" t="s">
        <v>9369</v>
      </c>
    </row>
    <row r="777" spans="1:5" x14ac:dyDescent="0.25">
      <c r="A777" t="s">
        <v>10724</v>
      </c>
      <c r="B777" t="s">
        <v>10725</v>
      </c>
      <c r="C777" t="s">
        <v>9369</v>
      </c>
      <c r="D777" t="s">
        <v>9369</v>
      </c>
      <c r="E777" t="s">
        <v>9369</v>
      </c>
    </row>
    <row r="778" spans="1:5" x14ac:dyDescent="0.25">
      <c r="A778" t="s">
        <v>10726</v>
      </c>
      <c r="B778" t="s">
        <v>10727</v>
      </c>
      <c r="C778" t="s">
        <v>9369</v>
      </c>
      <c r="D778" t="s">
        <v>9369</v>
      </c>
      <c r="E778" t="s">
        <v>9369</v>
      </c>
    </row>
    <row r="779" spans="1:5" x14ac:dyDescent="0.25">
      <c r="A779" t="s">
        <v>10728</v>
      </c>
      <c r="B779" t="s">
        <v>10729</v>
      </c>
      <c r="C779" t="s">
        <v>9369</v>
      </c>
      <c r="D779" t="s">
        <v>9369</v>
      </c>
      <c r="E779" t="s">
        <v>9369</v>
      </c>
    </row>
    <row r="780" spans="1:5" x14ac:dyDescent="0.25">
      <c r="A780" t="s">
        <v>453</v>
      </c>
      <c r="B780" t="s">
        <v>454</v>
      </c>
      <c r="C780" t="s">
        <v>9369</v>
      </c>
      <c r="D780" t="s">
        <v>9369</v>
      </c>
      <c r="E780" t="s">
        <v>9369</v>
      </c>
    </row>
    <row r="781" spans="1:5" x14ac:dyDescent="0.25">
      <c r="A781" t="s">
        <v>10730</v>
      </c>
      <c r="B781" t="s">
        <v>10731</v>
      </c>
      <c r="C781" t="s">
        <v>9369</v>
      </c>
      <c r="D781" t="s">
        <v>9369</v>
      </c>
      <c r="E781" t="s">
        <v>9369</v>
      </c>
    </row>
    <row r="782" spans="1:5" x14ac:dyDescent="0.25">
      <c r="A782" t="s">
        <v>10732</v>
      </c>
      <c r="B782" t="s">
        <v>10733</v>
      </c>
      <c r="C782" t="s">
        <v>9369</v>
      </c>
      <c r="D782" t="s">
        <v>9369</v>
      </c>
      <c r="E782" t="s">
        <v>9369</v>
      </c>
    </row>
    <row r="783" spans="1:5" x14ac:dyDescent="0.25">
      <c r="A783" t="s">
        <v>10734</v>
      </c>
      <c r="B783" t="s">
        <v>10735</v>
      </c>
      <c r="C783" t="s">
        <v>9369</v>
      </c>
      <c r="D783" t="s">
        <v>9369</v>
      </c>
      <c r="E783" t="s">
        <v>9369</v>
      </c>
    </row>
    <row r="784" spans="1:5" x14ac:dyDescent="0.25">
      <c r="A784" t="s">
        <v>10736</v>
      </c>
      <c r="B784" t="s">
        <v>10737</v>
      </c>
      <c r="C784" t="s">
        <v>9369</v>
      </c>
      <c r="D784" t="s">
        <v>9369</v>
      </c>
      <c r="E784" t="s">
        <v>9369</v>
      </c>
    </row>
    <row r="785" spans="1:5" x14ac:dyDescent="0.25">
      <c r="A785" t="s">
        <v>10738</v>
      </c>
      <c r="B785" t="s">
        <v>10739</v>
      </c>
      <c r="C785" t="s">
        <v>9369</v>
      </c>
      <c r="D785" t="s">
        <v>9369</v>
      </c>
      <c r="E785" t="s">
        <v>9369</v>
      </c>
    </row>
    <row r="786" spans="1:5" x14ac:dyDescent="0.25">
      <c r="A786" t="s">
        <v>10740</v>
      </c>
      <c r="B786" t="s">
        <v>10741</v>
      </c>
      <c r="C786" t="s">
        <v>9369</v>
      </c>
      <c r="D786" t="s">
        <v>9369</v>
      </c>
      <c r="E786" t="s">
        <v>9369</v>
      </c>
    </row>
    <row r="787" spans="1:5" x14ac:dyDescent="0.25">
      <c r="A787" t="s">
        <v>10742</v>
      </c>
      <c r="B787" t="s">
        <v>10743</v>
      </c>
      <c r="C787" t="s">
        <v>9369</v>
      </c>
      <c r="D787" t="s">
        <v>9369</v>
      </c>
      <c r="E787" t="s">
        <v>9369</v>
      </c>
    </row>
    <row r="788" spans="1:5" x14ac:dyDescent="0.25">
      <c r="A788" t="s">
        <v>10744</v>
      </c>
      <c r="B788" t="s">
        <v>10745</v>
      </c>
      <c r="C788" t="s">
        <v>9369</v>
      </c>
      <c r="D788" t="s">
        <v>9369</v>
      </c>
      <c r="E788" t="s">
        <v>9369</v>
      </c>
    </row>
    <row r="789" spans="1:5" x14ac:dyDescent="0.25">
      <c r="A789" t="s">
        <v>456</v>
      </c>
      <c r="B789" t="s">
        <v>457</v>
      </c>
      <c r="C789" t="s">
        <v>9369</v>
      </c>
      <c r="D789" t="s">
        <v>9369</v>
      </c>
      <c r="E789" t="s">
        <v>9369</v>
      </c>
    </row>
    <row r="790" spans="1:5" x14ac:dyDescent="0.25">
      <c r="A790" t="s">
        <v>10746</v>
      </c>
      <c r="B790" t="s">
        <v>10747</v>
      </c>
      <c r="C790" t="s">
        <v>9369</v>
      </c>
      <c r="D790" t="s">
        <v>9369</v>
      </c>
      <c r="E790" t="s">
        <v>9369</v>
      </c>
    </row>
    <row r="791" spans="1:5" x14ac:dyDescent="0.25">
      <c r="A791" t="s">
        <v>474</v>
      </c>
      <c r="B791" t="s">
        <v>475</v>
      </c>
      <c r="C791" t="s">
        <v>9369</v>
      </c>
      <c r="D791" t="s">
        <v>9369</v>
      </c>
      <c r="E791" t="s">
        <v>9369</v>
      </c>
    </row>
    <row r="792" spans="1:5" x14ac:dyDescent="0.25">
      <c r="A792" t="s">
        <v>459</v>
      </c>
      <c r="B792" t="s">
        <v>460</v>
      </c>
      <c r="C792" t="s">
        <v>9369</v>
      </c>
      <c r="D792" t="s">
        <v>9369</v>
      </c>
      <c r="E792" t="s">
        <v>9369</v>
      </c>
    </row>
    <row r="793" spans="1:5" x14ac:dyDescent="0.25">
      <c r="A793" t="s">
        <v>462</v>
      </c>
      <c r="B793" t="s">
        <v>463</v>
      </c>
      <c r="C793" t="s">
        <v>9369</v>
      </c>
      <c r="D793" t="s">
        <v>9369</v>
      </c>
      <c r="E793" t="s">
        <v>9369</v>
      </c>
    </row>
    <row r="794" spans="1:5" x14ac:dyDescent="0.25">
      <c r="A794" t="s">
        <v>10748</v>
      </c>
      <c r="B794" t="s">
        <v>10749</v>
      </c>
      <c r="C794" t="s">
        <v>9369</v>
      </c>
      <c r="D794" t="s">
        <v>9369</v>
      </c>
      <c r="E794" t="s">
        <v>9369</v>
      </c>
    </row>
    <row r="795" spans="1:5" x14ac:dyDescent="0.25">
      <c r="A795" t="s">
        <v>10750</v>
      </c>
      <c r="B795" t="s">
        <v>10751</v>
      </c>
      <c r="C795" t="s">
        <v>9369</v>
      </c>
      <c r="D795" t="s">
        <v>9369</v>
      </c>
      <c r="E795" t="s">
        <v>9369</v>
      </c>
    </row>
    <row r="796" spans="1:5" x14ac:dyDescent="0.25">
      <c r="A796" t="s">
        <v>10752</v>
      </c>
      <c r="B796" t="s">
        <v>10753</v>
      </c>
      <c r="C796" t="s">
        <v>9369</v>
      </c>
      <c r="D796" t="s">
        <v>9369</v>
      </c>
      <c r="E796" t="s">
        <v>9369</v>
      </c>
    </row>
    <row r="797" spans="1:5" x14ac:dyDescent="0.25">
      <c r="A797" t="s">
        <v>374</v>
      </c>
      <c r="B797" t="s">
        <v>375</v>
      </c>
      <c r="C797" t="s">
        <v>9369</v>
      </c>
      <c r="D797" t="s">
        <v>9369</v>
      </c>
      <c r="E797" t="s">
        <v>9369</v>
      </c>
    </row>
    <row r="798" spans="1:5" x14ac:dyDescent="0.25">
      <c r="A798" t="s">
        <v>371</v>
      </c>
      <c r="B798" t="s">
        <v>372</v>
      </c>
      <c r="C798" t="s">
        <v>9369</v>
      </c>
      <c r="D798" t="s">
        <v>9369</v>
      </c>
      <c r="E798" t="s">
        <v>9369</v>
      </c>
    </row>
    <row r="799" spans="1:5" x14ac:dyDescent="0.25">
      <c r="A799" t="s">
        <v>380</v>
      </c>
      <c r="B799" t="s">
        <v>381</v>
      </c>
      <c r="C799" t="s">
        <v>9369</v>
      </c>
      <c r="D799" t="s">
        <v>9369</v>
      </c>
      <c r="E799" t="s">
        <v>9369</v>
      </c>
    </row>
    <row r="800" spans="1:5" x14ac:dyDescent="0.25">
      <c r="A800" t="s">
        <v>377</v>
      </c>
      <c r="B800" t="s">
        <v>378</v>
      </c>
      <c r="C800" t="s">
        <v>9369</v>
      </c>
      <c r="D800" t="s">
        <v>9369</v>
      </c>
      <c r="E800" t="s">
        <v>9369</v>
      </c>
    </row>
    <row r="801" spans="1:5" x14ac:dyDescent="0.25">
      <c r="A801" t="s">
        <v>383</v>
      </c>
      <c r="B801" t="s">
        <v>384</v>
      </c>
      <c r="C801" t="s">
        <v>9369</v>
      </c>
      <c r="D801" t="s">
        <v>9369</v>
      </c>
      <c r="E801" t="s">
        <v>9369</v>
      </c>
    </row>
    <row r="802" spans="1:5" x14ac:dyDescent="0.25">
      <c r="A802" t="s">
        <v>10754</v>
      </c>
      <c r="B802" t="s">
        <v>10755</v>
      </c>
      <c r="C802" t="s">
        <v>9369</v>
      </c>
      <c r="D802" t="s">
        <v>9369</v>
      </c>
      <c r="E802" t="s">
        <v>9369</v>
      </c>
    </row>
    <row r="803" spans="1:5" x14ac:dyDescent="0.25">
      <c r="A803" t="s">
        <v>10756</v>
      </c>
      <c r="B803" t="s">
        <v>10757</v>
      </c>
      <c r="C803" t="s">
        <v>9369</v>
      </c>
      <c r="D803" t="s">
        <v>9369</v>
      </c>
      <c r="E803" t="s">
        <v>9369</v>
      </c>
    </row>
    <row r="804" spans="1:5" x14ac:dyDescent="0.25">
      <c r="A804" t="s">
        <v>10758</v>
      </c>
      <c r="B804" t="s">
        <v>10759</v>
      </c>
      <c r="C804" t="s">
        <v>9369</v>
      </c>
      <c r="D804" t="s">
        <v>9369</v>
      </c>
      <c r="E804" t="s">
        <v>9369</v>
      </c>
    </row>
    <row r="805" spans="1:5" x14ac:dyDescent="0.25">
      <c r="A805" t="s">
        <v>449</v>
      </c>
      <c r="B805" t="s">
        <v>450</v>
      </c>
      <c r="C805" t="s">
        <v>9369</v>
      </c>
      <c r="D805" t="s">
        <v>9369</v>
      </c>
      <c r="E805" t="s">
        <v>9369</v>
      </c>
    </row>
    <row r="806" spans="1:5" x14ac:dyDescent="0.25">
      <c r="A806" t="s">
        <v>10760</v>
      </c>
      <c r="B806" t="s">
        <v>10761</v>
      </c>
      <c r="C806" t="s">
        <v>9369</v>
      </c>
      <c r="D806" t="s">
        <v>9369</v>
      </c>
      <c r="E806" t="s">
        <v>9369</v>
      </c>
    </row>
    <row r="807" spans="1:5" x14ac:dyDescent="0.25">
      <c r="A807" t="s">
        <v>10762</v>
      </c>
      <c r="B807" t="s">
        <v>10763</v>
      </c>
      <c r="C807" t="s">
        <v>9369</v>
      </c>
      <c r="D807" t="s">
        <v>9369</v>
      </c>
      <c r="E807" t="s">
        <v>9369</v>
      </c>
    </row>
    <row r="808" spans="1:5" x14ac:dyDescent="0.25">
      <c r="A808" t="s">
        <v>10764</v>
      </c>
      <c r="B808" t="s">
        <v>10765</v>
      </c>
      <c r="C808" t="s">
        <v>9369</v>
      </c>
      <c r="D808" t="s">
        <v>9369</v>
      </c>
      <c r="E808" t="s">
        <v>9369</v>
      </c>
    </row>
    <row r="809" spans="1:5" x14ac:dyDescent="0.25">
      <c r="A809" t="s">
        <v>10766</v>
      </c>
      <c r="B809" t="s">
        <v>12753</v>
      </c>
      <c r="C809" t="s">
        <v>9369</v>
      </c>
      <c r="D809" t="s">
        <v>9369</v>
      </c>
      <c r="E809" t="s">
        <v>9369</v>
      </c>
    </row>
    <row r="810" spans="1:5" x14ac:dyDescent="0.25">
      <c r="A810" t="s">
        <v>10767</v>
      </c>
      <c r="B810" t="s">
        <v>10768</v>
      </c>
      <c r="C810" t="s">
        <v>9369</v>
      </c>
      <c r="D810" t="s">
        <v>9369</v>
      </c>
      <c r="E810" t="s">
        <v>9369</v>
      </c>
    </row>
    <row r="811" spans="1:5" x14ac:dyDescent="0.25">
      <c r="A811" t="s">
        <v>10769</v>
      </c>
      <c r="B811" t="s">
        <v>10770</v>
      </c>
      <c r="C811" t="s">
        <v>9369</v>
      </c>
      <c r="D811" t="s">
        <v>9369</v>
      </c>
      <c r="E811" t="s">
        <v>9369</v>
      </c>
    </row>
    <row r="812" spans="1:5" x14ac:dyDescent="0.25">
      <c r="A812" t="s">
        <v>10771</v>
      </c>
      <c r="B812" t="s">
        <v>10772</v>
      </c>
      <c r="C812" t="s">
        <v>9369</v>
      </c>
      <c r="D812" t="s">
        <v>9369</v>
      </c>
      <c r="E812" t="s">
        <v>9369</v>
      </c>
    </row>
    <row r="813" spans="1:5" x14ac:dyDescent="0.25">
      <c r="A813" t="s">
        <v>10773</v>
      </c>
      <c r="B813" t="s">
        <v>10774</v>
      </c>
      <c r="C813" t="s">
        <v>9369</v>
      </c>
      <c r="D813" t="s">
        <v>9369</v>
      </c>
      <c r="E813" t="s">
        <v>9369</v>
      </c>
    </row>
    <row r="814" spans="1:5" x14ac:dyDescent="0.25">
      <c r="A814" t="s">
        <v>10775</v>
      </c>
      <c r="B814" t="s">
        <v>10776</v>
      </c>
      <c r="C814" t="s">
        <v>9369</v>
      </c>
      <c r="D814" t="s">
        <v>9369</v>
      </c>
      <c r="E814" t="s">
        <v>9369</v>
      </c>
    </row>
    <row r="815" spans="1:5" x14ac:dyDescent="0.25">
      <c r="A815" t="s">
        <v>386</v>
      </c>
      <c r="B815" t="s">
        <v>387</v>
      </c>
      <c r="C815" t="s">
        <v>9369</v>
      </c>
      <c r="D815" t="s">
        <v>9369</v>
      </c>
      <c r="E815" t="s">
        <v>9369</v>
      </c>
    </row>
    <row r="816" spans="1:5" x14ac:dyDescent="0.25">
      <c r="A816" t="s">
        <v>10777</v>
      </c>
      <c r="B816" t="s">
        <v>10778</v>
      </c>
      <c r="C816" t="s">
        <v>9369</v>
      </c>
      <c r="D816" t="s">
        <v>9369</v>
      </c>
      <c r="E816" t="s">
        <v>9369</v>
      </c>
    </row>
    <row r="817" spans="1:5" x14ac:dyDescent="0.25">
      <c r="A817" t="s">
        <v>10779</v>
      </c>
      <c r="B817" t="s">
        <v>10780</v>
      </c>
      <c r="C817" t="s">
        <v>9369</v>
      </c>
      <c r="D817" t="s">
        <v>9369</v>
      </c>
      <c r="E817" t="s">
        <v>9369</v>
      </c>
    </row>
    <row r="818" spans="1:5" x14ac:dyDescent="0.25">
      <c r="A818" t="s">
        <v>10781</v>
      </c>
      <c r="B818" t="s">
        <v>10782</v>
      </c>
      <c r="C818" t="s">
        <v>9369</v>
      </c>
      <c r="D818" t="s">
        <v>9369</v>
      </c>
      <c r="E818" t="s">
        <v>9369</v>
      </c>
    </row>
    <row r="819" spans="1:5" x14ac:dyDescent="0.25">
      <c r="A819" t="s">
        <v>368</v>
      </c>
      <c r="B819" t="s">
        <v>369</v>
      </c>
      <c r="C819" t="s">
        <v>9369</v>
      </c>
      <c r="D819" t="s">
        <v>9369</v>
      </c>
      <c r="E819" t="s">
        <v>9369</v>
      </c>
    </row>
    <row r="820" spans="1:5" x14ac:dyDescent="0.25">
      <c r="A820" t="s">
        <v>10783</v>
      </c>
      <c r="B820" t="s">
        <v>10784</v>
      </c>
      <c r="C820" t="s">
        <v>9369</v>
      </c>
      <c r="D820" t="s">
        <v>9369</v>
      </c>
      <c r="E820" t="s">
        <v>9369</v>
      </c>
    </row>
    <row r="821" spans="1:5" x14ac:dyDescent="0.25">
      <c r="A821" t="s">
        <v>10785</v>
      </c>
      <c r="B821" t="s">
        <v>10786</v>
      </c>
      <c r="C821" t="s">
        <v>9369</v>
      </c>
      <c r="D821" t="s">
        <v>9369</v>
      </c>
      <c r="E821" t="s">
        <v>9369</v>
      </c>
    </row>
    <row r="822" spans="1:5" x14ac:dyDescent="0.25">
      <c r="A822" t="s">
        <v>389</v>
      </c>
      <c r="B822" t="s">
        <v>390</v>
      </c>
      <c r="C822" t="s">
        <v>9369</v>
      </c>
      <c r="D822" t="s">
        <v>9369</v>
      </c>
      <c r="E822" t="s">
        <v>9369</v>
      </c>
    </row>
    <row r="823" spans="1:5" x14ac:dyDescent="0.25">
      <c r="A823" t="s">
        <v>10787</v>
      </c>
      <c r="B823" t="s">
        <v>10788</v>
      </c>
      <c r="C823" t="s">
        <v>9369</v>
      </c>
      <c r="D823" t="s">
        <v>9369</v>
      </c>
      <c r="E823" t="s">
        <v>9369</v>
      </c>
    </row>
    <row r="824" spans="1:5" x14ac:dyDescent="0.25">
      <c r="A824" t="s">
        <v>10789</v>
      </c>
      <c r="B824" t="s">
        <v>10790</v>
      </c>
      <c r="C824" t="s">
        <v>9369</v>
      </c>
      <c r="D824" t="s">
        <v>9369</v>
      </c>
      <c r="E824" t="s">
        <v>9369</v>
      </c>
    </row>
    <row r="825" spans="1:5" x14ac:dyDescent="0.25">
      <c r="A825" t="s">
        <v>398</v>
      </c>
      <c r="B825" t="s">
        <v>399</v>
      </c>
      <c r="C825" t="s">
        <v>9369</v>
      </c>
      <c r="D825" t="s">
        <v>9369</v>
      </c>
      <c r="E825" t="s">
        <v>9369</v>
      </c>
    </row>
    <row r="826" spans="1:5" x14ac:dyDescent="0.25">
      <c r="A826" t="s">
        <v>443</v>
      </c>
      <c r="B826" t="s">
        <v>444</v>
      </c>
      <c r="C826" t="s">
        <v>9369</v>
      </c>
      <c r="D826" t="s">
        <v>9369</v>
      </c>
      <c r="E826" t="s">
        <v>9369</v>
      </c>
    </row>
    <row r="827" spans="1:5" x14ac:dyDescent="0.25">
      <c r="A827" t="s">
        <v>10791</v>
      </c>
      <c r="B827" t="s">
        <v>10792</v>
      </c>
      <c r="C827" t="s">
        <v>9369</v>
      </c>
      <c r="D827" t="s">
        <v>9369</v>
      </c>
      <c r="E827" t="s">
        <v>9369</v>
      </c>
    </row>
    <row r="828" spans="1:5" x14ac:dyDescent="0.25">
      <c r="A828" t="s">
        <v>437</v>
      </c>
      <c r="B828" t="s">
        <v>438</v>
      </c>
      <c r="C828" t="s">
        <v>9369</v>
      </c>
      <c r="D828" t="s">
        <v>9369</v>
      </c>
      <c r="E828" t="s">
        <v>9369</v>
      </c>
    </row>
    <row r="829" spans="1:5" x14ac:dyDescent="0.25">
      <c r="A829" t="s">
        <v>10793</v>
      </c>
      <c r="B829" t="s">
        <v>10794</v>
      </c>
      <c r="C829" t="s">
        <v>9369</v>
      </c>
      <c r="D829" t="s">
        <v>9369</v>
      </c>
      <c r="E829" t="s">
        <v>9369</v>
      </c>
    </row>
    <row r="830" spans="1:5" x14ac:dyDescent="0.25">
      <c r="A830" t="s">
        <v>10795</v>
      </c>
      <c r="B830" t="s">
        <v>10796</v>
      </c>
      <c r="C830" t="s">
        <v>9369</v>
      </c>
      <c r="D830" t="s">
        <v>9369</v>
      </c>
      <c r="E830" t="s">
        <v>9369</v>
      </c>
    </row>
    <row r="831" spans="1:5" x14ac:dyDescent="0.25">
      <c r="A831" t="s">
        <v>401</v>
      </c>
      <c r="B831" t="s">
        <v>402</v>
      </c>
      <c r="C831" t="s">
        <v>9369</v>
      </c>
      <c r="D831" t="s">
        <v>9369</v>
      </c>
      <c r="E831" t="s">
        <v>9369</v>
      </c>
    </row>
    <row r="832" spans="1:5" x14ac:dyDescent="0.25">
      <c r="A832" t="s">
        <v>10797</v>
      </c>
      <c r="B832" t="s">
        <v>10798</v>
      </c>
      <c r="C832" t="s">
        <v>9369</v>
      </c>
      <c r="D832" t="s">
        <v>9369</v>
      </c>
      <c r="E832" t="s">
        <v>9369</v>
      </c>
    </row>
    <row r="833" spans="1:5" x14ac:dyDescent="0.25">
      <c r="A833" t="s">
        <v>428</v>
      </c>
      <c r="B833" t="s">
        <v>429</v>
      </c>
      <c r="C833" t="s">
        <v>9369</v>
      </c>
      <c r="D833" t="s">
        <v>9369</v>
      </c>
      <c r="E833" t="s">
        <v>9369</v>
      </c>
    </row>
    <row r="834" spans="1:5" x14ac:dyDescent="0.25">
      <c r="A834" t="s">
        <v>395</v>
      </c>
      <c r="B834" t="s">
        <v>396</v>
      </c>
      <c r="C834" t="s">
        <v>9369</v>
      </c>
      <c r="D834" t="s">
        <v>9369</v>
      </c>
      <c r="E834" t="s">
        <v>9369</v>
      </c>
    </row>
    <row r="835" spans="1:5" x14ac:dyDescent="0.25">
      <c r="A835" t="s">
        <v>446</v>
      </c>
      <c r="B835" t="s">
        <v>447</v>
      </c>
      <c r="C835" t="s">
        <v>9369</v>
      </c>
      <c r="D835" t="s">
        <v>9369</v>
      </c>
      <c r="E835" t="s">
        <v>9369</v>
      </c>
    </row>
    <row r="836" spans="1:5" x14ac:dyDescent="0.25">
      <c r="A836" t="s">
        <v>431</v>
      </c>
      <c r="B836" t="s">
        <v>432</v>
      </c>
      <c r="C836" t="s">
        <v>9369</v>
      </c>
      <c r="D836" t="s">
        <v>9369</v>
      </c>
      <c r="E836" t="s">
        <v>9369</v>
      </c>
    </row>
    <row r="837" spans="1:5" x14ac:dyDescent="0.25">
      <c r="A837" s="14" t="s">
        <v>10799</v>
      </c>
      <c r="B837" t="s">
        <v>10800</v>
      </c>
      <c r="C837" t="s">
        <v>9369</v>
      </c>
      <c r="D837" t="s">
        <v>9369</v>
      </c>
      <c r="E837" t="s">
        <v>9369</v>
      </c>
    </row>
    <row r="838" spans="1:5" x14ac:dyDescent="0.25">
      <c r="A838" t="s">
        <v>10801</v>
      </c>
      <c r="B838" t="s">
        <v>10802</v>
      </c>
      <c r="C838" t="s">
        <v>9369</v>
      </c>
      <c r="D838" t="s">
        <v>9369</v>
      </c>
      <c r="E838" t="s">
        <v>9369</v>
      </c>
    </row>
    <row r="839" spans="1:5" x14ac:dyDescent="0.25">
      <c r="A839" t="s">
        <v>440</v>
      </c>
      <c r="B839" t="s">
        <v>441</v>
      </c>
      <c r="C839" t="s">
        <v>9369</v>
      </c>
      <c r="D839" t="s">
        <v>9369</v>
      </c>
      <c r="E839" t="s">
        <v>9369</v>
      </c>
    </row>
    <row r="840" spans="1:5" x14ac:dyDescent="0.25">
      <c r="A840" t="s">
        <v>10803</v>
      </c>
      <c r="B840" t="s">
        <v>10804</v>
      </c>
      <c r="C840" t="s">
        <v>9369</v>
      </c>
      <c r="D840" t="s">
        <v>9369</v>
      </c>
      <c r="E840" t="s">
        <v>9369</v>
      </c>
    </row>
    <row r="841" spans="1:5" x14ac:dyDescent="0.25">
      <c r="A841" t="s">
        <v>10805</v>
      </c>
      <c r="B841" t="s">
        <v>10806</v>
      </c>
      <c r="C841" t="s">
        <v>9369</v>
      </c>
      <c r="D841" t="s">
        <v>9369</v>
      </c>
      <c r="E841" t="s">
        <v>9369</v>
      </c>
    </row>
    <row r="842" spans="1:5" x14ac:dyDescent="0.25">
      <c r="A842" t="s">
        <v>404</v>
      </c>
      <c r="B842" t="s">
        <v>405</v>
      </c>
      <c r="C842" t="s">
        <v>9369</v>
      </c>
      <c r="D842" t="s">
        <v>9369</v>
      </c>
      <c r="E842" t="s">
        <v>9369</v>
      </c>
    </row>
    <row r="843" spans="1:5" x14ac:dyDescent="0.25">
      <c r="A843" t="s">
        <v>407</v>
      </c>
      <c r="B843" t="s">
        <v>408</v>
      </c>
      <c r="C843" t="s">
        <v>9369</v>
      </c>
      <c r="D843" t="s">
        <v>9369</v>
      </c>
      <c r="E843" t="s">
        <v>9369</v>
      </c>
    </row>
    <row r="844" spans="1:5" x14ac:dyDescent="0.25">
      <c r="A844" t="s">
        <v>410</v>
      </c>
      <c r="B844" t="s">
        <v>411</v>
      </c>
      <c r="C844" t="s">
        <v>9369</v>
      </c>
      <c r="D844" t="s">
        <v>9369</v>
      </c>
      <c r="E844" t="s">
        <v>9369</v>
      </c>
    </row>
    <row r="845" spans="1:5" x14ac:dyDescent="0.25">
      <c r="A845" t="s">
        <v>10807</v>
      </c>
      <c r="B845" t="s">
        <v>10808</v>
      </c>
      <c r="C845" t="s">
        <v>9378</v>
      </c>
      <c r="D845" t="s">
        <v>9378</v>
      </c>
      <c r="E845" t="s">
        <v>9378</v>
      </c>
    </row>
    <row r="846" spans="1:5" x14ac:dyDescent="0.25">
      <c r="A846" t="s">
        <v>10809</v>
      </c>
      <c r="B846" t="s">
        <v>10810</v>
      </c>
      <c r="C846" t="s">
        <v>9378</v>
      </c>
      <c r="D846" t="s">
        <v>9378</v>
      </c>
      <c r="E846" t="s">
        <v>9378</v>
      </c>
    </row>
    <row r="847" spans="1:5" x14ac:dyDescent="0.25">
      <c r="A847" t="s">
        <v>10811</v>
      </c>
      <c r="B847" t="s">
        <v>10812</v>
      </c>
      <c r="C847" t="s">
        <v>9378</v>
      </c>
      <c r="D847" t="s">
        <v>9378</v>
      </c>
      <c r="E847" t="s">
        <v>9378</v>
      </c>
    </row>
    <row r="848" spans="1:5" x14ac:dyDescent="0.25">
      <c r="A848" t="s">
        <v>10813</v>
      </c>
      <c r="B848" t="s">
        <v>10814</v>
      </c>
      <c r="C848" t="s">
        <v>9378</v>
      </c>
      <c r="D848" t="s">
        <v>9378</v>
      </c>
      <c r="E848" t="s">
        <v>9378</v>
      </c>
    </row>
    <row r="849" spans="1:5" x14ac:dyDescent="0.25">
      <c r="A849" t="s">
        <v>10815</v>
      </c>
      <c r="B849" t="s">
        <v>10816</v>
      </c>
      <c r="C849" t="s">
        <v>9378</v>
      </c>
      <c r="D849" t="s">
        <v>9378</v>
      </c>
      <c r="E849" t="s">
        <v>9378</v>
      </c>
    </row>
    <row r="850" spans="1:5" x14ac:dyDescent="0.25">
      <c r="A850" t="s">
        <v>10817</v>
      </c>
      <c r="B850" t="s">
        <v>10818</v>
      </c>
      <c r="C850" t="s">
        <v>9378</v>
      </c>
      <c r="D850" t="s">
        <v>9378</v>
      </c>
      <c r="E850" t="s">
        <v>9378</v>
      </c>
    </row>
    <row r="851" spans="1:5" x14ac:dyDescent="0.25">
      <c r="A851" t="s">
        <v>10819</v>
      </c>
      <c r="B851" t="s">
        <v>10820</v>
      </c>
      <c r="C851" t="s">
        <v>9378</v>
      </c>
      <c r="D851" t="s">
        <v>9378</v>
      </c>
      <c r="E851" t="s">
        <v>9378</v>
      </c>
    </row>
    <row r="852" spans="1:5" x14ac:dyDescent="0.25">
      <c r="A852" t="s">
        <v>10821</v>
      </c>
      <c r="B852" t="s">
        <v>10822</v>
      </c>
      <c r="C852" t="s">
        <v>9378</v>
      </c>
      <c r="D852" t="s">
        <v>9378</v>
      </c>
      <c r="E852" t="s">
        <v>9378</v>
      </c>
    </row>
    <row r="853" spans="1:5" x14ac:dyDescent="0.25">
      <c r="A853" t="s">
        <v>10823</v>
      </c>
      <c r="B853" t="s">
        <v>10824</v>
      </c>
      <c r="C853" t="s">
        <v>9369</v>
      </c>
      <c r="D853" t="s">
        <v>9369</v>
      </c>
      <c r="E853" t="s">
        <v>9369</v>
      </c>
    </row>
    <row r="854" spans="1:5" x14ac:dyDescent="0.25">
      <c r="A854" t="s">
        <v>10825</v>
      </c>
      <c r="B854" t="s">
        <v>10826</v>
      </c>
      <c r="C854" t="s">
        <v>9378</v>
      </c>
      <c r="D854" t="s">
        <v>9378</v>
      </c>
      <c r="E854" t="s">
        <v>9378</v>
      </c>
    </row>
    <row r="855" spans="1:5" x14ac:dyDescent="0.25">
      <c r="A855" t="s">
        <v>10827</v>
      </c>
      <c r="B855" t="s">
        <v>10828</v>
      </c>
      <c r="C855" t="s">
        <v>9378</v>
      </c>
      <c r="D855" t="s">
        <v>9378</v>
      </c>
      <c r="E855" t="s">
        <v>9378</v>
      </c>
    </row>
    <row r="856" spans="1:5" x14ac:dyDescent="0.25">
      <c r="A856" t="s">
        <v>10829</v>
      </c>
      <c r="B856" t="s">
        <v>10830</v>
      </c>
      <c r="C856" t="s">
        <v>9369</v>
      </c>
      <c r="D856" t="s">
        <v>9369</v>
      </c>
      <c r="E856" t="s">
        <v>9369</v>
      </c>
    </row>
    <row r="857" spans="1:5" x14ac:dyDescent="0.25">
      <c r="A857" t="s">
        <v>10831</v>
      </c>
      <c r="B857" t="s">
        <v>10832</v>
      </c>
      <c r="C857" t="s">
        <v>9378</v>
      </c>
      <c r="D857" t="s">
        <v>9378</v>
      </c>
      <c r="E857" t="s">
        <v>9378</v>
      </c>
    </row>
    <row r="858" spans="1:5" x14ac:dyDescent="0.25">
      <c r="A858" t="s">
        <v>10833</v>
      </c>
      <c r="B858" t="s">
        <v>10834</v>
      </c>
      <c r="C858" t="s">
        <v>9369</v>
      </c>
      <c r="D858" t="s">
        <v>9369</v>
      </c>
      <c r="E858" t="s">
        <v>9369</v>
      </c>
    </row>
    <row r="859" spans="1:5" x14ac:dyDescent="0.25">
      <c r="A859" t="s">
        <v>10835</v>
      </c>
      <c r="B859" t="s">
        <v>10836</v>
      </c>
      <c r="C859" t="s">
        <v>9378</v>
      </c>
      <c r="D859" t="s">
        <v>9378</v>
      </c>
      <c r="E859" t="s">
        <v>9378</v>
      </c>
    </row>
    <row r="860" spans="1:5" x14ac:dyDescent="0.25">
      <c r="A860" t="s">
        <v>10837</v>
      </c>
      <c r="B860" t="s">
        <v>10838</v>
      </c>
      <c r="C860" t="s">
        <v>9378</v>
      </c>
      <c r="D860" t="s">
        <v>9378</v>
      </c>
      <c r="E860" t="s">
        <v>9405</v>
      </c>
    </row>
    <row r="861" spans="1:5" x14ac:dyDescent="0.25">
      <c r="A861" t="s">
        <v>365</v>
      </c>
      <c r="B861" t="s">
        <v>10839</v>
      </c>
      <c r="C861" t="s">
        <v>9378</v>
      </c>
      <c r="D861" t="s">
        <v>9378</v>
      </c>
      <c r="E861" t="s">
        <v>9378</v>
      </c>
    </row>
    <row r="862" spans="1:5" x14ac:dyDescent="0.25">
      <c r="A862" t="s">
        <v>10840</v>
      </c>
      <c r="B862" t="s">
        <v>10841</v>
      </c>
      <c r="C862" t="s">
        <v>9378</v>
      </c>
      <c r="D862" t="s">
        <v>9378</v>
      </c>
      <c r="E862" t="s">
        <v>9353</v>
      </c>
    </row>
    <row r="863" spans="1:5" x14ac:dyDescent="0.25">
      <c r="A863" t="s">
        <v>10842</v>
      </c>
      <c r="B863" t="s">
        <v>10843</v>
      </c>
      <c r="C863" t="s">
        <v>9378</v>
      </c>
      <c r="D863" t="s">
        <v>9378</v>
      </c>
      <c r="E863" t="s">
        <v>9353</v>
      </c>
    </row>
    <row r="864" spans="1:5" x14ac:dyDescent="0.25">
      <c r="A864" t="s">
        <v>10844</v>
      </c>
      <c r="B864" t="s">
        <v>10845</v>
      </c>
      <c r="C864" t="s">
        <v>9378</v>
      </c>
      <c r="D864" t="s">
        <v>9378</v>
      </c>
      <c r="E864" t="s">
        <v>9353</v>
      </c>
    </row>
    <row r="865" spans="1:5" x14ac:dyDescent="0.25">
      <c r="A865" t="s">
        <v>10846</v>
      </c>
      <c r="B865" t="s">
        <v>10847</v>
      </c>
      <c r="C865" t="s">
        <v>9378</v>
      </c>
      <c r="D865" t="s">
        <v>9378</v>
      </c>
      <c r="E865" t="s">
        <v>9353</v>
      </c>
    </row>
    <row r="866" spans="1:5" x14ac:dyDescent="0.25">
      <c r="A866" t="s">
        <v>10848</v>
      </c>
      <c r="B866" t="s">
        <v>10849</v>
      </c>
      <c r="C866" t="s">
        <v>9378</v>
      </c>
      <c r="D866" t="s">
        <v>9378</v>
      </c>
      <c r="E866" t="s">
        <v>9353</v>
      </c>
    </row>
    <row r="867" spans="1:5" x14ac:dyDescent="0.25">
      <c r="A867" t="s">
        <v>10850</v>
      </c>
      <c r="B867" t="s">
        <v>10851</v>
      </c>
      <c r="C867" t="s">
        <v>9378</v>
      </c>
      <c r="D867" t="s">
        <v>9378</v>
      </c>
      <c r="E867" t="s">
        <v>9353</v>
      </c>
    </row>
    <row r="868" spans="1:5" x14ac:dyDescent="0.25">
      <c r="A868" t="s">
        <v>10852</v>
      </c>
      <c r="B868" t="s">
        <v>10853</v>
      </c>
      <c r="C868" t="s">
        <v>9378</v>
      </c>
      <c r="D868" t="s">
        <v>9378</v>
      </c>
      <c r="E868" t="s">
        <v>9353</v>
      </c>
    </row>
    <row r="869" spans="1:5" x14ac:dyDescent="0.25">
      <c r="A869" t="s">
        <v>10854</v>
      </c>
      <c r="B869" t="s">
        <v>10855</v>
      </c>
      <c r="C869" t="s">
        <v>9378</v>
      </c>
      <c r="D869" t="s">
        <v>9378</v>
      </c>
      <c r="E869" t="s">
        <v>9353</v>
      </c>
    </row>
    <row r="870" spans="1:5" x14ac:dyDescent="0.25">
      <c r="A870" t="s">
        <v>10856</v>
      </c>
      <c r="B870" t="s">
        <v>10857</v>
      </c>
      <c r="C870" t="s">
        <v>9378</v>
      </c>
      <c r="D870" t="s">
        <v>9378</v>
      </c>
      <c r="E870" t="s">
        <v>9353</v>
      </c>
    </row>
    <row r="871" spans="1:5" x14ac:dyDescent="0.25">
      <c r="A871" t="s">
        <v>10858</v>
      </c>
      <c r="B871" t="s">
        <v>10859</v>
      </c>
      <c r="C871" t="s">
        <v>9378</v>
      </c>
      <c r="D871" t="s">
        <v>9378</v>
      </c>
      <c r="E871" t="s">
        <v>9353</v>
      </c>
    </row>
    <row r="872" spans="1:5" x14ac:dyDescent="0.25">
      <c r="A872" t="s">
        <v>10860</v>
      </c>
      <c r="B872" t="s">
        <v>10861</v>
      </c>
      <c r="C872" t="s">
        <v>9378</v>
      </c>
      <c r="D872" t="s">
        <v>9378</v>
      </c>
      <c r="E872" t="s">
        <v>9353</v>
      </c>
    </row>
    <row r="873" spans="1:5" x14ac:dyDescent="0.25">
      <c r="A873" t="s">
        <v>200</v>
      </c>
      <c r="B873" t="s">
        <v>201</v>
      </c>
      <c r="C873" t="s">
        <v>9378</v>
      </c>
      <c r="D873" t="s">
        <v>9378</v>
      </c>
      <c r="E873" t="s">
        <v>9353</v>
      </c>
    </row>
    <row r="874" spans="1:5" x14ac:dyDescent="0.25">
      <c r="A874" t="s">
        <v>10862</v>
      </c>
      <c r="B874" t="s">
        <v>10863</v>
      </c>
      <c r="C874" t="s">
        <v>9378</v>
      </c>
      <c r="D874" t="s">
        <v>9378</v>
      </c>
      <c r="E874" t="s">
        <v>9353</v>
      </c>
    </row>
    <row r="875" spans="1:5" x14ac:dyDescent="0.25">
      <c r="A875" t="s">
        <v>10864</v>
      </c>
      <c r="B875" t="s">
        <v>10865</v>
      </c>
      <c r="C875" t="s">
        <v>9378</v>
      </c>
      <c r="D875" t="s">
        <v>9378</v>
      </c>
      <c r="E875" t="s">
        <v>9353</v>
      </c>
    </row>
    <row r="876" spans="1:5" x14ac:dyDescent="0.25">
      <c r="A876" t="s">
        <v>10866</v>
      </c>
      <c r="B876" t="s">
        <v>10867</v>
      </c>
      <c r="C876" t="s">
        <v>9378</v>
      </c>
      <c r="D876" t="s">
        <v>9378</v>
      </c>
      <c r="E876" t="s">
        <v>9353</v>
      </c>
    </row>
    <row r="877" spans="1:5" x14ac:dyDescent="0.25">
      <c r="A877" t="s">
        <v>10868</v>
      </c>
      <c r="B877" t="s">
        <v>10869</v>
      </c>
      <c r="C877" t="s">
        <v>9378</v>
      </c>
      <c r="D877" t="s">
        <v>9378</v>
      </c>
      <c r="E877" t="s">
        <v>9353</v>
      </c>
    </row>
    <row r="878" spans="1:5" x14ac:dyDescent="0.25">
      <c r="A878" t="s">
        <v>10870</v>
      </c>
      <c r="B878" t="s">
        <v>10871</v>
      </c>
      <c r="C878" t="s">
        <v>9378</v>
      </c>
      <c r="D878" t="s">
        <v>9378</v>
      </c>
      <c r="E878" t="s">
        <v>9353</v>
      </c>
    </row>
    <row r="879" spans="1:5" x14ac:dyDescent="0.25">
      <c r="A879" t="s">
        <v>10872</v>
      </c>
      <c r="B879" t="s">
        <v>10873</v>
      </c>
      <c r="C879" t="s">
        <v>9378</v>
      </c>
      <c r="D879" t="s">
        <v>9378</v>
      </c>
      <c r="E879" t="s">
        <v>9353</v>
      </c>
    </row>
    <row r="880" spans="1:5" x14ac:dyDescent="0.25">
      <c r="A880" t="s">
        <v>10874</v>
      </c>
      <c r="B880" t="s">
        <v>10875</v>
      </c>
      <c r="C880" t="s">
        <v>9378</v>
      </c>
      <c r="D880" t="s">
        <v>9378</v>
      </c>
      <c r="E880" t="s">
        <v>9353</v>
      </c>
    </row>
    <row r="881" spans="1:5" x14ac:dyDescent="0.25">
      <c r="A881" t="s">
        <v>10876</v>
      </c>
      <c r="B881" t="s">
        <v>10877</v>
      </c>
      <c r="C881" t="s">
        <v>9378</v>
      </c>
      <c r="D881" t="s">
        <v>9378</v>
      </c>
      <c r="E881" t="s">
        <v>9353</v>
      </c>
    </row>
    <row r="882" spans="1:5" x14ac:dyDescent="0.25">
      <c r="A882" t="s">
        <v>10878</v>
      </c>
      <c r="B882" t="s">
        <v>10879</v>
      </c>
      <c r="C882" t="s">
        <v>9378</v>
      </c>
      <c r="D882" t="s">
        <v>9378</v>
      </c>
      <c r="E882" t="s">
        <v>9353</v>
      </c>
    </row>
    <row r="883" spans="1:5" x14ac:dyDescent="0.25">
      <c r="A883" t="s">
        <v>10880</v>
      </c>
      <c r="B883" t="s">
        <v>10881</v>
      </c>
      <c r="C883" t="s">
        <v>9378</v>
      </c>
      <c r="D883" t="s">
        <v>9378</v>
      </c>
      <c r="E883" t="s">
        <v>9353</v>
      </c>
    </row>
    <row r="884" spans="1:5" x14ac:dyDescent="0.25">
      <c r="A884" t="s">
        <v>10882</v>
      </c>
      <c r="B884" t="s">
        <v>10883</v>
      </c>
      <c r="C884" t="s">
        <v>9378</v>
      </c>
      <c r="D884" t="s">
        <v>9378</v>
      </c>
      <c r="E884" t="s">
        <v>9353</v>
      </c>
    </row>
    <row r="885" spans="1:5" x14ac:dyDescent="0.25">
      <c r="A885" t="s">
        <v>10884</v>
      </c>
      <c r="B885" t="s">
        <v>10885</v>
      </c>
      <c r="C885" t="s">
        <v>9378</v>
      </c>
      <c r="D885" t="s">
        <v>9378</v>
      </c>
      <c r="E885" t="s">
        <v>9353</v>
      </c>
    </row>
    <row r="886" spans="1:5" x14ac:dyDescent="0.25">
      <c r="A886" t="s">
        <v>10886</v>
      </c>
      <c r="B886" t="s">
        <v>10887</v>
      </c>
      <c r="C886" t="s">
        <v>9378</v>
      </c>
      <c r="D886" t="s">
        <v>9378</v>
      </c>
      <c r="E886" t="s">
        <v>9353</v>
      </c>
    </row>
    <row r="887" spans="1:5" x14ac:dyDescent="0.25">
      <c r="A887" t="s">
        <v>10888</v>
      </c>
      <c r="B887" t="s">
        <v>10889</v>
      </c>
      <c r="C887" t="s">
        <v>9378</v>
      </c>
      <c r="D887" t="s">
        <v>9378</v>
      </c>
      <c r="E887" t="s">
        <v>9353</v>
      </c>
    </row>
    <row r="888" spans="1:5" x14ac:dyDescent="0.25">
      <c r="A888" t="s">
        <v>10890</v>
      </c>
      <c r="B888" t="s">
        <v>10891</v>
      </c>
      <c r="C888" t="s">
        <v>9378</v>
      </c>
      <c r="D888" t="s">
        <v>9378</v>
      </c>
      <c r="E888" t="s">
        <v>9353</v>
      </c>
    </row>
    <row r="889" spans="1:5" x14ac:dyDescent="0.25">
      <c r="A889" t="s">
        <v>10892</v>
      </c>
      <c r="B889" t="s">
        <v>10893</v>
      </c>
      <c r="C889" t="s">
        <v>9378</v>
      </c>
      <c r="D889" t="s">
        <v>9378</v>
      </c>
      <c r="E889" t="s">
        <v>9353</v>
      </c>
    </row>
    <row r="890" spans="1:5" x14ac:dyDescent="0.25">
      <c r="A890" t="s">
        <v>10894</v>
      </c>
      <c r="B890" t="s">
        <v>10895</v>
      </c>
      <c r="C890" t="s">
        <v>9378</v>
      </c>
      <c r="D890" t="s">
        <v>9378</v>
      </c>
      <c r="E890" t="s">
        <v>9353</v>
      </c>
    </row>
    <row r="891" spans="1:5" x14ac:dyDescent="0.25">
      <c r="A891" t="s">
        <v>10896</v>
      </c>
      <c r="B891" t="s">
        <v>10897</v>
      </c>
      <c r="C891" t="s">
        <v>9378</v>
      </c>
      <c r="D891" t="s">
        <v>9378</v>
      </c>
      <c r="E891" t="s">
        <v>9353</v>
      </c>
    </row>
    <row r="892" spans="1:5" x14ac:dyDescent="0.25">
      <c r="A892" t="s">
        <v>10898</v>
      </c>
      <c r="B892" t="s">
        <v>10899</v>
      </c>
      <c r="C892" t="s">
        <v>9378</v>
      </c>
      <c r="D892" t="s">
        <v>9378</v>
      </c>
      <c r="E892" t="s">
        <v>9353</v>
      </c>
    </row>
    <row r="893" spans="1:5" x14ac:dyDescent="0.25">
      <c r="A893" t="s">
        <v>10900</v>
      </c>
      <c r="B893" t="s">
        <v>10901</v>
      </c>
      <c r="C893" t="s">
        <v>9378</v>
      </c>
      <c r="D893" t="s">
        <v>9378</v>
      </c>
      <c r="E893" t="s">
        <v>9353</v>
      </c>
    </row>
    <row r="894" spans="1:5" x14ac:dyDescent="0.25">
      <c r="A894" t="s">
        <v>10902</v>
      </c>
      <c r="B894" t="s">
        <v>10903</v>
      </c>
      <c r="C894" t="s">
        <v>9378</v>
      </c>
      <c r="D894" t="s">
        <v>9378</v>
      </c>
      <c r="E894" t="s">
        <v>9353</v>
      </c>
    </row>
    <row r="895" spans="1:5" x14ac:dyDescent="0.25">
      <c r="A895" t="s">
        <v>10904</v>
      </c>
      <c r="B895" t="s">
        <v>10905</v>
      </c>
      <c r="C895" t="s">
        <v>9378</v>
      </c>
      <c r="D895" t="s">
        <v>9378</v>
      </c>
      <c r="E895" t="s">
        <v>9353</v>
      </c>
    </row>
    <row r="896" spans="1:5" x14ac:dyDescent="0.25">
      <c r="A896" t="s">
        <v>10906</v>
      </c>
      <c r="B896" t="s">
        <v>10907</v>
      </c>
      <c r="C896" t="s">
        <v>9378</v>
      </c>
      <c r="D896" t="s">
        <v>9378</v>
      </c>
      <c r="E896" t="s">
        <v>9353</v>
      </c>
    </row>
    <row r="897" spans="1:5" x14ac:dyDescent="0.25">
      <c r="A897" t="s">
        <v>10908</v>
      </c>
      <c r="B897" t="s">
        <v>10909</v>
      </c>
      <c r="C897" t="s">
        <v>9378</v>
      </c>
      <c r="D897" t="s">
        <v>9378</v>
      </c>
      <c r="E897" t="s">
        <v>9353</v>
      </c>
    </row>
    <row r="898" spans="1:5" x14ac:dyDescent="0.25">
      <c r="A898" t="s">
        <v>10910</v>
      </c>
      <c r="B898" t="s">
        <v>10911</v>
      </c>
      <c r="C898" t="s">
        <v>9378</v>
      </c>
      <c r="D898" t="s">
        <v>9378</v>
      </c>
      <c r="E898" t="s">
        <v>9353</v>
      </c>
    </row>
    <row r="899" spans="1:5" x14ac:dyDescent="0.25">
      <c r="A899" t="s">
        <v>287</v>
      </c>
      <c r="B899" t="s">
        <v>10912</v>
      </c>
      <c r="C899" t="s">
        <v>9378</v>
      </c>
      <c r="D899" t="s">
        <v>9378</v>
      </c>
      <c r="E899" t="s">
        <v>9353</v>
      </c>
    </row>
    <row r="900" spans="1:5" x14ac:dyDescent="0.25">
      <c r="A900" t="s">
        <v>10913</v>
      </c>
      <c r="B900" t="s">
        <v>10914</v>
      </c>
      <c r="C900" t="s">
        <v>9378</v>
      </c>
      <c r="D900" t="s">
        <v>9378</v>
      </c>
      <c r="E900" t="s">
        <v>9353</v>
      </c>
    </row>
    <row r="901" spans="1:5" x14ac:dyDescent="0.25">
      <c r="A901" t="s">
        <v>10915</v>
      </c>
      <c r="B901" t="s">
        <v>10916</v>
      </c>
      <c r="C901" t="s">
        <v>9378</v>
      </c>
      <c r="D901" t="s">
        <v>9378</v>
      </c>
      <c r="E901" t="s">
        <v>9353</v>
      </c>
    </row>
    <row r="902" spans="1:5" x14ac:dyDescent="0.25">
      <c r="A902" t="s">
        <v>10917</v>
      </c>
      <c r="B902" t="s">
        <v>10918</v>
      </c>
      <c r="C902" t="s">
        <v>9378</v>
      </c>
      <c r="D902" t="s">
        <v>9378</v>
      </c>
      <c r="E902" t="s">
        <v>9353</v>
      </c>
    </row>
    <row r="903" spans="1:5" x14ac:dyDescent="0.25">
      <c r="A903" t="s">
        <v>245</v>
      </c>
      <c r="B903" t="s">
        <v>246</v>
      </c>
      <c r="C903" t="s">
        <v>9378</v>
      </c>
      <c r="D903" t="s">
        <v>9378</v>
      </c>
      <c r="E903" t="s">
        <v>9353</v>
      </c>
    </row>
    <row r="904" spans="1:5" x14ac:dyDescent="0.25">
      <c r="A904" t="s">
        <v>10919</v>
      </c>
      <c r="B904" t="s">
        <v>10920</v>
      </c>
      <c r="C904" t="s">
        <v>9378</v>
      </c>
      <c r="D904" t="s">
        <v>9378</v>
      </c>
      <c r="E904" t="s">
        <v>9353</v>
      </c>
    </row>
    <row r="905" spans="1:5" x14ac:dyDescent="0.25">
      <c r="A905" t="s">
        <v>10921</v>
      </c>
      <c r="B905" t="s">
        <v>10922</v>
      </c>
      <c r="C905" t="s">
        <v>9378</v>
      </c>
      <c r="D905" t="s">
        <v>9378</v>
      </c>
      <c r="E905" t="s">
        <v>9353</v>
      </c>
    </row>
    <row r="906" spans="1:5" x14ac:dyDescent="0.25">
      <c r="A906" t="s">
        <v>10923</v>
      </c>
      <c r="B906" t="s">
        <v>10924</v>
      </c>
      <c r="C906" t="s">
        <v>9378</v>
      </c>
      <c r="D906" t="s">
        <v>9378</v>
      </c>
      <c r="E906" t="s">
        <v>9353</v>
      </c>
    </row>
    <row r="907" spans="1:5" x14ac:dyDescent="0.25">
      <c r="A907" t="s">
        <v>10925</v>
      </c>
      <c r="B907" t="s">
        <v>10926</v>
      </c>
      <c r="C907" t="s">
        <v>9378</v>
      </c>
      <c r="D907" t="s">
        <v>9378</v>
      </c>
      <c r="E907" t="s">
        <v>9353</v>
      </c>
    </row>
    <row r="908" spans="1:5" x14ac:dyDescent="0.25">
      <c r="A908" t="s">
        <v>10927</v>
      </c>
      <c r="B908" t="s">
        <v>10928</v>
      </c>
      <c r="C908" t="s">
        <v>9378</v>
      </c>
      <c r="D908" t="s">
        <v>9378</v>
      </c>
      <c r="E908" t="s">
        <v>9353</v>
      </c>
    </row>
    <row r="909" spans="1:5" x14ac:dyDescent="0.25">
      <c r="A909" t="s">
        <v>10929</v>
      </c>
      <c r="B909" t="s">
        <v>10930</v>
      </c>
      <c r="C909" t="s">
        <v>9378</v>
      </c>
      <c r="D909" t="s">
        <v>9378</v>
      </c>
      <c r="E909" t="s">
        <v>9353</v>
      </c>
    </row>
    <row r="910" spans="1:5" x14ac:dyDescent="0.25">
      <c r="A910" t="s">
        <v>10931</v>
      </c>
      <c r="B910" t="s">
        <v>10932</v>
      </c>
      <c r="C910" t="s">
        <v>9378</v>
      </c>
      <c r="D910" t="s">
        <v>9378</v>
      </c>
      <c r="E910" t="s">
        <v>9353</v>
      </c>
    </row>
    <row r="911" spans="1:5" x14ac:dyDescent="0.25">
      <c r="A911" t="s">
        <v>10933</v>
      </c>
      <c r="B911" t="s">
        <v>10934</v>
      </c>
      <c r="C911" t="s">
        <v>9378</v>
      </c>
      <c r="D911" t="s">
        <v>9378</v>
      </c>
      <c r="E911" t="s">
        <v>9353</v>
      </c>
    </row>
    <row r="912" spans="1:5" x14ac:dyDescent="0.25">
      <c r="A912" t="s">
        <v>10935</v>
      </c>
      <c r="B912" t="s">
        <v>10936</v>
      </c>
      <c r="C912" t="s">
        <v>9378</v>
      </c>
      <c r="D912" t="s">
        <v>9378</v>
      </c>
      <c r="E912" t="s">
        <v>9353</v>
      </c>
    </row>
    <row r="913" spans="1:5" x14ac:dyDescent="0.25">
      <c r="A913" t="s">
        <v>10937</v>
      </c>
      <c r="B913" t="s">
        <v>10938</v>
      </c>
      <c r="C913" t="s">
        <v>9378</v>
      </c>
      <c r="D913" t="s">
        <v>9378</v>
      </c>
      <c r="E913" t="s">
        <v>9353</v>
      </c>
    </row>
    <row r="914" spans="1:5" x14ac:dyDescent="0.25">
      <c r="A914" t="s">
        <v>10939</v>
      </c>
      <c r="B914" t="s">
        <v>10940</v>
      </c>
      <c r="C914" t="s">
        <v>9378</v>
      </c>
      <c r="D914" t="s">
        <v>9378</v>
      </c>
      <c r="E914" t="s">
        <v>9353</v>
      </c>
    </row>
    <row r="915" spans="1:5" x14ac:dyDescent="0.25">
      <c r="A915" t="s">
        <v>10941</v>
      </c>
      <c r="B915" t="s">
        <v>10942</v>
      </c>
      <c r="C915" t="s">
        <v>9378</v>
      </c>
      <c r="D915" t="s">
        <v>9378</v>
      </c>
      <c r="E915" t="s">
        <v>9353</v>
      </c>
    </row>
    <row r="916" spans="1:5" x14ac:dyDescent="0.25">
      <c r="A916" t="s">
        <v>10943</v>
      </c>
      <c r="B916" t="s">
        <v>10944</v>
      </c>
      <c r="C916" t="s">
        <v>9378</v>
      </c>
      <c r="D916" t="s">
        <v>9378</v>
      </c>
      <c r="E916" t="s">
        <v>9353</v>
      </c>
    </row>
    <row r="917" spans="1:5" x14ac:dyDescent="0.25">
      <c r="A917" t="s">
        <v>293</v>
      </c>
      <c r="B917" t="s">
        <v>294</v>
      </c>
      <c r="C917" t="s">
        <v>9378</v>
      </c>
      <c r="D917" t="s">
        <v>9378</v>
      </c>
      <c r="E917" t="s">
        <v>9353</v>
      </c>
    </row>
    <row r="918" spans="1:5" x14ac:dyDescent="0.25">
      <c r="A918" t="s">
        <v>10945</v>
      </c>
      <c r="B918" t="s">
        <v>10946</v>
      </c>
      <c r="C918" t="s">
        <v>9378</v>
      </c>
      <c r="D918" t="s">
        <v>9378</v>
      </c>
      <c r="E918" t="s">
        <v>9353</v>
      </c>
    </row>
    <row r="919" spans="1:5" x14ac:dyDescent="0.25">
      <c r="A919" t="s">
        <v>10947</v>
      </c>
      <c r="B919" t="s">
        <v>10948</v>
      </c>
      <c r="C919" t="s">
        <v>9378</v>
      </c>
      <c r="D919" t="s">
        <v>9378</v>
      </c>
      <c r="E919" t="s">
        <v>9353</v>
      </c>
    </row>
    <row r="920" spans="1:5" x14ac:dyDescent="0.25">
      <c r="A920" t="s">
        <v>10949</v>
      </c>
      <c r="B920" t="s">
        <v>10950</v>
      </c>
      <c r="C920" t="s">
        <v>9378</v>
      </c>
      <c r="D920" t="s">
        <v>9378</v>
      </c>
      <c r="E920" t="s">
        <v>9353</v>
      </c>
    </row>
    <row r="921" spans="1:5" x14ac:dyDescent="0.25">
      <c r="A921" t="s">
        <v>10951</v>
      </c>
      <c r="B921" t="s">
        <v>10952</v>
      </c>
      <c r="C921" t="s">
        <v>9378</v>
      </c>
      <c r="D921" t="s">
        <v>9378</v>
      </c>
      <c r="E921" t="s">
        <v>9353</v>
      </c>
    </row>
    <row r="922" spans="1:5" x14ac:dyDescent="0.25">
      <c r="A922" t="s">
        <v>10953</v>
      </c>
      <c r="B922" t="s">
        <v>10954</v>
      </c>
      <c r="C922" t="s">
        <v>9378</v>
      </c>
      <c r="D922" t="s">
        <v>9378</v>
      </c>
      <c r="E922" t="s">
        <v>9353</v>
      </c>
    </row>
    <row r="923" spans="1:5" x14ac:dyDescent="0.25">
      <c r="A923" t="s">
        <v>10955</v>
      </c>
      <c r="B923" t="s">
        <v>10956</v>
      </c>
      <c r="C923" t="s">
        <v>9378</v>
      </c>
      <c r="D923" t="s">
        <v>9378</v>
      </c>
      <c r="E923" t="s">
        <v>9353</v>
      </c>
    </row>
    <row r="924" spans="1:5" x14ac:dyDescent="0.25">
      <c r="A924" t="s">
        <v>67</v>
      </c>
      <c r="B924" t="s">
        <v>68</v>
      </c>
      <c r="C924" t="s">
        <v>9378</v>
      </c>
      <c r="D924" t="s">
        <v>9378</v>
      </c>
      <c r="E924" t="s">
        <v>9353</v>
      </c>
    </row>
    <row r="925" spans="1:5" x14ac:dyDescent="0.25">
      <c r="A925" t="s">
        <v>10957</v>
      </c>
      <c r="B925" t="s">
        <v>10958</v>
      </c>
      <c r="C925" t="s">
        <v>9378</v>
      </c>
      <c r="D925" t="s">
        <v>9378</v>
      </c>
      <c r="E925" t="s">
        <v>9353</v>
      </c>
    </row>
    <row r="926" spans="1:5" x14ac:dyDescent="0.25">
      <c r="A926" t="s">
        <v>10959</v>
      </c>
      <c r="B926" t="s">
        <v>10960</v>
      </c>
      <c r="C926" t="s">
        <v>9378</v>
      </c>
      <c r="D926" t="s">
        <v>9378</v>
      </c>
      <c r="E926" t="s">
        <v>9353</v>
      </c>
    </row>
    <row r="927" spans="1:5" x14ac:dyDescent="0.25">
      <c r="A927" t="s">
        <v>10961</v>
      </c>
      <c r="B927" t="s">
        <v>10962</v>
      </c>
      <c r="C927" t="s">
        <v>9378</v>
      </c>
      <c r="D927" t="s">
        <v>9378</v>
      </c>
      <c r="E927" t="s">
        <v>9353</v>
      </c>
    </row>
    <row r="928" spans="1:5" x14ac:dyDescent="0.25">
      <c r="A928" t="s">
        <v>10963</v>
      </c>
      <c r="B928" t="s">
        <v>10964</v>
      </c>
      <c r="C928" t="s">
        <v>9378</v>
      </c>
      <c r="D928" t="s">
        <v>9378</v>
      </c>
      <c r="E928" t="s">
        <v>9353</v>
      </c>
    </row>
    <row r="929" spans="1:5" x14ac:dyDescent="0.25">
      <c r="A929" t="s">
        <v>10965</v>
      </c>
      <c r="B929" t="s">
        <v>10966</v>
      </c>
      <c r="C929" t="s">
        <v>9378</v>
      </c>
      <c r="D929" t="s">
        <v>9378</v>
      </c>
      <c r="E929" t="s">
        <v>9353</v>
      </c>
    </row>
    <row r="930" spans="1:5" x14ac:dyDescent="0.25">
      <c r="A930" t="s">
        <v>10967</v>
      </c>
      <c r="B930" t="s">
        <v>10968</v>
      </c>
      <c r="C930" t="s">
        <v>9378</v>
      </c>
      <c r="D930" t="s">
        <v>9378</v>
      </c>
      <c r="E930" t="s">
        <v>9353</v>
      </c>
    </row>
    <row r="931" spans="1:5" x14ac:dyDescent="0.25">
      <c r="A931" t="s">
        <v>10969</v>
      </c>
      <c r="B931" t="s">
        <v>10970</v>
      </c>
      <c r="C931" t="s">
        <v>9378</v>
      </c>
      <c r="D931" t="s">
        <v>9378</v>
      </c>
      <c r="E931" t="s">
        <v>9353</v>
      </c>
    </row>
    <row r="932" spans="1:5" x14ac:dyDescent="0.25">
      <c r="A932" t="s">
        <v>10971</v>
      </c>
      <c r="B932" t="s">
        <v>10972</v>
      </c>
      <c r="C932" t="s">
        <v>9378</v>
      </c>
      <c r="D932" t="s">
        <v>9378</v>
      </c>
      <c r="E932" t="s">
        <v>9353</v>
      </c>
    </row>
    <row r="933" spans="1:5" x14ac:dyDescent="0.25">
      <c r="A933" t="s">
        <v>10973</v>
      </c>
      <c r="B933" t="s">
        <v>10974</v>
      </c>
      <c r="C933" t="s">
        <v>9378</v>
      </c>
      <c r="D933" t="s">
        <v>9378</v>
      </c>
      <c r="E933" t="s">
        <v>9353</v>
      </c>
    </row>
    <row r="934" spans="1:5" x14ac:dyDescent="0.25">
      <c r="A934" t="s">
        <v>10975</v>
      </c>
      <c r="B934" t="s">
        <v>10976</v>
      </c>
      <c r="C934" t="s">
        <v>9378</v>
      </c>
      <c r="D934" t="s">
        <v>9378</v>
      </c>
      <c r="E934" t="s">
        <v>9353</v>
      </c>
    </row>
    <row r="935" spans="1:5" x14ac:dyDescent="0.25">
      <c r="A935" t="s">
        <v>10977</v>
      </c>
      <c r="B935" t="s">
        <v>10978</v>
      </c>
      <c r="C935" t="s">
        <v>9378</v>
      </c>
      <c r="D935" t="s">
        <v>9378</v>
      </c>
      <c r="E935" t="s">
        <v>9353</v>
      </c>
    </row>
    <row r="936" spans="1:5" x14ac:dyDescent="0.25">
      <c r="A936" t="s">
        <v>10979</v>
      </c>
      <c r="B936" t="s">
        <v>10980</v>
      </c>
      <c r="C936" t="s">
        <v>9378</v>
      </c>
      <c r="D936" t="s">
        <v>9378</v>
      </c>
      <c r="E936" t="s">
        <v>9353</v>
      </c>
    </row>
    <row r="937" spans="1:5" x14ac:dyDescent="0.25">
      <c r="A937" t="s">
        <v>10981</v>
      </c>
      <c r="B937" t="s">
        <v>10982</v>
      </c>
      <c r="C937" t="s">
        <v>9378</v>
      </c>
      <c r="D937" t="s">
        <v>9378</v>
      </c>
      <c r="E937" t="s">
        <v>9353</v>
      </c>
    </row>
    <row r="938" spans="1:5" x14ac:dyDescent="0.25">
      <c r="A938" t="s">
        <v>10983</v>
      </c>
      <c r="B938" t="s">
        <v>10984</v>
      </c>
      <c r="C938" t="s">
        <v>9378</v>
      </c>
      <c r="D938" t="s">
        <v>9378</v>
      </c>
      <c r="E938" t="s">
        <v>9353</v>
      </c>
    </row>
    <row r="939" spans="1:5" x14ac:dyDescent="0.25">
      <c r="A939" t="s">
        <v>10985</v>
      </c>
      <c r="B939" t="s">
        <v>10986</v>
      </c>
      <c r="C939" t="s">
        <v>9378</v>
      </c>
      <c r="D939" t="s">
        <v>9378</v>
      </c>
      <c r="E939" t="s">
        <v>9353</v>
      </c>
    </row>
    <row r="940" spans="1:5" x14ac:dyDescent="0.25">
      <c r="A940" t="s">
        <v>10987</v>
      </c>
      <c r="B940" t="s">
        <v>10988</v>
      </c>
      <c r="C940" t="s">
        <v>9378</v>
      </c>
      <c r="D940" t="s">
        <v>9378</v>
      </c>
      <c r="E940" t="s">
        <v>9353</v>
      </c>
    </row>
    <row r="941" spans="1:5" x14ac:dyDescent="0.25">
      <c r="A941" t="s">
        <v>10989</v>
      </c>
      <c r="B941" t="s">
        <v>10990</v>
      </c>
      <c r="C941" t="s">
        <v>9378</v>
      </c>
      <c r="D941" t="s">
        <v>9378</v>
      </c>
      <c r="E941" t="s">
        <v>9353</v>
      </c>
    </row>
    <row r="942" spans="1:5" x14ac:dyDescent="0.25">
      <c r="A942" t="s">
        <v>10991</v>
      </c>
      <c r="B942" t="s">
        <v>10992</v>
      </c>
      <c r="C942" t="s">
        <v>9378</v>
      </c>
      <c r="D942" t="s">
        <v>9378</v>
      </c>
      <c r="E942" t="s">
        <v>9353</v>
      </c>
    </row>
    <row r="943" spans="1:5" x14ac:dyDescent="0.25">
      <c r="A943" t="s">
        <v>10993</v>
      </c>
      <c r="B943" t="s">
        <v>10994</v>
      </c>
      <c r="C943" t="s">
        <v>9378</v>
      </c>
      <c r="D943" t="s">
        <v>9378</v>
      </c>
      <c r="E943" t="s">
        <v>9353</v>
      </c>
    </row>
    <row r="944" spans="1:5" x14ac:dyDescent="0.25">
      <c r="A944" t="s">
        <v>10995</v>
      </c>
      <c r="B944" t="s">
        <v>10996</v>
      </c>
      <c r="C944" t="s">
        <v>9378</v>
      </c>
      <c r="D944" t="s">
        <v>9378</v>
      </c>
      <c r="E944" t="s">
        <v>9353</v>
      </c>
    </row>
    <row r="945" spans="1:10" x14ac:dyDescent="0.25">
      <c r="A945" t="s">
        <v>10997</v>
      </c>
      <c r="B945" t="s">
        <v>10998</v>
      </c>
      <c r="C945" t="s">
        <v>9378</v>
      </c>
      <c r="D945" t="s">
        <v>9378</v>
      </c>
      <c r="E945" t="s">
        <v>9353</v>
      </c>
    </row>
    <row r="946" spans="1:10" x14ac:dyDescent="0.25">
      <c r="A946" t="s">
        <v>10999</v>
      </c>
      <c r="B946" t="s">
        <v>11000</v>
      </c>
      <c r="C946" t="s">
        <v>9378</v>
      </c>
      <c r="D946" t="s">
        <v>9378</v>
      </c>
      <c r="E946" t="s">
        <v>9353</v>
      </c>
    </row>
    <row r="947" spans="1:10" x14ac:dyDescent="0.25">
      <c r="A947" t="s">
        <v>11001</v>
      </c>
      <c r="B947" t="s">
        <v>11002</v>
      </c>
      <c r="C947" t="s">
        <v>9378</v>
      </c>
      <c r="D947" t="s">
        <v>9378</v>
      </c>
      <c r="E947" t="s">
        <v>9353</v>
      </c>
    </row>
    <row r="948" spans="1:10" ht="18.75" x14ac:dyDescent="0.25">
      <c r="A948" t="s">
        <v>11003</v>
      </c>
      <c r="B948" t="s">
        <v>11004</v>
      </c>
      <c r="C948" t="s">
        <v>9378</v>
      </c>
      <c r="D948" t="s">
        <v>9378</v>
      </c>
      <c r="E948" t="s">
        <v>9353</v>
      </c>
      <c r="J948" s="34"/>
    </row>
    <row r="949" spans="1:10" x14ac:dyDescent="0.25">
      <c r="A949" t="s">
        <v>11005</v>
      </c>
      <c r="B949" t="s">
        <v>11006</v>
      </c>
      <c r="C949" t="s">
        <v>9378</v>
      </c>
      <c r="D949" t="s">
        <v>9378</v>
      </c>
      <c r="E949" t="s">
        <v>9378</v>
      </c>
    </row>
    <row r="950" spans="1:10" x14ac:dyDescent="0.25">
      <c r="A950" t="s">
        <v>11007</v>
      </c>
      <c r="B950" t="s">
        <v>11008</v>
      </c>
      <c r="C950" t="s">
        <v>9378</v>
      </c>
      <c r="D950" t="s">
        <v>9378</v>
      </c>
      <c r="E950" t="s">
        <v>9378</v>
      </c>
    </row>
    <row r="951" spans="1:10" x14ac:dyDescent="0.25">
      <c r="A951" t="s">
        <v>11009</v>
      </c>
      <c r="B951" t="s">
        <v>11010</v>
      </c>
      <c r="C951" t="s">
        <v>9378</v>
      </c>
      <c r="D951" t="s">
        <v>9378</v>
      </c>
      <c r="E951" t="s">
        <v>9378</v>
      </c>
    </row>
    <row r="952" spans="1:10" x14ac:dyDescent="0.25">
      <c r="A952" t="s">
        <v>11011</v>
      </c>
      <c r="B952" t="s">
        <v>11012</v>
      </c>
      <c r="C952" t="s">
        <v>9378</v>
      </c>
      <c r="D952" t="s">
        <v>9378</v>
      </c>
      <c r="E952" t="s">
        <v>9378</v>
      </c>
    </row>
    <row r="953" spans="1:10" x14ac:dyDescent="0.25">
      <c r="A953" t="s">
        <v>11013</v>
      </c>
      <c r="B953" t="s">
        <v>11014</v>
      </c>
      <c r="C953" t="s">
        <v>9378</v>
      </c>
      <c r="D953" t="s">
        <v>9378</v>
      </c>
      <c r="E953" t="s">
        <v>9378</v>
      </c>
    </row>
    <row r="954" spans="1:10" x14ac:dyDescent="0.25">
      <c r="A954" t="s">
        <v>11015</v>
      </c>
      <c r="B954" t="s">
        <v>11016</v>
      </c>
      <c r="C954" t="s">
        <v>9378</v>
      </c>
      <c r="D954" t="s">
        <v>9378</v>
      </c>
      <c r="E954" t="s">
        <v>9405</v>
      </c>
    </row>
    <row r="955" spans="1:10" x14ac:dyDescent="0.25">
      <c r="A955" t="s">
        <v>11017</v>
      </c>
      <c r="B955" t="s">
        <v>11018</v>
      </c>
      <c r="C955" t="s">
        <v>9378</v>
      </c>
      <c r="D955" t="s">
        <v>9542</v>
      </c>
      <c r="E955" t="s">
        <v>9378</v>
      </c>
    </row>
    <row r="956" spans="1:10" x14ac:dyDescent="0.25">
      <c r="A956" t="s">
        <v>11019</v>
      </c>
      <c r="B956" t="s">
        <v>11020</v>
      </c>
      <c r="C956" t="s">
        <v>9378</v>
      </c>
      <c r="D956" t="s">
        <v>9378</v>
      </c>
      <c r="E956" t="s">
        <v>9378</v>
      </c>
    </row>
    <row r="957" spans="1:10" x14ac:dyDescent="0.25">
      <c r="A957" t="s">
        <v>11021</v>
      </c>
      <c r="B957" t="s">
        <v>11022</v>
      </c>
      <c r="C957" t="s">
        <v>9378</v>
      </c>
      <c r="D957" t="s">
        <v>9378</v>
      </c>
      <c r="E957" t="s">
        <v>9378</v>
      </c>
    </row>
    <row r="958" spans="1:10" x14ac:dyDescent="0.25">
      <c r="A958" t="s">
        <v>11023</v>
      </c>
      <c r="B958" t="s">
        <v>11024</v>
      </c>
      <c r="C958" t="s">
        <v>9378</v>
      </c>
      <c r="D958" t="s">
        <v>9378</v>
      </c>
      <c r="E958" t="s">
        <v>9378</v>
      </c>
    </row>
    <row r="959" spans="1:10" x14ac:dyDescent="0.25">
      <c r="A959" t="s">
        <v>11025</v>
      </c>
      <c r="B959" t="s">
        <v>11026</v>
      </c>
      <c r="C959" t="s">
        <v>9369</v>
      </c>
      <c r="D959" t="s">
        <v>9369</v>
      </c>
      <c r="E959" t="s">
        <v>9369</v>
      </c>
    </row>
    <row r="960" spans="1:10" x14ac:dyDescent="0.25">
      <c r="A960" t="s">
        <v>11027</v>
      </c>
      <c r="B960" t="s">
        <v>11028</v>
      </c>
      <c r="C960" t="s">
        <v>9378</v>
      </c>
      <c r="D960" t="s">
        <v>9378</v>
      </c>
      <c r="E960" t="s">
        <v>9378</v>
      </c>
    </row>
    <row r="961" spans="1:5" x14ac:dyDescent="0.25">
      <c r="A961" t="s">
        <v>11029</v>
      </c>
      <c r="B961" t="s">
        <v>11030</v>
      </c>
      <c r="C961" t="s">
        <v>9378</v>
      </c>
      <c r="D961" t="s">
        <v>9378</v>
      </c>
      <c r="E961" t="s">
        <v>9405</v>
      </c>
    </row>
    <row r="962" spans="1:5" x14ac:dyDescent="0.25">
      <c r="A962" t="s">
        <v>11031</v>
      </c>
      <c r="B962" t="s">
        <v>11032</v>
      </c>
      <c r="C962" t="s">
        <v>9378</v>
      </c>
      <c r="D962" t="s">
        <v>9378</v>
      </c>
      <c r="E962" t="s">
        <v>9405</v>
      </c>
    </row>
    <row r="963" spans="1:5" x14ac:dyDescent="0.25">
      <c r="A963" t="s">
        <v>11033</v>
      </c>
      <c r="B963" t="s">
        <v>11034</v>
      </c>
      <c r="C963" t="s">
        <v>9378</v>
      </c>
      <c r="D963" t="s">
        <v>9378</v>
      </c>
      <c r="E963" t="s">
        <v>9405</v>
      </c>
    </row>
    <row r="964" spans="1:5" x14ac:dyDescent="0.25">
      <c r="A964" t="s">
        <v>11035</v>
      </c>
      <c r="B964" t="s">
        <v>11036</v>
      </c>
      <c r="C964" t="s">
        <v>9378</v>
      </c>
      <c r="D964" t="s">
        <v>9378</v>
      </c>
      <c r="E964" t="s">
        <v>9405</v>
      </c>
    </row>
    <row r="965" spans="1:5" x14ac:dyDescent="0.25">
      <c r="A965" t="s">
        <v>11037</v>
      </c>
      <c r="B965" t="s">
        <v>11038</v>
      </c>
      <c r="C965" t="s">
        <v>9378</v>
      </c>
      <c r="D965" t="s">
        <v>9378</v>
      </c>
      <c r="E965" t="s">
        <v>9405</v>
      </c>
    </row>
    <row r="966" spans="1:5" x14ac:dyDescent="0.25">
      <c r="A966" t="s">
        <v>11039</v>
      </c>
      <c r="B966" t="s">
        <v>11040</v>
      </c>
      <c r="C966" t="s">
        <v>9378</v>
      </c>
      <c r="D966" t="s">
        <v>9378</v>
      </c>
      <c r="E966" t="s">
        <v>9378</v>
      </c>
    </row>
    <row r="967" spans="1:5" x14ac:dyDescent="0.25">
      <c r="A967" t="s">
        <v>11041</v>
      </c>
      <c r="B967" t="s">
        <v>11042</v>
      </c>
      <c r="C967" t="s">
        <v>9378</v>
      </c>
      <c r="D967" t="s">
        <v>9378</v>
      </c>
      <c r="E967" t="s">
        <v>9378</v>
      </c>
    </row>
    <row r="968" spans="1:5" x14ac:dyDescent="0.25">
      <c r="A968" t="s">
        <v>483</v>
      </c>
      <c r="B968" t="s">
        <v>484</v>
      </c>
      <c r="C968" t="s">
        <v>9369</v>
      </c>
      <c r="D968" t="s">
        <v>9369</v>
      </c>
      <c r="E968" t="s">
        <v>9369</v>
      </c>
    </row>
    <row r="969" spans="1:5" x14ac:dyDescent="0.25">
      <c r="A969" t="s">
        <v>11043</v>
      </c>
      <c r="B969" t="s">
        <v>11044</v>
      </c>
      <c r="C969" t="s">
        <v>9378</v>
      </c>
      <c r="D969" t="s">
        <v>9378</v>
      </c>
      <c r="E969" t="s">
        <v>9378</v>
      </c>
    </row>
    <row r="970" spans="1:5" x14ac:dyDescent="0.25">
      <c r="A970" t="s">
        <v>11045</v>
      </c>
      <c r="B970" t="s">
        <v>11046</v>
      </c>
      <c r="C970" t="s">
        <v>9378</v>
      </c>
      <c r="D970" t="s">
        <v>9378</v>
      </c>
      <c r="E970" t="s">
        <v>9378</v>
      </c>
    </row>
    <row r="971" spans="1:5" x14ac:dyDescent="0.25">
      <c r="A971" t="s">
        <v>11047</v>
      </c>
      <c r="B971" t="s">
        <v>11048</v>
      </c>
      <c r="C971" t="s">
        <v>9378</v>
      </c>
      <c r="D971" t="s">
        <v>9378</v>
      </c>
      <c r="E971" t="s">
        <v>9378</v>
      </c>
    </row>
    <row r="972" spans="1:5" x14ac:dyDescent="0.25">
      <c r="A972" t="s">
        <v>11049</v>
      </c>
      <c r="B972" t="s">
        <v>11050</v>
      </c>
      <c r="C972" t="s">
        <v>9378</v>
      </c>
      <c r="D972" t="s">
        <v>9378</v>
      </c>
      <c r="E972" t="s">
        <v>9378</v>
      </c>
    </row>
    <row r="973" spans="1:5" x14ac:dyDescent="0.25">
      <c r="A973" t="s">
        <v>11051</v>
      </c>
      <c r="B973" t="s">
        <v>11052</v>
      </c>
      <c r="C973" t="s">
        <v>9369</v>
      </c>
      <c r="D973" t="s">
        <v>9369</v>
      </c>
      <c r="E973" t="s">
        <v>9369</v>
      </c>
    </row>
    <row r="974" spans="1:5" x14ac:dyDescent="0.25">
      <c r="A974" t="s">
        <v>11053</v>
      </c>
      <c r="B974" t="s">
        <v>11054</v>
      </c>
      <c r="C974" t="s">
        <v>9378</v>
      </c>
      <c r="D974" t="s">
        <v>9378</v>
      </c>
      <c r="E974" t="s">
        <v>9378</v>
      </c>
    </row>
    <row r="975" spans="1:5" x14ac:dyDescent="0.25">
      <c r="A975" t="s">
        <v>12471</v>
      </c>
      <c r="B975" t="s">
        <v>12467</v>
      </c>
      <c r="C975" t="s">
        <v>9369</v>
      </c>
      <c r="D975" t="s">
        <v>9369</v>
      </c>
      <c r="E975" t="s">
        <v>9369</v>
      </c>
    </row>
    <row r="976" spans="1:5" x14ac:dyDescent="0.25">
      <c r="A976" t="s">
        <v>12472</v>
      </c>
      <c r="B976" t="s">
        <v>12468</v>
      </c>
      <c r="C976" t="s">
        <v>9369</v>
      </c>
      <c r="D976" t="s">
        <v>9369</v>
      </c>
      <c r="E976" t="s">
        <v>9369</v>
      </c>
    </row>
    <row r="977" spans="1:5" x14ac:dyDescent="0.25">
      <c r="A977" s="45" t="s">
        <v>12717</v>
      </c>
      <c r="B977" t="s">
        <v>12476</v>
      </c>
      <c r="C977" t="s">
        <v>9369</v>
      </c>
      <c r="D977" t="s">
        <v>9369</v>
      </c>
      <c r="E977" t="s">
        <v>9369</v>
      </c>
    </row>
    <row r="978" spans="1:5" x14ac:dyDescent="0.25">
      <c r="A978" t="s">
        <v>12828</v>
      </c>
      <c r="B978" t="s">
        <v>12825</v>
      </c>
      <c r="C978" t="s">
        <v>9369</v>
      </c>
      <c r="D978" t="s">
        <v>9369</v>
      </c>
      <c r="E978" t="s">
        <v>9369</v>
      </c>
    </row>
    <row r="979" spans="1:5" x14ac:dyDescent="0.25">
      <c r="A979" t="s">
        <v>13413</v>
      </c>
      <c r="B979" t="s">
        <v>13414</v>
      </c>
      <c r="C979" t="s">
        <v>9369</v>
      </c>
      <c r="D979" t="s">
        <v>9369</v>
      </c>
      <c r="E979" t="s">
        <v>9369</v>
      </c>
    </row>
  </sheetData>
  <conditionalFormatting sqref="A1:A1048576">
    <cfRule type="duplicateValues" dxfId="18" priority="1"/>
  </conditionalFormatting>
  <conditionalFormatting sqref="A977">
    <cfRule type="duplicateValues" dxfId="17"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3"/>
  <sheetViews>
    <sheetView zoomScale="85" zoomScaleNormal="85" workbookViewId="0">
      <selection activeCell="B233" sqref="B233"/>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row r="233" spans="1:5" x14ac:dyDescent="0.3">
      <c r="A233" s="35" t="s">
        <v>13412</v>
      </c>
      <c r="B233" s="35" t="s">
        <v>13413</v>
      </c>
      <c r="C233" s="7" t="s">
        <v>13414</v>
      </c>
      <c r="D233" s="8">
        <v>30000</v>
      </c>
      <c r="E233" s="7" t="s">
        <v>500</v>
      </c>
    </row>
  </sheetData>
  <conditionalFormatting sqref="B2:B230 C231">
    <cfRule type="duplicateValues" dxfId="16" priority="2"/>
    <cfRule type="duplicateValues" dxfId="15" priority="7"/>
  </conditionalFormatting>
  <conditionalFormatting sqref="B2:B233">
    <cfRule type="duplicateValues" dxfId="14"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70"/>
  <sheetViews>
    <sheetView zoomScale="58" zoomScaleNormal="58" zoomScaleSheetLayoutView="40" workbookViewId="0">
      <selection activeCell="I173" sqref="I173"/>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5"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6"/>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7">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7">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7">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7">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7">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7">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7"/>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7">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7">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7">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7">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7">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7">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7">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7"/>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7"/>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7">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7">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7">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7">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7">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7">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7">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7">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7">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7">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7">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7">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7">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7">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7">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7">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7">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7">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7">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7">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7">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7">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7">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7">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7">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7">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7">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7">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7">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7">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7"/>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7">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7">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7">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7"/>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7"/>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7"/>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7"/>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7">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8">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7">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7"/>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7"/>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7">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7">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7">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7">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7">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7">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7">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7">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7">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7">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7">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7">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7">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7">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7">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7">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7">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7">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7"/>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7"/>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7"/>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7"/>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7">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7">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7">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7">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7">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7">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7">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7">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7">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7">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7"/>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7">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7">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7">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7">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7">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7">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7">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7">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7">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7">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7">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7">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7"/>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7"/>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7">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7">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7">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7">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7">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7"/>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7">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7">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7">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7">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7">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7">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7">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7"/>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7">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7">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7"/>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7"/>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7">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2">
        <f t="shared" ref="A128:A133" si="5">ROW()-1</f>
        <v>127</v>
      </c>
      <c r="B128" s="4" t="s">
        <v>13133</v>
      </c>
      <c r="C128" s="4" t="s">
        <v>500</v>
      </c>
      <c r="D128" s="4" t="s">
        <v>496</v>
      </c>
      <c r="E128" s="4" t="s">
        <v>13134</v>
      </c>
      <c r="F128" s="4" t="s">
        <v>13135</v>
      </c>
      <c r="G128" s="53" t="s">
        <v>382</v>
      </c>
      <c r="H128" s="3" t="str">
        <f>VLOOKUP(gia_khuyen_mai[[#This Row],[Barcode]],'Giá gốc'!$A:$B,2,0)</f>
        <v>2145691</v>
      </c>
      <c r="I128" s="3" t="str">
        <f>VLOOKUP(gia_khuyen_mai[[#This Row],[Mã sản phẩm]],'Giá gốc'!$B:$C,2,0)</f>
        <v>Xúc xích viên hong khói 450g * 1EA</v>
      </c>
      <c r="J128" s="54">
        <f>VLOOKUP(gia_khuyen_mai[[#This Row],[Mã sản phẩm]],'Giá gốc'!B:D,3,0)</f>
        <v>84200</v>
      </c>
      <c r="K128" s="60">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2">
        <f t="shared" si="5"/>
        <v>128</v>
      </c>
      <c r="B129" s="4" t="s">
        <v>13133</v>
      </c>
      <c r="C129" s="4" t="s">
        <v>500</v>
      </c>
      <c r="D129" s="4" t="s">
        <v>496</v>
      </c>
      <c r="E129" s="4" t="s">
        <v>13134</v>
      </c>
      <c r="F129" s="4" t="s">
        <v>13135</v>
      </c>
      <c r="G129" s="53" t="s">
        <v>409</v>
      </c>
      <c r="H129" s="3" t="str">
        <f>VLOOKUP(gia_khuyen_mai[[#This Row],[Barcode]],'Giá gốc'!$A:$B,2,0)</f>
        <v>2145765</v>
      </c>
      <c r="I129" s="3" t="str">
        <f>VLOOKUP(gia_khuyen_mai[[#This Row],[Mã sản phẩm]],'Giá gốc'!$B:$C,2,0)</f>
        <v>Xúc xích Hotdog 200g</v>
      </c>
      <c r="J129" s="54">
        <f>VLOOKUP(gia_khuyen_mai[[#This Row],[Mã sản phẩm]],'Giá gốc'!B:D,3,0)</f>
        <v>20100</v>
      </c>
      <c r="K129" s="61">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2">
        <f t="shared" si="5"/>
        <v>129</v>
      </c>
      <c r="B130" s="4" t="s">
        <v>13133</v>
      </c>
      <c r="C130" s="4" t="s">
        <v>500</v>
      </c>
      <c r="D130" s="4" t="s">
        <v>496</v>
      </c>
      <c r="E130" s="4" t="s">
        <v>13134</v>
      </c>
      <c r="F130" s="4" t="s">
        <v>13135</v>
      </c>
      <c r="G130" s="53" t="s">
        <v>464</v>
      </c>
      <c r="H130" s="3" t="str">
        <f>VLOOKUP(gia_khuyen_mai[[#This Row],[Barcode]],'Giá gốc'!$A:$B,2,0)</f>
        <v>2145622</v>
      </c>
      <c r="I130" s="3" t="str">
        <f>VLOOKUP(gia_khuyen_mai[[#This Row],[Mã sản phẩm]],'Giá gốc'!$B:$C,2,0)</f>
        <v>Kim chi 450</v>
      </c>
      <c r="J130" s="54">
        <f>VLOOKUP(gia_khuyen_mai[[#This Row],[Mã sản phẩm]],'Giá gốc'!B:D,3,0)</f>
        <v>35500</v>
      </c>
      <c r="K130" s="60">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2">
        <f t="shared" si="5"/>
        <v>130</v>
      </c>
      <c r="B131" s="4" t="s">
        <v>13133</v>
      </c>
      <c r="C131" s="4" t="s">
        <v>500</v>
      </c>
      <c r="D131" s="4" t="s">
        <v>496</v>
      </c>
      <c r="E131" s="4" t="s">
        <v>13134</v>
      </c>
      <c r="F131" s="4" t="s">
        <v>13135</v>
      </c>
      <c r="G131" s="53" t="s">
        <v>470</v>
      </c>
      <c r="H131" s="3" t="str">
        <f>VLOOKUP(gia_khuyen_mai[[#This Row],[Barcode]],'Giá gốc'!$A:$B,2,0)</f>
        <v>2145699</v>
      </c>
      <c r="I131" s="3" t="str">
        <f>VLOOKUP(gia_khuyen_mai[[#This Row],[Mã sản phẩm]],'Giá gốc'!$B:$C,2,0)</f>
        <v>Seoul's Hotdog Chiên xù 250g (Đ)</v>
      </c>
      <c r="J131" s="54">
        <f>VLOOKUP(gia_khuyen_mai[[#This Row],[Mã sản phẩm]],'Giá gốc'!B:D,3,0)</f>
        <v>39150</v>
      </c>
      <c r="K131" s="60">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2">
        <f t="shared" si="5"/>
        <v>131</v>
      </c>
      <c r="B132" s="4" t="s">
        <v>13133</v>
      </c>
      <c r="C132" s="4" t="s">
        <v>500</v>
      </c>
      <c r="D132" s="4" t="s">
        <v>496</v>
      </c>
      <c r="E132" s="4" t="s">
        <v>13134</v>
      </c>
      <c r="F132" s="4" t="s">
        <v>13135</v>
      </c>
      <c r="G132" s="53" t="s">
        <v>479</v>
      </c>
      <c r="H132" s="3" t="str">
        <f>VLOOKUP(gia_khuyen_mai[[#This Row],[Barcode]],'Giá gốc'!$A:$B,2,0)</f>
        <v>2150338</v>
      </c>
      <c r="I132" s="3" t="str">
        <f>VLOOKUP(gia_khuyen_mai[[#This Row],[Mã sản phẩm]],'Giá gốc'!$B:$C,2,0)</f>
        <v>O'food Chả giò da xốp hải sản 300g</v>
      </c>
      <c r="J132" s="54">
        <f>VLOOKUP(gia_khuyen_mai[[#This Row],[Mã sản phẩm]],'Giá gốc'!B:D,3,0)</f>
        <v>31524</v>
      </c>
      <c r="K132" s="61">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2">
        <f t="shared" si="5"/>
        <v>132</v>
      </c>
      <c r="B133" s="4" t="s">
        <v>13133</v>
      </c>
      <c r="C133" s="4" t="s">
        <v>500</v>
      </c>
      <c r="D133" s="4" t="s">
        <v>496</v>
      </c>
      <c r="E133" s="4" t="s">
        <v>13134</v>
      </c>
      <c r="F133" s="4" t="s">
        <v>13135</v>
      </c>
      <c r="G133" s="53" t="s">
        <v>12461</v>
      </c>
      <c r="H133" s="3" t="str">
        <f>VLOOKUP(gia_khuyen_mai[[#This Row],[Barcode]],'Giá gốc'!$A:$B,2,0)</f>
        <v>2151765</v>
      </c>
      <c r="I133" s="3" t="str">
        <f>VLOOKUP(gia_khuyen_mai[[#This Row],[Mã sản phẩm]],'Giá gốc'!$B:$C,2,0)</f>
        <v>Ức gà hong khói 100g</v>
      </c>
      <c r="J133" s="54">
        <f>VLOOKUP(gia_khuyen_mai[[#This Row],[Mã sản phẩm]],'Giá gốc'!B:D,3,0)</f>
        <v>26000</v>
      </c>
      <c r="K133" s="61">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2">
        <f>ROW()-1</f>
        <v>133</v>
      </c>
      <c r="B134" s="4" t="s">
        <v>13133</v>
      </c>
      <c r="C134" s="4" t="s">
        <v>5</v>
      </c>
      <c r="D134" s="4" t="s">
        <v>496</v>
      </c>
      <c r="E134" s="4" t="s">
        <v>13134</v>
      </c>
      <c r="F134" s="4" t="s">
        <v>13135</v>
      </c>
      <c r="G134" s="53" t="s">
        <v>418</v>
      </c>
      <c r="H134" s="3" t="str">
        <f>VLOOKUP(gia_khuyen_mai[[#This Row],[Barcode]],'Giá gốc'!$A:$B,2,0)</f>
        <v>2145783</v>
      </c>
      <c r="I134" s="3" t="str">
        <f>VLOOKUP(gia_khuyen_mai[[#This Row],[Mã sản phẩm]],'Giá gốc'!$B:$C,2,0)</f>
        <v>Xúc xích Romas ( 50g) 500g</v>
      </c>
      <c r="J134" s="54">
        <f>VLOOKUP(gia_khuyen_mai[[#This Row],[Mã sản phẩm]],'Giá gốc'!B:D,3,0)</f>
        <v>53900</v>
      </c>
      <c r="K134" s="59">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2">
        <f t="shared" ref="A135:A143" si="6">ROW()-1</f>
        <v>134</v>
      </c>
      <c r="B135" s="4" t="s">
        <v>13133</v>
      </c>
      <c r="C135" s="4" t="s">
        <v>183</v>
      </c>
      <c r="D135" s="4" t="s">
        <v>496</v>
      </c>
      <c r="E135" s="4" t="s">
        <v>13134</v>
      </c>
      <c r="F135" s="4" t="s">
        <v>13135</v>
      </c>
      <c r="G135" s="53" t="s">
        <v>400</v>
      </c>
      <c r="H135" s="3" t="str">
        <f>VLOOKUP(gia_khuyen_mai[[#This Row],[Barcode]],'Giá gốc'!$A:$B,2,0)</f>
        <v>2145740</v>
      </c>
      <c r="I135" s="3" t="str">
        <f>VLOOKUP(gia_khuyen_mai[[#This Row],[Mã sản phẩm]],'Giá gốc'!$B:$C,2,0)</f>
        <v>Xúc xích phô mai Cheesy 70g * 30EA</v>
      </c>
      <c r="J135" s="54">
        <f>VLOOKUP(gia_khuyen_mai[[#This Row],[Mã sản phẩm]],'Giá gốc'!B:D,3,0)</f>
        <v>17100</v>
      </c>
      <c r="K135" s="61">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2">
        <f t="shared" si="6"/>
        <v>135</v>
      </c>
      <c r="B136" s="4" t="s">
        <v>13133</v>
      </c>
      <c r="C136" s="4" t="s">
        <v>183</v>
      </c>
      <c r="D136" s="4" t="s">
        <v>496</v>
      </c>
      <c r="E136" s="4" t="s">
        <v>13134</v>
      </c>
      <c r="F136" s="4" t="s">
        <v>13135</v>
      </c>
      <c r="G136" s="53" t="s">
        <v>412</v>
      </c>
      <c r="H136" s="3" t="str">
        <f>VLOOKUP(gia_khuyen_mai[[#This Row],[Barcode]],'Giá gốc'!$A:$B,2,0)</f>
        <v>2145768</v>
      </c>
      <c r="I136" s="3" t="str">
        <f>VLOOKUP(gia_khuyen_mai[[#This Row],[Mã sản phẩm]],'Giá gốc'!$B:$C,2,0)</f>
        <v>Xúc xích Hotdog 500g</v>
      </c>
      <c r="J136" s="54">
        <f>VLOOKUP(gia_khuyen_mai[[#This Row],[Mã sản phẩm]],'Giá gốc'!B:D,3,0)</f>
        <v>50200</v>
      </c>
      <c r="K136" s="61">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2">
        <f t="shared" si="6"/>
        <v>136</v>
      </c>
      <c r="B137" s="4" t="s">
        <v>13133</v>
      </c>
      <c r="C137" s="4" t="s">
        <v>183</v>
      </c>
      <c r="D137" s="4" t="s">
        <v>496</v>
      </c>
      <c r="E137" s="4" t="s">
        <v>13134</v>
      </c>
      <c r="F137" s="4" t="s">
        <v>13135</v>
      </c>
      <c r="G137" s="53" t="s">
        <v>421</v>
      </c>
      <c r="H137" s="3" t="str">
        <f>VLOOKUP(gia_khuyen_mai[[#This Row],[Barcode]],'Giá gốc'!$A:$B,2,0)</f>
        <v>2145791</v>
      </c>
      <c r="I137" s="3" t="str">
        <f>VLOOKUP(gia_khuyen_mai[[#This Row],[Mã sản phẩm]],'Giá gốc'!$B:$C,2,0)</f>
        <v>Xúc xích Romas 70g * 30EA</v>
      </c>
      <c r="J137" s="54">
        <f>VLOOKUP(gia_khuyen_mai[[#This Row],[Mã sản phẩm]],'Giá gốc'!B:D,3,0)</f>
        <v>13100</v>
      </c>
      <c r="K137" s="61">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2">
        <f t="shared" si="6"/>
        <v>137</v>
      </c>
      <c r="B138" s="4" t="s">
        <v>13133</v>
      </c>
      <c r="C138" s="4" t="s">
        <v>183</v>
      </c>
      <c r="D138" s="4" t="s">
        <v>496</v>
      </c>
      <c r="E138" s="4" t="s">
        <v>13134</v>
      </c>
      <c r="F138" s="4" t="s">
        <v>13135</v>
      </c>
      <c r="G138" s="53" t="s">
        <v>448</v>
      </c>
      <c r="H138" s="3" t="str">
        <f>VLOOKUP(gia_khuyen_mai[[#This Row],[Barcode]],'Giá gốc'!$A:$B,2,0)</f>
        <v>2145695</v>
      </c>
      <c r="I138" s="3" t="str">
        <f>VLOOKUP(gia_khuyen_mai[[#This Row],[Mã sản phẩm]],'Giá gốc'!$B:$C,2,0)</f>
        <v>Seoul's Hotdog 350g</v>
      </c>
      <c r="J138" s="54">
        <f>VLOOKUP(gia_khuyen_mai[[#This Row],[Mã sản phẩm]],'Giá gốc'!B:D,3,0)</f>
        <v>48384</v>
      </c>
      <c r="K138" s="61">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2">
        <f t="shared" si="6"/>
        <v>138</v>
      </c>
      <c r="B139" s="4" t="s">
        <v>13133</v>
      </c>
      <c r="C139" s="4" t="s">
        <v>183</v>
      </c>
      <c r="D139" s="4" t="s">
        <v>496</v>
      </c>
      <c r="E139" s="4" t="s">
        <v>13134</v>
      </c>
      <c r="F139" s="4" t="s">
        <v>13135</v>
      </c>
      <c r="G139" s="53" t="s">
        <v>451</v>
      </c>
      <c r="H139" s="3" t="str">
        <f>VLOOKUP(gia_khuyen_mai[[#This Row],[Barcode]],'Giá gốc'!$A:$B,2,0)</f>
        <v>2145697</v>
      </c>
      <c r="I139" s="3" t="str">
        <f>VLOOKUP(gia_khuyen_mai[[#This Row],[Mã sản phẩm]],'Giá gốc'!$B:$C,2,0)</f>
        <v>Seoul nhân phô mai 250g</v>
      </c>
      <c r="J139" s="54">
        <f>VLOOKUP(gia_khuyen_mai[[#This Row],[Mã sản phẩm]],'Giá gốc'!B:D,3,0)</f>
        <v>42000</v>
      </c>
      <c r="K139" s="61">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2">
        <f t="shared" si="6"/>
        <v>139</v>
      </c>
      <c r="B140" s="4" t="s">
        <v>13133</v>
      </c>
      <c r="C140" s="4" t="s">
        <v>183</v>
      </c>
      <c r="D140" s="4" t="s">
        <v>496</v>
      </c>
      <c r="E140" s="4" t="s">
        <v>13134</v>
      </c>
      <c r="F140" s="4" t="s">
        <v>13135</v>
      </c>
      <c r="G140" s="53" t="s">
        <v>458</v>
      </c>
      <c r="H140" s="3" t="str">
        <f>VLOOKUP(gia_khuyen_mai[[#This Row],[Barcode]],'Giá gốc'!$A:$B,2,0)</f>
        <v>2145680</v>
      </c>
      <c r="I140" s="3" t="str">
        <f>VLOOKUP(gia_khuyen_mai[[#This Row],[Mã sản phẩm]],'Giá gốc'!$B:$C,2,0)</f>
        <v>O'food Xúc xích Lắc Phô mai vị truyền thống 56g * 24EA</v>
      </c>
      <c r="J140" s="54">
        <f>VLOOKUP(gia_khuyen_mai[[#This Row],[Mã sản phẩm]],'Giá gốc'!B:D,3,0)</f>
        <v>9300</v>
      </c>
      <c r="K140" s="61">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2">
        <f t="shared" si="6"/>
        <v>140</v>
      </c>
      <c r="B141" s="4" t="s">
        <v>13133</v>
      </c>
      <c r="C141" s="4" t="s">
        <v>183</v>
      </c>
      <c r="D141" s="4" t="s">
        <v>496</v>
      </c>
      <c r="E141" s="4" t="s">
        <v>13134</v>
      </c>
      <c r="F141" s="4" t="s">
        <v>13135</v>
      </c>
      <c r="G141" s="53" t="s">
        <v>461</v>
      </c>
      <c r="H141" s="3" t="str">
        <f>VLOOKUP(gia_khuyen_mai[[#This Row],[Barcode]],'Giá gốc'!$A:$B,2,0)</f>
        <v>2145681</v>
      </c>
      <c r="I141" s="3" t="str">
        <f>VLOOKUP(gia_khuyen_mai[[#This Row],[Mã sản phẩm]],'Giá gốc'!$B:$C,2,0)</f>
        <v>O'food Xúc xích Lắc Phô mai vị dâu tây 56g * 24EA</v>
      </c>
      <c r="J141" s="54">
        <f>VLOOKUP(gia_khuyen_mai[[#This Row],[Mã sản phẩm]],'Giá gốc'!B:D,3,0)</f>
        <v>9300</v>
      </c>
      <c r="K141" s="61">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2">
        <f t="shared" si="6"/>
        <v>141</v>
      </c>
      <c r="B142" s="4" t="s">
        <v>13133</v>
      </c>
      <c r="C142" s="4" t="s">
        <v>183</v>
      </c>
      <c r="D142" s="4" t="s">
        <v>496</v>
      </c>
      <c r="E142" s="4" t="s">
        <v>13134</v>
      </c>
      <c r="F142" s="4" t="s">
        <v>13135</v>
      </c>
      <c r="G142" s="53" t="s">
        <v>12826</v>
      </c>
      <c r="H142" s="3" t="str">
        <f>VLOOKUP(gia_khuyen_mai[[#This Row],[Barcode]],'Giá gốc'!$A:$B,2,0)</f>
        <v>2145724</v>
      </c>
      <c r="I142" s="3" t="str">
        <f>VLOOKUP(gia_khuyen_mai[[#This Row],[Mã sản phẩm]],'Giá gốc'!$B:$C,2,0)</f>
        <v>ĐỨC VIỆT Xúc xích Keilbasa 200g</v>
      </c>
      <c r="J142" s="54">
        <f>VLOOKUP(gia_khuyen_mai[[#This Row],[Mã sản phẩm]],'Giá gốc'!B:D,3,0)</f>
        <v>52000</v>
      </c>
      <c r="K142" s="61">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2">
        <f t="shared" si="6"/>
        <v>142</v>
      </c>
      <c r="B143" s="4" t="s">
        <v>13133</v>
      </c>
      <c r="C143" s="4" t="s">
        <v>183</v>
      </c>
      <c r="D143" s="4" t="s">
        <v>496</v>
      </c>
      <c r="E143" s="4" t="s">
        <v>13134</v>
      </c>
      <c r="F143" s="4" t="s">
        <v>13135</v>
      </c>
      <c r="G143" s="53" t="s">
        <v>12475</v>
      </c>
      <c r="H143" s="3" t="str">
        <f>VLOOKUP(gia_khuyen_mai[[#This Row],[Barcode]],'Giá gốc'!$A:$B,2,0)</f>
        <v>2149794</v>
      </c>
      <c r="I143" s="3" t="str">
        <f>VLOOKUP(gia_khuyen_mai[[#This Row],[Mã sản phẩm]],'Giá gốc'!$B:$C,2,0)</f>
        <v>Xúc xích Romas Light 500g</v>
      </c>
      <c r="J143" s="54">
        <f>VLOOKUP(gia_khuyen_mai[[#This Row],[Mã sản phẩm]],'Giá gốc'!B:D,3,0)</f>
        <v>44000</v>
      </c>
      <c r="K143" s="61">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5" customFormat="1" ht="21.75" customHeight="1" x14ac:dyDescent="0.3">
      <c r="A144" s="62">
        <f t="shared" ref="A144:A145" si="7">ROW()-1</f>
        <v>143</v>
      </c>
      <c r="B144" s="63" t="s">
        <v>13244</v>
      </c>
      <c r="C144" s="63" t="s">
        <v>183</v>
      </c>
      <c r="D144" s="63" t="s">
        <v>496</v>
      </c>
      <c r="E144" s="63" t="s">
        <v>13242</v>
      </c>
      <c r="F144" s="63" t="s">
        <v>13243</v>
      </c>
      <c r="G144" s="64" t="s">
        <v>367</v>
      </c>
      <c r="H144" s="65" t="str">
        <f>VLOOKUP(gia_khuyen_mai[[#This Row],[Barcode]],'Giá gốc'!$A:$B,2,0)</f>
        <v>2145715</v>
      </c>
      <c r="I144" s="65" t="str">
        <f>VLOOKUP(gia_khuyen_mai[[#This Row],[Mã sản phẩm]],'Giá gốc'!$B:$C,2,0)</f>
        <v>Xúc xích nướng ( 84) 500g</v>
      </c>
      <c r="J144" s="66">
        <f>VLOOKUP(gia_khuyen_mai[[#This Row],[Mã sản phẩm]],'Giá gốc'!B:D,3,0)</f>
        <v>84500</v>
      </c>
      <c r="K144" s="61">
        <v>0.22</v>
      </c>
      <c r="L144" s="67">
        <f>ROUND((1-gia_khuyen_mai[[#This Row],[% Giảm giá]]) * gia_khuyen_mai[[#This Row],[Giá gốc]], 0)</f>
        <v>65910</v>
      </c>
      <c r="M144" s="67"/>
      <c r="O144" s="65" t="str">
        <f>IFERROR(VLOOKUP(gia_khuyen_mai[[#This Row],[Mã hàng tặng]],'Giá gốc'!B:C,2,0),"")</f>
        <v/>
      </c>
      <c r="Q144" s="65" t="str">
        <f>VLOOKUP(gia_khuyen_mai[[#This Row],[Mã sản phẩm]],product[[Mã sản phẩm]:[DS - ĐV]],3,0)</f>
        <v>Food Đức Việt</v>
      </c>
    </row>
    <row r="145" spans="1:17" s="65" customFormat="1" ht="21.75" customHeight="1" x14ac:dyDescent="0.3">
      <c r="A145" s="62">
        <f t="shared" si="7"/>
        <v>144</v>
      </c>
      <c r="B145" s="63" t="s">
        <v>13244</v>
      </c>
      <c r="C145" s="63" t="s">
        <v>183</v>
      </c>
      <c r="D145" s="63" t="s">
        <v>496</v>
      </c>
      <c r="E145" s="63" t="s">
        <v>13242</v>
      </c>
      <c r="F145" s="63" t="s">
        <v>13243</v>
      </c>
      <c r="G145" s="64" t="s">
        <v>388</v>
      </c>
      <c r="H145" s="65" t="str">
        <f>VLOOKUP(gia_khuyen_mai[[#This Row],[Barcode]],'Giá gốc'!$A:$B,2,0)</f>
        <v>2145721</v>
      </c>
      <c r="I145" s="65" t="str">
        <f>VLOOKUP(gia_khuyen_mai[[#This Row],[Mã sản phẩm]],'Giá gốc'!$B:$C,2,0)</f>
        <v>Xúc xích Becllin 500g</v>
      </c>
      <c r="J145" s="66">
        <f>VLOOKUP(gia_khuyen_mai[[#This Row],[Mã sản phẩm]],'Giá gốc'!B:D,3,0)</f>
        <v>96800</v>
      </c>
      <c r="K145" s="61">
        <v>0.2</v>
      </c>
      <c r="L145" s="67">
        <f>ROUND((1-gia_khuyen_mai[[#This Row],[% Giảm giá]]) * gia_khuyen_mai[[#This Row],[Giá gốc]], 0)</f>
        <v>77440</v>
      </c>
      <c r="M145" s="67"/>
      <c r="O145" s="65" t="str">
        <f>IFERROR(VLOOKUP(gia_khuyen_mai[[#This Row],[Mã hàng tặng]],'Giá gốc'!B:C,2,0),"")</f>
        <v/>
      </c>
      <c r="Q145" s="65" t="str">
        <f>VLOOKUP(gia_khuyen_mai[[#This Row],[Mã sản phẩm]],product[[Mã sản phẩm]:[DS - ĐV]],3,0)</f>
        <v>Food Đức Việt</v>
      </c>
    </row>
    <row r="146" spans="1:17" s="65" customFormat="1" ht="21.75" customHeight="1" x14ac:dyDescent="0.3">
      <c r="A146" s="62">
        <f>ROW()-1</f>
        <v>145</v>
      </c>
      <c r="B146" s="63" t="s">
        <v>13244</v>
      </c>
      <c r="C146" s="63" t="s">
        <v>5</v>
      </c>
      <c r="D146" s="63" t="s">
        <v>496</v>
      </c>
      <c r="E146" s="63" t="s">
        <v>13242</v>
      </c>
      <c r="F146" s="63" t="s">
        <v>13243</v>
      </c>
      <c r="G146" s="64" t="s">
        <v>376</v>
      </c>
      <c r="H146" s="65" t="str">
        <f>VLOOKUP(gia_khuyen_mai[[#This Row],[Barcode]],'Giá gốc'!$A:$B,2,0)</f>
        <v>2145690</v>
      </c>
      <c r="I146" s="65" t="str">
        <f>VLOOKUP(gia_khuyen_mai[[#This Row],[Mã sản phẩm]],'Giá gốc'!$B:$C,2,0)</f>
        <v>Xúc xích vườn bia 200g * 1EA</v>
      </c>
      <c r="J146" s="66">
        <f>VLOOKUP(gia_khuyen_mai[[#This Row],[Mã sản phẩm]],'Giá gốc'!B:D,3,0)</f>
        <v>38400</v>
      </c>
      <c r="K146" s="68">
        <v>0.2</v>
      </c>
      <c r="L146" s="67">
        <f>ROUND((1-gia_khuyen_mai[[#This Row],[% Giảm giá]]) * gia_khuyen_mai[[#This Row],[Giá gốc]], 0)</f>
        <v>30720</v>
      </c>
      <c r="M146" s="67"/>
      <c r="O146" s="65" t="str">
        <f>IFERROR(VLOOKUP(gia_khuyen_mai[[#This Row],[Mã hàng tặng]],'Giá gốc'!B:C,2,0),"")</f>
        <v/>
      </c>
      <c r="Q146" s="65" t="str">
        <f>VLOOKUP(gia_khuyen_mai[[#This Row],[Mã sản phẩm]],product[[Mã sản phẩm]:[DS - ĐV]],3,0)</f>
        <v>Food Đức Việt</v>
      </c>
    </row>
    <row r="147" spans="1:17" s="65" customFormat="1" ht="21.75" customHeight="1" x14ac:dyDescent="0.3">
      <c r="A147" s="62">
        <f>ROW()-1</f>
        <v>146</v>
      </c>
      <c r="B147" s="63" t="s">
        <v>13244</v>
      </c>
      <c r="C147" s="63" t="s">
        <v>5</v>
      </c>
      <c r="D147" s="63" t="s">
        <v>496</v>
      </c>
      <c r="E147" s="63" t="s">
        <v>13242</v>
      </c>
      <c r="F147" s="63" t="s">
        <v>13243</v>
      </c>
      <c r="G147" s="64" t="s">
        <v>12462</v>
      </c>
      <c r="H147" s="65" t="str">
        <f>VLOOKUP(gia_khuyen_mai[[#This Row],[Barcode]],'Giá gốc'!$A:$B,2,0)</f>
        <v>2145747</v>
      </c>
      <c r="I147" s="65" t="str">
        <f>VLOOKUP(gia_khuyen_mai[[#This Row],[Mã sản phẩm]],'Giá gốc'!$B:$C,2,0)</f>
        <v>Xúc xích thịt heo Bragenwurst 400g</v>
      </c>
      <c r="J147" s="66">
        <f>VLOOKUP(gia_khuyen_mai[[#This Row],[Mã sản phẩm]],'Giá gốc'!B:D,3,0)</f>
        <v>82080</v>
      </c>
      <c r="K147" s="68">
        <v>0.25</v>
      </c>
      <c r="L147" s="67">
        <f>ROUND((1-gia_khuyen_mai[[#This Row],[% Giảm giá]]) * gia_khuyen_mai[[#This Row],[Giá gốc]], 0)</f>
        <v>61560</v>
      </c>
      <c r="M147" s="67"/>
      <c r="O147" s="65" t="str">
        <f>IFERROR(VLOOKUP(gia_khuyen_mai[[#This Row],[Mã hàng tặng]],'Giá gốc'!B:C,2,0),"")</f>
        <v/>
      </c>
      <c r="Q147" s="65" t="str">
        <f>VLOOKUP(gia_khuyen_mai[[#This Row],[Mã sản phẩm]],product[[Mã sản phẩm]:[DS - ĐV]],3,0)</f>
        <v>Food Đức Việt</v>
      </c>
    </row>
    <row r="148" spans="1:17" s="65" customFormat="1" ht="21.75" customHeight="1" x14ac:dyDescent="0.3">
      <c r="A148" s="62">
        <f>ROW()-1</f>
        <v>147</v>
      </c>
      <c r="B148" s="63" t="s">
        <v>13244</v>
      </c>
      <c r="C148" s="63" t="s">
        <v>183</v>
      </c>
      <c r="D148" s="63" t="s">
        <v>496</v>
      </c>
      <c r="E148" s="63" t="s">
        <v>13242</v>
      </c>
      <c r="F148" s="63" t="s">
        <v>13243</v>
      </c>
      <c r="G148" s="64" t="s">
        <v>12462</v>
      </c>
      <c r="H148" s="65" t="str">
        <f>VLOOKUP(gia_khuyen_mai[[#This Row],[Barcode]],'Giá gốc'!$A:$B,2,0)</f>
        <v>2145747</v>
      </c>
      <c r="I148" s="65" t="str">
        <f>VLOOKUP(gia_khuyen_mai[[#This Row],[Mã sản phẩm]],'Giá gốc'!$B:$C,2,0)</f>
        <v>Xúc xích thịt heo Bragenwurst 400g</v>
      </c>
      <c r="J148" s="66">
        <f>VLOOKUP(gia_khuyen_mai[[#This Row],[Mã sản phẩm]],'Giá gốc'!B:D,3,0)</f>
        <v>82080</v>
      </c>
      <c r="K148" s="68">
        <v>0.3</v>
      </c>
      <c r="L148" s="67">
        <f>ROUND((1-gia_khuyen_mai[[#This Row],[% Giảm giá]]) * gia_khuyen_mai[[#This Row],[Giá gốc]], 0)</f>
        <v>57456</v>
      </c>
      <c r="M148" s="67"/>
      <c r="O148" s="65" t="str">
        <f>IFERROR(VLOOKUP(gia_khuyen_mai[[#This Row],[Mã hàng tặng]],'Giá gốc'!B:C,2,0),"")</f>
        <v/>
      </c>
      <c r="Q148" s="65" t="str">
        <f>VLOOKUP(gia_khuyen_mai[[#This Row],[Mã sản phẩm]],product[[Mã sản phẩm]:[DS - ĐV]],3,0)</f>
        <v>Food Đức Việt</v>
      </c>
    </row>
    <row r="149" spans="1:17" s="65" customFormat="1" ht="21.75" customHeight="1" x14ac:dyDescent="0.3">
      <c r="A149" s="62">
        <f t="shared" ref="A149:A151" si="8">ROW()-1</f>
        <v>148</v>
      </c>
      <c r="B149" s="63" t="s">
        <v>13244</v>
      </c>
      <c r="C149" s="63" t="s">
        <v>500</v>
      </c>
      <c r="D149" s="63" t="s">
        <v>496</v>
      </c>
      <c r="E149" s="63" t="s">
        <v>13242</v>
      </c>
      <c r="F149" s="63" t="s">
        <v>13243</v>
      </c>
      <c r="G149" s="64" t="s">
        <v>373</v>
      </c>
      <c r="H149" s="65" t="str">
        <f>VLOOKUP(gia_khuyen_mai[[#This Row],[Barcode]],'Giá gốc'!$A:$B,2,0)</f>
        <v>2145686</v>
      </c>
      <c r="I149" s="65" t="str">
        <f>VLOOKUP(gia_khuyen_mai[[#This Row],[Mã sản phẩm]],'Giá gốc'!$B:$C,2,0)</f>
        <v>Xúc xích hong khói 450g</v>
      </c>
      <c r="J149" s="66">
        <f>VLOOKUP(gia_khuyen_mai[[#This Row],[Mã sản phẩm]],'Giá gốc'!B:D,3,0)</f>
        <v>79100</v>
      </c>
      <c r="K149" s="60">
        <v>0.23</v>
      </c>
      <c r="L149" s="67">
        <f>ROUND((1-gia_khuyen_mai[[#This Row],[% Giảm giá]]) * gia_khuyen_mai[[#This Row],[Giá gốc]], 0)</f>
        <v>60907</v>
      </c>
      <c r="M149" s="67"/>
      <c r="O149" s="65" t="str">
        <f>IFERROR(VLOOKUP(gia_khuyen_mai[[#This Row],[Mã hàng tặng]],'Giá gốc'!B:C,2,0),"")</f>
        <v/>
      </c>
      <c r="Q149" s="65" t="str">
        <f>VLOOKUP(gia_khuyen_mai[[#This Row],[Mã sản phẩm]],product[[Mã sản phẩm]:[DS - ĐV]],3,0)</f>
        <v>Food Đức Việt</v>
      </c>
    </row>
    <row r="150" spans="1:17" s="65" customFormat="1" ht="21.75" customHeight="1" x14ac:dyDescent="0.3">
      <c r="A150" s="62">
        <f t="shared" si="8"/>
        <v>149</v>
      </c>
      <c r="B150" s="63" t="s">
        <v>13244</v>
      </c>
      <c r="C150" s="63" t="s">
        <v>500</v>
      </c>
      <c r="D150" s="63" t="s">
        <v>496</v>
      </c>
      <c r="E150" s="63" t="s">
        <v>13242</v>
      </c>
      <c r="F150" s="63" t="s">
        <v>13243</v>
      </c>
      <c r="G150" s="64" t="s">
        <v>433</v>
      </c>
      <c r="H150" s="65" t="str">
        <f>VLOOKUP(gia_khuyen_mai[[#This Row],[Barcode]],'Giá gốc'!$A:$B,2,0)</f>
        <v>2146417</v>
      </c>
      <c r="I150" s="65" t="str">
        <f>VLOOKUP(gia_khuyen_mai[[#This Row],[Mã sản phẩm]],'Giá gốc'!$B:$C,2,0)</f>
        <v>Chân giò hong khói rút xương 300g</v>
      </c>
      <c r="J150" s="66">
        <f>VLOOKUP(gia_khuyen_mai[[#This Row],[Mã sản phẩm]],'Giá gốc'!B:D,3,0)</f>
        <v>67700</v>
      </c>
      <c r="K150" s="61">
        <v>0.23</v>
      </c>
      <c r="L150" s="67">
        <f>ROUND((1-gia_khuyen_mai[[#This Row],[% Giảm giá]]) * gia_khuyen_mai[[#This Row],[Giá gốc]], 0)</f>
        <v>52129</v>
      </c>
      <c r="M150" s="67"/>
      <c r="O150" s="65" t="str">
        <f>IFERROR(VLOOKUP(gia_khuyen_mai[[#This Row],[Mã hàng tặng]],'Giá gốc'!B:C,2,0),"")</f>
        <v/>
      </c>
      <c r="Q150" s="65" t="str">
        <f>VLOOKUP(gia_khuyen_mai[[#This Row],[Mã sản phẩm]],product[[Mã sản phẩm]:[DS - ĐV]],3,0)</f>
        <v>Food Đức Việt</v>
      </c>
    </row>
    <row r="151" spans="1:17" s="65" customFormat="1" ht="21.75" customHeight="1" x14ac:dyDescent="0.3">
      <c r="A151" s="62">
        <f t="shared" si="8"/>
        <v>150</v>
      </c>
      <c r="B151" s="63" t="s">
        <v>13244</v>
      </c>
      <c r="C151" s="63" t="s">
        <v>500</v>
      </c>
      <c r="D151" s="63" t="s">
        <v>496</v>
      </c>
      <c r="E151" s="63" t="s">
        <v>13242</v>
      </c>
      <c r="F151" s="63" t="s">
        <v>13243</v>
      </c>
      <c r="G151" s="64" t="s">
        <v>12460</v>
      </c>
      <c r="H151" s="65" t="str">
        <f>VLOOKUP(gia_khuyen_mai[[#This Row],[Barcode]],'Giá gốc'!$A:$B,2,0)</f>
        <v>2151140</v>
      </c>
      <c r="I151" s="65" t="str">
        <f>VLOOKUP(gia_khuyen_mai[[#This Row],[Mã sản phẩm]],'Giá gốc'!$B:$C,2,0)</f>
        <v>Jongga Kim chi Củ cải 150g</v>
      </c>
      <c r="J151" s="66">
        <f>VLOOKUP(gia_khuyen_mai[[#This Row],[Mã sản phẩm]],'Giá gốc'!B:D,3,0)</f>
        <v>16500</v>
      </c>
      <c r="K151" s="61">
        <v>0.25</v>
      </c>
      <c r="L151" s="67">
        <f>ROUND((1-gia_khuyen_mai[[#This Row],[% Giảm giá]]) * gia_khuyen_mai[[#This Row],[Giá gốc]], 0)</f>
        <v>12375</v>
      </c>
      <c r="M151" s="67"/>
      <c r="O151" s="65" t="str">
        <f>IFERROR(VLOOKUP(gia_khuyen_mai[[#This Row],[Mã hàng tặng]],'Giá gốc'!B:C,2,0),"")</f>
        <v/>
      </c>
      <c r="Q151" s="65" t="str">
        <f>VLOOKUP(gia_khuyen_mai[[#This Row],[Mã sản phẩm]],product[[Mã sản phẩm]:[DS - ĐV]],3,0)</f>
        <v>Food Đức Việt</v>
      </c>
    </row>
    <row r="152" spans="1:17" s="65" customFormat="1" ht="21.75" customHeight="1" x14ac:dyDescent="0.3">
      <c r="A152" s="62">
        <f>ROW()-1</f>
        <v>151</v>
      </c>
      <c r="B152" s="63" t="s">
        <v>13244</v>
      </c>
      <c r="C152" s="63" t="s">
        <v>500</v>
      </c>
      <c r="D152" s="63" t="s">
        <v>496</v>
      </c>
      <c r="E152" s="63" t="s">
        <v>13245</v>
      </c>
      <c r="F152" s="63" t="s">
        <v>13243</v>
      </c>
      <c r="G152" s="64" t="s">
        <v>470</v>
      </c>
      <c r="H152" s="65" t="str">
        <f>VLOOKUP(gia_khuyen_mai[[#This Row],[Barcode]],'Giá gốc'!$A:$B,2,0)</f>
        <v>2145699</v>
      </c>
      <c r="I152" s="65" t="str">
        <f>VLOOKUP(gia_khuyen_mai[[#This Row],[Mã sản phẩm]],'Giá gốc'!$B:$C,2,0)</f>
        <v>Seoul's Hotdog Chiên xù 250g (Đ)</v>
      </c>
      <c r="J152" s="66">
        <f>VLOOKUP(gia_khuyen_mai[[#This Row],[Mã sản phẩm]],'Giá gốc'!B:D,3,0)</f>
        <v>39150</v>
      </c>
      <c r="K152" s="68">
        <v>0.25</v>
      </c>
      <c r="L152" s="67">
        <f>ROUND((1-gia_khuyen_mai[[#This Row],[% Giảm giá]]) * gia_khuyen_mai[[#This Row],[Giá gốc]], 0)</f>
        <v>29363</v>
      </c>
      <c r="M152" s="67"/>
      <c r="O152" s="65" t="str">
        <f>IFERROR(VLOOKUP(gia_khuyen_mai[[#This Row],[Mã hàng tặng]],'Giá gốc'!B:C,2,0),"")</f>
        <v/>
      </c>
      <c r="Q152" s="65" t="str">
        <f>VLOOKUP(gia_khuyen_mai[[#This Row],[Mã sản phẩm]],product[[Mã sản phẩm]:[DS - ĐV]],3,0)</f>
        <v>Food Đức Việt</v>
      </c>
    </row>
    <row r="153" spans="1:17" s="65" customFormat="1" ht="21.75" customHeight="1" x14ac:dyDescent="0.3">
      <c r="A153" s="62">
        <f t="shared" ref="A153:A154" si="9">ROW()-1</f>
        <v>152</v>
      </c>
      <c r="B153" s="63" t="s">
        <v>13133</v>
      </c>
      <c r="C153" s="63" t="s">
        <v>183</v>
      </c>
      <c r="D153" s="63" t="s">
        <v>496</v>
      </c>
      <c r="E153" s="63" t="s">
        <v>12934</v>
      </c>
      <c r="F153" s="63" t="s">
        <v>13135</v>
      </c>
      <c r="G153" s="64" t="s">
        <v>452</v>
      </c>
      <c r="H153" s="65" t="str">
        <f>VLOOKUP(gia_khuyen_mai[[#This Row],[Barcode]],'Giá gốc'!$A:$B,2,0)</f>
        <v>2145648</v>
      </c>
      <c r="I153" s="65" t="str">
        <f>VLOOKUP(gia_khuyen_mai[[#This Row],[Mã sản phẩm]],'Giá gốc'!$B:$C,2,0)</f>
        <v>Đức Việt Handy - xúc xích ăn liền vị heo 105g * 20EA</v>
      </c>
      <c r="J153" s="66">
        <f>VLOOKUP(gia_khuyen_mai[[#This Row],[Mã sản phẩm]],'Giá gốc'!B:D,3,0)</f>
        <v>9300</v>
      </c>
      <c r="K153" s="68">
        <v>0.3</v>
      </c>
      <c r="L153" s="67">
        <f>ROUND((1-gia_khuyen_mai[[#This Row],[% Giảm giá]]) * gia_khuyen_mai[[#This Row],[Giá gốc]], 0)</f>
        <v>6510</v>
      </c>
      <c r="M153" s="67"/>
      <c r="O153" s="65" t="str">
        <f>IFERROR(VLOOKUP(gia_khuyen_mai[[#This Row],[Mã hàng tặng]],'Giá gốc'!B:C,2,0),"")</f>
        <v/>
      </c>
      <c r="Q153" s="65" t="str">
        <f>VLOOKUP(gia_khuyen_mai[[#This Row],[Mã sản phẩm]],product[[Mã sản phẩm]:[DS - ĐV]],3,0)</f>
        <v>Food Đức Việt</v>
      </c>
    </row>
    <row r="154" spans="1:17" s="65" customFormat="1" ht="21.75" customHeight="1" x14ac:dyDescent="0.3">
      <c r="A154" s="62">
        <f t="shared" si="9"/>
        <v>153</v>
      </c>
      <c r="B154" s="63" t="s">
        <v>13133</v>
      </c>
      <c r="C154" s="63" t="s">
        <v>183</v>
      </c>
      <c r="D154" s="63" t="s">
        <v>496</v>
      </c>
      <c r="E154" s="63" t="s">
        <v>12934</v>
      </c>
      <c r="F154" s="63" t="s">
        <v>13135</v>
      </c>
      <c r="G154" s="64" t="s">
        <v>455</v>
      </c>
      <c r="H154" s="65" t="str">
        <f>VLOOKUP(gia_khuyen_mai[[#This Row],[Barcode]],'Giá gốc'!$A:$B,2,0)</f>
        <v>2145657</v>
      </c>
      <c r="I154" s="65" t="str">
        <f>VLOOKUP(gia_khuyen_mai[[#This Row],[Mã sản phẩm]],'Giá gốc'!$B:$C,2,0)</f>
        <v>Đức Việt Handy - xúc xích ăn liền vị bò 105g * 20EA</v>
      </c>
      <c r="J154" s="66">
        <f>VLOOKUP(gia_khuyen_mai[[#This Row],[Mã sản phẩm]],'Giá gốc'!B:D,3,0)</f>
        <v>9300</v>
      </c>
      <c r="K154" s="68">
        <v>0.3</v>
      </c>
      <c r="L154" s="67">
        <f>ROUND((1-gia_khuyen_mai[[#This Row],[% Giảm giá]]) * gia_khuyen_mai[[#This Row],[Giá gốc]], 0)</f>
        <v>6510</v>
      </c>
      <c r="M154" s="67"/>
      <c r="O154" s="65" t="str">
        <f>IFERROR(VLOOKUP(gia_khuyen_mai[[#This Row],[Mã hàng tặng]],'Giá gốc'!B:C,2,0),"")</f>
        <v/>
      </c>
      <c r="Q154" s="65" t="str">
        <f>VLOOKUP(gia_khuyen_mai[[#This Row],[Mã sản phẩm]],product[[Mã sản phẩm]:[DS - ĐV]],3,0)</f>
        <v>Food Đức Việt</v>
      </c>
    </row>
    <row r="155" spans="1:17" s="65" customFormat="1" ht="21.75" customHeight="1" x14ac:dyDescent="0.3">
      <c r="A155" s="62">
        <f>ROW()-1</f>
        <v>154</v>
      </c>
      <c r="B155" s="63" t="s">
        <v>13244</v>
      </c>
      <c r="C155" s="63" t="s">
        <v>183</v>
      </c>
      <c r="D155" s="63" t="s">
        <v>496</v>
      </c>
      <c r="E155" s="63" t="s">
        <v>13242</v>
      </c>
      <c r="F155" s="63" t="s">
        <v>13135</v>
      </c>
      <c r="G155" s="65" t="s">
        <v>397</v>
      </c>
      <c r="H155" s="65" t="str">
        <f>VLOOKUP(gia_khuyen_mai[[#This Row],[Barcode]],'Giá gốc'!$A:$B,2,0)</f>
        <v>2145726</v>
      </c>
      <c r="I155" s="65" t="str">
        <f>VLOOKUP(gia_khuyen_mai[[#This Row],[Mã sản phẩm]],'Giá gốc'!$B:$C,2,0)</f>
        <v>Xúc xích phô mai Cheesy 250g</v>
      </c>
      <c r="J155" s="66">
        <f>VLOOKUP(gia_khuyen_mai[[#This Row],[Mã sản phẩm]],'Giá gốc'!B:D,3,0)</f>
        <v>49400</v>
      </c>
      <c r="K155" s="68"/>
      <c r="L155" s="67">
        <f>ROUND((1-gia_khuyen_mai[[#This Row],[% Giảm giá]]) * gia_khuyen_mai[[#This Row],[Giá gốc]], 0)</f>
        <v>49400</v>
      </c>
      <c r="M155" s="67" t="s">
        <v>503</v>
      </c>
      <c r="N155" s="65" t="str">
        <f>VLOOKUP(gia_khuyen_mai[[#This Row],[Barcode]],'Giá gốc'!$A:$B,2,0)</f>
        <v>2145726</v>
      </c>
      <c r="O155" s="65" t="str">
        <f>IFERROR(VLOOKUP(gia_khuyen_mai[[#This Row],[Mã hàng tặng]],'Giá gốc'!B:C,2,0),"")</f>
        <v>Xúc xích phô mai Cheesy 250g</v>
      </c>
      <c r="Q155" s="65" t="str">
        <f>VLOOKUP(gia_khuyen_mai[[#This Row],[Mã sản phẩm]],product[[Mã sản phẩm]:[DS - ĐV]],3,0)</f>
        <v>Food Đức Việt</v>
      </c>
    </row>
    <row r="156" spans="1:17" s="65" customFormat="1" ht="21.75" customHeight="1" x14ac:dyDescent="0.3">
      <c r="A156" s="62">
        <f>ROW()-1</f>
        <v>155</v>
      </c>
      <c r="B156" s="63" t="s">
        <v>13244</v>
      </c>
      <c r="C156" s="63" t="s">
        <v>183</v>
      </c>
      <c r="D156" s="63" t="s">
        <v>496</v>
      </c>
      <c r="E156" s="63" t="s">
        <v>13242</v>
      </c>
      <c r="F156" s="63" t="s">
        <v>13243</v>
      </c>
      <c r="G156" s="64" t="s">
        <v>418</v>
      </c>
      <c r="H156" s="65" t="str">
        <f>VLOOKUP(gia_khuyen_mai[[#This Row],[Barcode]],'Giá gốc'!$A:$B,2,0)</f>
        <v>2145783</v>
      </c>
      <c r="I156" s="65" t="str">
        <f>VLOOKUP(gia_khuyen_mai[[#This Row],[Mã sản phẩm]],'Giá gốc'!$B:$C,2,0)</f>
        <v>Xúc xích Romas ( 50g) 500g</v>
      </c>
      <c r="J156" s="66">
        <f>VLOOKUP(gia_khuyen_mai[[#This Row],[Mã sản phẩm]],'Giá gốc'!B:D,3,0)</f>
        <v>53900</v>
      </c>
      <c r="K156" s="68">
        <v>0.25</v>
      </c>
      <c r="L156" s="67">
        <f>ROUND((1-gia_khuyen_mai[[#This Row],[% Giảm giá]]) * gia_khuyen_mai[[#This Row],[Giá gốc]], 0)</f>
        <v>40425</v>
      </c>
      <c r="M156" s="67"/>
      <c r="O156" s="65" t="str">
        <f>IFERROR(VLOOKUP(gia_khuyen_mai[[#This Row],[Mã hàng tặng]],'Giá gốc'!B:C,2,0),"")</f>
        <v/>
      </c>
      <c r="Q156" s="65" t="str">
        <f>VLOOKUP(gia_khuyen_mai[[#This Row],[Mã sản phẩm]],product[[Mã sản phẩm]:[DS - ĐV]],3,0)</f>
        <v>Food Đức Việt</v>
      </c>
    </row>
    <row r="157" spans="1:17" s="65" customFormat="1" ht="21.75" customHeight="1" x14ac:dyDescent="0.3">
      <c r="A157" s="62">
        <f t="shared" ref="A157:A158" si="10">ROW()-1</f>
        <v>156</v>
      </c>
      <c r="B157" s="63" t="s">
        <v>13244</v>
      </c>
      <c r="C157" s="63" t="s">
        <v>183</v>
      </c>
      <c r="D157" s="63" t="s">
        <v>496</v>
      </c>
      <c r="E157" s="63" t="s">
        <v>13245</v>
      </c>
      <c r="F157" s="63" t="s">
        <v>13243</v>
      </c>
      <c r="G157" s="69" t="s">
        <v>452</v>
      </c>
      <c r="H157" s="65" t="str">
        <f>VLOOKUP(gia_khuyen_mai[[#This Row],[Barcode]],'Giá gốc'!$A:$B,2,0)</f>
        <v>2145648</v>
      </c>
      <c r="I157" s="65" t="str">
        <f>VLOOKUP(gia_khuyen_mai[[#This Row],[Mã sản phẩm]],'Giá gốc'!$B:$C,2,0)</f>
        <v>Đức Việt Handy - xúc xích ăn liền vị heo 105g * 20EA</v>
      </c>
      <c r="J157" s="66">
        <f>VLOOKUP(gia_khuyen_mai[[#This Row],[Mã sản phẩm]],'Giá gốc'!B:D,3,0)</f>
        <v>9300</v>
      </c>
      <c r="K157" s="68">
        <v>0.22</v>
      </c>
      <c r="L157" s="67">
        <f>ROUND((1-gia_khuyen_mai[[#This Row],[% Giảm giá]]) * gia_khuyen_mai[[#This Row],[Giá gốc]], 0)</f>
        <v>7254</v>
      </c>
      <c r="M157" s="67"/>
      <c r="O157" s="65" t="str">
        <f>IFERROR(VLOOKUP(gia_khuyen_mai[[#This Row],[Mã hàng tặng]],'Giá gốc'!B:C,2,0),"")</f>
        <v/>
      </c>
      <c r="Q157" s="65" t="str">
        <f>VLOOKUP(gia_khuyen_mai[[#This Row],[Mã sản phẩm]],product[[Mã sản phẩm]:[DS - ĐV]],3,0)</f>
        <v>Food Đức Việt</v>
      </c>
    </row>
    <row r="158" spans="1:17" s="65" customFormat="1" ht="21.75" customHeight="1" x14ac:dyDescent="0.3">
      <c r="A158" s="62">
        <f t="shared" si="10"/>
        <v>157</v>
      </c>
      <c r="B158" s="63" t="s">
        <v>13244</v>
      </c>
      <c r="C158" s="63" t="s">
        <v>183</v>
      </c>
      <c r="D158" s="63" t="s">
        <v>496</v>
      </c>
      <c r="E158" s="63" t="s">
        <v>13245</v>
      </c>
      <c r="F158" s="63" t="s">
        <v>13243</v>
      </c>
      <c r="G158" s="69" t="s">
        <v>455</v>
      </c>
      <c r="H158" s="65" t="str">
        <f>VLOOKUP(gia_khuyen_mai[[#This Row],[Barcode]],'Giá gốc'!$A:$B,2,0)</f>
        <v>2145657</v>
      </c>
      <c r="I158" s="65" t="str">
        <f>VLOOKUP(gia_khuyen_mai[[#This Row],[Mã sản phẩm]],'Giá gốc'!$B:$C,2,0)</f>
        <v>Đức Việt Handy - xúc xích ăn liền vị bò 105g * 20EA</v>
      </c>
      <c r="J158" s="66">
        <f>VLOOKUP(gia_khuyen_mai[[#This Row],[Mã sản phẩm]],'Giá gốc'!B:D,3,0)</f>
        <v>9300</v>
      </c>
      <c r="K158" s="68">
        <v>0.22</v>
      </c>
      <c r="L158" s="67">
        <f>ROUND((1-gia_khuyen_mai[[#This Row],[% Giảm giá]]) * gia_khuyen_mai[[#This Row],[Giá gốc]], 0)</f>
        <v>7254</v>
      </c>
      <c r="M158" s="67"/>
      <c r="O158" s="65" t="str">
        <f>IFERROR(VLOOKUP(gia_khuyen_mai[[#This Row],[Mã hàng tặng]],'Giá gốc'!B:C,2,0),"")</f>
        <v/>
      </c>
      <c r="Q158" s="65" t="str">
        <f>VLOOKUP(gia_khuyen_mai[[#This Row],[Mã sản phẩm]],product[[Mã sản phẩm]:[DS - ĐV]],3,0)</f>
        <v>Food Đức Việt</v>
      </c>
    </row>
    <row r="159" spans="1:17" s="65" customFormat="1" ht="21.75" customHeight="1" x14ac:dyDescent="0.3">
      <c r="A159" s="38">
        <f>ROW()-1</f>
        <v>158</v>
      </c>
      <c r="B159" s="4" t="s">
        <v>13337</v>
      </c>
      <c r="C159" s="63" t="s">
        <v>183</v>
      </c>
      <c r="D159" s="63"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7">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3" t="s">
        <v>500</v>
      </c>
      <c r="D160" s="63"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7">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3" t="s">
        <v>500</v>
      </c>
      <c r="D161" s="63"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7">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3" t="s">
        <v>500</v>
      </c>
      <c r="D162" s="63"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7">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3" t="s">
        <v>183</v>
      </c>
      <c r="D163" s="63"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7">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3" t="s">
        <v>500</v>
      </c>
      <c r="D164" s="63"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7">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3" t="s">
        <v>183</v>
      </c>
      <c r="D165" s="63"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7">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3" t="s">
        <v>500</v>
      </c>
      <c r="D166" s="63"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7"/>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3" t="s">
        <v>5</v>
      </c>
      <c r="D167" s="63"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7">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13410</v>
      </c>
      <c r="C168" s="4" t="s">
        <v>183</v>
      </c>
      <c r="D168" s="63"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7"/>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13410</v>
      </c>
      <c r="C169" s="4" t="s">
        <v>183</v>
      </c>
      <c r="D169" s="63"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7"/>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13410</v>
      </c>
      <c r="C170" s="4" t="s">
        <v>183</v>
      </c>
      <c r="D170" s="63"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7"/>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sheetData>
  <phoneticPr fontId="5" type="noConversion"/>
  <conditionalFormatting sqref="N83">
    <cfRule type="duplicateValues" dxfId="13" priority="11"/>
    <cfRule type="duplicateValues" dxfId="12" priority="12"/>
  </conditionalFormatting>
  <conditionalFormatting sqref="N95">
    <cfRule type="duplicateValues" dxfId="11" priority="9"/>
    <cfRule type="duplicateValues" dxfId="10" priority="10"/>
  </conditionalFormatting>
  <conditionalFormatting sqref="N114">
    <cfRule type="duplicateValues" dxfId="9" priority="4"/>
    <cfRule type="duplicateValues" dxfId="8" priority="5"/>
    <cfRule type="duplicateValues" dxfId="7" priority="6"/>
  </conditionalFormatting>
  <conditionalFormatting sqref="N122">
    <cfRule type="duplicateValues" dxfId="6" priority="1"/>
    <cfRule type="duplicateValues" dxfId="5" priority="2"/>
    <cfRule type="duplicateValues" dxfId="4"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C2:C170</xm:sqref>
        </x14:dataValidation>
        <x14:dataValidation type="list" allowBlank="1" showInputMessage="1" showErrorMessage="1" xr:uid="{70682026-A2D1-4D89-B7D7-4AB945F4B9A2}">
          <x14:formula1>
            <xm:f>'Data Validation'!$E$2:$E$3</xm:f>
          </x14:formula1>
          <xm:sqref>M2:M170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5195"/>
  <sheetViews>
    <sheetView topLeftCell="A5191" zoomScale="70" zoomScaleNormal="70" workbookViewId="0">
      <selection activeCell="F5194" sqref="F5194"/>
    </sheetView>
  </sheetViews>
  <sheetFormatPr defaultColWidth="21" defaultRowHeight="15" x14ac:dyDescent="0.25"/>
  <cols>
    <col min="1" max="1" width="15.7109375" bestFit="1" customWidth="1"/>
    <col min="2" max="2" width="16" customWidth="1"/>
    <col min="3" max="3" width="48.140625" bestFit="1" customWidth="1"/>
    <col min="4" max="4" width="90.42578125" customWidth="1"/>
    <col min="5" max="5" width="18.85546875" bestFit="1" customWidth="1"/>
    <col min="6" max="6" width="102.5703125" bestFit="1" customWidth="1"/>
    <col min="8" max="8" width="14.28515625" bestFit="1" customWidth="1"/>
    <col min="9" max="9" width="11.140625" bestFit="1"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6" t="s">
        <v>12885</v>
      </c>
      <c r="B3841" s="9" t="s">
        <v>5</v>
      </c>
      <c r="C3841" s="48"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7" t="s">
        <v>12886</v>
      </c>
      <c r="B3842" s="9" t="s">
        <v>5</v>
      </c>
      <c r="C3842" s="48"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6" t="s">
        <v>12889</v>
      </c>
      <c r="B3843" s="9" t="s">
        <v>5</v>
      </c>
      <c r="C3843" s="48"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7" t="s">
        <v>12890</v>
      </c>
      <c r="B3844" s="9" t="s">
        <v>5</v>
      </c>
      <c r="C3844" s="48"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6" t="s">
        <v>12893</v>
      </c>
      <c r="B3845" s="9" t="s">
        <v>5</v>
      </c>
      <c r="C3845" s="48"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7"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7"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7"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7"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7"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7"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7"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7"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7"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7"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7"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7"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7"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7"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7"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7"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7"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7"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6" t="s">
        <v>12931</v>
      </c>
      <c r="B3864" s="9" t="s">
        <v>5</v>
      </c>
      <c r="C3864" s="48"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6" t="s">
        <v>12937</v>
      </c>
      <c r="B3865" s="9" t="s">
        <v>5</v>
      </c>
      <c r="C3865" s="48"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6" t="s">
        <v>12939</v>
      </c>
      <c r="B3866" s="9" t="s">
        <v>5</v>
      </c>
      <c r="C3866" s="48"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7" t="s">
        <v>12940</v>
      </c>
      <c r="B3867" s="9" t="s">
        <v>5</v>
      </c>
      <c r="C3867" s="48"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9"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7"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7"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7"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7"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7"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7"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7"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7"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7"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7"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7"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7"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7"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7"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7"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7"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7"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7"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7"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7"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7"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7"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7"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7"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7"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7"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7"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7"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7"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7"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7"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7"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7"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7"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7"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7"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7"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7"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7"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7"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7"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7"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7"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7"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7"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7"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7"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7"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7"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7"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7"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6"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6"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7" t="s">
        <v>13054</v>
      </c>
      <c r="B3923" s="9" t="s">
        <v>5</v>
      </c>
      <c r="C3923" s="36" t="s">
        <v>13094</v>
      </c>
      <c r="D3923" s="21"/>
      <c r="E3923" s="37" t="s">
        <v>11215</v>
      </c>
      <c r="F3923" s="22" t="str">
        <f>VLOOKUP(Table8[[#This Row],[Mã khách hàng]],code_khach_hang[],2,0)</f>
        <v>CHI NHÁNH HÀ NỘI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7"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7"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7"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7"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7"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7"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7"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7"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7"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7"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7"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7"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7"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7"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7"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7"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7"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7"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7"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7"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7"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7"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7"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7"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7"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7"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7"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7"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7"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7"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7"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7"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7"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7"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7"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7"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7"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7"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50" t="s">
        <v>13136</v>
      </c>
      <c r="B3962" s="9" t="s">
        <v>5</v>
      </c>
      <c r="C3962" s="10" t="s">
        <v>13137</v>
      </c>
      <c r="D3962" s="21"/>
      <c r="E3962" s="51"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50"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70"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70"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70"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70"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70"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70"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70"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70"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70"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70"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70"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70"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70"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70"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70"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70"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70"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70"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70"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70"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70"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70"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70"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70"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70"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70"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70"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70"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70"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70"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70"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70"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70"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70"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13415</v>
      </c>
      <c r="B4066" s="9" t="s">
        <v>5</v>
      </c>
      <c r="C4066" s="10" t="s">
        <v>14541</v>
      </c>
      <c r="D4066" s="21"/>
      <c r="E4066" s="31" t="s">
        <v>15667</v>
      </c>
      <c r="F4066" s="22" t="str">
        <f>VLOOKUP(Table8[[#This Row],[Mã khách hàng]],code_khach_hang[],2,0)</f>
        <v>CÔNG TY CỔ PHẦN DỊCH VỤ THƯƠNG MẠI TỔNG HỢP WINCOMMERCE</v>
      </c>
      <c r="G4066" s="10" t="str">
        <f>VLOOKUP(Table8[[#This Row],[Mã khách hàng]],code_khach_hang[],3,0)</f>
        <v>Miền Nam đặc biệt 1</v>
      </c>
      <c r="H4066" t="str">
        <f>VLOOKUP(Table8[[#This Row],[Mã khách hàng]],'Khách hàng'!A:D,4,0)</f>
        <v>Food Đức Việt</v>
      </c>
      <c r="I4066" t="str">
        <f>VLOOKUP(Table8[[#This Row],[Mã khách hàng]],'Khách hàng'!A:E,5,0)</f>
        <v>HCVG80</v>
      </c>
    </row>
    <row r="4067" spans="1:9" x14ac:dyDescent="0.25">
      <c r="A4067" s="14" t="s">
        <v>13416</v>
      </c>
      <c r="B4067" s="15" t="s">
        <v>5</v>
      </c>
      <c r="C4067" s="16" t="s">
        <v>14542</v>
      </c>
      <c r="D4067" s="21"/>
      <c r="E4067" s="32" t="s">
        <v>15667</v>
      </c>
      <c r="F4067" s="22" t="str">
        <f>VLOOKUP(Table8[[#This Row],[Mã khách hàng]],code_khach_hang[],2,0)</f>
        <v>CÔNG TY CỔ PHẦN DỊCH VỤ THƯƠNG MẠI TỔNG HỢP WINCOMMERCE</v>
      </c>
      <c r="G4067" s="16" t="str">
        <f>VLOOKUP(Table8[[#This Row],[Mã khách hàng]],code_khach_hang[],3,0)</f>
        <v>Miền Nam đặc biệt 1</v>
      </c>
      <c r="H4067" t="str">
        <f>VLOOKUP(Table8[[#This Row],[Mã khách hàng]],'Khách hàng'!A:D,4,0)</f>
        <v>Food Đức Việt</v>
      </c>
      <c r="I4067" t="str">
        <f>VLOOKUP(Table8[[#This Row],[Mã khách hàng]],'Khách hàng'!A:E,5,0)</f>
        <v>HCVG80</v>
      </c>
    </row>
    <row r="4068" spans="1:9" x14ac:dyDescent="0.25">
      <c r="A4068" s="14" t="s">
        <v>13417</v>
      </c>
      <c r="B4068" s="15" t="s">
        <v>5</v>
      </c>
      <c r="C4068" s="16" t="s">
        <v>14543</v>
      </c>
      <c r="D4068" s="21"/>
      <c r="E4068" s="32" t="s">
        <v>15667</v>
      </c>
      <c r="F4068" s="22" t="str">
        <f>VLOOKUP(Table8[[#This Row],[Mã khách hàng]],code_khach_hang[],2,0)</f>
        <v>CÔNG TY CỔ PHẦN DỊCH VỤ THƯƠNG MẠI TỔNG HỢP WINCOMMERCE</v>
      </c>
      <c r="G4068" s="16" t="str">
        <f>VLOOKUP(Table8[[#This Row],[Mã khách hàng]],code_khach_hang[],3,0)</f>
        <v>Miền Nam đặc biệt 1</v>
      </c>
      <c r="H4068" t="str">
        <f>VLOOKUP(Table8[[#This Row],[Mã khách hàng]],'Khách hàng'!A:D,4,0)</f>
        <v>Food Đức Việt</v>
      </c>
      <c r="I4068" t="str">
        <f>VLOOKUP(Table8[[#This Row],[Mã khách hàng]],'Khách hàng'!A:E,5,0)</f>
        <v>HCVG80</v>
      </c>
    </row>
    <row r="4069" spans="1:9" x14ac:dyDescent="0.25">
      <c r="A4069" s="14" t="s">
        <v>13418</v>
      </c>
      <c r="B4069" s="15" t="s">
        <v>5</v>
      </c>
      <c r="C4069" s="16" t="s">
        <v>14544</v>
      </c>
      <c r="D4069" s="21"/>
      <c r="E4069" s="32" t="s">
        <v>15667</v>
      </c>
      <c r="F4069" s="22" t="str">
        <f>VLOOKUP(Table8[[#This Row],[Mã khách hàng]],code_khach_hang[],2,0)</f>
        <v>CÔNG TY CỔ PHẦN DỊCH VỤ THƯƠNG MẠI TỔNG HỢP WINCOMMERCE</v>
      </c>
      <c r="G4069" s="16" t="str">
        <f>VLOOKUP(Table8[[#This Row],[Mã khách hàng]],code_khach_hang[],3,0)</f>
        <v>Miền Nam đặc biệt 1</v>
      </c>
      <c r="H4069" t="str">
        <f>VLOOKUP(Table8[[#This Row],[Mã khách hàng]],'Khách hàng'!A:D,4,0)</f>
        <v>Food Đức Việt</v>
      </c>
      <c r="I4069" t="str">
        <f>VLOOKUP(Table8[[#This Row],[Mã khách hàng]],'Khách hàng'!A:E,5,0)</f>
        <v>HCVG80</v>
      </c>
    </row>
    <row r="4070" spans="1:9" x14ac:dyDescent="0.25">
      <c r="A4070" s="14" t="s">
        <v>13419</v>
      </c>
      <c r="B4070" s="15" t="s">
        <v>5</v>
      </c>
      <c r="C4070" s="16" t="s">
        <v>14545</v>
      </c>
      <c r="D4070" s="21"/>
      <c r="E4070" s="32" t="s">
        <v>15667</v>
      </c>
      <c r="F4070" s="22" t="str">
        <f>VLOOKUP(Table8[[#This Row],[Mã khách hàng]],code_khach_hang[],2,0)</f>
        <v>CÔNG TY CỔ PHẦN DỊCH VỤ THƯƠNG MẠI TỔNG HỢP WINCOMMERCE</v>
      </c>
      <c r="G4070" s="16" t="str">
        <f>VLOOKUP(Table8[[#This Row],[Mã khách hàng]],code_khach_hang[],3,0)</f>
        <v>Miền Nam đặc biệt 1</v>
      </c>
      <c r="H4070" t="str">
        <f>VLOOKUP(Table8[[#This Row],[Mã khách hàng]],'Khách hàng'!A:D,4,0)</f>
        <v>Food Đức Việt</v>
      </c>
      <c r="I4070" t="str">
        <f>VLOOKUP(Table8[[#This Row],[Mã khách hàng]],'Khách hàng'!A:E,5,0)</f>
        <v>HCVG80</v>
      </c>
    </row>
    <row r="4071" spans="1:9" x14ac:dyDescent="0.25">
      <c r="A4071" s="14" t="s">
        <v>13420</v>
      </c>
      <c r="B4071" s="15" t="s">
        <v>5</v>
      </c>
      <c r="C4071" s="16" t="s">
        <v>14546</v>
      </c>
      <c r="D4071" s="21"/>
      <c r="E4071" s="32" t="s">
        <v>15667</v>
      </c>
      <c r="F4071" s="22" t="str">
        <f>VLOOKUP(Table8[[#This Row],[Mã khách hàng]],code_khach_hang[],2,0)</f>
        <v>CÔNG TY CỔ PHẦN DỊCH VỤ THƯƠNG MẠI TỔNG HỢP WINCOMMERCE</v>
      </c>
      <c r="G4071" s="16" t="str">
        <f>VLOOKUP(Table8[[#This Row],[Mã khách hàng]],code_khach_hang[],3,0)</f>
        <v>Miền Nam đặc biệt 1</v>
      </c>
      <c r="H4071" t="str">
        <f>VLOOKUP(Table8[[#This Row],[Mã khách hàng]],'Khách hàng'!A:D,4,0)</f>
        <v>Food Đức Việt</v>
      </c>
      <c r="I4071" t="str">
        <f>VLOOKUP(Table8[[#This Row],[Mã khách hàng]],'Khách hàng'!A:E,5,0)</f>
        <v>HCVG80</v>
      </c>
    </row>
    <row r="4072" spans="1:9" x14ac:dyDescent="0.25">
      <c r="A4072" s="14" t="s">
        <v>13421</v>
      </c>
      <c r="B4072" s="15" t="s">
        <v>5</v>
      </c>
      <c r="C4072" s="16" t="s">
        <v>14547</v>
      </c>
      <c r="D4072" s="21"/>
      <c r="E4072" s="32" t="s">
        <v>15667</v>
      </c>
      <c r="F4072" s="22" t="str">
        <f>VLOOKUP(Table8[[#This Row],[Mã khách hàng]],code_khach_hang[],2,0)</f>
        <v>CÔNG TY CỔ PHẦN DỊCH VỤ THƯƠNG MẠI TỔNG HỢP WINCOMMERCE</v>
      </c>
      <c r="G4072" s="16" t="str">
        <f>VLOOKUP(Table8[[#This Row],[Mã khách hàng]],code_khach_hang[],3,0)</f>
        <v>Miền Nam đặc biệt 1</v>
      </c>
      <c r="H4072" t="str">
        <f>VLOOKUP(Table8[[#This Row],[Mã khách hàng]],'Khách hàng'!A:D,4,0)</f>
        <v>Food Đức Việt</v>
      </c>
      <c r="I4072" t="str">
        <f>VLOOKUP(Table8[[#This Row],[Mã khách hàng]],'Khách hàng'!A:E,5,0)</f>
        <v>HCVG80</v>
      </c>
    </row>
    <row r="4073" spans="1:9" x14ac:dyDescent="0.25">
      <c r="A4073" s="14" t="s">
        <v>13422</v>
      </c>
      <c r="B4073" s="15" t="s">
        <v>5</v>
      </c>
      <c r="C4073" s="16" t="s">
        <v>14548</v>
      </c>
      <c r="D4073" s="21"/>
      <c r="E4073" s="32" t="s">
        <v>15667</v>
      </c>
      <c r="F4073" s="22" t="str">
        <f>VLOOKUP(Table8[[#This Row],[Mã khách hàng]],code_khach_hang[],2,0)</f>
        <v>CÔNG TY CỔ PHẦN DỊCH VỤ THƯƠNG MẠI TỔNG HỢP WINCOMMERCE</v>
      </c>
      <c r="G4073" s="16" t="str">
        <f>VLOOKUP(Table8[[#This Row],[Mã khách hàng]],code_khach_hang[],3,0)</f>
        <v>Miền Nam đặc biệt 1</v>
      </c>
      <c r="H4073" t="str">
        <f>VLOOKUP(Table8[[#This Row],[Mã khách hàng]],'Khách hàng'!A:D,4,0)</f>
        <v>Food Đức Việt</v>
      </c>
      <c r="I4073" t="str">
        <f>VLOOKUP(Table8[[#This Row],[Mã khách hàng]],'Khách hàng'!A:E,5,0)</f>
        <v>HCVG80</v>
      </c>
    </row>
    <row r="4074" spans="1:9" x14ac:dyDescent="0.25">
      <c r="A4074" s="14" t="s">
        <v>13423</v>
      </c>
      <c r="B4074" s="15" t="s">
        <v>5</v>
      </c>
      <c r="C4074" s="16" t="s">
        <v>14549</v>
      </c>
      <c r="D4074" s="21"/>
      <c r="E4074" s="32" t="s">
        <v>15667</v>
      </c>
      <c r="F4074" s="22" t="str">
        <f>VLOOKUP(Table8[[#This Row],[Mã khách hàng]],code_khach_hang[],2,0)</f>
        <v>CÔNG TY CỔ PHẦN DỊCH VỤ THƯƠNG MẠI TỔNG HỢP WINCOMMERCE</v>
      </c>
      <c r="G4074" s="16" t="str">
        <f>VLOOKUP(Table8[[#This Row],[Mã khách hàng]],code_khach_hang[],3,0)</f>
        <v>Miền Nam đặc biệt 1</v>
      </c>
      <c r="H4074" t="str">
        <f>VLOOKUP(Table8[[#This Row],[Mã khách hàng]],'Khách hàng'!A:D,4,0)</f>
        <v>Food Đức Việt</v>
      </c>
      <c r="I4074" t="str">
        <f>VLOOKUP(Table8[[#This Row],[Mã khách hàng]],'Khách hàng'!A:E,5,0)</f>
        <v>HCVG80</v>
      </c>
    </row>
    <row r="4075" spans="1:9" x14ac:dyDescent="0.25">
      <c r="A4075" s="14" t="s">
        <v>13424</v>
      </c>
      <c r="B4075" s="15" t="s">
        <v>5</v>
      </c>
      <c r="C4075" s="16" t="s">
        <v>14550</v>
      </c>
      <c r="D4075" s="21"/>
      <c r="E4075" s="32" t="s">
        <v>15667</v>
      </c>
      <c r="F4075" s="22" t="str">
        <f>VLOOKUP(Table8[[#This Row],[Mã khách hàng]],code_khach_hang[],2,0)</f>
        <v>CÔNG TY CỔ PHẦN DỊCH VỤ THƯƠNG MẠI TỔNG HỢP WINCOMMERCE</v>
      </c>
      <c r="G4075" s="16" t="str">
        <f>VLOOKUP(Table8[[#This Row],[Mã khách hàng]],code_khach_hang[],3,0)</f>
        <v>Miền Nam đặc biệt 1</v>
      </c>
      <c r="H4075" t="str">
        <f>VLOOKUP(Table8[[#This Row],[Mã khách hàng]],'Khách hàng'!A:D,4,0)</f>
        <v>Food Đức Việt</v>
      </c>
      <c r="I4075" t="str">
        <f>VLOOKUP(Table8[[#This Row],[Mã khách hàng]],'Khách hàng'!A:E,5,0)</f>
        <v>HCVG80</v>
      </c>
    </row>
    <row r="4076" spans="1:9" x14ac:dyDescent="0.25">
      <c r="A4076" s="14" t="s">
        <v>13425</v>
      </c>
      <c r="B4076" s="15" t="s">
        <v>5</v>
      </c>
      <c r="C4076" s="16" t="s">
        <v>14551</v>
      </c>
      <c r="D4076" s="21"/>
      <c r="E4076" s="32" t="s">
        <v>15667</v>
      </c>
      <c r="F4076" s="22" t="str">
        <f>VLOOKUP(Table8[[#This Row],[Mã khách hàng]],code_khach_hang[],2,0)</f>
        <v>CÔNG TY CỔ PHẦN DỊCH VỤ THƯƠNG MẠI TỔNG HỢP WINCOMMERCE</v>
      </c>
      <c r="G4076" s="16" t="str">
        <f>VLOOKUP(Table8[[#This Row],[Mã khách hàng]],code_khach_hang[],3,0)</f>
        <v>Miền Nam đặc biệt 1</v>
      </c>
      <c r="H4076" t="str">
        <f>VLOOKUP(Table8[[#This Row],[Mã khách hàng]],'Khách hàng'!A:D,4,0)</f>
        <v>Food Đức Việt</v>
      </c>
      <c r="I4076" t="str">
        <f>VLOOKUP(Table8[[#This Row],[Mã khách hàng]],'Khách hàng'!A:E,5,0)</f>
        <v>HCVG80</v>
      </c>
    </row>
    <row r="4077" spans="1:9" x14ac:dyDescent="0.25">
      <c r="A4077" s="14" t="s">
        <v>13426</v>
      </c>
      <c r="B4077" s="15" t="s">
        <v>5</v>
      </c>
      <c r="C4077" s="16" t="s">
        <v>14552</v>
      </c>
      <c r="D4077" s="21"/>
      <c r="E4077" s="32" t="s">
        <v>15667</v>
      </c>
      <c r="F4077" s="22" t="str">
        <f>VLOOKUP(Table8[[#This Row],[Mã khách hàng]],code_khach_hang[],2,0)</f>
        <v>CÔNG TY CỔ PHẦN DỊCH VỤ THƯƠNG MẠI TỔNG HỢP WINCOMMERCE</v>
      </c>
      <c r="G4077" s="16" t="str">
        <f>VLOOKUP(Table8[[#This Row],[Mã khách hàng]],code_khach_hang[],3,0)</f>
        <v>Miền Nam đặc biệt 1</v>
      </c>
      <c r="H4077" t="str">
        <f>VLOOKUP(Table8[[#This Row],[Mã khách hàng]],'Khách hàng'!A:D,4,0)</f>
        <v>Food Đức Việt</v>
      </c>
      <c r="I4077" t="str">
        <f>VLOOKUP(Table8[[#This Row],[Mã khách hàng]],'Khách hàng'!A:E,5,0)</f>
        <v>HCVG80</v>
      </c>
    </row>
    <row r="4078" spans="1:9" x14ac:dyDescent="0.25">
      <c r="A4078" s="14" t="s">
        <v>13427</v>
      </c>
      <c r="B4078" s="15" t="s">
        <v>5</v>
      </c>
      <c r="C4078" s="16" t="s">
        <v>14553</v>
      </c>
      <c r="D4078" s="21"/>
      <c r="E4078" s="32" t="s">
        <v>15667</v>
      </c>
      <c r="F4078" s="22" t="str">
        <f>VLOOKUP(Table8[[#This Row],[Mã khách hàng]],code_khach_hang[],2,0)</f>
        <v>CÔNG TY CỔ PHẦN DỊCH VỤ THƯƠNG MẠI TỔNG HỢP WINCOMMERCE</v>
      </c>
      <c r="G4078" s="16" t="str">
        <f>VLOOKUP(Table8[[#This Row],[Mã khách hàng]],code_khach_hang[],3,0)</f>
        <v>Miền Nam đặc biệt 1</v>
      </c>
      <c r="H4078" t="str">
        <f>VLOOKUP(Table8[[#This Row],[Mã khách hàng]],'Khách hàng'!A:D,4,0)</f>
        <v>Food Đức Việt</v>
      </c>
      <c r="I4078" t="str">
        <f>VLOOKUP(Table8[[#This Row],[Mã khách hàng]],'Khách hàng'!A:E,5,0)</f>
        <v>HCVG80</v>
      </c>
    </row>
    <row r="4079" spans="1:9" x14ac:dyDescent="0.25">
      <c r="A4079" s="14" t="s">
        <v>13428</v>
      </c>
      <c r="B4079" s="15" t="s">
        <v>5</v>
      </c>
      <c r="C4079" s="16" t="s">
        <v>14554</v>
      </c>
      <c r="D4079" s="21"/>
      <c r="E4079" s="32" t="s">
        <v>15667</v>
      </c>
      <c r="F4079" s="22" t="str">
        <f>VLOOKUP(Table8[[#This Row],[Mã khách hàng]],code_khach_hang[],2,0)</f>
        <v>CÔNG TY CỔ PHẦN DỊCH VỤ THƯƠNG MẠI TỔNG HỢP WINCOMMERCE</v>
      </c>
      <c r="G4079" s="16" t="str">
        <f>VLOOKUP(Table8[[#This Row],[Mã khách hàng]],code_khach_hang[],3,0)</f>
        <v>Miền Nam đặc biệt 1</v>
      </c>
      <c r="H4079" t="str">
        <f>VLOOKUP(Table8[[#This Row],[Mã khách hàng]],'Khách hàng'!A:D,4,0)</f>
        <v>Food Đức Việt</v>
      </c>
      <c r="I4079" t="str">
        <f>VLOOKUP(Table8[[#This Row],[Mã khách hàng]],'Khách hàng'!A:E,5,0)</f>
        <v>HCVG80</v>
      </c>
    </row>
    <row r="4080" spans="1:9" x14ac:dyDescent="0.25">
      <c r="A4080" s="14" t="s">
        <v>13429</v>
      </c>
      <c r="B4080" s="15" t="s">
        <v>5</v>
      </c>
      <c r="C4080" s="16" t="s">
        <v>14555</v>
      </c>
      <c r="D4080" s="21"/>
      <c r="E4080" s="32" t="s">
        <v>15667</v>
      </c>
      <c r="F4080" s="22" t="str">
        <f>VLOOKUP(Table8[[#This Row],[Mã khách hàng]],code_khach_hang[],2,0)</f>
        <v>CÔNG TY CỔ PHẦN DỊCH VỤ THƯƠNG MẠI TỔNG HỢP WINCOMMERCE</v>
      </c>
      <c r="G4080" s="16" t="str">
        <f>VLOOKUP(Table8[[#This Row],[Mã khách hàng]],code_khach_hang[],3,0)</f>
        <v>Miền Nam đặc biệt 1</v>
      </c>
      <c r="H4080" t="str">
        <f>VLOOKUP(Table8[[#This Row],[Mã khách hàng]],'Khách hàng'!A:D,4,0)</f>
        <v>Food Đức Việt</v>
      </c>
      <c r="I4080" t="str">
        <f>VLOOKUP(Table8[[#This Row],[Mã khách hàng]],'Khách hàng'!A:E,5,0)</f>
        <v>HCVG80</v>
      </c>
    </row>
    <row r="4081" spans="1:9" x14ac:dyDescent="0.25">
      <c r="A4081" s="14" t="s">
        <v>13430</v>
      </c>
      <c r="B4081" s="15" t="s">
        <v>5</v>
      </c>
      <c r="C4081" s="16" t="s">
        <v>14556</v>
      </c>
      <c r="D4081" s="21"/>
      <c r="E4081" s="32" t="s">
        <v>15667</v>
      </c>
      <c r="F4081" s="22" t="str">
        <f>VLOOKUP(Table8[[#This Row],[Mã khách hàng]],code_khach_hang[],2,0)</f>
        <v>CÔNG TY CỔ PHẦN DỊCH VỤ THƯƠNG MẠI TỔNG HỢP WINCOMMERCE</v>
      </c>
      <c r="G4081" s="16" t="str">
        <f>VLOOKUP(Table8[[#This Row],[Mã khách hàng]],code_khach_hang[],3,0)</f>
        <v>Miền Nam đặc biệt 1</v>
      </c>
      <c r="H4081" t="str">
        <f>VLOOKUP(Table8[[#This Row],[Mã khách hàng]],'Khách hàng'!A:D,4,0)</f>
        <v>Food Đức Việt</v>
      </c>
      <c r="I4081" t="str">
        <f>VLOOKUP(Table8[[#This Row],[Mã khách hàng]],'Khách hàng'!A:E,5,0)</f>
        <v>HCVG80</v>
      </c>
    </row>
    <row r="4082" spans="1:9" x14ac:dyDescent="0.25">
      <c r="A4082" s="14" t="s">
        <v>13431</v>
      </c>
      <c r="B4082" s="15" t="s">
        <v>5</v>
      </c>
      <c r="C4082" s="16" t="s">
        <v>14557</v>
      </c>
      <c r="D4082" s="21"/>
      <c r="E4082" s="32" t="s">
        <v>15667</v>
      </c>
      <c r="F4082" s="22" t="str">
        <f>VLOOKUP(Table8[[#This Row],[Mã khách hàng]],code_khach_hang[],2,0)</f>
        <v>CÔNG TY CỔ PHẦN DỊCH VỤ THƯƠNG MẠI TỔNG HỢP WINCOMMERCE</v>
      </c>
      <c r="G4082" s="16" t="str">
        <f>VLOOKUP(Table8[[#This Row],[Mã khách hàng]],code_khach_hang[],3,0)</f>
        <v>Miền Nam đặc biệt 1</v>
      </c>
      <c r="H4082" t="str">
        <f>VLOOKUP(Table8[[#This Row],[Mã khách hàng]],'Khách hàng'!A:D,4,0)</f>
        <v>Food Đức Việt</v>
      </c>
      <c r="I4082" t="str">
        <f>VLOOKUP(Table8[[#This Row],[Mã khách hàng]],'Khách hàng'!A:E,5,0)</f>
        <v>HCVG80</v>
      </c>
    </row>
    <row r="4083" spans="1:9" x14ac:dyDescent="0.25">
      <c r="A4083" s="14" t="s">
        <v>13432</v>
      </c>
      <c r="B4083" s="15" t="s">
        <v>5</v>
      </c>
      <c r="C4083" s="16" t="s">
        <v>14558</v>
      </c>
      <c r="D4083" s="21"/>
      <c r="E4083" s="32" t="s">
        <v>15667</v>
      </c>
      <c r="F4083" s="22" t="str">
        <f>VLOOKUP(Table8[[#This Row],[Mã khách hàng]],code_khach_hang[],2,0)</f>
        <v>CÔNG TY CỔ PHẦN DỊCH VỤ THƯƠNG MẠI TỔNG HỢP WINCOMMERCE</v>
      </c>
      <c r="G4083" s="16" t="str">
        <f>VLOOKUP(Table8[[#This Row],[Mã khách hàng]],code_khach_hang[],3,0)</f>
        <v>Miền Nam đặc biệt 1</v>
      </c>
      <c r="H4083" t="str">
        <f>VLOOKUP(Table8[[#This Row],[Mã khách hàng]],'Khách hàng'!A:D,4,0)</f>
        <v>Food Đức Việt</v>
      </c>
      <c r="I4083" t="str">
        <f>VLOOKUP(Table8[[#This Row],[Mã khách hàng]],'Khách hàng'!A:E,5,0)</f>
        <v>HCVG80</v>
      </c>
    </row>
    <row r="4084" spans="1:9" x14ac:dyDescent="0.25">
      <c r="A4084" s="14" t="s">
        <v>13433</v>
      </c>
      <c r="B4084" s="15" t="s">
        <v>5</v>
      </c>
      <c r="C4084" s="16" t="s">
        <v>14559</v>
      </c>
      <c r="D4084" s="21"/>
      <c r="E4084" s="32" t="s">
        <v>15668</v>
      </c>
      <c r="F4084" s="22" t="str">
        <f>VLOOKUP(Table8[[#This Row],[Mã khách hàng]],code_khach_hang[],2,0)</f>
        <v>CHI NHÁNH ĐỒNG NAI - CÔNG TY CỔ PHẦN DỊCH VỤ THƯƠNG MẠI TỔNG HỢP WINCOMMERCE</v>
      </c>
      <c r="G4084" s="16" t="str">
        <f>VLOOKUP(Table8[[#This Row],[Mã khách hàng]],code_khach_hang[],3,0)</f>
        <v>Miền Nam đặc biệt 3</v>
      </c>
      <c r="H4084" t="str">
        <f>VLOOKUP(Table8[[#This Row],[Mã khách hàng]],'Khách hàng'!A:D,4,0)</f>
        <v>Food Đức Việt</v>
      </c>
      <c r="I4084" t="str">
        <f>VLOOKUP(Table8[[#This Row],[Mã khách hàng]],'Khách hàng'!A:E,5,0)</f>
        <v>HCVG80</v>
      </c>
    </row>
    <row r="4085" spans="1:9" x14ac:dyDescent="0.25">
      <c r="A4085" s="14" t="s">
        <v>13434</v>
      </c>
      <c r="B4085" s="15" t="s">
        <v>5</v>
      </c>
      <c r="C4085" s="16" t="s">
        <v>14560</v>
      </c>
      <c r="D4085" s="21"/>
      <c r="E4085" s="32" t="s">
        <v>15667</v>
      </c>
      <c r="F4085" s="22" t="str">
        <f>VLOOKUP(Table8[[#This Row],[Mã khách hàng]],code_khach_hang[],2,0)</f>
        <v>CÔNG TY CỔ PHẦN DỊCH VỤ THƯƠNG MẠI TỔNG HỢP WINCOMMERCE</v>
      </c>
      <c r="G4085" s="16" t="str">
        <f>VLOOKUP(Table8[[#This Row],[Mã khách hàng]],code_khach_hang[],3,0)</f>
        <v>Miền Nam đặc biệt 1</v>
      </c>
      <c r="H4085" t="str">
        <f>VLOOKUP(Table8[[#This Row],[Mã khách hàng]],'Khách hàng'!A:D,4,0)</f>
        <v>Food Đức Việt</v>
      </c>
      <c r="I4085" t="str">
        <f>VLOOKUP(Table8[[#This Row],[Mã khách hàng]],'Khách hàng'!A:E,5,0)</f>
        <v>HCVG80</v>
      </c>
    </row>
    <row r="4086" spans="1:9" x14ac:dyDescent="0.25">
      <c r="A4086" s="14" t="s">
        <v>13435</v>
      </c>
      <c r="B4086" s="15" t="s">
        <v>5</v>
      </c>
      <c r="C4086" s="16" t="s">
        <v>14561</v>
      </c>
      <c r="D4086" s="21"/>
      <c r="E4086" s="32" t="s">
        <v>15667</v>
      </c>
      <c r="F4086" s="22" t="str">
        <f>VLOOKUP(Table8[[#This Row],[Mã khách hàng]],code_khach_hang[],2,0)</f>
        <v>CÔNG TY CỔ PHẦN DỊCH VỤ THƯƠNG MẠI TỔNG HỢP WINCOMMERCE</v>
      </c>
      <c r="G4086" s="16" t="str">
        <f>VLOOKUP(Table8[[#This Row],[Mã khách hàng]],code_khach_hang[],3,0)</f>
        <v>Miền Nam đặc biệt 1</v>
      </c>
      <c r="H4086" t="str">
        <f>VLOOKUP(Table8[[#This Row],[Mã khách hàng]],'Khách hàng'!A:D,4,0)</f>
        <v>Food Đức Việt</v>
      </c>
      <c r="I4086" t="str">
        <f>VLOOKUP(Table8[[#This Row],[Mã khách hàng]],'Khách hàng'!A:E,5,0)</f>
        <v>HCVG80</v>
      </c>
    </row>
    <row r="4087" spans="1:9" x14ac:dyDescent="0.25">
      <c r="A4087" s="14" t="s">
        <v>13436</v>
      </c>
      <c r="B4087" s="15" t="s">
        <v>5</v>
      </c>
      <c r="C4087" s="16" t="s">
        <v>14562</v>
      </c>
      <c r="D4087" s="21"/>
      <c r="E4087" s="32" t="s">
        <v>15667</v>
      </c>
      <c r="F4087" s="22" t="str">
        <f>VLOOKUP(Table8[[#This Row],[Mã khách hàng]],code_khach_hang[],2,0)</f>
        <v>CÔNG TY CỔ PHẦN DỊCH VỤ THƯƠNG MẠI TỔNG HỢP WINCOMMERCE</v>
      </c>
      <c r="G4087" s="16" t="str">
        <f>VLOOKUP(Table8[[#This Row],[Mã khách hàng]],code_khach_hang[],3,0)</f>
        <v>Miền Nam đặc biệt 1</v>
      </c>
      <c r="H4087" t="str">
        <f>VLOOKUP(Table8[[#This Row],[Mã khách hàng]],'Khách hàng'!A:D,4,0)</f>
        <v>Food Đức Việt</v>
      </c>
      <c r="I4087" t="str">
        <f>VLOOKUP(Table8[[#This Row],[Mã khách hàng]],'Khách hàng'!A:E,5,0)</f>
        <v>HCVG80</v>
      </c>
    </row>
    <row r="4088" spans="1:9" x14ac:dyDescent="0.25">
      <c r="A4088" s="14" t="s">
        <v>13437</v>
      </c>
      <c r="B4088" s="15" t="s">
        <v>183</v>
      </c>
      <c r="C4088" s="16" t="s">
        <v>14563</v>
      </c>
      <c r="D4088" s="21"/>
      <c r="E4088" s="32" t="s">
        <v>15668</v>
      </c>
      <c r="F4088" s="22" t="str">
        <f>VLOOKUP(Table8[[#This Row],[Mã khách hàng]],code_khach_hang[],2,0)</f>
        <v>CHI NHÁNH ĐỒNG NAI - CÔNG TY CỔ PHẦN DỊCH VỤ THƯƠNG MẠI TỔNG HỢP WINCOMMERCE</v>
      </c>
      <c r="G4088" s="16" t="str">
        <f>VLOOKUP(Table8[[#This Row],[Mã khách hàng]],code_khach_hang[],3,0)</f>
        <v>Miền Nam đặc biệt 3</v>
      </c>
      <c r="H4088" t="str">
        <f>VLOOKUP(Table8[[#This Row],[Mã khách hàng]],'Khách hàng'!A:D,4,0)</f>
        <v>Food Đức Việt</v>
      </c>
      <c r="I4088" t="str">
        <f>VLOOKUP(Table8[[#This Row],[Mã khách hàng]],'Khách hàng'!A:E,5,0)</f>
        <v>HCVG80</v>
      </c>
    </row>
    <row r="4089" spans="1:9" x14ac:dyDescent="0.25">
      <c r="A4089" s="14" t="s">
        <v>13438</v>
      </c>
      <c r="B4089" s="15" t="s">
        <v>5</v>
      </c>
      <c r="C4089" s="16" t="s">
        <v>14564</v>
      </c>
      <c r="D4089" s="21"/>
      <c r="E4089" s="32" t="s">
        <v>15667</v>
      </c>
      <c r="F4089" s="22" t="str">
        <f>VLOOKUP(Table8[[#This Row],[Mã khách hàng]],code_khach_hang[],2,0)</f>
        <v>CÔNG TY CỔ PHẦN DỊCH VỤ THƯƠNG MẠI TỔNG HỢP WINCOMMERCE</v>
      </c>
      <c r="G4089" s="16" t="str">
        <f>VLOOKUP(Table8[[#This Row],[Mã khách hàng]],code_khach_hang[],3,0)</f>
        <v>Miền Nam đặc biệt 1</v>
      </c>
      <c r="H4089" t="str">
        <f>VLOOKUP(Table8[[#This Row],[Mã khách hàng]],'Khách hàng'!A:D,4,0)</f>
        <v>Food Đức Việt</v>
      </c>
      <c r="I4089" t="str">
        <f>VLOOKUP(Table8[[#This Row],[Mã khách hàng]],'Khách hàng'!A:E,5,0)</f>
        <v>HCVG80</v>
      </c>
    </row>
    <row r="4090" spans="1:9" x14ac:dyDescent="0.25">
      <c r="A4090" s="14" t="s">
        <v>13439</v>
      </c>
      <c r="B4090" s="15" t="s">
        <v>5</v>
      </c>
      <c r="C4090" s="16" t="s">
        <v>14565</v>
      </c>
      <c r="D4090" s="21"/>
      <c r="E4090" s="32" t="s">
        <v>15667</v>
      </c>
      <c r="F4090" s="22" t="str">
        <f>VLOOKUP(Table8[[#This Row],[Mã khách hàng]],code_khach_hang[],2,0)</f>
        <v>CÔNG TY CỔ PHẦN DỊCH VỤ THƯƠNG MẠI TỔNG HỢP WINCOMMERCE</v>
      </c>
      <c r="G4090" s="16" t="str">
        <f>VLOOKUP(Table8[[#This Row],[Mã khách hàng]],code_khach_hang[],3,0)</f>
        <v>Miền Nam đặc biệt 1</v>
      </c>
      <c r="H4090" t="str">
        <f>VLOOKUP(Table8[[#This Row],[Mã khách hàng]],'Khách hàng'!A:D,4,0)</f>
        <v>Food Đức Việt</v>
      </c>
      <c r="I4090" t="str">
        <f>VLOOKUP(Table8[[#This Row],[Mã khách hàng]],'Khách hàng'!A:E,5,0)</f>
        <v>HCVG80</v>
      </c>
    </row>
    <row r="4091" spans="1:9" x14ac:dyDescent="0.25">
      <c r="A4091" s="14" t="s">
        <v>13440</v>
      </c>
      <c r="B4091" s="15" t="s">
        <v>5</v>
      </c>
      <c r="C4091" s="16" t="s">
        <v>14566</v>
      </c>
      <c r="D4091" s="21"/>
      <c r="E4091" s="32" t="s">
        <v>15669</v>
      </c>
      <c r="F4091" s="22" t="str">
        <f>VLOOKUP(Table8[[#This Row],[Mã khách hàng]],code_khach_hang[],2,0)</f>
        <v>CHI NHÁNH CẦN THƠ - CÔNG TY CỔ PHẦN DỊCH VỤ THƯƠNG MẠI TỔNG HỢP WINCOMMERCE</v>
      </c>
      <c r="G4091" s="16" t="str">
        <f>VLOOKUP(Table8[[#This Row],[Mã khách hàng]],code_khach_hang[],3,0)</f>
        <v>Miền Nam đặc biệt 2</v>
      </c>
      <c r="H4091" t="str">
        <f>VLOOKUP(Table8[[#This Row],[Mã khách hàng]],'Khách hàng'!A:D,4,0)</f>
        <v>Food Đức Việt</v>
      </c>
      <c r="I4091" t="str">
        <f>VLOOKUP(Table8[[#This Row],[Mã khách hàng]],'Khách hàng'!A:E,5,0)</f>
        <v>HC-CT120</v>
      </c>
    </row>
    <row r="4092" spans="1:9" x14ac:dyDescent="0.25">
      <c r="A4092" s="14" t="s">
        <v>13441</v>
      </c>
      <c r="B4092" s="15" t="s">
        <v>5</v>
      </c>
      <c r="C4092" s="16" t="s">
        <v>14567</v>
      </c>
      <c r="D4092" s="21"/>
      <c r="E4092" s="32" t="s">
        <v>15669</v>
      </c>
      <c r="F4092" s="22" t="str">
        <f>VLOOKUP(Table8[[#This Row],[Mã khách hàng]],code_khach_hang[],2,0)</f>
        <v>CHI NHÁNH CẦN THƠ - CÔNG TY CỔ PHẦN DỊCH VỤ THƯƠNG MẠI TỔNG HỢP WINCOMMERCE</v>
      </c>
      <c r="G4092" s="16" t="str">
        <f>VLOOKUP(Table8[[#This Row],[Mã khách hàng]],code_khach_hang[],3,0)</f>
        <v>Miền Nam đặc biệt 2</v>
      </c>
      <c r="H4092" t="str">
        <f>VLOOKUP(Table8[[#This Row],[Mã khách hàng]],'Khách hàng'!A:D,4,0)</f>
        <v>Food Đức Việt</v>
      </c>
      <c r="I4092" t="str">
        <f>VLOOKUP(Table8[[#This Row],[Mã khách hàng]],'Khách hàng'!A:E,5,0)</f>
        <v>HC-CT120</v>
      </c>
    </row>
    <row r="4093" spans="1:9" x14ac:dyDescent="0.25">
      <c r="A4093" s="14" t="s">
        <v>13442</v>
      </c>
      <c r="B4093" s="15" t="s">
        <v>5</v>
      </c>
      <c r="C4093" s="16" t="s">
        <v>14568</v>
      </c>
      <c r="D4093" s="21"/>
      <c r="E4093" s="32" t="s">
        <v>15668</v>
      </c>
      <c r="F4093" s="22" t="str">
        <f>VLOOKUP(Table8[[#This Row],[Mã khách hàng]],code_khach_hang[],2,0)</f>
        <v>CHI NHÁNH ĐỒNG NAI - CÔNG TY CỔ PHẦN DỊCH VỤ THƯƠNG MẠI TỔNG HỢP WINCOMMERCE</v>
      </c>
      <c r="G4093" s="16" t="str">
        <f>VLOOKUP(Table8[[#This Row],[Mã khách hàng]],code_khach_hang[],3,0)</f>
        <v>Miền Nam đặc biệt 3</v>
      </c>
      <c r="H4093" t="str">
        <f>VLOOKUP(Table8[[#This Row],[Mã khách hàng]],'Khách hàng'!A:D,4,0)</f>
        <v>Food Đức Việt</v>
      </c>
      <c r="I4093" t="str">
        <f>VLOOKUP(Table8[[#This Row],[Mã khách hàng]],'Khách hàng'!A:E,5,0)</f>
        <v>HCVG80</v>
      </c>
    </row>
    <row r="4094" spans="1:9" x14ac:dyDescent="0.25">
      <c r="A4094" s="14" t="s">
        <v>13443</v>
      </c>
      <c r="B4094" s="15" t="s">
        <v>5</v>
      </c>
      <c r="C4094" s="16" t="s">
        <v>14569</v>
      </c>
      <c r="D4094" s="21"/>
      <c r="E4094" s="32" t="s">
        <v>15667</v>
      </c>
      <c r="F4094" s="22" t="str">
        <f>VLOOKUP(Table8[[#This Row],[Mã khách hàng]],code_khach_hang[],2,0)</f>
        <v>CÔNG TY CỔ PHẦN DỊCH VỤ THƯƠNG MẠI TỔNG HỢP WINCOMMERCE</v>
      </c>
      <c r="G4094" s="16" t="str">
        <f>VLOOKUP(Table8[[#This Row],[Mã khách hàng]],code_khach_hang[],3,0)</f>
        <v>Miền Nam đặc biệt 1</v>
      </c>
      <c r="H4094" t="str">
        <f>VLOOKUP(Table8[[#This Row],[Mã khách hàng]],'Khách hàng'!A:D,4,0)</f>
        <v>Food Đức Việt</v>
      </c>
      <c r="I4094" t="str">
        <f>VLOOKUP(Table8[[#This Row],[Mã khách hàng]],'Khách hàng'!A:E,5,0)</f>
        <v>HCVG80</v>
      </c>
    </row>
    <row r="4095" spans="1:9" x14ac:dyDescent="0.25">
      <c r="A4095" s="14" t="s">
        <v>13444</v>
      </c>
      <c r="B4095" s="15" t="s">
        <v>5</v>
      </c>
      <c r="C4095" s="16" t="s">
        <v>14570</v>
      </c>
      <c r="D4095" s="21"/>
      <c r="E4095" s="32" t="s">
        <v>15667</v>
      </c>
      <c r="F4095" s="22" t="str">
        <f>VLOOKUP(Table8[[#This Row],[Mã khách hàng]],code_khach_hang[],2,0)</f>
        <v>CÔNG TY CỔ PHẦN DỊCH VỤ THƯƠNG MẠI TỔNG HỢP WINCOMMERCE</v>
      </c>
      <c r="G4095" s="16" t="str">
        <f>VLOOKUP(Table8[[#This Row],[Mã khách hàng]],code_khach_hang[],3,0)</f>
        <v>Miền Nam đặc biệt 1</v>
      </c>
      <c r="H4095" t="str">
        <f>VLOOKUP(Table8[[#This Row],[Mã khách hàng]],'Khách hàng'!A:D,4,0)</f>
        <v>Food Đức Việt</v>
      </c>
      <c r="I4095" t="str">
        <f>VLOOKUP(Table8[[#This Row],[Mã khách hàng]],'Khách hàng'!A:E,5,0)</f>
        <v>HCVG80</v>
      </c>
    </row>
    <row r="4096" spans="1:9" x14ac:dyDescent="0.25">
      <c r="A4096" s="14" t="s">
        <v>13445</v>
      </c>
      <c r="B4096" s="15" t="s">
        <v>5</v>
      </c>
      <c r="C4096" s="16" t="s">
        <v>14571</v>
      </c>
      <c r="D4096" s="21"/>
      <c r="E4096" s="32" t="s">
        <v>15667</v>
      </c>
      <c r="F4096" s="22" t="str">
        <f>VLOOKUP(Table8[[#This Row],[Mã khách hàng]],code_khach_hang[],2,0)</f>
        <v>CÔNG TY CỔ PHẦN DỊCH VỤ THƯƠNG MẠI TỔNG HỢP WINCOMMERCE</v>
      </c>
      <c r="G4096" s="16" t="str">
        <f>VLOOKUP(Table8[[#This Row],[Mã khách hàng]],code_khach_hang[],3,0)</f>
        <v>Miền Nam đặc biệt 1</v>
      </c>
      <c r="H4096" t="str">
        <f>VLOOKUP(Table8[[#This Row],[Mã khách hàng]],'Khách hàng'!A:D,4,0)</f>
        <v>Food Đức Việt</v>
      </c>
      <c r="I4096" t="str">
        <f>VLOOKUP(Table8[[#This Row],[Mã khách hàng]],'Khách hàng'!A:E,5,0)</f>
        <v>HCVG80</v>
      </c>
    </row>
    <row r="4097" spans="1:9" x14ac:dyDescent="0.25">
      <c r="A4097" s="14" t="s">
        <v>13446</v>
      </c>
      <c r="B4097" s="15" t="s">
        <v>5</v>
      </c>
      <c r="C4097" s="16" t="s">
        <v>14572</v>
      </c>
      <c r="D4097" s="21"/>
      <c r="E4097" s="32" t="s">
        <v>15667</v>
      </c>
      <c r="F4097" s="22" t="str">
        <f>VLOOKUP(Table8[[#This Row],[Mã khách hàng]],code_khach_hang[],2,0)</f>
        <v>CÔNG TY CỔ PHẦN DỊCH VỤ THƯƠNG MẠI TỔNG HỢP WINCOMMERCE</v>
      </c>
      <c r="G4097" s="16" t="str">
        <f>VLOOKUP(Table8[[#This Row],[Mã khách hàng]],code_khach_hang[],3,0)</f>
        <v>Miền Nam đặc biệt 1</v>
      </c>
      <c r="H4097" t="str">
        <f>VLOOKUP(Table8[[#This Row],[Mã khách hàng]],'Khách hàng'!A:D,4,0)</f>
        <v>Food Đức Việt</v>
      </c>
      <c r="I4097" t="str">
        <f>VLOOKUP(Table8[[#This Row],[Mã khách hàng]],'Khách hàng'!A:E,5,0)</f>
        <v>HCVG80</v>
      </c>
    </row>
    <row r="4098" spans="1:9" x14ac:dyDescent="0.25">
      <c r="A4098" s="14" t="s">
        <v>13447</v>
      </c>
      <c r="B4098" s="15" t="s">
        <v>5</v>
      </c>
      <c r="C4098" s="16" t="s">
        <v>14573</v>
      </c>
      <c r="D4098" s="21"/>
      <c r="E4098" s="32" t="s">
        <v>15667</v>
      </c>
      <c r="F4098" s="22" t="str">
        <f>VLOOKUP(Table8[[#This Row],[Mã khách hàng]],code_khach_hang[],2,0)</f>
        <v>CÔNG TY CỔ PHẦN DỊCH VỤ THƯƠNG MẠI TỔNG HỢP WINCOMMERCE</v>
      </c>
      <c r="G4098" s="16" t="str">
        <f>VLOOKUP(Table8[[#This Row],[Mã khách hàng]],code_khach_hang[],3,0)</f>
        <v>Miền Nam đặc biệt 1</v>
      </c>
      <c r="H4098" t="str">
        <f>VLOOKUP(Table8[[#This Row],[Mã khách hàng]],'Khách hàng'!A:D,4,0)</f>
        <v>Food Đức Việt</v>
      </c>
      <c r="I4098" t="str">
        <f>VLOOKUP(Table8[[#This Row],[Mã khách hàng]],'Khách hàng'!A:E,5,0)</f>
        <v>HCVG80</v>
      </c>
    </row>
    <row r="4099" spans="1:9" x14ac:dyDescent="0.25">
      <c r="A4099" s="14" t="s">
        <v>13448</v>
      </c>
      <c r="B4099" s="15" t="s">
        <v>5</v>
      </c>
      <c r="C4099" s="16" t="s">
        <v>14574</v>
      </c>
      <c r="D4099" s="21"/>
      <c r="E4099" s="32" t="s">
        <v>15668</v>
      </c>
      <c r="F4099" s="22" t="str">
        <f>VLOOKUP(Table8[[#This Row],[Mã khách hàng]],code_khach_hang[],2,0)</f>
        <v>CHI NHÁNH ĐỒNG NAI - CÔNG TY CỔ PHẦN DỊCH VỤ THƯƠNG MẠI TỔNG HỢP WINCOMMERCE</v>
      </c>
      <c r="G4099" s="16" t="str">
        <f>VLOOKUP(Table8[[#This Row],[Mã khách hàng]],code_khach_hang[],3,0)</f>
        <v>Miền Nam đặc biệt 3</v>
      </c>
      <c r="H4099" t="str">
        <f>VLOOKUP(Table8[[#This Row],[Mã khách hàng]],'Khách hàng'!A:D,4,0)</f>
        <v>Food Đức Việt</v>
      </c>
      <c r="I4099" t="str">
        <f>VLOOKUP(Table8[[#This Row],[Mã khách hàng]],'Khách hàng'!A:E,5,0)</f>
        <v>HCVG80</v>
      </c>
    </row>
    <row r="4100" spans="1:9" x14ac:dyDescent="0.25">
      <c r="A4100" s="14" t="s">
        <v>13449</v>
      </c>
      <c r="B4100" s="15" t="s">
        <v>5</v>
      </c>
      <c r="C4100" s="16" t="s">
        <v>14575</v>
      </c>
      <c r="D4100" s="21"/>
      <c r="E4100" s="32" t="s">
        <v>15667</v>
      </c>
      <c r="F4100" s="22" t="str">
        <f>VLOOKUP(Table8[[#This Row],[Mã khách hàng]],code_khach_hang[],2,0)</f>
        <v>CÔNG TY CỔ PHẦN DỊCH VỤ THƯƠNG MẠI TỔNG HỢP WINCOMMERCE</v>
      </c>
      <c r="G4100" s="16" t="str">
        <f>VLOOKUP(Table8[[#This Row],[Mã khách hàng]],code_khach_hang[],3,0)</f>
        <v>Miền Nam đặc biệt 1</v>
      </c>
      <c r="H4100" t="str">
        <f>VLOOKUP(Table8[[#This Row],[Mã khách hàng]],'Khách hàng'!A:D,4,0)</f>
        <v>Food Đức Việt</v>
      </c>
      <c r="I4100" t="str">
        <f>VLOOKUP(Table8[[#This Row],[Mã khách hàng]],'Khách hàng'!A:E,5,0)</f>
        <v>HCVG80</v>
      </c>
    </row>
    <row r="4101" spans="1:9" x14ac:dyDescent="0.25">
      <c r="A4101" s="14" t="s">
        <v>13450</v>
      </c>
      <c r="B4101" s="15" t="s">
        <v>5</v>
      </c>
      <c r="C4101" s="16" t="s">
        <v>14576</v>
      </c>
      <c r="D4101" s="21"/>
      <c r="E4101" s="32" t="s">
        <v>15669</v>
      </c>
      <c r="F4101" s="22" t="str">
        <f>VLOOKUP(Table8[[#This Row],[Mã khách hàng]],code_khach_hang[],2,0)</f>
        <v>CHI NHÁNH CẦN THƠ - CÔNG TY CỔ PHẦN DỊCH VỤ THƯƠNG MẠI TỔNG HỢP WINCOMMERCE</v>
      </c>
      <c r="G4101" s="16" t="str">
        <f>VLOOKUP(Table8[[#This Row],[Mã khách hàng]],code_khach_hang[],3,0)</f>
        <v>Miền Nam đặc biệt 2</v>
      </c>
      <c r="H4101" t="str">
        <f>VLOOKUP(Table8[[#This Row],[Mã khách hàng]],'Khách hàng'!A:D,4,0)</f>
        <v>Food Đức Việt</v>
      </c>
      <c r="I4101" t="str">
        <f>VLOOKUP(Table8[[#This Row],[Mã khách hàng]],'Khách hàng'!A:E,5,0)</f>
        <v>HC-CT120</v>
      </c>
    </row>
    <row r="4102" spans="1:9" x14ac:dyDescent="0.25">
      <c r="A4102" s="14" t="s">
        <v>13451</v>
      </c>
      <c r="B4102" s="15" t="s">
        <v>5</v>
      </c>
      <c r="C4102" s="16" t="s">
        <v>14577</v>
      </c>
      <c r="D4102" s="21"/>
      <c r="E4102" s="32" t="s">
        <v>15667</v>
      </c>
      <c r="F4102" s="22" t="str">
        <f>VLOOKUP(Table8[[#This Row],[Mã khách hàng]],code_khach_hang[],2,0)</f>
        <v>CÔNG TY CỔ PHẦN DỊCH VỤ THƯƠNG MẠI TỔNG HỢP WINCOMMERCE</v>
      </c>
      <c r="G4102" s="16" t="str">
        <f>VLOOKUP(Table8[[#This Row],[Mã khách hàng]],code_khach_hang[],3,0)</f>
        <v>Miền Nam đặc biệt 1</v>
      </c>
      <c r="H4102" t="str">
        <f>VLOOKUP(Table8[[#This Row],[Mã khách hàng]],'Khách hàng'!A:D,4,0)</f>
        <v>Food Đức Việt</v>
      </c>
      <c r="I4102" t="str">
        <f>VLOOKUP(Table8[[#This Row],[Mã khách hàng]],'Khách hàng'!A:E,5,0)</f>
        <v>HCVG80</v>
      </c>
    </row>
    <row r="4103" spans="1:9" x14ac:dyDescent="0.25">
      <c r="A4103" s="14" t="s">
        <v>13452</v>
      </c>
      <c r="B4103" s="15" t="s">
        <v>5</v>
      </c>
      <c r="C4103" s="16" t="s">
        <v>14578</v>
      </c>
      <c r="D4103" s="21"/>
      <c r="E4103" s="32" t="s">
        <v>15667</v>
      </c>
      <c r="F4103" s="22" t="str">
        <f>VLOOKUP(Table8[[#This Row],[Mã khách hàng]],code_khach_hang[],2,0)</f>
        <v>CÔNG TY CỔ PHẦN DỊCH VỤ THƯƠNG MẠI TỔNG HỢP WINCOMMERCE</v>
      </c>
      <c r="G4103" s="16" t="str">
        <f>VLOOKUP(Table8[[#This Row],[Mã khách hàng]],code_khach_hang[],3,0)</f>
        <v>Miền Nam đặc biệt 1</v>
      </c>
      <c r="H4103" t="str">
        <f>VLOOKUP(Table8[[#This Row],[Mã khách hàng]],'Khách hàng'!A:D,4,0)</f>
        <v>Food Đức Việt</v>
      </c>
      <c r="I4103" t="str">
        <f>VLOOKUP(Table8[[#This Row],[Mã khách hàng]],'Khách hàng'!A:E,5,0)</f>
        <v>HCVG80</v>
      </c>
    </row>
    <row r="4104" spans="1:9" x14ac:dyDescent="0.25">
      <c r="A4104" s="14" t="s">
        <v>13453</v>
      </c>
      <c r="B4104" s="15" t="s">
        <v>5</v>
      </c>
      <c r="C4104" s="16" t="s">
        <v>14579</v>
      </c>
      <c r="D4104" s="21"/>
      <c r="E4104" s="32" t="s">
        <v>15667</v>
      </c>
      <c r="F4104" s="22" t="str">
        <f>VLOOKUP(Table8[[#This Row],[Mã khách hàng]],code_khach_hang[],2,0)</f>
        <v>CÔNG TY CỔ PHẦN DỊCH VỤ THƯƠNG MẠI TỔNG HỢP WINCOMMERCE</v>
      </c>
      <c r="G4104" s="16" t="str">
        <f>VLOOKUP(Table8[[#This Row],[Mã khách hàng]],code_khach_hang[],3,0)</f>
        <v>Miền Nam đặc biệt 1</v>
      </c>
      <c r="H4104" t="str">
        <f>VLOOKUP(Table8[[#This Row],[Mã khách hàng]],'Khách hàng'!A:D,4,0)</f>
        <v>Food Đức Việt</v>
      </c>
      <c r="I4104" t="str">
        <f>VLOOKUP(Table8[[#This Row],[Mã khách hàng]],'Khách hàng'!A:E,5,0)</f>
        <v>HCVG80</v>
      </c>
    </row>
    <row r="4105" spans="1:9" x14ac:dyDescent="0.25">
      <c r="A4105" s="14" t="s">
        <v>13454</v>
      </c>
      <c r="B4105" s="15" t="s">
        <v>5</v>
      </c>
      <c r="C4105" s="16" t="s">
        <v>14580</v>
      </c>
      <c r="D4105" s="21"/>
      <c r="E4105" s="32" t="s">
        <v>15667</v>
      </c>
      <c r="F4105" s="22" t="str">
        <f>VLOOKUP(Table8[[#This Row],[Mã khách hàng]],code_khach_hang[],2,0)</f>
        <v>CÔNG TY CỔ PHẦN DỊCH VỤ THƯƠNG MẠI TỔNG HỢP WINCOMMERCE</v>
      </c>
      <c r="G4105" s="16" t="str">
        <f>VLOOKUP(Table8[[#This Row],[Mã khách hàng]],code_khach_hang[],3,0)</f>
        <v>Miền Nam đặc biệt 1</v>
      </c>
      <c r="H4105" t="str">
        <f>VLOOKUP(Table8[[#This Row],[Mã khách hàng]],'Khách hàng'!A:D,4,0)</f>
        <v>Food Đức Việt</v>
      </c>
      <c r="I4105" t="str">
        <f>VLOOKUP(Table8[[#This Row],[Mã khách hàng]],'Khách hàng'!A:E,5,0)</f>
        <v>HCVG80</v>
      </c>
    </row>
    <row r="4106" spans="1:9" x14ac:dyDescent="0.25">
      <c r="A4106" s="14" t="s">
        <v>13455</v>
      </c>
      <c r="B4106" s="15" t="s">
        <v>5</v>
      </c>
      <c r="C4106" s="16" t="s">
        <v>14581</v>
      </c>
      <c r="D4106" s="21"/>
      <c r="E4106" s="32" t="s">
        <v>15667</v>
      </c>
      <c r="F4106" s="22" t="str">
        <f>VLOOKUP(Table8[[#This Row],[Mã khách hàng]],code_khach_hang[],2,0)</f>
        <v>CÔNG TY CỔ PHẦN DỊCH VỤ THƯƠNG MẠI TỔNG HỢP WINCOMMERCE</v>
      </c>
      <c r="G4106" s="16" t="str">
        <f>VLOOKUP(Table8[[#This Row],[Mã khách hàng]],code_khach_hang[],3,0)</f>
        <v>Miền Nam đặc biệt 1</v>
      </c>
      <c r="H4106" t="str">
        <f>VLOOKUP(Table8[[#This Row],[Mã khách hàng]],'Khách hàng'!A:D,4,0)</f>
        <v>Food Đức Việt</v>
      </c>
      <c r="I4106" t="str">
        <f>VLOOKUP(Table8[[#This Row],[Mã khách hàng]],'Khách hàng'!A:E,5,0)</f>
        <v>HCVG80</v>
      </c>
    </row>
    <row r="4107" spans="1:9" x14ac:dyDescent="0.25">
      <c r="A4107" s="14" t="s">
        <v>13456</v>
      </c>
      <c r="B4107" s="15" t="s">
        <v>5</v>
      </c>
      <c r="C4107" s="16" t="s">
        <v>14582</v>
      </c>
      <c r="D4107" s="21"/>
      <c r="E4107" s="32" t="s">
        <v>15667</v>
      </c>
      <c r="F4107" s="22" t="str">
        <f>VLOOKUP(Table8[[#This Row],[Mã khách hàng]],code_khach_hang[],2,0)</f>
        <v>CÔNG TY CỔ PHẦN DỊCH VỤ THƯƠNG MẠI TỔNG HỢP WINCOMMERCE</v>
      </c>
      <c r="G4107" s="16" t="str">
        <f>VLOOKUP(Table8[[#This Row],[Mã khách hàng]],code_khach_hang[],3,0)</f>
        <v>Miền Nam đặc biệt 1</v>
      </c>
      <c r="H4107" t="str">
        <f>VLOOKUP(Table8[[#This Row],[Mã khách hàng]],'Khách hàng'!A:D,4,0)</f>
        <v>Food Đức Việt</v>
      </c>
      <c r="I4107" t="str">
        <f>VLOOKUP(Table8[[#This Row],[Mã khách hàng]],'Khách hàng'!A:E,5,0)</f>
        <v>HCVG80</v>
      </c>
    </row>
    <row r="4108" spans="1:9" x14ac:dyDescent="0.25">
      <c r="A4108" s="14" t="s">
        <v>13457</v>
      </c>
      <c r="B4108" s="15" t="s">
        <v>5</v>
      </c>
      <c r="C4108" s="16" t="s">
        <v>14583</v>
      </c>
      <c r="D4108" s="21"/>
      <c r="E4108" s="32" t="s">
        <v>15667</v>
      </c>
      <c r="F4108" s="22" t="str">
        <f>VLOOKUP(Table8[[#This Row],[Mã khách hàng]],code_khach_hang[],2,0)</f>
        <v>CÔNG TY CỔ PHẦN DỊCH VỤ THƯƠNG MẠI TỔNG HỢP WINCOMMERCE</v>
      </c>
      <c r="G4108" s="16" t="str">
        <f>VLOOKUP(Table8[[#This Row],[Mã khách hàng]],code_khach_hang[],3,0)</f>
        <v>Miền Nam đặc biệt 1</v>
      </c>
      <c r="H4108" t="str">
        <f>VLOOKUP(Table8[[#This Row],[Mã khách hàng]],'Khách hàng'!A:D,4,0)</f>
        <v>Food Đức Việt</v>
      </c>
      <c r="I4108" t="str">
        <f>VLOOKUP(Table8[[#This Row],[Mã khách hàng]],'Khách hàng'!A:E,5,0)</f>
        <v>HCVG80</v>
      </c>
    </row>
    <row r="4109" spans="1:9" x14ac:dyDescent="0.25">
      <c r="A4109" s="14" t="s">
        <v>13458</v>
      </c>
      <c r="B4109" s="15" t="s">
        <v>5</v>
      </c>
      <c r="C4109" s="16" t="s">
        <v>14584</v>
      </c>
      <c r="D4109" s="21"/>
      <c r="E4109" s="32" t="s">
        <v>15667</v>
      </c>
      <c r="F4109" s="22" t="str">
        <f>VLOOKUP(Table8[[#This Row],[Mã khách hàng]],code_khach_hang[],2,0)</f>
        <v>CÔNG TY CỔ PHẦN DỊCH VỤ THƯƠNG MẠI TỔNG HỢP WINCOMMERCE</v>
      </c>
      <c r="G4109" s="16" t="str">
        <f>VLOOKUP(Table8[[#This Row],[Mã khách hàng]],code_khach_hang[],3,0)</f>
        <v>Miền Nam đặc biệt 1</v>
      </c>
      <c r="H4109" t="str">
        <f>VLOOKUP(Table8[[#This Row],[Mã khách hàng]],'Khách hàng'!A:D,4,0)</f>
        <v>Food Đức Việt</v>
      </c>
      <c r="I4109" t="str">
        <f>VLOOKUP(Table8[[#This Row],[Mã khách hàng]],'Khách hàng'!A:E,5,0)</f>
        <v>HCVG80</v>
      </c>
    </row>
    <row r="4110" spans="1:9" x14ac:dyDescent="0.25">
      <c r="A4110" s="14" t="s">
        <v>13459</v>
      </c>
      <c r="B4110" s="15" t="s">
        <v>5</v>
      </c>
      <c r="C4110" s="16" t="s">
        <v>14585</v>
      </c>
      <c r="D4110" s="21"/>
      <c r="E4110" s="32" t="s">
        <v>15667</v>
      </c>
      <c r="F4110" s="22" t="str">
        <f>VLOOKUP(Table8[[#This Row],[Mã khách hàng]],code_khach_hang[],2,0)</f>
        <v>CÔNG TY CỔ PHẦN DỊCH VỤ THƯƠNG MẠI TỔNG HỢP WINCOMMERCE</v>
      </c>
      <c r="G4110" s="16" t="str">
        <f>VLOOKUP(Table8[[#This Row],[Mã khách hàng]],code_khach_hang[],3,0)</f>
        <v>Miền Nam đặc biệt 1</v>
      </c>
      <c r="H4110" t="str">
        <f>VLOOKUP(Table8[[#This Row],[Mã khách hàng]],'Khách hàng'!A:D,4,0)</f>
        <v>Food Đức Việt</v>
      </c>
      <c r="I4110" t="str">
        <f>VLOOKUP(Table8[[#This Row],[Mã khách hàng]],'Khách hàng'!A:E,5,0)</f>
        <v>HCVG80</v>
      </c>
    </row>
    <row r="4111" spans="1:9" x14ac:dyDescent="0.25">
      <c r="A4111" s="14" t="s">
        <v>13460</v>
      </c>
      <c r="B4111" s="15" t="s">
        <v>5</v>
      </c>
      <c r="C4111" s="16" t="s">
        <v>14586</v>
      </c>
      <c r="D4111" s="21"/>
      <c r="E4111" s="32" t="s">
        <v>15667</v>
      </c>
      <c r="F4111" s="22" t="str">
        <f>VLOOKUP(Table8[[#This Row],[Mã khách hàng]],code_khach_hang[],2,0)</f>
        <v>CÔNG TY CỔ PHẦN DỊCH VỤ THƯƠNG MẠI TỔNG HỢP WINCOMMERCE</v>
      </c>
      <c r="G4111" s="16" t="str">
        <f>VLOOKUP(Table8[[#This Row],[Mã khách hàng]],code_khach_hang[],3,0)</f>
        <v>Miền Nam đặc biệt 1</v>
      </c>
      <c r="H4111" t="str">
        <f>VLOOKUP(Table8[[#This Row],[Mã khách hàng]],'Khách hàng'!A:D,4,0)</f>
        <v>Food Đức Việt</v>
      </c>
      <c r="I4111" t="str">
        <f>VLOOKUP(Table8[[#This Row],[Mã khách hàng]],'Khách hàng'!A:E,5,0)</f>
        <v>HCVG80</v>
      </c>
    </row>
    <row r="4112" spans="1:9" x14ac:dyDescent="0.25">
      <c r="A4112" s="14" t="s">
        <v>13461</v>
      </c>
      <c r="B4112" s="15" t="s">
        <v>5</v>
      </c>
      <c r="C4112" s="16" t="s">
        <v>14587</v>
      </c>
      <c r="D4112" s="21"/>
      <c r="E4112" s="32" t="s">
        <v>15667</v>
      </c>
      <c r="F4112" s="22" t="str">
        <f>VLOOKUP(Table8[[#This Row],[Mã khách hàng]],code_khach_hang[],2,0)</f>
        <v>CÔNG TY CỔ PHẦN DỊCH VỤ THƯƠNG MẠI TỔNG HỢP WINCOMMERCE</v>
      </c>
      <c r="G4112" s="16" t="str">
        <f>VLOOKUP(Table8[[#This Row],[Mã khách hàng]],code_khach_hang[],3,0)</f>
        <v>Miền Nam đặc biệt 1</v>
      </c>
      <c r="H4112" t="str">
        <f>VLOOKUP(Table8[[#This Row],[Mã khách hàng]],'Khách hàng'!A:D,4,0)</f>
        <v>Food Đức Việt</v>
      </c>
      <c r="I4112" t="str">
        <f>VLOOKUP(Table8[[#This Row],[Mã khách hàng]],'Khách hàng'!A:E,5,0)</f>
        <v>HCVG80</v>
      </c>
    </row>
    <row r="4113" spans="1:9" x14ac:dyDescent="0.25">
      <c r="A4113" s="14" t="s">
        <v>13462</v>
      </c>
      <c r="B4113" s="15" t="s">
        <v>5</v>
      </c>
      <c r="C4113" s="16" t="s">
        <v>14588</v>
      </c>
      <c r="D4113" s="21"/>
      <c r="E4113" s="32" t="s">
        <v>15669</v>
      </c>
      <c r="F4113" s="22" t="str">
        <f>VLOOKUP(Table8[[#This Row],[Mã khách hàng]],code_khach_hang[],2,0)</f>
        <v>CHI NHÁNH CẦN THƠ - CÔNG TY CỔ PHẦN DỊCH VỤ THƯƠNG MẠI TỔNG HỢP WINCOMMERCE</v>
      </c>
      <c r="G4113" s="16" t="str">
        <f>VLOOKUP(Table8[[#This Row],[Mã khách hàng]],code_khach_hang[],3,0)</f>
        <v>Miền Nam đặc biệt 2</v>
      </c>
      <c r="H4113" t="str">
        <f>VLOOKUP(Table8[[#This Row],[Mã khách hàng]],'Khách hàng'!A:D,4,0)</f>
        <v>Food Đức Việt</v>
      </c>
      <c r="I4113" t="str">
        <f>VLOOKUP(Table8[[#This Row],[Mã khách hàng]],'Khách hàng'!A:E,5,0)</f>
        <v>HC-CT120</v>
      </c>
    </row>
    <row r="4114" spans="1:9" x14ac:dyDescent="0.25">
      <c r="A4114" s="14" t="s">
        <v>13463</v>
      </c>
      <c r="B4114" s="15" t="s">
        <v>5</v>
      </c>
      <c r="C4114" s="16" t="s">
        <v>14589</v>
      </c>
      <c r="D4114" s="21"/>
      <c r="E4114" s="32" t="s">
        <v>15669</v>
      </c>
      <c r="F4114" s="22" t="str">
        <f>VLOOKUP(Table8[[#This Row],[Mã khách hàng]],code_khach_hang[],2,0)</f>
        <v>CHI NHÁNH CẦN THƠ - CÔNG TY CỔ PHẦN DỊCH VỤ THƯƠNG MẠI TỔNG HỢP WINCOMMERCE</v>
      </c>
      <c r="G4114" s="16" t="str">
        <f>VLOOKUP(Table8[[#This Row],[Mã khách hàng]],code_khach_hang[],3,0)</f>
        <v>Miền Nam đặc biệt 2</v>
      </c>
      <c r="H4114" t="str">
        <f>VLOOKUP(Table8[[#This Row],[Mã khách hàng]],'Khách hàng'!A:D,4,0)</f>
        <v>Food Đức Việt</v>
      </c>
      <c r="I4114" t="str">
        <f>VLOOKUP(Table8[[#This Row],[Mã khách hàng]],'Khách hàng'!A:E,5,0)</f>
        <v>HC-CT120</v>
      </c>
    </row>
    <row r="4115" spans="1:9" x14ac:dyDescent="0.25">
      <c r="A4115" s="14" t="s">
        <v>13464</v>
      </c>
      <c r="B4115" s="15" t="s">
        <v>5</v>
      </c>
      <c r="C4115" s="16" t="s">
        <v>14590</v>
      </c>
      <c r="D4115" s="21"/>
      <c r="E4115" s="32" t="s">
        <v>15668</v>
      </c>
      <c r="F4115" s="22" t="str">
        <f>VLOOKUP(Table8[[#This Row],[Mã khách hàng]],code_khach_hang[],2,0)</f>
        <v>CHI NHÁNH ĐỒNG NAI - CÔNG TY CỔ PHẦN DỊCH VỤ THƯƠNG MẠI TỔNG HỢP WINCOMMERCE</v>
      </c>
      <c r="G4115" s="16" t="str">
        <f>VLOOKUP(Table8[[#This Row],[Mã khách hàng]],code_khach_hang[],3,0)</f>
        <v>Miền Nam đặc biệt 3</v>
      </c>
      <c r="H4115" t="str">
        <f>VLOOKUP(Table8[[#This Row],[Mã khách hàng]],'Khách hàng'!A:D,4,0)</f>
        <v>Food Đức Việt</v>
      </c>
      <c r="I4115" t="str">
        <f>VLOOKUP(Table8[[#This Row],[Mã khách hàng]],'Khách hàng'!A:E,5,0)</f>
        <v>HCVG80</v>
      </c>
    </row>
    <row r="4116" spans="1:9" x14ac:dyDescent="0.25">
      <c r="A4116" s="14" t="s">
        <v>13465</v>
      </c>
      <c r="B4116" s="15" t="s">
        <v>5</v>
      </c>
      <c r="C4116" s="16" t="s">
        <v>14591</v>
      </c>
      <c r="D4116" s="21"/>
      <c r="E4116" s="32" t="s">
        <v>15667</v>
      </c>
      <c r="F4116" s="22" t="str">
        <f>VLOOKUP(Table8[[#This Row],[Mã khách hàng]],code_khach_hang[],2,0)</f>
        <v>CÔNG TY CỔ PHẦN DỊCH VỤ THƯƠNG MẠI TỔNG HỢP WINCOMMERCE</v>
      </c>
      <c r="G4116" s="16" t="str">
        <f>VLOOKUP(Table8[[#This Row],[Mã khách hàng]],code_khach_hang[],3,0)</f>
        <v>Miền Nam đặc biệt 1</v>
      </c>
      <c r="H4116" t="str">
        <f>VLOOKUP(Table8[[#This Row],[Mã khách hàng]],'Khách hàng'!A:D,4,0)</f>
        <v>Food Đức Việt</v>
      </c>
      <c r="I4116" t="str">
        <f>VLOOKUP(Table8[[#This Row],[Mã khách hàng]],'Khách hàng'!A:E,5,0)</f>
        <v>HCVG80</v>
      </c>
    </row>
    <row r="4117" spans="1:9" x14ac:dyDescent="0.25">
      <c r="A4117" s="14" t="s">
        <v>13466</v>
      </c>
      <c r="B4117" s="15" t="s">
        <v>5</v>
      </c>
      <c r="C4117" s="16" t="s">
        <v>14592</v>
      </c>
      <c r="D4117" s="21"/>
      <c r="E4117" s="32" t="s">
        <v>15669</v>
      </c>
      <c r="F4117" s="22" t="str">
        <f>VLOOKUP(Table8[[#This Row],[Mã khách hàng]],code_khach_hang[],2,0)</f>
        <v>CHI NHÁNH CẦN THƠ - CÔNG TY CỔ PHẦN DỊCH VỤ THƯƠNG MẠI TỔNG HỢP WINCOMMERCE</v>
      </c>
      <c r="G4117" s="16" t="str">
        <f>VLOOKUP(Table8[[#This Row],[Mã khách hàng]],code_khach_hang[],3,0)</f>
        <v>Miền Nam đặc biệt 2</v>
      </c>
      <c r="H4117" t="str">
        <f>VLOOKUP(Table8[[#This Row],[Mã khách hàng]],'Khách hàng'!A:D,4,0)</f>
        <v>Food Đức Việt</v>
      </c>
      <c r="I4117" t="str">
        <f>VLOOKUP(Table8[[#This Row],[Mã khách hàng]],'Khách hàng'!A:E,5,0)</f>
        <v>HC-CT120</v>
      </c>
    </row>
    <row r="4118" spans="1:9" x14ac:dyDescent="0.25">
      <c r="A4118" s="14" t="s">
        <v>13467</v>
      </c>
      <c r="B4118" s="15" t="s">
        <v>5</v>
      </c>
      <c r="C4118" s="16" t="s">
        <v>14593</v>
      </c>
      <c r="D4118" s="21"/>
      <c r="E4118" s="32" t="s">
        <v>15667</v>
      </c>
      <c r="F4118" s="22" t="str">
        <f>VLOOKUP(Table8[[#This Row],[Mã khách hàng]],code_khach_hang[],2,0)</f>
        <v>CÔNG TY CỔ PHẦN DỊCH VỤ THƯƠNG MẠI TỔNG HỢP WINCOMMERCE</v>
      </c>
      <c r="G4118" s="16" t="str">
        <f>VLOOKUP(Table8[[#This Row],[Mã khách hàng]],code_khach_hang[],3,0)</f>
        <v>Miền Nam đặc biệt 1</v>
      </c>
      <c r="H4118" t="str">
        <f>VLOOKUP(Table8[[#This Row],[Mã khách hàng]],'Khách hàng'!A:D,4,0)</f>
        <v>Food Đức Việt</v>
      </c>
      <c r="I4118" t="str">
        <f>VLOOKUP(Table8[[#This Row],[Mã khách hàng]],'Khách hàng'!A:E,5,0)</f>
        <v>HCVG80</v>
      </c>
    </row>
    <row r="4119" spans="1:9" x14ac:dyDescent="0.25">
      <c r="A4119" s="14" t="s">
        <v>13468</v>
      </c>
      <c r="B4119" s="15" t="s">
        <v>5</v>
      </c>
      <c r="C4119" s="16" t="s">
        <v>14594</v>
      </c>
      <c r="D4119" s="21"/>
      <c r="E4119" s="32" t="s">
        <v>15667</v>
      </c>
      <c r="F4119" s="22" t="str">
        <f>VLOOKUP(Table8[[#This Row],[Mã khách hàng]],code_khach_hang[],2,0)</f>
        <v>CÔNG TY CỔ PHẦN DỊCH VỤ THƯƠNG MẠI TỔNG HỢP WINCOMMERCE</v>
      </c>
      <c r="G4119" s="16" t="str">
        <f>VLOOKUP(Table8[[#This Row],[Mã khách hàng]],code_khach_hang[],3,0)</f>
        <v>Miền Nam đặc biệt 1</v>
      </c>
      <c r="H4119" t="str">
        <f>VLOOKUP(Table8[[#This Row],[Mã khách hàng]],'Khách hàng'!A:D,4,0)</f>
        <v>Food Đức Việt</v>
      </c>
      <c r="I4119" t="str">
        <f>VLOOKUP(Table8[[#This Row],[Mã khách hàng]],'Khách hàng'!A:E,5,0)</f>
        <v>HCVG80</v>
      </c>
    </row>
    <row r="4120" spans="1:9" x14ac:dyDescent="0.25">
      <c r="A4120" s="14" t="s">
        <v>13469</v>
      </c>
      <c r="B4120" s="15" t="s">
        <v>5</v>
      </c>
      <c r="C4120" s="16" t="s">
        <v>14595</v>
      </c>
      <c r="D4120" s="21"/>
      <c r="E4120" s="32" t="s">
        <v>15670</v>
      </c>
      <c r="F4120" s="22" t="str">
        <f>VLOOKUP(Table8[[#This Row],[Mã khách hàng]],code_khach_hang[],2,0)</f>
        <v>CHI NHÁNH TIỀN GIANG - CÔNG TY CỔ PHẦN DỊCH VỤ THƯƠNG MẠI TỔNG HỢP WINCOMMERCE</v>
      </c>
      <c r="G4120" s="16" t="str">
        <f>VLOOKUP(Table8[[#This Row],[Mã khách hàng]],code_khach_hang[],3,0)</f>
        <v>Miền Nam đặc biệt 1</v>
      </c>
      <c r="H4120" t="str">
        <f>VLOOKUP(Table8[[#This Row],[Mã khách hàng]],'Khách hàng'!A:D,4,0)</f>
        <v>Food Đức Việt</v>
      </c>
      <c r="I4120" t="str">
        <f>VLOOKUP(Table8[[#This Row],[Mã khách hàng]],'Khách hàng'!A:E,5,0)</f>
        <v>HCVG80</v>
      </c>
    </row>
    <row r="4121" spans="1:9" x14ac:dyDescent="0.25">
      <c r="A4121" s="14" t="s">
        <v>13470</v>
      </c>
      <c r="B4121" s="15" t="s">
        <v>5</v>
      </c>
      <c r="C4121" s="16" t="s">
        <v>14596</v>
      </c>
      <c r="D4121" s="21"/>
      <c r="E4121" s="32" t="s">
        <v>15667</v>
      </c>
      <c r="F4121" s="22" t="str">
        <f>VLOOKUP(Table8[[#This Row],[Mã khách hàng]],code_khach_hang[],2,0)</f>
        <v>CÔNG TY CỔ PHẦN DỊCH VỤ THƯƠNG MẠI TỔNG HỢP WINCOMMERCE</v>
      </c>
      <c r="G4121" s="16" t="str">
        <f>VLOOKUP(Table8[[#This Row],[Mã khách hàng]],code_khach_hang[],3,0)</f>
        <v>Miền Nam đặc biệt 1</v>
      </c>
      <c r="H4121" t="str">
        <f>VLOOKUP(Table8[[#This Row],[Mã khách hàng]],'Khách hàng'!A:D,4,0)</f>
        <v>Food Đức Việt</v>
      </c>
      <c r="I4121" t="str">
        <f>VLOOKUP(Table8[[#This Row],[Mã khách hàng]],'Khách hàng'!A:E,5,0)</f>
        <v>HCVG80</v>
      </c>
    </row>
    <row r="4122" spans="1:9" x14ac:dyDescent="0.25">
      <c r="A4122" s="14" t="s">
        <v>13471</v>
      </c>
      <c r="B4122" s="15" t="s">
        <v>5</v>
      </c>
      <c r="C4122" s="16" t="s">
        <v>14597</v>
      </c>
      <c r="D4122" s="21"/>
      <c r="E4122" s="32" t="s">
        <v>15668</v>
      </c>
      <c r="F4122" s="22" t="str">
        <f>VLOOKUP(Table8[[#This Row],[Mã khách hàng]],code_khach_hang[],2,0)</f>
        <v>CHI NHÁNH ĐỒNG NAI - CÔNG TY CỔ PHẦN DỊCH VỤ THƯƠNG MẠI TỔNG HỢP WINCOMMERCE</v>
      </c>
      <c r="G4122" s="16" t="str">
        <f>VLOOKUP(Table8[[#This Row],[Mã khách hàng]],code_khach_hang[],3,0)</f>
        <v>Miền Nam đặc biệt 3</v>
      </c>
      <c r="H4122" t="str">
        <f>VLOOKUP(Table8[[#This Row],[Mã khách hàng]],'Khách hàng'!A:D,4,0)</f>
        <v>Food Đức Việt</v>
      </c>
      <c r="I4122" t="str">
        <f>VLOOKUP(Table8[[#This Row],[Mã khách hàng]],'Khách hàng'!A:E,5,0)</f>
        <v>HCVG80</v>
      </c>
    </row>
    <row r="4123" spans="1:9" x14ac:dyDescent="0.25">
      <c r="A4123" s="14" t="s">
        <v>13472</v>
      </c>
      <c r="B4123" s="15" t="s">
        <v>5</v>
      </c>
      <c r="C4123" s="16" t="s">
        <v>14598</v>
      </c>
      <c r="D4123" s="21"/>
      <c r="E4123" s="32" t="s">
        <v>15667</v>
      </c>
      <c r="F4123" s="22" t="str">
        <f>VLOOKUP(Table8[[#This Row],[Mã khách hàng]],code_khach_hang[],2,0)</f>
        <v>CÔNG TY CỔ PHẦN DỊCH VỤ THƯƠNG MẠI TỔNG HỢP WINCOMMERCE</v>
      </c>
      <c r="G4123" s="16" t="str">
        <f>VLOOKUP(Table8[[#This Row],[Mã khách hàng]],code_khach_hang[],3,0)</f>
        <v>Miền Nam đặc biệt 1</v>
      </c>
      <c r="H4123" t="str">
        <f>VLOOKUP(Table8[[#This Row],[Mã khách hàng]],'Khách hàng'!A:D,4,0)</f>
        <v>Food Đức Việt</v>
      </c>
      <c r="I4123" t="str">
        <f>VLOOKUP(Table8[[#This Row],[Mã khách hàng]],'Khách hàng'!A:E,5,0)</f>
        <v>HCVG80</v>
      </c>
    </row>
    <row r="4124" spans="1:9" x14ac:dyDescent="0.25">
      <c r="A4124" s="14" t="s">
        <v>13473</v>
      </c>
      <c r="B4124" s="15" t="s">
        <v>5</v>
      </c>
      <c r="C4124" s="16" t="s">
        <v>14599</v>
      </c>
      <c r="D4124" s="21"/>
      <c r="E4124" s="32" t="s">
        <v>15667</v>
      </c>
      <c r="F4124" s="22" t="str">
        <f>VLOOKUP(Table8[[#This Row],[Mã khách hàng]],code_khach_hang[],2,0)</f>
        <v>CÔNG TY CỔ PHẦN DỊCH VỤ THƯƠNG MẠI TỔNG HỢP WINCOMMERCE</v>
      </c>
      <c r="G4124" s="16" t="str">
        <f>VLOOKUP(Table8[[#This Row],[Mã khách hàng]],code_khach_hang[],3,0)</f>
        <v>Miền Nam đặc biệt 1</v>
      </c>
      <c r="H4124" t="str">
        <f>VLOOKUP(Table8[[#This Row],[Mã khách hàng]],'Khách hàng'!A:D,4,0)</f>
        <v>Food Đức Việt</v>
      </c>
      <c r="I4124" t="str">
        <f>VLOOKUP(Table8[[#This Row],[Mã khách hàng]],'Khách hàng'!A:E,5,0)</f>
        <v>HCVG80</v>
      </c>
    </row>
    <row r="4125" spans="1:9" x14ac:dyDescent="0.25">
      <c r="A4125" s="14" t="s">
        <v>13474</v>
      </c>
      <c r="B4125" s="15" t="s">
        <v>5</v>
      </c>
      <c r="C4125" s="16" t="s">
        <v>14600</v>
      </c>
      <c r="D4125" s="21"/>
      <c r="E4125" s="32" t="s">
        <v>15667</v>
      </c>
      <c r="F4125" s="22" t="str">
        <f>VLOOKUP(Table8[[#This Row],[Mã khách hàng]],code_khach_hang[],2,0)</f>
        <v>CÔNG TY CỔ PHẦN DỊCH VỤ THƯƠNG MẠI TỔNG HỢP WINCOMMERCE</v>
      </c>
      <c r="G4125" s="16" t="str">
        <f>VLOOKUP(Table8[[#This Row],[Mã khách hàng]],code_khach_hang[],3,0)</f>
        <v>Miền Nam đặc biệt 1</v>
      </c>
      <c r="H4125" t="str">
        <f>VLOOKUP(Table8[[#This Row],[Mã khách hàng]],'Khách hàng'!A:D,4,0)</f>
        <v>Food Đức Việt</v>
      </c>
      <c r="I4125" t="str">
        <f>VLOOKUP(Table8[[#This Row],[Mã khách hàng]],'Khách hàng'!A:E,5,0)</f>
        <v>HCVG80</v>
      </c>
    </row>
    <row r="4126" spans="1:9" x14ac:dyDescent="0.25">
      <c r="A4126" s="14" t="s">
        <v>13475</v>
      </c>
      <c r="B4126" s="15" t="s">
        <v>5</v>
      </c>
      <c r="C4126" s="16" t="s">
        <v>14601</v>
      </c>
      <c r="D4126" s="21"/>
      <c r="E4126" s="32" t="s">
        <v>15667</v>
      </c>
      <c r="F4126" s="22" t="str">
        <f>VLOOKUP(Table8[[#This Row],[Mã khách hàng]],code_khach_hang[],2,0)</f>
        <v>CÔNG TY CỔ PHẦN DỊCH VỤ THƯƠNG MẠI TỔNG HỢP WINCOMMERCE</v>
      </c>
      <c r="G4126" s="16" t="str">
        <f>VLOOKUP(Table8[[#This Row],[Mã khách hàng]],code_khach_hang[],3,0)</f>
        <v>Miền Nam đặc biệt 1</v>
      </c>
      <c r="H4126" t="str">
        <f>VLOOKUP(Table8[[#This Row],[Mã khách hàng]],'Khách hàng'!A:D,4,0)</f>
        <v>Food Đức Việt</v>
      </c>
      <c r="I4126" t="str">
        <f>VLOOKUP(Table8[[#This Row],[Mã khách hàng]],'Khách hàng'!A:E,5,0)</f>
        <v>HCVG80</v>
      </c>
    </row>
    <row r="4127" spans="1:9" x14ac:dyDescent="0.25">
      <c r="A4127" s="14" t="s">
        <v>13476</v>
      </c>
      <c r="B4127" s="15" t="s">
        <v>183</v>
      </c>
      <c r="C4127" s="16" t="s">
        <v>14602</v>
      </c>
      <c r="D4127" s="21"/>
      <c r="E4127" s="32" t="s">
        <v>15667</v>
      </c>
      <c r="F4127" s="22" t="str">
        <f>VLOOKUP(Table8[[#This Row],[Mã khách hàng]],code_khach_hang[],2,0)</f>
        <v>CÔNG TY CỔ PHẦN DỊCH VỤ THƯƠNG MẠI TỔNG HỢP WINCOMMERCE</v>
      </c>
      <c r="G4127" s="16" t="str">
        <f>VLOOKUP(Table8[[#This Row],[Mã khách hàng]],code_khach_hang[],3,0)</f>
        <v>Miền Nam đặc biệt 1</v>
      </c>
      <c r="H4127" t="str">
        <f>VLOOKUP(Table8[[#This Row],[Mã khách hàng]],'Khách hàng'!A:D,4,0)</f>
        <v>Food Đức Việt</v>
      </c>
      <c r="I4127" t="str">
        <f>VLOOKUP(Table8[[#This Row],[Mã khách hàng]],'Khách hàng'!A:E,5,0)</f>
        <v>HCVG80</v>
      </c>
    </row>
    <row r="4128" spans="1:9" x14ac:dyDescent="0.25">
      <c r="A4128" s="14" t="s">
        <v>13477</v>
      </c>
      <c r="B4128" s="15" t="s">
        <v>5</v>
      </c>
      <c r="C4128" s="16" t="s">
        <v>14603</v>
      </c>
      <c r="D4128" s="21"/>
      <c r="E4128" s="32" t="s">
        <v>15669</v>
      </c>
      <c r="F4128" s="22" t="str">
        <f>VLOOKUP(Table8[[#This Row],[Mã khách hàng]],code_khach_hang[],2,0)</f>
        <v>CHI NHÁNH CẦN THƠ - CÔNG TY CỔ PHẦN DỊCH VỤ THƯƠNG MẠI TỔNG HỢP WINCOMMERCE</v>
      </c>
      <c r="G4128" s="16" t="str">
        <f>VLOOKUP(Table8[[#This Row],[Mã khách hàng]],code_khach_hang[],3,0)</f>
        <v>Miền Nam đặc biệt 2</v>
      </c>
      <c r="H4128" t="str">
        <f>VLOOKUP(Table8[[#This Row],[Mã khách hàng]],'Khách hàng'!A:D,4,0)</f>
        <v>Food Đức Việt</v>
      </c>
      <c r="I4128" t="str">
        <f>VLOOKUP(Table8[[#This Row],[Mã khách hàng]],'Khách hàng'!A:E,5,0)</f>
        <v>HC-CT120</v>
      </c>
    </row>
    <row r="4129" spans="1:9" x14ac:dyDescent="0.25">
      <c r="A4129" s="14" t="s">
        <v>13478</v>
      </c>
      <c r="B4129" s="15" t="s">
        <v>5</v>
      </c>
      <c r="C4129" s="16" t="s">
        <v>14604</v>
      </c>
      <c r="D4129" s="21"/>
      <c r="E4129" s="32" t="s">
        <v>15667</v>
      </c>
      <c r="F4129" s="22" t="str">
        <f>VLOOKUP(Table8[[#This Row],[Mã khách hàng]],code_khach_hang[],2,0)</f>
        <v>CÔNG TY CỔ PHẦN DỊCH VỤ THƯƠNG MẠI TỔNG HỢP WINCOMMERCE</v>
      </c>
      <c r="G4129" s="16" t="str">
        <f>VLOOKUP(Table8[[#This Row],[Mã khách hàng]],code_khach_hang[],3,0)</f>
        <v>Miền Nam đặc biệt 1</v>
      </c>
      <c r="H4129" t="str">
        <f>VLOOKUP(Table8[[#This Row],[Mã khách hàng]],'Khách hàng'!A:D,4,0)</f>
        <v>Food Đức Việt</v>
      </c>
      <c r="I4129" t="str">
        <f>VLOOKUP(Table8[[#This Row],[Mã khách hàng]],'Khách hàng'!A:E,5,0)</f>
        <v>HCVG80</v>
      </c>
    </row>
    <row r="4130" spans="1:9" x14ac:dyDescent="0.25">
      <c r="A4130" s="14" t="s">
        <v>13479</v>
      </c>
      <c r="B4130" s="15" t="s">
        <v>5</v>
      </c>
      <c r="C4130" s="16" t="s">
        <v>14605</v>
      </c>
      <c r="D4130" s="21"/>
      <c r="E4130" s="32" t="s">
        <v>15667</v>
      </c>
      <c r="F4130" s="22" t="str">
        <f>VLOOKUP(Table8[[#This Row],[Mã khách hàng]],code_khach_hang[],2,0)</f>
        <v>CÔNG TY CỔ PHẦN DỊCH VỤ THƯƠNG MẠI TỔNG HỢP WINCOMMERCE</v>
      </c>
      <c r="G4130" s="16" t="str">
        <f>VLOOKUP(Table8[[#This Row],[Mã khách hàng]],code_khach_hang[],3,0)</f>
        <v>Miền Nam đặc biệt 1</v>
      </c>
      <c r="H4130" t="str">
        <f>VLOOKUP(Table8[[#This Row],[Mã khách hàng]],'Khách hàng'!A:D,4,0)</f>
        <v>Food Đức Việt</v>
      </c>
      <c r="I4130" t="str">
        <f>VLOOKUP(Table8[[#This Row],[Mã khách hàng]],'Khách hàng'!A:E,5,0)</f>
        <v>HCVG80</v>
      </c>
    </row>
    <row r="4131" spans="1:9" x14ac:dyDescent="0.25">
      <c r="A4131" s="14" t="s">
        <v>13480</v>
      </c>
      <c r="B4131" s="15" t="s">
        <v>5</v>
      </c>
      <c r="C4131" s="16" t="s">
        <v>14606</v>
      </c>
      <c r="D4131" s="21"/>
      <c r="E4131" s="32" t="s">
        <v>15669</v>
      </c>
      <c r="F4131" s="22" t="str">
        <f>VLOOKUP(Table8[[#This Row],[Mã khách hàng]],code_khach_hang[],2,0)</f>
        <v>CHI NHÁNH CẦN THƠ - CÔNG TY CỔ PHẦN DỊCH VỤ THƯƠNG MẠI TỔNG HỢP WINCOMMERCE</v>
      </c>
      <c r="G4131" s="16" t="str">
        <f>VLOOKUP(Table8[[#This Row],[Mã khách hàng]],code_khach_hang[],3,0)</f>
        <v>Miền Nam đặc biệt 2</v>
      </c>
      <c r="H4131" t="str">
        <f>VLOOKUP(Table8[[#This Row],[Mã khách hàng]],'Khách hàng'!A:D,4,0)</f>
        <v>Food Đức Việt</v>
      </c>
      <c r="I4131" t="str">
        <f>VLOOKUP(Table8[[#This Row],[Mã khách hàng]],'Khách hàng'!A:E,5,0)</f>
        <v>HC-CT120</v>
      </c>
    </row>
    <row r="4132" spans="1:9" x14ac:dyDescent="0.25">
      <c r="A4132" s="14" t="s">
        <v>13481</v>
      </c>
      <c r="B4132" s="15" t="s">
        <v>5</v>
      </c>
      <c r="C4132" s="16" t="s">
        <v>14607</v>
      </c>
      <c r="D4132" s="21"/>
      <c r="E4132" s="32" t="s">
        <v>15667</v>
      </c>
      <c r="F4132" s="22" t="str">
        <f>VLOOKUP(Table8[[#This Row],[Mã khách hàng]],code_khach_hang[],2,0)</f>
        <v>CÔNG TY CỔ PHẦN DỊCH VỤ THƯƠNG MẠI TỔNG HỢP WINCOMMERCE</v>
      </c>
      <c r="G4132" s="16" t="str">
        <f>VLOOKUP(Table8[[#This Row],[Mã khách hàng]],code_khach_hang[],3,0)</f>
        <v>Miền Nam đặc biệt 1</v>
      </c>
      <c r="H4132" t="str">
        <f>VLOOKUP(Table8[[#This Row],[Mã khách hàng]],'Khách hàng'!A:D,4,0)</f>
        <v>Food Đức Việt</v>
      </c>
      <c r="I4132" t="str">
        <f>VLOOKUP(Table8[[#This Row],[Mã khách hàng]],'Khách hàng'!A:E,5,0)</f>
        <v>HCVG80</v>
      </c>
    </row>
    <row r="4133" spans="1:9" x14ac:dyDescent="0.25">
      <c r="A4133" s="14" t="s">
        <v>13482</v>
      </c>
      <c r="B4133" s="15" t="s">
        <v>5</v>
      </c>
      <c r="C4133" s="16" t="s">
        <v>14608</v>
      </c>
      <c r="D4133" s="21"/>
      <c r="E4133" s="32" t="s">
        <v>15671</v>
      </c>
      <c r="F4133" s="22" t="str">
        <f>VLOOKUP(Table8[[#This Row],[Mã khách hàng]],code_khach_hang[],2,0)</f>
        <v>CHI NHÁNH BÌNH DƯƠNG - CÔNG TY CỔ PHẦN DỊCH VỤ THƯƠNG MẠI TỔNG HỢP WINCOMMERCE</v>
      </c>
      <c r="G4133" s="16" t="str">
        <f>VLOOKUP(Table8[[#This Row],[Mã khách hàng]],code_khach_hang[],3,0)</f>
        <v>Miền Nam đặc biệt 1</v>
      </c>
      <c r="H4133" t="str">
        <f>VLOOKUP(Table8[[#This Row],[Mã khách hàng]],'Khách hàng'!A:D,4,0)</f>
        <v>Food Đức Việt</v>
      </c>
      <c r="I4133" t="str">
        <f>VLOOKUP(Table8[[#This Row],[Mã khách hàng]],'Khách hàng'!A:E,5,0)</f>
        <v>HCVG80</v>
      </c>
    </row>
    <row r="4134" spans="1:9" x14ac:dyDescent="0.25">
      <c r="A4134" s="14" t="s">
        <v>13483</v>
      </c>
      <c r="B4134" s="15" t="s">
        <v>5</v>
      </c>
      <c r="C4134" s="16" t="s">
        <v>14609</v>
      </c>
      <c r="D4134" s="21"/>
      <c r="E4134" s="32" t="s">
        <v>15671</v>
      </c>
      <c r="F4134" s="22" t="str">
        <f>VLOOKUP(Table8[[#This Row],[Mã khách hàng]],code_khach_hang[],2,0)</f>
        <v>CHI NHÁNH BÌNH DƯƠNG - CÔNG TY CỔ PHẦN DỊCH VỤ THƯƠNG MẠI TỔNG HỢP WINCOMMERCE</v>
      </c>
      <c r="G4134" s="16" t="str">
        <f>VLOOKUP(Table8[[#This Row],[Mã khách hàng]],code_khach_hang[],3,0)</f>
        <v>Miền Nam đặc biệt 1</v>
      </c>
      <c r="H4134" t="str">
        <f>VLOOKUP(Table8[[#This Row],[Mã khách hàng]],'Khách hàng'!A:D,4,0)</f>
        <v>Food Đức Việt</v>
      </c>
      <c r="I4134" t="str">
        <f>VLOOKUP(Table8[[#This Row],[Mã khách hàng]],'Khách hàng'!A:E,5,0)</f>
        <v>HCVG80</v>
      </c>
    </row>
    <row r="4135" spans="1:9" x14ac:dyDescent="0.25">
      <c r="A4135" s="14" t="s">
        <v>13484</v>
      </c>
      <c r="B4135" s="15" t="s">
        <v>183</v>
      </c>
      <c r="C4135" s="16" t="s">
        <v>14610</v>
      </c>
      <c r="D4135" s="21"/>
      <c r="E4135" s="32" t="s">
        <v>15667</v>
      </c>
      <c r="F4135" s="22" t="str">
        <f>VLOOKUP(Table8[[#This Row],[Mã khách hàng]],code_khach_hang[],2,0)</f>
        <v>CÔNG TY CỔ PHẦN DỊCH VỤ THƯƠNG MẠI TỔNG HỢP WINCOMMERCE</v>
      </c>
      <c r="G4135" s="16" t="str">
        <f>VLOOKUP(Table8[[#This Row],[Mã khách hàng]],code_khach_hang[],3,0)</f>
        <v>Miền Nam đặc biệt 1</v>
      </c>
      <c r="H4135" t="str">
        <f>VLOOKUP(Table8[[#This Row],[Mã khách hàng]],'Khách hàng'!A:D,4,0)</f>
        <v>Food Đức Việt</v>
      </c>
      <c r="I4135" t="str">
        <f>VLOOKUP(Table8[[#This Row],[Mã khách hàng]],'Khách hàng'!A:E,5,0)</f>
        <v>HCVG80</v>
      </c>
    </row>
    <row r="4136" spans="1:9" x14ac:dyDescent="0.25">
      <c r="A4136" s="14" t="s">
        <v>13485</v>
      </c>
      <c r="B4136" s="15" t="s">
        <v>5</v>
      </c>
      <c r="C4136" s="16" t="s">
        <v>14611</v>
      </c>
      <c r="D4136" s="21"/>
      <c r="E4136" s="32" t="s">
        <v>15667</v>
      </c>
      <c r="F4136" s="22" t="str">
        <f>VLOOKUP(Table8[[#This Row],[Mã khách hàng]],code_khach_hang[],2,0)</f>
        <v>CÔNG TY CỔ PHẦN DỊCH VỤ THƯƠNG MẠI TỔNG HỢP WINCOMMERCE</v>
      </c>
      <c r="G4136" s="16" t="str">
        <f>VLOOKUP(Table8[[#This Row],[Mã khách hàng]],code_khach_hang[],3,0)</f>
        <v>Miền Nam đặc biệt 1</v>
      </c>
      <c r="H4136" t="str">
        <f>VLOOKUP(Table8[[#This Row],[Mã khách hàng]],'Khách hàng'!A:D,4,0)</f>
        <v>Food Đức Việt</v>
      </c>
      <c r="I4136" t="str">
        <f>VLOOKUP(Table8[[#This Row],[Mã khách hàng]],'Khách hàng'!A:E,5,0)</f>
        <v>HCVG80</v>
      </c>
    </row>
    <row r="4137" spans="1:9" x14ac:dyDescent="0.25">
      <c r="A4137" s="14" t="s">
        <v>13486</v>
      </c>
      <c r="B4137" s="15" t="s">
        <v>5</v>
      </c>
      <c r="C4137" s="16" t="s">
        <v>14612</v>
      </c>
      <c r="D4137" s="21"/>
      <c r="E4137" s="32" t="s">
        <v>15669</v>
      </c>
      <c r="F4137" s="22" t="str">
        <f>VLOOKUP(Table8[[#This Row],[Mã khách hàng]],code_khach_hang[],2,0)</f>
        <v>CHI NHÁNH CẦN THƠ - CÔNG TY CỔ PHẦN DỊCH VỤ THƯƠNG MẠI TỔNG HỢP WINCOMMERCE</v>
      </c>
      <c r="G4137" s="16" t="str">
        <f>VLOOKUP(Table8[[#This Row],[Mã khách hàng]],code_khach_hang[],3,0)</f>
        <v>Miền Nam đặc biệt 2</v>
      </c>
      <c r="H4137" t="str">
        <f>VLOOKUP(Table8[[#This Row],[Mã khách hàng]],'Khách hàng'!A:D,4,0)</f>
        <v>Food Đức Việt</v>
      </c>
      <c r="I4137" t="str">
        <f>VLOOKUP(Table8[[#This Row],[Mã khách hàng]],'Khách hàng'!A:E,5,0)</f>
        <v>HC-CT120</v>
      </c>
    </row>
    <row r="4138" spans="1:9" x14ac:dyDescent="0.25">
      <c r="A4138" s="14" t="s">
        <v>13487</v>
      </c>
      <c r="B4138" s="15" t="s">
        <v>5</v>
      </c>
      <c r="C4138" s="16" t="s">
        <v>14613</v>
      </c>
      <c r="D4138" s="21"/>
      <c r="E4138" s="32" t="s">
        <v>15668</v>
      </c>
      <c r="F4138" s="22" t="str">
        <f>VLOOKUP(Table8[[#This Row],[Mã khách hàng]],code_khach_hang[],2,0)</f>
        <v>CHI NHÁNH ĐỒNG NAI - CÔNG TY CỔ PHẦN DỊCH VỤ THƯƠNG MẠI TỔNG HỢP WINCOMMERCE</v>
      </c>
      <c r="G4138" s="16" t="str">
        <f>VLOOKUP(Table8[[#This Row],[Mã khách hàng]],code_khach_hang[],3,0)</f>
        <v>Miền Nam đặc biệt 3</v>
      </c>
      <c r="H4138" t="str">
        <f>VLOOKUP(Table8[[#This Row],[Mã khách hàng]],'Khách hàng'!A:D,4,0)</f>
        <v>Food Đức Việt</v>
      </c>
      <c r="I4138" t="str">
        <f>VLOOKUP(Table8[[#This Row],[Mã khách hàng]],'Khách hàng'!A:E,5,0)</f>
        <v>HCVG80</v>
      </c>
    </row>
    <row r="4139" spans="1:9" x14ac:dyDescent="0.25">
      <c r="A4139" s="14" t="s">
        <v>13488</v>
      </c>
      <c r="B4139" s="15" t="s">
        <v>5</v>
      </c>
      <c r="C4139" s="16" t="s">
        <v>14614</v>
      </c>
      <c r="D4139" s="21"/>
      <c r="E4139" s="32" t="s">
        <v>15669</v>
      </c>
      <c r="F4139" s="22" t="str">
        <f>VLOOKUP(Table8[[#This Row],[Mã khách hàng]],code_khach_hang[],2,0)</f>
        <v>CHI NHÁNH CẦN THƠ - CÔNG TY CỔ PHẦN DỊCH VỤ THƯƠNG MẠI TỔNG HỢP WINCOMMERCE</v>
      </c>
      <c r="G4139" s="16" t="str">
        <f>VLOOKUP(Table8[[#This Row],[Mã khách hàng]],code_khach_hang[],3,0)</f>
        <v>Miền Nam đặc biệt 2</v>
      </c>
      <c r="H4139" t="str">
        <f>VLOOKUP(Table8[[#This Row],[Mã khách hàng]],'Khách hàng'!A:D,4,0)</f>
        <v>Food Đức Việt</v>
      </c>
      <c r="I4139" t="str">
        <f>VLOOKUP(Table8[[#This Row],[Mã khách hàng]],'Khách hàng'!A:E,5,0)</f>
        <v>HC-CT120</v>
      </c>
    </row>
    <row r="4140" spans="1:9" x14ac:dyDescent="0.25">
      <c r="A4140" s="14" t="s">
        <v>13489</v>
      </c>
      <c r="B4140" s="15" t="s">
        <v>5</v>
      </c>
      <c r="C4140" s="16" t="s">
        <v>14615</v>
      </c>
      <c r="D4140" s="21"/>
      <c r="E4140" s="32" t="s">
        <v>15671</v>
      </c>
      <c r="F4140" s="22" t="str">
        <f>VLOOKUP(Table8[[#This Row],[Mã khách hàng]],code_khach_hang[],2,0)</f>
        <v>CHI NHÁNH BÌNH DƯƠNG - CÔNG TY CỔ PHẦN DỊCH VỤ THƯƠNG MẠI TỔNG HỢP WINCOMMERCE</v>
      </c>
      <c r="G4140" s="16" t="str">
        <f>VLOOKUP(Table8[[#This Row],[Mã khách hàng]],code_khach_hang[],3,0)</f>
        <v>Miền Nam đặc biệt 1</v>
      </c>
      <c r="H4140" t="str">
        <f>VLOOKUP(Table8[[#This Row],[Mã khách hàng]],'Khách hàng'!A:D,4,0)</f>
        <v>Food Đức Việt</v>
      </c>
      <c r="I4140" t="str">
        <f>VLOOKUP(Table8[[#This Row],[Mã khách hàng]],'Khách hàng'!A:E,5,0)</f>
        <v>HCVG80</v>
      </c>
    </row>
    <row r="4141" spans="1:9" x14ac:dyDescent="0.25">
      <c r="A4141" s="14" t="s">
        <v>13490</v>
      </c>
      <c r="B4141" s="15" t="s">
        <v>5</v>
      </c>
      <c r="C4141" s="16" t="s">
        <v>14616</v>
      </c>
      <c r="D4141" s="21"/>
      <c r="E4141" s="32" t="s">
        <v>15667</v>
      </c>
      <c r="F4141" s="22" t="str">
        <f>VLOOKUP(Table8[[#This Row],[Mã khách hàng]],code_khach_hang[],2,0)</f>
        <v>CÔNG TY CỔ PHẦN DỊCH VỤ THƯƠNG MẠI TỔNG HỢP WINCOMMERCE</v>
      </c>
      <c r="G4141" s="16" t="str">
        <f>VLOOKUP(Table8[[#This Row],[Mã khách hàng]],code_khach_hang[],3,0)</f>
        <v>Miền Nam đặc biệt 1</v>
      </c>
      <c r="H4141" t="str">
        <f>VLOOKUP(Table8[[#This Row],[Mã khách hàng]],'Khách hàng'!A:D,4,0)</f>
        <v>Food Đức Việt</v>
      </c>
      <c r="I4141" t="str">
        <f>VLOOKUP(Table8[[#This Row],[Mã khách hàng]],'Khách hàng'!A:E,5,0)</f>
        <v>HCVG80</v>
      </c>
    </row>
    <row r="4142" spans="1:9" x14ac:dyDescent="0.25">
      <c r="A4142" s="14" t="s">
        <v>13491</v>
      </c>
      <c r="B4142" s="15" t="s">
        <v>183</v>
      </c>
      <c r="C4142" s="16" t="s">
        <v>14617</v>
      </c>
      <c r="D4142" s="21"/>
      <c r="E4142" s="32" t="s">
        <v>15667</v>
      </c>
      <c r="F4142" s="22" t="str">
        <f>VLOOKUP(Table8[[#This Row],[Mã khách hàng]],code_khach_hang[],2,0)</f>
        <v>CÔNG TY CỔ PHẦN DỊCH VỤ THƯƠNG MẠI TỔNG HỢP WINCOMMERCE</v>
      </c>
      <c r="G4142" s="16" t="str">
        <f>VLOOKUP(Table8[[#This Row],[Mã khách hàng]],code_khach_hang[],3,0)</f>
        <v>Miền Nam đặc biệt 1</v>
      </c>
      <c r="H4142" t="str">
        <f>VLOOKUP(Table8[[#This Row],[Mã khách hàng]],'Khách hàng'!A:D,4,0)</f>
        <v>Food Đức Việt</v>
      </c>
      <c r="I4142" t="str">
        <f>VLOOKUP(Table8[[#This Row],[Mã khách hàng]],'Khách hàng'!A:E,5,0)</f>
        <v>HCVG80</v>
      </c>
    </row>
    <row r="4143" spans="1:9" x14ac:dyDescent="0.25">
      <c r="A4143" s="14" t="s">
        <v>13492</v>
      </c>
      <c r="B4143" s="15" t="s">
        <v>5</v>
      </c>
      <c r="C4143" s="16" t="s">
        <v>14618</v>
      </c>
      <c r="D4143" s="21"/>
      <c r="E4143" s="32" t="s">
        <v>15667</v>
      </c>
      <c r="F4143" s="22" t="str">
        <f>VLOOKUP(Table8[[#This Row],[Mã khách hàng]],code_khach_hang[],2,0)</f>
        <v>CÔNG TY CỔ PHẦN DỊCH VỤ THƯƠNG MẠI TỔNG HỢP WINCOMMERCE</v>
      </c>
      <c r="G4143" s="16" t="str">
        <f>VLOOKUP(Table8[[#This Row],[Mã khách hàng]],code_khach_hang[],3,0)</f>
        <v>Miền Nam đặc biệt 1</v>
      </c>
      <c r="H4143" t="str">
        <f>VLOOKUP(Table8[[#This Row],[Mã khách hàng]],'Khách hàng'!A:D,4,0)</f>
        <v>Food Đức Việt</v>
      </c>
      <c r="I4143" t="str">
        <f>VLOOKUP(Table8[[#This Row],[Mã khách hàng]],'Khách hàng'!A:E,5,0)</f>
        <v>HCVG80</v>
      </c>
    </row>
    <row r="4144" spans="1:9" x14ac:dyDescent="0.25">
      <c r="A4144" s="14" t="s">
        <v>13493</v>
      </c>
      <c r="B4144" s="15" t="s">
        <v>5</v>
      </c>
      <c r="C4144" s="16" t="s">
        <v>14619</v>
      </c>
      <c r="D4144" s="21"/>
      <c r="E4144" s="32" t="s">
        <v>15667</v>
      </c>
      <c r="F4144" s="22" t="str">
        <f>VLOOKUP(Table8[[#This Row],[Mã khách hàng]],code_khach_hang[],2,0)</f>
        <v>CÔNG TY CỔ PHẦN DỊCH VỤ THƯƠNG MẠI TỔNG HỢP WINCOMMERCE</v>
      </c>
      <c r="G4144" s="16" t="str">
        <f>VLOOKUP(Table8[[#This Row],[Mã khách hàng]],code_khach_hang[],3,0)</f>
        <v>Miền Nam đặc biệt 1</v>
      </c>
      <c r="H4144" t="str">
        <f>VLOOKUP(Table8[[#This Row],[Mã khách hàng]],'Khách hàng'!A:D,4,0)</f>
        <v>Food Đức Việt</v>
      </c>
      <c r="I4144" t="str">
        <f>VLOOKUP(Table8[[#This Row],[Mã khách hàng]],'Khách hàng'!A:E,5,0)</f>
        <v>HCVG80</v>
      </c>
    </row>
    <row r="4145" spans="1:9" x14ac:dyDescent="0.25">
      <c r="A4145" s="14" t="s">
        <v>13494</v>
      </c>
      <c r="B4145" s="15" t="s">
        <v>5</v>
      </c>
      <c r="C4145" s="16" t="s">
        <v>14620</v>
      </c>
      <c r="D4145" s="21"/>
      <c r="E4145" s="32" t="s">
        <v>15667</v>
      </c>
      <c r="F4145" s="22" t="str">
        <f>VLOOKUP(Table8[[#This Row],[Mã khách hàng]],code_khach_hang[],2,0)</f>
        <v>CÔNG TY CỔ PHẦN DỊCH VỤ THƯƠNG MẠI TỔNG HỢP WINCOMMERCE</v>
      </c>
      <c r="G4145" s="16" t="str">
        <f>VLOOKUP(Table8[[#This Row],[Mã khách hàng]],code_khach_hang[],3,0)</f>
        <v>Miền Nam đặc biệt 1</v>
      </c>
      <c r="H4145" t="str">
        <f>VLOOKUP(Table8[[#This Row],[Mã khách hàng]],'Khách hàng'!A:D,4,0)</f>
        <v>Food Đức Việt</v>
      </c>
      <c r="I4145" t="str">
        <f>VLOOKUP(Table8[[#This Row],[Mã khách hàng]],'Khách hàng'!A:E,5,0)</f>
        <v>HCVG80</v>
      </c>
    </row>
    <row r="4146" spans="1:9" x14ac:dyDescent="0.25">
      <c r="A4146" s="14" t="s">
        <v>13495</v>
      </c>
      <c r="B4146" s="15" t="s">
        <v>5</v>
      </c>
      <c r="C4146" s="16" t="s">
        <v>14621</v>
      </c>
      <c r="D4146" s="21"/>
      <c r="E4146" s="32" t="s">
        <v>15668</v>
      </c>
      <c r="F4146" s="22" t="str">
        <f>VLOOKUP(Table8[[#This Row],[Mã khách hàng]],code_khach_hang[],2,0)</f>
        <v>CHI NHÁNH ĐỒNG NAI - CÔNG TY CỔ PHẦN DỊCH VỤ THƯƠNG MẠI TỔNG HỢP WINCOMMERCE</v>
      </c>
      <c r="G4146" s="16" t="str">
        <f>VLOOKUP(Table8[[#This Row],[Mã khách hàng]],code_khach_hang[],3,0)</f>
        <v>Miền Nam đặc biệt 3</v>
      </c>
      <c r="H4146" t="str">
        <f>VLOOKUP(Table8[[#This Row],[Mã khách hàng]],'Khách hàng'!A:D,4,0)</f>
        <v>Food Đức Việt</v>
      </c>
      <c r="I4146" t="str">
        <f>VLOOKUP(Table8[[#This Row],[Mã khách hàng]],'Khách hàng'!A:E,5,0)</f>
        <v>HCVG80</v>
      </c>
    </row>
    <row r="4147" spans="1:9" x14ac:dyDescent="0.25">
      <c r="A4147" s="14" t="s">
        <v>13496</v>
      </c>
      <c r="B4147" s="15" t="s">
        <v>5</v>
      </c>
      <c r="C4147" s="16" t="s">
        <v>14622</v>
      </c>
      <c r="D4147" s="21"/>
      <c r="E4147" s="32" t="s">
        <v>15667</v>
      </c>
      <c r="F4147" s="22" t="str">
        <f>VLOOKUP(Table8[[#This Row],[Mã khách hàng]],code_khach_hang[],2,0)</f>
        <v>CÔNG TY CỔ PHẦN DỊCH VỤ THƯƠNG MẠI TỔNG HỢP WINCOMMERCE</v>
      </c>
      <c r="G4147" s="16" t="str">
        <f>VLOOKUP(Table8[[#This Row],[Mã khách hàng]],code_khach_hang[],3,0)</f>
        <v>Miền Nam đặc biệt 1</v>
      </c>
      <c r="H4147" t="str">
        <f>VLOOKUP(Table8[[#This Row],[Mã khách hàng]],'Khách hàng'!A:D,4,0)</f>
        <v>Food Đức Việt</v>
      </c>
      <c r="I4147" t="str">
        <f>VLOOKUP(Table8[[#This Row],[Mã khách hàng]],'Khách hàng'!A:E,5,0)</f>
        <v>HCVG80</v>
      </c>
    </row>
    <row r="4148" spans="1:9" x14ac:dyDescent="0.25">
      <c r="A4148" s="14" t="s">
        <v>13497</v>
      </c>
      <c r="B4148" s="15" t="s">
        <v>5</v>
      </c>
      <c r="C4148" s="16" t="s">
        <v>14623</v>
      </c>
      <c r="D4148" s="21"/>
      <c r="E4148" s="32" t="s">
        <v>15667</v>
      </c>
      <c r="F4148" s="22" t="str">
        <f>VLOOKUP(Table8[[#This Row],[Mã khách hàng]],code_khach_hang[],2,0)</f>
        <v>CÔNG TY CỔ PHẦN DỊCH VỤ THƯƠNG MẠI TỔNG HỢP WINCOMMERCE</v>
      </c>
      <c r="G4148" s="16" t="str">
        <f>VLOOKUP(Table8[[#This Row],[Mã khách hàng]],code_khach_hang[],3,0)</f>
        <v>Miền Nam đặc biệt 1</v>
      </c>
      <c r="H4148" t="str">
        <f>VLOOKUP(Table8[[#This Row],[Mã khách hàng]],'Khách hàng'!A:D,4,0)</f>
        <v>Food Đức Việt</v>
      </c>
      <c r="I4148" t="str">
        <f>VLOOKUP(Table8[[#This Row],[Mã khách hàng]],'Khách hàng'!A:E,5,0)</f>
        <v>HCVG80</v>
      </c>
    </row>
    <row r="4149" spans="1:9" x14ac:dyDescent="0.25">
      <c r="A4149" s="14" t="s">
        <v>13498</v>
      </c>
      <c r="B4149" s="15" t="s">
        <v>5</v>
      </c>
      <c r="C4149" s="16" t="s">
        <v>14624</v>
      </c>
      <c r="D4149" s="21"/>
      <c r="E4149" s="32" t="s">
        <v>15667</v>
      </c>
      <c r="F4149" s="22" t="str">
        <f>VLOOKUP(Table8[[#This Row],[Mã khách hàng]],code_khach_hang[],2,0)</f>
        <v>CÔNG TY CỔ PHẦN DỊCH VỤ THƯƠNG MẠI TỔNG HỢP WINCOMMERCE</v>
      </c>
      <c r="G4149" s="16" t="str">
        <f>VLOOKUP(Table8[[#This Row],[Mã khách hàng]],code_khach_hang[],3,0)</f>
        <v>Miền Nam đặc biệt 1</v>
      </c>
      <c r="H4149" t="str">
        <f>VLOOKUP(Table8[[#This Row],[Mã khách hàng]],'Khách hàng'!A:D,4,0)</f>
        <v>Food Đức Việt</v>
      </c>
      <c r="I4149" t="str">
        <f>VLOOKUP(Table8[[#This Row],[Mã khách hàng]],'Khách hàng'!A:E,5,0)</f>
        <v>HCVG80</v>
      </c>
    </row>
    <row r="4150" spans="1:9" x14ac:dyDescent="0.25">
      <c r="A4150" s="14" t="s">
        <v>13499</v>
      </c>
      <c r="B4150" s="15" t="s">
        <v>5</v>
      </c>
      <c r="C4150" s="16" t="s">
        <v>14625</v>
      </c>
      <c r="D4150" s="21"/>
      <c r="E4150" s="32" t="s">
        <v>15668</v>
      </c>
      <c r="F4150" s="22" t="str">
        <f>VLOOKUP(Table8[[#This Row],[Mã khách hàng]],code_khach_hang[],2,0)</f>
        <v>CHI NHÁNH ĐỒNG NAI - CÔNG TY CỔ PHẦN DỊCH VỤ THƯƠNG MẠI TỔNG HỢP WINCOMMERCE</v>
      </c>
      <c r="G4150" s="16" t="str">
        <f>VLOOKUP(Table8[[#This Row],[Mã khách hàng]],code_khach_hang[],3,0)</f>
        <v>Miền Nam đặc biệt 3</v>
      </c>
      <c r="H4150" t="str">
        <f>VLOOKUP(Table8[[#This Row],[Mã khách hàng]],'Khách hàng'!A:D,4,0)</f>
        <v>Food Đức Việt</v>
      </c>
      <c r="I4150" t="str">
        <f>VLOOKUP(Table8[[#This Row],[Mã khách hàng]],'Khách hàng'!A:E,5,0)</f>
        <v>HCVG80</v>
      </c>
    </row>
    <row r="4151" spans="1:9" x14ac:dyDescent="0.25">
      <c r="A4151" s="14" t="s">
        <v>13500</v>
      </c>
      <c r="B4151" s="15" t="s">
        <v>5</v>
      </c>
      <c r="C4151" s="16" t="s">
        <v>14626</v>
      </c>
      <c r="D4151" s="21"/>
      <c r="E4151" s="32" t="s">
        <v>15667</v>
      </c>
      <c r="F4151" s="22" t="str">
        <f>VLOOKUP(Table8[[#This Row],[Mã khách hàng]],code_khach_hang[],2,0)</f>
        <v>CÔNG TY CỔ PHẦN DỊCH VỤ THƯƠNG MẠI TỔNG HỢP WINCOMMERCE</v>
      </c>
      <c r="G4151" s="16" t="str">
        <f>VLOOKUP(Table8[[#This Row],[Mã khách hàng]],code_khach_hang[],3,0)</f>
        <v>Miền Nam đặc biệt 1</v>
      </c>
      <c r="H4151" t="str">
        <f>VLOOKUP(Table8[[#This Row],[Mã khách hàng]],'Khách hàng'!A:D,4,0)</f>
        <v>Food Đức Việt</v>
      </c>
      <c r="I4151" t="str">
        <f>VLOOKUP(Table8[[#This Row],[Mã khách hàng]],'Khách hàng'!A:E,5,0)</f>
        <v>HCVG80</v>
      </c>
    </row>
    <row r="4152" spans="1:9" x14ac:dyDescent="0.25">
      <c r="A4152" s="14" t="s">
        <v>13501</v>
      </c>
      <c r="B4152" s="15" t="s">
        <v>5</v>
      </c>
      <c r="C4152" s="16" t="s">
        <v>14627</v>
      </c>
      <c r="D4152" s="21"/>
      <c r="E4152" s="32" t="s">
        <v>15667</v>
      </c>
      <c r="F4152" s="22" t="str">
        <f>VLOOKUP(Table8[[#This Row],[Mã khách hàng]],code_khach_hang[],2,0)</f>
        <v>CÔNG TY CỔ PHẦN DỊCH VỤ THƯƠNG MẠI TỔNG HỢP WINCOMMERCE</v>
      </c>
      <c r="G4152" s="16" t="str">
        <f>VLOOKUP(Table8[[#This Row],[Mã khách hàng]],code_khach_hang[],3,0)</f>
        <v>Miền Nam đặc biệt 1</v>
      </c>
      <c r="H4152" t="str">
        <f>VLOOKUP(Table8[[#This Row],[Mã khách hàng]],'Khách hàng'!A:D,4,0)</f>
        <v>Food Đức Việt</v>
      </c>
      <c r="I4152" t="str">
        <f>VLOOKUP(Table8[[#This Row],[Mã khách hàng]],'Khách hàng'!A:E,5,0)</f>
        <v>HCVG80</v>
      </c>
    </row>
    <row r="4153" spans="1:9" x14ac:dyDescent="0.25">
      <c r="A4153" s="14" t="s">
        <v>13502</v>
      </c>
      <c r="B4153" s="15" t="s">
        <v>5</v>
      </c>
      <c r="C4153" s="16" t="s">
        <v>14628</v>
      </c>
      <c r="D4153" s="21"/>
      <c r="E4153" s="32" t="s">
        <v>15667</v>
      </c>
      <c r="F4153" s="22" t="str">
        <f>VLOOKUP(Table8[[#This Row],[Mã khách hàng]],code_khach_hang[],2,0)</f>
        <v>CÔNG TY CỔ PHẦN DỊCH VỤ THƯƠNG MẠI TỔNG HỢP WINCOMMERCE</v>
      </c>
      <c r="G4153" s="16" t="str">
        <f>VLOOKUP(Table8[[#This Row],[Mã khách hàng]],code_khach_hang[],3,0)</f>
        <v>Miền Nam đặc biệt 1</v>
      </c>
      <c r="H4153" t="str">
        <f>VLOOKUP(Table8[[#This Row],[Mã khách hàng]],'Khách hàng'!A:D,4,0)</f>
        <v>Food Đức Việt</v>
      </c>
      <c r="I4153" t="str">
        <f>VLOOKUP(Table8[[#This Row],[Mã khách hàng]],'Khách hàng'!A:E,5,0)</f>
        <v>HCVG80</v>
      </c>
    </row>
    <row r="4154" spans="1:9" x14ac:dyDescent="0.25">
      <c r="A4154" s="14" t="s">
        <v>13503</v>
      </c>
      <c r="B4154" s="15" t="s">
        <v>5</v>
      </c>
      <c r="C4154" s="16" t="s">
        <v>14629</v>
      </c>
      <c r="D4154" s="21"/>
      <c r="E4154" s="32" t="s">
        <v>15671</v>
      </c>
      <c r="F4154" s="22" t="str">
        <f>VLOOKUP(Table8[[#This Row],[Mã khách hàng]],code_khach_hang[],2,0)</f>
        <v>CHI NHÁNH BÌNH DƯƠNG - CÔNG TY CỔ PHẦN DỊCH VỤ THƯƠNG MẠI TỔNG HỢP WINCOMMERCE</v>
      </c>
      <c r="G4154" s="16" t="str">
        <f>VLOOKUP(Table8[[#This Row],[Mã khách hàng]],code_khach_hang[],3,0)</f>
        <v>Miền Nam đặc biệt 1</v>
      </c>
      <c r="H4154" t="str">
        <f>VLOOKUP(Table8[[#This Row],[Mã khách hàng]],'Khách hàng'!A:D,4,0)</f>
        <v>Food Đức Việt</v>
      </c>
      <c r="I4154" t="str">
        <f>VLOOKUP(Table8[[#This Row],[Mã khách hàng]],'Khách hàng'!A:E,5,0)</f>
        <v>HCVG80</v>
      </c>
    </row>
    <row r="4155" spans="1:9" x14ac:dyDescent="0.25">
      <c r="A4155" s="14" t="s">
        <v>13504</v>
      </c>
      <c r="B4155" s="15" t="s">
        <v>5</v>
      </c>
      <c r="C4155" s="16" t="s">
        <v>14630</v>
      </c>
      <c r="D4155" s="21"/>
      <c r="E4155" s="32" t="s">
        <v>15671</v>
      </c>
      <c r="F4155" s="22" t="str">
        <f>VLOOKUP(Table8[[#This Row],[Mã khách hàng]],code_khach_hang[],2,0)</f>
        <v>CHI NHÁNH BÌNH DƯƠNG - CÔNG TY CỔ PHẦN DỊCH VỤ THƯƠNG MẠI TỔNG HỢP WINCOMMERCE</v>
      </c>
      <c r="G4155" s="16" t="str">
        <f>VLOOKUP(Table8[[#This Row],[Mã khách hàng]],code_khach_hang[],3,0)</f>
        <v>Miền Nam đặc biệt 1</v>
      </c>
      <c r="H4155" t="str">
        <f>VLOOKUP(Table8[[#This Row],[Mã khách hàng]],'Khách hàng'!A:D,4,0)</f>
        <v>Food Đức Việt</v>
      </c>
      <c r="I4155" t="str">
        <f>VLOOKUP(Table8[[#This Row],[Mã khách hàng]],'Khách hàng'!A:E,5,0)</f>
        <v>HCVG80</v>
      </c>
    </row>
    <row r="4156" spans="1:9" x14ac:dyDescent="0.25">
      <c r="A4156" s="14" t="s">
        <v>13505</v>
      </c>
      <c r="B4156" s="15" t="s">
        <v>5</v>
      </c>
      <c r="C4156" s="16" t="s">
        <v>14631</v>
      </c>
      <c r="D4156" s="21"/>
      <c r="E4156" s="32" t="s">
        <v>15671</v>
      </c>
      <c r="F4156" s="22" t="str">
        <f>VLOOKUP(Table8[[#This Row],[Mã khách hàng]],code_khach_hang[],2,0)</f>
        <v>CHI NHÁNH BÌNH DƯƠNG - CÔNG TY CỔ PHẦN DỊCH VỤ THƯƠNG MẠI TỔNG HỢP WINCOMMERCE</v>
      </c>
      <c r="G4156" s="16" t="str">
        <f>VLOOKUP(Table8[[#This Row],[Mã khách hàng]],code_khach_hang[],3,0)</f>
        <v>Miền Nam đặc biệt 1</v>
      </c>
      <c r="H4156" t="str">
        <f>VLOOKUP(Table8[[#This Row],[Mã khách hàng]],'Khách hàng'!A:D,4,0)</f>
        <v>Food Đức Việt</v>
      </c>
      <c r="I4156" t="str">
        <f>VLOOKUP(Table8[[#This Row],[Mã khách hàng]],'Khách hàng'!A:E,5,0)</f>
        <v>HCVG80</v>
      </c>
    </row>
    <row r="4157" spans="1:9" x14ac:dyDescent="0.25">
      <c r="A4157" s="14" t="s">
        <v>13506</v>
      </c>
      <c r="B4157" s="15" t="s">
        <v>5</v>
      </c>
      <c r="C4157" s="16" t="s">
        <v>14632</v>
      </c>
      <c r="D4157" s="21"/>
      <c r="E4157" s="32" t="s">
        <v>15667</v>
      </c>
      <c r="F4157" s="22" t="str">
        <f>VLOOKUP(Table8[[#This Row],[Mã khách hàng]],code_khach_hang[],2,0)</f>
        <v>CÔNG TY CỔ PHẦN DỊCH VỤ THƯƠNG MẠI TỔNG HỢP WINCOMMERCE</v>
      </c>
      <c r="G4157" s="16" t="str">
        <f>VLOOKUP(Table8[[#This Row],[Mã khách hàng]],code_khach_hang[],3,0)</f>
        <v>Miền Nam đặc biệt 1</v>
      </c>
      <c r="H4157" t="str">
        <f>VLOOKUP(Table8[[#This Row],[Mã khách hàng]],'Khách hàng'!A:D,4,0)</f>
        <v>Food Đức Việt</v>
      </c>
      <c r="I4157" t="str">
        <f>VLOOKUP(Table8[[#This Row],[Mã khách hàng]],'Khách hàng'!A:E,5,0)</f>
        <v>HCVG80</v>
      </c>
    </row>
    <row r="4158" spans="1:9" x14ac:dyDescent="0.25">
      <c r="A4158" s="14" t="s">
        <v>13507</v>
      </c>
      <c r="B4158" s="15" t="s">
        <v>5</v>
      </c>
      <c r="C4158" s="16" t="s">
        <v>14633</v>
      </c>
      <c r="D4158" s="21"/>
      <c r="E4158" s="32" t="s">
        <v>15667</v>
      </c>
      <c r="F4158" s="22" t="str">
        <f>VLOOKUP(Table8[[#This Row],[Mã khách hàng]],code_khach_hang[],2,0)</f>
        <v>CÔNG TY CỔ PHẦN DỊCH VỤ THƯƠNG MẠI TỔNG HỢP WINCOMMERCE</v>
      </c>
      <c r="G4158" s="16" t="str">
        <f>VLOOKUP(Table8[[#This Row],[Mã khách hàng]],code_khach_hang[],3,0)</f>
        <v>Miền Nam đặc biệt 1</v>
      </c>
      <c r="H4158" t="str">
        <f>VLOOKUP(Table8[[#This Row],[Mã khách hàng]],'Khách hàng'!A:D,4,0)</f>
        <v>Food Đức Việt</v>
      </c>
      <c r="I4158" t="str">
        <f>VLOOKUP(Table8[[#This Row],[Mã khách hàng]],'Khách hàng'!A:E,5,0)</f>
        <v>HCVG80</v>
      </c>
    </row>
    <row r="4159" spans="1:9" x14ac:dyDescent="0.25">
      <c r="A4159" s="14" t="s">
        <v>13508</v>
      </c>
      <c r="B4159" s="15" t="s">
        <v>5</v>
      </c>
      <c r="C4159" s="16" t="s">
        <v>14634</v>
      </c>
      <c r="D4159" s="21"/>
      <c r="E4159" s="32" t="s">
        <v>15667</v>
      </c>
      <c r="F4159" s="22" t="str">
        <f>VLOOKUP(Table8[[#This Row],[Mã khách hàng]],code_khach_hang[],2,0)</f>
        <v>CÔNG TY CỔ PHẦN DỊCH VỤ THƯƠNG MẠI TỔNG HỢP WINCOMMERCE</v>
      </c>
      <c r="G4159" s="16" t="str">
        <f>VLOOKUP(Table8[[#This Row],[Mã khách hàng]],code_khach_hang[],3,0)</f>
        <v>Miền Nam đặc biệt 1</v>
      </c>
      <c r="H4159" t="str">
        <f>VLOOKUP(Table8[[#This Row],[Mã khách hàng]],'Khách hàng'!A:D,4,0)</f>
        <v>Food Đức Việt</v>
      </c>
      <c r="I4159" t="str">
        <f>VLOOKUP(Table8[[#This Row],[Mã khách hàng]],'Khách hàng'!A:E,5,0)</f>
        <v>HCVG80</v>
      </c>
    </row>
    <row r="4160" spans="1:9" x14ac:dyDescent="0.25">
      <c r="A4160" s="14" t="s">
        <v>13509</v>
      </c>
      <c r="B4160" s="15" t="s">
        <v>5</v>
      </c>
      <c r="C4160" s="16" t="s">
        <v>14635</v>
      </c>
      <c r="D4160" s="21"/>
      <c r="E4160" s="32" t="s">
        <v>15668</v>
      </c>
      <c r="F4160" s="22" t="str">
        <f>VLOOKUP(Table8[[#This Row],[Mã khách hàng]],code_khach_hang[],2,0)</f>
        <v>CHI NHÁNH ĐỒNG NAI - CÔNG TY CỔ PHẦN DỊCH VỤ THƯƠNG MẠI TỔNG HỢP WINCOMMERCE</v>
      </c>
      <c r="G4160" s="16" t="str">
        <f>VLOOKUP(Table8[[#This Row],[Mã khách hàng]],code_khach_hang[],3,0)</f>
        <v>Miền Nam đặc biệt 3</v>
      </c>
      <c r="H4160" t="str">
        <f>VLOOKUP(Table8[[#This Row],[Mã khách hàng]],'Khách hàng'!A:D,4,0)</f>
        <v>Food Đức Việt</v>
      </c>
      <c r="I4160" t="str">
        <f>VLOOKUP(Table8[[#This Row],[Mã khách hàng]],'Khách hàng'!A:E,5,0)</f>
        <v>HCVG80</v>
      </c>
    </row>
    <row r="4161" spans="1:9" x14ac:dyDescent="0.25">
      <c r="A4161" s="14" t="s">
        <v>13510</v>
      </c>
      <c r="B4161" s="15" t="s">
        <v>5</v>
      </c>
      <c r="C4161" s="16" t="s">
        <v>14636</v>
      </c>
      <c r="D4161" s="21"/>
      <c r="E4161" s="32" t="s">
        <v>15671</v>
      </c>
      <c r="F4161" s="22" t="str">
        <f>VLOOKUP(Table8[[#This Row],[Mã khách hàng]],code_khach_hang[],2,0)</f>
        <v>CHI NHÁNH BÌNH DƯƠNG - CÔNG TY CỔ PHẦN DỊCH VỤ THƯƠNG MẠI TỔNG HỢP WINCOMMERCE</v>
      </c>
      <c r="G4161" s="16" t="str">
        <f>VLOOKUP(Table8[[#This Row],[Mã khách hàng]],code_khach_hang[],3,0)</f>
        <v>Miền Nam đặc biệt 1</v>
      </c>
      <c r="H4161" t="str">
        <f>VLOOKUP(Table8[[#This Row],[Mã khách hàng]],'Khách hàng'!A:D,4,0)</f>
        <v>Food Đức Việt</v>
      </c>
      <c r="I4161" t="str">
        <f>VLOOKUP(Table8[[#This Row],[Mã khách hàng]],'Khách hàng'!A:E,5,0)</f>
        <v>HCVG80</v>
      </c>
    </row>
    <row r="4162" spans="1:9" x14ac:dyDescent="0.25">
      <c r="A4162" s="14" t="s">
        <v>13511</v>
      </c>
      <c r="B4162" s="15" t="s">
        <v>5</v>
      </c>
      <c r="C4162" s="16" t="s">
        <v>14637</v>
      </c>
      <c r="D4162" s="21"/>
      <c r="E4162" s="32" t="s">
        <v>15667</v>
      </c>
      <c r="F4162" s="22" t="str">
        <f>VLOOKUP(Table8[[#This Row],[Mã khách hàng]],code_khach_hang[],2,0)</f>
        <v>CÔNG TY CỔ PHẦN DỊCH VỤ THƯƠNG MẠI TỔNG HỢP WINCOMMERCE</v>
      </c>
      <c r="G4162" s="16" t="str">
        <f>VLOOKUP(Table8[[#This Row],[Mã khách hàng]],code_khach_hang[],3,0)</f>
        <v>Miền Nam đặc biệt 1</v>
      </c>
      <c r="H4162" t="str">
        <f>VLOOKUP(Table8[[#This Row],[Mã khách hàng]],'Khách hàng'!A:D,4,0)</f>
        <v>Food Đức Việt</v>
      </c>
      <c r="I4162" t="str">
        <f>VLOOKUP(Table8[[#This Row],[Mã khách hàng]],'Khách hàng'!A:E,5,0)</f>
        <v>HCVG80</v>
      </c>
    </row>
    <row r="4163" spans="1:9" x14ac:dyDescent="0.25">
      <c r="A4163" s="14" t="s">
        <v>13512</v>
      </c>
      <c r="B4163" s="15" t="s">
        <v>5</v>
      </c>
      <c r="C4163" s="16" t="s">
        <v>14638</v>
      </c>
      <c r="D4163" s="21"/>
      <c r="E4163" s="32" t="s">
        <v>15667</v>
      </c>
      <c r="F4163" s="22" t="str">
        <f>VLOOKUP(Table8[[#This Row],[Mã khách hàng]],code_khach_hang[],2,0)</f>
        <v>CÔNG TY CỔ PHẦN DỊCH VỤ THƯƠNG MẠI TỔNG HỢP WINCOMMERCE</v>
      </c>
      <c r="G4163" s="16" t="str">
        <f>VLOOKUP(Table8[[#This Row],[Mã khách hàng]],code_khach_hang[],3,0)</f>
        <v>Miền Nam đặc biệt 1</v>
      </c>
      <c r="H4163" t="str">
        <f>VLOOKUP(Table8[[#This Row],[Mã khách hàng]],'Khách hàng'!A:D,4,0)</f>
        <v>Food Đức Việt</v>
      </c>
      <c r="I4163" t="str">
        <f>VLOOKUP(Table8[[#This Row],[Mã khách hàng]],'Khách hàng'!A:E,5,0)</f>
        <v>HCVG80</v>
      </c>
    </row>
    <row r="4164" spans="1:9" x14ac:dyDescent="0.25">
      <c r="A4164" s="14" t="s">
        <v>13513</v>
      </c>
      <c r="B4164" s="15" t="s">
        <v>183</v>
      </c>
      <c r="C4164" s="16" t="s">
        <v>14639</v>
      </c>
      <c r="D4164" s="21"/>
      <c r="E4164" s="32" t="s">
        <v>15667</v>
      </c>
      <c r="F4164" s="22" t="str">
        <f>VLOOKUP(Table8[[#This Row],[Mã khách hàng]],code_khach_hang[],2,0)</f>
        <v>CÔNG TY CỔ PHẦN DỊCH VỤ THƯƠNG MẠI TỔNG HỢP WINCOMMERCE</v>
      </c>
      <c r="G4164" s="16" t="str">
        <f>VLOOKUP(Table8[[#This Row],[Mã khách hàng]],code_khach_hang[],3,0)</f>
        <v>Miền Nam đặc biệt 1</v>
      </c>
      <c r="H4164" t="str">
        <f>VLOOKUP(Table8[[#This Row],[Mã khách hàng]],'Khách hàng'!A:D,4,0)</f>
        <v>Food Đức Việt</v>
      </c>
      <c r="I4164" t="str">
        <f>VLOOKUP(Table8[[#This Row],[Mã khách hàng]],'Khách hàng'!A:E,5,0)</f>
        <v>HCVG80</v>
      </c>
    </row>
    <row r="4165" spans="1:9" x14ac:dyDescent="0.25">
      <c r="A4165" s="14" t="s">
        <v>13514</v>
      </c>
      <c r="B4165" s="15" t="s">
        <v>5</v>
      </c>
      <c r="C4165" s="16" t="s">
        <v>14640</v>
      </c>
      <c r="D4165" s="21"/>
      <c r="E4165" s="32" t="s">
        <v>15667</v>
      </c>
      <c r="F4165" s="22" t="str">
        <f>VLOOKUP(Table8[[#This Row],[Mã khách hàng]],code_khach_hang[],2,0)</f>
        <v>CÔNG TY CỔ PHẦN DỊCH VỤ THƯƠNG MẠI TỔNG HỢP WINCOMMERCE</v>
      </c>
      <c r="G4165" s="16" t="str">
        <f>VLOOKUP(Table8[[#This Row],[Mã khách hàng]],code_khach_hang[],3,0)</f>
        <v>Miền Nam đặc biệt 1</v>
      </c>
      <c r="H4165" t="str">
        <f>VLOOKUP(Table8[[#This Row],[Mã khách hàng]],'Khách hàng'!A:D,4,0)</f>
        <v>Food Đức Việt</v>
      </c>
      <c r="I4165" t="str">
        <f>VLOOKUP(Table8[[#This Row],[Mã khách hàng]],'Khách hàng'!A:E,5,0)</f>
        <v>HCVG80</v>
      </c>
    </row>
    <row r="4166" spans="1:9" x14ac:dyDescent="0.25">
      <c r="A4166" s="14" t="s">
        <v>13515</v>
      </c>
      <c r="B4166" s="15" t="s">
        <v>5</v>
      </c>
      <c r="C4166" s="16" t="s">
        <v>14641</v>
      </c>
      <c r="D4166" s="21"/>
      <c r="E4166" s="32" t="s">
        <v>15669</v>
      </c>
      <c r="F4166" s="22" t="str">
        <f>VLOOKUP(Table8[[#This Row],[Mã khách hàng]],code_khach_hang[],2,0)</f>
        <v>CHI NHÁNH CẦN THƠ - CÔNG TY CỔ PHẦN DỊCH VỤ THƯƠNG MẠI TỔNG HỢP WINCOMMERCE</v>
      </c>
      <c r="G4166" s="16" t="str">
        <f>VLOOKUP(Table8[[#This Row],[Mã khách hàng]],code_khach_hang[],3,0)</f>
        <v>Miền Nam đặc biệt 2</v>
      </c>
      <c r="H4166" t="str">
        <f>VLOOKUP(Table8[[#This Row],[Mã khách hàng]],'Khách hàng'!A:D,4,0)</f>
        <v>Food Đức Việt</v>
      </c>
      <c r="I4166" t="str">
        <f>VLOOKUP(Table8[[#This Row],[Mã khách hàng]],'Khách hàng'!A:E,5,0)</f>
        <v>HC-CT120</v>
      </c>
    </row>
    <row r="4167" spans="1:9" x14ac:dyDescent="0.25">
      <c r="A4167" s="14" t="s">
        <v>13516</v>
      </c>
      <c r="B4167" s="15" t="s">
        <v>5</v>
      </c>
      <c r="C4167" s="16" t="s">
        <v>14642</v>
      </c>
      <c r="D4167" s="21"/>
      <c r="E4167" s="32" t="s">
        <v>15667</v>
      </c>
      <c r="F4167" s="22" t="str">
        <f>VLOOKUP(Table8[[#This Row],[Mã khách hàng]],code_khach_hang[],2,0)</f>
        <v>CÔNG TY CỔ PHẦN DỊCH VỤ THƯƠNG MẠI TỔNG HỢP WINCOMMERCE</v>
      </c>
      <c r="G4167" s="16" t="str">
        <f>VLOOKUP(Table8[[#This Row],[Mã khách hàng]],code_khach_hang[],3,0)</f>
        <v>Miền Nam đặc biệt 1</v>
      </c>
      <c r="H4167" t="str">
        <f>VLOOKUP(Table8[[#This Row],[Mã khách hàng]],'Khách hàng'!A:D,4,0)</f>
        <v>Food Đức Việt</v>
      </c>
      <c r="I4167" t="str">
        <f>VLOOKUP(Table8[[#This Row],[Mã khách hàng]],'Khách hàng'!A:E,5,0)</f>
        <v>HCVG80</v>
      </c>
    </row>
    <row r="4168" spans="1:9" x14ac:dyDescent="0.25">
      <c r="A4168" s="14" t="s">
        <v>13517</v>
      </c>
      <c r="B4168" s="15" t="s">
        <v>5</v>
      </c>
      <c r="C4168" s="16" t="s">
        <v>14643</v>
      </c>
      <c r="D4168" s="21"/>
      <c r="E4168" s="32" t="s">
        <v>15667</v>
      </c>
      <c r="F4168" s="22" t="str">
        <f>VLOOKUP(Table8[[#This Row],[Mã khách hàng]],code_khach_hang[],2,0)</f>
        <v>CÔNG TY CỔ PHẦN DỊCH VỤ THƯƠNG MẠI TỔNG HỢP WINCOMMERCE</v>
      </c>
      <c r="G4168" s="16" t="str">
        <f>VLOOKUP(Table8[[#This Row],[Mã khách hàng]],code_khach_hang[],3,0)</f>
        <v>Miền Nam đặc biệt 1</v>
      </c>
      <c r="H4168" t="str">
        <f>VLOOKUP(Table8[[#This Row],[Mã khách hàng]],'Khách hàng'!A:D,4,0)</f>
        <v>Food Đức Việt</v>
      </c>
      <c r="I4168" t="str">
        <f>VLOOKUP(Table8[[#This Row],[Mã khách hàng]],'Khách hàng'!A:E,5,0)</f>
        <v>HCVG80</v>
      </c>
    </row>
    <row r="4169" spans="1:9" x14ac:dyDescent="0.25">
      <c r="A4169" s="14" t="s">
        <v>13518</v>
      </c>
      <c r="B4169" s="15" t="s">
        <v>5</v>
      </c>
      <c r="C4169" s="16" t="s">
        <v>14644</v>
      </c>
      <c r="D4169" s="21"/>
      <c r="E4169" s="32" t="s">
        <v>15669</v>
      </c>
      <c r="F4169" s="22" t="str">
        <f>VLOOKUP(Table8[[#This Row],[Mã khách hàng]],code_khach_hang[],2,0)</f>
        <v>CHI NHÁNH CẦN THƠ - CÔNG TY CỔ PHẦN DỊCH VỤ THƯƠNG MẠI TỔNG HỢP WINCOMMERCE</v>
      </c>
      <c r="G4169" s="16" t="str">
        <f>VLOOKUP(Table8[[#This Row],[Mã khách hàng]],code_khach_hang[],3,0)</f>
        <v>Miền Nam đặc biệt 2</v>
      </c>
      <c r="H4169" t="str">
        <f>VLOOKUP(Table8[[#This Row],[Mã khách hàng]],'Khách hàng'!A:D,4,0)</f>
        <v>Food Đức Việt</v>
      </c>
      <c r="I4169" t="str">
        <f>VLOOKUP(Table8[[#This Row],[Mã khách hàng]],'Khách hàng'!A:E,5,0)</f>
        <v>HC-CT120</v>
      </c>
    </row>
    <row r="4170" spans="1:9" x14ac:dyDescent="0.25">
      <c r="A4170" s="14" t="s">
        <v>13519</v>
      </c>
      <c r="B4170" s="15" t="s">
        <v>5</v>
      </c>
      <c r="C4170" s="16" t="s">
        <v>14645</v>
      </c>
      <c r="D4170" s="21"/>
      <c r="E4170" s="32" t="s">
        <v>15667</v>
      </c>
      <c r="F4170" s="22" t="str">
        <f>VLOOKUP(Table8[[#This Row],[Mã khách hàng]],code_khach_hang[],2,0)</f>
        <v>CÔNG TY CỔ PHẦN DỊCH VỤ THƯƠNG MẠI TỔNG HỢP WINCOMMERCE</v>
      </c>
      <c r="G4170" s="16" t="str">
        <f>VLOOKUP(Table8[[#This Row],[Mã khách hàng]],code_khach_hang[],3,0)</f>
        <v>Miền Nam đặc biệt 1</v>
      </c>
      <c r="H4170" t="str">
        <f>VLOOKUP(Table8[[#This Row],[Mã khách hàng]],'Khách hàng'!A:D,4,0)</f>
        <v>Food Đức Việt</v>
      </c>
      <c r="I4170" t="str">
        <f>VLOOKUP(Table8[[#This Row],[Mã khách hàng]],'Khách hàng'!A:E,5,0)</f>
        <v>HCVG80</v>
      </c>
    </row>
    <row r="4171" spans="1:9" x14ac:dyDescent="0.25">
      <c r="A4171" s="14" t="s">
        <v>13520</v>
      </c>
      <c r="B4171" s="15" t="s">
        <v>5</v>
      </c>
      <c r="C4171" s="16" t="s">
        <v>14646</v>
      </c>
      <c r="D4171" s="21"/>
      <c r="E4171" s="32" t="s">
        <v>15667</v>
      </c>
      <c r="F4171" s="22" t="str">
        <f>VLOOKUP(Table8[[#This Row],[Mã khách hàng]],code_khach_hang[],2,0)</f>
        <v>CÔNG TY CỔ PHẦN DỊCH VỤ THƯƠNG MẠI TỔNG HỢP WINCOMMERCE</v>
      </c>
      <c r="G4171" s="16" t="str">
        <f>VLOOKUP(Table8[[#This Row],[Mã khách hàng]],code_khach_hang[],3,0)</f>
        <v>Miền Nam đặc biệt 1</v>
      </c>
      <c r="H4171" t="str">
        <f>VLOOKUP(Table8[[#This Row],[Mã khách hàng]],'Khách hàng'!A:D,4,0)</f>
        <v>Food Đức Việt</v>
      </c>
      <c r="I4171" t="str">
        <f>VLOOKUP(Table8[[#This Row],[Mã khách hàng]],'Khách hàng'!A:E,5,0)</f>
        <v>HCVG80</v>
      </c>
    </row>
    <row r="4172" spans="1:9" x14ac:dyDescent="0.25">
      <c r="A4172" s="14" t="s">
        <v>13521</v>
      </c>
      <c r="B4172" s="15" t="s">
        <v>5</v>
      </c>
      <c r="C4172" s="16" t="s">
        <v>14647</v>
      </c>
      <c r="D4172" s="21"/>
      <c r="E4172" s="32" t="s">
        <v>15667</v>
      </c>
      <c r="F4172" s="22" t="str">
        <f>VLOOKUP(Table8[[#This Row],[Mã khách hàng]],code_khach_hang[],2,0)</f>
        <v>CÔNG TY CỔ PHẦN DỊCH VỤ THƯƠNG MẠI TỔNG HỢP WINCOMMERCE</v>
      </c>
      <c r="G4172" s="16" t="str">
        <f>VLOOKUP(Table8[[#This Row],[Mã khách hàng]],code_khach_hang[],3,0)</f>
        <v>Miền Nam đặc biệt 1</v>
      </c>
      <c r="H4172" t="str">
        <f>VLOOKUP(Table8[[#This Row],[Mã khách hàng]],'Khách hàng'!A:D,4,0)</f>
        <v>Food Đức Việt</v>
      </c>
      <c r="I4172" t="str">
        <f>VLOOKUP(Table8[[#This Row],[Mã khách hàng]],'Khách hàng'!A:E,5,0)</f>
        <v>HCVG80</v>
      </c>
    </row>
    <row r="4173" spans="1:9" x14ac:dyDescent="0.25">
      <c r="A4173" s="14" t="s">
        <v>13522</v>
      </c>
      <c r="B4173" s="15" t="s">
        <v>5</v>
      </c>
      <c r="C4173" s="16" t="s">
        <v>14648</v>
      </c>
      <c r="D4173" s="21"/>
      <c r="E4173" s="32" t="s">
        <v>15667</v>
      </c>
      <c r="F4173" s="22" t="str">
        <f>VLOOKUP(Table8[[#This Row],[Mã khách hàng]],code_khach_hang[],2,0)</f>
        <v>CÔNG TY CỔ PHẦN DỊCH VỤ THƯƠNG MẠI TỔNG HỢP WINCOMMERCE</v>
      </c>
      <c r="G4173" s="16" t="str">
        <f>VLOOKUP(Table8[[#This Row],[Mã khách hàng]],code_khach_hang[],3,0)</f>
        <v>Miền Nam đặc biệt 1</v>
      </c>
      <c r="H4173" t="str">
        <f>VLOOKUP(Table8[[#This Row],[Mã khách hàng]],'Khách hàng'!A:D,4,0)</f>
        <v>Food Đức Việt</v>
      </c>
      <c r="I4173" t="str">
        <f>VLOOKUP(Table8[[#This Row],[Mã khách hàng]],'Khách hàng'!A:E,5,0)</f>
        <v>HCVG80</v>
      </c>
    </row>
    <row r="4174" spans="1:9" x14ac:dyDescent="0.25">
      <c r="A4174" s="14" t="s">
        <v>13523</v>
      </c>
      <c r="B4174" s="15" t="s">
        <v>5</v>
      </c>
      <c r="C4174" s="16" t="s">
        <v>14649</v>
      </c>
      <c r="D4174" s="21"/>
      <c r="E4174" s="32" t="s">
        <v>15667</v>
      </c>
      <c r="F4174" s="22" t="str">
        <f>VLOOKUP(Table8[[#This Row],[Mã khách hàng]],code_khach_hang[],2,0)</f>
        <v>CÔNG TY CỔ PHẦN DỊCH VỤ THƯƠNG MẠI TỔNG HỢP WINCOMMERCE</v>
      </c>
      <c r="G4174" s="16" t="str">
        <f>VLOOKUP(Table8[[#This Row],[Mã khách hàng]],code_khach_hang[],3,0)</f>
        <v>Miền Nam đặc biệt 1</v>
      </c>
      <c r="H4174" t="str">
        <f>VLOOKUP(Table8[[#This Row],[Mã khách hàng]],'Khách hàng'!A:D,4,0)</f>
        <v>Food Đức Việt</v>
      </c>
      <c r="I4174" t="str">
        <f>VLOOKUP(Table8[[#This Row],[Mã khách hàng]],'Khách hàng'!A:E,5,0)</f>
        <v>HCVG80</v>
      </c>
    </row>
    <row r="4175" spans="1:9" x14ac:dyDescent="0.25">
      <c r="A4175" s="14" t="s">
        <v>13524</v>
      </c>
      <c r="B4175" s="15" t="s">
        <v>5</v>
      </c>
      <c r="C4175" s="16" t="s">
        <v>14650</v>
      </c>
      <c r="D4175" s="21"/>
      <c r="E4175" s="32" t="s">
        <v>15667</v>
      </c>
      <c r="F4175" s="22" t="str">
        <f>VLOOKUP(Table8[[#This Row],[Mã khách hàng]],code_khach_hang[],2,0)</f>
        <v>CÔNG TY CỔ PHẦN DỊCH VỤ THƯƠNG MẠI TỔNG HỢP WINCOMMERCE</v>
      </c>
      <c r="G4175" s="16" t="str">
        <f>VLOOKUP(Table8[[#This Row],[Mã khách hàng]],code_khach_hang[],3,0)</f>
        <v>Miền Nam đặc biệt 1</v>
      </c>
      <c r="H4175" t="str">
        <f>VLOOKUP(Table8[[#This Row],[Mã khách hàng]],'Khách hàng'!A:D,4,0)</f>
        <v>Food Đức Việt</v>
      </c>
      <c r="I4175" t="str">
        <f>VLOOKUP(Table8[[#This Row],[Mã khách hàng]],'Khách hàng'!A:E,5,0)</f>
        <v>HCVG80</v>
      </c>
    </row>
    <row r="4176" spans="1:9" x14ac:dyDescent="0.25">
      <c r="A4176" s="14" t="s">
        <v>13525</v>
      </c>
      <c r="B4176" s="15" t="s">
        <v>5</v>
      </c>
      <c r="C4176" s="16" t="s">
        <v>14651</v>
      </c>
      <c r="D4176" s="21"/>
      <c r="E4176" s="32" t="s">
        <v>15671</v>
      </c>
      <c r="F4176" s="22" t="str">
        <f>VLOOKUP(Table8[[#This Row],[Mã khách hàng]],code_khach_hang[],2,0)</f>
        <v>CHI NHÁNH BÌNH DƯƠNG - CÔNG TY CỔ PHẦN DỊCH VỤ THƯƠNG MẠI TỔNG HỢP WINCOMMERCE</v>
      </c>
      <c r="G4176" s="16" t="str">
        <f>VLOOKUP(Table8[[#This Row],[Mã khách hàng]],code_khach_hang[],3,0)</f>
        <v>Miền Nam đặc biệt 1</v>
      </c>
      <c r="H4176" t="str">
        <f>VLOOKUP(Table8[[#This Row],[Mã khách hàng]],'Khách hàng'!A:D,4,0)</f>
        <v>Food Đức Việt</v>
      </c>
      <c r="I4176" t="str">
        <f>VLOOKUP(Table8[[#This Row],[Mã khách hàng]],'Khách hàng'!A:E,5,0)</f>
        <v>HCVG80</v>
      </c>
    </row>
    <row r="4177" spans="1:9" x14ac:dyDescent="0.25">
      <c r="A4177" s="14" t="s">
        <v>13526</v>
      </c>
      <c r="B4177" s="15" t="s">
        <v>5</v>
      </c>
      <c r="C4177" s="16" t="s">
        <v>14652</v>
      </c>
      <c r="D4177" s="21"/>
      <c r="E4177" s="32" t="s">
        <v>15671</v>
      </c>
      <c r="F4177" s="22" t="str">
        <f>VLOOKUP(Table8[[#This Row],[Mã khách hàng]],code_khach_hang[],2,0)</f>
        <v>CHI NHÁNH BÌNH DƯƠNG - CÔNG TY CỔ PHẦN DỊCH VỤ THƯƠNG MẠI TỔNG HỢP WINCOMMERCE</v>
      </c>
      <c r="G4177" s="16" t="str">
        <f>VLOOKUP(Table8[[#This Row],[Mã khách hàng]],code_khach_hang[],3,0)</f>
        <v>Miền Nam đặc biệt 1</v>
      </c>
      <c r="H4177" t="str">
        <f>VLOOKUP(Table8[[#This Row],[Mã khách hàng]],'Khách hàng'!A:D,4,0)</f>
        <v>Food Đức Việt</v>
      </c>
      <c r="I4177" t="str">
        <f>VLOOKUP(Table8[[#This Row],[Mã khách hàng]],'Khách hàng'!A:E,5,0)</f>
        <v>HCVG80</v>
      </c>
    </row>
    <row r="4178" spans="1:9" x14ac:dyDescent="0.25">
      <c r="A4178" s="14" t="s">
        <v>13527</v>
      </c>
      <c r="B4178" s="15" t="s">
        <v>5</v>
      </c>
      <c r="C4178" s="16" t="s">
        <v>14653</v>
      </c>
      <c r="D4178" s="21"/>
      <c r="E4178" s="32" t="s">
        <v>15667</v>
      </c>
      <c r="F4178" s="22" t="str">
        <f>VLOOKUP(Table8[[#This Row],[Mã khách hàng]],code_khach_hang[],2,0)</f>
        <v>CÔNG TY CỔ PHẦN DỊCH VỤ THƯƠNG MẠI TỔNG HỢP WINCOMMERCE</v>
      </c>
      <c r="G4178" s="16" t="str">
        <f>VLOOKUP(Table8[[#This Row],[Mã khách hàng]],code_khach_hang[],3,0)</f>
        <v>Miền Nam đặc biệt 1</v>
      </c>
      <c r="H4178" t="str">
        <f>VLOOKUP(Table8[[#This Row],[Mã khách hàng]],'Khách hàng'!A:D,4,0)</f>
        <v>Food Đức Việt</v>
      </c>
      <c r="I4178" t="str">
        <f>VLOOKUP(Table8[[#This Row],[Mã khách hàng]],'Khách hàng'!A:E,5,0)</f>
        <v>HCVG80</v>
      </c>
    </row>
    <row r="4179" spans="1:9" x14ac:dyDescent="0.25">
      <c r="A4179" s="14" t="s">
        <v>13528</v>
      </c>
      <c r="B4179" s="15" t="s">
        <v>5</v>
      </c>
      <c r="C4179" s="16" t="s">
        <v>14654</v>
      </c>
      <c r="D4179" s="21"/>
      <c r="E4179" s="32" t="s">
        <v>15669</v>
      </c>
      <c r="F4179" s="22" t="str">
        <f>VLOOKUP(Table8[[#This Row],[Mã khách hàng]],code_khach_hang[],2,0)</f>
        <v>CHI NHÁNH CẦN THƠ - CÔNG TY CỔ PHẦN DỊCH VỤ THƯƠNG MẠI TỔNG HỢP WINCOMMERCE</v>
      </c>
      <c r="G4179" s="16" t="str">
        <f>VLOOKUP(Table8[[#This Row],[Mã khách hàng]],code_khach_hang[],3,0)</f>
        <v>Miền Nam đặc biệt 2</v>
      </c>
      <c r="H4179" t="str">
        <f>VLOOKUP(Table8[[#This Row],[Mã khách hàng]],'Khách hàng'!A:D,4,0)</f>
        <v>Food Đức Việt</v>
      </c>
      <c r="I4179" t="str">
        <f>VLOOKUP(Table8[[#This Row],[Mã khách hàng]],'Khách hàng'!A:E,5,0)</f>
        <v>HC-CT120</v>
      </c>
    </row>
    <row r="4180" spans="1:9" x14ac:dyDescent="0.25">
      <c r="A4180" s="14" t="s">
        <v>13529</v>
      </c>
      <c r="B4180" s="15" t="s">
        <v>5</v>
      </c>
      <c r="C4180" s="16" t="s">
        <v>14655</v>
      </c>
      <c r="D4180" s="21"/>
      <c r="E4180" s="32" t="s">
        <v>15667</v>
      </c>
      <c r="F4180" s="22" t="str">
        <f>VLOOKUP(Table8[[#This Row],[Mã khách hàng]],code_khach_hang[],2,0)</f>
        <v>CÔNG TY CỔ PHẦN DỊCH VỤ THƯƠNG MẠI TỔNG HỢP WINCOMMERCE</v>
      </c>
      <c r="G4180" s="16" t="str">
        <f>VLOOKUP(Table8[[#This Row],[Mã khách hàng]],code_khach_hang[],3,0)</f>
        <v>Miền Nam đặc biệt 1</v>
      </c>
      <c r="H4180" t="str">
        <f>VLOOKUP(Table8[[#This Row],[Mã khách hàng]],'Khách hàng'!A:D,4,0)</f>
        <v>Food Đức Việt</v>
      </c>
      <c r="I4180" t="str">
        <f>VLOOKUP(Table8[[#This Row],[Mã khách hàng]],'Khách hàng'!A:E,5,0)</f>
        <v>HCVG80</v>
      </c>
    </row>
    <row r="4181" spans="1:9" x14ac:dyDescent="0.25">
      <c r="A4181" s="14" t="s">
        <v>13530</v>
      </c>
      <c r="B4181" s="15" t="s">
        <v>5</v>
      </c>
      <c r="C4181" s="16" t="s">
        <v>14656</v>
      </c>
      <c r="D4181" s="21"/>
      <c r="E4181" s="32" t="s">
        <v>15667</v>
      </c>
      <c r="F4181" s="22" t="str">
        <f>VLOOKUP(Table8[[#This Row],[Mã khách hàng]],code_khach_hang[],2,0)</f>
        <v>CÔNG TY CỔ PHẦN DỊCH VỤ THƯƠNG MẠI TỔNG HỢP WINCOMMERCE</v>
      </c>
      <c r="G4181" s="16" t="str">
        <f>VLOOKUP(Table8[[#This Row],[Mã khách hàng]],code_khach_hang[],3,0)</f>
        <v>Miền Nam đặc biệt 1</v>
      </c>
      <c r="H4181" t="str">
        <f>VLOOKUP(Table8[[#This Row],[Mã khách hàng]],'Khách hàng'!A:D,4,0)</f>
        <v>Food Đức Việt</v>
      </c>
      <c r="I4181" t="str">
        <f>VLOOKUP(Table8[[#This Row],[Mã khách hàng]],'Khách hàng'!A:E,5,0)</f>
        <v>HCVG80</v>
      </c>
    </row>
    <row r="4182" spans="1:9" x14ac:dyDescent="0.25">
      <c r="A4182" s="14" t="s">
        <v>13531</v>
      </c>
      <c r="B4182" s="15" t="s">
        <v>5</v>
      </c>
      <c r="C4182" s="16" t="s">
        <v>14657</v>
      </c>
      <c r="D4182" s="21"/>
      <c r="E4182" s="32" t="s">
        <v>15667</v>
      </c>
      <c r="F4182" s="22" t="str">
        <f>VLOOKUP(Table8[[#This Row],[Mã khách hàng]],code_khach_hang[],2,0)</f>
        <v>CÔNG TY CỔ PHẦN DỊCH VỤ THƯƠNG MẠI TỔNG HỢP WINCOMMERCE</v>
      </c>
      <c r="G4182" s="16" t="str">
        <f>VLOOKUP(Table8[[#This Row],[Mã khách hàng]],code_khach_hang[],3,0)</f>
        <v>Miền Nam đặc biệt 1</v>
      </c>
      <c r="H4182" t="str">
        <f>VLOOKUP(Table8[[#This Row],[Mã khách hàng]],'Khách hàng'!A:D,4,0)</f>
        <v>Food Đức Việt</v>
      </c>
      <c r="I4182" t="str">
        <f>VLOOKUP(Table8[[#This Row],[Mã khách hàng]],'Khách hàng'!A:E,5,0)</f>
        <v>HCVG80</v>
      </c>
    </row>
    <row r="4183" spans="1:9" x14ac:dyDescent="0.25">
      <c r="A4183" s="14" t="s">
        <v>13532</v>
      </c>
      <c r="B4183" s="15" t="s">
        <v>5</v>
      </c>
      <c r="C4183" s="16" t="s">
        <v>14658</v>
      </c>
      <c r="D4183" s="21"/>
      <c r="E4183" s="32" t="s">
        <v>15671</v>
      </c>
      <c r="F4183" s="22" t="str">
        <f>VLOOKUP(Table8[[#This Row],[Mã khách hàng]],code_khach_hang[],2,0)</f>
        <v>CHI NHÁNH BÌNH DƯƠNG - CÔNG TY CỔ PHẦN DỊCH VỤ THƯƠNG MẠI TỔNG HỢP WINCOMMERCE</v>
      </c>
      <c r="G4183" s="16" t="str">
        <f>VLOOKUP(Table8[[#This Row],[Mã khách hàng]],code_khach_hang[],3,0)</f>
        <v>Miền Nam đặc biệt 1</v>
      </c>
      <c r="H4183" t="str">
        <f>VLOOKUP(Table8[[#This Row],[Mã khách hàng]],'Khách hàng'!A:D,4,0)</f>
        <v>Food Đức Việt</v>
      </c>
      <c r="I4183" t="str">
        <f>VLOOKUP(Table8[[#This Row],[Mã khách hàng]],'Khách hàng'!A:E,5,0)</f>
        <v>HCVG80</v>
      </c>
    </row>
    <row r="4184" spans="1:9" x14ac:dyDescent="0.25">
      <c r="A4184" s="14" t="s">
        <v>13533</v>
      </c>
      <c r="B4184" s="15" t="s">
        <v>5</v>
      </c>
      <c r="C4184" s="16" t="s">
        <v>14659</v>
      </c>
      <c r="D4184" s="21"/>
      <c r="E4184" s="32" t="s">
        <v>15671</v>
      </c>
      <c r="F4184" s="22" t="str">
        <f>VLOOKUP(Table8[[#This Row],[Mã khách hàng]],code_khach_hang[],2,0)</f>
        <v>CHI NHÁNH BÌNH DƯƠNG - CÔNG TY CỔ PHẦN DỊCH VỤ THƯƠNG MẠI TỔNG HỢP WINCOMMERCE</v>
      </c>
      <c r="G4184" s="16" t="str">
        <f>VLOOKUP(Table8[[#This Row],[Mã khách hàng]],code_khach_hang[],3,0)</f>
        <v>Miền Nam đặc biệt 1</v>
      </c>
      <c r="H4184" t="str">
        <f>VLOOKUP(Table8[[#This Row],[Mã khách hàng]],'Khách hàng'!A:D,4,0)</f>
        <v>Food Đức Việt</v>
      </c>
      <c r="I4184" t="str">
        <f>VLOOKUP(Table8[[#This Row],[Mã khách hàng]],'Khách hàng'!A:E,5,0)</f>
        <v>HCVG80</v>
      </c>
    </row>
    <row r="4185" spans="1:9" x14ac:dyDescent="0.25">
      <c r="A4185" s="14" t="s">
        <v>13534</v>
      </c>
      <c r="B4185" s="15" t="s">
        <v>5</v>
      </c>
      <c r="C4185" s="16" t="s">
        <v>14660</v>
      </c>
      <c r="D4185" s="21"/>
      <c r="E4185" s="32" t="s">
        <v>15669</v>
      </c>
      <c r="F4185" s="22" t="str">
        <f>VLOOKUP(Table8[[#This Row],[Mã khách hàng]],code_khach_hang[],2,0)</f>
        <v>CHI NHÁNH CẦN THƠ - CÔNG TY CỔ PHẦN DỊCH VỤ THƯƠNG MẠI TỔNG HỢP WINCOMMERCE</v>
      </c>
      <c r="G4185" s="16" t="str">
        <f>VLOOKUP(Table8[[#This Row],[Mã khách hàng]],code_khach_hang[],3,0)</f>
        <v>Miền Nam đặc biệt 2</v>
      </c>
      <c r="H4185" t="str">
        <f>VLOOKUP(Table8[[#This Row],[Mã khách hàng]],'Khách hàng'!A:D,4,0)</f>
        <v>Food Đức Việt</v>
      </c>
      <c r="I4185" t="str">
        <f>VLOOKUP(Table8[[#This Row],[Mã khách hàng]],'Khách hàng'!A:E,5,0)</f>
        <v>HC-CT120</v>
      </c>
    </row>
    <row r="4186" spans="1:9" x14ac:dyDescent="0.25">
      <c r="A4186" s="14" t="s">
        <v>13535</v>
      </c>
      <c r="B4186" s="15" t="s">
        <v>5</v>
      </c>
      <c r="C4186" s="16" t="s">
        <v>14661</v>
      </c>
      <c r="D4186" s="21"/>
      <c r="E4186" s="32" t="s">
        <v>15669</v>
      </c>
      <c r="F4186" s="22" t="str">
        <f>VLOOKUP(Table8[[#This Row],[Mã khách hàng]],code_khach_hang[],2,0)</f>
        <v>CHI NHÁNH CẦN THƠ - CÔNG TY CỔ PHẦN DỊCH VỤ THƯƠNG MẠI TỔNG HỢP WINCOMMERCE</v>
      </c>
      <c r="G4186" s="16" t="str">
        <f>VLOOKUP(Table8[[#This Row],[Mã khách hàng]],code_khach_hang[],3,0)</f>
        <v>Miền Nam đặc biệt 2</v>
      </c>
      <c r="H4186" t="str">
        <f>VLOOKUP(Table8[[#This Row],[Mã khách hàng]],'Khách hàng'!A:D,4,0)</f>
        <v>Food Đức Việt</v>
      </c>
      <c r="I4186" t="str">
        <f>VLOOKUP(Table8[[#This Row],[Mã khách hàng]],'Khách hàng'!A:E,5,0)</f>
        <v>HC-CT120</v>
      </c>
    </row>
    <row r="4187" spans="1:9" x14ac:dyDescent="0.25">
      <c r="A4187" s="14" t="s">
        <v>13536</v>
      </c>
      <c r="B4187" s="15" t="s">
        <v>5</v>
      </c>
      <c r="C4187" s="16" t="s">
        <v>14662</v>
      </c>
      <c r="D4187" s="21"/>
      <c r="E4187" s="32" t="s">
        <v>15669</v>
      </c>
      <c r="F4187" s="22" t="str">
        <f>VLOOKUP(Table8[[#This Row],[Mã khách hàng]],code_khach_hang[],2,0)</f>
        <v>CHI NHÁNH CẦN THƠ - CÔNG TY CỔ PHẦN DỊCH VỤ THƯƠNG MẠI TỔNG HỢP WINCOMMERCE</v>
      </c>
      <c r="G4187" s="16" t="str">
        <f>VLOOKUP(Table8[[#This Row],[Mã khách hàng]],code_khach_hang[],3,0)</f>
        <v>Miền Nam đặc biệt 2</v>
      </c>
      <c r="H4187" t="str">
        <f>VLOOKUP(Table8[[#This Row],[Mã khách hàng]],'Khách hàng'!A:D,4,0)</f>
        <v>Food Đức Việt</v>
      </c>
      <c r="I4187" t="str">
        <f>VLOOKUP(Table8[[#This Row],[Mã khách hàng]],'Khách hàng'!A:E,5,0)</f>
        <v>HC-CT120</v>
      </c>
    </row>
    <row r="4188" spans="1:9" x14ac:dyDescent="0.25">
      <c r="A4188" s="14" t="s">
        <v>13537</v>
      </c>
      <c r="B4188" s="15" t="s">
        <v>5</v>
      </c>
      <c r="C4188" s="16" t="s">
        <v>14663</v>
      </c>
      <c r="D4188" s="21"/>
      <c r="E4188" s="32" t="s">
        <v>15669</v>
      </c>
      <c r="F4188" s="22" t="str">
        <f>VLOOKUP(Table8[[#This Row],[Mã khách hàng]],code_khach_hang[],2,0)</f>
        <v>CHI NHÁNH CẦN THƠ - CÔNG TY CỔ PHẦN DỊCH VỤ THƯƠNG MẠI TỔNG HỢP WINCOMMERCE</v>
      </c>
      <c r="G4188" s="16" t="str">
        <f>VLOOKUP(Table8[[#This Row],[Mã khách hàng]],code_khach_hang[],3,0)</f>
        <v>Miền Nam đặc biệt 2</v>
      </c>
      <c r="H4188" t="str">
        <f>VLOOKUP(Table8[[#This Row],[Mã khách hàng]],'Khách hàng'!A:D,4,0)</f>
        <v>Food Đức Việt</v>
      </c>
      <c r="I4188" t="str">
        <f>VLOOKUP(Table8[[#This Row],[Mã khách hàng]],'Khách hàng'!A:E,5,0)</f>
        <v>HC-CT120</v>
      </c>
    </row>
    <row r="4189" spans="1:9" x14ac:dyDescent="0.25">
      <c r="A4189" s="14" t="s">
        <v>13538</v>
      </c>
      <c r="B4189" s="15" t="s">
        <v>5</v>
      </c>
      <c r="C4189" s="16" t="s">
        <v>14664</v>
      </c>
      <c r="D4189" s="21"/>
      <c r="E4189" s="32" t="s">
        <v>15669</v>
      </c>
      <c r="F4189" s="22" t="str">
        <f>VLOOKUP(Table8[[#This Row],[Mã khách hàng]],code_khach_hang[],2,0)</f>
        <v>CHI NHÁNH CẦN THƠ - CÔNG TY CỔ PHẦN DỊCH VỤ THƯƠNG MẠI TỔNG HỢP WINCOMMERCE</v>
      </c>
      <c r="G4189" s="16" t="str">
        <f>VLOOKUP(Table8[[#This Row],[Mã khách hàng]],code_khach_hang[],3,0)</f>
        <v>Miền Nam đặc biệt 2</v>
      </c>
      <c r="H4189" t="str">
        <f>VLOOKUP(Table8[[#This Row],[Mã khách hàng]],'Khách hàng'!A:D,4,0)</f>
        <v>Food Đức Việt</v>
      </c>
      <c r="I4189" t="str">
        <f>VLOOKUP(Table8[[#This Row],[Mã khách hàng]],'Khách hàng'!A:E,5,0)</f>
        <v>HC-CT120</v>
      </c>
    </row>
    <row r="4190" spans="1:9" x14ac:dyDescent="0.25">
      <c r="A4190" s="14" t="s">
        <v>13539</v>
      </c>
      <c r="B4190" s="15" t="s">
        <v>5</v>
      </c>
      <c r="C4190" s="16" t="s">
        <v>14665</v>
      </c>
      <c r="D4190" s="21"/>
      <c r="E4190" s="32" t="s">
        <v>15672</v>
      </c>
      <c r="F4190" s="22" t="str">
        <f>VLOOKUP(Table8[[#This Row],[Mã khách hàng]],code_khach_hang[],2,0)</f>
        <v>CHI NHÁNH AN GIANG - CÔNG TY CỔ PHẦN DỊCH VỤ THƯƠNG MẠI TỔNG HỢP WINCOMMERCE</v>
      </c>
      <c r="G4190" s="16" t="str">
        <f>VLOOKUP(Table8[[#This Row],[Mã khách hàng]],code_khach_hang[],3,0)</f>
        <v>Miền Nam đặc biệt 2</v>
      </c>
      <c r="H4190" t="str">
        <f>VLOOKUP(Table8[[#This Row],[Mã khách hàng]],'Khách hàng'!A:D,4,0)</f>
        <v>Food Đức Việt</v>
      </c>
      <c r="I4190" t="str">
        <f>VLOOKUP(Table8[[#This Row],[Mã khách hàng]],'Khách hàng'!A:E,5,0)</f>
        <v>HC-CT120</v>
      </c>
    </row>
    <row r="4191" spans="1:9" x14ac:dyDescent="0.25">
      <c r="A4191" s="14" t="s">
        <v>13540</v>
      </c>
      <c r="B4191" s="15" t="s">
        <v>5</v>
      </c>
      <c r="C4191" s="16" t="s">
        <v>14666</v>
      </c>
      <c r="D4191" s="21"/>
      <c r="E4191" s="32" t="s">
        <v>15672</v>
      </c>
      <c r="F4191" s="22" t="str">
        <f>VLOOKUP(Table8[[#This Row],[Mã khách hàng]],code_khach_hang[],2,0)</f>
        <v>CHI NHÁNH AN GIANG - CÔNG TY CỔ PHẦN DỊCH VỤ THƯƠNG MẠI TỔNG HỢP WINCOMMERCE</v>
      </c>
      <c r="G4191" s="16" t="str">
        <f>VLOOKUP(Table8[[#This Row],[Mã khách hàng]],code_khach_hang[],3,0)</f>
        <v>Miền Nam đặc biệt 2</v>
      </c>
      <c r="H4191" t="str">
        <f>VLOOKUP(Table8[[#This Row],[Mã khách hàng]],'Khách hàng'!A:D,4,0)</f>
        <v>Food Đức Việt</v>
      </c>
      <c r="I4191" t="str">
        <f>VLOOKUP(Table8[[#This Row],[Mã khách hàng]],'Khách hàng'!A:E,5,0)</f>
        <v>HC-CT120</v>
      </c>
    </row>
    <row r="4192" spans="1:9" x14ac:dyDescent="0.25">
      <c r="A4192" s="14" t="s">
        <v>13541</v>
      </c>
      <c r="B4192" s="15" t="s">
        <v>5</v>
      </c>
      <c r="C4192" s="16" t="s">
        <v>14667</v>
      </c>
      <c r="D4192" s="21"/>
      <c r="E4192" s="32" t="s">
        <v>15670</v>
      </c>
      <c r="F4192" s="22" t="str">
        <f>VLOOKUP(Table8[[#This Row],[Mã khách hàng]],code_khach_hang[],2,0)</f>
        <v>CHI NHÁNH TIỀN GIANG - CÔNG TY CỔ PHẦN DỊCH VỤ THƯƠNG MẠI TỔNG HỢP WINCOMMERCE</v>
      </c>
      <c r="G4192" s="16" t="str">
        <f>VLOOKUP(Table8[[#This Row],[Mã khách hàng]],code_khach_hang[],3,0)</f>
        <v>Miền Nam đặc biệt 1</v>
      </c>
      <c r="H4192" t="str">
        <f>VLOOKUP(Table8[[#This Row],[Mã khách hàng]],'Khách hàng'!A:D,4,0)</f>
        <v>Food Đức Việt</v>
      </c>
      <c r="I4192" t="str">
        <f>VLOOKUP(Table8[[#This Row],[Mã khách hàng]],'Khách hàng'!A:E,5,0)</f>
        <v>HCVG80</v>
      </c>
    </row>
    <row r="4193" spans="1:9" x14ac:dyDescent="0.25">
      <c r="A4193" s="14" t="s">
        <v>13542</v>
      </c>
      <c r="B4193" s="15" t="s">
        <v>5</v>
      </c>
      <c r="C4193" s="16" t="s">
        <v>14668</v>
      </c>
      <c r="D4193" s="21"/>
      <c r="E4193" s="32" t="s">
        <v>15672</v>
      </c>
      <c r="F4193" s="22" t="str">
        <f>VLOOKUP(Table8[[#This Row],[Mã khách hàng]],code_khach_hang[],2,0)</f>
        <v>CHI NHÁNH AN GIANG - CÔNG TY CỔ PHẦN DỊCH VỤ THƯƠNG MẠI TỔNG HỢP WINCOMMERCE</v>
      </c>
      <c r="G4193" s="16" t="str">
        <f>VLOOKUP(Table8[[#This Row],[Mã khách hàng]],code_khach_hang[],3,0)</f>
        <v>Miền Nam đặc biệt 2</v>
      </c>
      <c r="H4193" t="str">
        <f>VLOOKUP(Table8[[#This Row],[Mã khách hàng]],'Khách hàng'!A:D,4,0)</f>
        <v>Food Đức Việt</v>
      </c>
      <c r="I4193" t="str">
        <f>VLOOKUP(Table8[[#This Row],[Mã khách hàng]],'Khách hàng'!A:E,5,0)</f>
        <v>HC-CT120</v>
      </c>
    </row>
    <row r="4194" spans="1:9" x14ac:dyDescent="0.25">
      <c r="A4194" s="14" t="s">
        <v>13543</v>
      </c>
      <c r="B4194" s="15" t="s">
        <v>5</v>
      </c>
      <c r="C4194" s="16" t="s">
        <v>14669</v>
      </c>
      <c r="D4194" s="21"/>
      <c r="E4194" s="32" t="s">
        <v>15672</v>
      </c>
      <c r="F4194" s="22" t="str">
        <f>VLOOKUP(Table8[[#This Row],[Mã khách hàng]],code_khach_hang[],2,0)</f>
        <v>CHI NHÁNH AN GIANG - CÔNG TY CỔ PHẦN DỊCH VỤ THƯƠNG MẠI TỔNG HỢP WINCOMMERCE</v>
      </c>
      <c r="G4194" s="16" t="str">
        <f>VLOOKUP(Table8[[#This Row],[Mã khách hàng]],code_khach_hang[],3,0)</f>
        <v>Miền Nam đặc biệt 2</v>
      </c>
      <c r="H4194" t="str">
        <f>VLOOKUP(Table8[[#This Row],[Mã khách hàng]],'Khách hàng'!A:D,4,0)</f>
        <v>Food Đức Việt</v>
      </c>
      <c r="I4194" t="str">
        <f>VLOOKUP(Table8[[#This Row],[Mã khách hàng]],'Khách hàng'!A:E,5,0)</f>
        <v>HC-CT120</v>
      </c>
    </row>
    <row r="4195" spans="1:9" x14ac:dyDescent="0.25">
      <c r="A4195" s="14" t="s">
        <v>13544</v>
      </c>
      <c r="B4195" s="15" t="s">
        <v>5</v>
      </c>
      <c r="C4195" s="16" t="s">
        <v>14670</v>
      </c>
      <c r="D4195" s="21"/>
      <c r="E4195" s="32" t="s">
        <v>15672</v>
      </c>
      <c r="F4195" s="22" t="str">
        <f>VLOOKUP(Table8[[#This Row],[Mã khách hàng]],code_khach_hang[],2,0)</f>
        <v>CHI NHÁNH AN GIANG - CÔNG TY CỔ PHẦN DỊCH VỤ THƯƠNG MẠI TỔNG HỢP WINCOMMERCE</v>
      </c>
      <c r="G4195" s="16" t="str">
        <f>VLOOKUP(Table8[[#This Row],[Mã khách hàng]],code_khach_hang[],3,0)</f>
        <v>Miền Nam đặc biệt 2</v>
      </c>
      <c r="H4195" t="str">
        <f>VLOOKUP(Table8[[#This Row],[Mã khách hàng]],'Khách hàng'!A:D,4,0)</f>
        <v>Food Đức Việt</v>
      </c>
      <c r="I4195" t="str">
        <f>VLOOKUP(Table8[[#This Row],[Mã khách hàng]],'Khách hàng'!A:E,5,0)</f>
        <v>HC-CT120</v>
      </c>
    </row>
    <row r="4196" spans="1:9" x14ac:dyDescent="0.25">
      <c r="A4196" s="14" t="s">
        <v>13545</v>
      </c>
      <c r="B4196" s="15" t="s">
        <v>5</v>
      </c>
      <c r="C4196" s="16" t="s">
        <v>14671</v>
      </c>
      <c r="D4196" s="21"/>
      <c r="E4196" s="32" t="s">
        <v>15672</v>
      </c>
      <c r="F4196" s="22" t="str">
        <f>VLOOKUP(Table8[[#This Row],[Mã khách hàng]],code_khach_hang[],2,0)</f>
        <v>CHI NHÁNH AN GIANG - CÔNG TY CỔ PHẦN DỊCH VỤ THƯƠNG MẠI TỔNG HỢP WINCOMMERCE</v>
      </c>
      <c r="G4196" s="16" t="str">
        <f>VLOOKUP(Table8[[#This Row],[Mã khách hàng]],code_khach_hang[],3,0)</f>
        <v>Miền Nam đặc biệt 2</v>
      </c>
      <c r="H4196" t="str">
        <f>VLOOKUP(Table8[[#This Row],[Mã khách hàng]],'Khách hàng'!A:D,4,0)</f>
        <v>Food Đức Việt</v>
      </c>
      <c r="I4196" t="str">
        <f>VLOOKUP(Table8[[#This Row],[Mã khách hàng]],'Khách hàng'!A:E,5,0)</f>
        <v>HC-CT120</v>
      </c>
    </row>
    <row r="4197" spans="1:9" x14ac:dyDescent="0.25">
      <c r="A4197" s="14" t="s">
        <v>13546</v>
      </c>
      <c r="B4197" s="15" t="s">
        <v>5</v>
      </c>
      <c r="C4197" s="16" t="s">
        <v>14672</v>
      </c>
      <c r="D4197" s="21"/>
      <c r="E4197" s="32" t="s">
        <v>15667</v>
      </c>
      <c r="F4197" s="22" t="str">
        <f>VLOOKUP(Table8[[#This Row],[Mã khách hàng]],code_khach_hang[],2,0)</f>
        <v>CÔNG TY CỔ PHẦN DỊCH VỤ THƯƠNG MẠI TỔNG HỢP WINCOMMERCE</v>
      </c>
      <c r="G4197" s="16" t="str">
        <f>VLOOKUP(Table8[[#This Row],[Mã khách hàng]],code_khach_hang[],3,0)</f>
        <v>Miền Nam đặc biệt 1</v>
      </c>
      <c r="H4197" t="str">
        <f>VLOOKUP(Table8[[#This Row],[Mã khách hàng]],'Khách hàng'!A:D,4,0)</f>
        <v>Food Đức Việt</v>
      </c>
      <c r="I4197" t="str">
        <f>VLOOKUP(Table8[[#This Row],[Mã khách hàng]],'Khách hàng'!A:E,5,0)</f>
        <v>HCVG80</v>
      </c>
    </row>
    <row r="4198" spans="1:9" x14ac:dyDescent="0.25">
      <c r="A4198" s="14" t="s">
        <v>13547</v>
      </c>
      <c r="B4198" s="15" t="s">
        <v>5</v>
      </c>
      <c r="C4198" s="16" t="s">
        <v>14673</v>
      </c>
      <c r="D4198" s="21"/>
      <c r="E4198" s="32" t="s">
        <v>15667</v>
      </c>
      <c r="F4198" s="22" t="str">
        <f>VLOOKUP(Table8[[#This Row],[Mã khách hàng]],code_khach_hang[],2,0)</f>
        <v>CÔNG TY CỔ PHẦN DỊCH VỤ THƯƠNG MẠI TỔNG HỢP WINCOMMERCE</v>
      </c>
      <c r="G4198" s="16" t="str">
        <f>VLOOKUP(Table8[[#This Row],[Mã khách hàng]],code_khach_hang[],3,0)</f>
        <v>Miền Nam đặc biệt 1</v>
      </c>
      <c r="H4198" t="str">
        <f>VLOOKUP(Table8[[#This Row],[Mã khách hàng]],'Khách hàng'!A:D,4,0)</f>
        <v>Food Đức Việt</v>
      </c>
      <c r="I4198" t="str">
        <f>VLOOKUP(Table8[[#This Row],[Mã khách hàng]],'Khách hàng'!A:E,5,0)</f>
        <v>HCVG80</v>
      </c>
    </row>
    <row r="4199" spans="1:9" x14ac:dyDescent="0.25">
      <c r="A4199" s="14" t="s">
        <v>13548</v>
      </c>
      <c r="B4199" s="15" t="s">
        <v>5</v>
      </c>
      <c r="C4199" s="16" t="s">
        <v>14674</v>
      </c>
      <c r="D4199" s="21"/>
      <c r="E4199" s="32" t="s">
        <v>15670</v>
      </c>
      <c r="F4199" s="22" t="str">
        <f>VLOOKUP(Table8[[#This Row],[Mã khách hàng]],code_khach_hang[],2,0)</f>
        <v>CHI NHÁNH TIỀN GIANG - CÔNG TY CỔ PHẦN DỊCH VỤ THƯƠNG MẠI TỔNG HỢP WINCOMMERCE</v>
      </c>
      <c r="G4199" s="16" t="str">
        <f>VLOOKUP(Table8[[#This Row],[Mã khách hàng]],code_khach_hang[],3,0)</f>
        <v>Miền Nam đặc biệt 1</v>
      </c>
      <c r="H4199" t="str">
        <f>VLOOKUP(Table8[[#This Row],[Mã khách hàng]],'Khách hàng'!A:D,4,0)</f>
        <v>Food Đức Việt</v>
      </c>
      <c r="I4199" t="str">
        <f>VLOOKUP(Table8[[#This Row],[Mã khách hàng]],'Khách hàng'!A:E,5,0)</f>
        <v>HCVG80</v>
      </c>
    </row>
    <row r="4200" spans="1:9" x14ac:dyDescent="0.25">
      <c r="A4200" s="14" t="s">
        <v>13549</v>
      </c>
      <c r="B4200" s="15" t="s">
        <v>5</v>
      </c>
      <c r="C4200" s="16" t="s">
        <v>14675</v>
      </c>
      <c r="D4200" s="21"/>
      <c r="E4200" s="32" t="s">
        <v>15672</v>
      </c>
      <c r="F4200" s="22" t="str">
        <f>VLOOKUP(Table8[[#This Row],[Mã khách hàng]],code_khach_hang[],2,0)</f>
        <v>CHI NHÁNH AN GIANG - CÔNG TY CỔ PHẦN DỊCH VỤ THƯƠNG MẠI TỔNG HỢP WINCOMMERCE</v>
      </c>
      <c r="G4200" s="16" t="str">
        <f>VLOOKUP(Table8[[#This Row],[Mã khách hàng]],code_khach_hang[],3,0)</f>
        <v>Miền Nam đặc biệt 2</v>
      </c>
      <c r="H4200" t="str">
        <f>VLOOKUP(Table8[[#This Row],[Mã khách hàng]],'Khách hàng'!A:D,4,0)</f>
        <v>Food Đức Việt</v>
      </c>
      <c r="I4200" t="str">
        <f>VLOOKUP(Table8[[#This Row],[Mã khách hàng]],'Khách hàng'!A:E,5,0)</f>
        <v>HC-CT120</v>
      </c>
    </row>
    <row r="4201" spans="1:9" x14ac:dyDescent="0.25">
      <c r="A4201" s="14" t="s">
        <v>13550</v>
      </c>
      <c r="B4201" s="15" t="s">
        <v>5</v>
      </c>
      <c r="C4201" s="16" t="s">
        <v>14676</v>
      </c>
      <c r="D4201" s="21"/>
      <c r="E4201" s="32" t="s">
        <v>15668</v>
      </c>
      <c r="F4201" s="22" t="str">
        <f>VLOOKUP(Table8[[#This Row],[Mã khách hàng]],code_khach_hang[],2,0)</f>
        <v>CHI NHÁNH ĐỒNG NAI - CÔNG TY CỔ PHẦN DỊCH VỤ THƯƠNG MẠI TỔNG HỢP WINCOMMERCE</v>
      </c>
      <c r="G4201" s="16" t="str">
        <f>VLOOKUP(Table8[[#This Row],[Mã khách hàng]],code_khach_hang[],3,0)</f>
        <v>Miền Nam đặc biệt 3</v>
      </c>
      <c r="H4201" t="str">
        <f>VLOOKUP(Table8[[#This Row],[Mã khách hàng]],'Khách hàng'!A:D,4,0)</f>
        <v>Food Đức Việt</v>
      </c>
      <c r="I4201" t="str">
        <f>VLOOKUP(Table8[[#This Row],[Mã khách hàng]],'Khách hàng'!A:E,5,0)</f>
        <v>HCVG80</v>
      </c>
    </row>
    <row r="4202" spans="1:9" x14ac:dyDescent="0.25">
      <c r="A4202" s="14" t="s">
        <v>13551</v>
      </c>
      <c r="B4202" s="15" t="s">
        <v>5</v>
      </c>
      <c r="C4202" s="16" t="s">
        <v>14677</v>
      </c>
      <c r="D4202" s="21"/>
      <c r="E4202" s="32" t="s">
        <v>15673</v>
      </c>
      <c r="F4202" s="22" t="str">
        <f>VLOOKUP(Table8[[#This Row],[Mã khách hàng]],code_khach_hang[],2,0)</f>
        <v>CHI NHÁNH BÌNH THUẬN - CÔNG TY CỔ PHẦN DỊCH VỤ THƯƠNG MẠI TỔNG HỢP WINCOMMERCE</v>
      </c>
      <c r="G4202" s="16" t="str">
        <f>VLOOKUP(Table8[[#This Row],[Mã khách hàng]],code_khach_hang[],3,0)</f>
        <v>Miền Nam đặc biệt 3</v>
      </c>
      <c r="H4202" t="str">
        <f>VLOOKUP(Table8[[#This Row],[Mã khách hàng]],'Khách hàng'!A:D,4,0)</f>
        <v>Food Đức Việt</v>
      </c>
      <c r="I4202" t="str">
        <f>VLOOKUP(Table8[[#This Row],[Mã khách hàng]],'Khách hàng'!A:E,5,0)</f>
        <v>HCVG80</v>
      </c>
    </row>
    <row r="4203" spans="1:9" x14ac:dyDescent="0.25">
      <c r="A4203" s="14" t="s">
        <v>13552</v>
      </c>
      <c r="B4203" s="15" t="s">
        <v>5</v>
      </c>
      <c r="C4203" s="16" t="s">
        <v>14678</v>
      </c>
      <c r="D4203" s="21"/>
      <c r="E4203" s="32" t="s">
        <v>15673</v>
      </c>
      <c r="F4203" s="22" t="str">
        <f>VLOOKUP(Table8[[#This Row],[Mã khách hàng]],code_khach_hang[],2,0)</f>
        <v>CHI NHÁNH BÌNH THUẬN - CÔNG TY CỔ PHẦN DỊCH VỤ THƯƠNG MẠI TỔNG HỢP WINCOMMERCE</v>
      </c>
      <c r="G4203" s="16" t="str">
        <f>VLOOKUP(Table8[[#This Row],[Mã khách hàng]],code_khach_hang[],3,0)</f>
        <v>Miền Nam đặc biệt 3</v>
      </c>
      <c r="H4203" t="str">
        <f>VLOOKUP(Table8[[#This Row],[Mã khách hàng]],'Khách hàng'!A:D,4,0)</f>
        <v>Food Đức Việt</v>
      </c>
      <c r="I4203" t="str">
        <f>VLOOKUP(Table8[[#This Row],[Mã khách hàng]],'Khách hàng'!A:E,5,0)</f>
        <v>HCVG80</v>
      </c>
    </row>
    <row r="4204" spans="1:9" x14ac:dyDescent="0.25">
      <c r="A4204" s="14" t="s">
        <v>13553</v>
      </c>
      <c r="B4204" s="15" t="s">
        <v>5</v>
      </c>
      <c r="C4204" s="16" t="s">
        <v>14679</v>
      </c>
      <c r="D4204" s="21"/>
      <c r="E4204" s="32" t="s">
        <v>15673</v>
      </c>
      <c r="F4204" s="22" t="str">
        <f>VLOOKUP(Table8[[#This Row],[Mã khách hàng]],code_khach_hang[],2,0)</f>
        <v>CHI NHÁNH BÌNH THUẬN - CÔNG TY CỔ PHẦN DỊCH VỤ THƯƠNG MẠI TỔNG HỢP WINCOMMERCE</v>
      </c>
      <c r="G4204" s="16" t="str">
        <f>VLOOKUP(Table8[[#This Row],[Mã khách hàng]],code_khach_hang[],3,0)</f>
        <v>Miền Nam đặc biệt 3</v>
      </c>
      <c r="H4204" t="str">
        <f>VLOOKUP(Table8[[#This Row],[Mã khách hàng]],'Khách hàng'!A:D,4,0)</f>
        <v>Food Đức Việt</v>
      </c>
      <c r="I4204" t="str">
        <f>VLOOKUP(Table8[[#This Row],[Mã khách hàng]],'Khách hàng'!A:E,5,0)</f>
        <v>HCVG80</v>
      </c>
    </row>
    <row r="4205" spans="1:9" x14ac:dyDescent="0.25">
      <c r="A4205" s="14" t="s">
        <v>13554</v>
      </c>
      <c r="B4205" s="15" t="s">
        <v>5</v>
      </c>
      <c r="C4205" s="16" t="s">
        <v>14680</v>
      </c>
      <c r="D4205" s="21"/>
      <c r="E4205" s="32" t="s">
        <v>15673</v>
      </c>
      <c r="F4205" s="22" t="str">
        <f>VLOOKUP(Table8[[#This Row],[Mã khách hàng]],code_khach_hang[],2,0)</f>
        <v>CHI NHÁNH BÌNH THUẬN - CÔNG TY CỔ PHẦN DỊCH VỤ THƯƠNG MẠI TỔNG HỢP WINCOMMERCE</v>
      </c>
      <c r="G4205" s="16" t="str">
        <f>VLOOKUP(Table8[[#This Row],[Mã khách hàng]],code_khach_hang[],3,0)</f>
        <v>Miền Nam đặc biệt 3</v>
      </c>
      <c r="H4205" t="str">
        <f>VLOOKUP(Table8[[#This Row],[Mã khách hàng]],'Khách hàng'!A:D,4,0)</f>
        <v>Food Đức Việt</v>
      </c>
      <c r="I4205" t="str">
        <f>VLOOKUP(Table8[[#This Row],[Mã khách hàng]],'Khách hàng'!A:E,5,0)</f>
        <v>HCVG80</v>
      </c>
    </row>
    <row r="4206" spans="1:9" x14ac:dyDescent="0.25">
      <c r="A4206" s="14" t="s">
        <v>13555</v>
      </c>
      <c r="B4206" s="15" t="s">
        <v>5</v>
      </c>
      <c r="C4206" s="16" t="s">
        <v>14681</v>
      </c>
      <c r="D4206" s="21"/>
      <c r="E4206" s="32" t="s">
        <v>15674</v>
      </c>
      <c r="F4206" s="22" t="str">
        <f>VLOOKUP(Table8[[#This Row],[Mã khách hàng]],code_khach_hang[],2,0)</f>
        <v>CHI NHÁNH LONG AN - CÔNG TY CỔ PHẦN DỊCH VỤ THƯƠNG MẠI TỔNG HỢP WINCOMMERCE</v>
      </c>
      <c r="G4206" s="16" t="str">
        <f>VLOOKUP(Table8[[#This Row],[Mã khách hàng]],code_khach_hang[],3,0)</f>
        <v>Miền Nam đặc biệt 2</v>
      </c>
      <c r="H4206" t="str">
        <f>VLOOKUP(Table8[[#This Row],[Mã khách hàng]],'Khách hàng'!A:D,4,0)</f>
        <v>Food Đức Việt</v>
      </c>
      <c r="I4206" t="str">
        <f>VLOOKUP(Table8[[#This Row],[Mã khách hàng]],'Khách hàng'!A:E,5,0)</f>
        <v>HCVG80</v>
      </c>
    </row>
    <row r="4207" spans="1:9" x14ac:dyDescent="0.25">
      <c r="A4207" s="14" t="s">
        <v>13556</v>
      </c>
      <c r="B4207" s="15" t="s">
        <v>5</v>
      </c>
      <c r="C4207" s="16" t="s">
        <v>14682</v>
      </c>
      <c r="D4207" s="21"/>
      <c r="E4207" s="32" t="s">
        <v>15674</v>
      </c>
      <c r="F4207" s="22" t="str">
        <f>VLOOKUP(Table8[[#This Row],[Mã khách hàng]],code_khach_hang[],2,0)</f>
        <v>CHI NHÁNH LONG AN - CÔNG TY CỔ PHẦN DỊCH VỤ THƯƠNG MẠI TỔNG HỢP WINCOMMERCE</v>
      </c>
      <c r="G4207" s="16" t="str">
        <f>VLOOKUP(Table8[[#This Row],[Mã khách hàng]],code_khach_hang[],3,0)</f>
        <v>Miền Nam đặc biệt 2</v>
      </c>
      <c r="H4207" t="str">
        <f>VLOOKUP(Table8[[#This Row],[Mã khách hàng]],'Khách hàng'!A:D,4,0)</f>
        <v>Food Đức Việt</v>
      </c>
      <c r="I4207" t="str">
        <f>VLOOKUP(Table8[[#This Row],[Mã khách hàng]],'Khách hàng'!A:E,5,0)</f>
        <v>HCVG80</v>
      </c>
    </row>
    <row r="4208" spans="1:9" x14ac:dyDescent="0.25">
      <c r="A4208" s="14" t="s">
        <v>13557</v>
      </c>
      <c r="B4208" s="15" t="s">
        <v>183</v>
      </c>
      <c r="C4208" s="16" t="s">
        <v>14683</v>
      </c>
      <c r="D4208" s="21"/>
      <c r="E4208" s="32" t="s">
        <v>15667</v>
      </c>
      <c r="F4208" s="22" t="str">
        <f>VLOOKUP(Table8[[#This Row],[Mã khách hàng]],code_khach_hang[],2,0)</f>
        <v>CÔNG TY CỔ PHẦN DỊCH VỤ THƯƠNG MẠI TỔNG HỢP WINCOMMERCE</v>
      </c>
      <c r="G4208" s="16" t="str">
        <f>VLOOKUP(Table8[[#This Row],[Mã khách hàng]],code_khach_hang[],3,0)</f>
        <v>Miền Nam đặc biệt 1</v>
      </c>
      <c r="H4208" t="str">
        <f>VLOOKUP(Table8[[#This Row],[Mã khách hàng]],'Khách hàng'!A:D,4,0)</f>
        <v>Food Đức Việt</v>
      </c>
      <c r="I4208" t="str">
        <f>VLOOKUP(Table8[[#This Row],[Mã khách hàng]],'Khách hàng'!A:E,5,0)</f>
        <v>HCVG80</v>
      </c>
    </row>
    <row r="4209" spans="1:9" x14ac:dyDescent="0.25">
      <c r="A4209" s="14" t="s">
        <v>13558</v>
      </c>
      <c r="B4209" s="15" t="s">
        <v>5</v>
      </c>
      <c r="C4209" s="16" t="s">
        <v>14684</v>
      </c>
      <c r="D4209" s="21"/>
      <c r="E4209" s="32" t="s">
        <v>15673</v>
      </c>
      <c r="F4209" s="22" t="str">
        <f>VLOOKUP(Table8[[#This Row],[Mã khách hàng]],code_khach_hang[],2,0)</f>
        <v>CHI NHÁNH BÌNH THUẬN - CÔNG TY CỔ PHẦN DỊCH VỤ THƯƠNG MẠI TỔNG HỢP WINCOMMERCE</v>
      </c>
      <c r="G4209" s="16" t="str">
        <f>VLOOKUP(Table8[[#This Row],[Mã khách hàng]],code_khach_hang[],3,0)</f>
        <v>Miền Nam đặc biệt 3</v>
      </c>
      <c r="H4209" t="str">
        <f>VLOOKUP(Table8[[#This Row],[Mã khách hàng]],'Khách hàng'!A:D,4,0)</f>
        <v>Food Đức Việt</v>
      </c>
      <c r="I4209" t="str">
        <f>VLOOKUP(Table8[[#This Row],[Mã khách hàng]],'Khách hàng'!A:E,5,0)</f>
        <v>HCVG80</v>
      </c>
    </row>
    <row r="4210" spans="1:9" x14ac:dyDescent="0.25">
      <c r="A4210" s="14" t="s">
        <v>13559</v>
      </c>
      <c r="B4210" s="15" t="s">
        <v>5</v>
      </c>
      <c r="C4210" s="16" t="s">
        <v>14685</v>
      </c>
      <c r="D4210" s="21"/>
      <c r="E4210" s="32" t="s">
        <v>15673</v>
      </c>
      <c r="F4210" s="22" t="str">
        <f>VLOOKUP(Table8[[#This Row],[Mã khách hàng]],code_khach_hang[],2,0)</f>
        <v>CHI NHÁNH BÌNH THUẬN - CÔNG TY CỔ PHẦN DỊCH VỤ THƯƠNG MẠI TỔNG HỢP WINCOMMERCE</v>
      </c>
      <c r="G4210" s="16" t="str">
        <f>VLOOKUP(Table8[[#This Row],[Mã khách hàng]],code_khach_hang[],3,0)</f>
        <v>Miền Nam đặc biệt 3</v>
      </c>
      <c r="H4210" t="str">
        <f>VLOOKUP(Table8[[#This Row],[Mã khách hàng]],'Khách hàng'!A:D,4,0)</f>
        <v>Food Đức Việt</v>
      </c>
      <c r="I4210" t="str">
        <f>VLOOKUP(Table8[[#This Row],[Mã khách hàng]],'Khách hàng'!A:E,5,0)</f>
        <v>HCVG80</v>
      </c>
    </row>
    <row r="4211" spans="1:9" x14ac:dyDescent="0.25">
      <c r="A4211" s="14" t="s">
        <v>13560</v>
      </c>
      <c r="B4211" s="15" t="s">
        <v>5</v>
      </c>
      <c r="C4211" s="16" t="s">
        <v>14686</v>
      </c>
      <c r="D4211" s="21"/>
      <c r="E4211" s="32" t="s">
        <v>15672</v>
      </c>
      <c r="F4211" s="22" t="str">
        <f>VLOOKUP(Table8[[#This Row],[Mã khách hàng]],code_khach_hang[],2,0)</f>
        <v>CHI NHÁNH AN GIANG - CÔNG TY CỔ PHẦN DỊCH VỤ THƯƠNG MẠI TỔNG HỢP WINCOMMERCE</v>
      </c>
      <c r="G4211" s="16" t="str">
        <f>VLOOKUP(Table8[[#This Row],[Mã khách hàng]],code_khach_hang[],3,0)</f>
        <v>Miền Nam đặc biệt 2</v>
      </c>
      <c r="H4211" t="str">
        <f>VLOOKUP(Table8[[#This Row],[Mã khách hàng]],'Khách hàng'!A:D,4,0)</f>
        <v>Food Đức Việt</v>
      </c>
      <c r="I4211" t="str">
        <f>VLOOKUP(Table8[[#This Row],[Mã khách hàng]],'Khách hàng'!A:E,5,0)</f>
        <v>HC-CT120</v>
      </c>
    </row>
    <row r="4212" spans="1:9" x14ac:dyDescent="0.25">
      <c r="A4212" s="14" t="s">
        <v>13561</v>
      </c>
      <c r="B4212" s="15" t="s">
        <v>5</v>
      </c>
      <c r="C4212" s="16" t="s">
        <v>14687</v>
      </c>
      <c r="D4212" s="21"/>
      <c r="E4212" s="32" t="s">
        <v>15667</v>
      </c>
      <c r="F4212" s="22" t="str">
        <f>VLOOKUP(Table8[[#This Row],[Mã khách hàng]],code_khach_hang[],2,0)</f>
        <v>CÔNG TY CỔ PHẦN DỊCH VỤ THƯƠNG MẠI TỔNG HỢP WINCOMMERCE</v>
      </c>
      <c r="G4212" s="16" t="str">
        <f>VLOOKUP(Table8[[#This Row],[Mã khách hàng]],code_khach_hang[],3,0)</f>
        <v>Miền Nam đặc biệt 1</v>
      </c>
      <c r="H4212" t="str">
        <f>VLOOKUP(Table8[[#This Row],[Mã khách hàng]],'Khách hàng'!A:D,4,0)</f>
        <v>Food Đức Việt</v>
      </c>
      <c r="I4212" t="str">
        <f>VLOOKUP(Table8[[#This Row],[Mã khách hàng]],'Khách hàng'!A:E,5,0)</f>
        <v>HCVG80</v>
      </c>
    </row>
    <row r="4213" spans="1:9" x14ac:dyDescent="0.25">
      <c r="A4213" s="14" t="s">
        <v>13562</v>
      </c>
      <c r="B4213" s="15" t="s">
        <v>5</v>
      </c>
      <c r="C4213" s="16" t="s">
        <v>14688</v>
      </c>
      <c r="D4213" s="21"/>
      <c r="E4213" s="32" t="s">
        <v>15669</v>
      </c>
      <c r="F4213" s="22" t="str">
        <f>VLOOKUP(Table8[[#This Row],[Mã khách hàng]],code_khach_hang[],2,0)</f>
        <v>CHI NHÁNH CẦN THƠ - CÔNG TY CỔ PHẦN DỊCH VỤ THƯƠNG MẠI TỔNG HỢP WINCOMMERCE</v>
      </c>
      <c r="G4213" s="16" t="str">
        <f>VLOOKUP(Table8[[#This Row],[Mã khách hàng]],code_khach_hang[],3,0)</f>
        <v>Miền Nam đặc biệt 2</v>
      </c>
      <c r="H4213" t="str">
        <f>VLOOKUP(Table8[[#This Row],[Mã khách hàng]],'Khách hàng'!A:D,4,0)</f>
        <v>Food Đức Việt</v>
      </c>
      <c r="I4213" t="str">
        <f>VLOOKUP(Table8[[#This Row],[Mã khách hàng]],'Khách hàng'!A:E,5,0)</f>
        <v>HC-CT120</v>
      </c>
    </row>
    <row r="4214" spans="1:9" x14ac:dyDescent="0.25">
      <c r="A4214" s="14" t="s">
        <v>13563</v>
      </c>
      <c r="B4214" s="15" t="s">
        <v>5</v>
      </c>
      <c r="C4214" s="16" t="s">
        <v>14689</v>
      </c>
      <c r="D4214" s="21"/>
      <c r="E4214" s="32" t="s">
        <v>15672</v>
      </c>
      <c r="F4214" s="22" t="str">
        <f>VLOOKUP(Table8[[#This Row],[Mã khách hàng]],code_khach_hang[],2,0)</f>
        <v>CHI NHÁNH AN GIANG - CÔNG TY CỔ PHẦN DỊCH VỤ THƯƠNG MẠI TỔNG HỢP WINCOMMERCE</v>
      </c>
      <c r="G4214" s="16" t="str">
        <f>VLOOKUP(Table8[[#This Row],[Mã khách hàng]],code_khach_hang[],3,0)</f>
        <v>Miền Nam đặc biệt 2</v>
      </c>
      <c r="H4214" t="str">
        <f>VLOOKUP(Table8[[#This Row],[Mã khách hàng]],'Khách hàng'!A:D,4,0)</f>
        <v>Food Đức Việt</v>
      </c>
      <c r="I4214" t="str">
        <f>VLOOKUP(Table8[[#This Row],[Mã khách hàng]],'Khách hàng'!A:E,5,0)</f>
        <v>HC-CT120</v>
      </c>
    </row>
    <row r="4215" spans="1:9" x14ac:dyDescent="0.25">
      <c r="A4215" s="14" t="s">
        <v>13564</v>
      </c>
      <c r="B4215" s="15" t="s">
        <v>5</v>
      </c>
      <c r="C4215" s="16" t="s">
        <v>14690</v>
      </c>
      <c r="D4215" s="21"/>
      <c r="E4215" s="32" t="s">
        <v>15672</v>
      </c>
      <c r="F4215" s="22" t="str">
        <f>VLOOKUP(Table8[[#This Row],[Mã khách hàng]],code_khach_hang[],2,0)</f>
        <v>CHI NHÁNH AN GIANG - CÔNG TY CỔ PHẦN DỊCH VỤ THƯƠNG MẠI TỔNG HỢP WINCOMMERCE</v>
      </c>
      <c r="G4215" s="16" t="str">
        <f>VLOOKUP(Table8[[#This Row],[Mã khách hàng]],code_khach_hang[],3,0)</f>
        <v>Miền Nam đặc biệt 2</v>
      </c>
      <c r="H4215" t="str">
        <f>VLOOKUP(Table8[[#This Row],[Mã khách hàng]],'Khách hàng'!A:D,4,0)</f>
        <v>Food Đức Việt</v>
      </c>
      <c r="I4215" t="str">
        <f>VLOOKUP(Table8[[#This Row],[Mã khách hàng]],'Khách hàng'!A:E,5,0)</f>
        <v>HC-CT120</v>
      </c>
    </row>
    <row r="4216" spans="1:9" x14ac:dyDescent="0.25">
      <c r="A4216" s="14" t="s">
        <v>13565</v>
      </c>
      <c r="B4216" s="15" t="s">
        <v>5</v>
      </c>
      <c r="C4216" s="16" t="s">
        <v>14691</v>
      </c>
      <c r="D4216" s="21"/>
      <c r="E4216" s="32" t="s">
        <v>15667</v>
      </c>
      <c r="F4216" s="22" t="str">
        <f>VLOOKUP(Table8[[#This Row],[Mã khách hàng]],code_khach_hang[],2,0)</f>
        <v>CÔNG TY CỔ PHẦN DỊCH VỤ THƯƠNG MẠI TỔNG HỢP WINCOMMERCE</v>
      </c>
      <c r="G4216" s="16" t="str">
        <f>VLOOKUP(Table8[[#This Row],[Mã khách hàng]],code_khach_hang[],3,0)</f>
        <v>Miền Nam đặc biệt 1</v>
      </c>
      <c r="H4216" t="str">
        <f>VLOOKUP(Table8[[#This Row],[Mã khách hàng]],'Khách hàng'!A:D,4,0)</f>
        <v>Food Đức Việt</v>
      </c>
      <c r="I4216" t="str">
        <f>VLOOKUP(Table8[[#This Row],[Mã khách hàng]],'Khách hàng'!A:E,5,0)</f>
        <v>HCVG80</v>
      </c>
    </row>
    <row r="4217" spans="1:9" x14ac:dyDescent="0.25">
      <c r="A4217" s="14" t="s">
        <v>13566</v>
      </c>
      <c r="B4217" s="15" t="s">
        <v>5</v>
      </c>
      <c r="C4217" s="16" t="s">
        <v>14692</v>
      </c>
      <c r="D4217" s="21"/>
      <c r="E4217" s="32" t="s">
        <v>15675</v>
      </c>
      <c r="F4217" s="22" t="str">
        <f>VLOOKUP(Table8[[#This Row],[Mã khách hàng]],code_khach_hang[],2,0)</f>
        <v>CHI NHÁNH VĨNH LONG - CÔNG TY CỔ PHẦN DỊCH VỤ THƯƠNG MẠI TỔNG HỢP WINCOMMERCE</v>
      </c>
      <c r="G4217" s="16" t="str">
        <f>VLOOKUP(Table8[[#This Row],[Mã khách hàng]],code_khach_hang[],3,0)</f>
        <v>Miền Nam đặc biệt 2</v>
      </c>
      <c r="H4217" t="str">
        <f>VLOOKUP(Table8[[#This Row],[Mã khách hàng]],'Khách hàng'!A:D,4,0)</f>
        <v>Food Đức Việt</v>
      </c>
      <c r="I4217" t="str">
        <f>VLOOKUP(Table8[[#This Row],[Mã khách hàng]],'Khách hàng'!A:E,5,0)</f>
        <v>HC-CT120</v>
      </c>
    </row>
    <row r="4218" spans="1:9" x14ac:dyDescent="0.25">
      <c r="A4218" s="14" t="s">
        <v>13567</v>
      </c>
      <c r="B4218" s="15" t="s">
        <v>5</v>
      </c>
      <c r="C4218" s="16" t="s">
        <v>14693</v>
      </c>
      <c r="D4218" s="21"/>
      <c r="E4218" s="32" t="s">
        <v>15675</v>
      </c>
      <c r="F4218" s="22" t="str">
        <f>VLOOKUP(Table8[[#This Row],[Mã khách hàng]],code_khach_hang[],2,0)</f>
        <v>CHI NHÁNH VĨNH LONG - CÔNG TY CỔ PHẦN DỊCH VỤ THƯƠNG MẠI TỔNG HỢP WINCOMMERCE</v>
      </c>
      <c r="G4218" s="16" t="str">
        <f>VLOOKUP(Table8[[#This Row],[Mã khách hàng]],code_khach_hang[],3,0)</f>
        <v>Miền Nam đặc biệt 2</v>
      </c>
      <c r="H4218" t="str">
        <f>VLOOKUP(Table8[[#This Row],[Mã khách hàng]],'Khách hàng'!A:D,4,0)</f>
        <v>Food Đức Việt</v>
      </c>
      <c r="I4218" t="str">
        <f>VLOOKUP(Table8[[#This Row],[Mã khách hàng]],'Khách hàng'!A:E,5,0)</f>
        <v>HC-CT120</v>
      </c>
    </row>
    <row r="4219" spans="1:9" x14ac:dyDescent="0.25">
      <c r="A4219" s="14" t="s">
        <v>13568</v>
      </c>
      <c r="B4219" s="15" t="s">
        <v>5</v>
      </c>
      <c r="C4219" s="16" t="s">
        <v>14694</v>
      </c>
      <c r="D4219" s="21"/>
      <c r="E4219" s="32" t="s">
        <v>15675</v>
      </c>
      <c r="F4219" s="22" t="str">
        <f>VLOOKUP(Table8[[#This Row],[Mã khách hàng]],code_khach_hang[],2,0)</f>
        <v>CHI NHÁNH VĨNH LONG - CÔNG TY CỔ PHẦN DỊCH VỤ THƯƠNG MẠI TỔNG HỢP WINCOMMERCE</v>
      </c>
      <c r="G4219" s="16" t="str">
        <f>VLOOKUP(Table8[[#This Row],[Mã khách hàng]],code_khach_hang[],3,0)</f>
        <v>Miền Nam đặc biệt 2</v>
      </c>
      <c r="H4219" t="str">
        <f>VLOOKUP(Table8[[#This Row],[Mã khách hàng]],'Khách hàng'!A:D,4,0)</f>
        <v>Food Đức Việt</v>
      </c>
      <c r="I4219" t="str">
        <f>VLOOKUP(Table8[[#This Row],[Mã khách hàng]],'Khách hàng'!A:E,5,0)</f>
        <v>HC-CT120</v>
      </c>
    </row>
    <row r="4220" spans="1:9" x14ac:dyDescent="0.25">
      <c r="A4220" s="14" t="s">
        <v>13569</v>
      </c>
      <c r="B4220" s="15" t="s">
        <v>5</v>
      </c>
      <c r="C4220" s="16" t="s">
        <v>14695</v>
      </c>
      <c r="D4220" s="21"/>
      <c r="E4220" s="32" t="s">
        <v>15676</v>
      </c>
      <c r="F4220" s="22" t="str">
        <f>VLOOKUP(Table8[[#This Row],[Mã khách hàng]],code_khach_hang[],2,0)</f>
        <v>CHI NHÁNH KIÊN GIANG - CÔNG TY CỔ PHẦN DỊCH VỤ THƯƠNG MẠI TỔNG HỢP WINCOMMERCE</v>
      </c>
      <c r="G4220" s="16" t="str">
        <f>VLOOKUP(Table8[[#This Row],[Mã khách hàng]],code_khach_hang[],3,0)</f>
        <v>Miền Nam đặc biệt 2</v>
      </c>
      <c r="H4220" t="str">
        <f>VLOOKUP(Table8[[#This Row],[Mã khách hàng]],'Khách hàng'!A:D,4,0)</f>
        <v>Food Đức Việt</v>
      </c>
      <c r="I4220" t="str">
        <f>VLOOKUP(Table8[[#This Row],[Mã khách hàng]],'Khách hàng'!A:E,5,0)</f>
        <v>HC-CT120</v>
      </c>
    </row>
    <row r="4221" spans="1:9" x14ac:dyDescent="0.25">
      <c r="A4221" s="14" t="s">
        <v>13570</v>
      </c>
      <c r="B4221" s="15" t="s">
        <v>5</v>
      </c>
      <c r="C4221" s="16" t="s">
        <v>14696</v>
      </c>
      <c r="D4221" s="21"/>
      <c r="E4221" s="32" t="s">
        <v>15676</v>
      </c>
      <c r="F4221" s="22" t="str">
        <f>VLOOKUP(Table8[[#This Row],[Mã khách hàng]],code_khach_hang[],2,0)</f>
        <v>CHI NHÁNH KIÊN GIANG - CÔNG TY CỔ PHẦN DỊCH VỤ THƯƠNG MẠI TỔNG HỢP WINCOMMERCE</v>
      </c>
      <c r="G4221" s="16" t="str">
        <f>VLOOKUP(Table8[[#This Row],[Mã khách hàng]],code_khach_hang[],3,0)</f>
        <v>Miền Nam đặc biệt 2</v>
      </c>
      <c r="H4221" t="str">
        <f>VLOOKUP(Table8[[#This Row],[Mã khách hàng]],'Khách hàng'!A:D,4,0)</f>
        <v>Food Đức Việt</v>
      </c>
      <c r="I4221" t="str">
        <f>VLOOKUP(Table8[[#This Row],[Mã khách hàng]],'Khách hàng'!A:E,5,0)</f>
        <v>HC-CT120</v>
      </c>
    </row>
    <row r="4222" spans="1:9" x14ac:dyDescent="0.25">
      <c r="A4222" s="14" t="s">
        <v>13571</v>
      </c>
      <c r="B4222" s="15" t="s">
        <v>5</v>
      </c>
      <c r="C4222" s="16" t="s">
        <v>14697</v>
      </c>
      <c r="D4222" s="21"/>
      <c r="E4222" s="32" t="s">
        <v>15667</v>
      </c>
      <c r="F4222" s="22" t="str">
        <f>VLOOKUP(Table8[[#This Row],[Mã khách hàng]],code_khach_hang[],2,0)</f>
        <v>CÔNG TY CỔ PHẦN DỊCH VỤ THƯƠNG MẠI TỔNG HỢP WINCOMMERCE</v>
      </c>
      <c r="G4222" s="16" t="str">
        <f>VLOOKUP(Table8[[#This Row],[Mã khách hàng]],code_khach_hang[],3,0)</f>
        <v>Miền Nam đặc biệt 1</v>
      </c>
      <c r="H4222" t="str">
        <f>VLOOKUP(Table8[[#This Row],[Mã khách hàng]],'Khách hàng'!A:D,4,0)</f>
        <v>Food Đức Việt</v>
      </c>
      <c r="I4222" t="str">
        <f>VLOOKUP(Table8[[#This Row],[Mã khách hàng]],'Khách hàng'!A:E,5,0)</f>
        <v>HCVG80</v>
      </c>
    </row>
    <row r="4223" spans="1:9" x14ac:dyDescent="0.25">
      <c r="A4223" s="14" t="s">
        <v>13572</v>
      </c>
      <c r="B4223" s="15" t="s">
        <v>5</v>
      </c>
      <c r="C4223" s="16" t="s">
        <v>14698</v>
      </c>
      <c r="D4223" s="21"/>
      <c r="E4223" s="32" t="s">
        <v>15667</v>
      </c>
      <c r="F4223" s="22" t="str">
        <f>VLOOKUP(Table8[[#This Row],[Mã khách hàng]],code_khach_hang[],2,0)</f>
        <v>CÔNG TY CỔ PHẦN DỊCH VỤ THƯƠNG MẠI TỔNG HỢP WINCOMMERCE</v>
      </c>
      <c r="G4223" s="16" t="str">
        <f>VLOOKUP(Table8[[#This Row],[Mã khách hàng]],code_khach_hang[],3,0)</f>
        <v>Miền Nam đặc biệt 1</v>
      </c>
      <c r="H4223" t="str">
        <f>VLOOKUP(Table8[[#This Row],[Mã khách hàng]],'Khách hàng'!A:D,4,0)</f>
        <v>Food Đức Việt</v>
      </c>
      <c r="I4223" t="str">
        <f>VLOOKUP(Table8[[#This Row],[Mã khách hàng]],'Khách hàng'!A:E,5,0)</f>
        <v>HCVG80</v>
      </c>
    </row>
    <row r="4224" spans="1:9" x14ac:dyDescent="0.25">
      <c r="A4224" s="14" t="s">
        <v>13573</v>
      </c>
      <c r="B4224" s="15" t="s">
        <v>5</v>
      </c>
      <c r="C4224" s="16" t="s">
        <v>14699</v>
      </c>
      <c r="D4224" s="21"/>
      <c r="E4224" s="32" t="s">
        <v>15667</v>
      </c>
      <c r="F4224" s="22" t="str">
        <f>VLOOKUP(Table8[[#This Row],[Mã khách hàng]],code_khach_hang[],2,0)</f>
        <v>CÔNG TY CỔ PHẦN DỊCH VỤ THƯƠNG MẠI TỔNG HỢP WINCOMMERCE</v>
      </c>
      <c r="G4224" s="16" t="str">
        <f>VLOOKUP(Table8[[#This Row],[Mã khách hàng]],code_khach_hang[],3,0)</f>
        <v>Miền Nam đặc biệt 1</v>
      </c>
      <c r="H4224" t="str">
        <f>VLOOKUP(Table8[[#This Row],[Mã khách hàng]],'Khách hàng'!A:D,4,0)</f>
        <v>Food Đức Việt</v>
      </c>
      <c r="I4224" t="str">
        <f>VLOOKUP(Table8[[#This Row],[Mã khách hàng]],'Khách hàng'!A:E,5,0)</f>
        <v>HCVG80</v>
      </c>
    </row>
    <row r="4225" spans="1:9" x14ac:dyDescent="0.25">
      <c r="A4225" s="14" t="s">
        <v>13574</v>
      </c>
      <c r="B4225" s="15" t="s">
        <v>5</v>
      </c>
      <c r="C4225" s="16" t="s">
        <v>14700</v>
      </c>
      <c r="D4225" s="21"/>
      <c r="E4225" s="32" t="s">
        <v>15674</v>
      </c>
      <c r="F4225" s="22" t="str">
        <f>VLOOKUP(Table8[[#This Row],[Mã khách hàng]],code_khach_hang[],2,0)</f>
        <v>CHI NHÁNH LONG AN - CÔNG TY CỔ PHẦN DỊCH VỤ THƯƠNG MẠI TỔNG HỢP WINCOMMERCE</v>
      </c>
      <c r="G4225" s="16" t="str">
        <f>VLOOKUP(Table8[[#This Row],[Mã khách hàng]],code_khach_hang[],3,0)</f>
        <v>Miền Nam đặc biệt 2</v>
      </c>
      <c r="H4225" t="str">
        <f>VLOOKUP(Table8[[#This Row],[Mã khách hàng]],'Khách hàng'!A:D,4,0)</f>
        <v>Food Đức Việt</v>
      </c>
      <c r="I4225" t="str">
        <f>VLOOKUP(Table8[[#This Row],[Mã khách hàng]],'Khách hàng'!A:E,5,0)</f>
        <v>HCVG80</v>
      </c>
    </row>
    <row r="4226" spans="1:9" x14ac:dyDescent="0.25">
      <c r="A4226" s="14" t="s">
        <v>13575</v>
      </c>
      <c r="B4226" s="15" t="s">
        <v>5</v>
      </c>
      <c r="C4226" s="16" t="s">
        <v>14701</v>
      </c>
      <c r="D4226" s="21"/>
      <c r="E4226" s="32" t="s">
        <v>15676</v>
      </c>
      <c r="F4226" s="22" t="str">
        <f>VLOOKUP(Table8[[#This Row],[Mã khách hàng]],code_khach_hang[],2,0)</f>
        <v>CHI NHÁNH KIÊN GIANG - CÔNG TY CỔ PHẦN DỊCH VỤ THƯƠNG MẠI TỔNG HỢP WINCOMMERCE</v>
      </c>
      <c r="G4226" s="16" t="str">
        <f>VLOOKUP(Table8[[#This Row],[Mã khách hàng]],code_khach_hang[],3,0)</f>
        <v>Miền Nam đặc biệt 2</v>
      </c>
      <c r="H4226" t="str">
        <f>VLOOKUP(Table8[[#This Row],[Mã khách hàng]],'Khách hàng'!A:D,4,0)</f>
        <v>Food Đức Việt</v>
      </c>
      <c r="I4226" t="str">
        <f>VLOOKUP(Table8[[#This Row],[Mã khách hàng]],'Khách hàng'!A:E,5,0)</f>
        <v>HC-CT120</v>
      </c>
    </row>
    <row r="4227" spans="1:9" x14ac:dyDescent="0.25">
      <c r="A4227" s="14" t="s">
        <v>13576</v>
      </c>
      <c r="B4227" s="15" t="s">
        <v>5</v>
      </c>
      <c r="C4227" s="16" t="s">
        <v>14702</v>
      </c>
      <c r="D4227" s="21"/>
      <c r="E4227" s="32" t="s">
        <v>15672</v>
      </c>
      <c r="F4227" s="22" t="str">
        <f>VLOOKUP(Table8[[#This Row],[Mã khách hàng]],code_khach_hang[],2,0)</f>
        <v>CHI NHÁNH AN GIANG - CÔNG TY CỔ PHẦN DỊCH VỤ THƯƠNG MẠI TỔNG HỢP WINCOMMERCE</v>
      </c>
      <c r="G4227" s="16" t="str">
        <f>VLOOKUP(Table8[[#This Row],[Mã khách hàng]],code_khach_hang[],3,0)</f>
        <v>Miền Nam đặc biệt 2</v>
      </c>
      <c r="H4227" t="str">
        <f>VLOOKUP(Table8[[#This Row],[Mã khách hàng]],'Khách hàng'!A:D,4,0)</f>
        <v>Food Đức Việt</v>
      </c>
      <c r="I4227" t="str">
        <f>VLOOKUP(Table8[[#This Row],[Mã khách hàng]],'Khách hàng'!A:E,5,0)</f>
        <v>HC-CT120</v>
      </c>
    </row>
    <row r="4228" spans="1:9" x14ac:dyDescent="0.25">
      <c r="A4228" s="14" t="s">
        <v>13577</v>
      </c>
      <c r="B4228" s="15" t="s">
        <v>5</v>
      </c>
      <c r="C4228" s="16" t="s">
        <v>14703</v>
      </c>
      <c r="D4228" s="21"/>
      <c r="E4228" s="32" t="s">
        <v>15676</v>
      </c>
      <c r="F4228" s="22" t="str">
        <f>VLOOKUP(Table8[[#This Row],[Mã khách hàng]],code_khach_hang[],2,0)</f>
        <v>CHI NHÁNH KIÊN GIANG - CÔNG TY CỔ PHẦN DỊCH VỤ THƯƠNG MẠI TỔNG HỢP WINCOMMERCE</v>
      </c>
      <c r="G4228" s="16" t="str">
        <f>VLOOKUP(Table8[[#This Row],[Mã khách hàng]],code_khach_hang[],3,0)</f>
        <v>Miền Nam đặc biệt 2</v>
      </c>
      <c r="H4228" t="str">
        <f>VLOOKUP(Table8[[#This Row],[Mã khách hàng]],'Khách hàng'!A:D,4,0)</f>
        <v>Food Đức Việt</v>
      </c>
      <c r="I4228" t="str">
        <f>VLOOKUP(Table8[[#This Row],[Mã khách hàng]],'Khách hàng'!A:E,5,0)</f>
        <v>HC-CT120</v>
      </c>
    </row>
    <row r="4229" spans="1:9" x14ac:dyDescent="0.25">
      <c r="A4229" s="14" t="s">
        <v>13578</v>
      </c>
      <c r="B4229" s="15" t="s">
        <v>5</v>
      </c>
      <c r="C4229" s="16" t="s">
        <v>14704</v>
      </c>
      <c r="D4229" s="21"/>
      <c r="E4229" s="32" t="s">
        <v>15667</v>
      </c>
      <c r="F4229" s="22" t="str">
        <f>VLOOKUP(Table8[[#This Row],[Mã khách hàng]],code_khach_hang[],2,0)</f>
        <v>CÔNG TY CỔ PHẦN DỊCH VỤ THƯƠNG MẠI TỔNG HỢP WINCOMMERCE</v>
      </c>
      <c r="G4229" s="16" t="str">
        <f>VLOOKUP(Table8[[#This Row],[Mã khách hàng]],code_khach_hang[],3,0)</f>
        <v>Miền Nam đặc biệt 1</v>
      </c>
      <c r="H4229" t="str">
        <f>VLOOKUP(Table8[[#This Row],[Mã khách hàng]],'Khách hàng'!A:D,4,0)</f>
        <v>Food Đức Việt</v>
      </c>
      <c r="I4229" t="str">
        <f>VLOOKUP(Table8[[#This Row],[Mã khách hàng]],'Khách hàng'!A:E,5,0)</f>
        <v>HCVG80</v>
      </c>
    </row>
    <row r="4230" spans="1:9" x14ac:dyDescent="0.25">
      <c r="A4230" s="14" t="s">
        <v>13579</v>
      </c>
      <c r="B4230" s="15" t="s">
        <v>5</v>
      </c>
      <c r="C4230" s="16" t="s">
        <v>14705</v>
      </c>
      <c r="D4230" s="21"/>
      <c r="E4230" s="32" t="s">
        <v>15675</v>
      </c>
      <c r="F4230" s="22" t="str">
        <f>VLOOKUP(Table8[[#This Row],[Mã khách hàng]],code_khach_hang[],2,0)</f>
        <v>CHI NHÁNH VĨNH LONG - CÔNG TY CỔ PHẦN DỊCH VỤ THƯƠNG MẠI TỔNG HỢP WINCOMMERCE</v>
      </c>
      <c r="G4230" s="16" t="str">
        <f>VLOOKUP(Table8[[#This Row],[Mã khách hàng]],code_khach_hang[],3,0)</f>
        <v>Miền Nam đặc biệt 2</v>
      </c>
      <c r="H4230" t="str">
        <f>VLOOKUP(Table8[[#This Row],[Mã khách hàng]],'Khách hàng'!A:D,4,0)</f>
        <v>Food Đức Việt</v>
      </c>
      <c r="I4230" t="str">
        <f>VLOOKUP(Table8[[#This Row],[Mã khách hàng]],'Khách hàng'!A:E,5,0)</f>
        <v>HC-CT120</v>
      </c>
    </row>
    <row r="4231" spans="1:9" x14ac:dyDescent="0.25">
      <c r="A4231" s="14" t="s">
        <v>13580</v>
      </c>
      <c r="B4231" s="15" t="s">
        <v>5</v>
      </c>
      <c r="C4231" s="16" t="s">
        <v>14706</v>
      </c>
      <c r="D4231" s="21"/>
      <c r="E4231" s="32" t="s">
        <v>15676</v>
      </c>
      <c r="F4231" s="22" t="str">
        <f>VLOOKUP(Table8[[#This Row],[Mã khách hàng]],code_khach_hang[],2,0)</f>
        <v>CHI NHÁNH KIÊN GIANG - CÔNG TY CỔ PHẦN DỊCH VỤ THƯƠNG MẠI TỔNG HỢP WINCOMMERCE</v>
      </c>
      <c r="G4231" s="16" t="str">
        <f>VLOOKUP(Table8[[#This Row],[Mã khách hàng]],code_khach_hang[],3,0)</f>
        <v>Miền Nam đặc biệt 2</v>
      </c>
      <c r="H4231" t="str">
        <f>VLOOKUP(Table8[[#This Row],[Mã khách hàng]],'Khách hàng'!A:D,4,0)</f>
        <v>Food Đức Việt</v>
      </c>
      <c r="I4231" t="str">
        <f>VLOOKUP(Table8[[#This Row],[Mã khách hàng]],'Khách hàng'!A:E,5,0)</f>
        <v>HC-CT120</v>
      </c>
    </row>
    <row r="4232" spans="1:9" x14ac:dyDescent="0.25">
      <c r="A4232" s="14" t="s">
        <v>13581</v>
      </c>
      <c r="B4232" s="15" t="s">
        <v>5</v>
      </c>
      <c r="C4232" s="16" t="s">
        <v>14707</v>
      </c>
      <c r="D4232" s="21"/>
      <c r="E4232" s="32" t="s">
        <v>15673</v>
      </c>
      <c r="F4232" s="22" t="str">
        <f>VLOOKUP(Table8[[#This Row],[Mã khách hàng]],code_khach_hang[],2,0)</f>
        <v>CHI NHÁNH BÌNH THUẬN - CÔNG TY CỔ PHẦN DỊCH VỤ THƯƠNG MẠI TỔNG HỢP WINCOMMERCE</v>
      </c>
      <c r="G4232" s="16" t="str">
        <f>VLOOKUP(Table8[[#This Row],[Mã khách hàng]],code_khach_hang[],3,0)</f>
        <v>Miền Nam đặc biệt 3</v>
      </c>
      <c r="H4232" t="str">
        <f>VLOOKUP(Table8[[#This Row],[Mã khách hàng]],'Khách hàng'!A:D,4,0)</f>
        <v>Food Đức Việt</v>
      </c>
      <c r="I4232" t="str">
        <f>VLOOKUP(Table8[[#This Row],[Mã khách hàng]],'Khách hàng'!A:E,5,0)</f>
        <v>HCVG80</v>
      </c>
    </row>
    <row r="4233" spans="1:9" x14ac:dyDescent="0.25">
      <c r="A4233" s="14" t="s">
        <v>13582</v>
      </c>
      <c r="B4233" s="15" t="s">
        <v>5</v>
      </c>
      <c r="C4233" s="16" t="s">
        <v>14708</v>
      </c>
      <c r="D4233" s="21"/>
      <c r="E4233" s="32" t="s">
        <v>15676</v>
      </c>
      <c r="F4233" s="22" t="str">
        <f>VLOOKUP(Table8[[#This Row],[Mã khách hàng]],code_khach_hang[],2,0)</f>
        <v>CHI NHÁNH KIÊN GIANG - CÔNG TY CỔ PHẦN DỊCH VỤ THƯƠNG MẠI TỔNG HỢP WINCOMMERCE</v>
      </c>
      <c r="G4233" s="16" t="str">
        <f>VLOOKUP(Table8[[#This Row],[Mã khách hàng]],code_khach_hang[],3,0)</f>
        <v>Miền Nam đặc biệt 2</v>
      </c>
      <c r="H4233" t="str">
        <f>VLOOKUP(Table8[[#This Row],[Mã khách hàng]],'Khách hàng'!A:D,4,0)</f>
        <v>Food Đức Việt</v>
      </c>
      <c r="I4233" t="str">
        <f>VLOOKUP(Table8[[#This Row],[Mã khách hàng]],'Khách hàng'!A:E,5,0)</f>
        <v>HC-CT120</v>
      </c>
    </row>
    <row r="4234" spans="1:9" x14ac:dyDescent="0.25">
      <c r="A4234" s="14" t="s">
        <v>13583</v>
      </c>
      <c r="B4234" s="15" t="s">
        <v>5</v>
      </c>
      <c r="C4234" s="16" t="s">
        <v>14709</v>
      </c>
      <c r="D4234" s="21"/>
      <c r="E4234" s="32" t="s">
        <v>15667</v>
      </c>
      <c r="F4234" s="22" t="str">
        <f>VLOOKUP(Table8[[#This Row],[Mã khách hàng]],code_khach_hang[],2,0)</f>
        <v>CÔNG TY CỔ PHẦN DỊCH VỤ THƯƠNG MẠI TỔNG HỢP WINCOMMERCE</v>
      </c>
      <c r="G4234" s="16" t="str">
        <f>VLOOKUP(Table8[[#This Row],[Mã khách hàng]],code_khach_hang[],3,0)</f>
        <v>Miền Nam đặc biệt 1</v>
      </c>
      <c r="H4234" t="str">
        <f>VLOOKUP(Table8[[#This Row],[Mã khách hàng]],'Khách hàng'!A:D,4,0)</f>
        <v>Food Đức Việt</v>
      </c>
      <c r="I4234" t="str">
        <f>VLOOKUP(Table8[[#This Row],[Mã khách hàng]],'Khách hàng'!A:E,5,0)</f>
        <v>HCVG80</v>
      </c>
    </row>
    <row r="4235" spans="1:9" x14ac:dyDescent="0.25">
      <c r="A4235" s="14" t="s">
        <v>13584</v>
      </c>
      <c r="B4235" s="15" t="s">
        <v>5</v>
      </c>
      <c r="C4235" s="16" t="s">
        <v>14710</v>
      </c>
      <c r="D4235" s="21"/>
      <c r="E4235" s="32" t="s">
        <v>15673</v>
      </c>
      <c r="F4235" s="22" t="str">
        <f>VLOOKUP(Table8[[#This Row],[Mã khách hàng]],code_khach_hang[],2,0)</f>
        <v>CHI NHÁNH BÌNH THUẬN - CÔNG TY CỔ PHẦN DỊCH VỤ THƯƠNG MẠI TỔNG HỢP WINCOMMERCE</v>
      </c>
      <c r="G4235" s="16" t="str">
        <f>VLOOKUP(Table8[[#This Row],[Mã khách hàng]],code_khach_hang[],3,0)</f>
        <v>Miền Nam đặc biệt 3</v>
      </c>
      <c r="H4235" t="str">
        <f>VLOOKUP(Table8[[#This Row],[Mã khách hàng]],'Khách hàng'!A:D,4,0)</f>
        <v>Food Đức Việt</v>
      </c>
      <c r="I4235" t="str">
        <f>VLOOKUP(Table8[[#This Row],[Mã khách hàng]],'Khách hàng'!A:E,5,0)</f>
        <v>HCVG80</v>
      </c>
    </row>
    <row r="4236" spans="1:9" x14ac:dyDescent="0.25">
      <c r="A4236" s="14" t="s">
        <v>13585</v>
      </c>
      <c r="B4236" s="15" t="s">
        <v>5</v>
      </c>
      <c r="C4236" s="16" t="s">
        <v>14711</v>
      </c>
      <c r="D4236" s="21"/>
      <c r="E4236" s="32" t="s">
        <v>15667</v>
      </c>
      <c r="F4236" s="22" t="str">
        <f>VLOOKUP(Table8[[#This Row],[Mã khách hàng]],code_khach_hang[],2,0)</f>
        <v>CÔNG TY CỔ PHẦN DỊCH VỤ THƯƠNG MẠI TỔNG HỢP WINCOMMERCE</v>
      </c>
      <c r="G4236" s="16" t="str">
        <f>VLOOKUP(Table8[[#This Row],[Mã khách hàng]],code_khach_hang[],3,0)</f>
        <v>Miền Nam đặc biệt 1</v>
      </c>
      <c r="H4236" t="str">
        <f>VLOOKUP(Table8[[#This Row],[Mã khách hàng]],'Khách hàng'!A:D,4,0)</f>
        <v>Food Đức Việt</v>
      </c>
      <c r="I4236" t="str">
        <f>VLOOKUP(Table8[[#This Row],[Mã khách hàng]],'Khách hàng'!A:E,5,0)</f>
        <v>HCVG80</v>
      </c>
    </row>
    <row r="4237" spans="1:9" x14ac:dyDescent="0.25">
      <c r="A4237" s="14" t="s">
        <v>13586</v>
      </c>
      <c r="B4237" s="15" t="s">
        <v>5</v>
      </c>
      <c r="C4237" s="16" t="s">
        <v>14712</v>
      </c>
      <c r="D4237" s="21"/>
      <c r="E4237" s="32" t="s">
        <v>15669</v>
      </c>
      <c r="F4237" s="22" t="str">
        <f>VLOOKUP(Table8[[#This Row],[Mã khách hàng]],code_khach_hang[],2,0)</f>
        <v>CHI NHÁNH CẦN THƠ - CÔNG TY CỔ PHẦN DỊCH VỤ THƯƠNG MẠI TỔNG HỢP WINCOMMERCE</v>
      </c>
      <c r="G4237" s="16" t="str">
        <f>VLOOKUP(Table8[[#This Row],[Mã khách hàng]],code_khach_hang[],3,0)</f>
        <v>Miền Nam đặc biệt 2</v>
      </c>
      <c r="H4237" t="str">
        <f>VLOOKUP(Table8[[#This Row],[Mã khách hàng]],'Khách hàng'!A:D,4,0)</f>
        <v>Food Đức Việt</v>
      </c>
      <c r="I4237" t="str">
        <f>VLOOKUP(Table8[[#This Row],[Mã khách hàng]],'Khách hàng'!A:E,5,0)</f>
        <v>HC-CT120</v>
      </c>
    </row>
    <row r="4238" spans="1:9" x14ac:dyDescent="0.25">
      <c r="A4238" s="14" t="s">
        <v>13587</v>
      </c>
      <c r="B4238" s="15" t="s">
        <v>5</v>
      </c>
      <c r="C4238" s="16" t="s">
        <v>14713</v>
      </c>
      <c r="D4238" s="21"/>
      <c r="E4238" s="32" t="s">
        <v>15667</v>
      </c>
      <c r="F4238" s="22" t="str">
        <f>VLOOKUP(Table8[[#This Row],[Mã khách hàng]],code_khach_hang[],2,0)</f>
        <v>CÔNG TY CỔ PHẦN DỊCH VỤ THƯƠNG MẠI TỔNG HỢP WINCOMMERCE</v>
      </c>
      <c r="G4238" s="16" t="str">
        <f>VLOOKUP(Table8[[#This Row],[Mã khách hàng]],code_khach_hang[],3,0)</f>
        <v>Miền Nam đặc biệt 1</v>
      </c>
      <c r="H4238" t="str">
        <f>VLOOKUP(Table8[[#This Row],[Mã khách hàng]],'Khách hàng'!A:D,4,0)</f>
        <v>Food Đức Việt</v>
      </c>
      <c r="I4238" t="str">
        <f>VLOOKUP(Table8[[#This Row],[Mã khách hàng]],'Khách hàng'!A:E,5,0)</f>
        <v>HCVG80</v>
      </c>
    </row>
    <row r="4239" spans="1:9" x14ac:dyDescent="0.25">
      <c r="A4239" s="14" t="s">
        <v>13588</v>
      </c>
      <c r="B4239" s="15" t="s">
        <v>5</v>
      </c>
      <c r="C4239" s="16" t="s">
        <v>14714</v>
      </c>
      <c r="D4239" s="21"/>
      <c r="E4239" s="32" t="s">
        <v>15667</v>
      </c>
      <c r="F4239" s="22" t="str">
        <f>VLOOKUP(Table8[[#This Row],[Mã khách hàng]],code_khach_hang[],2,0)</f>
        <v>CÔNG TY CỔ PHẦN DỊCH VỤ THƯƠNG MẠI TỔNG HỢP WINCOMMERCE</v>
      </c>
      <c r="G4239" s="16" t="str">
        <f>VLOOKUP(Table8[[#This Row],[Mã khách hàng]],code_khach_hang[],3,0)</f>
        <v>Miền Nam đặc biệt 1</v>
      </c>
      <c r="H4239" t="str">
        <f>VLOOKUP(Table8[[#This Row],[Mã khách hàng]],'Khách hàng'!A:D,4,0)</f>
        <v>Food Đức Việt</v>
      </c>
      <c r="I4239" t="str">
        <f>VLOOKUP(Table8[[#This Row],[Mã khách hàng]],'Khách hàng'!A:E,5,0)</f>
        <v>HCVG80</v>
      </c>
    </row>
    <row r="4240" spans="1:9" x14ac:dyDescent="0.25">
      <c r="A4240" s="14" t="s">
        <v>13589</v>
      </c>
      <c r="B4240" s="15" t="s">
        <v>5</v>
      </c>
      <c r="C4240" s="16" t="s">
        <v>14715</v>
      </c>
      <c r="D4240" s="21"/>
      <c r="E4240" s="32" t="s">
        <v>15676</v>
      </c>
      <c r="F4240" s="22" t="str">
        <f>VLOOKUP(Table8[[#This Row],[Mã khách hàng]],code_khach_hang[],2,0)</f>
        <v>CHI NHÁNH KIÊN GIANG - CÔNG TY CỔ PHẦN DỊCH VỤ THƯƠNG MẠI TỔNG HỢP WINCOMMERCE</v>
      </c>
      <c r="G4240" s="16" t="str">
        <f>VLOOKUP(Table8[[#This Row],[Mã khách hàng]],code_khach_hang[],3,0)</f>
        <v>Miền Nam đặc biệt 2</v>
      </c>
      <c r="H4240" t="str">
        <f>VLOOKUP(Table8[[#This Row],[Mã khách hàng]],'Khách hàng'!A:D,4,0)</f>
        <v>Food Đức Việt</v>
      </c>
      <c r="I4240" t="str">
        <f>VLOOKUP(Table8[[#This Row],[Mã khách hàng]],'Khách hàng'!A:E,5,0)</f>
        <v>HC-CT120</v>
      </c>
    </row>
    <row r="4241" spans="1:9" x14ac:dyDescent="0.25">
      <c r="A4241" s="14" t="s">
        <v>13590</v>
      </c>
      <c r="B4241" s="15" t="s">
        <v>5</v>
      </c>
      <c r="C4241" s="16" t="s">
        <v>14716</v>
      </c>
      <c r="D4241" s="21"/>
      <c r="E4241" s="32" t="s">
        <v>15667</v>
      </c>
      <c r="F4241" s="22" t="str">
        <f>VLOOKUP(Table8[[#This Row],[Mã khách hàng]],code_khach_hang[],2,0)</f>
        <v>CÔNG TY CỔ PHẦN DỊCH VỤ THƯƠNG MẠI TỔNG HỢP WINCOMMERCE</v>
      </c>
      <c r="G4241" s="16" t="str">
        <f>VLOOKUP(Table8[[#This Row],[Mã khách hàng]],code_khach_hang[],3,0)</f>
        <v>Miền Nam đặc biệt 1</v>
      </c>
      <c r="H4241" t="str">
        <f>VLOOKUP(Table8[[#This Row],[Mã khách hàng]],'Khách hàng'!A:D,4,0)</f>
        <v>Food Đức Việt</v>
      </c>
      <c r="I4241" t="str">
        <f>VLOOKUP(Table8[[#This Row],[Mã khách hàng]],'Khách hàng'!A:E,5,0)</f>
        <v>HCVG80</v>
      </c>
    </row>
    <row r="4242" spans="1:9" x14ac:dyDescent="0.25">
      <c r="A4242" s="14" t="s">
        <v>13591</v>
      </c>
      <c r="B4242" s="15" t="s">
        <v>5</v>
      </c>
      <c r="C4242" s="16" t="s">
        <v>14717</v>
      </c>
      <c r="D4242" s="21"/>
      <c r="E4242" s="32" t="s">
        <v>15671</v>
      </c>
      <c r="F4242" s="22" t="str">
        <f>VLOOKUP(Table8[[#This Row],[Mã khách hàng]],code_khach_hang[],2,0)</f>
        <v>CHI NHÁNH BÌNH DƯƠNG - CÔNG TY CỔ PHẦN DỊCH VỤ THƯƠNG MẠI TỔNG HỢP WINCOMMERCE</v>
      </c>
      <c r="G4242" s="16" t="str">
        <f>VLOOKUP(Table8[[#This Row],[Mã khách hàng]],code_khach_hang[],3,0)</f>
        <v>Miền Nam đặc biệt 1</v>
      </c>
      <c r="H4242" t="str">
        <f>VLOOKUP(Table8[[#This Row],[Mã khách hàng]],'Khách hàng'!A:D,4,0)</f>
        <v>Food Đức Việt</v>
      </c>
      <c r="I4242" t="str">
        <f>VLOOKUP(Table8[[#This Row],[Mã khách hàng]],'Khách hàng'!A:E,5,0)</f>
        <v>HCVG80</v>
      </c>
    </row>
    <row r="4243" spans="1:9" x14ac:dyDescent="0.25">
      <c r="A4243" s="14" t="s">
        <v>13592</v>
      </c>
      <c r="B4243" s="15" t="s">
        <v>5</v>
      </c>
      <c r="C4243" s="16" t="s">
        <v>14718</v>
      </c>
      <c r="D4243" s="21"/>
      <c r="E4243" s="32" t="s">
        <v>15671</v>
      </c>
      <c r="F4243" s="22" t="str">
        <f>VLOOKUP(Table8[[#This Row],[Mã khách hàng]],code_khach_hang[],2,0)</f>
        <v>CHI NHÁNH BÌNH DƯƠNG - CÔNG TY CỔ PHẦN DỊCH VỤ THƯƠNG MẠI TỔNG HỢP WINCOMMERCE</v>
      </c>
      <c r="G4243" s="16" t="str">
        <f>VLOOKUP(Table8[[#This Row],[Mã khách hàng]],code_khach_hang[],3,0)</f>
        <v>Miền Nam đặc biệt 1</v>
      </c>
      <c r="H4243" t="str">
        <f>VLOOKUP(Table8[[#This Row],[Mã khách hàng]],'Khách hàng'!A:D,4,0)</f>
        <v>Food Đức Việt</v>
      </c>
      <c r="I4243" t="str">
        <f>VLOOKUP(Table8[[#This Row],[Mã khách hàng]],'Khách hàng'!A:E,5,0)</f>
        <v>HCVG80</v>
      </c>
    </row>
    <row r="4244" spans="1:9" x14ac:dyDescent="0.25">
      <c r="A4244" s="14" t="s">
        <v>13593</v>
      </c>
      <c r="B4244" s="15" t="s">
        <v>5</v>
      </c>
      <c r="C4244" s="16" t="s">
        <v>14719</v>
      </c>
      <c r="D4244" s="21"/>
      <c r="E4244" s="32" t="s">
        <v>15668</v>
      </c>
      <c r="F4244" s="22" t="str">
        <f>VLOOKUP(Table8[[#This Row],[Mã khách hàng]],code_khach_hang[],2,0)</f>
        <v>CHI NHÁNH ĐỒNG NAI - CÔNG TY CỔ PHẦN DỊCH VỤ THƯƠNG MẠI TỔNG HỢP WINCOMMERCE</v>
      </c>
      <c r="G4244" s="16" t="str">
        <f>VLOOKUP(Table8[[#This Row],[Mã khách hàng]],code_khach_hang[],3,0)</f>
        <v>Miền Nam đặc biệt 3</v>
      </c>
      <c r="H4244" t="str">
        <f>VLOOKUP(Table8[[#This Row],[Mã khách hàng]],'Khách hàng'!A:D,4,0)</f>
        <v>Food Đức Việt</v>
      </c>
      <c r="I4244" t="str">
        <f>VLOOKUP(Table8[[#This Row],[Mã khách hàng]],'Khách hàng'!A:E,5,0)</f>
        <v>HCVG80</v>
      </c>
    </row>
    <row r="4245" spans="1:9" x14ac:dyDescent="0.25">
      <c r="A4245" s="14" t="s">
        <v>13594</v>
      </c>
      <c r="B4245" s="15" t="s">
        <v>5</v>
      </c>
      <c r="C4245" s="16" t="s">
        <v>14720</v>
      </c>
      <c r="D4245" s="21"/>
      <c r="E4245" s="32" t="s">
        <v>15676</v>
      </c>
      <c r="F4245" s="22" t="str">
        <f>VLOOKUP(Table8[[#This Row],[Mã khách hàng]],code_khach_hang[],2,0)</f>
        <v>CHI NHÁNH KIÊN GIANG - CÔNG TY CỔ PHẦN DỊCH VỤ THƯƠNG MẠI TỔNG HỢP WINCOMMERCE</v>
      </c>
      <c r="G4245" s="16" t="str">
        <f>VLOOKUP(Table8[[#This Row],[Mã khách hàng]],code_khach_hang[],3,0)</f>
        <v>Miền Nam đặc biệt 2</v>
      </c>
      <c r="H4245" t="str">
        <f>VLOOKUP(Table8[[#This Row],[Mã khách hàng]],'Khách hàng'!A:D,4,0)</f>
        <v>Food Đức Việt</v>
      </c>
      <c r="I4245" t="str">
        <f>VLOOKUP(Table8[[#This Row],[Mã khách hàng]],'Khách hàng'!A:E,5,0)</f>
        <v>HC-CT120</v>
      </c>
    </row>
    <row r="4246" spans="1:9" x14ac:dyDescent="0.25">
      <c r="A4246" s="14" t="s">
        <v>13595</v>
      </c>
      <c r="B4246" s="15" t="s">
        <v>5</v>
      </c>
      <c r="C4246" s="16" t="s">
        <v>14721</v>
      </c>
      <c r="D4246" s="21"/>
      <c r="E4246" s="32" t="s">
        <v>15671</v>
      </c>
      <c r="F4246" s="22" t="str">
        <f>VLOOKUP(Table8[[#This Row],[Mã khách hàng]],code_khach_hang[],2,0)</f>
        <v>CHI NHÁNH BÌNH DƯƠNG - CÔNG TY CỔ PHẦN DỊCH VỤ THƯƠNG MẠI TỔNG HỢP WINCOMMERCE</v>
      </c>
      <c r="G4246" s="16" t="str">
        <f>VLOOKUP(Table8[[#This Row],[Mã khách hàng]],code_khach_hang[],3,0)</f>
        <v>Miền Nam đặc biệt 1</v>
      </c>
      <c r="H4246" t="str">
        <f>VLOOKUP(Table8[[#This Row],[Mã khách hàng]],'Khách hàng'!A:D,4,0)</f>
        <v>Food Đức Việt</v>
      </c>
      <c r="I4246" t="str">
        <f>VLOOKUP(Table8[[#This Row],[Mã khách hàng]],'Khách hàng'!A:E,5,0)</f>
        <v>HCVG80</v>
      </c>
    </row>
    <row r="4247" spans="1:9" x14ac:dyDescent="0.25">
      <c r="A4247" s="14" t="s">
        <v>13596</v>
      </c>
      <c r="B4247" s="15" t="s">
        <v>5</v>
      </c>
      <c r="C4247" s="16" t="s">
        <v>14722</v>
      </c>
      <c r="D4247" s="21"/>
      <c r="E4247" s="32" t="s">
        <v>15669</v>
      </c>
      <c r="F4247" s="22" t="str">
        <f>VLOOKUP(Table8[[#This Row],[Mã khách hàng]],code_khach_hang[],2,0)</f>
        <v>CHI NHÁNH CẦN THƠ - CÔNG TY CỔ PHẦN DỊCH VỤ THƯƠNG MẠI TỔNG HỢP WINCOMMERCE</v>
      </c>
      <c r="G4247" s="16" t="str">
        <f>VLOOKUP(Table8[[#This Row],[Mã khách hàng]],code_khach_hang[],3,0)</f>
        <v>Miền Nam đặc biệt 2</v>
      </c>
      <c r="H4247" t="str">
        <f>VLOOKUP(Table8[[#This Row],[Mã khách hàng]],'Khách hàng'!A:D,4,0)</f>
        <v>Food Đức Việt</v>
      </c>
      <c r="I4247" t="str">
        <f>VLOOKUP(Table8[[#This Row],[Mã khách hàng]],'Khách hàng'!A:E,5,0)</f>
        <v>HC-CT120</v>
      </c>
    </row>
    <row r="4248" spans="1:9" x14ac:dyDescent="0.25">
      <c r="A4248" s="14" t="s">
        <v>13597</v>
      </c>
      <c r="B4248" s="15" t="s">
        <v>5</v>
      </c>
      <c r="C4248" s="16" t="s">
        <v>14723</v>
      </c>
      <c r="D4248" s="21"/>
      <c r="E4248" s="32" t="s">
        <v>15668</v>
      </c>
      <c r="F4248" s="22" t="str">
        <f>VLOOKUP(Table8[[#This Row],[Mã khách hàng]],code_khach_hang[],2,0)</f>
        <v>CHI NHÁNH ĐỒNG NAI - CÔNG TY CỔ PHẦN DỊCH VỤ THƯƠNG MẠI TỔNG HỢP WINCOMMERCE</v>
      </c>
      <c r="G4248" s="16" t="str">
        <f>VLOOKUP(Table8[[#This Row],[Mã khách hàng]],code_khach_hang[],3,0)</f>
        <v>Miền Nam đặc biệt 3</v>
      </c>
      <c r="H4248" t="str">
        <f>VLOOKUP(Table8[[#This Row],[Mã khách hàng]],'Khách hàng'!A:D,4,0)</f>
        <v>Food Đức Việt</v>
      </c>
      <c r="I4248" t="str">
        <f>VLOOKUP(Table8[[#This Row],[Mã khách hàng]],'Khách hàng'!A:E,5,0)</f>
        <v>HCVG80</v>
      </c>
    </row>
    <row r="4249" spans="1:9" x14ac:dyDescent="0.25">
      <c r="A4249" s="14" t="s">
        <v>13598</v>
      </c>
      <c r="B4249" s="15" t="s">
        <v>5</v>
      </c>
      <c r="C4249" s="16" t="s">
        <v>14724</v>
      </c>
      <c r="D4249" s="21"/>
      <c r="E4249" s="32" t="s">
        <v>15668</v>
      </c>
      <c r="F4249" s="22" t="str">
        <f>VLOOKUP(Table8[[#This Row],[Mã khách hàng]],code_khach_hang[],2,0)</f>
        <v>CHI NHÁNH ĐỒNG NAI - CÔNG TY CỔ PHẦN DỊCH VỤ THƯƠNG MẠI TỔNG HỢP WINCOMMERCE</v>
      </c>
      <c r="G4249" s="16" t="str">
        <f>VLOOKUP(Table8[[#This Row],[Mã khách hàng]],code_khach_hang[],3,0)</f>
        <v>Miền Nam đặc biệt 3</v>
      </c>
      <c r="H4249" t="str">
        <f>VLOOKUP(Table8[[#This Row],[Mã khách hàng]],'Khách hàng'!A:D,4,0)</f>
        <v>Food Đức Việt</v>
      </c>
      <c r="I4249" t="str">
        <f>VLOOKUP(Table8[[#This Row],[Mã khách hàng]],'Khách hàng'!A:E,5,0)</f>
        <v>HCVG80</v>
      </c>
    </row>
    <row r="4250" spans="1:9" x14ac:dyDescent="0.25">
      <c r="A4250" s="14" t="s">
        <v>13599</v>
      </c>
      <c r="B4250" s="15" t="s">
        <v>5</v>
      </c>
      <c r="C4250" s="16" t="s">
        <v>14725</v>
      </c>
      <c r="D4250" s="21"/>
      <c r="E4250" s="32" t="s">
        <v>15670</v>
      </c>
      <c r="F4250" s="22" t="str">
        <f>VLOOKUP(Table8[[#This Row],[Mã khách hàng]],code_khach_hang[],2,0)</f>
        <v>CHI NHÁNH TIỀN GIANG - CÔNG TY CỔ PHẦN DỊCH VỤ THƯƠNG MẠI TỔNG HỢP WINCOMMERCE</v>
      </c>
      <c r="G4250" s="16" t="str">
        <f>VLOOKUP(Table8[[#This Row],[Mã khách hàng]],code_khach_hang[],3,0)</f>
        <v>Miền Nam đặc biệt 1</v>
      </c>
      <c r="H4250" t="str">
        <f>VLOOKUP(Table8[[#This Row],[Mã khách hàng]],'Khách hàng'!A:D,4,0)</f>
        <v>Food Đức Việt</v>
      </c>
      <c r="I4250" t="str">
        <f>VLOOKUP(Table8[[#This Row],[Mã khách hàng]],'Khách hàng'!A:E,5,0)</f>
        <v>HCVG80</v>
      </c>
    </row>
    <row r="4251" spans="1:9" x14ac:dyDescent="0.25">
      <c r="A4251" s="14" t="s">
        <v>13600</v>
      </c>
      <c r="B4251" s="15" t="s">
        <v>5</v>
      </c>
      <c r="C4251" s="16" t="s">
        <v>14726</v>
      </c>
      <c r="D4251" s="21"/>
      <c r="E4251" s="32" t="s">
        <v>15669</v>
      </c>
      <c r="F4251" s="22" t="str">
        <f>VLOOKUP(Table8[[#This Row],[Mã khách hàng]],code_khach_hang[],2,0)</f>
        <v>CHI NHÁNH CẦN THƠ - CÔNG TY CỔ PHẦN DỊCH VỤ THƯƠNG MẠI TỔNG HỢP WINCOMMERCE</v>
      </c>
      <c r="G4251" s="16" t="str">
        <f>VLOOKUP(Table8[[#This Row],[Mã khách hàng]],code_khach_hang[],3,0)</f>
        <v>Miền Nam đặc biệt 2</v>
      </c>
      <c r="H4251" t="str">
        <f>VLOOKUP(Table8[[#This Row],[Mã khách hàng]],'Khách hàng'!A:D,4,0)</f>
        <v>Food Đức Việt</v>
      </c>
      <c r="I4251" t="str">
        <f>VLOOKUP(Table8[[#This Row],[Mã khách hàng]],'Khách hàng'!A:E,5,0)</f>
        <v>HC-CT120</v>
      </c>
    </row>
    <row r="4252" spans="1:9" x14ac:dyDescent="0.25">
      <c r="A4252" s="14" t="s">
        <v>13601</v>
      </c>
      <c r="B4252" s="15" t="s">
        <v>5</v>
      </c>
      <c r="C4252" s="16" t="s">
        <v>14727</v>
      </c>
      <c r="D4252" s="21"/>
      <c r="E4252" s="32" t="s">
        <v>15667</v>
      </c>
      <c r="F4252" s="22" t="str">
        <f>VLOOKUP(Table8[[#This Row],[Mã khách hàng]],code_khach_hang[],2,0)</f>
        <v>CÔNG TY CỔ PHẦN DỊCH VỤ THƯƠNG MẠI TỔNG HỢP WINCOMMERCE</v>
      </c>
      <c r="G4252" s="16" t="str">
        <f>VLOOKUP(Table8[[#This Row],[Mã khách hàng]],code_khach_hang[],3,0)</f>
        <v>Miền Nam đặc biệt 1</v>
      </c>
      <c r="H4252" t="str">
        <f>VLOOKUP(Table8[[#This Row],[Mã khách hàng]],'Khách hàng'!A:D,4,0)</f>
        <v>Food Đức Việt</v>
      </c>
      <c r="I4252" t="str">
        <f>VLOOKUP(Table8[[#This Row],[Mã khách hàng]],'Khách hàng'!A:E,5,0)</f>
        <v>HCVG80</v>
      </c>
    </row>
    <row r="4253" spans="1:9" x14ac:dyDescent="0.25">
      <c r="A4253" s="14" t="s">
        <v>13602</v>
      </c>
      <c r="B4253" s="15" t="s">
        <v>5</v>
      </c>
      <c r="C4253" s="16" t="s">
        <v>14728</v>
      </c>
      <c r="D4253" s="21"/>
      <c r="E4253" s="32" t="s">
        <v>15667</v>
      </c>
      <c r="F4253" s="22" t="str">
        <f>VLOOKUP(Table8[[#This Row],[Mã khách hàng]],code_khach_hang[],2,0)</f>
        <v>CÔNG TY CỔ PHẦN DỊCH VỤ THƯƠNG MẠI TỔNG HỢP WINCOMMERCE</v>
      </c>
      <c r="G4253" s="16" t="str">
        <f>VLOOKUP(Table8[[#This Row],[Mã khách hàng]],code_khach_hang[],3,0)</f>
        <v>Miền Nam đặc biệt 1</v>
      </c>
      <c r="H4253" t="str">
        <f>VLOOKUP(Table8[[#This Row],[Mã khách hàng]],'Khách hàng'!A:D,4,0)</f>
        <v>Food Đức Việt</v>
      </c>
      <c r="I4253" t="str">
        <f>VLOOKUP(Table8[[#This Row],[Mã khách hàng]],'Khách hàng'!A:E,5,0)</f>
        <v>HCVG80</v>
      </c>
    </row>
    <row r="4254" spans="1:9" x14ac:dyDescent="0.25">
      <c r="A4254" s="14" t="s">
        <v>13603</v>
      </c>
      <c r="B4254" s="15" t="s">
        <v>5</v>
      </c>
      <c r="C4254" s="16" t="s">
        <v>14729</v>
      </c>
      <c r="D4254" s="21"/>
      <c r="E4254" s="32" t="s">
        <v>15667</v>
      </c>
      <c r="F4254" s="22" t="str">
        <f>VLOOKUP(Table8[[#This Row],[Mã khách hàng]],code_khach_hang[],2,0)</f>
        <v>CÔNG TY CỔ PHẦN DỊCH VỤ THƯƠNG MẠI TỔNG HỢP WINCOMMERCE</v>
      </c>
      <c r="G4254" s="16" t="str">
        <f>VLOOKUP(Table8[[#This Row],[Mã khách hàng]],code_khach_hang[],3,0)</f>
        <v>Miền Nam đặc biệt 1</v>
      </c>
      <c r="H4254" t="str">
        <f>VLOOKUP(Table8[[#This Row],[Mã khách hàng]],'Khách hàng'!A:D,4,0)</f>
        <v>Food Đức Việt</v>
      </c>
      <c r="I4254" t="str">
        <f>VLOOKUP(Table8[[#This Row],[Mã khách hàng]],'Khách hàng'!A:E,5,0)</f>
        <v>HCVG80</v>
      </c>
    </row>
    <row r="4255" spans="1:9" x14ac:dyDescent="0.25">
      <c r="A4255" s="14" t="s">
        <v>13604</v>
      </c>
      <c r="B4255" s="15" t="s">
        <v>5</v>
      </c>
      <c r="C4255" s="16" t="s">
        <v>14730</v>
      </c>
      <c r="D4255" s="21"/>
      <c r="E4255" s="32" t="s">
        <v>15667</v>
      </c>
      <c r="F4255" s="22" t="str">
        <f>VLOOKUP(Table8[[#This Row],[Mã khách hàng]],code_khach_hang[],2,0)</f>
        <v>CÔNG TY CỔ PHẦN DỊCH VỤ THƯƠNG MẠI TỔNG HỢP WINCOMMERCE</v>
      </c>
      <c r="G4255" s="16" t="str">
        <f>VLOOKUP(Table8[[#This Row],[Mã khách hàng]],code_khach_hang[],3,0)</f>
        <v>Miền Nam đặc biệt 1</v>
      </c>
      <c r="H4255" t="str">
        <f>VLOOKUP(Table8[[#This Row],[Mã khách hàng]],'Khách hàng'!A:D,4,0)</f>
        <v>Food Đức Việt</v>
      </c>
      <c r="I4255" t="str">
        <f>VLOOKUP(Table8[[#This Row],[Mã khách hàng]],'Khách hàng'!A:E,5,0)</f>
        <v>HCVG80</v>
      </c>
    </row>
    <row r="4256" spans="1:9" x14ac:dyDescent="0.25">
      <c r="A4256" s="14" t="s">
        <v>13605</v>
      </c>
      <c r="B4256" s="15" t="s">
        <v>5</v>
      </c>
      <c r="C4256" s="16" t="s">
        <v>14731</v>
      </c>
      <c r="D4256" s="21"/>
      <c r="E4256" s="32" t="s">
        <v>15668</v>
      </c>
      <c r="F4256" s="22" t="str">
        <f>VLOOKUP(Table8[[#This Row],[Mã khách hàng]],code_khach_hang[],2,0)</f>
        <v>CHI NHÁNH ĐỒNG NAI - CÔNG TY CỔ PHẦN DỊCH VỤ THƯƠNG MẠI TỔNG HỢP WINCOMMERCE</v>
      </c>
      <c r="G4256" s="16" t="str">
        <f>VLOOKUP(Table8[[#This Row],[Mã khách hàng]],code_khach_hang[],3,0)</f>
        <v>Miền Nam đặc biệt 3</v>
      </c>
      <c r="H4256" t="str">
        <f>VLOOKUP(Table8[[#This Row],[Mã khách hàng]],'Khách hàng'!A:D,4,0)</f>
        <v>Food Đức Việt</v>
      </c>
      <c r="I4256" t="str">
        <f>VLOOKUP(Table8[[#This Row],[Mã khách hàng]],'Khách hàng'!A:E,5,0)</f>
        <v>HCVG80</v>
      </c>
    </row>
    <row r="4257" spans="1:9" x14ac:dyDescent="0.25">
      <c r="A4257" s="14" t="s">
        <v>13606</v>
      </c>
      <c r="B4257" s="15" t="s">
        <v>5</v>
      </c>
      <c r="C4257" s="16" t="s">
        <v>14732</v>
      </c>
      <c r="D4257" s="21"/>
      <c r="E4257" s="32" t="s">
        <v>15667</v>
      </c>
      <c r="F4257" s="22" t="str">
        <f>VLOOKUP(Table8[[#This Row],[Mã khách hàng]],code_khach_hang[],2,0)</f>
        <v>CÔNG TY CỔ PHẦN DỊCH VỤ THƯƠNG MẠI TỔNG HỢP WINCOMMERCE</v>
      </c>
      <c r="G4257" s="16" t="str">
        <f>VLOOKUP(Table8[[#This Row],[Mã khách hàng]],code_khach_hang[],3,0)</f>
        <v>Miền Nam đặc biệt 1</v>
      </c>
      <c r="H4257" t="str">
        <f>VLOOKUP(Table8[[#This Row],[Mã khách hàng]],'Khách hàng'!A:D,4,0)</f>
        <v>Food Đức Việt</v>
      </c>
      <c r="I4257" t="str">
        <f>VLOOKUP(Table8[[#This Row],[Mã khách hàng]],'Khách hàng'!A:E,5,0)</f>
        <v>HCVG80</v>
      </c>
    </row>
    <row r="4258" spans="1:9" x14ac:dyDescent="0.25">
      <c r="A4258" s="14" t="s">
        <v>13607</v>
      </c>
      <c r="B4258" s="15" t="s">
        <v>5</v>
      </c>
      <c r="C4258" s="16" t="s">
        <v>14733</v>
      </c>
      <c r="D4258" s="21"/>
      <c r="E4258" s="32" t="s">
        <v>15671</v>
      </c>
      <c r="F4258" s="22" t="str">
        <f>VLOOKUP(Table8[[#This Row],[Mã khách hàng]],code_khach_hang[],2,0)</f>
        <v>CHI NHÁNH BÌNH DƯƠNG - CÔNG TY CỔ PHẦN DỊCH VỤ THƯƠNG MẠI TỔNG HỢP WINCOMMERCE</v>
      </c>
      <c r="G4258" s="16" t="str">
        <f>VLOOKUP(Table8[[#This Row],[Mã khách hàng]],code_khach_hang[],3,0)</f>
        <v>Miền Nam đặc biệt 1</v>
      </c>
      <c r="H4258" t="str">
        <f>VLOOKUP(Table8[[#This Row],[Mã khách hàng]],'Khách hàng'!A:D,4,0)</f>
        <v>Food Đức Việt</v>
      </c>
      <c r="I4258" t="str">
        <f>VLOOKUP(Table8[[#This Row],[Mã khách hàng]],'Khách hàng'!A:E,5,0)</f>
        <v>HCVG80</v>
      </c>
    </row>
    <row r="4259" spans="1:9" x14ac:dyDescent="0.25">
      <c r="A4259" s="14" t="s">
        <v>13608</v>
      </c>
      <c r="B4259" s="15" t="s">
        <v>5</v>
      </c>
      <c r="C4259" s="16" t="s">
        <v>14734</v>
      </c>
      <c r="D4259" s="21"/>
      <c r="E4259" s="32" t="s">
        <v>15673</v>
      </c>
      <c r="F4259" s="22" t="str">
        <f>VLOOKUP(Table8[[#This Row],[Mã khách hàng]],code_khach_hang[],2,0)</f>
        <v>CHI NHÁNH BÌNH THUẬN - CÔNG TY CỔ PHẦN DỊCH VỤ THƯƠNG MẠI TỔNG HỢP WINCOMMERCE</v>
      </c>
      <c r="G4259" s="16" t="str">
        <f>VLOOKUP(Table8[[#This Row],[Mã khách hàng]],code_khach_hang[],3,0)</f>
        <v>Miền Nam đặc biệt 3</v>
      </c>
      <c r="H4259" t="str">
        <f>VLOOKUP(Table8[[#This Row],[Mã khách hàng]],'Khách hàng'!A:D,4,0)</f>
        <v>Food Đức Việt</v>
      </c>
      <c r="I4259" t="str">
        <f>VLOOKUP(Table8[[#This Row],[Mã khách hàng]],'Khách hàng'!A:E,5,0)</f>
        <v>HCVG80</v>
      </c>
    </row>
    <row r="4260" spans="1:9" x14ac:dyDescent="0.25">
      <c r="A4260" s="14" t="s">
        <v>13609</v>
      </c>
      <c r="B4260" s="15" t="s">
        <v>5</v>
      </c>
      <c r="C4260" s="16" t="s">
        <v>14735</v>
      </c>
      <c r="D4260" s="21"/>
      <c r="E4260" s="32" t="s">
        <v>15669</v>
      </c>
      <c r="F4260" s="22" t="str">
        <f>VLOOKUP(Table8[[#This Row],[Mã khách hàng]],code_khach_hang[],2,0)</f>
        <v>CHI NHÁNH CẦN THƠ - CÔNG TY CỔ PHẦN DỊCH VỤ THƯƠNG MẠI TỔNG HỢP WINCOMMERCE</v>
      </c>
      <c r="G4260" s="16" t="str">
        <f>VLOOKUP(Table8[[#This Row],[Mã khách hàng]],code_khach_hang[],3,0)</f>
        <v>Miền Nam đặc biệt 2</v>
      </c>
      <c r="H4260" t="str">
        <f>VLOOKUP(Table8[[#This Row],[Mã khách hàng]],'Khách hàng'!A:D,4,0)</f>
        <v>Food Đức Việt</v>
      </c>
      <c r="I4260" t="str">
        <f>VLOOKUP(Table8[[#This Row],[Mã khách hàng]],'Khách hàng'!A:E,5,0)</f>
        <v>HC-CT120</v>
      </c>
    </row>
    <row r="4261" spans="1:9" x14ac:dyDescent="0.25">
      <c r="A4261" s="14" t="s">
        <v>13610</v>
      </c>
      <c r="B4261" s="15" t="s">
        <v>5</v>
      </c>
      <c r="C4261" s="16" t="s">
        <v>14736</v>
      </c>
      <c r="D4261" s="21"/>
      <c r="E4261" s="32" t="s">
        <v>15673</v>
      </c>
      <c r="F4261" s="22" t="str">
        <f>VLOOKUP(Table8[[#This Row],[Mã khách hàng]],code_khach_hang[],2,0)</f>
        <v>CHI NHÁNH BÌNH THUẬN - CÔNG TY CỔ PHẦN DỊCH VỤ THƯƠNG MẠI TỔNG HỢP WINCOMMERCE</v>
      </c>
      <c r="G4261" s="16" t="str">
        <f>VLOOKUP(Table8[[#This Row],[Mã khách hàng]],code_khach_hang[],3,0)</f>
        <v>Miền Nam đặc biệt 3</v>
      </c>
      <c r="H4261" t="str">
        <f>VLOOKUP(Table8[[#This Row],[Mã khách hàng]],'Khách hàng'!A:D,4,0)</f>
        <v>Food Đức Việt</v>
      </c>
      <c r="I4261" t="str">
        <f>VLOOKUP(Table8[[#This Row],[Mã khách hàng]],'Khách hàng'!A:E,5,0)</f>
        <v>HCVG80</v>
      </c>
    </row>
    <row r="4262" spans="1:9" x14ac:dyDescent="0.25">
      <c r="A4262" s="14" t="s">
        <v>13611</v>
      </c>
      <c r="B4262" s="15" t="s">
        <v>5</v>
      </c>
      <c r="C4262" s="16" t="s">
        <v>14737</v>
      </c>
      <c r="D4262" s="21"/>
      <c r="E4262" s="32" t="s">
        <v>15667</v>
      </c>
      <c r="F4262" s="22" t="str">
        <f>VLOOKUP(Table8[[#This Row],[Mã khách hàng]],code_khach_hang[],2,0)</f>
        <v>CÔNG TY CỔ PHẦN DỊCH VỤ THƯƠNG MẠI TỔNG HỢP WINCOMMERCE</v>
      </c>
      <c r="G4262" s="16" t="str">
        <f>VLOOKUP(Table8[[#This Row],[Mã khách hàng]],code_khach_hang[],3,0)</f>
        <v>Miền Nam đặc biệt 1</v>
      </c>
      <c r="H4262" t="str">
        <f>VLOOKUP(Table8[[#This Row],[Mã khách hàng]],'Khách hàng'!A:D,4,0)</f>
        <v>Food Đức Việt</v>
      </c>
      <c r="I4262" t="str">
        <f>VLOOKUP(Table8[[#This Row],[Mã khách hàng]],'Khách hàng'!A:E,5,0)</f>
        <v>HCVG80</v>
      </c>
    </row>
    <row r="4263" spans="1:9" x14ac:dyDescent="0.25">
      <c r="A4263" s="14" t="s">
        <v>13612</v>
      </c>
      <c r="B4263" s="15" t="s">
        <v>5</v>
      </c>
      <c r="C4263" s="16" t="s">
        <v>14738</v>
      </c>
      <c r="D4263" s="21"/>
      <c r="E4263" s="32" t="s">
        <v>15673</v>
      </c>
      <c r="F4263" s="22" t="str">
        <f>VLOOKUP(Table8[[#This Row],[Mã khách hàng]],code_khach_hang[],2,0)</f>
        <v>CHI NHÁNH BÌNH THUẬN - CÔNG TY CỔ PHẦN DỊCH VỤ THƯƠNG MẠI TỔNG HỢP WINCOMMERCE</v>
      </c>
      <c r="G4263" s="16" t="str">
        <f>VLOOKUP(Table8[[#This Row],[Mã khách hàng]],code_khach_hang[],3,0)</f>
        <v>Miền Nam đặc biệt 3</v>
      </c>
      <c r="H4263" t="str">
        <f>VLOOKUP(Table8[[#This Row],[Mã khách hàng]],'Khách hàng'!A:D,4,0)</f>
        <v>Food Đức Việt</v>
      </c>
      <c r="I4263" t="str">
        <f>VLOOKUP(Table8[[#This Row],[Mã khách hàng]],'Khách hàng'!A:E,5,0)</f>
        <v>HCVG80</v>
      </c>
    </row>
    <row r="4264" spans="1:9" x14ac:dyDescent="0.25">
      <c r="A4264" s="14" t="s">
        <v>13613</v>
      </c>
      <c r="B4264" s="15" t="s">
        <v>5</v>
      </c>
      <c r="C4264" s="16" t="s">
        <v>14739</v>
      </c>
      <c r="D4264" s="21"/>
      <c r="E4264" s="32" t="s">
        <v>15667</v>
      </c>
      <c r="F4264" s="22" t="str">
        <f>VLOOKUP(Table8[[#This Row],[Mã khách hàng]],code_khach_hang[],2,0)</f>
        <v>CÔNG TY CỔ PHẦN DỊCH VỤ THƯƠNG MẠI TỔNG HỢP WINCOMMERCE</v>
      </c>
      <c r="G4264" s="16" t="str">
        <f>VLOOKUP(Table8[[#This Row],[Mã khách hàng]],code_khach_hang[],3,0)</f>
        <v>Miền Nam đặc biệt 1</v>
      </c>
      <c r="H4264" t="str">
        <f>VLOOKUP(Table8[[#This Row],[Mã khách hàng]],'Khách hàng'!A:D,4,0)</f>
        <v>Food Đức Việt</v>
      </c>
      <c r="I4264" t="str">
        <f>VLOOKUP(Table8[[#This Row],[Mã khách hàng]],'Khách hàng'!A:E,5,0)</f>
        <v>HCVG80</v>
      </c>
    </row>
    <row r="4265" spans="1:9" x14ac:dyDescent="0.25">
      <c r="A4265" s="14" t="s">
        <v>13614</v>
      </c>
      <c r="B4265" s="15" t="s">
        <v>5</v>
      </c>
      <c r="C4265" s="16" t="s">
        <v>14740</v>
      </c>
      <c r="D4265" s="21"/>
      <c r="E4265" s="32" t="s">
        <v>15668</v>
      </c>
      <c r="F4265" s="22" t="str">
        <f>VLOOKUP(Table8[[#This Row],[Mã khách hàng]],code_khach_hang[],2,0)</f>
        <v>CHI NHÁNH ĐỒNG NAI - CÔNG TY CỔ PHẦN DỊCH VỤ THƯƠNG MẠI TỔNG HỢP WINCOMMERCE</v>
      </c>
      <c r="G4265" s="16" t="str">
        <f>VLOOKUP(Table8[[#This Row],[Mã khách hàng]],code_khach_hang[],3,0)</f>
        <v>Miền Nam đặc biệt 3</v>
      </c>
      <c r="H4265" t="str">
        <f>VLOOKUP(Table8[[#This Row],[Mã khách hàng]],'Khách hàng'!A:D,4,0)</f>
        <v>Food Đức Việt</v>
      </c>
      <c r="I4265" t="str">
        <f>VLOOKUP(Table8[[#This Row],[Mã khách hàng]],'Khách hàng'!A:E,5,0)</f>
        <v>HCVG80</v>
      </c>
    </row>
    <row r="4266" spans="1:9" x14ac:dyDescent="0.25">
      <c r="A4266" s="14" t="s">
        <v>13615</v>
      </c>
      <c r="B4266" s="15" t="s">
        <v>5</v>
      </c>
      <c r="C4266" s="16" t="s">
        <v>14741</v>
      </c>
      <c r="D4266" s="21"/>
      <c r="E4266" s="32" t="s">
        <v>15667</v>
      </c>
      <c r="F4266" s="22" t="str">
        <f>VLOOKUP(Table8[[#This Row],[Mã khách hàng]],code_khach_hang[],2,0)</f>
        <v>CÔNG TY CỔ PHẦN DỊCH VỤ THƯƠNG MẠI TỔNG HỢP WINCOMMERCE</v>
      </c>
      <c r="G4266" s="16" t="str">
        <f>VLOOKUP(Table8[[#This Row],[Mã khách hàng]],code_khach_hang[],3,0)</f>
        <v>Miền Nam đặc biệt 1</v>
      </c>
      <c r="H4266" t="str">
        <f>VLOOKUP(Table8[[#This Row],[Mã khách hàng]],'Khách hàng'!A:D,4,0)</f>
        <v>Food Đức Việt</v>
      </c>
      <c r="I4266" t="str">
        <f>VLOOKUP(Table8[[#This Row],[Mã khách hàng]],'Khách hàng'!A:E,5,0)</f>
        <v>HCVG80</v>
      </c>
    </row>
    <row r="4267" spans="1:9" x14ac:dyDescent="0.25">
      <c r="A4267" s="14" t="s">
        <v>13616</v>
      </c>
      <c r="B4267" s="15" t="s">
        <v>5</v>
      </c>
      <c r="C4267" s="16" t="s">
        <v>14742</v>
      </c>
      <c r="D4267" s="21"/>
      <c r="E4267" s="32" t="s">
        <v>15667</v>
      </c>
      <c r="F4267" s="22" t="str">
        <f>VLOOKUP(Table8[[#This Row],[Mã khách hàng]],code_khach_hang[],2,0)</f>
        <v>CÔNG TY CỔ PHẦN DỊCH VỤ THƯƠNG MẠI TỔNG HỢP WINCOMMERCE</v>
      </c>
      <c r="G4267" s="16" t="str">
        <f>VLOOKUP(Table8[[#This Row],[Mã khách hàng]],code_khach_hang[],3,0)</f>
        <v>Miền Nam đặc biệt 1</v>
      </c>
      <c r="H4267" t="str">
        <f>VLOOKUP(Table8[[#This Row],[Mã khách hàng]],'Khách hàng'!A:D,4,0)</f>
        <v>Food Đức Việt</v>
      </c>
      <c r="I4267" t="str">
        <f>VLOOKUP(Table8[[#This Row],[Mã khách hàng]],'Khách hàng'!A:E,5,0)</f>
        <v>HCVG80</v>
      </c>
    </row>
    <row r="4268" spans="1:9" x14ac:dyDescent="0.25">
      <c r="A4268" s="14" t="s">
        <v>13617</v>
      </c>
      <c r="B4268" s="15" t="s">
        <v>5</v>
      </c>
      <c r="C4268" s="16" t="s">
        <v>14743</v>
      </c>
      <c r="D4268" s="21"/>
      <c r="E4268" s="32" t="s">
        <v>15668</v>
      </c>
      <c r="F4268" s="22" t="str">
        <f>VLOOKUP(Table8[[#This Row],[Mã khách hàng]],code_khach_hang[],2,0)</f>
        <v>CHI NHÁNH ĐỒNG NAI - CÔNG TY CỔ PHẦN DỊCH VỤ THƯƠNG MẠI TỔNG HỢP WINCOMMERCE</v>
      </c>
      <c r="G4268" s="16" t="str">
        <f>VLOOKUP(Table8[[#This Row],[Mã khách hàng]],code_khach_hang[],3,0)</f>
        <v>Miền Nam đặc biệt 3</v>
      </c>
      <c r="H4268" t="str">
        <f>VLOOKUP(Table8[[#This Row],[Mã khách hàng]],'Khách hàng'!A:D,4,0)</f>
        <v>Food Đức Việt</v>
      </c>
      <c r="I4268" t="str">
        <f>VLOOKUP(Table8[[#This Row],[Mã khách hàng]],'Khách hàng'!A:E,5,0)</f>
        <v>HCVG80</v>
      </c>
    </row>
    <row r="4269" spans="1:9" x14ac:dyDescent="0.25">
      <c r="A4269" s="14" t="s">
        <v>13618</v>
      </c>
      <c r="B4269" s="15" t="s">
        <v>5</v>
      </c>
      <c r="C4269" s="16" t="s">
        <v>14744</v>
      </c>
      <c r="D4269" s="21"/>
      <c r="E4269" s="32" t="s">
        <v>15673</v>
      </c>
      <c r="F4269" s="22" t="str">
        <f>VLOOKUP(Table8[[#This Row],[Mã khách hàng]],code_khach_hang[],2,0)</f>
        <v>CHI NHÁNH BÌNH THUẬN - CÔNG TY CỔ PHẦN DỊCH VỤ THƯƠNG MẠI TỔNG HỢP WINCOMMERCE</v>
      </c>
      <c r="G4269" s="16" t="str">
        <f>VLOOKUP(Table8[[#This Row],[Mã khách hàng]],code_khach_hang[],3,0)</f>
        <v>Miền Nam đặc biệt 3</v>
      </c>
      <c r="H4269" t="str">
        <f>VLOOKUP(Table8[[#This Row],[Mã khách hàng]],'Khách hàng'!A:D,4,0)</f>
        <v>Food Đức Việt</v>
      </c>
      <c r="I4269" t="str">
        <f>VLOOKUP(Table8[[#This Row],[Mã khách hàng]],'Khách hàng'!A:E,5,0)</f>
        <v>HCVG80</v>
      </c>
    </row>
    <row r="4270" spans="1:9" x14ac:dyDescent="0.25">
      <c r="A4270" s="14" t="s">
        <v>13619</v>
      </c>
      <c r="B4270" s="15" t="s">
        <v>5</v>
      </c>
      <c r="C4270" s="16" t="s">
        <v>14745</v>
      </c>
      <c r="D4270" s="21"/>
      <c r="E4270" s="32" t="s">
        <v>15673</v>
      </c>
      <c r="F4270" s="22" t="str">
        <f>VLOOKUP(Table8[[#This Row],[Mã khách hàng]],code_khach_hang[],2,0)</f>
        <v>CHI NHÁNH BÌNH THUẬN - CÔNG TY CỔ PHẦN DỊCH VỤ THƯƠNG MẠI TỔNG HỢP WINCOMMERCE</v>
      </c>
      <c r="G4270" s="16" t="str">
        <f>VLOOKUP(Table8[[#This Row],[Mã khách hàng]],code_khach_hang[],3,0)</f>
        <v>Miền Nam đặc biệt 3</v>
      </c>
      <c r="H4270" t="str">
        <f>VLOOKUP(Table8[[#This Row],[Mã khách hàng]],'Khách hàng'!A:D,4,0)</f>
        <v>Food Đức Việt</v>
      </c>
      <c r="I4270" t="str">
        <f>VLOOKUP(Table8[[#This Row],[Mã khách hàng]],'Khách hàng'!A:E,5,0)</f>
        <v>HCVG80</v>
      </c>
    </row>
    <row r="4271" spans="1:9" x14ac:dyDescent="0.25">
      <c r="A4271" s="14" t="s">
        <v>13620</v>
      </c>
      <c r="B4271" s="15" t="s">
        <v>5</v>
      </c>
      <c r="C4271" s="16" t="s">
        <v>14746</v>
      </c>
      <c r="D4271" s="21"/>
      <c r="E4271" s="32" t="s">
        <v>15667</v>
      </c>
      <c r="F4271" s="22" t="str">
        <f>VLOOKUP(Table8[[#This Row],[Mã khách hàng]],code_khach_hang[],2,0)</f>
        <v>CÔNG TY CỔ PHẦN DỊCH VỤ THƯƠNG MẠI TỔNG HỢP WINCOMMERCE</v>
      </c>
      <c r="G4271" s="16" t="str">
        <f>VLOOKUP(Table8[[#This Row],[Mã khách hàng]],code_khach_hang[],3,0)</f>
        <v>Miền Nam đặc biệt 1</v>
      </c>
      <c r="H4271" t="str">
        <f>VLOOKUP(Table8[[#This Row],[Mã khách hàng]],'Khách hàng'!A:D,4,0)</f>
        <v>Food Đức Việt</v>
      </c>
      <c r="I4271" t="str">
        <f>VLOOKUP(Table8[[#This Row],[Mã khách hàng]],'Khách hàng'!A:E,5,0)</f>
        <v>HCVG80</v>
      </c>
    </row>
    <row r="4272" spans="1:9" x14ac:dyDescent="0.25">
      <c r="A4272" s="14" t="s">
        <v>13621</v>
      </c>
      <c r="B4272" s="15" t="s">
        <v>5</v>
      </c>
      <c r="C4272" s="16" t="s">
        <v>14747</v>
      </c>
      <c r="D4272" s="21"/>
      <c r="E4272" s="32" t="s">
        <v>15667</v>
      </c>
      <c r="F4272" s="22" t="str">
        <f>VLOOKUP(Table8[[#This Row],[Mã khách hàng]],code_khach_hang[],2,0)</f>
        <v>CÔNG TY CỔ PHẦN DỊCH VỤ THƯƠNG MẠI TỔNG HỢP WINCOMMERCE</v>
      </c>
      <c r="G4272" s="16" t="str">
        <f>VLOOKUP(Table8[[#This Row],[Mã khách hàng]],code_khach_hang[],3,0)</f>
        <v>Miền Nam đặc biệt 1</v>
      </c>
      <c r="H4272" t="str">
        <f>VLOOKUP(Table8[[#This Row],[Mã khách hàng]],'Khách hàng'!A:D,4,0)</f>
        <v>Food Đức Việt</v>
      </c>
      <c r="I4272" t="str">
        <f>VLOOKUP(Table8[[#This Row],[Mã khách hàng]],'Khách hàng'!A:E,5,0)</f>
        <v>HCVG80</v>
      </c>
    </row>
    <row r="4273" spans="1:9" x14ac:dyDescent="0.25">
      <c r="A4273" s="14" t="s">
        <v>13622</v>
      </c>
      <c r="B4273" s="15" t="s">
        <v>5</v>
      </c>
      <c r="C4273" s="16" t="s">
        <v>14748</v>
      </c>
      <c r="D4273" s="21"/>
      <c r="E4273" s="32" t="s">
        <v>15672</v>
      </c>
      <c r="F4273" s="22" t="str">
        <f>VLOOKUP(Table8[[#This Row],[Mã khách hàng]],code_khach_hang[],2,0)</f>
        <v>CHI NHÁNH AN GIANG - CÔNG TY CỔ PHẦN DỊCH VỤ THƯƠNG MẠI TỔNG HỢP WINCOMMERCE</v>
      </c>
      <c r="G4273" s="16" t="str">
        <f>VLOOKUP(Table8[[#This Row],[Mã khách hàng]],code_khach_hang[],3,0)</f>
        <v>Miền Nam đặc biệt 2</v>
      </c>
      <c r="H4273" t="str">
        <f>VLOOKUP(Table8[[#This Row],[Mã khách hàng]],'Khách hàng'!A:D,4,0)</f>
        <v>Food Đức Việt</v>
      </c>
      <c r="I4273" t="str">
        <f>VLOOKUP(Table8[[#This Row],[Mã khách hàng]],'Khách hàng'!A:E,5,0)</f>
        <v>HC-CT120</v>
      </c>
    </row>
    <row r="4274" spans="1:9" x14ac:dyDescent="0.25">
      <c r="A4274" s="14" t="s">
        <v>13623</v>
      </c>
      <c r="B4274" s="15" t="s">
        <v>5</v>
      </c>
      <c r="C4274" s="16" t="s">
        <v>14749</v>
      </c>
      <c r="D4274" s="21"/>
      <c r="E4274" s="32" t="s">
        <v>15676</v>
      </c>
      <c r="F4274" s="22" t="str">
        <f>VLOOKUP(Table8[[#This Row],[Mã khách hàng]],code_khach_hang[],2,0)</f>
        <v>CHI NHÁNH KIÊN GIANG - CÔNG TY CỔ PHẦN DỊCH VỤ THƯƠNG MẠI TỔNG HỢP WINCOMMERCE</v>
      </c>
      <c r="G4274" s="16" t="str">
        <f>VLOOKUP(Table8[[#This Row],[Mã khách hàng]],code_khach_hang[],3,0)</f>
        <v>Miền Nam đặc biệt 2</v>
      </c>
      <c r="H4274" t="str">
        <f>VLOOKUP(Table8[[#This Row],[Mã khách hàng]],'Khách hàng'!A:D,4,0)</f>
        <v>Food Đức Việt</v>
      </c>
      <c r="I4274" t="str">
        <f>VLOOKUP(Table8[[#This Row],[Mã khách hàng]],'Khách hàng'!A:E,5,0)</f>
        <v>HC-CT120</v>
      </c>
    </row>
    <row r="4275" spans="1:9" x14ac:dyDescent="0.25">
      <c r="A4275" s="14" t="s">
        <v>13624</v>
      </c>
      <c r="B4275" s="15" t="s">
        <v>5</v>
      </c>
      <c r="C4275" s="16" t="s">
        <v>14750</v>
      </c>
      <c r="D4275" s="21"/>
      <c r="E4275" s="32" t="s">
        <v>15674</v>
      </c>
      <c r="F4275" s="22" t="str">
        <f>VLOOKUP(Table8[[#This Row],[Mã khách hàng]],code_khach_hang[],2,0)</f>
        <v>CHI NHÁNH LONG AN - CÔNG TY CỔ PHẦN DỊCH VỤ THƯƠNG MẠI TỔNG HỢP WINCOMMERCE</v>
      </c>
      <c r="G4275" s="16" t="str">
        <f>VLOOKUP(Table8[[#This Row],[Mã khách hàng]],code_khach_hang[],3,0)</f>
        <v>Miền Nam đặc biệt 2</v>
      </c>
      <c r="H4275" t="str">
        <f>VLOOKUP(Table8[[#This Row],[Mã khách hàng]],'Khách hàng'!A:D,4,0)</f>
        <v>Food Đức Việt</v>
      </c>
      <c r="I4275" t="str">
        <f>VLOOKUP(Table8[[#This Row],[Mã khách hàng]],'Khách hàng'!A:E,5,0)</f>
        <v>HCVG80</v>
      </c>
    </row>
    <row r="4276" spans="1:9" x14ac:dyDescent="0.25">
      <c r="A4276" s="14" t="s">
        <v>13625</v>
      </c>
      <c r="B4276" s="15" t="s">
        <v>5</v>
      </c>
      <c r="C4276" s="16" t="s">
        <v>14751</v>
      </c>
      <c r="D4276" s="21"/>
      <c r="E4276" s="32" t="s">
        <v>15667</v>
      </c>
      <c r="F4276" s="22" t="str">
        <f>VLOOKUP(Table8[[#This Row],[Mã khách hàng]],code_khach_hang[],2,0)</f>
        <v>CÔNG TY CỔ PHẦN DỊCH VỤ THƯƠNG MẠI TỔNG HỢP WINCOMMERCE</v>
      </c>
      <c r="G4276" s="16" t="str">
        <f>VLOOKUP(Table8[[#This Row],[Mã khách hàng]],code_khach_hang[],3,0)</f>
        <v>Miền Nam đặc biệt 1</v>
      </c>
      <c r="H4276" t="str">
        <f>VLOOKUP(Table8[[#This Row],[Mã khách hàng]],'Khách hàng'!A:D,4,0)</f>
        <v>Food Đức Việt</v>
      </c>
      <c r="I4276" t="str">
        <f>VLOOKUP(Table8[[#This Row],[Mã khách hàng]],'Khách hàng'!A:E,5,0)</f>
        <v>HCVG80</v>
      </c>
    </row>
    <row r="4277" spans="1:9" x14ac:dyDescent="0.25">
      <c r="A4277" s="14" t="s">
        <v>13626</v>
      </c>
      <c r="B4277" s="15" t="s">
        <v>5</v>
      </c>
      <c r="C4277" s="16" t="s">
        <v>14752</v>
      </c>
      <c r="D4277" s="21"/>
      <c r="E4277" s="32" t="s">
        <v>15676</v>
      </c>
      <c r="F4277" s="22" t="str">
        <f>VLOOKUP(Table8[[#This Row],[Mã khách hàng]],code_khach_hang[],2,0)</f>
        <v>CHI NHÁNH KIÊN GIANG - CÔNG TY CỔ PHẦN DỊCH VỤ THƯƠNG MẠI TỔNG HỢP WINCOMMERCE</v>
      </c>
      <c r="G4277" s="16" t="str">
        <f>VLOOKUP(Table8[[#This Row],[Mã khách hàng]],code_khach_hang[],3,0)</f>
        <v>Miền Nam đặc biệt 2</v>
      </c>
      <c r="H4277" t="str">
        <f>VLOOKUP(Table8[[#This Row],[Mã khách hàng]],'Khách hàng'!A:D,4,0)</f>
        <v>Food Đức Việt</v>
      </c>
      <c r="I4277" t="str">
        <f>VLOOKUP(Table8[[#This Row],[Mã khách hàng]],'Khách hàng'!A:E,5,0)</f>
        <v>HC-CT120</v>
      </c>
    </row>
    <row r="4278" spans="1:9" x14ac:dyDescent="0.25">
      <c r="A4278" s="14" t="s">
        <v>13627</v>
      </c>
      <c r="B4278" s="15" t="s">
        <v>5</v>
      </c>
      <c r="C4278" s="16" t="s">
        <v>14753</v>
      </c>
      <c r="D4278" s="21"/>
      <c r="E4278" s="32" t="s">
        <v>15675</v>
      </c>
      <c r="F4278" s="22" t="str">
        <f>VLOOKUP(Table8[[#This Row],[Mã khách hàng]],code_khach_hang[],2,0)</f>
        <v>CHI NHÁNH VĨNH LONG - CÔNG TY CỔ PHẦN DỊCH VỤ THƯƠNG MẠI TỔNG HỢP WINCOMMERCE</v>
      </c>
      <c r="G4278" s="16" t="str">
        <f>VLOOKUP(Table8[[#This Row],[Mã khách hàng]],code_khach_hang[],3,0)</f>
        <v>Miền Nam đặc biệt 2</v>
      </c>
      <c r="H4278" t="str">
        <f>VLOOKUP(Table8[[#This Row],[Mã khách hàng]],'Khách hàng'!A:D,4,0)</f>
        <v>Food Đức Việt</v>
      </c>
      <c r="I4278" t="str">
        <f>VLOOKUP(Table8[[#This Row],[Mã khách hàng]],'Khách hàng'!A:E,5,0)</f>
        <v>HC-CT120</v>
      </c>
    </row>
    <row r="4279" spans="1:9" x14ac:dyDescent="0.25">
      <c r="A4279" s="14" t="s">
        <v>13628</v>
      </c>
      <c r="B4279" s="15" t="s">
        <v>5</v>
      </c>
      <c r="C4279" s="16" t="s">
        <v>14754</v>
      </c>
      <c r="D4279" s="21"/>
      <c r="E4279" s="32" t="s">
        <v>15668</v>
      </c>
      <c r="F4279" s="22" t="str">
        <f>VLOOKUP(Table8[[#This Row],[Mã khách hàng]],code_khach_hang[],2,0)</f>
        <v>CHI NHÁNH ĐỒNG NAI - CÔNG TY CỔ PHẦN DỊCH VỤ THƯƠNG MẠI TỔNG HỢP WINCOMMERCE</v>
      </c>
      <c r="G4279" s="16" t="str">
        <f>VLOOKUP(Table8[[#This Row],[Mã khách hàng]],code_khach_hang[],3,0)</f>
        <v>Miền Nam đặc biệt 3</v>
      </c>
      <c r="H4279" t="str">
        <f>VLOOKUP(Table8[[#This Row],[Mã khách hàng]],'Khách hàng'!A:D,4,0)</f>
        <v>Food Đức Việt</v>
      </c>
      <c r="I4279" t="str">
        <f>VLOOKUP(Table8[[#This Row],[Mã khách hàng]],'Khách hàng'!A:E,5,0)</f>
        <v>HCVG80</v>
      </c>
    </row>
    <row r="4280" spans="1:9" x14ac:dyDescent="0.25">
      <c r="A4280" s="14" t="s">
        <v>13629</v>
      </c>
      <c r="B4280" s="15" t="s">
        <v>5</v>
      </c>
      <c r="C4280" s="16" t="s">
        <v>14755</v>
      </c>
      <c r="D4280" s="21"/>
      <c r="E4280" s="32" t="s">
        <v>15667</v>
      </c>
      <c r="F4280" s="22" t="str">
        <f>VLOOKUP(Table8[[#This Row],[Mã khách hàng]],code_khach_hang[],2,0)</f>
        <v>CÔNG TY CỔ PHẦN DỊCH VỤ THƯƠNG MẠI TỔNG HỢP WINCOMMERCE</v>
      </c>
      <c r="G4280" s="16" t="str">
        <f>VLOOKUP(Table8[[#This Row],[Mã khách hàng]],code_khach_hang[],3,0)</f>
        <v>Miền Nam đặc biệt 1</v>
      </c>
      <c r="H4280" t="str">
        <f>VLOOKUP(Table8[[#This Row],[Mã khách hàng]],'Khách hàng'!A:D,4,0)</f>
        <v>Food Đức Việt</v>
      </c>
      <c r="I4280" t="str">
        <f>VLOOKUP(Table8[[#This Row],[Mã khách hàng]],'Khách hàng'!A:E,5,0)</f>
        <v>HCVG80</v>
      </c>
    </row>
    <row r="4281" spans="1:9" x14ac:dyDescent="0.25">
      <c r="A4281" s="14" t="s">
        <v>13630</v>
      </c>
      <c r="B4281" s="15" t="s">
        <v>5</v>
      </c>
      <c r="C4281" s="16" t="s">
        <v>14756</v>
      </c>
      <c r="D4281" s="21"/>
      <c r="E4281" s="32" t="s">
        <v>15667</v>
      </c>
      <c r="F4281" s="22" t="str">
        <f>VLOOKUP(Table8[[#This Row],[Mã khách hàng]],code_khach_hang[],2,0)</f>
        <v>CÔNG TY CỔ PHẦN DỊCH VỤ THƯƠNG MẠI TỔNG HỢP WINCOMMERCE</v>
      </c>
      <c r="G4281" s="16" t="str">
        <f>VLOOKUP(Table8[[#This Row],[Mã khách hàng]],code_khach_hang[],3,0)</f>
        <v>Miền Nam đặc biệt 1</v>
      </c>
      <c r="H4281" t="str">
        <f>VLOOKUP(Table8[[#This Row],[Mã khách hàng]],'Khách hàng'!A:D,4,0)</f>
        <v>Food Đức Việt</v>
      </c>
      <c r="I4281" t="str">
        <f>VLOOKUP(Table8[[#This Row],[Mã khách hàng]],'Khách hàng'!A:E,5,0)</f>
        <v>HCVG80</v>
      </c>
    </row>
    <row r="4282" spans="1:9" x14ac:dyDescent="0.25">
      <c r="A4282" s="14" t="s">
        <v>13631</v>
      </c>
      <c r="B4282" s="15" t="s">
        <v>5</v>
      </c>
      <c r="C4282" s="16" t="s">
        <v>14757</v>
      </c>
      <c r="D4282" s="21"/>
      <c r="E4282" s="32" t="s">
        <v>15671</v>
      </c>
      <c r="F4282" s="22" t="str">
        <f>VLOOKUP(Table8[[#This Row],[Mã khách hàng]],code_khach_hang[],2,0)</f>
        <v>CHI NHÁNH BÌNH DƯƠNG - CÔNG TY CỔ PHẦN DỊCH VỤ THƯƠNG MẠI TỔNG HỢP WINCOMMERCE</v>
      </c>
      <c r="G4282" s="16" t="str">
        <f>VLOOKUP(Table8[[#This Row],[Mã khách hàng]],code_khach_hang[],3,0)</f>
        <v>Miền Nam đặc biệt 1</v>
      </c>
      <c r="H4282" t="str">
        <f>VLOOKUP(Table8[[#This Row],[Mã khách hàng]],'Khách hàng'!A:D,4,0)</f>
        <v>Food Đức Việt</v>
      </c>
      <c r="I4282" t="str">
        <f>VLOOKUP(Table8[[#This Row],[Mã khách hàng]],'Khách hàng'!A:E,5,0)</f>
        <v>HCVG80</v>
      </c>
    </row>
    <row r="4283" spans="1:9" x14ac:dyDescent="0.25">
      <c r="A4283" s="14" t="s">
        <v>13632</v>
      </c>
      <c r="B4283" s="15" t="s">
        <v>5</v>
      </c>
      <c r="C4283" s="16" t="s">
        <v>14758</v>
      </c>
      <c r="D4283" s="21"/>
      <c r="E4283" s="32" t="s">
        <v>15667</v>
      </c>
      <c r="F4283" s="22" t="str">
        <f>VLOOKUP(Table8[[#This Row],[Mã khách hàng]],code_khach_hang[],2,0)</f>
        <v>CÔNG TY CỔ PHẦN DỊCH VỤ THƯƠNG MẠI TỔNG HỢP WINCOMMERCE</v>
      </c>
      <c r="G4283" s="16" t="str">
        <f>VLOOKUP(Table8[[#This Row],[Mã khách hàng]],code_khach_hang[],3,0)</f>
        <v>Miền Nam đặc biệt 1</v>
      </c>
      <c r="H4283" t="str">
        <f>VLOOKUP(Table8[[#This Row],[Mã khách hàng]],'Khách hàng'!A:D,4,0)</f>
        <v>Food Đức Việt</v>
      </c>
      <c r="I4283" t="str">
        <f>VLOOKUP(Table8[[#This Row],[Mã khách hàng]],'Khách hàng'!A:E,5,0)</f>
        <v>HCVG80</v>
      </c>
    </row>
    <row r="4284" spans="1:9" x14ac:dyDescent="0.25">
      <c r="A4284" s="14" t="s">
        <v>13633</v>
      </c>
      <c r="B4284" s="15" t="s">
        <v>5</v>
      </c>
      <c r="C4284" s="16" t="s">
        <v>14759</v>
      </c>
      <c r="D4284" s="21"/>
      <c r="E4284" s="32" t="s">
        <v>15672</v>
      </c>
      <c r="F4284" s="22" t="str">
        <f>VLOOKUP(Table8[[#This Row],[Mã khách hàng]],code_khach_hang[],2,0)</f>
        <v>CHI NHÁNH AN GIANG - CÔNG TY CỔ PHẦN DỊCH VỤ THƯƠNG MẠI TỔNG HỢP WINCOMMERCE</v>
      </c>
      <c r="G4284" s="16" t="str">
        <f>VLOOKUP(Table8[[#This Row],[Mã khách hàng]],code_khach_hang[],3,0)</f>
        <v>Miền Nam đặc biệt 2</v>
      </c>
      <c r="H4284" t="str">
        <f>VLOOKUP(Table8[[#This Row],[Mã khách hàng]],'Khách hàng'!A:D,4,0)</f>
        <v>Food Đức Việt</v>
      </c>
      <c r="I4284" t="str">
        <f>VLOOKUP(Table8[[#This Row],[Mã khách hàng]],'Khách hàng'!A:E,5,0)</f>
        <v>HC-CT120</v>
      </c>
    </row>
    <row r="4285" spans="1:9" x14ac:dyDescent="0.25">
      <c r="A4285" s="14" t="s">
        <v>13634</v>
      </c>
      <c r="B4285" s="15" t="s">
        <v>5</v>
      </c>
      <c r="C4285" s="16" t="s">
        <v>14760</v>
      </c>
      <c r="D4285" s="21"/>
      <c r="E4285" s="32" t="s">
        <v>15667</v>
      </c>
      <c r="F4285" s="22" t="str">
        <f>VLOOKUP(Table8[[#This Row],[Mã khách hàng]],code_khach_hang[],2,0)</f>
        <v>CÔNG TY CỔ PHẦN DỊCH VỤ THƯƠNG MẠI TỔNG HỢP WINCOMMERCE</v>
      </c>
      <c r="G4285" s="16" t="str">
        <f>VLOOKUP(Table8[[#This Row],[Mã khách hàng]],code_khach_hang[],3,0)</f>
        <v>Miền Nam đặc biệt 1</v>
      </c>
      <c r="H4285" t="str">
        <f>VLOOKUP(Table8[[#This Row],[Mã khách hàng]],'Khách hàng'!A:D,4,0)</f>
        <v>Food Đức Việt</v>
      </c>
      <c r="I4285" t="str">
        <f>VLOOKUP(Table8[[#This Row],[Mã khách hàng]],'Khách hàng'!A:E,5,0)</f>
        <v>HCVG80</v>
      </c>
    </row>
    <row r="4286" spans="1:9" x14ac:dyDescent="0.25">
      <c r="A4286" s="14" t="s">
        <v>13635</v>
      </c>
      <c r="B4286" s="15" t="s">
        <v>5</v>
      </c>
      <c r="C4286" s="16" t="s">
        <v>14761</v>
      </c>
      <c r="D4286" s="21"/>
      <c r="E4286" s="32" t="s">
        <v>15667</v>
      </c>
      <c r="F4286" s="22" t="str">
        <f>VLOOKUP(Table8[[#This Row],[Mã khách hàng]],code_khach_hang[],2,0)</f>
        <v>CÔNG TY CỔ PHẦN DỊCH VỤ THƯƠNG MẠI TỔNG HỢP WINCOMMERCE</v>
      </c>
      <c r="G4286" s="16" t="str">
        <f>VLOOKUP(Table8[[#This Row],[Mã khách hàng]],code_khach_hang[],3,0)</f>
        <v>Miền Nam đặc biệt 1</v>
      </c>
      <c r="H4286" t="str">
        <f>VLOOKUP(Table8[[#This Row],[Mã khách hàng]],'Khách hàng'!A:D,4,0)</f>
        <v>Food Đức Việt</v>
      </c>
      <c r="I4286" t="str">
        <f>VLOOKUP(Table8[[#This Row],[Mã khách hàng]],'Khách hàng'!A:E,5,0)</f>
        <v>HCVG80</v>
      </c>
    </row>
    <row r="4287" spans="1:9" x14ac:dyDescent="0.25">
      <c r="A4287" s="14" t="s">
        <v>13636</v>
      </c>
      <c r="B4287" s="15" t="s">
        <v>5</v>
      </c>
      <c r="C4287" s="16" t="s">
        <v>14762</v>
      </c>
      <c r="D4287" s="21"/>
      <c r="E4287" s="32" t="s">
        <v>15669</v>
      </c>
      <c r="F4287" s="22" t="str">
        <f>VLOOKUP(Table8[[#This Row],[Mã khách hàng]],code_khach_hang[],2,0)</f>
        <v>CHI NHÁNH CẦN THƠ - CÔNG TY CỔ PHẦN DỊCH VỤ THƯƠNG MẠI TỔNG HỢP WINCOMMERCE</v>
      </c>
      <c r="G4287" s="16" t="str">
        <f>VLOOKUP(Table8[[#This Row],[Mã khách hàng]],code_khach_hang[],3,0)</f>
        <v>Miền Nam đặc biệt 2</v>
      </c>
      <c r="H4287" t="str">
        <f>VLOOKUP(Table8[[#This Row],[Mã khách hàng]],'Khách hàng'!A:D,4,0)</f>
        <v>Food Đức Việt</v>
      </c>
      <c r="I4287" t="str">
        <f>VLOOKUP(Table8[[#This Row],[Mã khách hàng]],'Khách hàng'!A:E,5,0)</f>
        <v>HC-CT120</v>
      </c>
    </row>
    <row r="4288" spans="1:9" x14ac:dyDescent="0.25">
      <c r="A4288" s="14" t="s">
        <v>13637</v>
      </c>
      <c r="B4288" s="15" t="s">
        <v>5</v>
      </c>
      <c r="C4288" s="16" t="s">
        <v>14763</v>
      </c>
      <c r="D4288" s="21"/>
      <c r="E4288" s="32" t="s">
        <v>15667</v>
      </c>
      <c r="F4288" s="22" t="str">
        <f>VLOOKUP(Table8[[#This Row],[Mã khách hàng]],code_khach_hang[],2,0)</f>
        <v>CÔNG TY CỔ PHẦN DỊCH VỤ THƯƠNG MẠI TỔNG HỢP WINCOMMERCE</v>
      </c>
      <c r="G4288" s="16" t="str">
        <f>VLOOKUP(Table8[[#This Row],[Mã khách hàng]],code_khach_hang[],3,0)</f>
        <v>Miền Nam đặc biệt 1</v>
      </c>
      <c r="H4288" t="str">
        <f>VLOOKUP(Table8[[#This Row],[Mã khách hàng]],'Khách hàng'!A:D,4,0)</f>
        <v>Food Đức Việt</v>
      </c>
      <c r="I4288" t="str">
        <f>VLOOKUP(Table8[[#This Row],[Mã khách hàng]],'Khách hàng'!A:E,5,0)</f>
        <v>HCVG80</v>
      </c>
    </row>
    <row r="4289" spans="1:9" x14ac:dyDescent="0.25">
      <c r="A4289" s="14" t="s">
        <v>13638</v>
      </c>
      <c r="B4289" s="15" t="s">
        <v>5</v>
      </c>
      <c r="C4289" s="16" t="s">
        <v>14764</v>
      </c>
      <c r="D4289" s="21"/>
      <c r="E4289" s="32" t="s">
        <v>15671</v>
      </c>
      <c r="F4289" s="22" t="str">
        <f>VLOOKUP(Table8[[#This Row],[Mã khách hàng]],code_khach_hang[],2,0)</f>
        <v>CHI NHÁNH BÌNH DƯƠNG - CÔNG TY CỔ PHẦN DỊCH VỤ THƯƠNG MẠI TỔNG HỢP WINCOMMERCE</v>
      </c>
      <c r="G4289" s="16" t="str">
        <f>VLOOKUP(Table8[[#This Row],[Mã khách hàng]],code_khach_hang[],3,0)</f>
        <v>Miền Nam đặc biệt 1</v>
      </c>
      <c r="H4289" t="str">
        <f>VLOOKUP(Table8[[#This Row],[Mã khách hàng]],'Khách hàng'!A:D,4,0)</f>
        <v>Food Đức Việt</v>
      </c>
      <c r="I4289" t="str">
        <f>VLOOKUP(Table8[[#This Row],[Mã khách hàng]],'Khách hàng'!A:E,5,0)</f>
        <v>HCVG80</v>
      </c>
    </row>
    <row r="4290" spans="1:9" x14ac:dyDescent="0.25">
      <c r="A4290" s="14" t="s">
        <v>13639</v>
      </c>
      <c r="B4290" s="15" t="s">
        <v>5</v>
      </c>
      <c r="C4290" s="16" t="s">
        <v>14765</v>
      </c>
      <c r="D4290" s="21"/>
      <c r="E4290" s="32" t="s">
        <v>15667</v>
      </c>
      <c r="F4290" s="22" t="str">
        <f>VLOOKUP(Table8[[#This Row],[Mã khách hàng]],code_khach_hang[],2,0)</f>
        <v>CÔNG TY CỔ PHẦN DỊCH VỤ THƯƠNG MẠI TỔNG HỢP WINCOMMERCE</v>
      </c>
      <c r="G4290" s="16" t="str">
        <f>VLOOKUP(Table8[[#This Row],[Mã khách hàng]],code_khach_hang[],3,0)</f>
        <v>Miền Nam đặc biệt 1</v>
      </c>
      <c r="H4290" t="str">
        <f>VLOOKUP(Table8[[#This Row],[Mã khách hàng]],'Khách hàng'!A:D,4,0)</f>
        <v>Food Đức Việt</v>
      </c>
      <c r="I4290" t="str">
        <f>VLOOKUP(Table8[[#This Row],[Mã khách hàng]],'Khách hàng'!A:E,5,0)</f>
        <v>HCVG80</v>
      </c>
    </row>
    <row r="4291" spans="1:9" x14ac:dyDescent="0.25">
      <c r="A4291" s="14" t="s">
        <v>13640</v>
      </c>
      <c r="B4291" s="15" t="s">
        <v>5</v>
      </c>
      <c r="C4291" s="16" t="s">
        <v>14766</v>
      </c>
      <c r="D4291" s="21"/>
      <c r="E4291" s="32" t="s">
        <v>15674</v>
      </c>
      <c r="F4291" s="22" t="str">
        <f>VLOOKUP(Table8[[#This Row],[Mã khách hàng]],code_khach_hang[],2,0)</f>
        <v>CHI NHÁNH LONG AN - CÔNG TY CỔ PHẦN DỊCH VỤ THƯƠNG MẠI TỔNG HỢP WINCOMMERCE</v>
      </c>
      <c r="G4291" s="16" t="str">
        <f>VLOOKUP(Table8[[#This Row],[Mã khách hàng]],code_khach_hang[],3,0)</f>
        <v>Miền Nam đặc biệt 2</v>
      </c>
      <c r="H4291" t="str">
        <f>VLOOKUP(Table8[[#This Row],[Mã khách hàng]],'Khách hàng'!A:D,4,0)</f>
        <v>Food Đức Việt</v>
      </c>
      <c r="I4291" t="str">
        <f>VLOOKUP(Table8[[#This Row],[Mã khách hàng]],'Khách hàng'!A:E,5,0)</f>
        <v>HCVG80</v>
      </c>
    </row>
    <row r="4292" spans="1:9" x14ac:dyDescent="0.25">
      <c r="A4292" s="14" t="s">
        <v>13641</v>
      </c>
      <c r="B4292" s="15" t="s">
        <v>5</v>
      </c>
      <c r="C4292" s="16" t="s">
        <v>14767</v>
      </c>
      <c r="D4292" s="21"/>
      <c r="E4292" s="32" t="s">
        <v>15667</v>
      </c>
      <c r="F4292" s="22" t="str">
        <f>VLOOKUP(Table8[[#This Row],[Mã khách hàng]],code_khach_hang[],2,0)</f>
        <v>CÔNG TY CỔ PHẦN DỊCH VỤ THƯƠNG MẠI TỔNG HỢP WINCOMMERCE</v>
      </c>
      <c r="G4292" s="16" t="str">
        <f>VLOOKUP(Table8[[#This Row],[Mã khách hàng]],code_khach_hang[],3,0)</f>
        <v>Miền Nam đặc biệt 1</v>
      </c>
      <c r="H4292" t="str">
        <f>VLOOKUP(Table8[[#This Row],[Mã khách hàng]],'Khách hàng'!A:D,4,0)</f>
        <v>Food Đức Việt</v>
      </c>
      <c r="I4292" t="str">
        <f>VLOOKUP(Table8[[#This Row],[Mã khách hàng]],'Khách hàng'!A:E,5,0)</f>
        <v>HCVG80</v>
      </c>
    </row>
    <row r="4293" spans="1:9" x14ac:dyDescent="0.25">
      <c r="A4293" s="14" t="s">
        <v>13642</v>
      </c>
      <c r="B4293" s="15" t="s">
        <v>5</v>
      </c>
      <c r="C4293" s="16" t="s">
        <v>14768</v>
      </c>
      <c r="D4293" s="21"/>
      <c r="E4293" s="32" t="s">
        <v>15674</v>
      </c>
      <c r="F4293" s="22" t="str">
        <f>VLOOKUP(Table8[[#This Row],[Mã khách hàng]],code_khach_hang[],2,0)</f>
        <v>CHI NHÁNH LONG AN - CÔNG TY CỔ PHẦN DỊCH VỤ THƯƠNG MẠI TỔNG HỢP WINCOMMERCE</v>
      </c>
      <c r="G4293" s="16" t="str">
        <f>VLOOKUP(Table8[[#This Row],[Mã khách hàng]],code_khach_hang[],3,0)</f>
        <v>Miền Nam đặc biệt 2</v>
      </c>
      <c r="H4293" t="str">
        <f>VLOOKUP(Table8[[#This Row],[Mã khách hàng]],'Khách hàng'!A:D,4,0)</f>
        <v>Food Đức Việt</v>
      </c>
      <c r="I4293" t="str">
        <f>VLOOKUP(Table8[[#This Row],[Mã khách hàng]],'Khách hàng'!A:E,5,0)</f>
        <v>HCVG80</v>
      </c>
    </row>
    <row r="4294" spans="1:9" x14ac:dyDescent="0.25">
      <c r="A4294" s="14" t="s">
        <v>13643</v>
      </c>
      <c r="B4294" s="15" t="s">
        <v>5</v>
      </c>
      <c r="C4294" s="16" t="s">
        <v>14769</v>
      </c>
      <c r="D4294" s="21"/>
      <c r="E4294" s="32" t="s">
        <v>15668</v>
      </c>
      <c r="F4294" s="22" t="str">
        <f>VLOOKUP(Table8[[#This Row],[Mã khách hàng]],code_khach_hang[],2,0)</f>
        <v>CHI NHÁNH ĐỒNG NAI - CÔNG TY CỔ PHẦN DỊCH VỤ THƯƠNG MẠI TỔNG HỢP WINCOMMERCE</v>
      </c>
      <c r="G4294" s="16" t="str">
        <f>VLOOKUP(Table8[[#This Row],[Mã khách hàng]],code_khach_hang[],3,0)</f>
        <v>Miền Nam đặc biệt 3</v>
      </c>
      <c r="H4294" t="str">
        <f>VLOOKUP(Table8[[#This Row],[Mã khách hàng]],'Khách hàng'!A:D,4,0)</f>
        <v>Food Đức Việt</v>
      </c>
      <c r="I4294" t="str">
        <f>VLOOKUP(Table8[[#This Row],[Mã khách hàng]],'Khách hàng'!A:E,5,0)</f>
        <v>HCVG80</v>
      </c>
    </row>
    <row r="4295" spans="1:9" x14ac:dyDescent="0.25">
      <c r="A4295" s="14" t="s">
        <v>13644</v>
      </c>
      <c r="B4295" s="15" t="s">
        <v>5</v>
      </c>
      <c r="C4295" s="16" t="s">
        <v>14770</v>
      </c>
      <c r="D4295" s="21"/>
      <c r="E4295" s="32" t="s">
        <v>15667</v>
      </c>
      <c r="F4295" s="22" t="str">
        <f>VLOOKUP(Table8[[#This Row],[Mã khách hàng]],code_khach_hang[],2,0)</f>
        <v>CÔNG TY CỔ PHẦN DỊCH VỤ THƯƠNG MẠI TỔNG HỢP WINCOMMERCE</v>
      </c>
      <c r="G4295" s="16" t="str">
        <f>VLOOKUP(Table8[[#This Row],[Mã khách hàng]],code_khach_hang[],3,0)</f>
        <v>Miền Nam đặc biệt 1</v>
      </c>
      <c r="H4295" t="str">
        <f>VLOOKUP(Table8[[#This Row],[Mã khách hàng]],'Khách hàng'!A:D,4,0)</f>
        <v>Food Đức Việt</v>
      </c>
      <c r="I4295" t="str">
        <f>VLOOKUP(Table8[[#This Row],[Mã khách hàng]],'Khách hàng'!A:E,5,0)</f>
        <v>HCVG80</v>
      </c>
    </row>
    <row r="4296" spans="1:9" x14ac:dyDescent="0.25">
      <c r="A4296" s="14" t="s">
        <v>13645</v>
      </c>
      <c r="B4296" s="15" t="s">
        <v>5</v>
      </c>
      <c r="C4296" s="16" t="s">
        <v>14771</v>
      </c>
      <c r="D4296" s="21"/>
      <c r="E4296" s="32" t="s">
        <v>15667</v>
      </c>
      <c r="F4296" s="22" t="str">
        <f>VLOOKUP(Table8[[#This Row],[Mã khách hàng]],code_khach_hang[],2,0)</f>
        <v>CÔNG TY CỔ PHẦN DỊCH VỤ THƯƠNG MẠI TỔNG HỢP WINCOMMERCE</v>
      </c>
      <c r="G4296" s="16" t="str">
        <f>VLOOKUP(Table8[[#This Row],[Mã khách hàng]],code_khach_hang[],3,0)</f>
        <v>Miền Nam đặc biệt 1</v>
      </c>
      <c r="H4296" t="str">
        <f>VLOOKUP(Table8[[#This Row],[Mã khách hàng]],'Khách hàng'!A:D,4,0)</f>
        <v>Food Đức Việt</v>
      </c>
      <c r="I4296" t="str">
        <f>VLOOKUP(Table8[[#This Row],[Mã khách hàng]],'Khách hàng'!A:E,5,0)</f>
        <v>HCVG80</v>
      </c>
    </row>
    <row r="4297" spans="1:9" x14ac:dyDescent="0.25">
      <c r="A4297" s="14" t="s">
        <v>13646</v>
      </c>
      <c r="B4297" s="15" t="s">
        <v>5</v>
      </c>
      <c r="C4297" s="16" t="s">
        <v>14772</v>
      </c>
      <c r="D4297" s="21"/>
      <c r="E4297" s="32" t="s">
        <v>15667</v>
      </c>
      <c r="F4297" s="22" t="str">
        <f>VLOOKUP(Table8[[#This Row],[Mã khách hàng]],code_khach_hang[],2,0)</f>
        <v>CÔNG TY CỔ PHẦN DỊCH VỤ THƯƠNG MẠI TỔNG HỢP WINCOMMERCE</v>
      </c>
      <c r="G4297" s="16" t="str">
        <f>VLOOKUP(Table8[[#This Row],[Mã khách hàng]],code_khach_hang[],3,0)</f>
        <v>Miền Nam đặc biệt 1</v>
      </c>
      <c r="H4297" t="str">
        <f>VLOOKUP(Table8[[#This Row],[Mã khách hàng]],'Khách hàng'!A:D,4,0)</f>
        <v>Food Đức Việt</v>
      </c>
      <c r="I4297" t="str">
        <f>VLOOKUP(Table8[[#This Row],[Mã khách hàng]],'Khách hàng'!A:E,5,0)</f>
        <v>HCVG80</v>
      </c>
    </row>
    <row r="4298" spans="1:9" x14ac:dyDescent="0.25">
      <c r="A4298" s="14" t="s">
        <v>13647</v>
      </c>
      <c r="B4298" s="15" t="s">
        <v>5</v>
      </c>
      <c r="C4298" s="16" t="s">
        <v>14773</v>
      </c>
      <c r="D4298" s="21"/>
      <c r="E4298" s="32" t="s">
        <v>15668</v>
      </c>
      <c r="F4298" s="22" t="str">
        <f>VLOOKUP(Table8[[#This Row],[Mã khách hàng]],code_khach_hang[],2,0)</f>
        <v>CHI NHÁNH ĐỒNG NAI - CÔNG TY CỔ PHẦN DỊCH VỤ THƯƠNG MẠI TỔNG HỢP WINCOMMERCE</v>
      </c>
      <c r="G4298" s="16" t="str">
        <f>VLOOKUP(Table8[[#This Row],[Mã khách hàng]],code_khach_hang[],3,0)</f>
        <v>Miền Nam đặc biệt 3</v>
      </c>
      <c r="H4298" t="str">
        <f>VLOOKUP(Table8[[#This Row],[Mã khách hàng]],'Khách hàng'!A:D,4,0)</f>
        <v>Food Đức Việt</v>
      </c>
      <c r="I4298" t="str">
        <f>VLOOKUP(Table8[[#This Row],[Mã khách hàng]],'Khách hàng'!A:E,5,0)</f>
        <v>HCVG80</v>
      </c>
    </row>
    <row r="4299" spans="1:9" x14ac:dyDescent="0.25">
      <c r="A4299" s="14" t="s">
        <v>13648</v>
      </c>
      <c r="B4299" s="15" t="s">
        <v>5</v>
      </c>
      <c r="C4299" s="16" t="s">
        <v>14774</v>
      </c>
      <c r="D4299" s="21"/>
      <c r="E4299" s="32" t="s">
        <v>15667</v>
      </c>
      <c r="F4299" s="22" t="str">
        <f>VLOOKUP(Table8[[#This Row],[Mã khách hàng]],code_khach_hang[],2,0)</f>
        <v>CÔNG TY CỔ PHẦN DỊCH VỤ THƯƠNG MẠI TỔNG HỢP WINCOMMERCE</v>
      </c>
      <c r="G4299" s="16" t="str">
        <f>VLOOKUP(Table8[[#This Row],[Mã khách hàng]],code_khach_hang[],3,0)</f>
        <v>Miền Nam đặc biệt 1</v>
      </c>
      <c r="H4299" t="str">
        <f>VLOOKUP(Table8[[#This Row],[Mã khách hàng]],'Khách hàng'!A:D,4,0)</f>
        <v>Food Đức Việt</v>
      </c>
      <c r="I4299" t="str">
        <f>VLOOKUP(Table8[[#This Row],[Mã khách hàng]],'Khách hàng'!A:E,5,0)</f>
        <v>HCVG80</v>
      </c>
    </row>
    <row r="4300" spans="1:9" x14ac:dyDescent="0.25">
      <c r="A4300" s="14" t="s">
        <v>13649</v>
      </c>
      <c r="B4300" s="15" t="s">
        <v>5</v>
      </c>
      <c r="C4300" s="16" t="s">
        <v>14775</v>
      </c>
      <c r="D4300" s="21"/>
      <c r="E4300" s="32" t="s">
        <v>15667</v>
      </c>
      <c r="F4300" s="22" t="str">
        <f>VLOOKUP(Table8[[#This Row],[Mã khách hàng]],code_khach_hang[],2,0)</f>
        <v>CÔNG TY CỔ PHẦN DỊCH VỤ THƯƠNG MẠI TỔNG HỢP WINCOMMERCE</v>
      </c>
      <c r="G4300" s="16" t="str">
        <f>VLOOKUP(Table8[[#This Row],[Mã khách hàng]],code_khach_hang[],3,0)</f>
        <v>Miền Nam đặc biệt 1</v>
      </c>
      <c r="H4300" t="str">
        <f>VLOOKUP(Table8[[#This Row],[Mã khách hàng]],'Khách hàng'!A:D,4,0)</f>
        <v>Food Đức Việt</v>
      </c>
      <c r="I4300" t="str">
        <f>VLOOKUP(Table8[[#This Row],[Mã khách hàng]],'Khách hàng'!A:E,5,0)</f>
        <v>HCVG80</v>
      </c>
    </row>
    <row r="4301" spans="1:9" x14ac:dyDescent="0.25">
      <c r="A4301" s="14" t="s">
        <v>13650</v>
      </c>
      <c r="B4301" s="15" t="s">
        <v>5</v>
      </c>
      <c r="C4301" s="16" t="s">
        <v>14776</v>
      </c>
      <c r="D4301" s="21"/>
      <c r="E4301" s="32" t="s">
        <v>15674</v>
      </c>
      <c r="F4301" s="22" t="str">
        <f>VLOOKUP(Table8[[#This Row],[Mã khách hàng]],code_khach_hang[],2,0)</f>
        <v>CHI NHÁNH LONG AN - CÔNG TY CỔ PHẦN DỊCH VỤ THƯƠNG MẠI TỔNG HỢP WINCOMMERCE</v>
      </c>
      <c r="G4301" s="16" t="str">
        <f>VLOOKUP(Table8[[#This Row],[Mã khách hàng]],code_khach_hang[],3,0)</f>
        <v>Miền Nam đặc biệt 2</v>
      </c>
      <c r="H4301" t="str">
        <f>VLOOKUP(Table8[[#This Row],[Mã khách hàng]],'Khách hàng'!A:D,4,0)</f>
        <v>Food Đức Việt</v>
      </c>
      <c r="I4301" t="str">
        <f>VLOOKUP(Table8[[#This Row],[Mã khách hàng]],'Khách hàng'!A:E,5,0)</f>
        <v>HCVG80</v>
      </c>
    </row>
    <row r="4302" spans="1:9" x14ac:dyDescent="0.25">
      <c r="A4302" s="14" t="s">
        <v>13651</v>
      </c>
      <c r="B4302" s="15" t="s">
        <v>5</v>
      </c>
      <c r="C4302" s="16" t="s">
        <v>14777</v>
      </c>
      <c r="D4302" s="21"/>
      <c r="E4302" s="32" t="s">
        <v>15669</v>
      </c>
      <c r="F4302" s="22" t="str">
        <f>VLOOKUP(Table8[[#This Row],[Mã khách hàng]],code_khach_hang[],2,0)</f>
        <v>CHI NHÁNH CẦN THƠ - CÔNG TY CỔ PHẦN DỊCH VỤ THƯƠNG MẠI TỔNG HỢP WINCOMMERCE</v>
      </c>
      <c r="G4302" s="16" t="str">
        <f>VLOOKUP(Table8[[#This Row],[Mã khách hàng]],code_khach_hang[],3,0)</f>
        <v>Miền Nam đặc biệt 2</v>
      </c>
      <c r="H4302" t="str">
        <f>VLOOKUP(Table8[[#This Row],[Mã khách hàng]],'Khách hàng'!A:D,4,0)</f>
        <v>Food Đức Việt</v>
      </c>
      <c r="I4302" t="str">
        <f>VLOOKUP(Table8[[#This Row],[Mã khách hàng]],'Khách hàng'!A:E,5,0)</f>
        <v>HC-CT120</v>
      </c>
    </row>
    <row r="4303" spans="1:9" x14ac:dyDescent="0.25">
      <c r="A4303" s="14" t="s">
        <v>13652</v>
      </c>
      <c r="B4303" s="15" t="s">
        <v>5</v>
      </c>
      <c r="C4303" s="16" t="s">
        <v>14778</v>
      </c>
      <c r="D4303" s="21"/>
      <c r="E4303" s="32" t="s">
        <v>15667</v>
      </c>
      <c r="F4303" s="22" t="str">
        <f>VLOOKUP(Table8[[#This Row],[Mã khách hàng]],code_khach_hang[],2,0)</f>
        <v>CÔNG TY CỔ PHẦN DỊCH VỤ THƯƠNG MẠI TỔNG HỢP WINCOMMERCE</v>
      </c>
      <c r="G4303" s="16" t="str">
        <f>VLOOKUP(Table8[[#This Row],[Mã khách hàng]],code_khach_hang[],3,0)</f>
        <v>Miền Nam đặc biệt 1</v>
      </c>
      <c r="H4303" t="str">
        <f>VLOOKUP(Table8[[#This Row],[Mã khách hàng]],'Khách hàng'!A:D,4,0)</f>
        <v>Food Đức Việt</v>
      </c>
      <c r="I4303" t="str">
        <f>VLOOKUP(Table8[[#This Row],[Mã khách hàng]],'Khách hàng'!A:E,5,0)</f>
        <v>HCVG80</v>
      </c>
    </row>
    <row r="4304" spans="1:9" x14ac:dyDescent="0.25">
      <c r="A4304" s="14" t="s">
        <v>13653</v>
      </c>
      <c r="B4304" s="15" t="s">
        <v>5</v>
      </c>
      <c r="C4304" s="16" t="s">
        <v>14779</v>
      </c>
      <c r="D4304" s="21"/>
      <c r="E4304" s="32" t="s">
        <v>15669</v>
      </c>
      <c r="F4304" s="22" t="str">
        <f>VLOOKUP(Table8[[#This Row],[Mã khách hàng]],code_khach_hang[],2,0)</f>
        <v>CHI NHÁNH CẦN THƠ - CÔNG TY CỔ PHẦN DỊCH VỤ THƯƠNG MẠI TỔNG HỢP WINCOMMERCE</v>
      </c>
      <c r="G4304" s="16" t="str">
        <f>VLOOKUP(Table8[[#This Row],[Mã khách hàng]],code_khach_hang[],3,0)</f>
        <v>Miền Nam đặc biệt 2</v>
      </c>
      <c r="H4304" t="str">
        <f>VLOOKUP(Table8[[#This Row],[Mã khách hàng]],'Khách hàng'!A:D,4,0)</f>
        <v>Food Đức Việt</v>
      </c>
      <c r="I4304" t="str">
        <f>VLOOKUP(Table8[[#This Row],[Mã khách hàng]],'Khách hàng'!A:E,5,0)</f>
        <v>HC-CT120</v>
      </c>
    </row>
    <row r="4305" spans="1:9" x14ac:dyDescent="0.25">
      <c r="A4305" s="14" t="s">
        <v>13654</v>
      </c>
      <c r="B4305" s="15" t="s">
        <v>5</v>
      </c>
      <c r="C4305" s="16" t="s">
        <v>14780</v>
      </c>
      <c r="D4305" s="21"/>
      <c r="E4305" s="32" t="s">
        <v>15669</v>
      </c>
      <c r="F4305" s="22" t="str">
        <f>VLOOKUP(Table8[[#This Row],[Mã khách hàng]],code_khach_hang[],2,0)</f>
        <v>CHI NHÁNH CẦN THƠ - CÔNG TY CỔ PHẦN DỊCH VỤ THƯƠNG MẠI TỔNG HỢP WINCOMMERCE</v>
      </c>
      <c r="G4305" s="16" t="str">
        <f>VLOOKUP(Table8[[#This Row],[Mã khách hàng]],code_khach_hang[],3,0)</f>
        <v>Miền Nam đặc biệt 2</v>
      </c>
      <c r="H4305" t="str">
        <f>VLOOKUP(Table8[[#This Row],[Mã khách hàng]],'Khách hàng'!A:D,4,0)</f>
        <v>Food Đức Việt</v>
      </c>
      <c r="I4305" t="str">
        <f>VLOOKUP(Table8[[#This Row],[Mã khách hàng]],'Khách hàng'!A:E,5,0)</f>
        <v>HC-CT120</v>
      </c>
    </row>
    <row r="4306" spans="1:9" x14ac:dyDescent="0.25">
      <c r="A4306" s="14" t="s">
        <v>13655</v>
      </c>
      <c r="B4306" s="15" t="s">
        <v>5</v>
      </c>
      <c r="C4306" s="16" t="s">
        <v>14781</v>
      </c>
      <c r="D4306" s="21"/>
      <c r="E4306" s="32" t="s">
        <v>15676</v>
      </c>
      <c r="F4306" s="22" t="str">
        <f>VLOOKUP(Table8[[#This Row],[Mã khách hàng]],code_khach_hang[],2,0)</f>
        <v>CHI NHÁNH KIÊN GIANG - CÔNG TY CỔ PHẦN DỊCH VỤ THƯƠNG MẠI TỔNG HỢP WINCOMMERCE</v>
      </c>
      <c r="G4306" s="16" t="str">
        <f>VLOOKUP(Table8[[#This Row],[Mã khách hàng]],code_khach_hang[],3,0)</f>
        <v>Miền Nam đặc biệt 2</v>
      </c>
      <c r="H4306" t="str">
        <f>VLOOKUP(Table8[[#This Row],[Mã khách hàng]],'Khách hàng'!A:D,4,0)</f>
        <v>Food Đức Việt</v>
      </c>
      <c r="I4306" t="str">
        <f>VLOOKUP(Table8[[#This Row],[Mã khách hàng]],'Khách hàng'!A:E,5,0)</f>
        <v>HC-CT120</v>
      </c>
    </row>
    <row r="4307" spans="1:9" x14ac:dyDescent="0.25">
      <c r="A4307" s="14" t="s">
        <v>13656</v>
      </c>
      <c r="B4307" s="15" t="s">
        <v>5</v>
      </c>
      <c r="C4307" s="16" t="s">
        <v>14782</v>
      </c>
      <c r="D4307" s="21"/>
      <c r="E4307" s="32" t="s">
        <v>15667</v>
      </c>
      <c r="F4307" s="22" t="str">
        <f>VLOOKUP(Table8[[#This Row],[Mã khách hàng]],code_khach_hang[],2,0)</f>
        <v>CÔNG TY CỔ PHẦN DỊCH VỤ THƯƠNG MẠI TỔNG HỢP WINCOMMERCE</v>
      </c>
      <c r="G4307" s="16" t="str">
        <f>VLOOKUP(Table8[[#This Row],[Mã khách hàng]],code_khach_hang[],3,0)</f>
        <v>Miền Nam đặc biệt 1</v>
      </c>
      <c r="H4307" t="str">
        <f>VLOOKUP(Table8[[#This Row],[Mã khách hàng]],'Khách hàng'!A:D,4,0)</f>
        <v>Food Đức Việt</v>
      </c>
      <c r="I4307" t="str">
        <f>VLOOKUP(Table8[[#This Row],[Mã khách hàng]],'Khách hàng'!A:E,5,0)</f>
        <v>HCVG80</v>
      </c>
    </row>
    <row r="4308" spans="1:9" x14ac:dyDescent="0.25">
      <c r="A4308" s="14" t="s">
        <v>13657</v>
      </c>
      <c r="B4308" s="15" t="s">
        <v>5</v>
      </c>
      <c r="C4308" s="16" t="s">
        <v>14783</v>
      </c>
      <c r="D4308" s="21"/>
      <c r="E4308" s="32" t="s">
        <v>15667</v>
      </c>
      <c r="F4308" s="22" t="str">
        <f>VLOOKUP(Table8[[#This Row],[Mã khách hàng]],code_khach_hang[],2,0)</f>
        <v>CÔNG TY CỔ PHẦN DỊCH VỤ THƯƠNG MẠI TỔNG HỢP WINCOMMERCE</v>
      </c>
      <c r="G4308" s="16" t="str">
        <f>VLOOKUP(Table8[[#This Row],[Mã khách hàng]],code_khach_hang[],3,0)</f>
        <v>Miền Nam đặc biệt 1</v>
      </c>
      <c r="H4308" t="str">
        <f>VLOOKUP(Table8[[#This Row],[Mã khách hàng]],'Khách hàng'!A:D,4,0)</f>
        <v>Food Đức Việt</v>
      </c>
      <c r="I4308" t="str">
        <f>VLOOKUP(Table8[[#This Row],[Mã khách hàng]],'Khách hàng'!A:E,5,0)</f>
        <v>HCVG80</v>
      </c>
    </row>
    <row r="4309" spans="1:9" x14ac:dyDescent="0.25">
      <c r="A4309" s="14" t="s">
        <v>13658</v>
      </c>
      <c r="B4309" s="15" t="s">
        <v>5</v>
      </c>
      <c r="C4309" s="16" t="s">
        <v>14784</v>
      </c>
      <c r="D4309" s="21"/>
      <c r="E4309" s="32" t="s">
        <v>15671</v>
      </c>
      <c r="F4309" s="22" t="str">
        <f>VLOOKUP(Table8[[#This Row],[Mã khách hàng]],code_khach_hang[],2,0)</f>
        <v>CHI NHÁNH BÌNH DƯƠNG - CÔNG TY CỔ PHẦN DỊCH VỤ THƯƠNG MẠI TỔNG HỢP WINCOMMERCE</v>
      </c>
      <c r="G4309" s="16" t="str">
        <f>VLOOKUP(Table8[[#This Row],[Mã khách hàng]],code_khach_hang[],3,0)</f>
        <v>Miền Nam đặc biệt 1</v>
      </c>
      <c r="H4309" t="str">
        <f>VLOOKUP(Table8[[#This Row],[Mã khách hàng]],'Khách hàng'!A:D,4,0)</f>
        <v>Food Đức Việt</v>
      </c>
      <c r="I4309" t="str">
        <f>VLOOKUP(Table8[[#This Row],[Mã khách hàng]],'Khách hàng'!A:E,5,0)</f>
        <v>HCVG80</v>
      </c>
    </row>
    <row r="4310" spans="1:9" x14ac:dyDescent="0.25">
      <c r="A4310" s="14" t="s">
        <v>13659</v>
      </c>
      <c r="B4310" s="15" t="s">
        <v>5</v>
      </c>
      <c r="C4310" s="16" t="s">
        <v>14785</v>
      </c>
      <c r="D4310" s="21"/>
      <c r="E4310" s="32" t="s">
        <v>15676</v>
      </c>
      <c r="F4310" s="22" t="str">
        <f>VLOOKUP(Table8[[#This Row],[Mã khách hàng]],code_khach_hang[],2,0)</f>
        <v>CHI NHÁNH KIÊN GIANG - CÔNG TY CỔ PHẦN DỊCH VỤ THƯƠNG MẠI TỔNG HỢP WINCOMMERCE</v>
      </c>
      <c r="G4310" s="16" t="str">
        <f>VLOOKUP(Table8[[#This Row],[Mã khách hàng]],code_khach_hang[],3,0)</f>
        <v>Miền Nam đặc biệt 2</v>
      </c>
      <c r="H4310" t="str">
        <f>VLOOKUP(Table8[[#This Row],[Mã khách hàng]],'Khách hàng'!A:D,4,0)</f>
        <v>Food Đức Việt</v>
      </c>
      <c r="I4310" t="str">
        <f>VLOOKUP(Table8[[#This Row],[Mã khách hàng]],'Khách hàng'!A:E,5,0)</f>
        <v>HC-CT120</v>
      </c>
    </row>
    <row r="4311" spans="1:9" x14ac:dyDescent="0.25">
      <c r="A4311" s="14" t="s">
        <v>13660</v>
      </c>
      <c r="B4311" s="15" t="s">
        <v>5</v>
      </c>
      <c r="C4311" s="16" t="s">
        <v>14786</v>
      </c>
      <c r="D4311" s="21"/>
      <c r="E4311" s="32" t="s">
        <v>15668</v>
      </c>
      <c r="F4311" s="22" t="str">
        <f>VLOOKUP(Table8[[#This Row],[Mã khách hàng]],code_khach_hang[],2,0)</f>
        <v>CHI NHÁNH ĐỒNG NAI - CÔNG TY CỔ PHẦN DỊCH VỤ THƯƠNG MẠI TỔNG HỢP WINCOMMERCE</v>
      </c>
      <c r="G4311" s="16" t="str">
        <f>VLOOKUP(Table8[[#This Row],[Mã khách hàng]],code_khach_hang[],3,0)</f>
        <v>Miền Nam đặc biệt 3</v>
      </c>
      <c r="H4311" t="str">
        <f>VLOOKUP(Table8[[#This Row],[Mã khách hàng]],'Khách hàng'!A:D,4,0)</f>
        <v>Food Đức Việt</v>
      </c>
      <c r="I4311" t="str">
        <f>VLOOKUP(Table8[[#This Row],[Mã khách hàng]],'Khách hàng'!A:E,5,0)</f>
        <v>HCVG80</v>
      </c>
    </row>
    <row r="4312" spans="1:9" x14ac:dyDescent="0.25">
      <c r="A4312" s="14" t="s">
        <v>13661</v>
      </c>
      <c r="B4312" s="15" t="s">
        <v>5</v>
      </c>
      <c r="C4312" s="16" t="s">
        <v>14787</v>
      </c>
      <c r="D4312" s="21"/>
      <c r="E4312" s="32" t="s">
        <v>15667</v>
      </c>
      <c r="F4312" s="22" t="str">
        <f>VLOOKUP(Table8[[#This Row],[Mã khách hàng]],code_khach_hang[],2,0)</f>
        <v>CÔNG TY CỔ PHẦN DỊCH VỤ THƯƠNG MẠI TỔNG HỢP WINCOMMERCE</v>
      </c>
      <c r="G4312" s="16" t="str">
        <f>VLOOKUP(Table8[[#This Row],[Mã khách hàng]],code_khach_hang[],3,0)</f>
        <v>Miền Nam đặc biệt 1</v>
      </c>
      <c r="H4312" t="str">
        <f>VLOOKUP(Table8[[#This Row],[Mã khách hàng]],'Khách hàng'!A:D,4,0)</f>
        <v>Food Đức Việt</v>
      </c>
      <c r="I4312" t="str">
        <f>VLOOKUP(Table8[[#This Row],[Mã khách hàng]],'Khách hàng'!A:E,5,0)</f>
        <v>HCVG80</v>
      </c>
    </row>
    <row r="4313" spans="1:9" x14ac:dyDescent="0.25">
      <c r="A4313" s="14" t="s">
        <v>13662</v>
      </c>
      <c r="B4313" s="15" t="s">
        <v>5</v>
      </c>
      <c r="C4313" s="16" t="s">
        <v>14788</v>
      </c>
      <c r="D4313" s="21"/>
      <c r="E4313" s="32" t="s">
        <v>15667</v>
      </c>
      <c r="F4313" s="22" t="str">
        <f>VLOOKUP(Table8[[#This Row],[Mã khách hàng]],code_khach_hang[],2,0)</f>
        <v>CÔNG TY CỔ PHẦN DỊCH VỤ THƯƠNG MẠI TỔNG HỢP WINCOMMERCE</v>
      </c>
      <c r="G4313" s="16" t="str">
        <f>VLOOKUP(Table8[[#This Row],[Mã khách hàng]],code_khach_hang[],3,0)</f>
        <v>Miền Nam đặc biệt 1</v>
      </c>
      <c r="H4313" t="str">
        <f>VLOOKUP(Table8[[#This Row],[Mã khách hàng]],'Khách hàng'!A:D,4,0)</f>
        <v>Food Đức Việt</v>
      </c>
      <c r="I4313" t="str">
        <f>VLOOKUP(Table8[[#This Row],[Mã khách hàng]],'Khách hàng'!A:E,5,0)</f>
        <v>HCVG80</v>
      </c>
    </row>
    <row r="4314" spans="1:9" x14ac:dyDescent="0.25">
      <c r="A4314" s="14" t="s">
        <v>13663</v>
      </c>
      <c r="B4314" s="15" t="s">
        <v>5</v>
      </c>
      <c r="C4314" s="16" t="s">
        <v>14789</v>
      </c>
      <c r="D4314" s="21"/>
      <c r="E4314" s="32" t="s">
        <v>15667</v>
      </c>
      <c r="F4314" s="22" t="str">
        <f>VLOOKUP(Table8[[#This Row],[Mã khách hàng]],code_khach_hang[],2,0)</f>
        <v>CÔNG TY CỔ PHẦN DỊCH VỤ THƯƠNG MẠI TỔNG HỢP WINCOMMERCE</v>
      </c>
      <c r="G4314" s="16" t="str">
        <f>VLOOKUP(Table8[[#This Row],[Mã khách hàng]],code_khach_hang[],3,0)</f>
        <v>Miền Nam đặc biệt 1</v>
      </c>
      <c r="H4314" t="str">
        <f>VLOOKUP(Table8[[#This Row],[Mã khách hàng]],'Khách hàng'!A:D,4,0)</f>
        <v>Food Đức Việt</v>
      </c>
      <c r="I4314" t="str">
        <f>VLOOKUP(Table8[[#This Row],[Mã khách hàng]],'Khách hàng'!A:E,5,0)</f>
        <v>HCVG80</v>
      </c>
    </row>
    <row r="4315" spans="1:9" x14ac:dyDescent="0.25">
      <c r="A4315" s="14" t="s">
        <v>13664</v>
      </c>
      <c r="B4315" s="15" t="s">
        <v>5</v>
      </c>
      <c r="C4315" s="16" t="s">
        <v>14790</v>
      </c>
      <c r="D4315" s="21"/>
      <c r="E4315" s="32" t="s">
        <v>15675</v>
      </c>
      <c r="F4315" s="22" t="str">
        <f>VLOOKUP(Table8[[#This Row],[Mã khách hàng]],code_khach_hang[],2,0)</f>
        <v>CHI NHÁNH VĨNH LONG - CÔNG TY CỔ PHẦN DỊCH VỤ THƯƠNG MẠI TỔNG HỢP WINCOMMERCE</v>
      </c>
      <c r="G4315" s="16" t="str">
        <f>VLOOKUP(Table8[[#This Row],[Mã khách hàng]],code_khach_hang[],3,0)</f>
        <v>Miền Nam đặc biệt 2</v>
      </c>
      <c r="H4315" t="str">
        <f>VLOOKUP(Table8[[#This Row],[Mã khách hàng]],'Khách hàng'!A:D,4,0)</f>
        <v>Food Đức Việt</v>
      </c>
      <c r="I4315" t="str">
        <f>VLOOKUP(Table8[[#This Row],[Mã khách hàng]],'Khách hàng'!A:E,5,0)</f>
        <v>HC-CT120</v>
      </c>
    </row>
    <row r="4316" spans="1:9" x14ac:dyDescent="0.25">
      <c r="A4316" s="14" t="s">
        <v>13665</v>
      </c>
      <c r="B4316" s="15" t="s">
        <v>5</v>
      </c>
      <c r="C4316" s="16" t="s">
        <v>14791</v>
      </c>
      <c r="D4316" s="21"/>
      <c r="E4316" s="32" t="s">
        <v>15667</v>
      </c>
      <c r="F4316" s="22" t="str">
        <f>VLOOKUP(Table8[[#This Row],[Mã khách hàng]],code_khach_hang[],2,0)</f>
        <v>CÔNG TY CỔ PHẦN DỊCH VỤ THƯƠNG MẠI TỔNG HỢP WINCOMMERCE</v>
      </c>
      <c r="G4316" s="16" t="str">
        <f>VLOOKUP(Table8[[#This Row],[Mã khách hàng]],code_khach_hang[],3,0)</f>
        <v>Miền Nam đặc biệt 1</v>
      </c>
      <c r="H4316" t="str">
        <f>VLOOKUP(Table8[[#This Row],[Mã khách hàng]],'Khách hàng'!A:D,4,0)</f>
        <v>Food Đức Việt</v>
      </c>
      <c r="I4316" t="str">
        <f>VLOOKUP(Table8[[#This Row],[Mã khách hàng]],'Khách hàng'!A:E,5,0)</f>
        <v>HCVG80</v>
      </c>
    </row>
    <row r="4317" spans="1:9" x14ac:dyDescent="0.25">
      <c r="A4317" s="14" t="s">
        <v>13666</v>
      </c>
      <c r="B4317" s="15" t="s">
        <v>5</v>
      </c>
      <c r="C4317" s="16" t="s">
        <v>14792</v>
      </c>
      <c r="D4317" s="21"/>
      <c r="E4317" s="32" t="s">
        <v>15667</v>
      </c>
      <c r="F4317" s="22" t="str">
        <f>VLOOKUP(Table8[[#This Row],[Mã khách hàng]],code_khach_hang[],2,0)</f>
        <v>CÔNG TY CỔ PHẦN DỊCH VỤ THƯƠNG MẠI TỔNG HỢP WINCOMMERCE</v>
      </c>
      <c r="G4317" s="16" t="str">
        <f>VLOOKUP(Table8[[#This Row],[Mã khách hàng]],code_khach_hang[],3,0)</f>
        <v>Miền Nam đặc biệt 1</v>
      </c>
      <c r="H4317" t="str">
        <f>VLOOKUP(Table8[[#This Row],[Mã khách hàng]],'Khách hàng'!A:D,4,0)</f>
        <v>Food Đức Việt</v>
      </c>
      <c r="I4317" t="str">
        <f>VLOOKUP(Table8[[#This Row],[Mã khách hàng]],'Khách hàng'!A:E,5,0)</f>
        <v>HCVG80</v>
      </c>
    </row>
    <row r="4318" spans="1:9" x14ac:dyDescent="0.25">
      <c r="A4318" s="14" t="s">
        <v>13667</v>
      </c>
      <c r="B4318" s="15" t="s">
        <v>5</v>
      </c>
      <c r="C4318" s="16" t="s">
        <v>14793</v>
      </c>
      <c r="D4318" s="21"/>
      <c r="E4318" s="32" t="s">
        <v>15667</v>
      </c>
      <c r="F4318" s="22" t="str">
        <f>VLOOKUP(Table8[[#This Row],[Mã khách hàng]],code_khach_hang[],2,0)</f>
        <v>CÔNG TY CỔ PHẦN DỊCH VỤ THƯƠNG MẠI TỔNG HỢP WINCOMMERCE</v>
      </c>
      <c r="G4318" s="16" t="str">
        <f>VLOOKUP(Table8[[#This Row],[Mã khách hàng]],code_khach_hang[],3,0)</f>
        <v>Miền Nam đặc biệt 1</v>
      </c>
      <c r="H4318" t="str">
        <f>VLOOKUP(Table8[[#This Row],[Mã khách hàng]],'Khách hàng'!A:D,4,0)</f>
        <v>Food Đức Việt</v>
      </c>
      <c r="I4318" t="str">
        <f>VLOOKUP(Table8[[#This Row],[Mã khách hàng]],'Khách hàng'!A:E,5,0)</f>
        <v>HCVG80</v>
      </c>
    </row>
    <row r="4319" spans="1:9" x14ac:dyDescent="0.25">
      <c r="A4319" s="14" t="s">
        <v>13668</v>
      </c>
      <c r="B4319" s="15" t="s">
        <v>5</v>
      </c>
      <c r="C4319" s="16" t="s">
        <v>14794</v>
      </c>
      <c r="D4319" s="21"/>
      <c r="E4319" s="32" t="s">
        <v>15671</v>
      </c>
      <c r="F4319" s="22" t="str">
        <f>VLOOKUP(Table8[[#This Row],[Mã khách hàng]],code_khach_hang[],2,0)</f>
        <v>CHI NHÁNH BÌNH DƯƠNG - CÔNG TY CỔ PHẦN DỊCH VỤ THƯƠNG MẠI TỔNG HỢP WINCOMMERCE</v>
      </c>
      <c r="G4319" s="16" t="str">
        <f>VLOOKUP(Table8[[#This Row],[Mã khách hàng]],code_khach_hang[],3,0)</f>
        <v>Miền Nam đặc biệt 1</v>
      </c>
      <c r="H4319" t="str">
        <f>VLOOKUP(Table8[[#This Row],[Mã khách hàng]],'Khách hàng'!A:D,4,0)</f>
        <v>Food Đức Việt</v>
      </c>
      <c r="I4319" t="str">
        <f>VLOOKUP(Table8[[#This Row],[Mã khách hàng]],'Khách hàng'!A:E,5,0)</f>
        <v>HCVG80</v>
      </c>
    </row>
    <row r="4320" spans="1:9" x14ac:dyDescent="0.25">
      <c r="A4320" s="14" t="s">
        <v>13669</v>
      </c>
      <c r="B4320" s="15" t="s">
        <v>5</v>
      </c>
      <c r="C4320" s="16" t="s">
        <v>14795</v>
      </c>
      <c r="D4320" s="21"/>
      <c r="E4320" s="32" t="s">
        <v>15669</v>
      </c>
      <c r="F4320" s="22" t="str">
        <f>VLOOKUP(Table8[[#This Row],[Mã khách hàng]],code_khach_hang[],2,0)</f>
        <v>CHI NHÁNH CẦN THƠ - CÔNG TY CỔ PHẦN DỊCH VỤ THƯƠNG MẠI TỔNG HỢP WINCOMMERCE</v>
      </c>
      <c r="G4320" s="16" t="str">
        <f>VLOOKUP(Table8[[#This Row],[Mã khách hàng]],code_khach_hang[],3,0)</f>
        <v>Miền Nam đặc biệt 2</v>
      </c>
      <c r="H4320" t="str">
        <f>VLOOKUP(Table8[[#This Row],[Mã khách hàng]],'Khách hàng'!A:D,4,0)</f>
        <v>Food Đức Việt</v>
      </c>
      <c r="I4320" t="str">
        <f>VLOOKUP(Table8[[#This Row],[Mã khách hàng]],'Khách hàng'!A:E,5,0)</f>
        <v>HC-CT120</v>
      </c>
    </row>
    <row r="4321" spans="1:9" x14ac:dyDescent="0.25">
      <c r="A4321" s="14" t="s">
        <v>13670</v>
      </c>
      <c r="B4321" s="15" t="s">
        <v>5</v>
      </c>
      <c r="C4321" s="16" t="s">
        <v>14796</v>
      </c>
      <c r="D4321" s="21"/>
      <c r="E4321" s="32" t="s">
        <v>15667</v>
      </c>
      <c r="F4321" s="22" t="str">
        <f>VLOOKUP(Table8[[#This Row],[Mã khách hàng]],code_khach_hang[],2,0)</f>
        <v>CÔNG TY CỔ PHẦN DỊCH VỤ THƯƠNG MẠI TỔNG HỢP WINCOMMERCE</v>
      </c>
      <c r="G4321" s="16" t="str">
        <f>VLOOKUP(Table8[[#This Row],[Mã khách hàng]],code_khach_hang[],3,0)</f>
        <v>Miền Nam đặc biệt 1</v>
      </c>
      <c r="H4321" t="str">
        <f>VLOOKUP(Table8[[#This Row],[Mã khách hàng]],'Khách hàng'!A:D,4,0)</f>
        <v>Food Đức Việt</v>
      </c>
      <c r="I4321" t="str">
        <f>VLOOKUP(Table8[[#This Row],[Mã khách hàng]],'Khách hàng'!A:E,5,0)</f>
        <v>HCVG80</v>
      </c>
    </row>
    <row r="4322" spans="1:9" x14ac:dyDescent="0.25">
      <c r="A4322" s="14" t="s">
        <v>13671</v>
      </c>
      <c r="B4322" s="15" t="s">
        <v>5</v>
      </c>
      <c r="C4322" s="16" t="s">
        <v>14797</v>
      </c>
      <c r="D4322" s="21"/>
      <c r="E4322" s="32" t="s">
        <v>15667</v>
      </c>
      <c r="F4322" s="22" t="str">
        <f>VLOOKUP(Table8[[#This Row],[Mã khách hàng]],code_khach_hang[],2,0)</f>
        <v>CÔNG TY CỔ PHẦN DỊCH VỤ THƯƠNG MẠI TỔNG HỢP WINCOMMERCE</v>
      </c>
      <c r="G4322" s="16" t="str">
        <f>VLOOKUP(Table8[[#This Row],[Mã khách hàng]],code_khach_hang[],3,0)</f>
        <v>Miền Nam đặc biệt 1</v>
      </c>
      <c r="H4322" t="str">
        <f>VLOOKUP(Table8[[#This Row],[Mã khách hàng]],'Khách hàng'!A:D,4,0)</f>
        <v>Food Đức Việt</v>
      </c>
      <c r="I4322" t="str">
        <f>VLOOKUP(Table8[[#This Row],[Mã khách hàng]],'Khách hàng'!A:E,5,0)</f>
        <v>HCVG80</v>
      </c>
    </row>
    <row r="4323" spans="1:9" x14ac:dyDescent="0.25">
      <c r="A4323" s="14" t="s">
        <v>13672</v>
      </c>
      <c r="B4323" s="15" t="s">
        <v>5</v>
      </c>
      <c r="C4323" s="16" t="s">
        <v>14798</v>
      </c>
      <c r="D4323" s="21"/>
      <c r="E4323" s="32" t="s">
        <v>15669</v>
      </c>
      <c r="F4323" s="22" t="str">
        <f>VLOOKUP(Table8[[#This Row],[Mã khách hàng]],code_khach_hang[],2,0)</f>
        <v>CHI NHÁNH CẦN THƠ - CÔNG TY CỔ PHẦN DỊCH VỤ THƯƠNG MẠI TỔNG HỢP WINCOMMERCE</v>
      </c>
      <c r="G4323" s="16" t="str">
        <f>VLOOKUP(Table8[[#This Row],[Mã khách hàng]],code_khach_hang[],3,0)</f>
        <v>Miền Nam đặc biệt 2</v>
      </c>
      <c r="H4323" t="str">
        <f>VLOOKUP(Table8[[#This Row],[Mã khách hàng]],'Khách hàng'!A:D,4,0)</f>
        <v>Food Đức Việt</v>
      </c>
      <c r="I4323" t="str">
        <f>VLOOKUP(Table8[[#This Row],[Mã khách hàng]],'Khách hàng'!A:E,5,0)</f>
        <v>HC-CT120</v>
      </c>
    </row>
    <row r="4324" spans="1:9" x14ac:dyDescent="0.25">
      <c r="A4324" s="14" t="s">
        <v>13673</v>
      </c>
      <c r="B4324" s="15" t="s">
        <v>5</v>
      </c>
      <c r="C4324" s="16" t="s">
        <v>14799</v>
      </c>
      <c r="D4324" s="21"/>
      <c r="E4324" s="32" t="s">
        <v>15669</v>
      </c>
      <c r="F4324" s="22" t="str">
        <f>VLOOKUP(Table8[[#This Row],[Mã khách hàng]],code_khach_hang[],2,0)</f>
        <v>CHI NHÁNH CẦN THƠ - CÔNG TY CỔ PHẦN DỊCH VỤ THƯƠNG MẠI TỔNG HỢP WINCOMMERCE</v>
      </c>
      <c r="G4324" s="16" t="str">
        <f>VLOOKUP(Table8[[#This Row],[Mã khách hàng]],code_khach_hang[],3,0)</f>
        <v>Miền Nam đặc biệt 2</v>
      </c>
      <c r="H4324" t="str">
        <f>VLOOKUP(Table8[[#This Row],[Mã khách hàng]],'Khách hàng'!A:D,4,0)</f>
        <v>Food Đức Việt</v>
      </c>
      <c r="I4324" t="str">
        <f>VLOOKUP(Table8[[#This Row],[Mã khách hàng]],'Khách hàng'!A:E,5,0)</f>
        <v>HC-CT120</v>
      </c>
    </row>
    <row r="4325" spans="1:9" x14ac:dyDescent="0.25">
      <c r="A4325" s="14" t="s">
        <v>13674</v>
      </c>
      <c r="B4325" s="15" t="s">
        <v>5</v>
      </c>
      <c r="C4325" s="16" t="s">
        <v>14800</v>
      </c>
      <c r="D4325" s="21"/>
      <c r="E4325" s="32" t="s">
        <v>15668</v>
      </c>
      <c r="F4325" s="22" t="str">
        <f>VLOOKUP(Table8[[#This Row],[Mã khách hàng]],code_khach_hang[],2,0)</f>
        <v>CHI NHÁNH ĐỒNG NAI - CÔNG TY CỔ PHẦN DỊCH VỤ THƯƠNG MẠI TỔNG HỢP WINCOMMERCE</v>
      </c>
      <c r="G4325" s="16" t="str">
        <f>VLOOKUP(Table8[[#This Row],[Mã khách hàng]],code_khach_hang[],3,0)</f>
        <v>Miền Nam đặc biệt 3</v>
      </c>
      <c r="H4325" t="str">
        <f>VLOOKUP(Table8[[#This Row],[Mã khách hàng]],'Khách hàng'!A:D,4,0)</f>
        <v>Food Đức Việt</v>
      </c>
      <c r="I4325" t="str">
        <f>VLOOKUP(Table8[[#This Row],[Mã khách hàng]],'Khách hàng'!A:E,5,0)</f>
        <v>HCVG80</v>
      </c>
    </row>
    <row r="4326" spans="1:9" x14ac:dyDescent="0.25">
      <c r="A4326" s="14" t="s">
        <v>13675</v>
      </c>
      <c r="B4326" s="15" t="s">
        <v>5</v>
      </c>
      <c r="C4326" s="16" t="s">
        <v>14801</v>
      </c>
      <c r="D4326" s="21"/>
      <c r="E4326" s="32" t="s">
        <v>15672</v>
      </c>
      <c r="F4326" s="22" t="str">
        <f>VLOOKUP(Table8[[#This Row],[Mã khách hàng]],code_khach_hang[],2,0)</f>
        <v>CHI NHÁNH AN GIANG - CÔNG TY CỔ PHẦN DỊCH VỤ THƯƠNG MẠI TỔNG HỢP WINCOMMERCE</v>
      </c>
      <c r="G4326" s="16" t="str">
        <f>VLOOKUP(Table8[[#This Row],[Mã khách hàng]],code_khach_hang[],3,0)</f>
        <v>Miền Nam đặc biệt 2</v>
      </c>
      <c r="H4326" t="str">
        <f>VLOOKUP(Table8[[#This Row],[Mã khách hàng]],'Khách hàng'!A:D,4,0)</f>
        <v>Food Đức Việt</v>
      </c>
      <c r="I4326" t="str">
        <f>VLOOKUP(Table8[[#This Row],[Mã khách hàng]],'Khách hàng'!A:E,5,0)</f>
        <v>HC-CT120</v>
      </c>
    </row>
    <row r="4327" spans="1:9" x14ac:dyDescent="0.25">
      <c r="A4327" s="14" t="s">
        <v>13676</v>
      </c>
      <c r="B4327" s="15" t="s">
        <v>5</v>
      </c>
      <c r="C4327" s="16" t="s">
        <v>14802</v>
      </c>
      <c r="D4327" s="21"/>
      <c r="E4327" s="32" t="s">
        <v>15667</v>
      </c>
      <c r="F4327" s="22" t="str">
        <f>VLOOKUP(Table8[[#This Row],[Mã khách hàng]],code_khach_hang[],2,0)</f>
        <v>CÔNG TY CỔ PHẦN DỊCH VỤ THƯƠNG MẠI TỔNG HỢP WINCOMMERCE</v>
      </c>
      <c r="G4327" s="16" t="str">
        <f>VLOOKUP(Table8[[#This Row],[Mã khách hàng]],code_khach_hang[],3,0)</f>
        <v>Miền Nam đặc biệt 1</v>
      </c>
      <c r="H4327" t="str">
        <f>VLOOKUP(Table8[[#This Row],[Mã khách hàng]],'Khách hàng'!A:D,4,0)</f>
        <v>Food Đức Việt</v>
      </c>
      <c r="I4327" t="str">
        <f>VLOOKUP(Table8[[#This Row],[Mã khách hàng]],'Khách hàng'!A:E,5,0)</f>
        <v>HCVG80</v>
      </c>
    </row>
    <row r="4328" spans="1:9" x14ac:dyDescent="0.25">
      <c r="A4328" s="14" t="s">
        <v>13677</v>
      </c>
      <c r="B4328" s="15" t="s">
        <v>5</v>
      </c>
      <c r="C4328" s="16" t="s">
        <v>14803</v>
      </c>
      <c r="D4328" s="21"/>
      <c r="E4328" s="32" t="s">
        <v>15667</v>
      </c>
      <c r="F4328" s="22" t="str">
        <f>VLOOKUP(Table8[[#This Row],[Mã khách hàng]],code_khach_hang[],2,0)</f>
        <v>CÔNG TY CỔ PHẦN DỊCH VỤ THƯƠNG MẠI TỔNG HỢP WINCOMMERCE</v>
      </c>
      <c r="G4328" s="16" t="str">
        <f>VLOOKUP(Table8[[#This Row],[Mã khách hàng]],code_khach_hang[],3,0)</f>
        <v>Miền Nam đặc biệt 1</v>
      </c>
      <c r="H4328" t="str">
        <f>VLOOKUP(Table8[[#This Row],[Mã khách hàng]],'Khách hàng'!A:D,4,0)</f>
        <v>Food Đức Việt</v>
      </c>
      <c r="I4328" t="str">
        <f>VLOOKUP(Table8[[#This Row],[Mã khách hàng]],'Khách hàng'!A:E,5,0)</f>
        <v>HCVG80</v>
      </c>
    </row>
    <row r="4329" spans="1:9" x14ac:dyDescent="0.25">
      <c r="A4329" s="14" t="s">
        <v>13678</v>
      </c>
      <c r="B4329" s="15" t="s">
        <v>5</v>
      </c>
      <c r="C4329" s="16" t="s">
        <v>14804</v>
      </c>
      <c r="D4329" s="21"/>
      <c r="E4329" s="32" t="s">
        <v>15667</v>
      </c>
      <c r="F4329" s="22" t="str">
        <f>VLOOKUP(Table8[[#This Row],[Mã khách hàng]],code_khach_hang[],2,0)</f>
        <v>CÔNG TY CỔ PHẦN DỊCH VỤ THƯƠNG MẠI TỔNG HỢP WINCOMMERCE</v>
      </c>
      <c r="G4329" s="16" t="str">
        <f>VLOOKUP(Table8[[#This Row],[Mã khách hàng]],code_khach_hang[],3,0)</f>
        <v>Miền Nam đặc biệt 1</v>
      </c>
      <c r="H4329" t="str">
        <f>VLOOKUP(Table8[[#This Row],[Mã khách hàng]],'Khách hàng'!A:D,4,0)</f>
        <v>Food Đức Việt</v>
      </c>
      <c r="I4329" t="str">
        <f>VLOOKUP(Table8[[#This Row],[Mã khách hàng]],'Khách hàng'!A:E,5,0)</f>
        <v>HCVG80</v>
      </c>
    </row>
    <row r="4330" spans="1:9" x14ac:dyDescent="0.25">
      <c r="A4330" s="14" t="s">
        <v>13679</v>
      </c>
      <c r="B4330" s="15" t="s">
        <v>5</v>
      </c>
      <c r="C4330" s="16" t="s">
        <v>14805</v>
      </c>
      <c r="D4330" s="21"/>
      <c r="E4330" s="32" t="s">
        <v>15667</v>
      </c>
      <c r="F4330" s="22" t="str">
        <f>VLOOKUP(Table8[[#This Row],[Mã khách hàng]],code_khach_hang[],2,0)</f>
        <v>CÔNG TY CỔ PHẦN DỊCH VỤ THƯƠNG MẠI TỔNG HỢP WINCOMMERCE</v>
      </c>
      <c r="G4330" s="16" t="str">
        <f>VLOOKUP(Table8[[#This Row],[Mã khách hàng]],code_khach_hang[],3,0)</f>
        <v>Miền Nam đặc biệt 1</v>
      </c>
      <c r="H4330" t="str">
        <f>VLOOKUP(Table8[[#This Row],[Mã khách hàng]],'Khách hàng'!A:D,4,0)</f>
        <v>Food Đức Việt</v>
      </c>
      <c r="I4330" t="str">
        <f>VLOOKUP(Table8[[#This Row],[Mã khách hàng]],'Khách hàng'!A:E,5,0)</f>
        <v>HCVG80</v>
      </c>
    </row>
    <row r="4331" spans="1:9" x14ac:dyDescent="0.25">
      <c r="A4331" s="14" t="s">
        <v>13680</v>
      </c>
      <c r="B4331" s="15" t="s">
        <v>5</v>
      </c>
      <c r="C4331" s="16" t="s">
        <v>14806</v>
      </c>
      <c r="D4331" s="21"/>
      <c r="E4331" s="32" t="s">
        <v>15667</v>
      </c>
      <c r="F4331" s="22" t="str">
        <f>VLOOKUP(Table8[[#This Row],[Mã khách hàng]],code_khach_hang[],2,0)</f>
        <v>CÔNG TY CỔ PHẦN DỊCH VỤ THƯƠNG MẠI TỔNG HỢP WINCOMMERCE</v>
      </c>
      <c r="G4331" s="16" t="str">
        <f>VLOOKUP(Table8[[#This Row],[Mã khách hàng]],code_khach_hang[],3,0)</f>
        <v>Miền Nam đặc biệt 1</v>
      </c>
      <c r="H4331" t="str">
        <f>VLOOKUP(Table8[[#This Row],[Mã khách hàng]],'Khách hàng'!A:D,4,0)</f>
        <v>Food Đức Việt</v>
      </c>
      <c r="I4331" t="str">
        <f>VLOOKUP(Table8[[#This Row],[Mã khách hàng]],'Khách hàng'!A:E,5,0)</f>
        <v>HCVG80</v>
      </c>
    </row>
    <row r="4332" spans="1:9" x14ac:dyDescent="0.25">
      <c r="A4332" s="14" t="s">
        <v>13681</v>
      </c>
      <c r="B4332" s="15" t="s">
        <v>5</v>
      </c>
      <c r="C4332" s="16" t="s">
        <v>14807</v>
      </c>
      <c r="D4332" s="21"/>
      <c r="E4332" s="32" t="s">
        <v>15676</v>
      </c>
      <c r="F4332" s="22" t="str">
        <f>VLOOKUP(Table8[[#This Row],[Mã khách hàng]],code_khach_hang[],2,0)</f>
        <v>CHI NHÁNH KIÊN GIANG - CÔNG TY CỔ PHẦN DỊCH VỤ THƯƠNG MẠI TỔNG HỢP WINCOMMERCE</v>
      </c>
      <c r="G4332" s="16" t="str">
        <f>VLOOKUP(Table8[[#This Row],[Mã khách hàng]],code_khach_hang[],3,0)</f>
        <v>Miền Nam đặc biệt 2</v>
      </c>
      <c r="H4332" t="str">
        <f>VLOOKUP(Table8[[#This Row],[Mã khách hàng]],'Khách hàng'!A:D,4,0)</f>
        <v>Food Đức Việt</v>
      </c>
      <c r="I4332" t="str">
        <f>VLOOKUP(Table8[[#This Row],[Mã khách hàng]],'Khách hàng'!A:E,5,0)</f>
        <v>HC-CT120</v>
      </c>
    </row>
    <row r="4333" spans="1:9" x14ac:dyDescent="0.25">
      <c r="A4333" s="14" t="s">
        <v>13682</v>
      </c>
      <c r="B4333" s="15" t="s">
        <v>5</v>
      </c>
      <c r="C4333" s="16" t="s">
        <v>14808</v>
      </c>
      <c r="D4333" s="21"/>
      <c r="E4333" s="32" t="s">
        <v>15676</v>
      </c>
      <c r="F4333" s="22" t="str">
        <f>VLOOKUP(Table8[[#This Row],[Mã khách hàng]],code_khach_hang[],2,0)</f>
        <v>CHI NHÁNH KIÊN GIANG - CÔNG TY CỔ PHẦN DỊCH VỤ THƯƠNG MẠI TỔNG HỢP WINCOMMERCE</v>
      </c>
      <c r="G4333" s="16" t="str">
        <f>VLOOKUP(Table8[[#This Row],[Mã khách hàng]],code_khach_hang[],3,0)</f>
        <v>Miền Nam đặc biệt 2</v>
      </c>
      <c r="H4333" t="str">
        <f>VLOOKUP(Table8[[#This Row],[Mã khách hàng]],'Khách hàng'!A:D,4,0)</f>
        <v>Food Đức Việt</v>
      </c>
      <c r="I4333" t="str">
        <f>VLOOKUP(Table8[[#This Row],[Mã khách hàng]],'Khách hàng'!A:E,5,0)</f>
        <v>HC-CT120</v>
      </c>
    </row>
    <row r="4334" spans="1:9" x14ac:dyDescent="0.25">
      <c r="A4334" s="14" t="s">
        <v>13683</v>
      </c>
      <c r="B4334" s="15" t="s">
        <v>5</v>
      </c>
      <c r="C4334" s="16" t="s">
        <v>14809</v>
      </c>
      <c r="D4334" s="21"/>
      <c r="E4334" s="32" t="s">
        <v>15667</v>
      </c>
      <c r="F4334" s="22" t="str">
        <f>VLOOKUP(Table8[[#This Row],[Mã khách hàng]],code_khach_hang[],2,0)</f>
        <v>CÔNG TY CỔ PHẦN DỊCH VỤ THƯƠNG MẠI TỔNG HỢP WINCOMMERCE</v>
      </c>
      <c r="G4334" s="16" t="str">
        <f>VLOOKUP(Table8[[#This Row],[Mã khách hàng]],code_khach_hang[],3,0)</f>
        <v>Miền Nam đặc biệt 1</v>
      </c>
      <c r="H4334" t="str">
        <f>VLOOKUP(Table8[[#This Row],[Mã khách hàng]],'Khách hàng'!A:D,4,0)</f>
        <v>Food Đức Việt</v>
      </c>
      <c r="I4334" t="str">
        <f>VLOOKUP(Table8[[#This Row],[Mã khách hàng]],'Khách hàng'!A:E,5,0)</f>
        <v>HCVG80</v>
      </c>
    </row>
    <row r="4335" spans="1:9" x14ac:dyDescent="0.25">
      <c r="A4335" s="14" t="s">
        <v>13684</v>
      </c>
      <c r="B4335" s="15" t="s">
        <v>5</v>
      </c>
      <c r="C4335" s="16" t="s">
        <v>14810</v>
      </c>
      <c r="D4335" s="21"/>
      <c r="E4335" s="32" t="s">
        <v>15667</v>
      </c>
      <c r="F4335" s="22" t="str">
        <f>VLOOKUP(Table8[[#This Row],[Mã khách hàng]],code_khach_hang[],2,0)</f>
        <v>CÔNG TY CỔ PHẦN DỊCH VỤ THƯƠNG MẠI TỔNG HỢP WINCOMMERCE</v>
      </c>
      <c r="G4335" s="16" t="str">
        <f>VLOOKUP(Table8[[#This Row],[Mã khách hàng]],code_khach_hang[],3,0)</f>
        <v>Miền Nam đặc biệt 1</v>
      </c>
      <c r="H4335" t="str">
        <f>VLOOKUP(Table8[[#This Row],[Mã khách hàng]],'Khách hàng'!A:D,4,0)</f>
        <v>Food Đức Việt</v>
      </c>
      <c r="I4335" t="str">
        <f>VLOOKUP(Table8[[#This Row],[Mã khách hàng]],'Khách hàng'!A:E,5,0)</f>
        <v>HCVG80</v>
      </c>
    </row>
    <row r="4336" spans="1:9" x14ac:dyDescent="0.25">
      <c r="A4336" s="14" t="s">
        <v>13685</v>
      </c>
      <c r="B4336" s="15" t="s">
        <v>5</v>
      </c>
      <c r="C4336" s="16" t="s">
        <v>14811</v>
      </c>
      <c r="D4336" s="21"/>
      <c r="E4336" s="32" t="s">
        <v>15672</v>
      </c>
      <c r="F4336" s="22" t="str">
        <f>VLOOKUP(Table8[[#This Row],[Mã khách hàng]],code_khach_hang[],2,0)</f>
        <v>CHI NHÁNH AN GIANG - CÔNG TY CỔ PHẦN DỊCH VỤ THƯƠNG MẠI TỔNG HỢP WINCOMMERCE</v>
      </c>
      <c r="G4336" s="16" t="str">
        <f>VLOOKUP(Table8[[#This Row],[Mã khách hàng]],code_khach_hang[],3,0)</f>
        <v>Miền Nam đặc biệt 2</v>
      </c>
      <c r="H4336" t="str">
        <f>VLOOKUP(Table8[[#This Row],[Mã khách hàng]],'Khách hàng'!A:D,4,0)</f>
        <v>Food Đức Việt</v>
      </c>
      <c r="I4336" t="str">
        <f>VLOOKUP(Table8[[#This Row],[Mã khách hàng]],'Khách hàng'!A:E,5,0)</f>
        <v>HC-CT120</v>
      </c>
    </row>
    <row r="4337" spans="1:9" x14ac:dyDescent="0.25">
      <c r="A4337" s="14" t="s">
        <v>13686</v>
      </c>
      <c r="B4337" s="15" t="s">
        <v>5</v>
      </c>
      <c r="C4337" s="16" t="s">
        <v>14812</v>
      </c>
      <c r="D4337" s="21"/>
      <c r="E4337" s="32" t="s">
        <v>15669</v>
      </c>
      <c r="F4337" s="22" t="str">
        <f>VLOOKUP(Table8[[#This Row],[Mã khách hàng]],code_khach_hang[],2,0)</f>
        <v>CHI NHÁNH CẦN THƠ - CÔNG TY CỔ PHẦN DỊCH VỤ THƯƠNG MẠI TỔNG HỢP WINCOMMERCE</v>
      </c>
      <c r="G4337" s="16" t="str">
        <f>VLOOKUP(Table8[[#This Row],[Mã khách hàng]],code_khach_hang[],3,0)</f>
        <v>Miền Nam đặc biệt 2</v>
      </c>
      <c r="H4337" t="str">
        <f>VLOOKUP(Table8[[#This Row],[Mã khách hàng]],'Khách hàng'!A:D,4,0)</f>
        <v>Food Đức Việt</v>
      </c>
      <c r="I4337" t="str">
        <f>VLOOKUP(Table8[[#This Row],[Mã khách hàng]],'Khách hàng'!A:E,5,0)</f>
        <v>HC-CT120</v>
      </c>
    </row>
    <row r="4338" spans="1:9" x14ac:dyDescent="0.25">
      <c r="A4338" s="14" t="s">
        <v>13687</v>
      </c>
      <c r="B4338" s="15" t="s">
        <v>5</v>
      </c>
      <c r="C4338" s="16" t="s">
        <v>14813</v>
      </c>
      <c r="D4338" s="21"/>
      <c r="E4338" s="32" t="s">
        <v>15667</v>
      </c>
      <c r="F4338" s="22" t="str">
        <f>VLOOKUP(Table8[[#This Row],[Mã khách hàng]],code_khach_hang[],2,0)</f>
        <v>CÔNG TY CỔ PHẦN DỊCH VỤ THƯƠNG MẠI TỔNG HỢP WINCOMMERCE</v>
      </c>
      <c r="G4338" s="16" t="str">
        <f>VLOOKUP(Table8[[#This Row],[Mã khách hàng]],code_khach_hang[],3,0)</f>
        <v>Miền Nam đặc biệt 1</v>
      </c>
      <c r="H4338" t="str">
        <f>VLOOKUP(Table8[[#This Row],[Mã khách hàng]],'Khách hàng'!A:D,4,0)</f>
        <v>Food Đức Việt</v>
      </c>
      <c r="I4338" t="str">
        <f>VLOOKUP(Table8[[#This Row],[Mã khách hàng]],'Khách hàng'!A:E,5,0)</f>
        <v>HCVG80</v>
      </c>
    </row>
    <row r="4339" spans="1:9" x14ac:dyDescent="0.25">
      <c r="A4339" s="14" t="s">
        <v>13688</v>
      </c>
      <c r="B4339" s="15" t="s">
        <v>5</v>
      </c>
      <c r="C4339" s="16" t="s">
        <v>14814</v>
      </c>
      <c r="D4339" s="21"/>
      <c r="E4339" s="32" t="s">
        <v>15667</v>
      </c>
      <c r="F4339" s="22" t="str">
        <f>VLOOKUP(Table8[[#This Row],[Mã khách hàng]],code_khach_hang[],2,0)</f>
        <v>CÔNG TY CỔ PHẦN DỊCH VỤ THƯƠNG MẠI TỔNG HỢP WINCOMMERCE</v>
      </c>
      <c r="G4339" s="16" t="str">
        <f>VLOOKUP(Table8[[#This Row],[Mã khách hàng]],code_khach_hang[],3,0)</f>
        <v>Miền Nam đặc biệt 1</v>
      </c>
      <c r="H4339" t="str">
        <f>VLOOKUP(Table8[[#This Row],[Mã khách hàng]],'Khách hàng'!A:D,4,0)</f>
        <v>Food Đức Việt</v>
      </c>
      <c r="I4339" t="str">
        <f>VLOOKUP(Table8[[#This Row],[Mã khách hàng]],'Khách hàng'!A:E,5,0)</f>
        <v>HCVG80</v>
      </c>
    </row>
    <row r="4340" spans="1:9" x14ac:dyDescent="0.25">
      <c r="A4340" s="14" t="s">
        <v>13689</v>
      </c>
      <c r="B4340" s="15" t="s">
        <v>5</v>
      </c>
      <c r="C4340" s="16" t="s">
        <v>14815</v>
      </c>
      <c r="D4340" s="21"/>
      <c r="E4340" s="32" t="s">
        <v>15667</v>
      </c>
      <c r="F4340" s="22" t="str">
        <f>VLOOKUP(Table8[[#This Row],[Mã khách hàng]],code_khach_hang[],2,0)</f>
        <v>CÔNG TY CỔ PHẦN DỊCH VỤ THƯƠNG MẠI TỔNG HỢP WINCOMMERCE</v>
      </c>
      <c r="G4340" s="16" t="str">
        <f>VLOOKUP(Table8[[#This Row],[Mã khách hàng]],code_khach_hang[],3,0)</f>
        <v>Miền Nam đặc biệt 1</v>
      </c>
      <c r="H4340" t="str">
        <f>VLOOKUP(Table8[[#This Row],[Mã khách hàng]],'Khách hàng'!A:D,4,0)</f>
        <v>Food Đức Việt</v>
      </c>
      <c r="I4340" t="str">
        <f>VLOOKUP(Table8[[#This Row],[Mã khách hàng]],'Khách hàng'!A:E,5,0)</f>
        <v>HCVG80</v>
      </c>
    </row>
    <row r="4341" spans="1:9" x14ac:dyDescent="0.25">
      <c r="A4341" s="14" t="s">
        <v>13690</v>
      </c>
      <c r="B4341" s="15" t="s">
        <v>5</v>
      </c>
      <c r="C4341" s="16" t="s">
        <v>14816</v>
      </c>
      <c r="D4341" s="21"/>
      <c r="E4341" s="32" t="s">
        <v>15667</v>
      </c>
      <c r="F4341" s="22" t="str">
        <f>VLOOKUP(Table8[[#This Row],[Mã khách hàng]],code_khach_hang[],2,0)</f>
        <v>CÔNG TY CỔ PHẦN DỊCH VỤ THƯƠNG MẠI TỔNG HỢP WINCOMMERCE</v>
      </c>
      <c r="G4341" s="16" t="str">
        <f>VLOOKUP(Table8[[#This Row],[Mã khách hàng]],code_khach_hang[],3,0)</f>
        <v>Miền Nam đặc biệt 1</v>
      </c>
      <c r="H4341" t="str">
        <f>VLOOKUP(Table8[[#This Row],[Mã khách hàng]],'Khách hàng'!A:D,4,0)</f>
        <v>Food Đức Việt</v>
      </c>
      <c r="I4341" t="str">
        <f>VLOOKUP(Table8[[#This Row],[Mã khách hàng]],'Khách hàng'!A:E,5,0)</f>
        <v>HCVG80</v>
      </c>
    </row>
    <row r="4342" spans="1:9" x14ac:dyDescent="0.25">
      <c r="A4342" s="14" t="s">
        <v>13691</v>
      </c>
      <c r="B4342" s="15" t="s">
        <v>5</v>
      </c>
      <c r="C4342" s="16" t="s">
        <v>14817</v>
      </c>
      <c r="D4342" s="21"/>
      <c r="E4342" s="32" t="s">
        <v>15669</v>
      </c>
      <c r="F4342" s="22" t="str">
        <f>VLOOKUP(Table8[[#This Row],[Mã khách hàng]],code_khach_hang[],2,0)</f>
        <v>CHI NHÁNH CẦN THƠ - CÔNG TY CỔ PHẦN DỊCH VỤ THƯƠNG MẠI TỔNG HỢP WINCOMMERCE</v>
      </c>
      <c r="G4342" s="16" t="str">
        <f>VLOOKUP(Table8[[#This Row],[Mã khách hàng]],code_khach_hang[],3,0)</f>
        <v>Miền Nam đặc biệt 2</v>
      </c>
      <c r="H4342" t="str">
        <f>VLOOKUP(Table8[[#This Row],[Mã khách hàng]],'Khách hàng'!A:D,4,0)</f>
        <v>Food Đức Việt</v>
      </c>
      <c r="I4342" t="str">
        <f>VLOOKUP(Table8[[#This Row],[Mã khách hàng]],'Khách hàng'!A:E,5,0)</f>
        <v>HC-CT120</v>
      </c>
    </row>
    <row r="4343" spans="1:9" x14ac:dyDescent="0.25">
      <c r="A4343" s="14" t="s">
        <v>13692</v>
      </c>
      <c r="B4343" s="15" t="s">
        <v>5</v>
      </c>
      <c r="C4343" s="16" t="s">
        <v>14818</v>
      </c>
      <c r="D4343" s="21"/>
      <c r="E4343" s="32" t="s">
        <v>15669</v>
      </c>
      <c r="F4343" s="22" t="str">
        <f>VLOOKUP(Table8[[#This Row],[Mã khách hàng]],code_khach_hang[],2,0)</f>
        <v>CHI NHÁNH CẦN THƠ - CÔNG TY CỔ PHẦN DỊCH VỤ THƯƠNG MẠI TỔNG HỢP WINCOMMERCE</v>
      </c>
      <c r="G4343" s="16" t="str">
        <f>VLOOKUP(Table8[[#This Row],[Mã khách hàng]],code_khach_hang[],3,0)</f>
        <v>Miền Nam đặc biệt 2</v>
      </c>
      <c r="H4343" t="str">
        <f>VLOOKUP(Table8[[#This Row],[Mã khách hàng]],'Khách hàng'!A:D,4,0)</f>
        <v>Food Đức Việt</v>
      </c>
      <c r="I4343" t="str">
        <f>VLOOKUP(Table8[[#This Row],[Mã khách hàng]],'Khách hàng'!A:E,5,0)</f>
        <v>HC-CT120</v>
      </c>
    </row>
    <row r="4344" spans="1:9" x14ac:dyDescent="0.25">
      <c r="A4344" s="14" t="s">
        <v>13693</v>
      </c>
      <c r="B4344" s="15" t="s">
        <v>5</v>
      </c>
      <c r="C4344" s="16" t="s">
        <v>14819</v>
      </c>
      <c r="D4344" s="21"/>
      <c r="E4344" s="32" t="s">
        <v>15667</v>
      </c>
      <c r="F4344" s="22" t="str">
        <f>VLOOKUP(Table8[[#This Row],[Mã khách hàng]],code_khach_hang[],2,0)</f>
        <v>CÔNG TY CỔ PHẦN DỊCH VỤ THƯƠNG MẠI TỔNG HỢP WINCOMMERCE</v>
      </c>
      <c r="G4344" s="16" t="str">
        <f>VLOOKUP(Table8[[#This Row],[Mã khách hàng]],code_khach_hang[],3,0)</f>
        <v>Miền Nam đặc biệt 1</v>
      </c>
      <c r="H4344" t="str">
        <f>VLOOKUP(Table8[[#This Row],[Mã khách hàng]],'Khách hàng'!A:D,4,0)</f>
        <v>Food Đức Việt</v>
      </c>
      <c r="I4344" t="str">
        <f>VLOOKUP(Table8[[#This Row],[Mã khách hàng]],'Khách hàng'!A:E,5,0)</f>
        <v>HCVG80</v>
      </c>
    </row>
    <row r="4345" spans="1:9" x14ac:dyDescent="0.25">
      <c r="A4345" s="14" t="s">
        <v>13694</v>
      </c>
      <c r="B4345" s="15" t="s">
        <v>5</v>
      </c>
      <c r="C4345" s="16" t="s">
        <v>14820</v>
      </c>
      <c r="D4345" s="21"/>
      <c r="E4345" s="32" t="s">
        <v>15676</v>
      </c>
      <c r="F4345" s="22" t="str">
        <f>VLOOKUP(Table8[[#This Row],[Mã khách hàng]],code_khach_hang[],2,0)</f>
        <v>CHI NHÁNH KIÊN GIANG - CÔNG TY CỔ PHẦN DỊCH VỤ THƯƠNG MẠI TỔNG HỢP WINCOMMERCE</v>
      </c>
      <c r="G4345" s="16" t="str">
        <f>VLOOKUP(Table8[[#This Row],[Mã khách hàng]],code_khach_hang[],3,0)</f>
        <v>Miền Nam đặc biệt 2</v>
      </c>
      <c r="H4345" t="str">
        <f>VLOOKUP(Table8[[#This Row],[Mã khách hàng]],'Khách hàng'!A:D,4,0)</f>
        <v>Food Đức Việt</v>
      </c>
      <c r="I4345" t="str">
        <f>VLOOKUP(Table8[[#This Row],[Mã khách hàng]],'Khách hàng'!A:E,5,0)</f>
        <v>HC-CT120</v>
      </c>
    </row>
    <row r="4346" spans="1:9" x14ac:dyDescent="0.25">
      <c r="A4346" s="14" t="s">
        <v>13695</v>
      </c>
      <c r="B4346" s="15" t="s">
        <v>5</v>
      </c>
      <c r="C4346" s="16" t="s">
        <v>14821</v>
      </c>
      <c r="D4346" s="21"/>
      <c r="E4346" s="32" t="s">
        <v>15675</v>
      </c>
      <c r="F4346" s="22" t="str">
        <f>VLOOKUP(Table8[[#This Row],[Mã khách hàng]],code_khach_hang[],2,0)</f>
        <v>CHI NHÁNH VĨNH LONG - CÔNG TY CỔ PHẦN DỊCH VỤ THƯƠNG MẠI TỔNG HỢP WINCOMMERCE</v>
      </c>
      <c r="G4346" s="16" t="str">
        <f>VLOOKUP(Table8[[#This Row],[Mã khách hàng]],code_khach_hang[],3,0)</f>
        <v>Miền Nam đặc biệt 2</v>
      </c>
      <c r="H4346" t="str">
        <f>VLOOKUP(Table8[[#This Row],[Mã khách hàng]],'Khách hàng'!A:D,4,0)</f>
        <v>Food Đức Việt</v>
      </c>
      <c r="I4346" t="str">
        <f>VLOOKUP(Table8[[#This Row],[Mã khách hàng]],'Khách hàng'!A:E,5,0)</f>
        <v>HC-CT120</v>
      </c>
    </row>
    <row r="4347" spans="1:9" x14ac:dyDescent="0.25">
      <c r="A4347" s="14" t="s">
        <v>13696</v>
      </c>
      <c r="B4347" s="15" t="s">
        <v>5</v>
      </c>
      <c r="C4347" s="16" t="s">
        <v>14822</v>
      </c>
      <c r="D4347" s="21"/>
      <c r="E4347" s="32" t="s">
        <v>15667</v>
      </c>
      <c r="F4347" s="22" t="str">
        <f>VLOOKUP(Table8[[#This Row],[Mã khách hàng]],code_khach_hang[],2,0)</f>
        <v>CÔNG TY CỔ PHẦN DỊCH VỤ THƯƠNG MẠI TỔNG HỢP WINCOMMERCE</v>
      </c>
      <c r="G4347" s="16" t="str">
        <f>VLOOKUP(Table8[[#This Row],[Mã khách hàng]],code_khach_hang[],3,0)</f>
        <v>Miền Nam đặc biệt 1</v>
      </c>
      <c r="H4347" t="str">
        <f>VLOOKUP(Table8[[#This Row],[Mã khách hàng]],'Khách hàng'!A:D,4,0)</f>
        <v>Food Đức Việt</v>
      </c>
      <c r="I4347" t="str">
        <f>VLOOKUP(Table8[[#This Row],[Mã khách hàng]],'Khách hàng'!A:E,5,0)</f>
        <v>HCVG80</v>
      </c>
    </row>
    <row r="4348" spans="1:9" x14ac:dyDescent="0.25">
      <c r="A4348" s="14" t="s">
        <v>13697</v>
      </c>
      <c r="B4348" s="15" t="s">
        <v>5</v>
      </c>
      <c r="C4348" s="16" t="s">
        <v>14823</v>
      </c>
      <c r="D4348" s="21"/>
      <c r="E4348" s="32" t="s">
        <v>15667</v>
      </c>
      <c r="F4348" s="22" t="str">
        <f>VLOOKUP(Table8[[#This Row],[Mã khách hàng]],code_khach_hang[],2,0)</f>
        <v>CÔNG TY CỔ PHẦN DỊCH VỤ THƯƠNG MẠI TỔNG HỢP WINCOMMERCE</v>
      </c>
      <c r="G4348" s="16" t="str">
        <f>VLOOKUP(Table8[[#This Row],[Mã khách hàng]],code_khach_hang[],3,0)</f>
        <v>Miền Nam đặc biệt 1</v>
      </c>
      <c r="H4348" t="str">
        <f>VLOOKUP(Table8[[#This Row],[Mã khách hàng]],'Khách hàng'!A:D,4,0)</f>
        <v>Food Đức Việt</v>
      </c>
      <c r="I4348" t="str">
        <f>VLOOKUP(Table8[[#This Row],[Mã khách hàng]],'Khách hàng'!A:E,5,0)</f>
        <v>HCVG80</v>
      </c>
    </row>
    <row r="4349" spans="1:9" x14ac:dyDescent="0.25">
      <c r="A4349" s="14" t="s">
        <v>13698</v>
      </c>
      <c r="B4349" s="15" t="s">
        <v>5</v>
      </c>
      <c r="C4349" s="16" t="s">
        <v>14824</v>
      </c>
      <c r="D4349" s="21"/>
      <c r="E4349" s="32" t="s">
        <v>15667</v>
      </c>
      <c r="F4349" s="22" t="str">
        <f>VLOOKUP(Table8[[#This Row],[Mã khách hàng]],code_khach_hang[],2,0)</f>
        <v>CÔNG TY CỔ PHẦN DỊCH VỤ THƯƠNG MẠI TỔNG HỢP WINCOMMERCE</v>
      </c>
      <c r="G4349" s="16" t="str">
        <f>VLOOKUP(Table8[[#This Row],[Mã khách hàng]],code_khach_hang[],3,0)</f>
        <v>Miền Nam đặc biệt 1</v>
      </c>
      <c r="H4349" t="str">
        <f>VLOOKUP(Table8[[#This Row],[Mã khách hàng]],'Khách hàng'!A:D,4,0)</f>
        <v>Food Đức Việt</v>
      </c>
      <c r="I4349" t="str">
        <f>VLOOKUP(Table8[[#This Row],[Mã khách hàng]],'Khách hàng'!A:E,5,0)</f>
        <v>HCVG80</v>
      </c>
    </row>
    <row r="4350" spans="1:9" x14ac:dyDescent="0.25">
      <c r="A4350" s="14" t="s">
        <v>13699</v>
      </c>
      <c r="B4350" s="15" t="s">
        <v>5</v>
      </c>
      <c r="C4350" s="16" t="s">
        <v>14825</v>
      </c>
      <c r="D4350" s="21"/>
      <c r="E4350" s="32" t="s">
        <v>15668</v>
      </c>
      <c r="F4350" s="22" t="str">
        <f>VLOOKUP(Table8[[#This Row],[Mã khách hàng]],code_khach_hang[],2,0)</f>
        <v>CHI NHÁNH ĐỒNG NAI - CÔNG TY CỔ PHẦN DỊCH VỤ THƯƠNG MẠI TỔNG HỢP WINCOMMERCE</v>
      </c>
      <c r="G4350" s="16" t="str">
        <f>VLOOKUP(Table8[[#This Row],[Mã khách hàng]],code_khach_hang[],3,0)</f>
        <v>Miền Nam đặc biệt 3</v>
      </c>
      <c r="H4350" t="str">
        <f>VLOOKUP(Table8[[#This Row],[Mã khách hàng]],'Khách hàng'!A:D,4,0)</f>
        <v>Food Đức Việt</v>
      </c>
      <c r="I4350" t="str">
        <f>VLOOKUP(Table8[[#This Row],[Mã khách hàng]],'Khách hàng'!A:E,5,0)</f>
        <v>HCVG80</v>
      </c>
    </row>
    <row r="4351" spans="1:9" x14ac:dyDescent="0.25">
      <c r="A4351" s="14" t="s">
        <v>13700</v>
      </c>
      <c r="B4351" s="15" t="s">
        <v>5</v>
      </c>
      <c r="C4351" s="16" t="s">
        <v>14826</v>
      </c>
      <c r="D4351" s="21"/>
      <c r="E4351" s="32" t="s">
        <v>15667</v>
      </c>
      <c r="F4351" s="22" t="str">
        <f>VLOOKUP(Table8[[#This Row],[Mã khách hàng]],code_khach_hang[],2,0)</f>
        <v>CÔNG TY CỔ PHẦN DỊCH VỤ THƯƠNG MẠI TỔNG HỢP WINCOMMERCE</v>
      </c>
      <c r="G4351" s="16" t="str">
        <f>VLOOKUP(Table8[[#This Row],[Mã khách hàng]],code_khach_hang[],3,0)</f>
        <v>Miền Nam đặc biệt 1</v>
      </c>
      <c r="H4351" t="str">
        <f>VLOOKUP(Table8[[#This Row],[Mã khách hàng]],'Khách hàng'!A:D,4,0)</f>
        <v>Food Đức Việt</v>
      </c>
      <c r="I4351" t="str">
        <f>VLOOKUP(Table8[[#This Row],[Mã khách hàng]],'Khách hàng'!A:E,5,0)</f>
        <v>HCVG80</v>
      </c>
    </row>
    <row r="4352" spans="1:9" x14ac:dyDescent="0.25">
      <c r="A4352" s="14" t="s">
        <v>13701</v>
      </c>
      <c r="B4352" s="15" t="s">
        <v>5</v>
      </c>
      <c r="C4352" s="16" t="s">
        <v>14827</v>
      </c>
      <c r="D4352" s="21"/>
      <c r="E4352" s="32" t="s">
        <v>15676</v>
      </c>
      <c r="F4352" s="22" t="str">
        <f>VLOOKUP(Table8[[#This Row],[Mã khách hàng]],code_khach_hang[],2,0)</f>
        <v>CHI NHÁNH KIÊN GIANG - CÔNG TY CỔ PHẦN DỊCH VỤ THƯƠNG MẠI TỔNG HỢP WINCOMMERCE</v>
      </c>
      <c r="G4352" s="16" t="str">
        <f>VLOOKUP(Table8[[#This Row],[Mã khách hàng]],code_khach_hang[],3,0)</f>
        <v>Miền Nam đặc biệt 2</v>
      </c>
      <c r="H4352" t="str">
        <f>VLOOKUP(Table8[[#This Row],[Mã khách hàng]],'Khách hàng'!A:D,4,0)</f>
        <v>Food Đức Việt</v>
      </c>
      <c r="I4352" t="str">
        <f>VLOOKUP(Table8[[#This Row],[Mã khách hàng]],'Khách hàng'!A:E,5,0)</f>
        <v>HC-CT120</v>
      </c>
    </row>
    <row r="4353" spans="1:9" x14ac:dyDescent="0.25">
      <c r="A4353" s="14" t="s">
        <v>13702</v>
      </c>
      <c r="B4353" s="15" t="s">
        <v>5</v>
      </c>
      <c r="C4353" s="16" t="s">
        <v>14828</v>
      </c>
      <c r="D4353" s="21"/>
      <c r="E4353" s="32" t="s">
        <v>15667</v>
      </c>
      <c r="F4353" s="22" t="str">
        <f>VLOOKUP(Table8[[#This Row],[Mã khách hàng]],code_khach_hang[],2,0)</f>
        <v>CÔNG TY CỔ PHẦN DỊCH VỤ THƯƠNG MẠI TỔNG HỢP WINCOMMERCE</v>
      </c>
      <c r="G4353" s="16" t="str">
        <f>VLOOKUP(Table8[[#This Row],[Mã khách hàng]],code_khach_hang[],3,0)</f>
        <v>Miền Nam đặc biệt 1</v>
      </c>
      <c r="H4353" t="str">
        <f>VLOOKUP(Table8[[#This Row],[Mã khách hàng]],'Khách hàng'!A:D,4,0)</f>
        <v>Food Đức Việt</v>
      </c>
      <c r="I4353" t="str">
        <f>VLOOKUP(Table8[[#This Row],[Mã khách hàng]],'Khách hàng'!A:E,5,0)</f>
        <v>HCVG80</v>
      </c>
    </row>
    <row r="4354" spans="1:9" x14ac:dyDescent="0.25">
      <c r="A4354" s="14" t="s">
        <v>13703</v>
      </c>
      <c r="B4354" s="15" t="s">
        <v>5</v>
      </c>
      <c r="C4354" s="16" t="s">
        <v>14829</v>
      </c>
      <c r="D4354" s="21"/>
      <c r="E4354" s="32" t="s">
        <v>15667</v>
      </c>
      <c r="F4354" s="22" t="str">
        <f>VLOOKUP(Table8[[#This Row],[Mã khách hàng]],code_khach_hang[],2,0)</f>
        <v>CÔNG TY CỔ PHẦN DỊCH VỤ THƯƠNG MẠI TỔNG HỢP WINCOMMERCE</v>
      </c>
      <c r="G4354" s="16" t="str">
        <f>VLOOKUP(Table8[[#This Row],[Mã khách hàng]],code_khach_hang[],3,0)</f>
        <v>Miền Nam đặc biệt 1</v>
      </c>
      <c r="H4354" t="str">
        <f>VLOOKUP(Table8[[#This Row],[Mã khách hàng]],'Khách hàng'!A:D,4,0)</f>
        <v>Food Đức Việt</v>
      </c>
      <c r="I4354" t="str">
        <f>VLOOKUP(Table8[[#This Row],[Mã khách hàng]],'Khách hàng'!A:E,5,0)</f>
        <v>HCVG80</v>
      </c>
    </row>
    <row r="4355" spans="1:9" x14ac:dyDescent="0.25">
      <c r="A4355" s="14" t="s">
        <v>13704</v>
      </c>
      <c r="B4355" s="15" t="s">
        <v>5</v>
      </c>
      <c r="C4355" s="16" t="s">
        <v>14830</v>
      </c>
      <c r="D4355" s="21"/>
      <c r="E4355" s="32" t="s">
        <v>15667</v>
      </c>
      <c r="F4355" s="22" t="str">
        <f>VLOOKUP(Table8[[#This Row],[Mã khách hàng]],code_khach_hang[],2,0)</f>
        <v>CÔNG TY CỔ PHẦN DỊCH VỤ THƯƠNG MẠI TỔNG HỢP WINCOMMERCE</v>
      </c>
      <c r="G4355" s="16" t="str">
        <f>VLOOKUP(Table8[[#This Row],[Mã khách hàng]],code_khach_hang[],3,0)</f>
        <v>Miền Nam đặc biệt 1</v>
      </c>
      <c r="H4355" t="str">
        <f>VLOOKUP(Table8[[#This Row],[Mã khách hàng]],'Khách hàng'!A:D,4,0)</f>
        <v>Food Đức Việt</v>
      </c>
      <c r="I4355" t="str">
        <f>VLOOKUP(Table8[[#This Row],[Mã khách hàng]],'Khách hàng'!A:E,5,0)</f>
        <v>HCVG80</v>
      </c>
    </row>
    <row r="4356" spans="1:9" x14ac:dyDescent="0.25">
      <c r="A4356" s="14" t="s">
        <v>13705</v>
      </c>
      <c r="B4356" s="15" t="s">
        <v>5</v>
      </c>
      <c r="C4356" s="16" t="s">
        <v>14831</v>
      </c>
      <c r="D4356" s="21"/>
      <c r="E4356" s="32" t="s">
        <v>15667</v>
      </c>
      <c r="F4356" s="22" t="str">
        <f>VLOOKUP(Table8[[#This Row],[Mã khách hàng]],code_khach_hang[],2,0)</f>
        <v>CÔNG TY CỔ PHẦN DỊCH VỤ THƯƠNG MẠI TỔNG HỢP WINCOMMERCE</v>
      </c>
      <c r="G4356" s="16" t="str">
        <f>VLOOKUP(Table8[[#This Row],[Mã khách hàng]],code_khach_hang[],3,0)</f>
        <v>Miền Nam đặc biệt 1</v>
      </c>
      <c r="H4356" t="str">
        <f>VLOOKUP(Table8[[#This Row],[Mã khách hàng]],'Khách hàng'!A:D,4,0)</f>
        <v>Food Đức Việt</v>
      </c>
      <c r="I4356" t="str">
        <f>VLOOKUP(Table8[[#This Row],[Mã khách hàng]],'Khách hàng'!A:E,5,0)</f>
        <v>HCVG80</v>
      </c>
    </row>
    <row r="4357" spans="1:9" x14ac:dyDescent="0.25">
      <c r="A4357" s="14" t="s">
        <v>13706</v>
      </c>
      <c r="B4357" s="15" t="s">
        <v>5</v>
      </c>
      <c r="C4357" s="16" t="s">
        <v>14832</v>
      </c>
      <c r="D4357" s="21"/>
      <c r="E4357" s="32" t="s">
        <v>15667</v>
      </c>
      <c r="F4357" s="22" t="str">
        <f>VLOOKUP(Table8[[#This Row],[Mã khách hàng]],code_khach_hang[],2,0)</f>
        <v>CÔNG TY CỔ PHẦN DỊCH VỤ THƯƠNG MẠI TỔNG HỢP WINCOMMERCE</v>
      </c>
      <c r="G4357" s="16" t="str">
        <f>VLOOKUP(Table8[[#This Row],[Mã khách hàng]],code_khach_hang[],3,0)</f>
        <v>Miền Nam đặc biệt 1</v>
      </c>
      <c r="H4357" t="str">
        <f>VLOOKUP(Table8[[#This Row],[Mã khách hàng]],'Khách hàng'!A:D,4,0)</f>
        <v>Food Đức Việt</v>
      </c>
      <c r="I4357" t="str">
        <f>VLOOKUP(Table8[[#This Row],[Mã khách hàng]],'Khách hàng'!A:E,5,0)</f>
        <v>HCVG80</v>
      </c>
    </row>
    <row r="4358" spans="1:9" x14ac:dyDescent="0.25">
      <c r="A4358" s="14" t="s">
        <v>13707</v>
      </c>
      <c r="B4358" s="15" t="s">
        <v>5</v>
      </c>
      <c r="C4358" s="16" t="s">
        <v>14833</v>
      </c>
      <c r="D4358" s="21"/>
      <c r="E4358" s="32" t="s">
        <v>15667</v>
      </c>
      <c r="F4358" s="22" t="str">
        <f>VLOOKUP(Table8[[#This Row],[Mã khách hàng]],code_khach_hang[],2,0)</f>
        <v>CÔNG TY CỔ PHẦN DỊCH VỤ THƯƠNG MẠI TỔNG HỢP WINCOMMERCE</v>
      </c>
      <c r="G4358" s="16" t="str">
        <f>VLOOKUP(Table8[[#This Row],[Mã khách hàng]],code_khach_hang[],3,0)</f>
        <v>Miền Nam đặc biệt 1</v>
      </c>
      <c r="H4358" t="str">
        <f>VLOOKUP(Table8[[#This Row],[Mã khách hàng]],'Khách hàng'!A:D,4,0)</f>
        <v>Food Đức Việt</v>
      </c>
      <c r="I4358" t="str">
        <f>VLOOKUP(Table8[[#This Row],[Mã khách hàng]],'Khách hàng'!A:E,5,0)</f>
        <v>HCVG80</v>
      </c>
    </row>
    <row r="4359" spans="1:9" x14ac:dyDescent="0.25">
      <c r="A4359" s="14" t="s">
        <v>13708</v>
      </c>
      <c r="B4359" s="15" t="s">
        <v>5</v>
      </c>
      <c r="C4359" s="16" t="s">
        <v>14834</v>
      </c>
      <c r="D4359" s="21"/>
      <c r="E4359" s="32" t="s">
        <v>15672</v>
      </c>
      <c r="F4359" s="22" t="str">
        <f>VLOOKUP(Table8[[#This Row],[Mã khách hàng]],code_khach_hang[],2,0)</f>
        <v>CHI NHÁNH AN GIANG - CÔNG TY CỔ PHẦN DỊCH VỤ THƯƠNG MẠI TỔNG HỢP WINCOMMERCE</v>
      </c>
      <c r="G4359" s="16" t="str">
        <f>VLOOKUP(Table8[[#This Row],[Mã khách hàng]],code_khach_hang[],3,0)</f>
        <v>Miền Nam đặc biệt 2</v>
      </c>
      <c r="H4359" t="str">
        <f>VLOOKUP(Table8[[#This Row],[Mã khách hàng]],'Khách hàng'!A:D,4,0)</f>
        <v>Food Đức Việt</v>
      </c>
      <c r="I4359" t="str">
        <f>VLOOKUP(Table8[[#This Row],[Mã khách hàng]],'Khách hàng'!A:E,5,0)</f>
        <v>HC-CT120</v>
      </c>
    </row>
    <row r="4360" spans="1:9" x14ac:dyDescent="0.25">
      <c r="A4360" s="14" t="s">
        <v>13709</v>
      </c>
      <c r="B4360" s="15" t="s">
        <v>5</v>
      </c>
      <c r="C4360" s="16" t="s">
        <v>14835</v>
      </c>
      <c r="D4360" s="21"/>
      <c r="E4360" s="32" t="s">
        <v>15668</v>
      </c>
      <c r="F4360" s="22" t="str">
        <f>VLOOKUP(Table8[[#This Row],[Mã khách hàng]],code_khach_hang[],2,0)</f>
        <v>CHI NHÁNH ĐỒNG NAI - CÔNG TY CỔ PHẦN DỊCH VỤ THƯƠNG MẠI TỔNG HỢP WINCOMMERCE</v>
      </c>
      <c r="G4360" s="16" t="str">
        <f>VLOOKUP(Table8[[#This Row],[Mã khách hàng]],code_khach_hang[],3,0)</f>
        <v>Miền Nam đặc biệt 3</v>
      </c>
      <c r="H4360" t="str">
        <f>VLOOKUP(Table8[[#This Row],[Mã khách hàng]],'Khách hàng'!A:D,4,0)</f>
        <v>Food Đức Việt</v>
      </c>
      <c r="I4360" t="str">
        <f>VLOOKUP(Table8[[#This Row],[Mã khách hàng]],'Khách hàng'!A:E,5,0)</f>
        <v>HCVG80</v>
      </c>
    </row>
    <row r="4361" spans="1:9" x14ac:dyDescent="0.25">
      <c r="A4361" s="14" t="s">
        <v>13710</v>
      </c>
      <c r="B4361" s="15" t="s">
        <v>5</v>
      </c>
      <c r="C4361" s="16" t="s">
        <v>14836</v>
      </c>
      <c r="D4361" s="21"/>
      <c r="E4361" s="32" t="s">
        <v>15667</v>
      </c>
      <c r="F4361" s="22" t="str">
        <f>VLOOKUP(Table8[[#This Row],[Mã khách hàng]],code_khach_hang[],2,0)</f>
        <v>CÔNG TY CỔ PHẦN DỊCH VỤ THƯƠNG MẠI TỔNG HỢP WINCOMMERCE</v>
      </c>
      <c r="G4361" s="16" t="str">
        <f>VLOOKUP(Table8[[#This Row],[Mã khách hàng]],code_khach_hang[],3,0)</f>
        <v>Miền Nam đặc biệt 1</v>
      </c>
      <c r="H4361" t="str">
        <f>VLOOKUP(Table8[[#This Row],[Mã khách hàng]],'Khách hàng'!A:D,4,0)</f>
        <v>Food Đức Việt</v>
      </c>
      <c r="I4361" t="str">
        <f>VLOOKUP(Table8[[#This Row],[Mã khách hàng]],'Khách hàng'!A:E,5,0)</f>
        <v>HCVG80</v>
      </c>
    </row>
    <row r="4362" spans="1:9" x14ac:dyDescent="0.25">
      <c r="A4362" s="14" t="s">
        <v>13711</v>
      </c>
      <c r="B4362" s="15" t="s">
        <v>5</v>
      </c>
      <c r="C4362" s="16" t="s">
        <v>14837</v>
      </c>
      <c r="D4362" s="21"/>
      <c r="E4362" s="32" t="s">
        <v>15667</v>
      </c>
      <c r="F4362" s="22" t="str">
        <f>VLOOKUP(Table8[[#This Row],[Mã khách hàng]],code_khach_hang[],2,0)</f>
        <v>CÔNG TY CỔ PHẦN DỊCH VỤ THƯƠNG MẠI TỔNG HỢP WINCOMMERCE</v>
      </c>
      <c r="G4362" s="16" t="str">
        <f>VLOOKUP(Table8[[#This Row],[Mã khách hàng]],code_khach_hang[],3,0)</f>
        <v>Miền Nam đặc biệt 1</v>
      </c>
      <c r="H4362" t="str">
        <f>VLOOKUP(Table8[[#This Row],[Mã khách hàng]],'Khách hàng'!A:D,4,0)</f>
        <v>Food Đức Việt</v>
      </c>
      <c r="I4362" t="str">
        <f>VLOOKUP(Table8[[#This Row],[Mã khách hàng]],'Khách hàng'!A:E,5,0)</f>
        <v>HCVG80</v>
      </c>
    </row>
    <row r="4363" spans="1:9" x14ac:dyDescent="0.25">
      <c r="A4363" s="14" t="s">
        <v>13712</v>
      </c>
      <c r="B4363" s="15" t="s">
        <v>5</v>
      </c>
      <c r="C4363" s="16" t="s">
        <v>14838</v>
      </c>
      <c r="D4363" s="21"/>
      <c r="E4363" s="32" t="s">
        <v>15668</v>
      </c>
      <c r="F4363" s="22" t="str">
        <f>VLOOKUP(Table8[[#This Row],[Mã khách hàng]],code_khach_hang[],2,0)</f>
        <v>CHI NHÁNH ĐỒNG NAI - CÔNG TY CỔ PHẦN DỊCH VỤ THƯƠNG MẠI TỔNG HỢP WINCOMMERCE</v>
      </c>
      <c r="G4363" s="16" t="str">
        <f>VLOOKUP(Table8[[#This Row],[Mã khách hàng]],code_khach_hang[],3,0)</f>
        <v>Miền Nam đặc biệt 3</v>
      </c>
      <c r="H4363" t="str">
        <f>VLOOKUP(Table8[[#This Row],[Mã khách hàng]],'Khách hàng'!A:D,4,0)</f>
        <v>Food Đức Việt</v>
      </c>
      <c r="I4363" t="str">
        <f>VLOOKUP(Table8[[#This Row],[Mã khách hàng]],'Khách hàng'!A:E,5,0)</f>
        <v>HCVG80</v>
      </c>
    </row>
    <row r="4364" spans="1:9" x14ac:dyDescent="0.25">
      <c r="A4364" s="14" t="s">
        <v>13713</v>
      </c>
      <c r="B4364" s="15" t="s">
        <v>5</v>
      </c>
      <c r="C4364" s="16" t="s">
        <v>14839</v>
      </c>
      <c r="D4364" s="21"/>
      <c r="E4364" s="32" t="s">
        <v>15667</v>
      </c>
      <c r="F4364" s="22" t="str">
        <f>VLOOKUP(Table8[[#This Row],[Mã khách hàng]],code_khach_hang[],2,0)</f>
        <v>CÔNG TY CỔ PHẦN DỊCH VỤ THƯƠNG MẠI TỔNG HỢP WINCOMMERCE</v>
      </c>
      <c r="G4364" s="16" t="str">
        <f>VLOOKUP(Table8[[#This Row],[Mã khách hàng]],code_khach_hang[],3,0)</f>
        <v>Miền Nam đặc biệt 1</v>
      </c>
      <c r="H4364" t="str">
        <f>VLOOKUP(Table8[[#This Row],[Mã khách hàng]],'Khách hàng'!A:D,4,0)</f>
        <v>Food Đức Việt</v>
      </c>
      <c r="I4364" t="str">
        <f>VLOOKUP(Table8[[#This Row],[Mã khách hàng]],'Khách hàng'!A:E,5,0)</f>
        <v>HCVG80</v>
      </c>
    </row>
    <row r="4365" spans="1:9" x14ac:dyDescent="0.25">
      <c r="A4365" s="14" t="s">
        <v>13714</v>
      </c>
      <c r="B4365" s="15" t="s">
        <v>5</v>
      </c>
      <c r="C4365" s="16" t="s">
        <v>14840</v>
      </c>
      <c r="D4365" s="21"/>
      <c r="E4365" s="32" t="s">
        <v>15667</v>
      </c>
      <c r="F4365" s="22" t="str">
        <f>VLOOKUP(Table8[[#This Row],[Mã khách hàng]],code_khach_hang[],2,0)</f>
        <v>CÔNG TY CỔ PHẦN DỊCH VỤ THƯƠNG MẠI TỔNG HỢP WINCOMMERCE</v>
      </c>
      <c r="G4365" s="16" t="str">
        <f>VLOOKUP(Table8[[#This Row],[Mã khách hàng]],code_khach_hang[],3,0)</f>
        <v>Miền Nam đặc biệt 1</v>
      </c>
      <c r="H4365" t="str">
        <f>VLOOKUP(Table8[[#This Row],[Mã khách hàng]],'Khách hàng'!A:D,4,0)</f>
        <v>Food Đức Việt</v>
      </c>
      <c r="I4365" t="str">
        <f>VLOOKUP(Table8[[#This Row],[Mã khách hàng]],'Khách hàng'!A:E,5,0)</f>
        <v>HCVG80</v>
      </c>
    </row>
    <row r="4366" spans="1:9" x14ac:dyDescent="0.25">
      <c r="A4366" s="14" t="s">
        <v>13715</v>
      </c>
      <c r="B4366" s="15" t="s">
        <v>5</v>
      </c>
      <c r="C4366" s="16" t="s">
        <v>14841</v>
      </c>
      <c r="D4366" s="21"/>
      <c r="E4366" s="32" t="s">
        <v>15667</v>
      </c>
      <c r="F4366" s="22" t="str">
        <f>VLOOKUP(Table8[[#This Row],[Mã khách hàng]],code_khach_hang[],2,0)</f>
        <v>CÔNG TY CỔ PHẦN DỊCH VỤ THƯƠNG MẠI TỔNG HỢP WINCOMMERCE</v>
      </c>
      <c r="G4366" s="16" t="str">
        <f>VLOOKUP(Table8[[#This Row],[Mã khách hàng]],code_khach_hang[],3,0)</f>
        <v>Miền Nam đặc biệt 1</v>
      </c>
      <c r="H4366" t="str">
        <f>VLOOKUP(Table8[[#This Row],[Mã khách hàng]],'Khách hàng'!A:D,4,0)</f>
        <v>Food Đức Việt</v>
      </c>
      <c r="I4366" t="str">
        <f>VLOOKUP(Table8[[#This Row],[Mã khách hàng]],'Khách hàng'!A:E,5,0)</f>
        <v>HCVG80</v>
      </c>
    </row>
    <row r="4367" spans="1:9" x14ac:dyDescent="0.25">
      <c r="A4367" s="14" t="s">
        <v>13716</v>
      </c>
      <c r="B4367" s="15" t="s">
        <v>5</v>
      </c>
      <c r="C4367" s="16" t="s">
        <v>14842</v>
      </c>
      <c r="D4367" s="21"/>
      <c r="E4367" s="32" t="s">
        <v>15667</v>
      </c>
      <c r="F4367" s="22" t="str">
        <f>VLOOKUP(Table8[[#This Row],[Mã khách hàng]],code_khach_hang[],2,0)</f>
        <v>CÔNG TY CỔ PHẦN DỊCH VỤ THƯƠNG MẠI TỔNG HỢP WINCOMMERCE</v>
      </c>
      <c r="G4367" s="16" t="str">
        <f>VLOOKUP(Table8[[#This Row],[Mã khách hàng]],code_khach_hang[],3,0)</f>
        <v>Miền Nam đặc biệt 1</v>
      </c>
      <c r="H4367" t="str">
        <f>VLOOKUP(Table8[[#This Row],[Mã khách hàng]],'Khách hàng'!A:D,4,0)</f>
        <v>Food Đức Việt</v>
      </c>
      <c r="I4367" t="str">
        <f>VLOOKUP(Table8[[#This Row],[Mã khách hàng]],'Khách hàng'!A:E,5,0)</f>
        <v>HCVG80</v>
      </c>
    </row>
    <row r="4368" spans="1:9" x14ac:dyDescent="0.25">
      <c r="A4368" s="14" t="s">
        <v>13717</v>
      </c>
      <c r="B4368" s="15" t="s">
        <v>5</v>
      </c>
      <c r="C4368" s="16" t="s">
        <v>14843</v>
      </c>
      <c r="D4368" s="21"/>
      <c r="E4368" s="32" t="s">
        <v>15669</v>
      </c>
      <c r="F4368" s="22" t="str">
        <f>VLOOKUP(Table8[[#This Row],[Mã khách hàng]],code_khach_hang[],2,0)</f>
        <v>CHI NHÁNH CẦN THƠ - CÔNG TY CỔ PHẦN DỊCH VỤ THƯƠNG MẠI TỔNG HỢP WINCOMMERCE</v>
      </c>
      <c r="G4368" s="16" t="str">
        <f>VLOOKUP(Table8[[#This Row],[Mã khách hàng]],code_khach_hang[],3,0)</f>
        <v>Miền Nam đặc biệt 2</v>
      </c>
      <c r="H4368" t="str">
        <f>VLOOKUP(Table8[[#This Row],[Mã khách hàng]],'Khách hàng'!A:D,4,0)</f>
        <v>Food Đức Việt</v>
      </c>
      <c r="I4368" t="str">
        <f>VLOOKUP(Table8[[#This Row],[Mã khách hàng]],'Khách hàng'!A:E,5,0)</f>
        <v>HC-CT120</v>
      </c>
    </row>
    <row r="4369" spans="1:9" x14ac:dyDescent="0.25">
      <c r="A4369" s="14" t="s">
        <v>13718</v>
      </c>
      <c r="B4369" s="15" t="s">
        <v>5</v>
      </c>
      <c r="C4369" s="16" t="s">
        <v>14844</v>
      </c>
      <c r="D4369" s="21"/>
      <c r="E4369" s="32" t="s">
        <v>15669</v>
      </c>
      <c r="F4369" s="22" t="str">
        <f>VLOOKUP(Table8[[#This Row],[Mã khách hàng]],code_khach_hang[],2,0)</f>
        <v>CHI NHÁNH CẦN THƠ - CÔNG TY CỔ PHẦN DỊCH VỤ THƯƠNG MẠI TỔNG HỢP WINCOMMERCE</v>
      </c>
      <c r="G4369" s="16" t="str">
        <f>VLOOKUP(Table8[[#This Row],[Mã khách hàng]],code_khach_hang[],3,0)</f>
        <v>Miền Nam đặc biệt 2</v>
      </c>
      <c r="H4369" t="str">
        <f>VLOOKUP(Table8[[#This Row],[Mã khách hàng]],'Khách hàng'!A:D,4,0)</f>
        <v>Food Đức Việt</v>
      </c>
      <c r="I4369" t="str">
        <f>VLOOKUP(Table8[[#This Row],[Mã khách hàng]],'Khách hàng'!A:E,5,0)</f>
        <v>HC-CT120</v>
      </c>
    </row>
    <row r="4370" spans="1:9" x14ac:dyDescent="0.25">
      <c r="A4370" s="14" t="s">
        <v>13719</v>
      </c>
      <c r="B4370" s="15" t="s">
        <v>5</v>
      </c>
      <c r="C4370" s="16" t="s">
        <v>14845</v>
      </c>
      <c r="D4370" s="21"/>
      <c r="E4370" s="32" t="s">
        <v>15669</v>
      </c>
      <c r="F4370" s="22" t="str">
        <f>VLOOKUP(Table8[[#This Row],[Mã khách hàng]],code_khach_hang[],2,0)</f>
        <v>CHI NHÁNH CẦN THƠ - CÔNG TY CỔ PHẦN DỊCH VỤ THƯƠNG MẠI TỔNG HỢP WINCOMMERCE</v>
      </c>
      <c r="G4370" s="16" t="str">
        <f>VLOOKUP(Table8[[#This Row],[Mã khách hàng]],code_khach_hang[],3,0)</f>
        <v>Miền Nam đặc biệt 2</v>
      </c>
      <c r="H4370" t="str">
        <f>VLOOKUP(Table8[[#This Row],[Mã khách hàng]],'Khách hàng'!A:D,4,0)</f>
        <v>Food Đức Việt</v>
      </c>
      <c r="I4370" t="str">
        <f>VLOOKUP(Table8[[#This Row],[Mã khách hàng]],'Khách hàng'!A:E,5,0)</f>
        <v>HC-CT120</v>
      </c>
    </row>
    <row r="4371" spans="1:9" x14ac:dyDescent="0.25">
      <c r="A4371" s="14" t="s">
        <v>13720</v>
      </c>
      <c r="B4371" s="15" t="s">
        <v>5</v>
      </c>
      <c r="C4371" s="16" t="s">
        <v>14846</v>
      </c>
      <c r="D4371" s="21"/>
      <c r="E4371" s="32" t="s">
        <v>15667</v>
      </c>
      <c r="F4371" s="22" t="str">
        <f>VLOOKUP(Table8[[#This Row],[Mã khách hàng]],code_khach_hang[],2,0)</f>
        <v>CÔNG TY CỔ PHẦN DỊCH VỤ THƯƠNG MẠI TỔNG HỢP WINCOMMERCE</v>
      </c>
      <c r="G4371" s="16" t="str">
        <f>VLOOKUP(Table8[[#This Row],[Mã khách hàng]],code_khach_hang[],3,0)</f>
        <v>Miền Nam đặc biệt 1</v>
      </c>
      <c r="H4371" t="str">
        <f>VLOOKUP(Table8[[#This Row],[Mã khách hàng]],'Khách hàng'!A:D,4,0)</f>
        <v>Food Đức Việt</v>
      </c>
      <c r="I4371" t="str">
        <f>VLOOKUP(Table8[[#This Row],[Mã khách hàng]],'Khách hàng'!A:E,5,0)</f>
        <v>HCVG80</v>
      </c>
    </row>
    <row r="4372" spans="1:9" x14ac:dyDescent="0.25">
      <c r="A4372" s="14" t="s">
        <v>13721</v>
      </c>
      <c r="B4372" s="15" t="s">
        <v>5</v>
      </c>
      <c r="C4372" s="16" t="s">
        <v>14847</v>
      </c>
      <c r="D4372" s="21"/>
      <c r="E4372" s="32" t="s">
        <v>15670</v>
      </c>
      <c r="F4372" s="22" t="str">
        <f>VLOOKUP(Table8[[#This Row],[Mã khách hàng]],code_khach_hang[],2,0)</f>
        <v>CHI NHÁNH TIỀN GIANG - CÔNG TY CỔ PHẦN DỊCH VỤ THƯƠNG MẠI TỔNG HỢP WINCOMMERCE</v>
      </c>
      <c r="G4372" s="16" t="str">
        <f>VLOOKUP(Table8[[#This Row],[Mã khách hàng]],code_khach_hang[],3,0)</f>
        <v>Miền Nam đặc biệt 1</v>
      </c>
      <c r="H4372" t="str">
        <f>VLOOKUP(Table8[[#This Row],[Mã khách hàng]],'Khách hàng'!A:D,4,0)</f>
        <v>Food Đức Việt</v>
      </c>
      <c r="I4372" t="str">
        <f>VLOOKUP(Table8[[#This Row],[Mã khách hàng]],'Khách hàng'!A:E,5,0)</f>
        <v>HCVG80</v>
      </c>
    </row>
    <row r="4373" spans="1:9" x14ac:dyDescent="0.25">
      <c r="A4373" s="14" t="s">
        <v>13722</v>
      </c>
      <c r="B4373" s="15" t="s">
        <v>5</v>
      </c>
      <c r="C4373" s="16" t="s">
        <v>14848</v>
      </c>
      <c r="D4373" s="21"/>
      <c r="E4373" s="32" t="s">
        <v>15676</v>
      </c>
      <c r="F4373" s="22" t="str">
        <f>VLOOKUP(Table8[[#This Row],[Mã khách hàng]],code_khach_hang[],2,0)</f>
        <v>CHI NHÁNH KIÊN GIANG - CÔNG TY CỔ PHẦN DỊCH VỤ THƯƠNG MẠI TỔNG HỢP WINCOMMERCE</v>
      </c>
      <c r="G4373" s="16" t="str">
        <f>VLOOKUP(Table8[[#This Row],[Mã khách hàng]],code_khach_hang[],3,0)</f>
        <v>Miền Nam đặc biệt 2</v>
      </c>
      <c r="H4373" t="str">
        <f>VLOOKUP(Table8[[#This Row],[Mã khách hàng]],'Khách hàng'!A:D,4,0)</f>
        <v>Food Đức Việt</v>
      </c>
      <c r="I4373" t="str">
        <f>VLOOKUP(Table8[[#This Row],[Mã khách hàng]],'Khách hàng'!A:E,5,0)</f>
        <v>HC-CT120</v>
      </c>
    </row>
    <row r="4374" spans="1:9" x14ac:dyDescent="0.25">
      <c r="A4374" s="14" t="s">
        <v>13723</v>
      </c>
      <c r="B4374" s="15" t="s">
        <v>5</v>
      </c>
      <c r="C4374" s="16" t="s">
        <v>14849</v>
      </c>
      <c r="D4374" s="21"/>
      <c r="E4374" s="32" t="s">
        <v>15676</v>
      </c>
      <c r="F4374" s="22" t="str">
        <f>VLOOKUP(Table8[[#This Row],[Mã khách hàng]],code_khach_hang[],2,0)</f>
        <v>CHI NHÁNH KIÊN GIANG - CÔNG TY CỔ PHẦN DỊCH VỤ THƯƠNG MẠI TỔNG HỢP WINCOMMERCE</v>
      </c>
      <c r="G4374" s="16" t="str">
        <f>VLOOKUP(Table8[[#This Row],[Mã khách hàng]],code_khach_hang[],3,0)</f>
        <v>Miền Nam đặc biệt 2</v>
      </c>
      <c r="H4374" t="str">
        <f>VLOOKUP(Table8[[#This Row],[Mã khách hàng]],'Khách hàng'!A:D,4,0)</f>
        <v>Food Đức Việt</v>
      </c>
      <c r="I4374" t="str">
        <f>VLOOKUP(Table8[[#This Row],[Mã khách hàng]],'Khách hàng'!A:E,5,0)</f>
        <v>HC-CT120</v>
      </c>
    </row>
    <row r="4375" spans="1:9" x14ac:dyDescent="0.25">
      <c r="A4375" s="14" t="s">
        <v>13724</v>
      </c>
      <c r="B4375" s="15" t="s">
        <v>5</v>
      </c>
      <c r="C4375" s="16" t="s">
        <v>14850</v>
      </c>
      <c r="D4375" s="21"/>
      <c r="E4375" s="32" t="s">
        <v>15668</v>
      </c>
      <c r="F4375" s="22" t="str">
        <f>VLOOKUP(Table8[[#This Row],[Mã khách hàng]],code_khach_hang[],2,0)</f>
        <v>CHI NHÁNH ĐỒNG NAI - CÔNG TY CỔ PHẦN DỊCH VỤ THƯƠNG MẠI TỔNG HỢP WINCOMMERCE</v>
      </c>
      <c r="G4375" s="16" t="str">
        <f>VLOOKUP(Table8[[#This Row],[Mã khách hàng]],code_khach_hang[],3,0)</f>
        <v>Miền Nam đặc biệt 3</v>
      </c>
      <c r="H4375" t="str">
        <f>VLOOKUP(Table8[[#This Row],[Mã khách hàng]],'Khách hàng'!A:D,4,0)</f>
        <v>Food Đức Việt</v>
      </c>
      <c r="I4375" t="str">
        <f>VLOOKUP(Table8[[#This Row],[Mã khách hàng]],'Khách hàng'!A:E,5,0)</f>
        <v>HCVG80</v>
      </c>
    </row>
    <row r="4376" spans="1:9" x14ac:dyDescent="0.25">
      <c r="A4376" s="14" t="s">
        <v>13725</v>
      </c>
      <c r="B4376" s="15" t="s">
        <v>5</v>
      </c>
      <c r="C4376" s="16" t="s">
        <v>14851</v>
      </c>
      <c r="D4376" s="21"/>
      <c r="E4376" s="32" t="s">
        <v>15670</v>
      </c>
      <c r="F4376" s="22" t="str">
        <f>VLOOKUP(Table8[[#This Row],[Mã khách hàng]],code_khach_hang[],2,0)</f>
        <v>CHI NHÁNH TIỀN GIANG - CÔNG TY CỔ PHẦN DỊCH VỤ THƯƠNG MẠI TỔNG HỢP WINCOMMERCE</v>
      </c>
      <c r="G4376" s="16" t="str">
        <f>VLOOKUP(Table8[[#This Row],[Mã khách hàng]],code_khach_hang[],3,0)</f>
        <v>Miền Nam đặc biệt 1</v>
      </c>
      <c r="H4376" t="str">
        <f>VLOOKUP(Table8[[#This Row],[Mã khách hàng]],'Khách hàng'!A:D,4,0)</f>
        <v>Food Đức Việt</v>
      </c>
      <c r="I4376" t="str">
        <f>VLOOKUP(Table8[[#This Row],[Mã khách hàng]],'Khách hàng'!A:E,5,0)</f>
        <v>HCVG80</v>
      </c>
    </row>
    <row r="4377" spans="1:9" x14ac:dyDescent="0.25">
      <c r="A4377" s="14" t="s">
        <v>13726</v>
      </c>
      <c r="B4377" s="15" t="s">
        <v>5</v>
      </c>
      <c r="C4377" s="16" t="s">
        <v>14852</v>
      </c>
      <c r="D4377" s="21"/>
      <c r="E4377" s="32" t="s">
        <v>15671</v>
      </c>
      <c r="F4377" s="22" t="str">
        <f>VLOOKUP(Table8[[#This Row],[Mã khách hàng]],code_khach_hang[],2,0)</f>
        <v>CHI NHÁNH BÌNH DƯƠNG - CÔNG TY CỔ PHẦN DỊCH VỤ THƯƠNG MẠI TỔNG HỢP WINCOMMERCE</v>
      </c>
      <c r="G4377" s="16" t="str">
        <f>VLOOKUP(Table8[[#This Row],[Mã khách hàng]],code_khach_hang[],3,0)</f>
        <v>Miền Nam đặc biệt 1</v>
      </c>
      <c r="H4377" t="str">
        <f>VLOOKUP(Table8[[#This Row],[Mã khách hàng]],'Khách hàng'!A:D,4,0)</f>
        <v>Food Đức Việt</v>
      </c>
      <c r="I4377" t="str">
        <f>VLOOKUP(Table8[[#This Row],[Mã khách hàng]],'Khách hàng'!A:E,5,0)</f>
        <v>HCVG80</v>
      </c>
    </row>
    <row r="4378" spans="1:9" x14ac:dyDescent="0.25">
      <c r="A4378" s="14" t="s">
        <v>13727</v>
      </c>
      <c r="B4378" s="15" t="s">
        <v>5</v>
      </c>
      <c r="C4378" s="16" t="s">
        <v>14853</v>
      </c>
      <c r="D4378" s="21"/>
      <c r="E4378" s="32" t="s">
        <v>15667</v>
      </c>
      <c r="F4378" s="22" t="str">
        <f>VLOOKUP(Table8[[#This Row],[Mã khách hàng]],code_khach_hang[],2,0)</f>
        <v>CÔNG TY CỔ PHẦN DỊCH VỤ THƯƠNG MẠI TỔNG HỢP WINCOMMERCE</v>
      </c>
      <c r="G4378" s="16" t="str">
        <f>VLOOKUP(Table8[[#This Row],[Mã khách hàng]],code_khach_hang[],3,0)</f>
        <v>Miền Nam đặc biệt 1</v>
      </c>
      <c r="H4378" t="str">
        <f>VLOOKUP(Table8[[#This Row],[Mã khách hàng]],'Khách hàng'!A:D,4,0)</f>
        <v>Food Đức Việt</v>
      </c>
      <c r="I4378" t="str">
        <f>VLOOKUP(Table8[[#This Row],[Mã khách hàng]],'Khách hàng'!A:E,5,0)</f>
        <v>HCVG80</v>
      </c>
    </row>
    <row r="4379" spans="1:9" x14ac:dyDescent="0.25">
      <c r="A4379" s="14" t="s">
        <v>13728</v>
      </c>
      <c r="B4379" s="15" t="s">
        <v>5</v>
      </c>
      <c r="C4379" s="16" t="s">
        <v>14854</v>
      </c>
      <c r="D4379" s="21"/>
      <c r="E4379" s="32" t="s">
        <v>15674</v>
      </c>
      <c r="F4379" s="22" t="str">
        <f>VLOOKUP(Table8[[#This Row],[Mã khách hàng]],code_khach_hang[],2,0)</f>
        <v>CHI NHÁNH LONG AN - CÔNG TY CỔ PHẦN DỊCH VỤ THƯƠNG MẠI TỔNG HỢP WINCOMMERCE</v>
      </c>
      <c r="G4379" s="16" t="str">
        <f>VLOOKUP(Table8[[#This Row],[Mã khách hàng]],code_khach_hang[],3,0)</f>
        <v>Miền Nam đặc biệt 2</v>
      </c>
      <c r="H4379" t="str">
        <f>VLOOKUP(Table8[[#This Row],[Mã khách hàng]],'Khách hàng'!A:D,4,0)</f>
        <v>Food Đức Việt</v>
      </c>
      <c r="I4379" t="str">
        <f>VLOOKUP(Table8[[#This Row],[Mã khách hàng]],'Khách hàng'!A:E,5,0)</f>
        <v>HCVG80</v>
      </c>
    </row>
    <row r="4380" spans="1:9" x14ac:dyDescent="0.25">
      <c r="A4380" s="14" t="s">
        <v>13729</v>
      </c>
      <c r="B4380" s="15" t="s">
        <v>5</v>
      </c>
      <c r="C4380" s="16" t="s">
        <v>14855</v>
      </c>
      <c r="D4380" s="21"/>
      <c r="E4380" s="32" t="s">
        <v>15669</v>
      </c>
      <c r="F4380" s="22" t="str">
        <f>VLOOKUP(Table8[[#This Row],[Mã khách hàng]],code_khach_hang[],2,0)</f>
        <v>CHI NHÁNH CẦN THƠ - CÔNG TY CỔ PHẦN DỊCH VỤ THƯƠNG MẠI TỔNG HỢP WINCOMMERCE</v>
      </c>
      <c r="G4380" s="16" t="str">
        <f>VLOOKUP(Table8[[#This Row],[Mã khách hàng]],code_khach_hang[],3,0)</f>
        <v>Miền Nam đặc biệt 2</v>
      </c>
      <c r="H4380" t="str">
        <f>VLOOKUP(Table8[[#This Row],[Mã khách hàng]],'Khách hàng'!A:D,4,0)</f>
        <v>Food Đức Việt</v>
      </c>
      <c r="I4380" t="str">
        <f>VLOOKUP(Table8[[#This Row],[Mã khách hàng]],'Khách hàng'!A:E,5,0)</f>
        <v>HC-CT120</v>
      </c>
    </row>
    <row r="4381" spans="1:9" x14ac:dyDescent="0.25">
      <c r="A4381" s="14" t="s">
        <v>13730</v>
      </c>
      <c r="B4381" s="15" t="s">
        <v>5</v>
      </c>
      <c r="C4381" s="16" t="s">
        <v>14856</v>
      </c>
      <c r="D4381" s="21"/>
      <c r="E4381" s="32" t="s">
        <v>15671</v>
      </c>
      <c r="F4381" s="22" t="str">
        <f>VLOOKUP(Table8[[#This Row],[Mã khách hàng]],code_khach_hang[],2,0)</f>
        <v>CHI NHÁNH BÌNH DƯƠNG - CÔNG TY CỔ PHẦN DỊCH VỤ THƯƠNG MẠI TỔNG HỢP WINCOMMERCE</v>
      </c>
      <c r="G4381" s="16" t="str">
        <f>VLOOKUP(Table8[[#This Row],[Mã khách hàng]],code_khach_hang[],3,0)</f>
        <v>Miền Nam đặc biệt 1</v>
      </c>
      <c r="H4381" t="str">
        <f>VLOOKUP(Table8[[#This Row],[Mã khách hàng]],'Khách hàng'!A:D,4,0)</f>
        <v>Food Đức Việt</v>
      </c>
      <c r="I4381" t="str">
        <f>VLOOKUP(Table8[[#This Row],[Mã khách hàng]],'Khách hàng'!A:E,5,0)</f>
        <v>HCVG80</v>
      </c>
    </row>
    <row r="4382" spans="1:9" x14ac:dyDescent="0.25">
      <c r="A4382" s="14" t="s">
        <v>13731</v>
      </c>
      <c r="B4382" s="15" t="s">
        <v>5</v>
      </c>
      <c r="C4382" s="16" t="s">
        <v>14857</v>
      </c>
      <c r="D4382" s="21"/>
      <c r="E4382" s="32" t="s">
        <v>15676</v>
      </c>
      <c r="F4382" s="22" t="str">
        <f>VLOOKUP(Table8[[#This Row],[Mã khách hàng]],code_khach_hang[],2,0)</f>
        <v>CHI NHÁNH KIÊN GIANG - CÔNG TY CỔ PHẦN DỊCH VỤ THƯƠNG MẠI TỔNG HỢP WINCOMMERCE</v>
      </c>
      <c r="G4382" s="16" t="str">
        <f>VLOOKUP(Table8[[#This Row],[Mã khách hàng]],code_khach_hang[],3,0)</f>
        <v>Miền Nam đặc biệt 2</v>
      </c>
      <c r="H4382" t="str">
        <f>VLOOKUP(Table8[[#This Row],[Mã khách hàng]],'Khách hàng'!A:D,4,0)</f>
        <v>Food Đức Việt</v>
      </c>
      <c r="I4382" t="str">
        <f>VLOOKUP(Table8[[#This Row],[Mã khách hàng]],'Khách hàng'!A:E,5,0)</f>
        <v>HC-CT120</v>
      </c>
    </row>
    <row r="4383" spans="1:9" x14ac:dyDescent="0.25">
      <c r="A4383" s="14" t="s">
        <v>13732</v>
      </c>
      <c r="B4383" s="15" t="s">
        <v>5</v>
      </c>
      <c r="C4383" s="16" t="s">
        <v>14858</v>
      </c>
      <c r="D4383" s="21"/>
      <c r="E4383" s="32" t="s">
        <v>15667</v>
      </c>
      <c r="F4383" s="22" t="str">
        <f>VLOOKUP(Table8[[#This Row],[Mã khách hàng]],code_khach_hang[],2,0)</f>
        <v>CÔNG TY CỔ PHẦN DỊCH VỤ THƯƠNG MẠI TỔNG HỢP WINCOMMERCE</v>
      </c>
      <c r="G4383" s="16" t="str">
        <f>VLOOKUP(Table8[[#This Row],[Mã khách hàng]],code_khach_hang[],3,0)</f>
        <v>Miền Nam đặc biệt 1</v>
      </c>
      <c r="H4383" t="str">
        <f>VLOOKUP(Table8[[#This Row],[Mã khách hàng]],'Khách hàng'!A:D,4,0)</f>
        <v>Food Đức Việt</v>
      </c>
      <c r="I4383" t="str">
        <f>VLOOKUP(Table8[[#This Row],[Mã khách hàng]],'Khách hàng'!A:E,5,0)</f>
        <v>HCVG80</v>
      </c>
    </row>
    <row r="4384" spans="1:9" x14ac:dyDescent="0.25">
      <c r="A4384" s="14" t="s">
        <v>13733</v>
      </c>
      <c r="B4384" s="15" t="s">
        <v>5</v>
      </c>
      <c r="C4384" s="16" t="s">
        <v>14859</v>
      </c>
      <c r="D4384" s="21"/>
      <c r="E4384" s="32" t="s">
        <v>15667</v>
      </c>
      <c r="F4384" s="22" t="str">
        <f>VLOOKUP(Table8[[#This Row],[Mã khách hàng]],code_khach_hang[],2,0)</f>
        <v>CÔNG TY CỔ PHẦN DỊCH VỤ THƯƠNG MẠI TỔNG HỢP WINCOMMERCE</v>
      </c>
      <c r="G4384" s="16" t="str">
        <f>VLOOKUP(Table8[[#This Row],[Mã khách hàng]],code_khach_hang[],3,0)</f>
        <v>Miền Nam đặc biệt 1</v>
      </c>
      <c r="H4384" t="str">
        <f>VLOOKUP(Table8[[#This Row],[Mã khách hàng]],'Khách hàng'!A:D,4,0)</f>
        <v>Food Đức Việt</v>
      </c>
      <c r="I4384" t="str">
        <f>VLOOKUP(Table8[[#This Row],[Mã khách hàng]],'Khách hàng'!A:E,5,0)</f>
        <v>HCVG80</v>
      </c>
    </row>
    <row r="4385" spans="1:9" x14ac:dyDescent="0.25">
      <c r="A4385" s="14" t="s">
        <v>13734</v>
      </c>
      <c r="B4385" s="15" t="s">
        <v>5</v>
      </c>
      <c r="C4385" s="16" t="s">
        <v>14860</v>
      </c>
      <c r="D4385" s="21"/>
      <c r="E4385" s="32" t="s">
        <v>15667</v>
      </c>
      <c r="F4385" s="22" t="str">
        <f>VLOOKUP(Table8[[#This Row],[Mã khách hàng]],code_khach_hang[],2,0)</f>
        <v>CÔNG TY CỔ PHẦN DỊCH VỤ THƯƠNG MẠI TỔNG HỢP WINCOMMERCE</v>
      </c>
      <c r="G4385" s="16" t="str">
        <f>VLOOKUP(Table8[[#This Row],[Mã khách hàng]],code_khach_hang[],3,0)</f>
        <v>Miền Nam đặc biệt 1</v>
      </c>
      <c r="H4385" t="str">
        <f>VLOOKUP(Table8[[#This Row],[Mã khách hàng]],'Khách hàng'!A:D,4,0)</f>
        <v>Food Đức Việt</v>
      </c>
      <c r="I4385" t="str">
        <f>VLOOKUP(Table8[[#This Row],[Mã khách hàng]],'Khách hàng'!A:E,5,0)</f>
        <v>HCVG80</v>
      </c>
    </row>
    <row r="4386" spans="1:9" x14ac:dyDescent="0.25">
      <c r="A4386" s="14" t="s">
        <v>13735</v>
      </c>
      <c r="B4386" s="15" t="s">
        <v>5</v>
      </c>
      <c r="C4386" s="16" t="s">
        <v>14861</v>
      </c>
      <c r="D4386" s="21"/>
      <c r="E4386" s="32" t="s">
        <v>15668</v>
      </c>
      <c r="F4386" s="22" t="str">
        <f>VLOOKUP(Table8[[#This Row],[Mã khách hàng]],code_khach_hang[],2,0)</f>
        <v>CHI NHÁNH ĐỒNG NAI - CÔNG TY CỔ PHẦN DỊCH VỤ THƯƠNG MẠI TỔNG HỢP WINCOMMERCE</v>
      </c>
      <c r="G4386" s="16" t="str">
        <f>VLOOKUP(Table8[[#This Row],[Mã khách hàng]],code_khach_hang[],3,0)</f>
        <v>Miền Nam đặc biệt 3</v>
      </c>
      <c r="H4386" t="str">
        <f>VLOOKUP(Table8[[#This Row],[Mã khách hàng]],'Khách hàng'!A:D,4,0)</f>
        <v>Food Đức Việt</v>
      </c>
      <c r="I4386" t="str">
        <f>VLOOKUP(Table8[[#This Row],[Mã khách hàng]],'Khách hàng'!A:E,5,0)</f>
        <v>HCVG80</v>
      </c>
    </row>
    <row r="4387" spans="1:9" x14ac:dyDescent="0.25">
      <c r="A4387" s="14" t="s">
        <v>13736</v>
      </c>
      <c r="B4387" s="15" t="s">
        <v>5</v>
      </c>
      <c r="C4387" s="16" t="s">
        <v>14862</v>
      </c>
      <c r="D4387" s="21"/>
      <c r="E4387" s="32" t="s">
        <v>15667</v>
      </c>
      <c r="F4387" s="22" t="str">
        <f>VLOOKUP(Table8[[#This Row],[Mã khách hàng]],code_khach_hang[],2,0)</f>
        <v>CÔNG TY CỔ PHẦN DỊCH VỤ THƯƠNG MẠI TỔNG HỢP WINCOMMERCE</v>
      </c>
      <c r="G4387" s="16" t="str">
        <f>VLOOKUP(Table8[[#This Row],[Mã khách hàng]],code_khach_hang[],3,0)</f>
        <v>Miền Nam đặc biệt 1</v>
      </c>
      <c r="H4387" t="str">
        <f>VLOOKUP(Table8[[#This Row],[Mã khách hàng]],'Khách hàng'!A:D,4,0)</f>
        <v>Food Đức Việt</v>
      </c>
      <c r="I4387" t="str">
        <f>VLOOKUP(Table8[[#This Row],[Mã khách hàng]],'Khách hàng'!A:E,5,0)</f>
        <v>HCVG80</v>
      </c>
    </row>
    <row r="4388" spans="1:9" x14ac:dyDescent="0.25">
      <c r="A4388" s="14" t="s">
        <v>13737</v>
      </c>
      <c r="B4388" s="15" t="s">
        <v>5</v>
      </c>
      <c r="C4388" s="16" t="s">
        <v>14863</v>
      </c>
      <c r="D4388" s="21"/>
      <c r="E4388" s="32" t="s">
        <v>15667</v>
      </c>
      <c r="F4388" s="22" t="str">
        <f>VLOOKUP(Table8[[#This Row],[Mã khách hàng]],code_khach_hang[],2,0)</f>
        <v>CÔNG TY CỔ PHẦN DỊCH VỤ THƯƠNG MẠI TỔNG HỢP WINCOMMERCE</v>
      </c>
      <c r="G4388" s="16" t="str">
        <f>VLOOKUP(Table8[[#This Row],[Mã khách hàng]],code_khach_hang[],3,0)</f>
        <v>Miền Nam đặc biệt 1</v>
      </c>
      <c r="H4388" t="str">
        <f>VLOOKUP(Table8[[#This Row],[Mã khách hàng]],'Khách hàng'!A:D,4,0)</f>
        <v>Food Đức Việt</v>
      </c>
      <c r="I4388" t="str">
        <f>VLOOKUP(Table8[[#This Row],[Mã khách hàng]],'Khách hàng'!A:E,5,0)</f>
        <v>HCVG80</v>
      </c>
    </row>
    <row r="4389" spans="1:9" x14ac:dyDescent="0.25">
      <c r="A4389" s="14" t="s">
        <v>13738</v>
      </c>
      <c r="B4389" s="15" t="s">
        <v>5</v>
      </c>
      <c r="C4389" s="16" t="s">
        <v>14864</v>
      </c>
      <c r="D4389" s="21"/>
      <c r="E4389" s="32" t="s">
        <v>15667</v>
      </c>
      <c r="F4389" s="22" t="str">
        <f>VLOOKUP(Table8[[#This Row],[Mã khách hàng]],code_khach_hang[],2,0)</f>
        <v>CÔNG TY CỔ PHẦN DỊCH VỤ THƯƠNG MẠI TỔNG HỢP WINCOMMERCE</v>
      </c>
      <c r="G4389" s="16" t="str">
        <f>VLOOKUP(Table8[[#This Row],[Mã khách hàng]],code_khach_hang[],3,0)</f>
        <v>Miền Nam đặc biệt 1</v>
      </c>
      <c r="H4389" t="str">
        <f>VLOOKUP(Table8[[#This Row],[Mã khách hàng]],'Khách hàng'!A:D,4,0)</f>
        <v>Food Đức Việt</v>
      </c>
      <c r="I4389" t="str">
        <f>VLOOKUP(Table8[[#This Row],[Mã khách hàng]],'Khách hàng'!A:E,5,0)</f>
        <v>HCVG80</v>
      </c>
    </row>
    <row r="4390" spans="1:9" x14ac:dyDescent="0.25">
      <c r="A4390" s="14" t="s">
        <v>13739</v>
      </c>
      <c r="B4390" s="15" t="s">
        <v>5</v>
      </c>
      <c r="C4390" s="16" t="s">
        <v>14865</v>
      </c>
      <c r="D4390" s="21"/>
      <c r="E4390" s="32" t="s">
        <v>15669</v>
      </c>
      <c r="F4390" s="22" t="str">
        <f>VLOOKUP(Table8[[#This Row],[Mã khách hàng]],code_khach_hang[],2,0)</f>
        <v>CHI NHÁNH CẦN THƠ - CÔNG TY CỔ PHẦN DỊCH VỤ THƯƠNG MẠI TỔNG HỢP WINCOMMERCE</v>
      </c>
      <c r="G4390" s="16" t="str">
        <f>VLOOKUP(Table8[[#This Row],[Mã khách hàng]],code_khach_hang[],3,0)</f>
        <v>Miền Nam đặc biệt 2</v>
      </c>
      <c r="H4390" t="str">
        <f>VLOOKUP(Table8[[#This Row],[Mã khách hàng]],'Khách hàng'!A:D,4,0)</f>
        <v>Food Đức Việt</v>
      </c>
      <c r="I4390" t="str">
        <f>VLOOKUP(Table8[[#This Row],[Mã khách hàng]],'Khách hàng'!A:E,5,0)</f>
        <v>HC-CT120</v>
      </c>
    </row>
    <row r="4391" spans="1:9" x14ac:dyDescent="0.25">
      <c r="A4391" s="14" t="s">
        <v>13740</v>
      </c>
      <c r="B4391" s="15" t="s">
        <v>5</v>
      </c>
      <c r="C4391" s="16" t="s">
        <v>14866</v>
      </c>
      <c r="D4391" s="21"/>
      <c r="E4391" s="32" t="s">
        <v>15667</v>
      </c>
      <c r="F4391" s="22" t="str">
        <f>VLOOKUP(Table8[[#This Row],[Mã khách hàng]],code_khach_hang[],2,0)</f>
        <v>CÔNG TY CỔ PHẦN DỊCH VỤ THƯƠNG MẠI TỔNG HỢP WINCOMMERCE</v>
      </c>
      <c r="G4391" s="16" t="str">
        <f>VLOOKUP(Table8[[#This Row],[Mã khách hàng]],code_khach_hang[],3,0)</f>
        <v>Miền Nam đặc biệt 1</v>
      </c>
      <c r="H4391" t="str">
        <f>VLOOKUP(Table8[[#This Row],[Mã khách hàng]],'Khách hàng'!A:D,4,0)</f>
        <v>Food Đức Việt</v>
      </c>
      <c r="I4391" t="str">
        <f>VLOOKUP(Table8[[#This Row],[Mã khách hàng]],'Khách hàng'!A:E,5,0)</f>
        <v>HCVG80</v>
      </c>
    </row>
    <row r="4392" spans="1:9" x14ac:dyDescent="0.25">
      <c r="A4392" s="14" t="s">
        <v>13741</v>
      </c>
      <c r="B4392" s="15" t="s">
        <v>5</v>
      </c>
      <c r="C4392" s="16" t="s">
        <v>14867</v>
      </c>
      <c r="D4392" s="21"/>
      <c r="E4392" s="32" t="s">
        <v>15677</v>
      </c>
      <c r="F4392" s="22" t="str">
        <f>VLOOKUP(Table8[[#This Row],[Mã khách hàng]],code_khach_hang[],2,0)</f>
        <v>CHI NHÁNH TÂY NINH - CÔNG TY CỔ PHẦN DỊCH VỤ THƯƠNG MẠI TỔNG HỢP WINCOMMERCE</v>
      </c>
      <c r="G4392" s="16" t="str">
        <f>VLOOKUP(Table8[[#This Row],[Mã khách hàng]],code_khach_hang[],3,0)</f>
        <v>Miền Nam đặc biệt 2</v>
      </c>
      <c r="H4392" t="str">
        <f>VLOOKUP(Table8[[#This Row],[Mã khách hàng]],'Khách hàng'!A:D,4,0)</f>
        <v>Food Đức Việt</v>
      </c>
      <c r="I4392" t="str">
        <f>VLOOKUP(Table8[[#This Row],[Mã khách hàng]],'Khách hàng'!A:E,5,0)</f>
        <v>HCVG80</v>
      </c>
    </row>
    <row r="4393" spans="1:9" x14ac:dyDescent="0.25">
      <c r="A4393" s="14" t="s">
        <v>13742</v>
      </c>
      <c r="B4393" s="15" t="s">
        <v>5</v>
      </c>
      <c r="C4393" s="16" t="s">
        <v>14868</v>
      </c>
      <c r="D4393" s="21"/>
      <c r="E4393" s="32" t="s">
        <v>15667</v>
      </c>
      <c r="F4393" s="22" t="str">
        <f>VLOOKUP(Table8[[#This Row],[Mã khách hàng]],code_khach_hang[],2,0)</f>
        <v>CÔNG TY CỔ PHẦN DỊCH VỤ THƯƠNG MẠI TỔNG HỢP WINCOMMERCE</v>
      </c>
      <c r="G4393" s="16" t="str">
        <f>VLOOKUP(Table8[[#This Row],[Mã khách hàng]],code_khach_hang[],3,0)</f>
        <v>Miền Nam đặc biệt 1</v>
      </c>
      <c r="H4393" t="str">
        <f>VLOOKUP(Table8[[#This Row],[Mã khách hàng]],'Khách hàng'!A:D,4,0)</f>
        <v>Food Đức Việt</v>
      </c>
      <c r="I4393" t="str">
        <f>VLOOKUP(Table8[[#This Row],[Mã khách hàng]],'Khách hàng'!A:E,5,0)</f>
        <v>HCVG80</v>
      </c>
    </row>
    <row r="4394" spans="1:9" x14ac:dyDescent="0.25">
      <c r="A4394" s="14" t="s">
        <v>13743</v>
      </c>
      <c r="B4394" s="15" t="s">
        <v>5</v>
      </c>
      <c r="C4394" s="16" t="s">
        <v>14869</v>
      </c>
      <c r="D4394" s="21"/>
      <c r="E4394" s="32" t="s">
        <v>15667</v>
      </c>
      <c r="F4394" s="22" t="str">
        <f>VLOOKUP(Table8[[#This Row],[Mã khách hàng]],code_khach_hang[],2,0)</f>
        <v>CÔNG TY CỔ PHẦN DỊCH VỤ THƯƠNG MẠI TỔNG HỢP WINCOMMERCE</v>
      </c>
      <c r="G4394" s="16" t="str">
        <f>VLOOKUP(Table8[[#This Row],[Mã khách hàng]],code_khach_hang[],3,0)</f>
        <v>Miền Nam đặc biệt 1</v>
      </c>
      <c r="H4394" t="str">
        <f>VLOOKUP(Table8[[#This Row],[Mã khách hàng]],'Khách hàng'!A:D,4,0)</f>
        <v>Food Đức Việt</v>
      </c>
      <c r="I4394" t="str">
        <f>VLOOKUP(Table8[[#This Row],[Mã khách hàng]],'Khách hàng'!A:E,5,0)</f>
        <v>HCVG80</v>
      </c>
    </row>
    <row r="4395" spans="1:9" x14ac:dyDescent="0.25">
      <c r="A4395" s="14" t="s">
        <v>13744</v>
      </c>
      <c r="B4395" s="15" t="s">
        <v>5</v>
      </c>
      <c r="C4395" s="16" t="s">
        <v>14870</v>
      </c>
      <c r="D4395" s="21"/>
      <c r="E4395" s="32" t="s">
        <v>15676</v>
      </c>
      <c r="F4395" s="22" t="str">
        <f>VLOOKUP(Table8[[#This Row],[Mã khách hàng]],code_khach_hang[],2,0)</f>
        <v>CHI NHÁNH KIÊN GIANG - CÔNG TY CỔ PHẦN DỊCH VỤ THƯƠNG MẠI TỔNG HỢP WINCOMMERCE</v>
      </c>
      <c r="G4395" s="16" t="str">
        <f>VLOOKUP(Table8[[#This Row],[Mã khách hàng]],code_khach_hang[],3,0)</f>
        <v>Miền Nam đặc biệt 2</v>
      </c>
      <c r="H4395" t="str">
        <f>VLOOKUP(Table8[[#This Row],[Mã khách hàng]],'Khách hàng'!A:D,4,0)</f>
        <v>Food Đức Việt</v>
      </c>
      <c r="I4395" t="str">
        <f>VLOOKUP(Table8[[#This Row],[Mã khách hàng]],'Khách hàng'!A:E,5,0)</f>
        <v>HC-CT120</v>
      </c>
    </row>
    <row r="4396" spans="1:9" x14ac:dyDescent="0.25">
      <c r="A4396" s="14" t="s">
        <v>13745</v>
      </c>
      <c r="B4396" s="15" t="s">
        <v>5</v>
      </c>
      <c r="C4396" s="16" t="s">
        <v>14871</v>
      </c>
      <c r="D4396" s="21"/>
      <c r="E4396" s="32" t="s">
        <v>15669</v>
      </c>
      <c r="F4396" s="22" t="str">
        <f>VLOOKUP(Table8[[#This Row],[Mã khách hàng]],code_khach_hang[],2,0)</f>
        <v>CHI NHÁNH CẦN THƠ - CÔNG TY CỔ PHẦN DỊCH VỤ THƯƠNG MẠI TỔNG HỢP WINCOMMERCE</v>
      </c>
      <c r="G4396" s="16" t="str">
        <f>VLOOKUP(Table8[[#This Row],[Mã khách hàng]],code_khach_hang[],3,0)</f>
        <v>Miền Nam đặc biệt 2</v>
      </c>
      <c r="H4396" t="str">
        <f>VLOOKUP(Table8[[#This Row],[Mã khách hàng]],'Khách hàng'!A:D,4,0)</f>
        <v>Food Đức Việt</v>
      </c>
      <c r="I4396" t="str">
        <f>VLOOKUP(Table8[[#This Row],[Mã khách hàng]],'Khách hàng'!A:E,5,0)</f>
        <v>HC-CT120</v>
      </c>
    </row>
    <row r="4397" spans="1:9" x14ac:dyDescent="0.25">
      <c r="A4397" s="14" t="s">
        <v>13746</v>
      </c>
      <c r="B4397" s="15" t="s">
        <v>5</v>
      </c>
      <c r="C4397" s="16" t="s">
        <v>14872</v>
      </c>
      <c r="D4397" s="21"/>
      <c r="E4397" s="32" t="s">
        <v>15677</v>
      </c>
      <c r="F4397" s="22" t="str">
        <f>VLOOKUP(Table8[[#This Row],[Mã khách hàng]],code_khach_hang[],2,0)</f>
        <v>CHI NHÁNH TÂY NINH - CÔNG TY CỔ PHẦN DỊCH VỤ THƯƠNG MẠI TỔNG HỢP WINCOMMERCE</v>
      </c>
      <c r="G4397" s="16" t="str">
        <f>VLOOKUP(Table8[[#This Row],[Mã khách hàng]],code_khach_hang[],3,0)</f>
        <v>Miền Nam đặc biệt 2</v>
      </c>
      <c r="H4397" t="str">
        <f>VLOOKUP(Table8[[#This Row],[Mã khách hàng]],'Khách hàng'!A:D,4,0)</f>
        <v>Food Đức Việt</v>
      </c>
      <c r="I4397" t="str">
        <f>VLOOKUP(Table8[[#This Row],[Mã khách hàng]],'Khách hàng'!A:E,5,0)</f>
        <v>HCVG80</v>
      </c>
    </row>
    <row r="4398" spans="1:9" x14ac:dyDescent="0.25">
      <c r="A4398" s="14" t="s">
        <v>13747</v>
      </c>
      <c r="B4398" s="15" t="s">
        <v>5</v>
      </c>
      <c r="C4398" s="16" t="s">
        <v>14873</v>
      </c>
      <c r="D4398" s="21"/>
      <c r="E4398" s="32" t="s">
        <v>15677</v>
      </c>
      <c r="F4398" s="22" t="str">
        <f>VLOOKUP(Table8[[#This Row],[Mã khách hàng]],code_khach_hang[],2,0)</f>
        <v>CHI NHÁNH TÂY NINH - CÔNG TY CỔ PHẦN DỊCH VỤ THƯƠNG MẠI TỔNG HỢP WINCOMMERCE</v>
      </c>
      <c r="G4398" s="16" t="str">
        <f>VLOOKUP(Table8[[#This Row],[Mã khách hàng]],code_khach_hang[],3,0)</f>
        <v>Miền Nam đặc biệt 2</v>
      </c>
      <c r="H4398" t="str">
        <f>VLOOKUP(Table8[[#This Row],[Mã khách hàng]],'Khách hàng'!A:D,4,0)</f>
        <v>Food Đức Việt</v>
      </c>
      <c r="I4398" t="str">
        <f>VLOOKUP(Table8[[#This Row],[Mã khách hàng]],'Khách hàng'!A:E,5,0)</f>
        <v>HCVG80</v>
      </c>
    </row>
    <row r="4399" spans="1:9" x14ac:dyDescent="0.25">
      <c r="A4399" s="14" t="s">
        <v>13748</v>
      </c>
      <c r="B4399" s="15" t="s">
        <v>5</v>
      </c>
      <c r="C4399" s="16" t="s">
        <v>14874</v>
      </c>
      <c r="D4399" s="21"/>
      <c r="E4399" s="32" t="s">
        <v>15669</v>
      </c>
      <c r="F4399" s="22" t="str">
        <f>VLOOKUP(Table8[[#This Row],[Mã khách hàng]],code_khach_hang[],2,0)</f>
        <v>CHI NHÁNH CẦN THƠ - CÔNG TY CỔ PHẦN DỊCH VỤ THƯƠNG MẠI TỔNG HỢP WINCOMMERCE</v>
      </c>
      <c r="G4399" s="16" t="str">
        <f>VLOOKUP(Table8[[#This Row],[Mã khách hàng]],code_khach_hang[],3,0)</f>
        <v>Miền Nam đặc biệt 2</v>
      </c>
      <c r="H4399" t="str">
        <f>VLOOKUP(Table8[[#This Row],[Mã khách hàng]],'Khách hàng'!A:D,4,0)</f>
        <v>Food Đức Việt</v>
      </c>
      <c r="I4399" t="str">
        <f>VLOOKUP(Table8[[#This Row],[Mã khách hàng]],'Khách hàng'!A:E,5,0)</f>
        <v>HC-CT120</v>
      </c>
    </row>
    <row r="4400" spans="1:9" x14ac:dyDescent="0.25">
      <c r="A4400" s="14" t="s">
        <v>13749</v>
      </c>
      <c r="B4400" s="15" t="s">
        <v>5</v>
      </c>
      <c r="C4400" s="16" t="s">
        <v>14875</v>
      </c>
      <c r="D4400" s="21"/>
      <c r="E4400" s="32" t="s">
        <v>15667</v>
      </c>
      <c r="F4400" s="22" t="str">
        <f>VLOOKUP(Table8[[#This Row],[Mã khách hàng]],code_khach_hang[],2,0)</f>
        <v>CÔNG TY CỔ PHẦN DỊCH VỤ THƯƠNG MẠI TỔNG HỢP WINCOMMERCE</v>
      </c>
      <c r="G4400" s="16" t="str">
        <f>VLOOKUP(Table8[[#This Row],[Mã khách hàng]],code_khach_hang[],3,0)</f>
        <v>Miền Nam đặc biệt 1</v>
      </c>
      <c r="H4400" t="str">
        <f>VLOOKUP(Table8[[#This Row],[Mã khách hàng]],'Khách hàng'!A:D,4,0)</f>
        <v>Food Đức Việt</v>
      </c>
      <c r="I4400" t="str">
        <f>VLOOKUP(Table8[[#This Row],[Mã khách hàng]],'Khách hàng'!A:E,5,0)</f>
        <v>HCVG80</v>
      </c>
    </row>
    <row r="4401" spans="1:9" x14ac:dyDescent="0.25">
      <c r="A4401" s="14" t="s">
        <v>13750</v>
      </c>
      <c r="B4401" s="15" t="s">
        <v>5</v>
      </c>
      <c r="C4401" s="16" t="s">
        <v>14876</v>
      </c>
      <c r="D4401" s="21"/>
      <c r="E4401" s="32" t="s">
        <v>15668</v>
      </c>
      <c r="F4401" s="22" t="str">
        <f>VLOOKUP(Table8[[#This Row],[Mã khách hàng]],code_khach_hang[],2,0)</f>
        <v>CHI NHÁNH ĐỒNG NAI - CÔNG TY CỔ PHẦN DỊCH VỤ THƯƠNG MẠI TỔNG HỢP WINCOMMERCE</v>
      </c>
      <c r="G4401" s="16" t="str">
        <f>VLOOKUP(Table8[[#This Row],[Mã khách hàng]],code_khach_hang[],3,0)</f>
        <v>Miền Nam đặc biệt 3</v>
      </c>
      <c r="H4401" t="str">
        <f>VLOOKUP(Table8[[#This Row],[Mã khách hàng]],'Khách hàng'!A:D,4,0)</f>
        <v>Food Đức Việt</v>
      </c>
      <c r="I4401" t="str">
        <f>VLOOKUP(Table8[[#This Row],[Mã khách hàng]],'Khách hàng'!A:E,5,0)</f>
        <v>HCVG80</v>
      </c>
    </row>
    <row r="4402" spans="1:9" x14ac:dyDescent="0.25">
      <c r="A4402" s="14" t="s">
        <v>13751</v>
      </c>
      <c r="B4402" s="15" t="s">
        <v>5</v>
      </c>
      <c r="C4402" s="16" t="s">
        <v>14877</v>
      </c>
      <c r="D4402" s="21"/>
      <c r="E4402" s="32" t="s">
        <v>15669</v>
      </c>
      <c r="F4402" s="22" t="str">
        <f>VLOOKUP(Table8[[#This Row],[Mã khách hàng]],code_khach_hang[],2,0)</f>
        <v>CHI NHÁNH CẦN THƠ - CÔNG TY CỔ PHẦN DỊCH VỤ THƯƠNG MẠI TỔNG HỢP WINCOMMERCE</v>
      </c>
      <c r="G4402" s="16" t="str">
        <f>VLOOKUP(Table8[[#This Row],[Mã khách hàng]],code_khach_hang[],3,0)</f>
        <v>Miền Nam đặc biệt 2</v>
      </c>
      <c r="H4402" t="str">
        <f>VLOOKUP(Table8[[#This Row],[Mã khách hàng]],'Khách hàng'!A:D,4,0)</f>
        <v>Food Đức Việt</v>
      </c>
      <c r="I4402" t="str">
        <f>VLOOKUP(Table8[[#This Row],[Mã khách hàng]],'Khách hàng'!A:E,5,0)</f>
        <v>HC-CT120</v>
      </c>
    </row>
    <row r="4403" spans="1:9" x14ac:dyDescent="0.25">
      <c r="A4403" s="14" t="s">
        <v>13752</v>
      </c>
      <c r="B4403" s="15" t="s">
        <v>5</v>
      </c>
      <c r="C4403" s="16" t="s">
        <v>14878</v>
      </c>
      <c r="D4403" s="21"/>
      <c r="E4403" s="32" t="s">
        <v>15677</v>
      </c>
      <c r="F4403" s="22" t="str">
        <f>VLOOKUP(Table8[[#This Row],[Mã khách hàng]],code_khach_hang[],2,0)</f>
        <v>CHI NHÁNH TÂY NINH - CÔNG TY CỔ PHẦN DỊCH VỤ THƯƠNG MẠI TỔNG HỢP WINCOMMERCE</v>
      </c>
      <c r="G4403" s="16" t="str">
        <f>VLOOKUP(Table8[[#This Row],[Mã khách hàng]],code_khach_hang[],3,0)</f>
        <v>Miền Nam đặc biệt 2</v>
      </c>
      <c r="H4403" t="str">
        <f>VLOOKUP(Table8[[#This Row],[Mã khách hàng]],'Khách hàng'!A:D,4,0)</f>
        <v>Food Đức Việt</v>
      </c>
      <c r="I4403" t="str">
        <f>VLOOKUP(Table8[[#This Row],[Mã khách hàng]],'Khách hàng'!A:E,5,0)</f>
        <v>HCVG80</v>
      </c>
    </row>
    <row r="4404" spans="1:9" x14ac:dyDescent="0.25">
      <c r="A4404" s="14" t="s">
        <v>13753</v>
      </c>
      <c r="B4404" s="15" t="s">
        <v>5</v>
      </c>
      <c r="C4404" s="16" t="s">
        <v>14879</v>
      </c>
      <c r="D4404" s="21"/>
      <c r="E4404" s="32" t="s">
        <v>15667</v>
      </c>
      <c r="F4404" s="22" t="str">
        <f>VLOOKUP(Table8[[#This Row],[Mã khách hàng]],code_khach_hang[],2,0)</f>
        <v>CÔNG TY CỔ PHẦN DỊCH VỤ THƯƠNG MẠI TỔNG HỢP WINCOMMERCE</v>
      </c>
      <c r="G4404" s="16" t="str">
        <f>VLOOKUP(Table8[[#This Row],[Mã khách hàng]],code_khach_hang[],3,0)</f>
        <v>Miền Nam đặc biệt 1</v>
      </c>
      <c r="H4404" t="str">
        <f>VLOOKUP(Table8[[#This Row],[Mã khách hàng]],'Khách hàng'!A:D,4,0)</f>
        <v>Food Đức Việt</v>
      </c>
      <c r="I4404" t="str">
        <f>VLOOKUP(Table8[[#This Row],[Mã khách hàng]],'Khách hàng'!A:E,5,0)</f>
        <v>HCVG80</v>
      </c>
    </row>
    <row r="4405" spans="1:9" x14ac:dyDescent="0.25">
      <c r="A4405" s="14" t="s">
        <v>13754</v>
      </c>
      <c r="B4405" s="15" t="s">
        <v>5</v>
      </c>
      <c r="C4405" s="16" t="s">
        <v>14880</v>
      </c>
      <c r="D4405" s="21"/>
      <c r="E4405" s="32" t="s">
        <v>15676</v>
      </c>
      <c r="F4405" s="22" t="str">
        <f>VLOOKUP(Table8[[#This Row],[Mã khách hàng]],code_khach_hang[],2,0)</f>
        <v>CHI NHÁNH KIÊN GIANG - CÔNG TY CỔ PHẦN DỊCH VỤ THƯƠNG MẠI TỔNG HỢP WINCOMMERCE</v>
      </c>
      <c r="G4405" s="16" t="str">
        <f>VLOOKUP(Table8[[#This Row],[Mã khách hàng]],code_khach_hang[],3,0)</f>
        <v>Miền Nam đặc biệt 2</v>
      </c>
      <c r="H4405" t="str">
        <f>VLOOKUP(Table8[[#This Row],[Mã khách hàng]],'Khách hàng'!A:D,4,0)</f>
        <v>Food Đức Việt</v>
      </c>
      <c r="I4405" t="str">
        <f>VLOOKUP(Table8[[#This Row],[Mã khách hàng]],'Khách hàng'!A:E,5,0)</f>
        <v>HC-CT120</v>
      </c>
    </row>
    <row r="4406" spans="1:9" x14ac:dyDescent="0.25">
      <c r="A4406" s="14" t="s">
        <v>13755</v>
      </c>
      <c r="B4406" s="15" t="s">
        <v>5</v>
      </c>
      <c r="C4406" s="16" t="s">
        <v>14881</v>
      </c>
      <c r="D4406" s="21"/>
      <c r="E4406" s="32" t="s">
        <v>15669</v>
      </c>
      <c r="F4406" s="22" t="str">
        <f>VLOOKUP(Table8[[#This Row],[Mã khách hàng]],code_khach_hang[],2,0)</f>
        <v>CHI NHÁNH CẦN THƠ - CÔNG TY CỔ PHẦN DỊCH VỤ THƯƠNG MẠI TỔNG HỢP WINCOMMERCE</v>
      </c>
      <c r="G4406" s="16" t="str">
        <f>VLOOKUP(Table8[[#This Row],[Mã khách hàng]],code_khach_hang[],3,0)</f>
        <v>Miền Nam đặc biệt 2</v>
      </c>
      <c r="H4406" t="str">
        <f>VLOOKUP(Table8[[#This Row],[Mã khách hàng]],'Khách hàng'!A:D,4,0)</f>
        <v>Food Đức Việt</v>
      </c>
      <c r="I4406" t="str">
        <f>VLOOKUP(Table8[[#This Row],[Mã khách hàng]],'Khách hàng'!A:E,5,0)</f>
        <v>HC-CT120</v>
      </c>
    </row>
    <row r="4407" spans="1:9" x14ac:dyDescent="0.25">
      <c r="A4407" s="14" t="s">
        <v>13756</v>
      </c>
      <c r="B4407" s="15" t="s">
        <v>5</v>
      </c>
      <c r="C4407" s="16" t="s">
        <v>14882</v>
      </c>
      <c r="D4407" s="21"/>
      <c r="E4407" s="32" t="s">
        <v>15667</v>
      </c>
      <c r="F4407" s="22" t="str">
        <f>VLOOKUP(Table8[[#This Row],[Mã khách hàng]],code_khach_hang[],2,0)</f>
        <v>CÔNG TY CỔ PHẦN DỊCH VỤ THƯƠNG MẠI TỔNG HỢP WINCOMMERCE</v>
      </c>
      <c r="G4407" s="16" t="str">
        <f>VLOOKUP(Table8[[#This Row],[Mã khách hàng]],code_khach_hang[],3,0)</f>
        <v>Miền Nam đặc biệt 1</v>
      </c>
      <c r="H4407" t="str">
        <f>VLOOKUP(Table8[[#This Row],[Mã khách hàng]],'Khách hàng'!A:D,4,0)</f>
        <v>Food Đức Việt</v>
      </c>
      <c r="I4407" t="str">
        <f>VLOOKUP(Table8[[#This Row],[Mã khách hàng]],'Khách hàng'!A:E,5,0)</f>
        <v>HCVG80</v>
      </c>
    </row>
    <row r="4408" spans="1:9" x14ac:dyDescent="0.25">
      <c r="A4408" s="14" t="s">
        <v>13757</v>
      </c>
      <c r="B4408" s="15" t="s">
        <v>5</v>
      </c>
      <c r="C4408" s="16" t="s">
        <v>14883</v>
      </c>
      <c r="D4408" s="21"/>
      <c r="E4408" s="32" t="s">
        <v>15667</v>
      </c>
      <c r="F4408" s="22" t="str">
        <f>VLOOKUP(Table8[[#This Row],[Mã khách hàng]],code_khach_hang[],2,0)</f>
        <v>CÔNG TY CỔ PHẦN DỊCH VỤ THƯƠNG MẠI TỔNG HỢP WINCOMMERCE</v>
      </c>
      <c r="G4408" s="16" t="str">
        <f>VLOOKUP(Table8[[#This Row],[Mã khách hàng]],code_khach_hang[],3,0)</f>
        <v>Miền Nam đặc biệt 1</v>
      </c>
      <c r="H4408" t="str">
        <f>VLOOKUP(Table8[[#This Row],[Mã khách hàng]],'Khách hàng'!A:D,4,0)</f>
        <v>Food Đức Việt</v>
      </c>
      <c r="I4408" t="str">
        <f>VLOOKUP(Table8[[#This Row],[Mã khách hàng]],'Khách hàng'!A:E,5,0)</f>
        <v>HCVG80</v>
      </c>
    </row>
    <row r="4409" spans="1:9" x14ac:dyDescent="0.25">
      <c r="A4409" s="14" t="s">
        <v>13758</v>
      </c>
      <c r="B4409" s="15" t="s">
        <v>5</v>
      </c>
      <c r="C4409" s="16" t="s">
        <v>14884</v>
      </c>
      <c r="D4409" s="21"/>
      <c r="E4409" s="32" t="s">
        <v>15667</v>
      </c>
      <c r="F4409" s="22" t="str">
        <f>VLOOKUP(Table8[[#This Row],[Mã khách hàng]],code_khach_hang[],2,0)</f>
        <v>CÔNG TY CỔ PHẦN DỊCH VỤ THƯƠNG MẠI TỔNG HỢP WINCOMMERCE</v>
      </c>
      <c r="G4409" s="16" t="str">
        <f>VLOOKUP(Table8[[#This Row],[Mã khách hàng]],code_khach_hang[],3,0)</f>
        <v>Miền Nam đặc biệt 1</v>
      </c>
      <c r="H4409" t="str">
        <f>VLOOKUP(Table8[[#This Row],[Mã khách hàng]],'Khách hàng'!A:D,4,0)</f>
        <v>Food Đức Việt</v>
      </c>
      <c r="I4409" t="str">
        <f>VLOOKUP(Table8[[#This Row],[Mã khách hàng]],'Khách hàng'!A:E,5,0)</f>
        <v>HCVG80</v>
      </c>
    </row>
    <row r="4410" spans="1:9" x14ac:dyDescent="0.25">
      <c r="A4410" s="14" t="s">
        <v>13759</v>
      </c>
      <c r="B4410" s="15" t="s">
        <v>5</v>
      </c>
      <c r="C4410" s="16" t="s">
        <v>14885</v>
      </c>
      <c r="D4410" s="21"/>
      <c r="E4410" s="32" t="s">
        <v>15667</v>
      </c>
      <c r="F4410" s="22" t="str">
        <f>VLOOKUP(Table8[[#This Row],[Mã khách hàng]],code_khach_hang[],2,0)</f>
        <v>CÔNG TY CỔ PHẦN DỊCH VỤ THƯƠNG MẠI TỔNG HỢP WINCOMMERCE</v>
      </c>
      <c r="G4410" s="16" t="str">
        <f>VLOOKUP(Table8[[#This Row],[Mã khách hàng]],code_khach_hang[],3,0)</f>
        <v>Miền Nam đặc biệt 1</v>
      </c>
      <c r="H4410" t="str">
        <f>VLOOKUP(Table8[[#This Row],[Mã khách hàng]],'Khách hàng'!A:D,4,0)</f>
        <v>Food Đức Việt</v>
      </c>
      <c r="I4410" t="str">
        <f>VLOOKUP(Table8[[#This Row],[Mã khách hàng]],'Khách hàng'!A:E,5,0)</f>
        <v>HCVG80</v>
      </c>
    </row>
    <row r="4411" spans="1:9" x14ac:dyDescent="0.25">
      <c r="A4411" s="14" t="s">
        <v>13760</v>
      </c>
      <c r="B4411" s="15" t="s">
        <v>5</v>
      </c>
      <c r="C4411" s="16" t="s">
        <v>14886</v>
      </c>
      <c r="D4411" s="21"/>
      <c r="E4411" s="32" t="s">
        <v>15672</v>
      </c>
      <c r="F4411" s="22" t="str">
        <f>VLOOKUP(Table8[[#This Row],[Mã khách hàng]],code_khach_hang[],2,0)</f>
        <v>CHI NHÁNH AN GIANG - CÔNG TY CỔ PHẦN DỊCH VỤ THƯƠNG MẠI TỔNG HỢP WINCOMMERCE</v>
      </c>
      <c r="G4411" s="16" t="str">
        <f>VLOOKUP(Table8[[#This Row],[Mã khách hàng]],code_khach_hang[],3,0)</f>
        <v>Miền Nam đặc biệt 2</v>
      </c>
      <c r="H4411" t="str">
        <f>VLOOKUP(Table8[[#This Row],[Mã khách hàng]],'Khách hàng'!A:D,4,0)</f>
        <v>Food Đức Việt</v>
      </c>
      <c r="I4411" t="str">
        <f>VLOOKUP(Table8[[#This Row],[Mã khách hàng]],'Khách hàng'!A:E,5,0)</f>
        <v>HC-CT120</v>
      </c>
    </row>
    <row r="4412" spans="1:9" x14ac:dyDescent="0.25">
      <c r="A4412" s="14" t="s">
        <v>13761</v>
      </c>
      <c r="B4412" s="15" t="s">
        <v>5</v>
      </c>
      <c r="C4412" s="16" t="s">
        <v>14887</v>
      </c>
      <c r="D4412" s="21"/>
      <c r="E4412" s="32" t="s">
        <v>15670</v>
      </c>
      <c r="F4412" s="22" t="str">
        <f>VLOOKUP(Table8[[#This Row],[Mã khách hàng]],code_khach_hang[],2,0)</f>
        <v>CHI NHÁNH TIỀN GIANG - CÔNG TY CỔ PHẦN DỊCH VỤ THƯƠNG MẠI TỔNG HỢP WINCOMMERCE</v>
      </c>
      <c r="G4412" s="16" t="str">
        <f>VLOOKUP(Table8[[#This Row],[Mã khách hàng]],code_khach_hang[],3,0)</f>
        <v>Miền Nam đặc biệt 1</v>
      </c>
      <c r="H4412" t="str">
        <f>VLOOKUP(Table8[[#This Row],[Mã khách hàng]],'Khách hàng'!A:D,4,0)</f>
        <v>Food Đức Việt</v>
      </c>
      <c r="I4412" t="str">
        <f>VLOOKUP(Table8[[#This Row],[Mã khách hàng]],'Khách hàng'!A:E,5,0)</f>
        <v>HCVG80</v>
      </c>
    </row>
    <row r="4413" spans="1:9" x14ac:dyDescent="0.25">
      <c r="A4413" s="14" t="s">
        <v>13762</v>
      </c>
      <c r="B4413" s="15" t="s">
        <v>5</v>
      </c>
      <c r="C4413" s="16" t="s">
        <v>14888</v>
      </c>
      <c r="D4413" s="21"/>
      <c r="E4413" s="32" t="s">
        <v>15667</v>
      </c>
      <c r="F4413" s="22" t="str">
        <f>VLOOKUP(Table8[[#This Row],[Mã khách hàng]],code_khach_hang[],2,0)</f>
        <v>CÔNG TY CỔ PHẦN DỊCH VỤ THƯƠNG MẠI TỔNG HỢP WINCOMMERCE</v>
      </c>
      <c r="G4413" s="16" t="str">
        <f>VLOOKUP(Table8[[#This Row],[Mã khách hàng]],code_khach_hang[],3,0)</f>
        <v>Miền Nam đặc biệt 1</v>
      </c>
      <c r="H4413" t="str">
        <f>VLOOKUP(Table8[[#This Row],[Mã khách hàng]],'Khách hàng'!A:D,4,0)</f>
        <v>Food Đức Việt</v>
      </c>
      <c r="I4413" t="str">
        <f>VLOOKUP(Table8[[#This Row],[Mã khách hàng]],'Khách hàng'!A:E,5,0)</f>
        <v>HCVG80</v>
      </c>
    </row>
    <row r="4414" spans="1:9" x14ac:dyDescent="0.25">
      <c r="A4414" s="14" t="s">
        <v>13763</v>
      </c>
      <c r="B4414" s="15" t="s">
        <v>5</v>
      </c>
      <c r="C4414" s="16" t="s">
        <v>14889</v>
      </c>
      <c r="D4414" s="21"/>
      <c r="E4414" s="32" t="s">
        <v>15671</v>
      </c>
      <c r="F4414" s="22" t="str">
        <f>VLOOKUP(Table8[[#This Row],[Mã khách hàng]],code_khach_hang[],2,0)</f>
        <v>CHI NHÁNH BÌNH DƯƠNG - CÔNG TY CỔ PHẦN DỊCH VỤ THƯƠNG MẠI TỔNG HỢP WINCOMMERCE</v>
      </c>
      <c r="G4414" s="16" t="str">
        <f>VLOOKUP(Table8[[#This Row],[Mã khách hàng]],code_khach_hang[],3,0)</f>
        <v>Miền Nam đặc biệt 1</v>
      </c>
      <c r="H4414" t="str">
        <f>VLOOKUP(Table8[[#This Row],[Mã khách hàng]],'Khách hàng'!A:D,4,0)</f>
        <v>Food Đức Việt</v>
      </c>
      <c r="I4414" t="str">
        <f>VLOOKUP(Table8[[#This Row],[Mã khách hàng]],'Khách hàng'!A:E,5,0)</f>
        <v>HCVG80</v>
      </c>
    </row>
    <row r="4415" spans="1:9" x14ac:dyDescent="0.25">
      <c r="A4415" s="14" t="s">
        <v>13764</v>
      </c>
      <c r="B4415" s="15" t="s">
        <v>5</v>
      </c>
      <c r="C4415" s="16" t="s">
        <v>14890</v>
      </c>
      <c r="D4415" s="21"/>
      <c r="E4415" s="32" t="s">
        <v>15668</v>
      </c>
      <c r="F4415" s="22" t="str">
        <f>VLOOKUP(Table8[[#This Row],[Mã khách hàng]],code_khach_hang[],2,0)</f>
        <v>CHI NHÁNH ĐỒNG NAI - CÔNG TY CỔ PHẦN DỊCH VỤ THƯƠNG MẠI TỔNG HỢP WINCOMMERCE</v>
      </c>
      <c r="G4415" s="16" t="str">
        <f>VLOOKUP(Table8[[#This Row],[Mã khách hàng]],code_khach_hang[],3,0)</f>
        <v>Miền Nam đặc biệt 3</v>
      </c>
      <c r="H4415" t="str">
        <f>VLOOKUP(Table8[[#This Row],[Mã khách hàng]],'Khách hàng'!A:D,4,0)</f>
        <v>Food Đức Việt</v>
      </c>
      <c r="I4415" t="str">
        <f>VLOOKUP(Table8[[#This Row],[Mã khách hàng]],'Khách hàng'!A:E,5,0)</f>
        <v>HCVG80</v>
      </c>
    </row>
    <row r="4416" spans="1:9" x14ac:dyDescent="0.25">
      <c r="A4416" s="14" t="s">
        <v>13765</v>
      </c>
      <c r="B4416" s="15" t="s">
        <v>5</v>
      </c>
      <c r="C4416" s="16" t="s">
        <v>14891</v>
      </c>
      <c r="D4416" s="21"/>
      <c r="E4416" s="32" t="s">
        <v>15667</v>
      </c>
      <c r="F4416" s="22" t="str">
        <f>VLOOKUP(Table8[[#This Row],[Mã khách hàng]],code_khach_hang[],2,0)</f>
        <v>CÔNG TY CỔ PHẦN DỊCH VỤ THƯƠNG MẠI TỔNG HỢP WINCOMMERCE</v>
      </c>
      <c r="G4416" s="16" t="str">
        <f>VLOOKUP(Table8[[#This Row],[Mã khách hàng]],code_khach_hang[],3,0)</f>
        <v>Miền Nam đặc biệt 1</v>
      </c>
      <c r="H4416" t="str">
        <f>VLOOKUP(Table8[[#This Row],[Mã khách hàng]],'Khách hàng'!A:D,4,0)</f>
        <v>Food Đức Việt</v>
      </c>
      <c r="I4416" t="str">
        <f>VLOOKUP(Table8[[#This Row],[Mã khách hàng]],'Khách hàng'!A:E,5,0)</f>
        <v>HCVG80</v>
      </c>
    </row>
    <row r="4417" spans="1:9" x14ac:dyDescent="0.25">
      <c r="A4417" s="14" t="s">
        <v>13766</v>
      </c>
      <c r="B4417" s="15" t="s">
        <v>5</v>
      </c>
      <c r="C4417" s="16" t="s">
        <v>14892</v>
      </c>
      <c r="D4417" s="21"/>
      <c r="E4417" s="32" t="s">
        <v>15668</v>
      </c>
      <c r="F4417" s="22" t="str">
        <f>VLOOKUP(Table8[[#This Row],[Mã khách hàng]],code_khach_hang[],2,0)</f>
        <v>CHI NHÁNH ĐỒNG NAI - CÔNG TY CỔ PHẦN DỊCH VỤ THƯƠNG MẠI TỔNG HỢP WINCOMMERCE</v>
      </c>
      <c r="G4417" s="16" t="str">
        <f>VLOOKUP(Table8[[#This Row],[Mã khách hàng]],code_khach_hang[],3,0)</f>
        <v>Miền Nam đặc biệt 3</v>
      </c>
      <c r="H4417" t="str">
        <f>VLOOKUP(Table8[[#This Row],[Mã khách hàng]],'Khách hàng'!A:D,4,0)</f>
        <v>Food Đức Việt</v>
      </c>
      <c r="I4417" t="str">
        <f>VLOOKUP(Table8[[#This Row],[Mã khách hàng]],'Khách hàng'!A:E,5,0)</f>
        <v>HCVG80</v>
      </c>
    </row>
    <row r="4418" spans="1:9" x14ac:dyDescent="0.25">
      <c r="A4418" s="14" t="s">
        <v>13767</v>
      </c>
      <c r="B4418" s="15" t="s">
        <v>5</v>
      </c>
      <c r="C4418" s="16" t="s">
        <v>14893</v>
      </c>
      <c r="D4418" s="21"/>
      <c r="E4418" s="32" t="s">
        <v>15667</v>
      </c>
      <c r="F4418" s="22" t="str">
        <f>VLOOKUP(Table8[[#This Row],[Mã khách hàng]],code_khach_hang[],2,0)</f>
        <v>CÔNG TY CỔ PHẦN DỊCH VỤ THƯƠNG MẠI TỔNG HỢP WINCOMMERCE</v>
      </c>
      <c r="G4418" s="16" t="str">
        <f>VLOOKUP(Table8[[#This Row],[Mã khách hàng]],code_khach_hang[],3,0)</f>
        <v>Miền Nam đặc biệt 1</v>
      </c>
      <c r="H4418" t="str">
        <f>VLOOKUP(Table8[[#This Row],[Mã khách hàng]],'Khách hàng'!A:D,4,0)</f>
        <v>Food Đức Việt</v>
      </c>
      <c r="I4418" t="str">
        <f>VLOOKUP(Table8[[#This Row],[Mã khách hàng]],'Khách hàng'!A:E,5,0)</f>
        <v>HCVG80</v>
      </c>
    </row>
    <row r="4419" spans="1:9" x14ac:dyDescent="0.25">
      <c r="A4419" s="14" t="s">
        <v>13768</v>
      </c>
      <c r="B4419" s="15" t="s">
        <v>5</v>
      </c>
      <c r="C4419" s="16" t="s">
        <v>14894</v>
      </c>
      <c r="D4419" s="21"/>
      <c r="E4419" s="32" t="s">
        <v>15667</v>
      </c>
      <c r="F4419" s="22" t="str">
        <f>VLOOKUP(Table8[[#This Row],[Mã khách hàng]],code_khach_hang[],2,0)</f>
        <v>CÔNG TY CỔ PHẦN DỊCH VỤ THƯƠNG MẠI TỔNG HỢP WINCOMMERCE</v>
      </c>
      <c r="G4419" s="16" t="str">
        <f>VLOOKUP(Table8[[#This Row],[Mã khách hàng]],code_khach_hang[],3,0)</f>
        <v>Miền Nam đặc biệt 1</v>
      </c>
      <c r="H4419" t="str">
        <f>VLOOKUP(Table8[[#This Row],[Mã khách hàng]],'Khách hàng'!A:D,4,0)</f>
        <v>Food Đức Việt</v>
      </c>
      <c r="I4419" t="str">
        <f>VLOOKUP(Table8[[#This Row],[Mã khách hàng]],'Khách hàng'!A:E,5,0)</f>
        <v>HCVG80</v>
      </c>
    </row>
    <row r="4420" spans="1:9" x14ac:dyDescent="0.25">
      <c r="A4420" s="14" t="s">
        <v>13769</v>
      </c>
      <c r="B4420" s="15" t="s">
        <v>5</v>
      </c>
      <c r="C4420" s="16" t="s">
        <v>14895</v>
      </c>
      <c r="D4420" s="21"/>
      <c r="E4420" s="32" t="s">
        <v>15667</v>
      </c>
      <c r="F4420" s="22" t="str">
        <f>VLOOKUP(Table8[[#This Row],[Mã khách hàng]],code_khach_hang[],2,0)</f>
        <v>CÔNG TY CỔ PHẦN DỊCH VỤ THƯƠNG MẠI TỔNG HỢP WINCOMMERCE</v>
      </c>
      <c r="G4420" s="16" t="str">
        <f>VLOOKUP(Table8[[#This Row],[Mã khách hàng]],code_khach_hang[],3,0)</f>
        <v>Miền Nam đặc biệt 1</v>
      </c>
      <c r="H4420" t="str">
        <f>VLOOKUP(Table8[[#This Row],[Mã khách hàng]],'Khách hàng'!A:D,4,0)</f>
        <v>Food Đức Việt</v>
      </c>
      <c r="I4420" t="str">
        <f>VLOOKUP(Table8[[#This Row],[Mã khách hàng]],'Khách hàng'!A:E,5,0)</f>
        <v>HCVG80</v>
      </c>
    </row>
    <row r="4421" spans="1:9" x14ac:dyDescent="0.25">
      <c r="A4421" s="14" t="s">
        <v>13770</v>
      </c>
      <c r="B4421" s="15" t="s">
        <v>5</v>
      </c>
      <c r="C4421" s="16" t="s">
        <v>14896</v>
      </c>
      <c r="D4421" s="21"/>
      <c r="E4421" s="32" t="s">
        <v>15667</v>
      </c>
      <c r="F4421" s="22" t="str">
        <f>VLOOKUP(Table8[[#This Row],[Mã khách hàng]],code_khach_hang[],2,0)</f>
        <v>CÔNG TY CỔ PHẦN DỊCH VỤ THƯƠNG MẠI TỔNG HỢP WINCOMMERCE</v>
      </c>
      <c r="G4421" s="16" t="str">
        <f>VLOOKUP(Table8[[#This Row],[Mã khách hàng]],code_khach_hang[],3,0)</f>
        <v>Miền Nam đặc biệt 1</v>
      </c>
      <c r="H4421" t="str">
        <f>VLOOKUP(Table8[[#This Row],[Mã khách hàng]],'Khách hàng'!A:D,4,0)</f>
        <v>Food Đức Việt</v>
      </c>
      <c r="I4421" t="str">
        <f>VLOOKUP(Table8[[#This Row],[Mã khách hàng]],'Khách hàng'!A:E,5,0)</f>
        <v>HCVG80</v>
      </c>
    </row>
    <row r="4422" spans="1:9" x14ac:dyDescent="0.25">
      <c r="A4422" s="14" t="s">
        <v>13771</v>
      </c>
      <c r="B4422" s="15" t="s">
        <v>5</v>
      </c>
      <c r="C4422" s="16" t="s">
        <v>14897</v>
      </c>
      <c r="D4422" s="21"/>
      <c r="E4422" s="32" t="s">
        <v>15667</v>
      </c>
      <c r="F4422" s="22" t="str">
        <f>VLOOKUP(Table8[[#This Row],[Mã khách hàng]],code_khach_hang[],2,0)</f>
        <v>CÔNG TY CỔ PHẦN DỊCH VỤ THƯƠNG MẠI TỔNG HỢP WINCOMMERCE</v>
      </c>
      <c r="G4422" s="16" t="str">
        <f>VLOOKUP(Table8[[#This Row],[Mã khách hàng]],code_khach_hang[],3,0)</f>
        <v>Miền Nam đặc biệt 1</v>
      </c>
      <c r="H4422" t="str">
        <f>VLOOKUP(Table8[[#This Row],[Mã khách hàng]],'Khách hàng'!A:D,4,0)</f>
        <v>Food Đức Việt</v>
      </c>
      <c r="I4422" t="str">
        <f>VLOOKUP(Table8[[#This Row],[Mã khách hàng]],'Khách hàng'!A:E,5,0)</f>
        <v>HCVG80</v>
      </c>
    </row>
    <row r="4423" spans="1:9" x14ac:dyDescent="0.25">
      <c r="A4423" s="14" t="s">
        <v>13772</v>
      </c>
      <c r="B4423" s="15" t="s">
        <v>5</v>
      </c>
      <c r="C4423" s="16" t="s">
        <v>14898</v>
      </c>
      <c r="D4423" s="21"/>
      <c r="E4423" s="32" t="s">
        <v>15669</v>
      </c>
      <c r="F4423" s="22" t="str">
        <f>VLOOKUP(Table8[[#This Row],[Mã khách hàng]],code_khach_hang[],2,0)</f>
        <v>CHI NHÁNH CẦN THƠ - CÔNG TY CỔ PHẦN DỊCH VỤ THƯƠNG MẠI TỔNG HỢP WINCOMMERCE</v>
      </c>
      <c r="G4423" s="16" t="str">
        <f>VLOOKUP(Table8[[#This Row],[Mã khách hàng]],code_khach_hang[],3,0)</f>
        <v>Miền Nam đặc biệt 2</v>
      </c>
      <c r="H4423" t="str">
        <f>VLOOKUP(Table8[[#This Row],[Mã khách hàng]],'Khách hàng'!A:D,4,0)</f>
        <v>Food Đức Việt</v>
      </c>
      <c r="I4423" t="str">
        <f>VLOOKUP(Table8[[#This Row],[Mã khách hàng]],'Khách hàng'!A:E,5,0)</f>
        <v>HC-CT120</v>
      </c>
    </row>
    <row r="4424" spans="1:9" x14ac:dyDescent="0.25">
      <c r="A4424" s="14" t="s">
        <v>13773</v>
      </c>
      <c r="B4424" s="15" t="s">
        <v>5</v>
      </c>
      <c r="C4424" s="16" t="s">
        <v>14899</v>
      </c>
      <c r="D4424" s="21"/>
      <c r="E4424" s="32" t="s">
        <v>15667</v>
      </c>
      <c r="F4424" s="22" t="str">
        <f>VLOOKUP(Table8[[#This Row],[Mã khách hàng]],code_khach_hang[],2,0)</f>
        <v>CÔNG TY CỔ PHẦN DỊCH VỤ THƯƠNG MẠI TỔNG HỢP WINCOMMERCE</v>
      </c>
      <c r="G4424" s="16" t="str">
        <f>VLOOKUP(Table8[[#This Row],[Mã khách hàng]],code_khach_hang[],3,0)</f>
        <v>Miền Nam đặc biệt 1</v>
      </c>
      <c r="H4424" t="str">
        <f>VLOOKUP(Table8[[#This Row],[Mã khách hàng]],'Khách hàng'!A:D,4,0)</f>
        <v>Food Đức Việt</v>
      </c>
      <c r="I4424" t="str">
        <f>VLOOKUP(Table8[[#This Row],[Mã khách hàng]],'Khách hàng'!A:E,5,0)</f>
        <v>HCVG80</v>
      </c>
    </row>
    <row r="4425" spans="1:9" x14ac:dyDescent="0.25">
      <c r="A4425" s="14" t="s">
        <v>13774</v>
      </c>
      <c r="B4425" s="15" t="s">
        <v>5</v>
      </c>
      <c r="C4425" s="16" t="s">
        <v>14900</v>
      </c>
      <c r="D4425" s="21"/>
      <c r="E4425" s="32" t="s">
        <v>15668</v>
      </c>
      <c r="F4425" s="22" t="str">
        <f>VLOOKUP(Table8[[#This Row],[Mã khách hàng]],code_khach_hang[],2,0)</f>
        <v>CHI NHÁNH ĐỒNG NAI - CÔNG TY CỔ PHẦN DỊCH VỤ THƯƠNG MẠI TỔNG HỢP WINCOMMERCE</v>
      </c>
      <c r="G4425" s="16" t="str">
        <f>VLOOKUP(Table8[[#This Row],[Mã khách hàng]],code_khach_hang[],3,0)</f>
        <v>Miền Nam đặc biệt 3</v>
      </c>
      <c r="H4425" t="str">
        <f>VLOOKUP(Table8[[#This Row],[Mã khách hàng]],'Khách hàng'!A:D,4,0)</f>
        <v>Food Đức Việt</v>
      </c>
      <c r="I4425" t="str">
        <f>VLOOKUP(Table8[[#This Row],[Mã khách hàng]],'Khách hàng'!A:E,5,0)</f>
        <v>HCVG80</v>
      </c>
    </row>
    <row r="4426" spans="1:9" x14ac:dyDescent="0.25">
      <c r="A4426" s="14" t="s">
        <v>13775</v>
      </c>
      <c r="B4426" s="15" t="s">
        <v>5</v>
      </c>
      <c r="C4426" s="16" t="s">
        <v>14901</v>
      </c>
      <c r="D4426" s="21"/>
      <c r="E4426" s="32" t="s">
        <v>15667</v>
      </c>
      <c r="F4426" s="22" t="str">
        <f>VLOOKUP(Table8[[#This Row],[Mã khách hàng]],code_khach_hang[],2,0)</f>
        <v>CÔNG TY CỔ PHẦN DỊCH VỤ THƯƠNG MẠI TỔNG HỢP WINCOMMERCE</v>
      </c>
      <c r="G4426" s="16" t="str">
        <f>VLOOKUP(Table8[[#This Row],[Mã khách hàng]],code_khach_hang[],3,0)</f>
        <v>Miền Nam đặc biệt 1</v>
      </c>
      <c r="H4426" t="str">
        <f>VLOOKUP(Table8[[#This Row],[Mã khách hàng]],'Khách hàng'!A:D,4,0)</f>
        <v>Food Đức Việt</v>
      </c>
      <c r="I4426" t="str">
        <f>VLOOKUP(Table8[[#This Row],[Mã khách hàng]],'Khách hàng'!A:E,5,0)</f>
        <v>HCVG80</v>
      </c>
    </row>
    <row r="4427" spans="1:9" x14ac:dyDescent="0.25">
      <c r="A4427" s="14" t="s">
        <v>13776</v>
      </c>
      <c r="B4427" s="15" t="s">
        <v>5</v>
      </c>
      <c r="C4427" s="16" t="s">
        <v>14902</v>
      </c>
      <c r="D4427" s="21"/>
      <c r="E4427" s="32" t="s">
        <v>15667</v>
      </c>
      <c r="F4427" s="22" t="str">
        <f>VLOOKUP(Table8[[#This Row],[Mã khách hàng]],code_khach_hang[],2,0)</f>
        <v>CÔNG TY CỔ PHẦN DỊCH VỤ THƯƠNG MẠI TỔNG HỢP WINCOMMERCE</v>
      </c>
      <c r="G4427" s="16" t="str">
        <f>VLOOKUP(Table8[[#This Row],[Mã khách hàng]],code_khach_hang[],3,0)</f>
        <v>Miền Nam đặc biệt 1</v>
      </c>
      <c r="H4427" t="str">
        <f>VLOOKUP(Table8[[#This Row],[Mã khách hàng]],'Khách hàng'!A:D,4,0)</f>
        <v>Food Đức Việt</v>
      </c>
      <c r="I4427" t="str">
        <f>VLOOKUP(Table8[[#This Row],[Mã khách hàng]],'Khách hàng'!A:E,5,0)</f>
        <v>HCVG80</v>
      </c>
    </row>
    <row r="4428" spans="1:9" x14ac:dyDescent="0.25">
      <c r="A4428" s="14" t="s">
        <v>13777</v>
      </c>
      <c r="B4428" s="15" t="s">
        <v>5</v>
      </c>
      <c r="C4428" s="16" t="s">
        <v>14903</v>
      </c>
      <c r="D4428" s="21"/>
      <c r="E4428" s="32" t="s">
        <v>15669</v>
      </c>
      <c r="F4428" s="22" t="str">
        <f>VLOOKUP(Table8[[#This Row],[Mã khách hàng]],code_khach_hang[],2,0)</f>
        <v>CHI NHÁNH CẦN THƠ - CÔNG TY CỔ PHẦN DỊCH VỤ THƯƠNG MẠI TỔNG HỢP WINCOMMERCE</v>
      </c>
      <c r="G4428" s="16" t="str">
        <f>VLOOKUP(Table8[[#This Row],[Mã khách hàng]],code_khach_hang[],3,0)</f>
        <v>Miền Nam đặc biệt 2</v>
      </c>
      <c r="H4428" t="str">
        <f>VLOOKUP(Table8[[#This Row],[Mã khách hàng]],'Khách hàng'!A:D,4,0)</f>
        <v>Food Đức Việt</v>
      </c>
      <c r="I4428" t="str">
        <f>VLOOKUP(Table8[[#This Row],[Mã khách hàng]],'Khách hàng'!A:E,5,0)</f>
        <v>HC-CT120</v>
      </c>
    </row>
    <row r="4429" spans="1:9" x14ac:dyDescent="0.25">
      <c r="A4429" s="14" t="s">
        <v>13778</v>
      </c>
      <c r="B4429" s="15" t="s">
        <v>5</v>
      </c>
      <c r="C4429" s="16" t="s">
        <v>14904</v>
      </c>
      <c r="D4429" s="21"/>
      <c r="E4429" s="32" t="s">
        <v>15667</v>
      </c>
      <c r="F4429" s="22" t="str">
        <f>VLOOKUP(Table8[[#This Row],[Mã khách hàng]],code_khach_hang[],2,0)</f>
        <v>CÔNG TY CỔ PHẦN DỊCH VỤ THƯƠNG MẠI TỔNG HỢP WINCOMMERCE</v>
      </c>
      <c r="G4429" s="16" t="str">
        <f>VLOOKUP(Table8[[#This Row],[Mã khách hàng]],code_khach_hang[],3,0)</f>
        <v>Miền Nam đặc biệt 1</v>
      </c>
      <c r="H4429" t="str">
        <f>VLOOKUP(Table8[[#This Row],[Mã khách hàng]],'Khách hàng'!A:D,4,0)</f>
        <v>Food Đức Việt</v>
      </c>
      <c r="I4429" t="str">
        <f>VLOOKUP(Table8[[#This Row],[Mã khách hàng]],'Khách hàng'!A:E,5,0)</f>
        <v>HCVG80</v>
      </c>
    </row>
    <row r="4430" spans="1:9" x14ac:dyDescent="0.25">
      <c r="A4430" s="14" t="s">
        <v>13779</v>
      </c>
      <c r="B4430" s="15" t="s">
        <v>5</v>
      </c>
      <c r="C4430" s="16" t="s">
        <v>14905</v>
      </c>
      <c r="D4430" s="21"/>
      <c r="E4430" s="32" t="s">
        <v>15669</v>
      </c>
      <c r="F4430" s="22" t="str">
        <f>VLOOKUP(Table8[[#This Row],[Mã khách hàng]],code_khach_hang[],2,0)</f>
        <v>CHI NHÁNH CẦN THƠ - CÔNG TY CỔ PHẦN DỊCH VỤ THƯƠNG MẠI TỔNG HỢP WINCOMMERCE</v>
      </c>
      <c r="G4430" s="16" t="str">
        <f>VLOOKUP(Table8[[#This Row],[Mã khách hàng]],code_khach_hang[],3,0)</f>
        <v>Miền Nam đặc biệt 2</v>
      </c>
      <c r="H4430" t="str">
        <f>VLOOKUP(Table8[[#This Row],[Mã khách hàng]],'Khách hàng'!A:D,4,0)</f>
        <v>Food Đức Việt</v>
      </c>
      <c r="I4430" t="str">
        <f>VLOOKUP(Table8[[#This Row],[Mã khách hàng]],'Khách hàng'!A:E,5,0)</f>
        <v>HC-CT120</v>
      </c>
    </row>
    <row r="4431" spans="1:9" x14ac:dyDescent="0.25">
      <c r="A4431" s="14" t="s">
        <v>13780</v>
      </c>
      <c r="B4431" s="15" t="s">
        <v>5</v>
      </c>
      <c r="C4431" s="16" t="s">
        <v>14906</v>
      </c>
      <c r="D4431" s="21"/>
      <c r="E4431" s="32" t="s">
        <v>15671</v>
      </c>
      <c r="F4431" s="22" t="str">
        <f>VLOOKUP(Table8[[#This Row],[Mã khách hàng]],code_khach_hang[],2,0)</f>
        <v>CHI NHÁNH BÌNH DƯƠNG - CÔNG TY CỔ PHẦN DỊCH VỤ THƯƠNG MẠI TỔNG HỢP WINCOMMERCE</v>
      </c>
      <c r="G4431" s="16" t="str">
        <f>VLOOKUP(Table8[[#This Row],[Mã khách hàng]],code_khach_hang[],3,0)</f>
        <v>Miền Nam đặc biệt 1</v>
      </c>
      <c r="H4431" t="str">
        <f>VLOOKUP(Table8[[#This Row],[Mã khách hàng]],'Khách hàng'!A:D,4,0)</f>
        <v>Food Đức Việt</v>
      </c>
      <c r="I4431" t="str">
        <f>VLOOKUP(Table8[[#This Row],[Mã khách hàng]],'Khách hàng'!A:E,5,0)</f>
        <v>HCVG80</v>
      </c>
    </row>
    <row r="4432" spans="1:9" x14ac:dyDescent="0.25">
      <c r="A4432" s="14" t="s">
        <v>13781</v>
      </c>
      <c r="B4432" s="15" t="s">
        <v>5</v>
      </c>
      <c r="C4432" s="16" t="s">
        <v>14907</v>
      </c>
      <c r="D4432" s="21"/>
      <c r="E4432" s="32" t="s">
        <v>15667</v>
      </c>
      <c r="F4432" s="22" t="str">
        <f>VLOOKUP(Table8[[#This Row],[Mã khách hàng]],code_khach_hang[],2,0)</f>
        <v>CÔNG TY CỔ PHẦN DỊCH VỤ THƯƠNG MẠI TỔNG HỢP WINCOMMERCE</v>
      </c>
      <c r="G4432" s="16" t="str">
        <f>VLOOKUP(Table8[[#This Row],[Mã khách hàng]],code_khach_hang[],3,0)</f>
        <v>Miền Nam đặc biệt 1</v>
      </c>
      <c r="H4432" t="str">
        <f>VLOOKUP(Table8[[#This Row],[Mã khách hàng]],'Khách hàng'!A:D,4,0)</f>
        <v>Food Đức Việt</v>
      </c>
      <c r="I4432" t="str">
        <f>VLOOKUP(Table8[[#This Row],[Mã khách hàng]],'Khách hàng'!A:E,5,0)</f>
        <v>HCVG80</v>
      </c>
    </row>
    <row r="4433" spans="1:9" x14ac:dyDescent="0.25">
      <c r="A4433" s="14" t="s">
        <v>13782</v>
      </c>
      <c r="B4433" s="15" t="s">
        <v>5</v>
      </c>
      <c r="C4433" s="16" t="s">
        <v>14908</v>
      </c>
      <c r="D4433" s="21"/>
      <c r="E4433" s="32" t="s">
        <v>15667</v>
      </c>
      <c r="F4433" s="22" t="str">
        <f>VLOOKUP(Table8[[#This Row],[Mã khách hàng]],code_khach_hang[],2,0)</f>
        <v>CÔNG TY CỔ PHẦN DỊCH VỤ THƯƠNG MẠI TỔNG HỢP WINCOMMERCE</v>
      </c>
      <c r="G4433" s="16" t="str">
        <f>VLOOKUP(Table8[[#This Row],[Mã khách hàng]],code_khach_hang[],3,0)</f>
        <v>Miền Nam đặc biệt 1</v>
      </c>
      <c r="H4433" t="str">
        <f>VLOOKUP(Table8[[#This Row],[Mã khách hàng]],'Khách hàng'!A:D,4,0)</f>
        <v>Food Đức Việt</v>
      </c>
      <c r="I4433" t="str">
        <f>VLOOKUP(Table8[[#This Row],[Mã khách hàng]],'Khách hàng'!A:E,5,0)</f>
        <v>HCVG80</v>
      </c>
    </row>
    <row r="4434" spans="1:9" x14ac:dyDescent="0.25">
      <c r="A4434" s="14" t="s">
        <v>13783</v>
      </c>
      <c r="B4434" s="15" t="s">
        <v>5</v>
      </c>
      <c r="C4434" s="16" t="s">
        <v>14909</v>
      </c>
      <c r="D4434" s="21"/>
      <c r="E4434" s="32" t="s">
        <v>15669</v>
      </c>
      <c r="F4434" s="22" t="str">
        <f>VLOOKUP(Table8[[#This Row],[Mã khách hàng]],code_khach_hang[],2,0)</f>
        <v>CHI NHÁNH CẦN THƠ - CÔNG TY CỔ PHẦN DỊCH VỤ THƯƠNG MẠI TỔNG HỢP WINCOMMERCE</v>
      </c>
      <c r="G4434" s="16" t="str">
        <f>VLOOKUP(Table8[[#This Row],[Mã khách hàng]],code_khach_hang[],3,0)</f>
        <v>Miền Nam đặc biệt 2</v>
      </c>
      <c r="H4434" t="str">
        <f>VLOOKUP(Table8[[#This Row],[Mã khách hàng]],'Khách hàng'!A:D,4,0)</f>
        <v>Food Đức Việt</v>
      </c>
      <c r="I4434" t="str">
        <f>VLOOKUP(Table8[[#This Row],[Mã khách hàng]],'Khách hàng'!A:E,5,0)</f>
        <v>HC-CT120</v>
      </c>
    </row>
    <row r="4435" spans="1:9" x14ac:dyDescent="0.25">
      <c r="A4435" s="14" t="s">
        <v>13784</v>
      </c>
      <c r="B4435" s="15" t="s">
        <v>5</v>
      </c>
      <c r="C4435" s="16" t="s">
        <v>14910</v>
      </c>
      <c r="D4435" s="21"/>
      <c r="E4435" s="32" t="s">
        <v>15667</v>
      </c>
      <c r="F4435" s="22" t="str">
        <f>VLOOKUP(Table8[[#This Row],[Mã khách hàng]],code_khach_hang[],2,0)</f>
        <v>CÔNG TY CỔ PHẦN DỊCH VỤ THƯƠNG MẠI TỔNG HỢP WINCOMMERCE</v>
      </c>
      <c r="G4435" s="16" t="str">
        <f>VLOOKUP(Table8[[#This Row],[Mã khách hàng]],code_khach_hang[],3,0)</f>
        <v>Miền Nam đặc biệt 1</v>
      </c>
      <c r="H4435" t="str">
        <f>VLOOKUP(Table8[[#This Row],[Mã khách hàng]],'Khách hàng'!A:D,4,0)</f>
        <v>Food Đức Việt</v>
      </c>
      <c r="I4435" t="str">
        <f>VLOOKUP(Table8[[#This Row],[Mã khách hàng]],'Khách hàng'!A:E,5,0)</f>
        <v>HCVG80</v>
      </c>
    </row>
    <row r="4436" spans="1:9" x14ac:dyDescent="0.25">
      <c r="A4436" s="14" t="s">
        <v>13785</v>
      </c>
      <c r="B4436" s="15" t="s">
        <v>5</v>
      </c>
      <c r="C4436" s="16" t="s">
        <v>14911</v>
      </c>
      <c r="D4436" s="21"/>
      <c r="E4436" s="32" t="s">
        <v>15667</v>
      </c>
      <c r="F4436" s="22" t="str">
        <f>VLOOKUP(Table8[[#This Row],[Mã khách hàng]],code_khach_hang[],2,0)</f>
        <v>CÔNG TY CỔ PHẦN DỊCH VỤ THƯƠNG MẠI TỔNG HỢP WINCOMMERCE</v>
      </c>
      <c r="G4436" s="16" t="str">
        <f>VLOOKUP(Table8[[#This Row],[Mã khách hàng]],code_khach_hang[],3,0)</f>
        <v>Miền Nam đặc biệt 1</v>
      </c>
      <c r="H4436" t="str">
        <f>VLOOKUP(Table8[[#This Row],[Mã khách hàng]],'Khách hàng'!A:D,4,0)</f>
        <v>Food Đức Việt</v>
      </c>
      <c r="I4436" t="str">
        <f>VLOOKUP(Table8[[#This Row],[Mã khách hàng]],'Khách hàng'!A:E,5,0)</f>
        <v>HCVG80</v>
      </c>
    </row>
    <row r="4437" spans="1:9" x14ac:dyDescent="0.25">
      <c r="A4437" s="14" t="s">
        <v>13786</v>
      </c>
      <c r="B4437" s="15" t="s">
        <v>5</v>
      </c>
      <c r="C4437" s="16" t="s">
        <v>14912</v>
      </c>
      <c r="D4437" s="21"/>
      <c r="E4437" s="32" t="s">
        <v>15669</v>
      </c>
      <c r="F4437" s="22" t="str">
        <f>VLOOKUP(Table8[[#This Row],[Mã khách hàng]],code_khach_hang[],2,0)</f>
        <v>CHI NHÁNH CẦN THƠ - CÔNG TY CỔ PHẦN DỊCH VỤ THƯƠNG MẠI TỔNG HỢP WINCOMMERCE</v>
      </c>
      <c r="G4437" s="16" t="str">
        <f>VLOOKUP(Table8[[#This Row],[Mã khách hàng]],code_khach_hang[],3,0)</f>
        <v>Miền Nam đặc biệt 2</v>
      </c>
      <c r="H4437" t="str">
        <f>VLOOKUP(Table8[[#This Row],[Mã khách hàng]],'Khách hàng'!A:D,4,0)</f>
        <v>Food Đức Việt</v>
      </c>
      <c r="I4437" t="str">
        <f>VLOOKUP(Table8[[#This Row],[Mã khách hàng]],'Khách hàng'!A:E,5,0)</f>
        <v>HC-CT120</v>
      </c>
    </row>
    <row r="4438" spans="1:9" x14ac:dyDescent="0.25">
      <c r="A4438" s="14" t="s">
        <v>13787</v>
      </c>
      <c r="B4438" s="15" t="s">
        <v>5</v>
      </c>
      <c r="C4438" s="16" t="s">
        <v>14913</v>
      </c>
      <c r="D4438" s="21"/>
      <c r="E4438" s="32" t="s">
        <v>15671</v>
      </c>
      <c r="F4438" s="22" t="str">
        <f>VLOOKUP(Table8[[#This Row],[Mã khách hàng]],code_khach_hang[],2,0)</f>
        <v>CHI NHÁNH BÌNH DƯƠNG - CÔNG TY CỔ PHẦN DỊCH VỤ THƯƠNG MẠI TỔNG HỢP WINCOMMERCE</v>
      </c>
      <c r="G4438" s="16" t="str">
        <f>VLOOKUP(Table8[[#This Row],[Mã khách hàng]],code_khach_hang[],3,0)</f>
        <v>Miền Nam đặc biệt 1</v>
      </c>
      <c r="H4438" t="str">
        <f>VLOOKUP(Table8[[#This Row],[Mã khách hàng]],'Khách hàng'!A:D,4,0)</f>
        <v>Food Đức Việt</v>
      </c>
      <c r="I4438" t="str">
        <f>VLOOKUP(Table8[[#This Row],[Mã khách hàng]],'Khách hàng'!A:E,5,0)</f>
        <v>HCVG80</v>
      </c>
    </row>
    <row r="4439" spans="1:9" x14ac:dyDescent="0.25">
      <c r="A4439" s="14" t="s">
        <v>13788</v>
      </c>
      <c r="B4439" s="15" t="s">
        <v>5</v>
      </c>
      <c r="C4439" s="16" t="s">
        <v>14914</v>
      </c>
      <c r="D4439" s="21"/>
      <c r="E4439" s="32" t="s">
        <v>15667</v>
      </c>
      <c r="F4439" s="22" t="str">
        <f>VLOOKUP(Table8[[#This Row],[Mã khách hàng]],code_khach_hang[],2,0)</f>
        <v>CÔNG TY CỔ PHẦN DỊCH VỤ THƯƠNG MẠI TỔNG HỢP WINCOMMERCE</v>
      </c>
      <c r="G4439" s="16" t="str">
        <f>VLOOKUP(Table8[[#This Row],[Mã khách hàng]],code_khach_hang[],3,0)</f>
        <v>Miền Nam đặc biệt 1</v>
      </c>
      <c r="H4439" t="str">
        <f>VLOOKUP(Table8[[#This Row],[Mã khách hàng]],'Khách hàng'!A:D,4,0)</f>
        <v>Food Đức Việt</v>
      </c>
      <c r="I4439" t="str">
        <f>VLOOKUP(Table8[[#This Row],[Mã khách hàng]],'Khách hàng'!A:E,5,0)</f>
        <v>HCVG80</v>
      </c>
    </row>
    <row r="4440" spans="1:9" x14ac:dyDescent="0.25">
      <c r="A4440" s="14" t="s">
        <v>13789</v>
      </c>
      <c r="B4440" s="15" t="s">
        <v>5</v>
      </c>
      <c r="C4440" s="16" t="s">
        <v>14915</v>
      </c>
      <c r="D4440" s="21"/>
      <c r="E4440" s="32" t="s">
        <v>15669</v>
      </c>
      <c r="F4440" s="22" t="str">
        <f>VLOOKUP(Table8[[#This Row],[Mã khách hàng]],code_khach_hang[],2,0)</f>
        <v>CHI NHÁNH CẦN THƠ - CÔNG TY CỔ PHẦN DỊCH VỤ THƯƠNG MẠI TỔNG HỢP WINCOMMERCE</v>
      </c>
      <c r="G4440" s="16" t="str">
        <f>VLOOKUP(Table8[[#This Row],[Mã khách hàng]],code_khach_hang[],3,0)</f>
        <v>Miền Nam đặc biệt 2</v>
      </c>
      <c r="H4440" t="str">
        <f>VLOOKUP(Table8[[#This Row],[Mã khách hàng]],'Khách hàng'!A:D,4,0)</f>
        <v>Food Đức Việt</v>
      </c>
      <c r="I4440" t="str">
        <f>VLOOKUP(Table8[[#This Row],[Mã khách hàng]],'Khách hàng'!A:E,5,0)</f>
        <v>HC-CT120</v>
      </c>
    </row>
    <row r="4441" spans="1:9" x14ac:dyDescent="0.25">
      <c r="A4441" s="14" t="s">
        <v>13790</v>
      </c>
      <c r="B4441" s="15" t="s">
        <v>5</v>
      </c>
      <c r="C4441" s="16" t="s">
        <v>14916</v>
      </c>
      <c r="D4441" s="21"/>
      <c r="E4441" s="32" t="s">
        <v>15667</v>
      </c>
      <c r="F4441" s="22" t="str">
        <f>VLOOKUP(Table8[[#This Row],[Mã khách hàng]],code_khach_hang[],2,0)</f>
        <v>CÔNG TY CỔ PHẦN DỊCH VỤ THƯƠNG MẠI TỔNG HỢP WINCOMMERCE</v>
      </c>
      <c r="G4441" s="16" t="str">
        <f>VLOOKUP(Table8[[#This Row],[Mã khách hàng]],code_khach_hang[],3,0)</f>
        <v>Miền Nam đặc biệt 1</v>
      </c>
      <c r="H4441" t="str">
        <f>VLOOKUP(Table8[[#This Row],[Mã khách hàng]],'Khách hàng'!A:D,4,0)</f>
        <v>Food Đức Việt</v>
      </c>
      <c r="I4441" t="str">
        <f>VLOOKUP(Table8[[#This Row],[Mã khách hàng]],'Khách hàng'!A:E,5,0)</f>
        <v>HCVG80</v>
      </c>
    </row>
    <row r="4442" spans="1:9" x14ac:dyDescent="0.25">
      <c r="A4442" s="14" t="s">
        <v>13791</v>
      </c>
      <c r="B4442" s="15" t="s">
        <v>5</v>
      </c>
      <c r="C4442" s="16" t="s">
        <v>14917</v>
      </c>
      <c r="D4442" s="21"/>
      <c r="E4442" s="32" t="s">
        <v>15667</v>
      </c>
      <c r="F4442" s="22" t="str">
        <f>VLOOKUP(Table8[[#This Row],[Mã khách hàng]],code_khach_hang[],2,0)</f>
        <v>CÔNG TY CỔ PHẦN DỊCH VỤ THƯƠNG MẠI TỔNG HỢP WINCOMMERCE</v>
      </c>
      <c r="G4442" s="16" t="str">
        <f>VLOOKUP(Table8[[#This Row],[Mã khách hàng]],code_khach_hang[],3,0)</f>
        <v>Miền Nam đặc biệt 1</v>
      </c>
      <c r="H4442" t="str">
        <f>VLOOKUP(Table8[[#This Row],[Mã khách hàng]],'Khách hàng'!A:D,4,0)</f>
        <v>Food Đức Việt</v>
      </c>
      <c r="I4442" t="str">
        <f>VLOOKUP(Table8[[#This Row],[Mã khách hàng]],'Khách hàng'!A:E,5,0)</f>
        <v>HCVG80</v>
      </c>
    </row>
    <row r="4443" spans="1:9" x14ac:dyDescent="0.25">
      <c r="A4443" s="14" t="s">
        <v>13792</v>
      </c>
      <c r="B4443" s="15" t="s">
        <v>5</v>
      </c>
      <c r="C4443" s="16" t="s">
        <v>14918</v>
      </c>
      <c r="D4443" s="21"/>
      <c r="E4443" s="32" t="s">
        <v>15667</v>
      </c>
      <c r="F4443" s="22" t="str">
        <f>VLOOKUP(Table8[[#This Row],[Mã khách hàng]],code_khach_hang[],2,0)</f>
        <v>CÔNG TY CỔ PHẦN DỊCH VỤ THƯƠNG MẠI TỔNG HỢP WINCOMMERCE</v>
      </c>
      <c r="G4443" s="16" t="str">
        <f>VLOOKUP(Table8[[#This Row],[Mã khách hàng]],code_khach_hang[],3,0)</f>
        <v>Miền Nam đặc biệt 1</v>
      </c>
      <c r="H4443" t="str">
        <f>VLOOKUP(Table8[[#This Row],[Mã khách hàng]],'Khách hàng'!A:D,4,0)</f>
        <v>Food Đức Việt</v>
      </c>
      <c r="I4443" t="str">
        <f>VLOOKUP(Table8[[#This Row],[Mã khách hàng]],'Khách hàng'!A:E,5,0)</f>
        <v>HCVG80</v>
      </c>
    </row>
    <row r="4444" spans="1:9" x14ac:dyDescent="0.25">
      <c r="A4444" s="14" t="s">
        <v>13793</v>
      </c>
      <c r="B4444" s="15" t="s">
        <v>5</v>
      </c>
      <c r="C4444" s="16" t="s">
        <v>14919</v>
      </c>
      <c r="D4444" s="21"/>
      <c r="E4444" s="32" t="s">
        <v>15667</v>
      </c>
      <c r="F4444" s="22" t="str">
        <f>VLOOKUP(Table8[[#This Row],[Mã khách hàng]],code_khach_hang[],2,0)</f>
        <v>CÔNG TY CỔ PHẦN DỊCH VỤ THƯƠNG MẠI TỔNG HỢP WINCOMMERCE</v>
      </c>
      <c r="G4444" s="16" t="str">
        <f>VLOOKUP(Table8[[#This Row],[Mã khách hàng]],code_khach_hang[],3,0)</f>
        <v>Miền Nam đặc biệt 1</v>
      </c>
      <c r="H4444" t="str">
        <f>VLOOKUP(Table8[[#This Row],[Mã khách hàng]],'Khách hàng'!A:D,4,0)</f>
        <v>Food Đức Việt</v>
      </c>
      <c r="I4444" t="str">
        <f>VLOOKUP(Table8[[#This Row],[Mã khách hàng]],'Khách hàng'!A:E,5,0)</f>
        <v>HCVG80</v>
      </c>
    </row>
    <row r="4445" spans="1:9" x14ac:dyDescent="0.25">
      <c r="A4445" s="14" t="s">
        <v>13794</v>
      </c>
      <c r="B4445" s="15" t="s">
        <v>5</v>
      </c>
      <c r="C4445" s="16" t="s">
        <v>14920</v>
      </c>
      <c r="D4445" s="21"/>
      <c r="E4445" s="32" t="s">
        <v>15676</v>
      </c>
      <c r="F4445" s="22" t="str">
        <f>VLOOKUP(Table8[[#This Row],[Mã khách hàng]],code_khach_hang[],2,0)</f>
        <v>CHI NHÁNH KIÊN GIANG - CÔNG TY CỔ PHẦN DỊCH VỤ THƯƠNG MẠI TỔNG HỢP WINCOMMERCE</v>
      </c>
      <c r="G4445" s="16" t="str">
        <f>VLOOKUP(Table8[[#This Row],[Mã khách hàng]],code_khach_hang[],3,0)</f>
        <v>Miền Nam đặc biệt 2</v>
      </c>
      <c r="H4445" t="str">
        <f>VLOOKUP(Table8[[#This Row],[Mã khách hàng]],'Khách hàng'!A:D,4,0)</f>
        <v>Food Đức Việt</v>
      </c>
      <c r="I4445" t="str">
        <f>VLOOKUP(Table8[[#This Row],[Mã khách hàng]],'Khách hàng'!A:E,5,0)</f>
        <v>HC-CT120</v>
      </c>
    </row>
    <row r="4446" spans="1:9" x14ac:dyDescent="0.25">
      <c r="A4446" s="14" t="s">
        <v>13795</v>
      </c>
      <c r="B4446" s="15" t="s">
        <v>5</v>
      </c>
      <c r="C4446" s="16" t="s">
        <v>14921</v>
      </c>
      <c r="D4446" s="21"/>
      <c r="E4446" s="32" t="s">
        <v>15669</v>
      </c>
      <c r="F4446" s="22" t="str">
        <f>VLOOKUP(Table8[[#This Row],[Mã khách hàng]],code_khach_hang[],2,0)</f>
        <v>CHI NHÁNH CẦN THƠ - CÔNG TY CỔ PHẦN DỊCH VỤ THƯƠNG MẠI TỔNG HỢP WINCOMMERCE</v>
      </c>
      <c r="G4446" s="16" t="str">
        <f>VLOOKUP(Table8[[#This Row],[Mã khách hàng]],code_khach_hang[],3,0)</f>
        <v>Miền Nam đặc biệt 2</v>
      </c>
      <c r="H4446" t="str">
        <f>VLOOKUP(Table8[[#This Row],[Mã khách hàng]],'Khách hàng'!A:D,4,0)</f>
        <v>Food Đức Việt</v>
      </c>
      <c r="I4446" t="str">
        <f>VLOOKUP(Table8[[#This Row],[Mã khách hàng]],'Khách hàng'!A:E,5,0)</f>
        <v>HC-CT120</v>
      </c>
    </row>
    <row r="4447" spans="1:9" x14ac:dyDescent="0.25">
      <c r="A4447" s="14" t="s">
        <v>13796</v>
      </c>
      <c r="B4447" s="15" t="s">
        <v>5</v>
      </c>
      <c r="C4447" s="16" t="s">
        <v>14922</v>
      </c>
      <c r="D4447" s="21"/>
      <c r="E4447" s="32" t="s">
        <v>15667</v>
      </c>
      <c r="F4447" s="22" t="str">
        <f>VLOOKUP(Table8[[#This Row],[Mã khách hàng]],code_khach_hang[],2,0)</f>
        <v>CÔNG TY CỔ PHẦN DỊCH VỤ THƯƠNG MẠI TỔNG HỢP WINCOMMERCE</v>
      </c>
      <c r="G4447" s="16" t="str">
        <f>VLOOKUP(Table8[[#This Row],[Mã khách hàng]],code_khach_hang[],3,0)</f>
        <v>Miền Nam đặc biệt 1</v>
      </c>
      <c r="H4447" t="str">
        <f>VLOOKUP(Table8[[#This Row],[Mã khách hàng]],'Khách hàng'!A:D,4,0)</f>
        <v>Food Đức Việt</v>
      </c>
      <c r="I4447" t="str">
        <f>VLOOKUP(Table8[[#This Row],[Mã khách hàng]],'Khách hàng'!A:E,5,0)</f>
        <v>HCVG80</v>
      </c>
    </row>
    <row r="4448" spans="1:9" x14ac:dyDescent="0.25">
      <c r="A4448" s="14" t="s">
        <v>13797</v>
      </c>
      <c r="B4448" s="15" t="s">
        <v>5</v>
      </c>
      <c r="C4448" s="16" t="s">
        <v>14923</v>
      </c>
      <c r="D4448" s="21"/>
      <c r="E4448" s="32" t="s">
        <v>15667</v>
      </c>
      <c r="F4448" s="22" t="str">
        <f>VLOOKUP(Table8[[#This Row],[Mã khách hàng]],code_khach_hang[],2,0)</f>
        <v>CÔNG TY CỔ PHẦN DỊCH VỤ THƯƠNG MẠI TỔNG HỢP WINCOMMERCE</v>
      </c>
      <c r="G4448" s="16" t="str">
        <f>VLOOKUP(Table8[[#This Row],[Mã khách hàng]],code_khach_hang[],3,0)</f>
        <v>Miền Nam đặc biệt 1</v>
      </c>
      <c r="H4448" t="str">
        <f>VLOOKUP(Table8[[#This Row],[Mã khách hàng]],'Khách hàng'!A:D,4,0)</f>
        <v>Food Đức Việt</v>
      </c>
      <c r="I4448" t="str">
        <f>VLOOKUP(Table8[[#This Row],[Mã khách hàng]],'Khách hàng'!A:E,5,0)</f>
        <v>HCVG80</v>
      </c>
    </row>
    <row r="4449" spans="1:9" x14ac:dyDescent="0.25">
      <c r="A4449" s="14" t="s">
        <v>13798</v>
      </c>
      <c r="B4449" s="15" t="s">
        <v>5</v>
      </c>
      <c r="C4449" s="16" t="s">
        <v>14924</v>
      </c>
      <c r="D4449" s="21"/>
      <c r="E4449" s="32" t="s">
        <v>15667</v>
      </c>
      <c r="F4449" s="22" t="str">
        <f>VLOOKUP(Table8[[#This Row],[Mã khách hàng]],code_khach_hang[],2,0)</f>
        <v>CÔNG TY CỔ PHẦN DỊCH VỤ THƯƠNG MẠI TỔNG HỢP WINCOMMERCE</v>
      </c>
      <c r="G4449" s="16" t="str">
        <f>VLOOKUP(Table8[[#This Row],[Mã khách hàng]],code_khach_hang[],3,0)</f>
        <v>Miền Nam đặc biệt 1</v>
      </c>
      <c r="H4449" t="str">
        <f>VLOOKUP(Table8[[#This Row],[Mã khách hàng]],'Khách hàng'!A:D,4,0)</f>
        <v>Food Đức Việt</v>
      </c>
      <c r="I4449" t="str">
        <f>VLOOKUP(Table8[[#This Row],[Mã khách hàng]],'Khách hàng'!A:E,5,0)</f>
        <v>HCVG80</v>
      </c>
    </row>
    <row r="4450" spans="1:9" x14ac:dyDescent="0.25">
      <c r="A4450" s="14" t="s">
        <v>13799</v>
      </c>
      <c r="B4450" s="15" t="s">
        <v>5</v>
      </c>
      <c r="C4450" s="16" t="s">
        <v>14925</v>
      </c>
      <c r="D4450" s="21"/>
      <c r="E4450" s="32" t="s">
        <v>15669</v>
      </c>
      <c r="F4450" s="22" t="str">
        <f>VLOOKUP(Table8[[#This Row],[Mã khách hàng]],code_khach_hang[],2,0)</f>
        <v>CHI NHÁNH CẦN THƠ - CÔNG TY CỔ PHẦN DỊCH VỤ THƯƠNG MẠI TỔNG HỢP WINCOMMERCE</v>
      </c>
      <c r="G4450" s="16" t="str">
        <f>VLOOKUP(Table8[[#This Row],[Mã khách hàng]],code_khach_hang[],3,0)</f>
        <v>Miền Nam đặc biệt 2</v>
      </c>
      <c r="H4450" t="str">
        <f>VLOOKUP(Table8[[#This Row],[Mã khách hàng]],'Khách hàng'!A:D,4,0)</f>
        <v>Food Đức Việt</v>
      </c>
      <c r="I4450" t="str">
        <f>VLOOKUP(Table8[[#This Row],[Mã khách hàng]],'Khách hàng'!A:E,5,0)</f>
        <v>HC-CT120</v>
      </c>
    </row>
    <row r="4451" spans="1:9" x14ac:dyDescent="0.25">
      <c r="A4451" s="14" t="s">
        <v>13800</v>
      </c>
      <c r="B4451" s="15" t="s">
        <v>5</v>
      </c>
      <c r="C4451" s="16" t="s">
        <v>14926</v>
      </c>
      <c r="D4451" s="21"/>
      <c r="E4451" s="32" t="s">
        <v>15668</v>
      </c>
      <c r="F4451" s="22" t="str">
        <f>VLOOKUP(Table8[[#This Row],[Mã khách hàng]],code_khach_hang[],2,0)</f>
        <v>CHI NHÁNH ĐỒNG NAI - CÔNG TY CỔ PHẦN DỊCH VỤ THƯƠNG MẠI TỔNG HỢP WINCOMMERCE</v>
      </c>
      <c r="G4451" s="16" t="str">
        <f>VLOOKUP(Table8[[#This Row],[Mã khách hàng]],code_khach_hang[],3,0)</f>
        <v>Miền Nam đặc biệt 3</v>
      </c>
      <c r="H4451" t="str">
        <f>VLOOKUP(Table8[[#This Row],[Mã khách hàng]],'Khách hàng'!A:D,4,0)</f>
        <v>Food Đức Việt</v>
      </c>
      <c r="I4451" t="str">
        <f>VLOOKUP(Table8[[#This Row],[Mã khách hàng]],'Khách hàng'!A:E,5,0)</f>
        <v>HCVG80</v>
      </c>
    </row>
    <row r="4452" spans="1:9" x14ac:dyDescent="0.25">
      <c r="A4452" s="14" t="s">
        <v>13801</v>
      </c>
      <c r="B4452" s="15" t="s">
        <v>5</v>
      </c>
      <c r="C4452" s="16" t="s">
        <v>14927</v>
      </c>
      <c r="D4452" s="21"/>
      <c r="E4452" s="32" t="s">
        <v>15667</v>
      </c>
      <c r="F4452" s="22" t="str">
        <f>VLOOKUP(Table8[[#This Row],[Mã khách hàng]],code_khach_hang[],2,0)</f>
        <v>CÔNG TY CỔ PHẦN DỊCH VỤ THƯƠNG MẠI TỔNG HỢP WINCOMMERCE</v>
      </c>
      <c r="G4452" s="16" t="str">
        <f>VLOOKUP(Table8[[#This Row],[Mã khách hàng]],code_khach_hang[],3,0)</f>
        <v>Miền Nam đặc biệt 1</v>
      </c>
      <c r="H4452" t="str">
        <f>VLOOKUP(Table8[[#This Row],[Mã khách hàng]],'Khách hàng'!A:D,4,0)</f>
        <v>Food Đức Việt</v>
      </c>
      <c r="I4452" t="str">
        <f>VLOOKUP(Table8[[#This Row],[Mã khách hàng]],'Khách hàng'!A:E,5,0)</f>
        <v>HCVG80</v>
      </c>
    </row>
    <row r="4453" spans="1:9" x14ac:dyDescent="0.25">
      <c r="A4453" s="14" t="s">
        <v>13802</v>
      </c>
      <c r="B4453" s="15" t="s">
        <v>5</v>
      </c>
      <c r="C4453" s="16" t="s">
        <v>14928</v>
      </c>
      <c r="D4453" s="21"/>
      <c r="E4453" s="32" t="s">
        <v>15667</v>
      </c>
      <c r="F4453" s="22" t="str">
        <f>VLOOKUP(Table8[[#This Row],[Mã khách hàng]],code_khach_hang[],2,0)</f>
        <v>CÔNG TY CỔ PHẦN DỊCH VỤ THƯƠNG MẠI TỔNG HỢP WINCOMMERCE</v>
      </c>
      <c r="G4453" s="16" t="str">
        <f>VLOOKUP(Table8[[#This Row],[Mã khách hàng]],code_khach_hang[],3,0)</f>
        <v>Miền Nam đặc biệt 1</v>
      </c>
      <c r="H4453" t="str">
        <f>VLOOKUP(Table8[[#This Row],[Mã khách hàng]],'Khách hàng'!A:D,4,0)</f>
        <v>Food Đức Việt</v>
      </c>
      <c r="I4453" t="str">
        <f>VLOOKUP(Table8[[#This Row],[Mã khách hàng]],'Khách hàng'!A:E,5,0)</f>
        <v>HCVG80</v>
      </c>
    </row>
    <row r="4454" spans="1:9" x14ac:dyDescent="0.25">
      <c r="A4454" s="14" t="s">
        <v>13803</v>
      </c>
      <c r="B4454" s="15" t="s">
        <v>5</v>
      </c>
      <c r="C4454" s="16" t="s">
        <v>14929</v>
      </c>
      <c r="D4454" s="21"/>
      <c r="E4454" s="32" t="s">
        <v>15667</v>
      </c>
      <c r="F4454" s="22" t="str">
        <f>VLOOKUP(Table8[[#This Row],[Mã khách hàng]],code_khach_hang[],2,0)</f>
        <v>CÔNG TY CỔ PHẦN DỊCH VỤ THƯƠNG MẠI TỔNG HỢP WINCOMMERCE</v>
      </c>
      <c r="G4454" s="16" t="str">
        <f>VLOOKUP(Table8[[#This Row],[Mã khách hàng]],code_khach_hang[],3,0)</f>
        <v>Miền Nam đặc biệt 1</v>
      </c>
      <c r="H4454" t="str">
        <f>VLOOKUP(Table8[[#This Row],[Mã khách hàng]],'Khách hàng'!A:D,4,0)</f>
        <v>Food Đức Việt</v>
      </c>
      <c r="I4454" t="str">
        <f>VLOOKUP(Table8[[#This Row],[Mã khách hàng]],'Khách hàng'!A:E,5,0)</f>
        <v>HCVG80</v>
      </c>
    </row>
    <row r="4455" spans="1:9" x14ac:dyDescent="0.25">
      <c r="A4455" s="14" t="s">
        <v>13804</v>
      </c>
      <c r="B4455" s="15" t="s">
        <v>5</v>
      </c>
      <c r="C4455" s="16" t="s">
        <v>14930</v>
      </c>
      <c r="D4455" s="21"/>
      <c r="E4455" s="32" t="s">
        <v>15673</v>
      </c>
      <c r="F4455" s="22" t="str">
        <f>VLOOKUP(Table8[[#This Row],[Mã khách hàng]],code_khach_hang[],2,0)</f>
        <v>CHI NHÁNH BÌNH THUẬN - CÔNG TY CỔ PHẦN DỊCH VỤ THƯƠNG MẠI TỔNG HỢP WINCOMMERCE</v>
      </c>
      <c r="G4455" s="16" t="str">
        <f>VLOOKUP(Table8[[#This Row],[Mã khách hàng]],code_khach_hang[],3,0)</f>
        <v>Miền Nam đặc biệt 3</v>
      </c>
      <c r="H4455" t="str">
        <f>VLOOKUP(Table8[[#This Row],[Mã khách hàng]],'Khách hàng'!A:D,4,0)</f>
        <v>Food Đức Việt</v>
      </c>
      <c r="I4455" t="str">
        <f>VLOOKUP(Table8[[#This Row],[Mã khách hàng]],'Khách hàng'!A:E,5,0)</f>
        <v>HCVG80</v>
      </c>
    </row>
    <row r="4456" spans="1:9" x14ac:dyDescent="0.25">
      <c r="A4456" s="14" t="s">
        <v>13805</v>
      </c>
      <c r="B4456" s="15" t="s">
        <v>5</v>
      </c>
      <c r="C4456" s="16" t="s">
        <v>14931</v>
      </c>
      <c r="D4456" s="21"/>
      <c r="E4456" s="32" t="s">
        <v>15667</v>
      </c>
      <c r="F4456" s="22" t="str">
        <f>VLOOKUP(Table8[[#This Row],[Mã khách hàng]],code_khach_hang[],2,0)</f>
        <v>CÔNG TY CỔ PHẦN DỊCH VỤ THƯƠNG MẠI TỔNG HỢP WINCOMMERCE</v>
      </c>
      <c r="G4456" s="16" t="str">
        <f>VLOOKUP(Table8[[#This Row],[Mã khách hàng]],code_khach_hang[],3,0)</f>
        <v>Miền Nam đặc biệt 1</v>
      </c>
      <c r="H4456" t="str">
        <f>VLOOKUP(Table8[[#This Row],[Mã khách hàng]],'Khách hàng'!A:D,4,0)</f>
        <v>Food Đức Việt</v>
      </c>
      <c r="I4456" t="str">
        <f>VLOOKUP(Table8[[#This Row],[Mã khách hàng]],'Khách hàng'!A:E,5,0)</f>
        <v>HCVG80</v>
      </c>
    </row>
    <row r="4457" spans="1:9" x14ac:dyDescent="0.25">
      <c r="A4457" s="14" t="s">
        <v>13806</v>
      </c>
      <c r="B4457" s="15" t="s">
        <v>5</v>
      </c>
      <c r="C4457" s="16" t="s">
        <v>14932</v>
      </c>
      <c r="D4457" s="21"/>
      <c r="E4457" s="32" t="s">
        <v>15667</v>
      </c>
      <c r="F4457" s="22" t="str">
        <f>VLOOKUP(Table8[[#This Row],[Mã khách hàng]],code_khach_hang[],2,0)</f>
        <v>CÔNG TY CỔ PHẦN DỊCH VỤ THƯƠNG MẠI TỔNG HỢP WINCOMMERCE</v>
      </c>
      <c r="G4457" s="16" t="str">
        <f>VLOOKUP(Table8[[#This Row],[Mã khách hàng]],code_khach_hang[],3,0)</f>
        <v>Miền Nam đặc biệt 1</v>
      </c>
      <c r="H4457" t="str">
        <f>VLOOKUP(Table8[[#This Row],[Mã khách hàng]],'Khách hàng'!A:D,4,0)</f>
        <v>Food Đức Việt</v>
      </c>
      <c r="I4457" t="str">
        <f>VLOOKUP(Table8[[#This Row],[Mã khách hàng]],'Khách hàng'!A:E,5,0)</f>
        <v>HCVG80</v>
      </c>
    </row>
    <row r="4458" spans="1:9" x14ac:dyDescent="0.25">
      <c r="A4458" s="14" t="s">
        <v>13807</v>
      </c>
      <c r="B4458" s="15" t="s">
        <v>5</v>
      </c>
      <c r="C4458" s="16" t="s">
        <v>14933</v>
      </c>
      <c r="D4458" s="21"/>
      <c r="E4458" s="32" t="s">
        <v>15667</v>
      </c>
      <c r="F4458" s="22" t="str">
        <f>VLOOKUP(Table8[[#This Row],[Mã khách hàng]],code_khach_hang[],2,0)</f>
        <v>CÔNG TY CỔ PHẦN DỊCH VỤ THƯƠNG MẠI TỔNG HỢP WINCOMMERCE</v>
      </c>
      <c r="G4458" s="16" t="str">
        <f>VLOOKUP(Table8[[#This Row],[Mã khách hàng]],code_khach_hang[],3,0)</f>
        <v>Miền Nam đặc biệt 1</v>
      </c>
      <c r="H4458" t="str">
        <f>VLOOKUP(Table8[[#This Row],[Mã khách hàng]],'Khách hàng'!A:D,4,0)</f>
        <v>Food Đức Việt</v>
      </c>
      <c r="I4458" t="str">
        <f>VLOOKUP(Table8[[#This Row],[Mã khách hàng]],'Khách hàng'!A:E,5,0)</f>
        <v>HCVG80</v>
      </c>
    </row>
    <row r="4459" spans="1:9" x14ac:dyDescent="0.25">
      <c r="A4459" s="14" t="s">
        <v>13808</v>
      </c>
      <c r="B4459" s="15" t="s">
        <v>5</v>
      </c>
      <c r="C4459" s="16" t="s">
        <v>14934</v>
      </c>
      <c r="D4459" s="21"/>
      <c r="E4459" s="32" t="s">
        <v>15667</v>
      </c>
      <c r="F4459" s="22" t="str">
        <f>VLOOKUP(Table8[[#This Row],[Mã khách hàng]],code_khach_hang[],2,0)</f>
        <v>CÔNG TY CỔ PHẦN DỊCH VỤ THƯƠNG MẠI TỔNG HỢP WINCOMMERCE</v>
      </c>
      <c r="G4459" s="16" t="str">
        <f>VLOOKUP(Table8[[#This Row],[Mã khách hàng]],code_khach_hang[],3,0)</f>
        <v>Miền Nam đặc biệt 1</v>
      </c>
      <c r="H4459" t="str">
        <f>VLOOKUP(Table8[[#This Row],[Mã khách hàng]],'Khách hàng'!A:D,4,0)</f>
        <v>Food Đức Việt</v>
      </c>
      <c r="I4459" t="str">
        <f>VLOOKUP(Table8[[#This Row],[Mã khách hàng]],'Khách hàng'!A:E,5,0)</f>
        <v>HCVG80</v>
      </c>
    </row>
    <row r="4460" spans="1:9" x14ac:dyDescent="0.25">
      <c r="A4460" s="14" t="s">
        <v>13809</v>
      </c>
      <c r="B4460" s="15" t="s">
        <v>5</v>
      </c>
      <c r="C4460" s="16" t="s">
        <v>14935</v>
      </c>
      <c r="D4460" s="21"/>
      <c r="E4460" s="32" t="s">
        <v>15668</v>
      </c>
      <c r="F4460" s="22" t="str">
        <f>VLOOKUP(Table8[[#This Row],[Mã khách hàng]],code_khach_hang[],2,0)</f>
        <v>CHI NHÁNH ĐỒNG NAI - CÔNG TY CỔ PHẦN DỊCH VỤ THƯƠNG MẠI TỔNG HỢP WINCOMMERCE</v>
      </c>
      <c r="G4460" s="16" t="str">
        <f>VLOOKUP(Table8[[#This Row],[Mã khách hàng]],code_khach_hang[],3,0)</f>
        <v>Miền Nam đặc biệt 3</v>
      </c>
      <c r="H4460" t="str">
        <f>VLOOKUP(Table8[[#This Row],[Mã khách hàng]],'Khách hàng'!A:D,4,0)</f>
        <v>Food Đức Việt</v>
      </c>
      <c r="I4460" t="str">
        <f>VLOOKUP(Table8[[#This Row],[Mã khách hàng]],'Khách hàng'!A:E,5,0)</f>
        <v>HCVG80</v>
      </c>
    </row>
    <row r="4461" spans="1:9" x14ac:dyDescent="0.25">
      <c r="A4461" s="14" t="s">
        <v>13810</v>
      </c>
      <c r="B4461" s="15" t="s">
        <v>5</v>
      </c>
      <c r="C4461" s="16" t="s">
        <v>14936</v>
      </c>
      <c r="D4461" s="21"/>
      <c r="E4461" s="32" t="s">
        <v>15669</v>
      </c>
      <c r="F4461" s="22" t="str">
        <f>VLOOKUP(Table8[[#This Row],[Mã khách hàng]],code_khach_hang[],2,0)</f>
        <v>CHI NHÁNH CẦN THƠ - CÔNG TY CỔ PHẦN DỊCH VỤ THƯƠNG MẠI TỔNG HỢP WINCOMMERCE</v>
      </c>
      <c r="G4461" s="16" t="str">
        <f>VLOOKUP(Table8[[#This Row],[Mã khách hàng]],code_khach_hang[],3,0)</f>
        <v>Miền Nam đặc biệt 2</v>
      </c>
      <c r="H4461" t="str">
        <f>VLOOKUP(Table8[[#This Row],[Mã khách hàng]],'Khách hàng'!A:D,4,0)</f>
        <v>Food Đức Việt</v>
      </c>
      <c r="I4461" t="str">
        <f>VLOOKUP(Table8[[#This Row],[Mã khách hàng]],'Khách hàng'!A:E,5,0)</f>
        <v>HC-CT120</v>
      </c>
    </row>
    <row r="4462" spans="1:9" x14ac:dyDescent="0.25">
      <c r="A4462" s="14" t="s">
        <v>13811</v>
      </c>
      <c r="B4462" s="15" t="s">
        <v>5</v>
      </c>
      <c r="C4462" s="16" t="s">
        <v>14937</v>
      </c>
      <c r="D4462" s="21"/>
      <c r="E4462" s="32" t="s">
        <v>15667</v>
      </c>
      <c r="F4462" s="22" t="str">
        <f>VLOOKUP(Table8[[#This Row],[Mã khách hàng]],code_khach_hang[],2,0)</f>
        <v>CÔNG TY CỔ PHẦN DỊCH VỤ THƯƠNG MẠI TỔNG HỢP WINCOMMERCE</v>
      </c>
      <c r="G4462" s="16" t="str">
        <f>VLOOKUP(Table8[[#This Row],[Mã khách hàng]],code_khach_hang[],3,0)</f>
        <v>Miền Nam đặc biệt 1</v>
      </c>
      <c r="H4462" t="str">
        <f>VLOOKUP(Table8[[#This Row],[Mã khách hàng]],'Khách hàng'!A:D,4,0)</f>
        <v>Food Đức Việt</v>
      </c>
      <c r="I4462" t="str">
        <f>VLOOKUP(Table8[[#This Row],[Mã khách hàng]],'Khách hàng'!A:E,5,0)</f>
        <v>HCVG80</v>
      </c>
    </row>
    <row r="4463" spans="1:9" x14ac:dyDescent="0.25">
      <c r="A4463" s="14" t="s">
        <v>13812</v>
      </c>
      <c r="B4463" s="15" t="s">
        <v>5</v>
      </c>
      <c r="C4463" s="16" t="s">
        <v>14938</v>
      </c>
      <c r="D4463" s="21"/>
      <c r="E4463" s="32" t="s">
        <v>15667</v>
      </c>
      <c r="F4463" s="22" t="str">
        <f>VLOOKUP(Table8[[#This Row],[Mã khách hàng]],code_khach_hang[],2,0)</f>
        <v>CÔNG TY CỔ PHẦN DỊCH VỤ THƯƠNG MẠI TỔNG HỢP WINCOMMERCE</v>
      </c>
      <c r="G4463" s="16" t="str">
        <f>VLOOKUP(Table8[[#This Row],[Mã khách hàng]],code_khach_hang[],3,0)</f>
        <v>Miền Nam đặc biệt 1</v>
      </c>
      <c r="H4463" t="str">
        <f>VLOOKUP(Table8[[#This Row],[Mã khách hàng]],'Khách hàng'!A:D,4,0)</f>
        <v>Food Đức Việt</v>
      </c>
      <c r="I4463" t="str">
        <f>VLOOKUP(Table8[[#This Row],[Mã khách hàng]],'Khách hàng'!A:E,5,0)</f>
        <v>HCVG80</v>
      </c>
    </row>
    <row r="4464" spans="1:9" x14ac:dyDescent="0.25">
      <c r="A4464" s="14" t="s">
        <v>13813</v>
      </c>
      <c r="B4464" s="15" t="s">
        <v>5</v>
      </c>
      <c r="C4464" s="16" t="s">
        <v>14939</v>
      </c>
      <c r="D4464" s="21"/>
      <c r="E4464" s="32" t="s">
        <v>15667</v>
      </c>
      <c r="F4464" s="22" t="str">
        <f>VLOOKUP(Table8[[#This Row],[Mã khách hàng]],code_khach_hang[],2,0)</f>
        <v>CÔNG TY CỔ PHẦN DỊCH VỤ THƯƠNG MẠI TỔNG HỢP WINCOMMERCE</v>
      </c>
      <c r="G4464" s="16" t="str">
        <f>VLOOKUP(Table8[[#This Row],[Mã khách hàng]],code_khach_hang[],3,0)</f>
        <v>Miền Nam đặc biệt 1</v>
      </c>
      <c r="H4464" t="str">
        <f>VLOOKUP(Table8[[#This Row],[Mã khách hàng]],'Khách hàng'!A:D,4,0)</f>
        <v>Food Đức Việt</v>
      </c>
      <c r="I4464" t="str">
        <f>VLOOKUP(Table8[[#This Row],[Mã khách hàng]],'Khách hàng'!A:E,5,0)</f>
        <v>HCVG80</v>
      </c>
    </row>
    <row r="4465" spans="1:9" x14ac:dyDescent="0.25">
      <c r="A4465" s="14" t="s">
        <v>13814</v>
      </c>
      <c r="B4465" s="15" t="s">
        <v>5</v>
      </c>
      <c r="C4465" s="16" t="s">
        <v>14940</v>
      </c>
      <c r="D4465" s="21"/>
      <c r="E4465" s="32" t="s">
        <v>15673</v>
      </c>
      <c r="F4465" s="22" t="str">
        <f>VLOOKUP(Table8[[#This Row],[Mã khách hàng]],code_khach_hang[],2,0)</f>
        <v>CHI NHÁNH BÌNH THUẬN - CÔNG TY CỔ PHẦN DỊCH VỤ THƯƠNG MẠI TỔNG HỢP WINCOMMERCE</v>
      </c>
      <c r="G4465" s="16" t="str">
        <f>VLOOKUP(Table8[[#This Row],[Mã khách hàng]],code_khach_hang[],3,0)</f>
        <v>Miền Nam đặc biệt 3</v>
      </c>
      <c r="H4465" t="str">
        <f>VLOOKUP(Table8[[#This Row],[Mã khách hàng]],'Khách hàng'!A:D,4,0)</f>
        <v>Food Đức Việt</v>
      </c>
      <c r="I4465" t="str">
        <f>VLOOKUP(Table8[[#This Row],[Mã khách hàng]],'Khách hàng'!A:E,5,0)</f>
        <v>HCVG80</v>
      </c>
    </row>
    <row r="4466" spans="1:9" x14ac:dyDescent="0.25">
      <c r="A4466" s="14" t="s">
        <v>13815</v>
      </c>
      <c r="B4466" s="15" t="s">
        <v>5</v>
      </c>
      <c r="C4466" s="16" t="s">
        <v>14941</v>
      </c>
      <c r="D4466" s="21"/>
      <c r="E4466" s="32" t="s">
        <v>15667</v>
      </c>
      <c r="F4466" s="22" t="str">
        <f>VLOOKUP(Table8[[#This Row],[Mã khách hàng]],code_khach_hang[],2,0)</f>
        <v>CÔNG TY CỔ PHẦN DỊCH VỤ THƯƠNG MẠI TỔNG HỢP WINCOMMERCE</v>
      </c>
      <c r="G4466" s="16" t="str">
        <f>VLOOKUP(Table8[[#This Row],[Mã khách hàng]],code_khach_hang[],3,0)</f>
        <v>Miền Nam đặc biệt 1</v>
      </c>
      <c r="H4466" t="str">
        <f>VLOOKUP(Table8[[#This Row],[Mã khách hàng]],'Khách hàng'!A:D,4,0)</f>
        <v>Food Đức Việt</v>
      </c>
      <c r="I4466" t="str">
        <f>VLOOKUP(Table8[[#This Row],[Mã khách hàng]],'Khách hàng'!A:E,5,0)</f>
        <v>HCVG80</v>
      </c>
    </row>
    <row r="4467" spans="1:9" x14ac:dyDescent="0.25">
      <c r="A4467" s="14" t="s">
        <v>13816</v>
      </c>
      <c r="B4467" s="15" t="s">
        <v>5</v>
      </c>
      <c r="C4467" s="16" t="s">
        <v>14942</v>
      </c>
      <c r="D4467" s="21"/>
      <c r="E4467" s="32" t="s">
        <v>15667</v>
      </c>
      <c r="F4467" s="22" t="str">
        <f>VLOOKUP(Table8[[#This Row],[Mã khách hàng]],code_khach_hang[],2,0)</f>
        <v>CÔNG TY CỔ PHẦN DỊCH VỤ THƯƠNG MẠI TỔNG HỢP WINCOMMERCE</v>
      </c>
      <c r="G4467" s="16" t="str">
        <f>VLOOKUP(Table8[[#This Row],[Mã khách hàng]],code_khach_hang[],3,0)</f>
        <v>Miền Nam đặc biệt 1</v>
      </c>
      <c r="H4467" t="str">
        <f>VLOOKUP(Table8[[#This Row],[Mã khách hàng]],'Khách hàng'!A:D,4,0)</f>
        <v>Food Đức Việt</v>
      </c>
      <c r="I4467" t="str">
        <f>VLOOKUP(Table8[[#This Row],[Mã khách hàng]],'Khách hàng'!A:E,5,0)</f>
        <v>HCVG80</v>
      </c>
    </row>
    <row r="4468" spans="1:9" x14ac:dyDescent="0.25">
      <c r="A4468" s="14" t="s">
        <v>13817</v>
      </c>
      <c r="B4468" s="15" t="s">
        <v>5</v>
      </c>
      <c r="C4468" s="16" t="s">
        <v>14943</v>
      </c>
      <c r="D4468" s="21"/>
      <c r="E4468" s="32" t="s">
        <v>15673</v>
      </c>
      <c r="F4468" s="22" t="str">
        <f>VLOOKUP(Table8[[#This Row],[Mã khách hàng]],code_khach_hang[],2,0)</f>
        <v>CHI NHÁNH BÌNH THUẬN - CÔNG TY CỔ PHẦN DỊCH VỤ THƯƠNG MẠI TỔNG HỢP WINCOMMERCE</v>
      </c>
      <c r="G4468" s="16" t="str">
        <f>VLOOKUP(Table8[[#This Row],[Mã khách hàng]],code_khach_hang[],3,0)</f>
        <v>Miền Nam đặc biệt 3</v>
      </c>
      <c r="H4468" t="str">
        <f>VLOOKUP(Table8[[#This Row],[Mã khách hàng]],'Khách hàng'!A:D,4,0)</f>
        <v>Food Đức Việt</v>
      </c>
      <c r="I4468" t="str">
        <f>VLOOKUP(Table8[[#This Row],[Mã khách hàng]],'Khách hàng'!A:E,5,0)</f>
        <v>HCVG80</v>
      </c>
    </row>
    <row r="4469" spans="1:9" x14ac:dyDescent="0.25">
      <c r="A4469" s="14" t="s">
        <v>13818</v>
      </c>
      <c r="B4469" s="15" t="s">
        <v>5</v>
      </c>
      <c r="C4469" s="16" t="s">
        <v>14944</v>
      </c>
      <c r="D4469" s="21"/>
      <c r="E4469" s="32" t="s">
        <v>15669</v>
      </c>
      <c r="F4469" s="22" t="str">
        <f>VLOOKUP(Table8[[#This Row],[Mã khách hàng]],code_khach_hang[],2,0)</f>
        <v>CHI NHÁNH CẦN THƠ - CÔNG TY CỔ PHẦN DỊCH VỤ THƯƠNG MẠI TỔNG HỢP WINCOMMERCE</v>
      </c>
      <c r="G4469" s="16" t="str">
        <f>VLOOKUP(Table8[[#This Row],[Mã khách hàng]],code_khach_hang[],3,0)</f>
        <v>Miền Nam đặc biệt 2</v>
      </c>
      <c r="H4469" t="str">
        <f>VLOOKUP(Table8[[#This Row],[Mã khách hàng]],'Khách hàng'!A:D,4,0)</f>
        <v>Food Đức Việt</v>
      </c>
      <c r="I4469" t="str">
        <f>VLOOKUP(Table8[[#This Row],[Mã khách hàng]],'Khách hàng'!A:E,5,0)</f>
        <v>HC-CT120</v>
      </c>
    </row>
    <row r="4470" spans="1:9" x14ac:dyDescent="0.25">
      <c r="A4470" s="14" t="s">
        <v>13819</v>
      </c>
      <c r="B4470" s="15" t="s">
        <v>5</v>
      </c>
      <c r="C4470" s="16" t="s">
        <v>14945</v>
      </c>
      <c r="D4470" s="21"/>
      <c r="E4470" s="32" t="s">
        <v>15671</v>
      </c>
      <c r="F4470" s="22" t="str">
        <f>VLOOKUP(Table8[[#This Row],[Mã khách hàng]],code_khach_hang[],2,0)</f>
        <v>CHI NHÁNH BÌNH DƯƠNG - CÔNG TY CỔ PHẦN DỊCH VỤ THƯƠNG MẠI TỔNG HỢP WINCOMMERCE</v>
      </c>
      <c r="G4470" s="16" t="str">
        <f>VLOOKUP(Table8[[#This Row],[Mã khách hàng]],code_khach_hang[],3,0)</f>
        <v>Miền Nam đặc biệt 1</v>
      </c>
      <c r="H4470" t="str">
        <f>VLOOKUP(Table8[[#This Row],[Mã khách hàng]],'Khách hàng'!A:D,4,0)</f>
        <v>Food Đức Việt</v>
      </c>
      <c r="I4470" t="str">
        <f>VLOOKUP(Table8[[#This Row],[Mã khách hàng]],'Khách hàng'!A:E,5,0)</f>
        <v>HCVG80</v>
      </c>
    </row>
    <row r="4471" spans="1:9" x14ac:dyDescent="0.25">
      <c r="A4471" s="14" t="s">
        <v>13820</v>
      </c>
      <c r="B4471" s="15" t="s">
        <v>5</v>
      </c>
      <c r="C4471" s="16" t="s">
        <v>14946</v>
      </c>
      <c r="D4471" s="21"/>
      <c r="E4471" s="32" t="s">
        <v>15667</v>
      </c>
      <c r="F4471" s="22" t="str">
        <f>VLOOKUP(Table8[[#This Row],[Mã khách hàng]],code_khach_hang[],2,0)</f>
        <v>CÔNG TY CỔ PHẦN DỊCH VỤ THƯƠNG MẠI TỔNG HỢP WINCOMMERCE</v>
      </c>
      <c r="G4471" s="16" t="str">
        <f>VLOOKUP(Table8[[#This Row],[Mã khách hàng]],code_khach_hang[],3,0)</f>
        <v>Miền Nam đặc biệt 1</v>
      </c>
      <c r="H4471" t="str">
        <f>VLOOKUP(Table8[[#This Row],[Mã khách hàng]],'Khách hàng'!A:D,4,0)</f>
        <v>Food Đức Việt</v>
      </c>
      <c r="I4471" t="str">
        <f>VLOOKUP(Table8[[#This Row],[Mã khách hàng]],'Khách hàng'!A:E,5,0)</f>
        <v>HCVG80</v>
      </c>
    </row>
    <row r="4472" spans="1:9" x14ac:dyDescent="0.25">
      <c r="A4472" s="14" t="s">
        <v>13821</v>
      </c>
      <c r="B4472" s="15" t="s">
        <v>5</v>
      </c>
      <c r="C4472" s="16" t="s">
        <v>14947</v>
      </c>
      <c r="D4472" s="21"/>
      <c r="E4472" s="32" t="s">
        <v>15667</v>
      </c>
      <c r="F4472" s="22" t="str">
        <f>VLOOKUP(Table8[[#This Row],[Mã khách hàng]],code_khach_hang[],2,0)</f>
        <v>CÔNG TY CỔ PHẦN DỊCH VỤ THƯƠNG MẠI TỔNG HỢP WINCOMMERCE</v>
      </c>
      <c r="G4472" s="16" t="str">
        <f>VLOOKUP(Table8[[#This Row],[Mã khách hàng]],code_khach_hang[],3,0)</f>
        <v>Miền Nam đặc biệt 1</v>
      </c>
      <c r="H4472" t="str">
        <f>VLOOKUP(Table8[[#This Row],[Mã khách hàng]],'Khách hàng'!A:D,4,0)</f>
        <v>Food Đức Việt</v>
      </c>
      <c r="I4472" t="str">
        <f>VLOOKUP(Table8[[#This Row],[Mã khách hàng]],'Khách hàng'!A:E,5,0)</f>
        <v>HCVG80</v>
      </c>
    </row>
    <row r="4473" spans="1:9" x14ac:dyDescent="0.25">
      <c r="A4473" s="14" t="s">
        <v>13822</v>
      </c>
      <c r="B4473" s="15" t="s">
        <v>5</v>
      </c>
      <c r="C4473" s="16" t="s">
        <v>14948</v>
      </c>
      <c r="D4473" s="21"/>
      <c r="E4473" s="32" t="s">
        <v>15669</v>
      </c>
      <c r="F4473" s="22" t="str">
        <f>VLOOKUP(Table8[[#This Row],[Mã khách hàng]],code_khach_hang[],2,0)</f>
        <v>CHI NHÁNH CẦN THƠ - CÔNG TY CỔ PHẦN DỊCH VỤ THƯƠNG MẠI TỔNG HỢP WINCOMMERCE</v>
      </c>
      <c r="G4473" s="16" t="str">
        <f>VLOOKUP(Table8[[#This Row],[Mã khách hàng]],code_khach_hang[],3,0)</f>
        <v>Miền Nam đặc biệt 2</v>
      </c>
      <c r="H4473" t="str">
        <f>VLOOKUP(Table8[[#This Row],[Mã khách hàng]],'Khách hàng'!A:D,4,0)</f>
        <v>Food Đức Việt</v>
      </c>
      <c r="I4473" t="str">
        <f>VLOOKUP(Table8[[#This Row],[Mã khách hàng]],'Khách hàng'!A:E,5,0)</f>
        <v>HC-CT120</v>
      </c>
    </row>
    <row r="4474" spans="1:9" x14ac:dyDescent="0.25">
      <c r="A4474" s="14" t="s">
        <v>13823</v>
      </c>
      <c r="B4474" s="15" t="s">
        <v>5</v>
      </c>
      <c r="C4474" s="16" t="s">
        <v>14949</v>
      </c>
      <c r="D4474" s="21"/>
      <c r="E4474" s="32" t="s">
        <v>15671</v>
      </c>
      <c r="F4474" s="22" t="str">
        <f>VLOOKUP(Table8[[#This Row],[Mã khách hàng]],code_khach_hang[],2,0)</f>
        <v>CHI NHÁNH BÌNH DƯƠNG - CÔNG TY CỔ PHẦN DỊCH VỤ THƯƠNG MẠI TỔNG HỢP WINCOMMERCE</v>
      </c>
      <c r="G4474" s="16" t="str">
        <f>VLOOKUP(Table8[[#This Row],[Mã khách hàng]],code_khach_hang[],3,0)</f>
        <v>Miền Nam đặc biệt 1</v>
      </c>
      <c r="H4474" t="str">
        <f>VLOOKUP(Table8[[#This Row],[Mã khách hàng]],'Khách hàng'!A:D,4,0)</f>
        <v>Food Đức Việt</v>
      </c>
      <c r="I4474" t="str">
        <f>VLOOKUP(Table8[[#This Row],[Mã khách hàng]],'Khách hàng'!A:E,5,0)</f>
        <v>HCVG80</v>
      </c>
    </row>
    <row r="4475" spans="1:9" x14ac:dyDescent="0.25">
      <c r="A4475" s="14" t="s">
        <v>13824</v>
      </c>
      <c r="B4475" s="15" t="s">
        <v>5</v>
      </c>
      <c r="C4475" s="16" t="s">
        <v>14950</v>
      </c>
      <c r="D4475" s="21"/>
      <c r="E4475" s="32" t="s">
        <v>15667</v>
      </c>
      <c r="F4475" s="22" t="str">
        <f>VLOOKUP(Table8[[#This Row],[Mã khách hàng]],code_khach_hang[],2,0)</f>
        <v>CÔNG TY CỔ PHẦN DỊCH VỤ THƯƠNG MẠI TỔNG HỢP WINCOMMERCE</v>
      </c>
      <c r="G4475" s="16" t="str">
        <f>VLOOKUP(Table8[[#This Row],[Mã khách hàng]],code_khach_hang[],3,0)</f>
        <v>Miền Nam đặc biệt 1</v>
      </c>
      <c r="H4475" t="str">
        <f>VLOOKUP(Table8[[#This Row],[Mã khách hàng]],'Khách hàng'!A:D,4,0)</f>
        <v>Food Đức Việt</v>
      </c>
      <c r="I4475" t="str">
        <f>VLOOKUP(Table8[[#This Row],[Mã khách hàng]],'Khách hàng'!A:E,5,0)</f>
        <v>HCVG80</v>
      </c>
    </row>
    <row r="4476" spans="1:9" x14ac:dyDescent="0.25">
      <c r="A4476" s="14" t="s">
        <v>13825</v>
      </c>
      <c r="B4476" s="15" t="s">
        <v>5</v>
      </c>
      <c r="C4476" s="16" t="s">
        <v>14951</v>
      </c>
      <c r="D4476" s="21"/>
      <c r="E4476" s="32" t="s">
        <v>15671</v>
      </c>
      <c r="F4476" s="22" t="str">
        <f>VLOOKUP(Table8[[#This Row],[Mã khách hàng]],code_khach_hang[],2,0)</f>
        <v>CHI NHÁNH BÌNH DƯƠNG - CÔNG TY CỔ PHẦN DỊCH VỤ THƯƠNG MẠI TỔNG HỢP WINCOMMERCE</v>
      </c>
      <c r="G4476" s="16" t="str">
        <f>VLOOKUP(Table8[[#This Row],[Mã khách hàng]],code_khach_hang[],3,0)</f>
        <v>Miền Nam đặc biệt 1</v>
      </c>
      <c r="H4476" t="str">
        <f>VLOOKUP(Table8[[#This Row],[Mã khách hàng]],'Khách hàng'!A:D,4,0)</f>
        <v>Food Đức Việt</v>
      </c>
      <c r="I4476" t="str">
        <f>VLOOKUP(Table8[[#This Row],[Mã khách hàng]],'Khách hàng'!A:E,5,0)</f>
        <v>HCVG80</v>
      </c>
    </row>
    <row r="4477" spans="1:9" x14ac:dyDescent="0.25">
      <c r="A4477" s="14" t="s">
        <v>13826</v>
      </c>
      <c r="B4477" s="15" t="s">
        <v>5</v>
      </c>
      <c r="C4477" s="16" t="s">
        <v>14952</v>
      </c>
      <c r="D4477" s="21"/>
      <c r="E4477" s="32" t="s">
        <v>15669</v>
      </c>
      <c r="F4477" s="22" t="str">
        <f>VLOOKUP(Table8[[#This Row],[Mã khách hàng]],code_khach_hang[],2,0)</f>
        <v>CHI NHÁNH CẦN THƠ - CÔNG TY CỔ PHẦN DỊCH VỤ THƯƠNG MẠI TỔNG HỢP WINCOMMERCE</v>
      </c>
      <c r="G4477" s="16" t="str">
        <f>VLOOKUP(Table8[[#This Row],[Mã khách hàng]],code_khach_hang[],3,0)</f>
        <v>Miền Nam đặc biệt 2</v>
      </c>
      <c r="H4477" t="str">
        <f>VLOOKUP(Table8[[#This Row],[Mã khách hàng]],'Khách hàng'!A:D,4,0)</f>
        <v>Food Đức Việt</v>
      </c>
      <c r="I4477" t="str">
        <f>VLOOKUP(Table8[[#This Row],[Mã khách hàng]],'Khách hàng'!A:E,5,0)</f>
        <v>HC-CT120</v>
      </c>
    </row>
    <row r="4478" spans="1:9" x14ac:dyDescent="0.25">
      <c r="A4478" s="14" t="s">
        <v>13827</v>
      </c>
      <c r="B4478" s="15" t="s">
        <v>5</v>
      </c>
      <c r="C4478" s="16" t="s">
        <v>14953</v>
      </c>
      <c r="D4478" s="21"/>
      <c r="E4478" s="32" t="s">
        <v>15668</v>
      </c>
      <c r="F4478" s="22" t="str">
        <f>VLOOKUP(Table8[[#This Row],[Mã khách hàng]],code_khach_hang[],2,0)</f>
        <v>CHI NHÁNH ĐỒNG NAI - CÔNG TY CỔ PHẦN DỊCH VỤ THƯƠNG MẠI TỔNG HỢP WINCOMMERCE</v>
      </c>
      <c r="G4478" s="16" t="str">
        <f>VLOOKUP(Table8[[#This Row],[Mã khách hàng]],code_khach_hang[],3,0)</f>
        <v>Miền Nam đặc biệt 3</v>
      </c>
      <c r="H4478" t="str">
        <f>VLOOKUP(Table8[[#This Row],[Mã khách hàng]],'Khách hàng'!A:D,4,0)</f>
        <v>Food Đức Việt</v>
      </c>
      <c r="I4478" t="str">
        <f>VLOOKUP(Table8[[#This Row],[Mã khách hàng]],'Khách hàng'!A:E,5,0)</f>
        <v>HCVG80</v>
      </c>
    </row>
    <row r="4479" spans="1:9" x14ac:dyDescent="0.25">
      <c r="A4479" s="14" t="s">
        <v>13828</v>
      </c>
      <c r="B4479" s="15" t="s">
        <v>5</v>
      </c>
      <c r="C4479" s="16" t="s">
        <v>14954</v>
      </c>
      <c r="D4479" s="21"/>
      <c r="E4479" s="32" t="s">
        <v>15667</v>
      </c>
      <c r="F4479" s="22" t="str">
        <f>VLOOKUP(Table8[[#This Row],[Mã khách hàng]],code_khach_hang[],2,0)</f>
        <v>CÔNG TY CỔ PHẦN DỊCH VỤ THƯƠNG MẠI TỔNG HỢP WINCOMMERCE</v>
      </c>
      <c r="G4479" s="16" t="str">
        <f>VLOOKUP(Table8[[#This Row],[Mã khách hàng]],code_khach_hang[],3,0)</f>
        <v>Miền Nam đặc biệt 1</v>
      </c>
      <c r="H4479" t="str">
        <f>VLOOKUP(Table8[[#This Row],[Mã khách hàng]],'Khách hàng'!A:D,4,0)</f>
        <v>Food Đức Việt</v>
      </c>
      <c r="I4479" t="str">
        <f>VLOOKUP(Table8[[#This Row],[Mã khách hàng]],'Khách hàng'!A:E,5,0)</f>
        <v>HCVG80</v>
      </c>
    </row>
    <row r="4480" spans="1:9" x14ac:dyDescent="0.25">
      <c r="A4480" s="14" t="s">
        <v>13829</v>
      </c>
      <c r="B4480" s="15" t="s">
        <v>5</v>
      </c>
      <c r="C4480" s="16" t="s">
        <v>14955</v>
      </c>
      <c r="D4480" s="21"/>
      <c r="E4480" s="32" t="s">
        <v>15667</v>
      </c>
      <c r="F4480" s="22" t="str">
        <f>VLOOKUP(Table8[[#This Row],[Mã khách hàng]],code_khach_hang[],2,0)</f>
        <v>CÔNG TY CỔ PHẦN DỊCH VỤ THƯƠNG MẠI TỔNG HỢP WINCOMMERCE</v>
      </c>
      <c r="G4480" s="16" t="str">
        <f>VLOOKUP(Table8[[#This Row],[Mã khách hàng]],code_khach_hang[],3,0)</f>
        <v>Miền Nam đặc biệt 1</v>
      </c>
      <c r="H4480" t="str">
        <f>VLOOKUP(Table8[[#This Row],[Mã khách hàng]],'Khách hàng'!A:D,4,0)</f>
        <v>Food Đức Việt</v>
      </c>
      <c r="I4480" t="str">
        <f>VLOOKUP(Table8[[#This Row],[Mã khách hàng]],'Khách hàng'!A:E,5,0)</f>
        <v>HCVG80</v>
      </c>
    </row>
    <row r="4481" spans="1:9" x14ac:dyDescent="0.25">
      <c r="A4481" s="14" t="s">
        <v>13830</v>
      </c>
      <c r="B4481" s="15" t="s">
        <v>5</v>
      </c>
      <c r="C4481" s="16" t="s">
        <v>14956</v>
      </c>
      <c r="D4481" s="21"/>
      <c r="E4481" s="32" t="s">
        <v>15667</v>
      </c>
      <c r="F4481" s="22" t="str">
        <f>VLOOKUP(Table8[[#This Row],[Mã khách hàng]],code_khach_hang[],2,0)</f>
        <v>CÔNG TY CỔ PHẦN DỊCH VỤ THƯƠNG MẠI TỔNG HỢP WINCOMMERCE</v>
      </c>
      <c r="G4481" s="16" t="str">
        <f>VLOOKUP(Table8[[#This Row],[Mã khách hàng]],code_khach_hang[],3,0)</f>
        <v>Miền Nam đặc biệt 1</v>
      </c>
      <c r="H4481" t="str">
        <f>VLOOKUP(Table8[[#This Row],[Mã khách hàng]],'Khách hàng'!A:D,4,0)</f>
        <v>Food Đức Việt</v>
      </c>
      <c r="I4481" t="str">
        <f>VLOOKUP(Table8[[#This Row],[Mã khách hàng]],'Khách hàng'!A:E,5,0)</f>
        <v>HCVG80</v>
      </c>
    </row>
    <row r="4482" spans="1:9" x14ac:dyDescent="0.25">
      <c r="A4482" s="14" t="s">
        <v>13831</v>
      </c>
      <c r="B4482" s="15" t="s">
        <v>5</v>
      </c>
      <c r="C4482" s="16" t="s">
        <v>14957</v>
      </c>
      <c r="D4482" s="21"/>
      <c r="E4482" s="32" t="s">
        <v>15670</v>
      </c>
      <c r="F4482" s="22" t="str">
        <f>VLOOKUP(Table8[[#This Row],[Mã khách hàng]],code_khach_hang[],2,0)</f>
        <v>CHI NHÁNH TIỀN GIANG - CÔNG TY CỔ PHẦN DỊCH VỤ THƯƠNG MẠI TỔNG HỢP WINCOMMERCE</v>
      </c>
      <c r="G4482" s="16" t="str">
        <f>VLOOKUP(Table8[[#This Row],[Mã khách hàng]],code_khach_hang[],3,0)</f>
        <v>Miền Nam đặc biệt 1</v>
      </c>
      <c r="H4482" t="str">
        <f>VLOOKUP(Table8[[#This Row],[Mã khách hàng]],'Khách hàng'!A:D,4,0)</f>
        <v>Food Đức Việt</v>
      </c>
      <c r="I4482" t="str">
        <f>VLOOKUP(Table8[[#This Row],[Mã khách hàng]],'Khách hàng'!A:E,5,0)</f>
        <v>HCVG80</v>
      </c>
    </row>
    <row r="4483" spans="1:9" x14ac:dyDescent="0.25">
      <c r="A4483" s="14" t="s">
        <v>13832</v>
      </c>
      <c r="B4483" s="15" t="s">
        <v>5</v>
      </c>
      <c r="C4483" s="16" t="s">
        <v>14958</v>
      </c>
      <c r="D4483" s="21"/>
      <c r="E4483" s="32" t="s">
        <v>15669</v>
      </c>
      <c r="F4483" s="22" t="str">
        <f>VLOOKUP(Table8[[#This Row],[Mã khách hàng]],code_khach_hang[],2,0)</f>
        <v>CHI NHÁNH CẦN THƠ - CÔNG TY CỔ PHẦN DỊCH VỤ THƯƠNG MẠI TỔNG HỢP WINCOMMERCE</v>
      </c>
      <c r="G4483" s="16" t="str">
        <f>VLOOKUP(Table8[[#This Row],[Mã khách hàng]],code_khach_hang[],3,0)</f>
        <v>Miền Nam đặc biệt 2</v>
      </c>
      <c r="H4483" t="str">
        <f>VLOOKUP(Table8[[#This Row],[Mã khách hàng]],'Khách hàng'!A:D,4,0)</f>
        <v>Food Đức Việt</v>
      </c>
      <c r="I4483" t="str">
        <f>VLOOKUP(Table8[[#This Row],[Mã khách hàng]],'Khách hàng'!A:E,5,0)</f>
        <v>HC-CT120</v>
      </c>
    </row>
    <row r="4484" spans="1:9" x14ac:dyDescent="0.25">
      <c r="A4484" s="14" t="s">
        <v>13833</v>
      </c>
      <c r="B4484" s="15" t="s">
        <v>5</v>
      </c>
      <c r="C4484" s="16" t="s">
        <v>14959</v>
      </c>
      <c r="D4484" s="21"/>
      <c r="E4484" s="32" t="s">
        <v>15669</v>
      </c>
      <c r="F4484" s="22" t="str">
        <f>VLOOKUP(Table8[[#This Row],[Mã khách hàng]],code_khach_hang[],2,0)</f>
        <v>CHI NHÁNH CẦN THƠ - CÔNG TY CỔ PHẦN DỊCH VỤ THƯƠNG MẠI TỔNG HỢP WINCOMMERCE</v>
      </c>
      <c r="G4484" s="16" t="str">
        <f>VLOOKUP(Table8[[#This Row],[Mã khách hàng]],code_khach_hang[],3,0)</f>
        <v>Miền Nam đặc biệt 2</v>
      </c>
      <c r="H4484" t="str">
        <f>VLOOKUP(Table8[[#This Row],[Mã khách hàng]],'Khách hàng'!A:D,4,0)</f>
        <v>Food Đức Việt</v>
      </c>
      <c r="I4484" t="str">
        <f>VLOOKUP(Table8[[#This Row],[Mã khách hàng]],'Khách hàng'!A:E,5,0)</f>
        <v>HC-CT120</v>
      </c>
    </row>
    <row r="4485" spans="1:9" x14ac:dyDescent="0.25">
      <c r="A4485" s="14" t="s">
        <v>13834</v>
      </c>
      <c r="B4485" s="15" t="s">
        <v>5</v>
      </c>
      <c r="C4485" s="16" t="s">
        <v>14960</v>
      </c>
      <c r="D4485" s="21"/>
      <c r="E4485" s="32" t="s">
        <v>15667</v>
      </c>
      <c r="F4485" s="22" t="str">
        <f>VLOOKUP(Table8[[#This Row],[Mã khách hàng]],code_khach_hang[],2,0)</f>
        <v>CÔNG TY CỔ PHẦN DỊCH VỤ THƯƠNG MẠI TỔNG HỢP WINCOMMERCE</v>
      </c>
      <c r="G4485" s="16" t="str">
        <f>VLOOKUP(Table8[[#This Row],[Mã khách hàng]],code_khach_hang[],3,0)</f>
        <v>Miền Nam đặc biệt 1</v>
      </c>
      <c r="H4485" t="str">
        <f>VLOOKUP(Table8[[#This Row],[Mã khách hàng]],'Khách hàng'!A:D,4,0)</f>
        <v>Food Đức Việt</v>
      </c>
      <c r="I4485" t="str">
        <f>VLOOKUP(Table8[[#This Row],[Mã khách hàng]],'Khách hàng'!A:E,5,0)</f>
        <v>HCVG80</v>
      </c>
    </row>
    <row r="4486" spans="1:9" x14ac:dyDescent="0.25">
      <c r="A4486" s="14" t="s">
        <v>13835</v>
      </c>
      <c r="B4486" s="15" t="s">
        <v>5</v>
      </c>
      <c r="C4486" s="16" t="s">
        <v>14961</v>
      </c>
      <c r="D4486" s="21"/>
      <c r="E4486" s="32" t="s">
        <v>15668</v>
      </c>
      <c r="F4486" s="22" t="str">
        <f>VLOOKUP(Table8[[#This Row],[Mã khách hàng]],code_khach_hang[],2,0)</f>
        <v>CHI NHÁNH ĐỒNG NAI - CÔNG TY CỔ PHẦN DỊCH VỤ THƯƠNG MẠI TỔNG HỢP WINCOMMERCE</v>
      </c>
      <c r="G4486" s="16" t="str">
        <f>VLOOKUP(Table8[[#This Row],[Mã khách hàng]],code_khach_hang[],3,0)</f>
        <v>Miền Nam đặc biệt 3</v>
      </c>
      <c r="H4486" t="str">
        <f>VLOOKUP(Table8[[#This Row],[Mã khách hàng]],'Khách hàng'!A:D,4,0)</f>
        <v>Food Đức Việt</v>
      </c>
      <c r="I4486" t="str">
        <f>VLOOKUP(Table8[[#This Row],[Mã khách hàng]],'Khách hàng'!A:E,5,0)</f>
        <v>HCVG80</v>
      </c>
    </row>
    <row r="4487" spans="1:9" x14ac:dyDescent="0.25">
      <c r="A4487" s="14" t="s">
        <v>13836</v>
      </c>
      <c r="B4487" s="15" t="s">
        <v>5</v>
      </c>
      <c r="C4487" s="16" t="s">
        <v>14962</v>
      </c>
      <c r="D4487" s="21"/>
      <c r="E4487" s="32" t="s">
        <v>15678</v>
      </c>
      <c r="F4487" s="22" t="str">
        <f>VLOOKUP(Table8[[#This Row],[Mã khách hàng]],code_khach_hang[],2,0)</f>
        <v>CHI NHÁNH LÂM ĐỒNG - CÔNG TY CỔ PHẦN DỊCH VỤ THƯƠNG MẠI TỔNG HỢP WINCOMMERCE</v>
      </c>
      <c r="G4487" s="16" t="str">
        <f>VLOOKUP(Table8[[#This Row],[Mã khách hàng]],code_khach_hang[],3,0)</f>
        <v>Miền Nam đặc biệt 2</v>
      </c>
      <c r="H4487" t="str">
        <f>VLOOKUP(Table8[[#This Row],[Mã khách hàng]],'Khách hàng'!A:D,4,0)</f>
        <v>Food Đức Việt</v>
      </c>
      <c r="I4487" t="str">
        <f>VLOOKUP(Table8[[#This Row],[Mã khách hàng]],'Khách hàng'!A:E,5,0)</f>
        <v>HCVG80</v>
      </c>
    </row>
    <row r="4488" spans="1:9" x14ac:dyDescent="0.25">
      <c r="A4488" s="14" t="s">
        <v>13837</v>
      </c>
      <c r="B4488" s="15" t="s">
        <v>5</v>
      </c>
      <c r="C4488" s="16" t="s">
        <v>14963</v>
      </c>
      <c r="D4488" s="21"/>
      <c r="E4488" s="32" t="s">
        <v>15678</v>
      </c>
      <c r="F4488" s="22" t="str">
        <f>VLOOKUP(Table8[[#This Row],[Mã khách hàng]],code_khach_hang[],2,0)</f>
        <v>CHI NHÁNH LÂM ĐỒNG - CÔNG TY CỔ PHẦN DỊCH VỤ THƯƠNG MẠI TỔNG HỢP WINCOMMERCE</v>
      </c>
      <c r="G4488" s="16" t="str">
        <f>VLOOKUP(Table8[[#This Row],[Mã khách hàng]],code_khach_hang[],3,0)</f>
        <v>Miền Nam đặc biệt 2</v>
      </c>
      <c r="H4488" t="str">
        <f>VLOOKUP(Table8[[#This Row],[Mã khách hàng]],'Khách hàng'!A:D,4,0)</f>
        <v>Food Đức Việt</v>
      </c>
      <c r="I4488" t="str">
        <f>VLOOKUP(Table8[[#This Row],[Mã khách hàng]],'Khách hàng'!A:E,5,0)</f>
        <v>HCVG80</v>
      </c>
    </row>
    <row r="4489" spans="1:9" x14ac:dyDescent="0.25">
      <c r="A4489" s="14" t="s">
        <v>13838</v>
      </c>
      <c r="B4489" s="15" t="s">
        <v>5</v>
      </c>
      <c r="C4489" s="16" t="s">
        <v>14964</v>
      </c>
      <c r="D4489" s="21"/>
      <c r="E4489" s="32" t="s">
        <v>15669</v>
      </c>
      <c r="F4489" s="22" t="str">
        <f>VLOOKUP(Table8[[#This Row],[Mã khách hàng]],code_khach_hang[],2,0)</f>
        <v>CHI NHÁNH CẦN THƠ - CÔNG TY CỔ PHẦN DỊCH VỤ THƯƠNG MẠI TỔNG HỢP WINCOMMERCE</v>
      </c>
      <c r="G4489" s="16" t="str">
        <f>VLOOKUP(Table8[[#This Row],[Mã khách hàng]],code_khach_hang[],3,0)</f>
        <v>Miền Nam đặc biệt 2</v>
      </c>
      <c r="H4489" t="str">
        <f>VLOOKUP(Table8[[#This Row],[Mã khách hàng]],'Khách hàng'!A:D,4,0)</f>
        <v>Food Đức Việt</v>
      </c>
      <c r="I4489" t="str">
        <f>VLOOKUP(Table8[[#This Row],[Mã khách hàng]],'Khách hàng'!A:E,5,0)</f>
        <v>HC-CT120</v>
      </c>
    </row>
    <row r="4490" spans="1:9" x14ac:dyDescent="0.25">
      <c r="A4490" s="14" t="s">
        <v>13839</v>
      </c>
      <c r="B4490" s="15" t="s">
        <v>5</v>
      </c>
      <c r="C4490" s="16" t="s">
        <v>14965</v>
      </c>
      <c r="D4490" s="21"/>
      <c r="E4490" s="32" t="s">
        <v>15669</v>
      </c>
      <c r="F4490" s="22" t="str">
        <f>VLOOKUP(Table8[[#This Row],[Mã khách hàng]],code_khach_hang[],2,0)</f>
        <v>CHI NHÁNH CẦN THƠ - CÔNG TY CỔ PHẦN DỊCH VỤ THƯƠNG MẠI TỔNG HỢP WINCOMMERCE</v>
      </c>
      <c r="G4490" s="16" t="str">
        <f>VLOOKUP(Table8[[#This Row],[Mã khách hàng]],code_khach_hang[],3,0)</f>
        <v>Miền Nam đặc biệt 2</v>
      </c>
      <c r="H4490" t="str">
        <f>VLOOKUP(Table8[[#This Row],[Mã khách hàng]],'Khách hàng'!A:D,4,0)</f>
        <v>Food Đức Việt</v>
      </c>
      <c r="I4490" t="str">
        <f>VLOOKUP(Table8[[#This Row],[Mã khách hàng]],'Khách hàng'!A:E,5,0)</f>
        <v>HC-CT120</v>
      </c>
    </row>
    <row r="4491" spans="1:9" x14ac:dyDescent="0.25">
      <c r="A4491" s="14" t="s">
        <v>13840</v>
      </c>
      <c r="B4491" s="15" t="s">
        <v>5</v>
      </c>
      <c r="C4491" s="16" t="s">
        <v>14966</v>
      </c>
      <c r="D4491" s="21"/>
      <c r="E4491" s="32" t="s">
        <v>15667</v>
      </c>
      <c r="F4491" s="22" t="str">
        <f>VLOOKUP(Table8[[#This Row],[Mã khách hàng]],code_khach_hang[],2,0)</f>
        <v>CÔNG TY CỔ PHẦN DỊCH VỤ THƯƠNG MẠI TỔNG HỢP WINCOMMERCE</v>
      </c>
      <c r="G4491" s="16" t="str">
        <f>VLOOKUP(Table8[[#This Row],[Mã khách hàng]],code_khach_hang[],3,0)</f>
        <v>Miền Nam đặc biệt 1</v>
      </c>
      <c r="H4491" t="str">
        <f>VLOOKUP(Table8[[#This Row],[Mã khách hàng]],'Khách hàng'!A:D,4,0)</f>
        <v>Food Đức Việt</v>
      </c>
      <c r="I4491" t="str">
        <f>VLOOKUP(Table8[[#This Row],[Mã khách hàng]],'Khách hàng'!A:E,5,0)</f>
        <v>HCVG80</v>
      </c>
    </row>
    <row r="4492" spans="1:9" x14ac:dyDescent="0.25">
      <c r="A4492" s="14" t="s">
        <v>13841</v>
      </c>
      <c r="B4492" s="15" t="s">
        <v>5</v>
      </c>
      <c r="C4492" s="16" t="s">
        <v>14967</v>
      </c>
      <c r="D4492" s="21"/>
      <c r="E4492" s="32" t="s">
        <v>15678</v>
      </c>
      <c r="F4492" s="22" t="str">
        <f>VLOOKUP(Table8[[#This Row],[Mã khách hàng]],code_khach_hang[],2,0)</f>
        <v>CHI NHÁNH LÂM ĐỒNG - CÔNG TY CỔ PHẦN DỊCH VỤ THƯƠNG MẠI TỔNG HỢP WINCOMMERCE</v>
      </c>
      <c r="G4492" s="16" t="str">
        <f>VLOOKUP(Table8[[#This Row],[Mã khách hàng]],code_khach_hang[],3,0)</f>
        <v>Miền Nam đặc biệt 2</v>
      </c>
      <c r="H4492" t="str">
        <f>VLOOKUP(Table8[[#This Row],[Mã khách hàng]],'Khách hàng'!A:D,4,0)</f>
        <v>Food Đức Việt</v>
      </c>
      <c r="I4492" t="str">
        <f>VLOOKUP(Table8[[#This Row],[Mã khách hàng]],'Khách hàng'!A:E,5,0)</f>
        <v>HCVG80</v>
      </c>
    </row>
    <row r="4493" spans="1:9" x14ac:dyDescent="0.25">
      <c r="A4493" s="14" t="s">
        <v>13842</v>
      </c>
      <c r="B4493" s="15" t="s">
        <v>5</v>
      </c>
      <c r="C4493" s="16" t="s">
        <v>14968</v>
      </c>
      <c r="D4493" s="21"/>
      <c r="E4493" s="32" t="s">
        <v>15667</v>
      </c>
      <c r="F4493" s="22" t="str">
        <f>VLOOKUP(Table8[[#This Row],[Mã khách hàng]],code_khach_hang[],2,0)</f>
        <v>CÔNG TY CỔ PHẦN DỊCH VỤ THƯƠNG MẠI TỔNG HỢP WINCOMMERCE</v>
      </c>
      <c r="G4493" s="16" t="str">
        <f>VLOOKUP(Table8[[#This Row],[Mã khách hàng]],code_khach_hang[],3,0)</f>
        <v>Miền Nam đặc biệt 1</v>
      </c>
      <c r="H4493" t="str">
        <f>VLOOKUP(Table8[[#This Row],[Mã khách hàng]],'Khách hàng'!A:D,4,0)</f>
        <v>Food Đức Việt</v>
      </c>
      <c r="I4493" t="str">
        <f>VLOOKUP(Table8[[#This Row],[Mã khách hàng]],'Khách hàng'!A:E,5,0)</f>
        <v>HCVG80</v>
      </c>
    </row>
    <row r="4494" spans="1:9" x14ac:dyDescent="0.25">
      <c r="A4494" s="14" t="s">
        <v>13843</v>
      </c>
      <c r="B4494" s="15" t="s">
        <v>5</v>
      </c>
      <c r="C4494" s="16" t="s">
        <v>14969</v>
      </c>
      <c r="D4494" s="21"/>
      <c r="E4494" s="32" t="s">
        <v>15678</v>
      </c>
      <c r="F4494" s="22" t="str">
        <f>VLOOKUP(Table8[[#This Row],[Mã khách hàng]],code_khach_hang[],2,0)</f>
        <v>CHI NHÁNH LÂM ĐỒNG - CÔNG TY CỔ PHẦN DỊCH VỤ THƯƠNG MẠI TỔNG HỢP WINCOMMERCE</v>
      </c>
      <c r="G4494" s="16" t="str">
        <f>VLOOKUP(Table8[[#This Row],[Mã khách hàng]],code_khach_hang[],3,0)</f>
        <v>Miền Nam đặc biệt 2</v>
      </c>
      <c r="H4494" t="str">
        <f>VLOOKUP(Table8[[#This Row],[Mã khách hàng]],'Khách hàng'!A:D,4,0)</f>
        <v>Food Đức Việt</v>
      </c>
      <c r="I4494" t="str">
        <f>VLOOKUP(Table8[[#This Row],[Mã khách hàng]],'Khách hàng'!A:E,5,0)</f>
        <v>HCVG80</v>
      </c>
    </row>
    <row r="4495" spans="1:9" x14ac:dyDescent="0.25">
      <c r="A4495" s="14" t="s">
        <v>13844</v>
      </c>
      <c r="B4495" s="15" t="s">
        <v>5</v>
      </c>
      <c r="C4495" s="16" t="s">
        <v>14970</v>
      </c>
      <c r="D4495" s="21"/>
      <c r="E4495" s="32" t="s">
        <v>15667</v>
      </c>
      <c r="F4495" s="22" t="str">
        <f>VLOOKUP(Table8[[#This Row],[Mã khách hàng]],code_khach_hang[],2,0)</f>
        <v>CÔNG TY CỔ PHẦN DỊCH VỤ THƯƠNG MẠI TỔNG HỢP WINCOMMERCE</v>
      </c>
      <c r="G4495" s="16" t="str">
        <f>VLOOKUP(Table8[[#This Row],[Mã khách hàng]],code_khach_hang[],3,0)</f>
        <v>Miền Nam đặc biệt 1</v>
      </c>
      <c r="H4495" t="str">
        <f>VLOOKUP(Table8[[#This Row],[Mã khách hàng]],'Khách hàng'!A:D,4,0)</f>
        <v>Food Đức Việt</v>
      </c>
      <c r="I4495" t="str">
        <f>VLOOKUP(Table8[[#This Row],[Mã khách hàng]],'Khách hàng'!A:E,5,0)</f>
        <v>HCVG80</v>
      </c>
    </row>
    <row r="4496" spans="1:9" x14ac:dyDescent="0.25">
      <c r="A4496" s="14" t="s">
        <v>13845</v>
      </c>
      <c r="B4496" s="15" t="s">
        <v>5</v>
      </c>
      <c r="C4496" s="16" t="s">
        <v>14971</v>
      </c>
      <c r="D4496" s="21"/>
      <c r="E4496" s="32" t="s">
        <v>15667</v>
      </c>
      <c r="F4496" s="22" t="str">
        <f>VLOOKUP(Table8[[#This Row],[Mã khách hàng]],code_khach_hang[],2,0)</f>
        <v>CÔNG TY CỔ PHẦN DỊCH VỤ THƯƠNG MẠI TỔNG HỢP WINCOMMERCE</v>
      </c>
      <c r="G4496" s="16" t="str">
        <f>VLOOKUP(Table8[[#This Row],[Mã khách hàng]],code_khach_hang[],3,0)</f>
        <v>Miền Nam đặc biệt 1</v>
      </c>
      <c r="H4496" t="str">
        <f>VLOOKUP(Table8[[#This Row],[Mã khách hàng]],'Khách hàng'!A:D,4,0)</f>
        <v>Food Đức Việt</v>
      </c>
      <c r="I4496" t="str">
        <f>VLOOKUP(Table8[[#This Row],[Mã khách hàng]],'Khách hàng'!A:E,5,0)</f>
        <v>HCVG80</v>
      </c>
    </row>
    <row r="4497" spans="1:9" x14ac:dyDescent="0.25">
      <c r="A4497" s="14" t="s">
        <v>13846</v>
      </c>
      <c r="B4497" s="15" t="s">
        <v>5</v>
      </c>
      <c r="C4497" s="16" t="s">
        <v>14972</v>
      </c>
      <c r="D4497" s="21"/>
      <c r="E4497" s="32" t="s">
        <v>15667</v>
      </c>
      <c r="F4497" s="22" t="str">
        <f>VLOOKUP(Table8[[#This Row],[Mã khách hàng]],code_khach_hang[],2,0)</f>
        <v>CÔNG TY CỔ PHẦN DỊCH VỤ THƯƠNG MẠI TỔNG HỢP WINCOMMERCE</v>
      </c>
      <c r="G4497" s="16" t="str">
        <f>VLOOKUP(Table8[[#This Row],[Mã khách hàng]],code_khach_hang[],3,0)</f>
        <v>Miền Nam đặc biệt 1</v>
      </c>
      <c r="H4497" t="str">
        <f>VLOOKUP(Table8[[#This Row],[Mã khách hàng]],'Khách hàng'!A:D,4,0)</f>
        <v>Food Đức Việt</v>
      </c>
      <c r="I4497" t="str">
        <f>VLOOKUP(Table8[[#This Row],[Mã khách hàng]],'Khách hàng'!A:E,5,0)</f>
        <v>HCVG80</v>
      </c>
    </row>
    <row r="4498" spans="1:9" x14ac:dyDescent="0.25">
      <c r="A4498" s="14" t="s">
        <v>13847</v>
      </c>
      <c r="B4498" s="15" t="s">
        <v>5</v>
      </c>
      <c r="C4498" s="16" t="s">
        <v>14973</v>
      </c>
      <c r="D4498" s="21"/>
      <c r="E4498" s="32" t="s">
        <v>15667</v>
      </c>
      <c r="F4498" s="22" t="str">
        <f>VLOOKUP(Table8[[#This Row],[Mã khách hàng]],code_khach_hang[],2,0)</f>
        <v>CÔNG TY CỔ PHẦN DỊCH VỤ THƯƠNG MẠI TỔNG HỢP WINCOMMERCE</v>
      </c>
      <c r="G4498" s="16" t="str">
        <f>VLOOKUP(Table8[[#This Row],[Mã khách hàng]],code_khach_hang[],3,0)</f>
        <v>Miền Nam đặc biệt 1</v>
      </c>
      <c r="H4498" t="str">
        <f>VLOOKUP(Table8[[#This Row],[Mã khách hàng]],'Khách hàng'!A:D,4,0)</f>
        <v>Food Đức Việt</v>
      </c>
      <c r="I4498" t="str">
        <f>VLOOKUP(Table8[[#This Row],[Mã khách hàng]],'Khách hàng'!A:E,5,0)</f>
        <v>HCVG80</v>
      </c>
    </row>
    <row r="4499" spans="1:9" x14ac:dyDescent="0.25">
      <c r="A4499" s="14" t="s">
        <v>13848</v>
      </c>
      <c r="B4499" s="15" t="s">
        <v>5</v>
      </c>
      <c r="C4499" s="16" t="s">
        <v>14974</v>
      </c>
      <c r="D4499" s="21"/>
      <c r="E4499" s="32" t="s">
        <v>15667</v>
      </c>
      <c r="F4499" s="22" t="str">
        <f>VLOOKUP(Table8[[#This Row],[Mã khách hàng]],code_khach_hang[],2,0)</f>
        <v>CÔNG TY CỔ PHẦN DỊCH VỤ THƯƠNG MẠI TỔNG HỢP WINCOMMERCE</v>
      </c>
      <c r="G4499" s="16" t="str">
        <f>VLOOKUP(Table8[[#This Row],[Mã khách hàng]],code_khach_hang[],3,0)</f>
        <v>Miền Nam đặc biệt 1</v>
      </c>
      <c r="H4499" t="str">
        <f>VLOOKUP(Table8[[#This Row],[Mã khách hàng]],'Khách hàng'!A:D,4,0)</f>
        <v>Food Đức Việt</v>
      </c>
      <c r="I4499" t="str">
        <f>VLOOKUP(Table8[[#This Row],[Mã khách hàng]],'Khách hàng'!A:E,5,0)</f>
        <v>HCVG80</v>
      </c>
    </row>
    <row r="4500" spans="1:9" x14ac:dyDescent="0.25">
      <c r="A4500" s="14" t="s">
        <v>13849</v>
      </c>
      <c r="B4500" s="15" t="s">
        <v>5</v>
      </c>
      <c r="C4500" s="16" t="s">
        <v>14975</v>
      </c>
      <c r="D4500" s="21"/>
      <c r="E4500" s="32" t="s">
        <v>15667</v>
      </c>
      <c r="F4500" s="22" t="str">
        <f>VLOOKUP(Table8[[#This Row],[Mã khách hàng]],code_khach_hang[],2,0)</f>
        <v>CÔNG TY CỔ PHẦN DỊCH VỤ THƯƠNG MẠI TỔNG HỢP WINCOMMERCE</v>
      </c>
      <c r="G4500" s="16" t="str">
        <f>VLOOKUP(Table8[[#This Row],[Mã khách hàng]],code_khach_hang[],3,0)</f>
        <v>Miền Nam đặc biệt 1</v>
      </c>
      <c r="H4500" t="str">
        <f>VLOOKUP(Table8[[#This Row],[Mã khách hàng]],'Khách hàng'!A:D,4,0)</f>
        <v>Food Đức Việt</v>
      </c>
      <c r="I4500" t="str">
        <f>VLOOKUP(Table8[[#This Row],[Mã khách hàng]],'Khách hàng'!A:E,5,0)</f>
        <v>HCVG80</v>
      </c>
    </row>
    <row r="4501" spans="1:9" x14ac:dyDescent="0.25">
      <c r="A4501" s="14" t="s">
        <v>13850</v>
      </c>
      <c r="B4501" s="15" t="s">
        <v>5</v>
      </c>
      <c r="C4501" s="16" t="s">
        <v>14976</v>
      </c>
      <c r="D4501" s="21"/>
      <c r="E4501" s="32" t="s">
        <v>15667</v>
      </c>
      <c r="F4501" s="22" t="str">
        <f>VLOOKUP(Table8[[#This Row],[Mã khách hàng]],code_khach_hang[],2,0)</f>
        <v>CÔNG TY CỔ PHẦN DỊCH VỤ THƯƠNG MẠI TỔNG HỢP WINCOMMERCE</v>
      </c>
      <c r="G4501" s="16" t="str">
        <f>VLOOKUP(Table8[[#This Row],[Mã khách hàng]],code_khach_hang[],3,0)</f>
        <v>Miền Nam đặc biệt 1</v>
      </c>
      <c r="H4501" t="str">
        <f>VLOOKUP(Table8[[#This Row],[Mã khách hàng]],'Khách hàng'!A:D,4,0)</f>
        <v>Food Đức Việt</v>
      </c>
      <c r="I4501" t="str">
        <f>VLOOKUP(Table8[[#This Row],[Mã khách hàng]],'Khách hàng'!A:E,5,0)</f>
        <v>HCVG80</v>
      </c>
    </row>
    <row r="4502" spans="1:9" x14ac:dyDescent="0.25">
      <c r="A4502" s="14" t="s">
        <v>13851</v>
      </c>
      <c r="B4502" s="15" t="s">
        <v>5</v>
      </c>
      <c r="C4502" s="16" t="s">
        <v>14977</v>
      </c>
      <c r="D4502" s="21"/>
      <c r="E4502" s="32" t="s">
        <v>15667</v>
      </c>
      <c r="F4502" s="22" t="str">
        <f>VLOOKUP(Table8[[#This Row],[Mã khách hàng]],code_khach_hang[],2,0)</f>
        <v>CÔNG TY CỔ PHẦN DỊCH VỤ THƯƠNG MẠI TỔNG HỢP WINCOMMERCE</v>
      </c>
      <c r="G4502" s="16" t="str">
        <f>VLOOKUP(Table8[[#This Row],[Mã khách hàng]],code_khach_hang[],3,0)</f>
        <v>Miền Nam đặc biệt 1</v>
      </c>
      <c r="H4502" t="str">
        <f>VLOOKUP(Table8[[#This Row],[Mã khách hàng]],'Khách hàng'!A:D,4,0)</f>
        <v>Food Đức Việt</v>
      </c>
      <c r="I4502" t="str">
        <f>VLOOKUP(Table8[[#This Row],[Mã khách hàng]],'Khách hàng'!A:E,5,0)</f>
        <v>HCVG80</v>
      </c>
    </row>
    <row r="4503" spans="1:9" x14ac:dyDescent="0.25">
      <c r="A4503" s="14" t="s">
        <v>13852</v>
      </c>
      <c r="B4503" s="15" t="s">
        <v>5</v>
      </c>
      <c r="C4503" s="16" t="s">
        <v>14978</v>
      </c>
      <c r="D4503" s="21"/>
      <c r="E4503" s="32" t="s">
        <v>15671</v>
      </c>
      <c r="F4503" s="22" t="str">
        <f>VLOOKUP(Table8[[#This Row],[Mã khách hàng]],code_khach_hang[],2,0)</f>
        <v>CHI NHÁNH BÌNH DƯƠNG - CÔNG TY CỔ PHẦN DỊCH VỤ THƯƠNG MẠI TỔNG HỢP WINCOMMERCE</v>
      </c>
      <c r="G4503" s="16" t="str">
        <f>VLOOKUP(Table8[[#This Row],[Mã khách hàng]],code_khach_hang[],3,0)</f>
        <v>Miền Nam đặc biệt 1</v>
      </c>
      <c r="H4503" t="str">
        <f>VLOOKUP(Table8[[#This Row],[Mã khách hàng]],'Khách hàng'!A:D,4,0)</f>
        <v>Food Đức Việt</v>
      </c>
      <c r="I4503" t="str">
        <f>VLOOKUP(Table8[[#This Row],[Mã khách hàng]],'Khách hàng'!A:E,5,0)</f>
        <v>HCVG80</v>
      </c>
    </row>
    <row r="4504" spans="1:9" x14ac:dyDescent="0.25">
      <c r="A4504" s="14" t="s">
        <v>13853</v>
      </c>
      <c r="B4504" s="15" t="s">
        <v>5</v>
      </c>
      <c r="C4504" s="16" t="s">
        <v>14979</v>
      </c>
      <c r="D4504" s="21"/>
      <c r="E4504" s="32" t="s">
        <v>15667</v>
      </c>
      <c r="F4504" s="22" t="str">
        <f>VLOOKUP(Table8[[#This Row],[Mã khách hàng]],code_khach_hang[],2,0)</f>
        <v>CÔNG TY CỔ PHẦN DỊCH VỤ THƯƠNG MẠI TỔNG HỢP WINCOMMERCE</v>
      </c>
      <c r="G4504" s="16" t="str">
        <f>VLOOKUP(Table8[[#This Row],[Mã khách hàng]],code_khach_hang[],3,0)</f>
        <v>Miền Nam đặc biệt 1</v>
      </c>
      <c r="H4504" t="str">
        <f>VLOOKUP(Table8[[#This Row],[Mã khách hàng]],'Khách hàng'!A:D,4,0)</f>
        <v>Food Đức Việt</v>
      </c>
      <c r="I4504" t="str">
        <f>VLOOKUP(Table8[[#This Row],[Mã khách hàng]],'Khách hàng'!A:E,5,0)</f>
        <v>HCVG80</v>
      </c>
    </row>
    <row r="4505" spans="1:9" x14ac:dyDescent="0.25">
      <c r="A4505" s="14" t="s">
        <v>13854</v>
      </c>
      <c r="B4505" s="15" t="s">
        <v>5</v>
      </c>
      <c r="C4505" s="16" t="s">
        <v>14980</v>
      </c>
      <c r="D4505" s="21"/>
      <c r="E4505" s="32" t="s">
        <v>15667</v>
      </c>
      <c r="F4505" s="22" t="str">
        <f>VLOOKUP(Table8[[#This Row],[Mã khách hàng]],code_khach_hang[],2,0)</f>
        <v>CÔNG TY CỔ PHẦN DỊCH VỤ THƯƠNG MẠI TỔNG HỢP WINCOMMERCE</v>
      </c>
      <c r="G4505" s="16" t="str">
        <f>VLOOKUP(Table8[[#This Row],[Mã khách hàng]],code_khach_hang[],3,0)</f>
        <v>Miền Nam đặc biệt 1</v>
      </c>
      <c r="H4505" t="str">
        <f>VLOOKUP(Table8[[#This Row],[Mã khách hàng]],'Khách hàng'!A:D,4,0)</f>
        <v>Food Đức Việt</v>
      </c>
      <c r="I4505" t="str">
        <f>VLOOKUP(Table8[[#This Row],[Mã khách hàng]],'Khách hàng'!A:E,5,0)</f>
        <v>HCVG80</v>
      </c>
    </row>
    <row r="4506" spans="1:9" x14ac:dyDescent="0.25">
      <c r="A4506" s="14" t="s">
        <v>13855</v>
      </c>
      <c r="B4506" s="15" t="s">
        <v>5</v>
      </c>
      <c r="C4506" s="16" t="s">
        <v>14981</v>
      </c>
      <c r="D4506" s="21"/>
      <c r="E4506" s="32" t="s">
        <v>15667</v>
      </c>
      <c r="F4506" s="22" t="str">
        <f>VLOOKUP(Table8[[#This Row],[Mã khách hàng]],code_khach_hang[],2,0)</f>
        <v>CÔNG TY CỔ PHẦN DỊCH VỤ THƯƠNG MẠI TỔNG HỢP WINCOMMERCE</v>
      </c>
      <c r="G4506" s="16" t="str">
        <f>VLOOKUP(Table8[[#This Row],[Mã khách hàng]],code_khach_hang[],3,0)</f>
        <v>Miền Nam đặc biệt 1</v>
      </c>
      <c r="H4506" t="str">
        <f>VLOOKUP(Table8[[#This Row],[Mã khách hàng]],'Khách hàng'!A:D,4,0)</f>
        <v>Food Đức Việt</v>
      </c>
      <c r="I4506" t="str">
        <f>VLOOKUP(Table8[[#This Row],[Mã khách hàng]],'Khách hàng'!A:E,5,0)</f>
        <v>HCVG80</v>
      </c>
    </row>
    <row r="4507" spans="1:9" x14ac:dyDescent="0.25">
      <c r="A4507" s="14" t="s">
        <v>13856</v>
      </c>
      <c r="B4507" s="15" t="s">
        <v>5</v>
      </c>
      <c r="C4507" s="16" t="s">
        <v>14982</v>
      </c>
      <c r="D4507" s="21"/>
      <c r="E4507" s="32" t="s">
        <v>15667</v>
      </c>
      <c r="F4507" s="22" t="str">
        <f>VLOOKUP(Table8[[#This Row],[Mã khách hàng]],code_khach_hang[],2,0)</f>
        <v>CÔNG TY CỔ PHẦN DỊCH VỤ THƯƠNG MẠI TỔNG HỢP WINCOMMERCE</v>
      </c>
      <c r="G4507" s="16" t="str">
        <f>VLOOKUP(Table8[[#This Row],[Mã khách hàng]],code_khach_hang[],3,0)</f>
        <v>Miền Nam đặc biệt 1</v>
      </c>
      <c r="H4507" t="str">
        <f>VLOOKUP(Table8[[#This Row],[Mã khách hàng]],'Khách hàng'!A:D,4,0)</f>
        <v>Food Đức Việt</v>
      </c>
      <c r="I4507" t="str">
        <f>VLOOKUP(Table8[[#This Row],[Mã khách hàng]],'Khách hàng'!A:E,5,0)</f>
        <v>HCVG80</v>
      </c>
    </row>
    <row r="4508" spans="1:9" x14ac:dyDescent="0.25">
      <c r="A4508" s="14" t="s">
        <v>13857</v>
      </c>
      <c r="B4508" s="15" t="s">
        <v>5</v>
      </c>
      <c r="C4508" s="16" t="s">
        <v>14983</v>
      </c>
      <c r="D4508" s="21"/>
      <c r="E4508" s="32" t="s">
        <v>15667</v>
      </c>
      <c r="F4508" s="22" t="str">
        <f>VLOOKUP(Table8[[#This Row],[Mã khách hàng]],code_khach_hang[],2,0)</f>
        <v>CÔNG TY CỔ PHẦN DỊCH VỤ THƯƠNG MẠI TỔNG HỢP WINCOMMERCE</v>
      </c>
      <c r="G4508" s="16" t="str">
        <f>VLOOKUP(Table8[[#This Row],[Mã khách hàng]],code_khach_hang[],3,0)</f>
        <v>Miền Nam đặc biệt 1</v>
      </c>
      <c r="H4508" t="str">
        <f>VLOOKUP(Table8[[#This Row],[Mã khách hàng]],'Khách hàng'!A:D,4,0)</f>
        <v>Food Đức Việt</v>
      </c>
      <c r="I4508" t="str">
        <f>VLOOKUP(Table8[[#This Row],[Mã khách hàng]],'Khách hàng'!A:E,5,0)</f>
        <v>HCVG80</v>
      </c>
    </row>
    <row r="4509" spans="1:9" x14ac:dyDescent="0.25">
      <c r="A4509" s="14" t="s">
        <v>13858</v>
      </c>
      <c r="B4509" s="15" t="s">
        <v>5</v>
      </c>
      <c r="C4509" s="16" t="s">
        <v>14984</v>
      </c>
      <c r="D4509" s="21"/>
      <c r="E4509" s="32" t="s">
        <v>15667</v>
      </c>
      <c r="F4509" s="22" t="str">
        <f>VLOOKUP(Table8[[#This Row],[Mã khách hàng]],code_khach_hang[],2,0)</f>
        <v>CÔNG TY CỔ PHẦN DỊCH VỤ THƯƠNG MẠI TỔNG HỢP WINCOMMERCE</v>
      </c>
      <c r="G4509" s="16" t="str">
        <f>VLOOKUP(Table8[[#This Row],[Mã khách hàng]],code_khach_hang[],3,0)</f>
        <v>Miền Nam đặc biệt 1</v>
      </c>
      <c r="H4509" t="str">
        <f>VLOOKUP(Table8[[#This Row],[Mã khách hàng]],'Khách hàng'!A:D,4,0)</f>
        <v>Food Đức Việt</v>
      </c>
      <c r="I4509" t="str">
        <f>VLOOKUP(Table8[[#This Row],[Mã khách hàng]],'Khách hàng'!A:E,5,0)</f>
        <v>HCVG80</v>
      </c>
    </row>
    <row r="4510" spans="1:9" x14ac:dyDescent="0.25">
      <c r="A4510" s="14" t="s">
        <v>13859</v>
      </c>
      <c r="B4510" s="15" t="s">
        <v>5</v>
      </c>
      <c r="C4510" s="16" t="s">
        <v>14985</v>
      </c>
      <c r="D4510" s="21"/>
      <c r="E4510" s="32" t="s">
        <v>15667</v>
      </c>
      <c r="F4510" s="22" t="str">
        <f>VLOOKUP(Table8[[#This Row],[Mã khách hàng]],code_khach_hang[],2,0)</f>
        <v>CÔNG TY CỔ PHẦN DỊCH VỤ THƯƠNG MẠI TỔNG HỢP WINCOMMERCE</v>
      </c>
      <c r="G4510" s="16" t="str">
        <f>VLOOKUP(Table8[[#This Row],[Mã khách hàng]],code_khach_hang[],3,0)</f>
        <v>Miền Nam đặc biệt 1</v>
      </c>
      <c r="H4510" t="str">
        <f>VLOOKUP(Table8[[#This Row],[Mã khách hàng]],'Khách hàng'!A:D,4,0)</f>
        <v>Food Đức Việt</v>
      </c>
      <c r="I4510" t="str">
        <f>VLOOKUP(Table8[[#This Row],[Mã khách hàng]],'Khách hàng'!A:E,5,0)</f>
        <v>HCVG80</v>
      </c>
    </row>
    <row r="4511" spans="1:9" x14ac:dyDescent="0.25">
      <c r="A4511" s="14" t="s">
        <v>13860</v>
      </c>
      <c r="B4511" s="15" t="s">
        <v>5</v>
      </c>
      <c r="C4511" s="16" t="s">
        <v>14986</v>
      </c>
      <c r="D4511" s="21"/>
      <c r="E4511" s="32" t="s">
        <v>15667</v>
      </c>
      <c r="F4511" s="22" t="str">
        <f>VLOOKUP(Table8[[#This Row],[Mã khách hàng]],code_khach_hang[],2,0)</f>
        <v>CÔNG TY CỔ PHẦN DỊCH VỤ THƯƠNG MẠI TỔNG HỢP WINCOMMERCE</v>
      </c>
      <c r="G4511" s="16" t="str">
        <f>VLOOKUP(Table8[[#This Row],[Mã khách hàng]],code_khach_hang[],3,0)</f>
        <v>Miền Nam đặc biệt 1</v>
      </c>
      <c r="H4511" t="str">
        <f>VLOOKUP(Table8[[#This Row],[Mã khách hàng]],'Khách hàng'!A:D,4,0)</f>
        <v>Food Đức Việt</v>
      </c>
      <c r="I4511" t="str">
        <f>VLOOKUP(Table8[[#This Row],[Mã khách hàng]],'Khách hàng'!A:E,5,0)</f>
        <v>HCVG80</v>
      </c>
    </row>
    <row r="4512" spans="1:9" x14ac:dyDescent="0.25">
      <c r="A4512" s="14" t="s">
        <v>13861</v>
      </c>
      <c r="B4512" s="15" t="s">
        <v>5</v>
      </c>
      <c r="C4512" s="16" t="s">
        <v>14987</v>
      </c>
      <c r="D4512" s="21"/>
      <c r="E4512" s="32" t="s">
        <v>15667</v>
      </c>
      <c r="F4512" s="22" t="str">
        <f>VLOOKUP(Table8[[#This Row],[Mã khách hàng]],code_khach_hang[],2,0)</f>
        <v>CÔNG TY CỔ PHẦN DỊCH VỤ THƯƠNG MẠI TỔNG HỢP WINCOMMERCE</v>
      </c>
      <c r="G4512" s="16" t="str">
        <f>VLOOKUP(Table8[[#This Row],[Mã khách hàng]],code_khach_hang[],3,0)</f>
        <v>Miền Nam đặc biệt 1</v>
      </c>
      <c r="H4512" t="str">
        <f>VLOOKUP(Table8[[#This Row],[Mã khách hàng]],'Khách hàng'!A:D,4,0)</f>
        <v>Food Đức Việt</v>
      </c>
      <c r="I4512" t="str">
        <f>VLOOKUP(Table8[[#This Row],[Mã khách hàng]],'Khách hàng'!A:E,5,0)</f>
        <v>HCVG80</v>
      </c>
    </row>
    <row r="4513" spans="1:9" x14ac:dyDescent="0.25">
      <c r="A4513" s="14" t="s">
        <v>13862</v>
      </c>
      <c r="B4513" s="15" t="s">
        <v>5</v>
      </c>
      <c r="C4513" s="16" t="s">
        <v>14988</v>
      </c>
      <c r="D4513" s="21"/>
      <c r="E4513" s="32" t="s">
        <v>15667</v>
      </c>
      <c r="F4513" s="22" t="str">
        <f>VLOOKUP(Table8[[#This Row],[Mã khách hàng]],code_khach_hang[],2,0)</f>
        <v>CÔNG TY CỔ PHẦN DỊCH VỤ THƯƠNG MẠI TỔNG HỢP WINCOMMERCE</v>
      </c>
      <c r="G4513" s="16" t="str">
        <f>VLOOKUP(Table8[[#This Row],[Mã khách hàng]],code_khach_hang[],3,0)</f>
        <v>Miền Nam đặc biệt 1</v>
      </c>
      <c r="H4513" t="str">
        <f>VLOOKUP(Table8[[#This Row],[Mã khách hàng]],'Khách hàng'!A:D,4,0)</f>
        <v>Food Đức Việt</v>
      </c>
      <c r="I4513" t="str">
        <f>VLOOKUP(Table8[[#This Row],[Mã khách hàng]],'Khách hàng'!A:E,5,0)</f>
        <v>HCVG80</v>
      </c>
    </row>
    <row r="4514" spans="1:9" x14ac:dyDescent="0.25">
      <c r="A4514" s="14" t="s">
        <v>13863</v>
      </c>
      <c r="B4514" s="15" t="s">
        <v>5</v>
      </c>
      <c r="C4514" s="16" t="s">
        <v>14989</v>
      </c>
      <c r="D4514" s="21"/>
      <c r="E4514" s="32" t="s">
        <v>15667</v>
      </c>
      <c r="F4514" s="22" t="str">
        <f>VLOOKUP(Table8[[#This Row],[Mã khách hàng]],code_khach_hang[],2,0)</f>
        <v>CÔNG TY CỔ PHẦN DỊCH VỤ THƯƠNG MẠI TỔNG HỢP WINCOMMERCE</v>
      </c>
      <c r="G4514" s="16" t="str">
        <f>VLOOKUP(Table8[[#This Row],[Mã khách hàng]],code_khach_hang[],3,0)</f>
        <v>Miền Nam đặc biệt 1</v>
      </c>
      <c r="H4514" t="str">
        <f>VLOOKUP(Table8[[#This Row],[Mã khách hàng]],'Khách hàng'!A:D,4,0)</f>
        <v>Food Đức Việt</v>
      </c>
      <c r="I4514" t="str">
        <f>VLOOKUP(Table8[[#This Row],[Mã khách hàng]],'Khách hàng'!A:E,5,0)</f>
        <v>HCVG80</v>
      </c>
    </row>
    <row r="4515" spans="1:9" x14ac:dyDescent="0.25">
      <c r="A4515" s="14" t="s">
        <v>13864</v>
      </c>
      <c r="B4515" s="15" t="s">
        <v>5</v>
      </c>
      <c r="C4515" s="16" t="s">
        <v>14990</v>
      </c>
      <c r="D4515" s="21"/>
      <c r="E4515" s="32" t="s">
        <v>15667</v>
      </c>
      <c r="F4515" s="22" t="str">
        <f>VLOOKUP(Table8[[#This Row],[Mã khách hàng]],code_khach_hang[],2,0)</f>
        <v>CÔNG TY CỔ PHẦN DỊCH VỤ THƯƠNG MẠI TỔNG HỢP WINCOMMERCE</v>
      </c>
      <c r="G4515" s="16" t="str">
        <f>VLOOKUP(Table8[[#This Row],[Mã khách hàng]],code_khach_hang[],3,0)</f>
        <v>Miền Nam đặc biệt 1</v>
      </c>
      <c r="H4515" t="str">
        <f>VLOOKUP(Table8[[#This Row],[Mã khách hàng]],'Khách hàng'!A:D,4,0)</f>
        <v>Food Đức Việt</v>
      </c>
      <c r="I4515" t="str">
        <f>VLOOKUP(Table8[[#This Row],[Mã khách hàng]],'Khách hàng'!A:E,5,0)</f>
        <v>HCVG80</v>
      </c>
    </row>
    <row r="4516" spans="1:9" x14ac:dyDescent="0.25">
      <c r="A4516" s="14" t="s">
        <v>13865</v>
      </c>
      <c r="B4516" s="15" t="s">
        <v>5</v>
      </c>
      <c r="C4516" s="16" t="s">
        <v>14991</v>
      </c>
      <c r="D4516" s="21"/>
      <c r="E4516" s="32" t="s">
        <v>15671</v>
      </c>
      <c r="F4516" s="22" t="str">
        <f>VLOOKUP(Table8[[#This Row],[Mã khách hàng]],code_khach_hang[],2,0)</f>
        <v>CHI NHÁNH BÌNH DƯƠNG - CÔNG TY CỔ PHẦN DỊCH VỤ THƯƠNG MẠI TỔNG HỢP WINCOMMERCE</v>
      </c>
      <c r="G4516" s="16" t="str">
        <f>VLOOKUP(Table8[[#This Row],[Mã khách hàng]],code_khach_hang[],3,0)</f>
        <v>Miền Nam đặc biệt 1</v>
      </c>
      <c r="H4516" t="str">
        <f>VLOOKUP(Table8[[#This Row],[Mã khách hàng]],'Khách hàng'!A:D,4,0)</f>
        <v>Food Đức Việt</v>
      </c>
      <c r="I4516" t="str">
        <f>VLOOKUP(Table8[[#This Row],[Mã khách hàng]],'Khách hàng'!A:E,5,0)</f>
        <v>HCVG80</v>
      </c>
    </row>
    <row r="4517" spans="1:9" x14ac:dyDescent="0.25">
      <c r="A4517" s="14" t="s">
        <v>13866</v>
      </c>
      <c r="B4517" s="15" t="s">
        <v>5</v>
      </c>
      <c r="C4517" s="16" t="s">
        <v>14992</v>
      </c>
      <c r="D4517" s="21"/>
      <c r="E4517" s="32" t="s">
        <v>15667</v>
      </c>
      <c r="F4517" s="22" t="str">
        <f>VLOOKUP(Table8[[#This Row],[Mã khách hàng]],code_khach_hang[],2,0)</f>
        <v>CÔNG TY CỔ PHẦN DỊCH VỤ THƯƠNG MẠI TỔNG HỢP WINCOMMERCE</v>
      </c>
      <c r="G4517" s="16" t="str">
        <f>VLOOKUP(Table8[[#This Row],[Mã khách hàng]],code_khach_hang[],3,0)</f>
        <v>Miền Nam đặc biệt 1</v>
      </c>
      <c r="H4517" t="str">
        <f>VLOOKUP(Table8[[#This Row],[Mã khách hàng]],'Khách hàng'!A:D,4,0)</f>
        <v>Food Đức Việt</v>
      </c>
      <c r="I4517" t="str">
        <f>VLOOKUP(Table8[[#This Row],[Mã khách hàng]],'Khách hàng'!A:E,5,0)</f>
        <v>HCVG80</v>
      </c>
    </row>
    <row r="4518" spans="1:9" x14ac:dyDescent="0.25">
      <c r="A4518" s="14" t="s">
        <v>13867</v>
      </c>
      <c r="B4518" s="15" t="s">
        <v>5</v>
      </c>
      <c r="C4518" s="16" t="s">
        <v>14993</v>
      </c>
      <c r="D4518" s="21"/>
      <c r="E4518" s="32" t="s">
        <v>15667</v>
      </c>
      <c r="F4518" s="22" t="str">
        <f>VLOOKUP(Table8[[#This Row],[Mã khách hàng]],code_khach_hang[],2,0)</f>
        <v>CÔNG TY CỔ PHẦN DỊCH VỤ THƯƠNG MẠI TỔNG HỢP WINCOMMERCE</v>
      </c>
      <c r="G4518" s="16" t="str">
        <f>VLOOKUP(Table8[[#This Row],[Mã khách hàng]],code_khach_hang[],3,0)</f>
        <v>Miền Nam đặc biệt 1</v>
      </c>
      <c r="H4518" t="str">
        <f>VLOOKUP(Table8[[#This Row],[Mã khách hàng]],'Khách hàng'!A:D,4,0)</f>
        <v>Food Đức Việt</v>
      </c>
      <c r="I4518" t="str">
        <f>VLOOKUP(Table8[[#This Row],[Mã khách hàng]],'Khách hàng'!A:E,5,0)</f>
        <v>HCVG80</v>
      </c>
    </row>
    <row r="4519" spans="1:9" x14ac:dyDescent="0.25">
      <c r="A4519" s="14" t="s">
        <v>13868</v>
      </c>
      <c r="B4519" s="15" t="s">
        <v>5</v>
      </c>
      <c r="C4519" s="16" t="s">
        <v>14994</v>
      </c>
      <c r="D4519" s="21"/>
      <c r="E4519" s="32" t="s">
        <v>15671</v>
      </c>
      <c r="F4519" s="22" t="str">
        <f>VLOOKUP(Table8[[#This Row],[Mã khách hàng]],code_khach_hang[],2,0)</f>
        <v>CHI NHÁNH BÌNH DƯƠNG - CÔNG TY CỔ PHẦN DỊCH VỤ THƯƠNG MẠI TỔNG HỢP WINCOMMERCE</v>
      </c>
      <c r="G4519" s="16" t="str">
        <f>VLOOKUP(Table8[[#This Row],[Mã khách hàng]],code_khach_hang[],3,0)</f>
        <v>Miền Nam đặc biệt 1</v>
      </c>
      <c r="H4519" t="str">
        <f>VLOOKUP(Table8[[#This Row],[Mã khách hàng]],'Khách hàng'!A:D,4,0)</f>
        <v>Food Đức Việt</v>
      </c>
      <c r="I4519" t="str">
        <f>VLOOKUP(Table8[[#This Row],[Mã khách hàng]],'Khách hàng'!A:E,5,0)</f>
        <v>HCVG80</v>
      </c>
    </row>
    <row r="4520" spans="1:9" x14ac:dyDescent="0.25">
      <c r="A4520" s="14" t="s">
        <v>13869</v>
      </c>
      <c r="B4520" s="15" t="s">
        <v>5</v>
      </c>
      <c r="C4520" s="16" t="s">
        <v>14995</v>
      </c>
      <c r="D4520" s="21"/>
      <c r="E4520" s="32" t="s">
        <v>15667</v>
      </c>
      <c r="F4520" s="22" t="str">
        <f>VLOOKUP(Table8[[#This Row],[Mã khách hàng]],code_khach_hang[],2,0)</f>
        <v>CÔNG TY CỔ PHẦN DỊCH VỤ THƯƠNG MẠI TỔNG HỢP WINCOMMERCE</v>
      </c>
      <c r="G4520" s="16" t="str">
        <f>VLOOKUP(Table8[[#This Row],[Mã khách hàng]],code_khach_hang[],3,0)</f>
        <v>Miền Nam đặc biệt 1</v>
      </c>
      <c r="H4520" t="str">
        <f>VLOOKUP(Table8[[#This Row],[Mã khách hàng]],'Khách hàng'!A:D,4,0)</f>
        <v>Food Đức Việt</v>
      </c>
      <c r="I4520" t="str">
        <f>VLOOKUP(Table8[[#This Row],[Mã khách hàng]],'Khách hàng'!A:E,5,0)</f>
        <v>HCVG80</v>
      </c>
    </row>
    <row r="4521" spans="1:9" x14ac:dyDescent="0.25">
      <c r="A4521" s="14" t="s">
        <v>13870</v>
      </c>
      <c r="B4521" s="15" t="s">
        <v>5</v>
      </c>
      <c r="C4521" s="16" t="s">
        <v>14996</v>
      </c>
      <c r="D4521" s="21"/>
      <c r="E4521" s="32" t="s">
        <v>15667</v>
      </c>
      <c r="F4521" s="22" t="str">
        <f>VLOOKUP(Table8[[#This Row],[Mã khách hàng]],code_khach_hang[],2,0)</f>
        <v>CÔNG TY CỔ PHẦN DỊCH VỤ THƯƠNG MẠI TỔNG HỢP WINCOMMERCE</v>
      </c>
      <c r="G4521" s="16" t="str">
        <f>VLOOKUP(Table8[[#This Row],[Mã khách hàng]],code_khach_hang[],3,0)</f>
        <v>Miền Nam đặc biệt 1</v>
      </c>
      <c r="H4521" t="str">
        <f>VLOOKUP(Table8[[#This Row],[Mã khách hàng]],'Khách hàng'!A:D,4,0)</f>
        <v>Food Đức Việt</v>
      </c>
      <c r="I4521" t="str">
        <f>VLOOKUP(Table8[[#This Row],[Mã khách hàng]],'Khách hàng'!A:E,5,0)</f>
        <v>HCVG80</v>
      </c>
    </row>
    <row r="4522" spans="1:9" x14ac:dyDescent="0.25">
      <c r="A4522" s="14" t="s">
        <v>13871</v>
      </c>
      <c r="B4522" s="15" t="s">
        <v>5</v>
      </c>
      <c r="C4522" s="16" t="s">
        <v>14997</v>
      </c>
      <c r="D4522" s="21"/>
      <c r="E4522" s="32" t="s">
        <v>15667</v>
      </c>
      <c r="F4522" s="22" t="str">
        <f>VLOOKUP(Table8[[#This Row],[Mã khách hàng]],code_khach_hang[],2,0)</f>
        <v>CÔNG TY CỔ PHẦN DỊCH VỤ THƯƠNG MẠI TỔNG HỢP WINCOMMERCE</v>
      </c>
      <c r="G4522" s="16" t="str">
        <f>VLOOKUP(Table8[[#This Row],[Mã khách hàng]],code_khach_hang[],3,0)</f>
        <v>Miền Nam đặc biệt 1</v>
      </c>
      <c r="H4522" t="str">
        <f>VLOOKUP(Table8[[#This Row],[Mã khách hàng]],'Khách hàng'!A:D,4,0)</f>
        <v>Food Đức Việt</v>
      </c>
      <c r="I4522" t="str">
        <f>VLOOKUP(Table8[[#This Row],[Mã khách hàng]],'Khách hàng'!A:E,5,0)</f>
        <v>HCVG80</v>
      </c>
    </row>
    <row r="4523" spans="1:9" x14ac:dyDescent="0.25">
      <c r="A4523" s="14" t="s">
        <v>13872</v>
      </c>
      <c r="B4523" s="15" t="s">
        <v>5</v>
      </c>
      <c r="C4523" s="16" t="s">
        <v>14998</v>
      </c>
      <c r="D4523" s="21"/>
      <c r="E4523" s="32" t="s">
        <v>15667</v>
      </c>
      <c r="F4523" s="22" t="str">
        <f>VLOOKUP(Table8[[#This Row],[Mã khách hàng]],code_khach_hang[],2,0)</f>
        <v>CÔNG TY CỔ PHẦN DỊCH VỤ THƯƠNG MẠI TỔNG HỢP WINCOMMERCE</v>
      </c>
      <c r="G4523" s="16" t="str">
        <f>VLOOKUP(Table8[[#This Row],[Mã khách hàng]],code_khach_hang[],3,0)</f>
        <v>Miền Nam đặc biệt 1</v>
      </c>
      <c r="H4523" t="str">
        <f>VLOOKUP(Table8[[#This Row],[Mã khách hàng]],'Khách hàng'!A:D,4,0)</f>
        <v>Food Đức Việt</v>
      </c>
      <c r="I4523" t="str">
        <f>VLOOKUP(Table8[[#This Row],[Mã khách hàng]],'Khách hàng'!A:E,5,0)</f>
        <v>HCVG80</v>
      </c>
    </row>
    <row r="4524" spans="1:9" x14ac:dyDescent="0.25">
      <c r="A4524" s="14" t="s">
        <v>13873</v>
      </c>
      <c r="B4524" s="15" t="s">
        <v>5</v>
      </c>
      <c r="C4524" s="16" t="s">
        <v>14999</v>
      </c>
      <c r="D4524" s="21"/>
      <c r="E4524" s="32" t="s">
        <v>15671</v>
      </c>
      <c r="F4524" s="22" t="str">
        <f>VLOOKUP(Table8[[#This Row],[Mã khách hàng]],code_khach_hang[],2,0)</f>
        <v>CHI NHÁNH BÌNH DƯƠNG - CÔNG TY CỔ PHẦN DỊCH VỤ THƯƠNG MẠI TỔNG HỢP WINCOMMERCE</v>
      </c>
      <c r="G4524" s="16" t="str">
        <f>VLOOKUP(Table8[[#This Row],[Mã khách hàng]],code_khach_hang[],3,0)</f>
        <v>Miền Nam đặc biệt 1</v>
      </c>
      <c r="H4524" t="str">
        <f>VLOOKUP(Table8[[#This Row],[Mã khách hàng]],'Khách hàng'!A:D,4,0)</f>
        <v>Food Đức Việt</v>
      </c>
      <c r="I4524" t="str">
        <f>VLOOKUP(Table8[[#This Row],[Mã khách hàng]],'Khách hàng'!A:E,5,0)</f>
        <v>HCVG80</v>
      </c>
    </row>
    <row r="4525" spans="1:9" x14ac:dyDescent="0.25">
      <c r="A4525" s="14" t="s">
        <v>13874</v>
      </c>
      <c r="B4525" s="15" t="s">
        <v>5</v>
      </c>
      <c r="C4525" s="16" t="s">
        <v>15000</v>
      </c>
      <c r="D4525" s="21"/>
      <c r="E4525" s="32" t="s">
        <v>15671</v>
      </c>
      <c r="F4525" s="22" t="str">
        <f>VLOOKUP(Table8[[#This Row],[Mã khách hàng]],code_khach_hang[],2,0)</f>
        <v>CHI NHÁNH BÌNH DƯƠNG - CÔNG TY CỔ PHẦN DỊCH VỤ THƯƠNG MẠI TỔNG HỢP WINCOMMERCE</v>
      </c>
      <c r="G4525" s="16" t="str">
        <f>VLOOKUP(Table8[[#This Row],[Mã khách hàng]],code_khach_hang[],3,0)</f>
        <v>Miền Nam đặc biệt 1</v>
      </c>
      <c r="H4525" t="str">
        <f>VLOOKUP(Table8[[#This Row],[Mã khách hàng]],'Khách hàng'!A:D,4,0)</f>
        <v>Food Đức Việt</v>
      </c>
      <c r="I4525" t="str">
        <f>VLOOKUP(Table8[[#This Row],[Mã khách hàng]],'Khách hàng'!A:E,5,0)</f>
        <v>HCVG80</v>
      </c>
    </row>
    <row r="4526" spans="1:9" x14ac:dyDescent="0.25">
      <c r="A4526" s="14" t="s">
        <v>13875</v>
      </c>
      <c r="B4526" s="15" t="s">
        <v>5</v>
      </c>
      <c r="C4526" s="16" t="s">
        <v>15001</v>
      </c>
      <c r="D4526" s="21"/>
      <c r="E4526" s="32" t="s">
        <v>15667</v>
      </c>
      <c r="F4526" s="22" t="str">
        <f>VLOOKUP(Table8[[#This Row],[Mã khách hàng]],code_khach_hang[],2,0)</f>
        <v>CÔNG TY CỔ PHẦN DỊCH VỤ THƯƠNG MẠI TỔNG HỢP WINCOMMERCE</v>
      </c>
      <c r="G4526" s="16" t="str">
        <f>VLOOKUP(Table8[[#This Row],[Mã khách hàng]],code_khach_hang[],3,0)</f>
        <v>Miền Nam đặc biệt 1</v>
      </c>
      <c r="H4526" t="str">
        <f>VLOOKUP(Table8[[#This Row],[Mã khách hàng]],'Khách hàng'!A:D,4,0)</f>
        <v>Food Đức Việt</v>
      </c>
      <c r="I4526" t="str">
        <f>VLOOKUP(Table8[[#This Row],[Mã khách hàng]],'Khách hàng'!A:E,5,0)</f>
        <v>HCVG80</v>
      </c>
    </row>
    <row r="4527" spans="1:9" x14ac:dyDescent="0.25">
      <c r="A4527" s="14" t="s">
        <v>13876</v>
      </c>
      <c r="B4527" s="15" t="s">
        <v>5</v>
      </c>
      <c r="C4527" s="16" t="s">
        <v>15002</v>
      </c>
      <c r="D4527" s="21"/>
      <c r="E4527" s="32" t="s">
        <v>15667</v>
      </c>
      <c r="F4527" s="22" t="str">
        <f>VLOOKUP(Table8[[#This Row],[Mã khách hàng]],code_khach_hang[],2,0)</f>
        <v>CÔNG TY CỔ PHẦN DỊCH VỤ THƯƠNG MẠI TỔNG HỢP WINCOMMERCE</v>
      </c>
      <c r="G4527" s="16" t="str">
        <f>VLOOKUP(Table8[[#This Row],[Mã khách hàng]],code_khach_hang[],3,0)</f>
        <v>Miền Nam đặc biệt 1</v>
      </c>
      <c r="H4527" t="str">
        <f>VLOOKUP(Table8[[#This Row],[Mã khách hàng]],'Khách hàng'!A:D,4,0)</f>
        <v>Food Đức Việt</v>
      </c>
      <c r="I4527" t="str">
        <f>VLOOKUP(Table8[[#This Row],[Mã khách hàng]],'Khách hàng'!A:E,5,0)</f>
        <v>HCVG80</v>
      </c>
    </row>
    <row r="4528" spans="1:9" x14ac:dyDescent="0.25">
      <c r="A4528" s="14" t="s">
        <v>13877</v>
      </c>
      <c r="B4528" s="15" t="s">
        <v>5</v>
      </c>
      <c r="C4528" s="16" t="s">
        <v>15003</v>
      </c>
      <c r="D4528" s="21"/>
      <c r="E4528" s="32" t="s">
        <v>15671</v>
      </c>
      <c r="F4528" s="22" t="str">
        <f>VLOOKUP(Table8[[#This Row],[Mã khách hàng]],code_khach_hang[],2,0)</f>
        <v>CHI NHÁNH BÌNH DƯƠNG - CÔNG TY CỔ PHẦN DỊCH VỤ THƯƠNG MẠI TỔNG HỢP WINCOMMERCE</v>
      </c>
      <c r="G4528" s="16" t="str">
        <f>VLOOKUP(Table8[[#This Row],[Mã khách hàng]],code_khach_hang[],3,0)</f>
        <v>Miền Nam đặc biệt 1</v>
      </c>
      <c r="H4528" t="str">
        <f>VLOOKUP(Table8[[#This Row],[Mã khách hàng]],'Khách hàng'!A:D,4,0)</f>
        <v>Food Đức Việt</v>
      </c>
      <c r="I4528" t="str">
        <f>VLOOKUP(Table8[[#This Row],[Mã khách hàng]],'Khách hàng'!A:E,5,0)</f>
        <v>HCVG80</v>
      </c>
    </row>
    <row r="4529" spans="1:9" x14ac:dyDescent="0.25">
      <c r="A4529" s="14" t="s">
        <v>13878</v>
      </c>
      <c r="B4529" s="15" t="s">
        <v>5</v>
      </c>
      <c r="C4529" s="16" t="s">
        <v>15004</v>
      </c>
      <c r="D4529" s="21"/>
      <c r="E4529" s="32" t="s">
        <v>15667</v>
      </c>
      <c r="F4529" s="22" t="str">
        <f>VLOOKUP(Table8[[#This Row],[Mã khách hàng]],code_khach_hang[],2,0)</f>
        <v>CÔNG TY CỔ PHẦN DỊCH VỤ THƯƠNG MẠI TỔNG HỢP WINCOMMERCE</v>
      </c>
      <c r="G4529" s="16" t="str">
        <f>VLOOKUP(Table8[[#This Row],[Mã khách hàng]],code_khach_hang[],3,0)</f>
        <v>Miền Nam đặc biệt 1</v>
      </c>
      <c r="H4529" t="str">
        <f>VLOOKUP(Table8[[#This Row],[Mã khách hàng]],'Khách hàng'!A:D,4,0)</f>
        <v>Food Đức Việt</v>
      </c>
      <c r="I4529" t="str">
        <f>VLOOKUP(Table8[[#This Row],[Mã khách hàng]],'Khách hàng'!A:E,5,0)</f>
        <v>HCVG80</v>
      </c>
    </row>
    <row r="4530" spans="1:9" x14ac:dyDescent="0.25">
      <c r="A4530" s="14" t="s">
        <v>13879</v>
      </c>
      <c r="B4530" s="15" t="s">
        <v>5</v>
      </c>
      <c r="C4530" s="16" t="s">
        <v>15005</v>
      </c>
      <c r="D4530" s="21"/>
      <c r="E4530" s="32" t="s">
        <v>15671</v>
      </c>
      <c r="F4530" s="22" t="str">
        <f>VLOOKUP(Table8[[#This Row],[Mã khách hàng]],code_khach_hang[],2,0)</f>
        <v>CHI NHÁNH BÌNH DƯƠNG - CÔNG TY CỔ PHẦN DỊCH VỤ THƯƠNG MẠI TỔNG HỢP WINCOMMERCE</v>
      </c>
      <c r="G4530" s="16" t="str">
        <f>VLOOKUP(Table8[[#This Row],[Mã khách hàng]],code_khach_hang[],3,0)</f>
        <v>Miền Nam đặc biệt 1</v>
      </c>
      <c r="H4530" t="str">
        <f>VLOOKUP(Table8[[#This Row],[Mã khách hàng]],'Khách hàng'!A:D,4,0)</f>
        <v>Food Đức Việt</v>
      </c>
      <c r="I4530" t="str">
        <f>VLOOKUP(Table8[[#This Row],[Mã khách hàng]],'Khách hàng'!A:E,5,0)</f>
        <v>HCVG80</v>
      </c>
    </row>
    <row r="4531" spans="1:9" x14ac:dyDescent="0.25">
      <c r="A4531" s="14" t="s">
        <v>13880</v>
      </c>
      <c r="B4531" s="15" t="s">
        <v>5</v>
      </c>
      <c r="C4531" s="16" t="s">
        <v>15006</v>
      </c>
      <c r="D4531" s="21"/>
      <c r="E4531" s="32" t="s">
        <v>15671</v>
      </c>
      <c r="F4531" s="22" t="str">
        <f>VLOOKUP(Table8[[#This Row],[Mã khách hàng]],code_khach_hang[],2,0)</f>
        <v>CHI NHÁNH BÌNH DƯƠNG - CÔNG TY CỔ PHẦN DỊCH VỤ THƯƠNG MẠI TỔNG HỢP WINCOMMERCE</v>
      </c>
      <c r="G4531" s="16" t="str">
        <f>VLOOKUP(Table8[[#This Row],[Mã khách hàng]],code_khach_hang[],3,0)</f>
        <v>Miền Nam đặc biệt 1</v>
      </c>
      <c r="H4531" t="str">
        <f>VLOOKUP(Table8[[#This Row],[Mã khách hàng]],'Khách hàng'!A:D,4,0)</f>
        <v>Food Đức Việt</v>
      </c>
      <c r="I4531" t="str">
        <f>VLOOKUP(Table8[[#This Row],[Mã khách hàng]],'Khách hàng'!A:E,5,0)</f>
        <v>HCVG80</v>
      </c>
    </row>
    <row r="4532" spans="1:9" x14ac:dyDescent="0.25">
      <c r="A4532" s="14" t="s">
        <v>13881</v>
      </c>
      <c r="B4532" s="15" t="s">
        <v>5</v>
      </c>
      <c r="C4532" s="16" t="s">
        <v>15007</v>
      </c>
      <c r="D4532" s="21"/>
      <c r="E4532" s="32" t="s">
        <v>15667</v>
      </c>
      <c r="F4532" s="22" t="str">
        <f>VLOOKUP(Table8[[#This Row],[Mã khách hàng]],code_khach_hang[],2,0)</f>
        <v>CÔNG TY CỔ PHẦN DỊCH VỤ THƯƠNG MẠI TỔNG HỢP WINCOMMERCE</v>
      </c>
      <c r="G4532" s="16" t="str">
        <f>VLOOKUP(Table8[[#This Row],[Mã khách hàng]],code_khach_hang[],3,0)</f>
        <v>Miền Nam đặc biệt 1</v>
      </c>
      <c r="H4532" t="str">
        <f>VLOOKUP(Table8[[#This Row],[Mã khách hàng]],'Khách hàng'!A:D,4,0)</f>
        <v>Food Đức Việt</v>
      </c>
      <c r="I4532" t="str">
        <f>VLOOKUP(Table8[[#This Row],[Mã khách hàng]],'Khách hàng'!A:E,5,0)</f>
        <v>HCVG80</v>
      </c>
    </row>
    <row r="4533" spans="1:9" x14ac:dyDescent="0.25">
      <c r="A4533" s="14" t="s">
        <v>13882</v>
      </c>
      <c r="B4533" s="15" t="s">
        <v>5</v>
      </c>
      <c r="C4533" s="16" t="s">
        <v>15008</v>
      </c>
      <c r="D4533" s="21"/>
      <c r="E4533" s="32" t="s">
        <v>15667</v>
      </c>
      <c r="F4533" s="22" t="str">
        <f>VLOOKUP(Table8[[#This Row],[Mã khách hàng]],code_khach_hang[],2,0)</f>
        <v>CÔNG TY CỔ PHẦN DỊCH VỤ THƯƠNG MẠI TỔNG HỢP WINCOMMERCE</v>
      </c>
      <c r="G4533" s="16" t="str">
        <f>VLOOKUP(Table8[[#This Row],[Mã khách hàng]],code_khach_hang[],3,0)</f>
        <v>Miền Nam đặc biệt 1</v>
      </c>
      <c r="H4533" t="str">
        <f>VLOOKUP(Table8[[#This Row],[Mã khách hàng]],'Khách hàng'!A:D,4,0)</f>
        <v>Food Đức Việt</v>
      </c>
      <c r="I4533" t="str">
        <f>VLOOKUP(Table8[[#This Row],[Mã khách hàng]],'Khách hàng'!A:E,5,0)</f>
        <v>HCVG80</v>
      </c>
    </row>
    <row r="4534" spans="1:9" x14ac:dyDescent="0.25">
      <c r="A4534" s="14" t="s">
        <v>13883</v>
      </c>
      <c r="B4534" s="15" t="s">
        <v>5</v>
      </c>
      <c r="C4534" s="16" t="s">
        <v>15009</v>
      </c>
      <c r="D4534" s="21"/>
      <c r="E4534" s="32" t="s">
        <v>15671</v>
      </c>
      <c r="F4534" s="22" t="str">
        <f>VLOOKUP(Table8[[#This Row],[Mã khách hàng]],code_khach_hang[],2,0)</f>
        <v>CHI NHÁNH BÌNH DƯƠNG - CÔNG TY CỔ PHẦN DỊCH VỤ THƯƠNG MẠI TỔNG HỢP WINCOMMERCE</v>
      </c>
      <c r="G4534" s="16" t="str">
        <f>VLOOKUP(Table8[[#This Row],[Mã khách hàng]],code_khach_hang[],3,0)</f>
        <v>Miền Nam đặc biệt 1</v>
      </c>
      <c r="H4534" t="str">
        <f>VLOOKUP(Table8[[#This Row],[Mã khách hàng]],'Khách hàng'!A:D,4,0)</f>
        <v>Food Đức Việt</v>
      </c>
      <c r="I4534" t="str">
        <f>VLOOKUP(Table8[[#This Row],[Mã khách hàng]],'Khách hàng'!A:E,5,0)</f>
        <v>HCVG80</v>
      </c>
    </row>
    <row r="4535" spans="1:9" x14ac:dyDescent="0.25">
      <c r="A4535" s="14" t="s">
        <v>13884</v>
      </c>
      <c r="B4535" s="15" t="s">
        <v>5</v>
      </c>
      <c r="C4535" s="16" t="s">
        <v>15010</v>
      </c>
      <c r="D4535" s="21"/>
      <c r="E4535" s="32" t="s">
        <v>15667</v>
      </c>
      <c r="F4535" s="22" t="str">
        <f>VLOOKUP(Table8[[#This Row],[Mã khách hàng]],code_khach_hang[],2,0)</f>
        <v>CÔNG TY CỔ PHẦN DỊCH VỤ THƯƠNG MẠI TỔNG HỢP WINCOMMERCE</v>
      </c>
      <c r="G4535" s="16" t="str">
        <f>VLOOKUP(Table8[[#This Row],[Mã khách hàng]],code_khach_hang[],3,0)</f>
        <v>Miền Nam đặc biệt 1</v>
      </c>
      <c r="H4535" t="str">
        <f>VLOOKUP(Table8[[#This Row],[Mã khách hàng]],'Khách hàng'!A:D,4,0)</f>
        <v>Food Đức Việt</v>
      </c>
      <c r="I4535" t="str">
        <f>VLOOKUP(Table8[[#This Row],[Mã khách hàng]],'Khách hàng'!A:E,5,0)</f>
        <v>HCVG80</v>
      </c>
    </row>
    <row r="4536" spans="1:9" x14ac:dyDescent="0.25">
      <c r="A4536" s="14" t="s">
        <v>13885</v>
      </c>
      <c r="B4536" s="15" t="s">
        <v>5</v>
      </c>
      <c r="C4536" s="16" t="s">
        <v>15011</v>
      </c>
      <c r="D4536" s="21"/>
      <c r="E4536" s="32" t="s">
        <v>15667</v>
      </c>
      <c r="F4536" s="22" t="str">
        <f>VLOOKUP(Table8[[#This Row],[Mã khách hàng]],code_khach_hang[],2,0)</f>
        <v>CÔNG TY CỔ PHẦN DỊCH VỤ THƯƠNG MẠI TỔNG HỢP WINCOMMERCE</v>
      </c>
      <c r="G4536" s="16" t="str">
        <f>VLOOKUP(Table8[[#This Row],[Mã khách hàng]],code_khach_hang[],3,0)</f>
        <v>Miền Nam đặc biệt 1</v>
      </c>
      <c r="H4536" t="str">
        <f>VLOOKUP(Table8[[#This Row],[Mã khách hàng]],'Khách hàng'!A:D,4,0)</f>
        <v>Food Đức Việt</v>
      </c>
      <c r="I4536" t="str">
        <f>VLOOKUP(Table8[[#This Row],[Mã khách hàng]],'Khách hàng'!A:E,5,0)</f>
        <v>HCVG80</v>
      </c>
    </row>
    <row r="4537" spans="1:9" x14ac:dyDescent="0.25">
      <c r="A4537" s="14" t="s">
        <v>13886</v>
      </c>
      <c r="B4537" s="15" t="s">
        <v>5</v>
      </c>
      <c r="C4537" s="16" t="s">
        <v>15012</v>
      </c>
      <c r="D4537" s="21"/>
      <c r="E4537" s="32" t="s">
        <v>15667</v>
      </c>
      <c r="F4537" s="22" t="str">
        <f>VLOOKUP(Table8[[#This Row],[Mã khách hàng]],code_khach_hang[],2,0)</f>
        <v>CÔNG TY CỔ PHẦN DỊCH VỤ THƯƠNG MẠI TỔNG HỢP WINCOMMERCE</v>
      </c>
      <c r="G4537" s="16" t="str">
        <f>VLOOKUP(Table8[[#This Row],[Mã khách hàng]],code_khach_hang[],3,0)</f>
        <v>Miền Nam đặc biệt 1</v>
      </c>
      <c r="H4537" t="str">
        <f>VLOOKUP(Table8[[#This Row],[Mã khách hàng]],'Khách hàng'!A:D,4,0)</f>
        <v>Food Đức Việt</v>
      </c>
      <c r="I4537" t="str">
        <f>VLOOKUP(Table8[[#This Row],[Mã khách hàng]],'Khách hàng'!A:E,5,0)</f>
        <v>HCVG80</v>
      </c>
    </row>
    <row r="4538" spans="1:9" x14ac:dyDescent="0.25">
      <c r="A4538" s="14" t="s">
        <v>13887</v>
      </c>
      <c r="B4538" s="15" t="s">
        <v>5</v>
      </c>
      <c r="C4538" s="16" t="s">
        <v>15013</v>
      </c>
      <c r="D4538" s="21"/>
      <c r="E4538" s="32" t="s">
        <v>15667</v>
      </c>
      <c r="F4538" s="22" t="str">
        <f>VLOOKUP(Table8[[#This Row],[Mã khách hàng]],code_khach_hang[],2,0)</f>
        <v>CÔNG TY CỔ PHẦN DỊCH VỤ THƯƠNG MẠI TỔNG HỢP WINCOMMERCE</v>
      </c>
      <c r="G4538" s="16" t="str">
        <f>VLOOKUP(Table8[[#This Row],[Mã khách hàng]],code_khach_hang[],3,0)</f>
        <v>Miền Nam đặc biệt 1</v>
      </c>
      <c r="H4538" t="str">
        <f>VLOOKUP(Table8[[#This Row],[Mã khách hàng]],'Khách hàng'!A:D,4,0)</f>
        <v>Food Đức Việt</v>
      </c>
      <c r="I4538" t="str">
        <f>VLOOKUP(Table8[[#This Row],[Mã khách hàng]],'Khách hàng'!A:E,5,0)</f>
        <v>HCVG80</v>
      </c>
    </row>
    <row r="4539" spans="1:9" x14ac:dyDescent="0.25">
      <c r="A4539" s="14" t="s">
        <v>13888</v>
      </c>
      <c r="B4539" s="15" t="s">
        <v>5</v>
      </c>
      <c r="C4539" s="16" t="s">
        <v>15014</v>
      </c>
      <c r="D4539" s="21"/>
      <c r="E4539" s="32" t="s">
        <v>15671</v>
      </c>
      <c r="F4539" s="22" t="str">
        <f>VLOOKUP(Table8[[#This Row],[Mã khách hàng]],code_khach_hang[],2,0)</f>
        <v>CHI NHÁNH BÌNH DƯƠNG - CÔNG TY CỔ PHẦN DỊCH VỤ THƯƠNG MẠI TỔNG HỢP WINCOMMERCE</v>
      </c>
      <c r="G4539" s="16" t="str">
        <f>VLOOKUP(Table8[[#This Row],[Mã khách hàng]],code_khach_hang[],3,0)</f>
        <v>Miền Nam đặc biệt 1</v>
      </c>
      <c r="H4539" t="str">
        <f>VLOOKUP(Table8[[#This Row],[Mã khách hàng]],'Khách hàng'!A:D,4,0)</f>
        <v>Food Đức Việt</v>
      </c>
      <c r="I4539" t="str">
        <f>VLOOKUP(Table8[[#This Row],[Mã khách hàng]],'Khách hàng'!A:E,5,0)</f>
        <v>HCVG80</v>
      </c>
    </row>
    <row r="4540" spans="1:9" x14ac:dyDescent="0.25">
      <c r="A4540" s="14" t="s">
        <v>13889</v>
      </c>
      <c r="B4540" s="15" t="s">
        <v>5</v>
      </c>
      <c r="C4540" s="16" t="s">
        <v>15015</v>
      </c>
      <c r="D4540" s="21"/>
      <c r="E4540" s="32" t="s">
        <v>15671</v>
      </c>
      <c r="F4540" s="22" t="str">
        <f>VLOOKUP(Table8[[#This Row],[Mã khách hàng]],code_khach_hang[],2,0)</f>
        <v>CHI NHÁNH BÌNH DƯƠNG - CÔNG TY CỔ PHẦN DỊCH VỤ THƯƠNG MẠI TỔNG HỢP WINCOMMERCE</v>
      </c>
      <c r="G4540" s="16" t="str">
        <f>VLOOKUP(Table8[[#This Row],[Mã khách hàng]],code_khach_hang[],3,0)</f>
        <v>Miền Nam đặc biệt 1</v>
      </c>
      <c r="H4540" t="str">
        <f>VLOOKUP(Table8[[#This Row],[Mã khách hàng]],'Khách hàng'!A:D,4,0)</f>
        <v>Food Đức Việt</v>
      </c>
      <c r="I4540" t="str">
        <f>VLOOKUP(Table8[[#This Row],[Mã khách hàng]],'Khách hàng'!A:E,5,0)</f>
        <v>HCVG80</v>
      </c>
    </row>
    <row r="4541" spans="1:9" x14ac:dyDescent="0.25">
      <c r="A4541" s="14" t="s">
        <v>13890</v>
      </c>
      <c r="B4541" s="15" t="s">
        <v>5</v>
      </c>
      <c r="C4541" s="16" t="s">
        <v>15016</v>
      </c>
      <c r="D4541" s="21"/>
      <c r="E4541" s="32" t="s">
        <v>15671</v>
      </c>
      <c r="F4541" s="22" t="str">
        <f>VLOOKUP(Table8[[#This Row],[Mã khách hàng]],code_khach_hang[],2,0)</f>
        <v>CHI NHÁNH BÌNH DƯƠNG - CÔNG TY CỔ PHẦN DỊCH VỤ THƯƠNG MẠI TỔNG HỢP WINCOMMERCE</v>
      </c>
      <c r="G4541" s="16" t="str">
        <f>VLOOKUP(Table8[[#This Row],[Mã khách hàng]],code_khach_hang[],3,0)</f>
        <v>Miền Nam đặc biệt 1</v>
      </c>
      <c r="H4541" t="str">
        <f>VLOOKUP(Table8[[#This Row],[Mã khách hàng]],'Khách hàng'!A:D,4,0)</f>
        <v>Food Đức Việt</v>
      </c>
      <c r="I4541" t="str">
        <f>VLOOKUP(Table8[[#This Row],[Mã khách hàng]],'Khách hàng'!A:E,5,0)</f>
        <v>HCVG80</v>
      </c>
    </row>
    <row r="4542" spans="1:9" x14ac:dyDescent="0.25">
      <c r="A4542" s="14" t="s">
        <v>13891</v>
      </c>
      <c r="B4542" s="15" t="s">
        <v>5</v>
      </c>
      <c r="C4542" s="16" t="s">
        <v>15017</v>
      </c>
      <c r="D4542" s="21"/>
      <c r="E4542" s="32" t="s">
        <v>15671</v>
      </c>
      <c r="F4542" s="22" t="str">
        <f>VLOOKUP(Table8[[#This Row],[Mã khách hàng]],code_khach_hang[],2,0)</f>
        <v>CHI NHÁNH BÌNH DƯƠNG - CÔNG TY CỔ PHẦN DỊCH VỤ THƯƠNG MẠI TỔNG HỢP WINCOMMERCE</v>
      </c>
      <c r="G4542" s="16" t="str">
        <f>VLOOKUP(Table8[[#This Row],[Mã khách hàng]],code_khach_hang[],3,0)</f>
        <v>Miền Nam đặc biệt 1</v>
      </c>
      <c r="H4542" t="str">
        <f>VLOOKUP(Table8[[#This Row],[Mã khách hàng]],'Khách hàng'!A:D,4,0)</f>
        <v>Food Đức Việt</v>
      </c>
      <c r="I4542" t="str">
        <f>VLOOKUP(Table8[[#This Row],[Mã khách hàng]],'Khách hàng'!A:E,5,0)</f>
        <v>HCVG80</v>
      </c>
    </row>
    <row r="4543" spans="1:9" x14ac:dyDescent="0.25">
      <c r="A4543" s="14" t="s">
        <v>13892</v>
      </c>
      <c r="B4543" s="15" t="s">
        <v>5</v>
      </c>
      <c r="C4543" s="16" t="s">
        <v>15018</v>
      </c>
      <c r="D4543" s="21"/>
      <c r="E4543" s="32" t="s">
        <v>15667</v>
      </c>
      <c r="F4543" s="22" t="str">
        <f>VLOOKUP(Table8[[#This Row],[Mã khách hàng]],code_khach_hang[],2,0)</f>
        <v>CÔNG TY CỔ PHẦN DỊCH VỤ THƯƠNG MẠI TỔNG HỢP WINCOMMERCE</v>
      </c>
      <c r="G4543" s="16" t="str">
        <f>VLOOKUP(Table8[[#This Row],[Mã khách hàng]],code_khach_hang[],3,0)</f>
        <v>Miền Nam đặc biệt 1</v>
      </c>
      <c r="H4543" t="str">
        <f>VLOOKUP(Table8[[#This Row],[Mã khách hàng]],'Khách hàng'!A:D,4,0)</f>
        <v>Food Đức Việt</v>
      </c>
      <c r="I4543" t="str">
        <f>VLOOKUP(Table8[[#This Row],[Mã khách hàng]],'Khách hàng'!A:E,5,0)</f>
        <v>HCVG80</v>
      </c>
    </row>
    <row r="4544" spans="1:9" x14ac:dyDescent="0.25">
      <c r="A4544" s="14" t="s">
        <v>13893</v>
      </c>
      <c r="B4544" s="15" t="s">
        <v>5</v>
      </c>
      <c r="C4544" s="16" t="s">
        <v>15019</v>
      </c>
      <c r="D4544" s="21"/>
      <c r="E4544" s="32" t="s">
        <v>15679</v>
      </c>
      <c r="F4544" s="22" t="str">
        <f>VLOOKUP(Table8[[#This Row],[Mã khách hàng]],code_khach_hang[],2,0)</f>
        <v>CHI NHÁNH ĐỒNG THÁP - CÔNG TY CỔ PHẦN DỊCH VỤ THƯƠNG MẠI TỔNG HỢP WINCOMMERCE</v>
      </c>
      <c r="G4544" s="16" t="str">
        <f>VLOOKUP(Table8[[#This Row],[Mã khách hàng]],code_khach_hang[],3,0)</f>
        <v>Miền Nam đặc biệt 2</v>
      </c>
      <c r="H4544" t="str">
        <f>VLOOKUP(Table8[[#This Row],[Mã khách hàng]],'Khách hàng'!A:D,4,0)</f>
        <v>Food Đức Việt</v>
      </c>
      <c r="I4544" t="str">
        <f>VLOOKUP(Table8[[#This Row],[Mã khách hàng]],'Khách hàng'!A:E,5,0)</f>
        <v>HC-CT120</v>
      </c>
    </row>
    <row r="4545" spans="1:9" x14ac:dyDescent="0.25">
      <c r="A4545" s="14" t="s">
        <v>13894</v>
      </c>
      <c r="B4545" s="15" t="s">
        <v>5</v>
      </c>
      <c r="C4545" s="16" t="s">
        <v>15020</v>
      </c>
      <c r="D4545" s="21"/>
      <c r="E4545" s="32" t="s">
        <v>15679</v>
      </c>
      <c r="F4545" s="22" t="str">
        <f>VLOOKUP(Table8[[#This Row],[Mã khách hàng]],code_khach_hang[],2,0)</f>
        <v>CHI NHÁNH ĐỒNG THÁP - CÔNG TY CỔ PHẦN DỊCH VỤ THƯƠNG MẠI TỔNG HỢP WINCOMMERCE</v>
      </c>
      <c r="G4545" s="16" t="str">
        <f>VLOOKUP(Table8[[#This Row],[Mã khách hàng]],code_khach_hang[],3,0)</f>
        <v>Miền Nam đặc biệt 2</v>
      </c>
      <c r="H4545" t="str">
        <f>VLOOKUP(Table8[[#This Row],[Mã khách hàng]],'Khách hàng'!A:D,4,0)</f>
        <v>Food Đức Việt</v>
      </c>
      <c r="I4545" t="str">
        <f>VLOOKUP(Table8[[#This Row],[Mã khách hàng]],'Khách hàng'!A:E,5,0)</f>
        <v>HC-CT120</v>
      </c>
    </row>
    <row r="4546" spans="1:9" x14ac:dyDescent="0.25">
      <c r="A4546" s="14" t="s">
        <v>13895</v>
      </c>
      <c r="B4546" s="15" t="s">
        <v>5</v>
      </c>
      <c r="C4546" s="16" t="s">
        <v>15021</v>
      </c>
      <c r="D4546" s="21"/>
      <c r="E4546" s="32" t="s">
        <v>15679</v>
      </c>
      <c r="F4546" s="22" t="str">
        <f>VLOOKUP(Table8[[#This Row],[Mã khách hàng]],code_khach_hang[],2,0)</f>
        <v>CHI NHÁNH ĐỒNG THÁP - CÔNG TY CỔ PHẦN DỊCH VỤ THƯƠNG MẠI TỔNG HỢP WINCOMMERCE</v>
      </c>
      <c r="G4546" s="16" t="str">
        <f>VLOOKUP(Table8[[#This Row],[Mã khách hàng]],code_khach_hang[],3,0)</f>
        <v>Miền Nam đặc biệt 2</v>
      </c>
      <c r="H4546" t="str">
        <f>VLOOKUP(Table8[[#This Row],[Mã khách hàng]],'Khách hàng'!A:D,4,0)</f>
        <v>Food Đức Việt</v>
      </c>
      <c r="I4546" t="str">
        <f>VLOOKUP(Table8[[#This Row],[Mã khách hàng]],'Khách hàng'!A:E,5,0)</f>
        <v>HC-CT120</v>
      </c>
    </row>
    <row r="4547" spans="1:9" x14ac:dyDescent="0.25">
      <c r="A4547" s="14" t="s">
        <v>13896</v>
      </c>
      <c r="B4547" s="15" t="s">
        <v>5</v>
      </c>
      <c r="C4547" s="16" t="s">
        <v>15022</v>
      </c>
      <c r="D4547" s="21"/>
      <c r="E4547" s="32" t="s">
        <v>15679</v>
      </c>
      <c r="F4547" s="22" t="str">
        <f>VLOOKUP(Table8[[#This Row],[Mã khách hàng]],code_khach_hang[],2,0)</f>
        <v>CHI NHÁNH ĐỒNG THÁP - CÔNG TY CỔ PHẦN DỊCH VỤ THƯƠNG MẠI TỔNG HỢP WINCOMMERCE</v>
      </c>
      <c r="G4547" s="16" t="str">
        <f>VLOOKUP(Table8[[#This Row],[Mã khách hàng]],code_khach_hang[],3,0)</f>
        <v>Miền Nam đặc biệt 2</v>
      </c>
      <c r="H4547" t="str">
        <f>VLOOKUP(Table8[[#This Row],[Mã khách hàng]],'Khách hàng'!A:D,4,0)</f>
        <v>Food Đức Việt</v>
      </c>
      <c r="I4547" t="str">
        <f>VLOOKUP(Table8[[#This Row],[Mã khách hàng]],'Khách hàng'!A:E,5,0)</f>
        <v>HC-CT120</v>
      </c>
    </row>
    <row r="4548" spans="1:9" x14ac:dyDescent="0.25">
      <c r="A4548" s="14" t="s">
        <v>13897</v>
      </c>
      <c r="B4548" s="15" t="s">
        <v>5</v>
      </c>
      <c r="C4548" s="16" t="s">
        <v>15023</v>
      </c>
      <c r="D4548" s="21"/>
      <c r="E4548" s="32" t="s">
        <v>15680</v>
      </c>
      <c r="F4548" s="22" t="str">
        <f>VLOOKUP(Table8[[#This Row],[Mã khách hàng]],code_khach_hang[],2,0)</f>
        <v>CHI NHÁNH SÓC TRĂNG - CÔNG TY CỔ PHẦN DỊCH VỤ THƯƠNG MẠI TỔNG HỢP WINCOMMERCE</v>
      </c>
      <c r="G4548" s="16" t="str">
        <f>VLOOKUP(Table8[[#This Row],[Mã khách hàng]],code_khach_hang[],3,0)</f>
        <v>Miền Nam đặc biệt 1</v>
      </c>
      <c r="H4548" t="str">
        <f>VLOOKUP(Table8[[#This Row],[Mã khách hàng]],'Khách hàng'!A:D,4,0)</f>
        <v>Food Đức Việt</v>
      </c>
      <c r="I4548" t="str">
        <f>VLOOKUP(Table8[[#This Row],[Mã khách hàng]],'Khách hàng'!A:E,5,0)</f>
        <v>HC-CT120</v>
      </c>
    </row>
    <row r="4549" spans="1:9" x14ac:dyDescent="0.25">
      <c r="A4549" s="14" t="s">
        <v>13898</v>
      </c>
      <c r="B4549" s="15" t="s">
        <v>5</v>
      </c>
      <c r="C4549" s="16" t="s">
        <v>15024</v>
      </c>
      <c r="D4549" s="21"/>
      <c r="E4549" s="32" t="s">
        <v>15680</v>
      </c>
      <c r="F4549" s="22" t="str">
        <f>VLOOKUP(Table8[[#This Row],[Mã khách hàng]],code_khach_hang[],2,0)</f>
        <v>CHI NHÁNH SÓC TRĂNG - CÔNG TY CỔ PHẦN DỊCH VỤ THƯƠNG MẠI TỔNG HỢP WINCOMMERCE</v>
      </c>
      <c r="G4549" s="16" t="str">
        <f>VLOOKUP(Table8[[#This Row],[Mã khách hàng]],code_khach_hang[],3,0)</f>
        <v>Miền Nam đặc biệt 1</v>
      </c>
      <c r="H4549" t="str">
        <f>VLOOKUP(Table8[[#This Row],[Mã khách hàng]],'Khách hàng'!A:D,4,0)</f>
        <v>Food Đức Việt</v>
      </c>
      <c r="I4549" t="str">
        <f>VLOOKUP(Table8[[#This Row],[Mã khách hàng]],'Khách hàng'!A:E,5,0)</f>
        <v>HC-CT120</v>
      </c>
    </row>
    <row r="4550" spans="1:9" x14ac:dyDescent="0.25">
      <c r="A4550" s="14" t="s">
        <v>13899</v>
      </c>
      <c r="B4550" s="15" t="s">
        <v>5</v>
      </c>
      <c r="C4550" s="16" t="s">
        <v>15025</v>
      </c>
      <c r="D4550" s="21"/>
      <c r="E4550" s="32" t="s">
        <v>15667</v>
      </c>
      <c r="F4550" s="22" t="str">
        <f>VLOOKUP(Table8[[#This Row],[Mã khách hàng]],code_khach_hang[],2,0)</f>
        <v>CÔNG TY CỔ PHẦN DỊCH VỤ THƯƠNG MẠI TỔNG HỢP WINCOMMERCE</v>
      </c>
      <c r="G4550" s="16" t="str">
        <f>VLOOKUP(Table8[[#This Row],[Mã khách hàng]],code_khach_hang[],3,0)</f>
        <v>Miền Nam đặc biệt 1</v>
      </c>
      <c r="H4550" t="str">
        <f>VLOOKUP(Table8[[#This Row],[Mã khách hàng]],'Khách hàng'!A:D,4,0)</f>
        <v>Food Đức Việt</v>
      </c>
      <c r="I4550" t="str">
        <f>VLOOKUP(Table8[[#This Row],[Mã khách hàng]],'Khách hàng'!A:E,5,0)</f>
        <v>HCVG80</v>
      </c>
    </row>
    <row r="4551" spans="1:9" x14ac:dyDescent="0.25">
      <c r="A4551" s="14" t="s">
        <v>13900</v>
      </c>
      <c r="B4551" s="15" t="s">
        <v>5</v>
      </c>
      <c r="C4551" s="16" t="s">
        <v>15026</v>
      </c>
      <c r="D4551" s="21"/>
      <c r="E4551" s="32" t="s">
        <v>15679</v>
      </c>
      <c r="F4551" s="22" t="str">
        <f>VLOOKUP(Table8[[#This Row],[Mã khách hàng]],code_khach_hang[],2,0)</f>
        <v>CHI NHÁNH ĐỒNG THÁP - CÔNG TY CỔ PHẦN DỊCH VỤ THƯƠNG MẠI TỔNG HỢP WINCOMMERCE</v>
      </c>
      <c r="G4551" s="16" t="str">
        <f>VLOOKUP(Table8[[#This Row],[Mã khách hàng]],code_khach_hang[],3,0)</f>
        <v>Miền Nam đặc biệt 2</v>
      </c>
      <c r="H4551" t="str">
        <f>VLOOKUP(Table8[[#This Row],[Mã khách hàng]],'Khách hàng'!A:D,4,0)</f>
        <v>Food Đức Việt</v>
      </c>
      <c r="I4551" t="str">
        <f>VLOOKUP(Table8[[#This Row],[Mã khách hàng]],'Khách hàng'!A:E,5,0)</f>
        <v>HC-CT120</v>
      </c>
    </row>
    <row r="4552" spans="1:9" x14ac:dyDescent="0.25">
      <c r="A4552" s="14" t="s">
        <v>13901</v>
      </c>
      <c r="B4552" s="15" t="s">
        <v>5</v>
      </c>
      <c r="C4552" s="16" t="s">
        <v>15027</v>
      </c>
      <c r="D4552" s="21"/>
      <c r="E4552" s="32" t="s">
        <v>15681</v>
      </c>
      <c r="F4552" s="22" t="str">
        <f>VLOOKUP(Table8[[#This Row],[Mã khách hàng]],code_khach_hang[],2,0)</f>
        <v>CHI NHÁNH BẾN TRE - CÔNG TY CỔ PHẦN DỊCH VỤ THƯƠNG MẠI TỔNG HỢP WINCOMMERCE</v>
      </c>
      <c r="G4552" s="16" t="str">
        <f>VLOOKUP(Table8[[#This Row],[Mã khách hàng]],code_khach_hang[],3,0)</f>
        <v>Miền Nam đặc biệt 1</v>
      </c>
      <c r="H4552" t="str">
        <f>VLOOKUP(Table8[[#This Row],[Mã khách hàng]],'Khách hàng'!A:D,4,0)</f>
        <v>Food Đức Việt</v>
      </c>
      <c r="I4552" t="str">
        <f>VLOOKUP(Table8[[#This Row],[Mã khách hàng]],'Khách hàng'!A:E,5,0)</f>
        <v>HCVG80</v>
      </c>
    </row>
    <row r="4553" spans="1:9" x14ac:dyDescent="0.25">
      <c r="A4553" s="14" t="s">
        <v>13902</v>
      </c>
      <c r="B4553" s="15" t="s">
        <v>5</v>
      </c>
      <c r="C4553" s="16" t="s">
        <v>15028</v>
      </c>
      <c r="D4553" s="21"/>
      <c r="E4553" s="32" t="s">
        <v>15681</v>
      </c>
      <c r="F4553" s="22" t="str">
        <f>VLOOKUP(Table8[[#This Row],[Mã khách hàng]],code_khach_hang[],2,0)</f>
        <v>CHI NHÁNH BẾN TRE - CÔNG TY CỔ PHẦN DỊCH VỤ THƯƠNG MẠI TỔNG HỢP WINCOMMERCE</v>
      </c>
      <c r="G4553" s="16" t="str">
        <f>VLOOKUP(Table8[[#This Row],[Mã khách hàng]],code_khach_hang[],3,0)</f>
        <v>Miền Nam đặc biệt 1</v>
      </c>
      <c r="H4553" t="str">
        <f>VLOOKUP(Table8[[#This Row],[Mã khách hàng]],'Khách hàng'!A:D,4,0)</f>
        <v>Food Đức Việt</v>
      </c>
      <c r="I4553" t="str">
        <f>VLOOKUP(Table8[[#This Row],[Mã khách hàng]],'Khách hàng'!A:E,5,0)</f>
        <v>HCVG80</v>
      </c>
    </row>
    <row r="4554" spans="1:9" x14ac:dyDescent="0.25">
      <c r="A4554" s="14" t="s">
        <v>13903</v>
      </c>
      <c r="B4554" s="15" t="s">
        <v>5</v>
      </c>
      <c r="C4554" s="16" t="s">
        <v>15029</v>
      </c>
      <c r="D4554" s="21"/>
      <c r="E4554" s="32" t="s">
        <v>15667</v>
      </c>
      <c r="F4554" s="22" t="str">
        <f>VLOOKUP(Table8[[#This Row],[Mã khách hàng]],code_khach_hang[],2,0)</f>
        <v>CÔNG TY CỔ PHẦN DỊCH VỤ THƯƠNG MẠI TỔNG HỢP WINCOMMERCE</v>
      </c>
      <c r="G4554" s="16" t="str">
        <f>VLOOKUP(Table8[[#This Row],[Mã khách hàng]],code_khach_hang[],3,0)</f>
        <v>Miền Nam đặc biệt 1</v>
      </c>
      <c r="H4554" t="str">
        <f>VLOOKUP(Table8[[#This Row],[Mã khách hàng]],'Khách hàng'!A:D,4,0)</f>
        <v>Food Đức Việt</v>
      </c>
      <c r="I4554" t="str">
        <f>VLOOKUP(Table8[[#This Row],[Mã khách hàng]],'Khách hàng'!A:E,5,0)</f>
        <v>HCVG80</v>
      </c>
    </row>
    <row r="4555" spans="1:9" x14ac:dyDescent="0.25">
      <c r="A4555" s="14" t="s">
        <v>13904</v>
      </c>
      <c r="B4555" s="15" t="s">
        <v>5</v>
      </c>
      <c r="C4555" s="16" t="s">
        <v>15030</v>
      </c>
      <c r="D4555" s="21"/>
      <c r="E4555" s="32" t="s">
        <v>15667</v>
      </c>
      <c r="F4555" s="22" t="str">
        <f>VLOOKUP(Table8[[#This Row],[Mã khách hàng]],code_khach_hang[],2,0)</f>
        <v>CÔNG TY CỔ PHẦN DỊCH VỤ THƯƠNG MẠI TỔNG HỢP WINCOMMERCE</v>
      </c>
      <c r="G4555" s="16" t="str">
        <f>VLOOKUP(Table8[[#This Row],[Mã khách hàng]],code_khach_hang[],3,0)</f>
        <v>Miền Nam đặc biệt 1</v>
      </c>
      <c r="H4555" t="str">
        <f>VLOOKUP(Table8[[#This Row],[Mã khách hàng]],'Khách hàng'!A:D,4,0)</f>
        <v>Food Đức Việt</v>
      </c>
      <c r="I4555" t="str">
        <f>VLOOKUP(Table8[[#This Row],[Mã khách hàng]],'Khách hàng'!A:E,5,0)</f>
        <v>HCVG80</v>
      </c>
    </row>
    <row r="4556" spans="1:9" x14ac:dyDescent="0.25">
      <c r="A4556" s="14" t="s">
        <v>13905</v>
      </c>
      <c r="B4556" s="15" t="s">
        <v>5</v>
      </c>
      <c r="C4556" s="16" t="s">
        <v>15031</v>
      </c>
      <c r="D4556" s="21"/>
      <c r="E4556" s="32" t="s">
        <v>15681</v>
      </c>
      <c r="F4556" s="22" t="str">
        <f>VLOOKUP(Table8[[#This Row],[Mã khách hàng]],code_khach_hang[],2,0)</f>
        <v>CHI NHÁNH BẾN TRE - CÔNG TY CỔ PHẦN DỊCH VỤ THƯƠNG MẠI TỔNG HỢP WINCOMMERCE</v>
      </c>
      <c r="G4556" s="16" t="str">
        <f>VLOOKUP(Table8[[#This Row],[Mã khách hàng]],code_khach_hang[],3,0)</f>
        <v>Miền Nam đặc biệt 1</v>
      </c>
      <c r="H4556" t="str">
        <f>VLOOKUP(Table8[[#This Row],[Mã khách hàng]],'Khách hàng'!A:D,4,0)</f>
        <v>Food Đức Việt</v>
      </c>
      <c r="I4556" t="str">
        <f>VLOOKUP(Table8[[#This Row],[Mã khách hàng]],'Khách hàng'!A:E,5,0)</f>
        <v>HCVG80</v>
      </c>
    </row>
    <row r="4557" spans="1:9" x14ac:dyDescent="0.25">
      <c r="A4557" s="14" t="s">
        <v>13906</v>
      </c>
      <c r="B4557" s="15" t="s">
        <v>5</v>
      </c>
      <c r="C4557" s="16" t="s">
        <v>15032</v>
      </c>
      <c r="D4557" s="21"/>
      <c r="E4557" s="32" t="s">
        <v>15682</v>
      </c>
      <c r="F4557" s="22" t="str">
        <f>VLOOKUP(Table8[[#This Row],[Mã khách hàng]],code_khach_hang[],2,0)</f>
        <v>CHI NHÁNH CÀ MAU - CÔNG TY CỔ PHẦN DỊCH VỤ THƯƠNG MẠI TỔNG HỢP WINCOMMERCE</v>
      </c>
      <c r="G4557" s="16" t="str">
        <f>VLOOKUP(Table8[[#This Row],[Mã khách hàng]],code_khach_hang[],3,0)</f>
        <v>Miền Nam đặc biệt 1</v>
      </c>
      <c r="H4557" t="str">
        <f>VLOOKUP(Table8[[#This Row],[Mã khách hàng]],'Khách hàng'!A:D,4,0)</f>
        <v>Food Đức Việt</v>
      </c>
      <c r="I4557" t="str">
        <f>VLOOKUP(Table8[[#This Row],[Mã khách hàng]],'Khách hàng'!A:E,5,0)</f>
        <v>HC-CT120</v>
      </c>
    </row>
    <row r="4558" spans="1:9" x14ac:dyDescent="0.25">
      <c r="A4558" s="14" t="s">
        <v>13907</v>
      </c>
      <c r="B4558" s="15" t="s">
        <v>5</v>
      </c>
      <c r="C4558" s="16" t="s">
        <v>15033</v>
      </c>
      <c r="D4558" s="21"/>
      <c r="E4558" s="32" t="s">
        <v>15682</v>
      </c>
      <c r="F4558" s="22" t="str">
        <f>VLOOKUP(Table8[[#This Row],[Mã khách hàng]],code_khach_hang[],2,0)</f>
        <v>CHI NHÁNH CÀ MAU - CÔNG TY CỔ PHẦN DỊCH VỤ THƯƠNG MẠI TỔNG HỢP WINCOMMERCE</v>
      </c>
      <c r="G4558" s="16" t="str">
        <f>VLOOKUP(Table8[[#This Row],[Mã khách hàng]],code_khach_hang[],3,0)</f>
        <v>Miền Nam đặc biệt 1</v>
      </c>
      <c r="H4558" t="str">
        <f>VLOOKUP(Table8[[#This Row],[Mã khách hàng]],'Khách hàng'!A:D,4,0)</f>
        <v>Food Đức Việt</v>
      </c>
      <c r="I4558" t="str">
        <f>VLOOKUP(Table8[[#This Row],[Mã khách hàng]],'Khách hàng'!A:E,5,0)</f>
        <v>HC-CT120</v>
      </c>
    </row>
    <row r="4559" spans="1:9" x14ac:dyDescent="0.25">
      <c r="A4559" s="14" t="s">
        <v>13908</v>
      </c>
      <c r="B4559" s="15" t="s">
        <v>5</v>
      </c>
      <c r="C4559" s="16" t="s">
        <v>15034</v>
      </c>
      <c r="D4559" s="21"/>
      <c r="E4559" s="32" t="s">
        <v>15682</v>
      </c>
      <c r="F4559" s="22" t="str">
        <f>VLOOKUP(Table8[[#This Row],[Mã khách hàng]],code_khach_hang[],2,0)</f>
        <v>CHI NHÁNH CÀ MAU - CÔNG TY CỔ PHẦN DỊCH VỤ THƯƠNG MẠI TỔNG HỢP WINCOMMERCE</v>
      </c>
      <c r="G4559" s="16" t="str">
        <f>VLOOKUP(Table8[[#This Row],[Mã khách hàng]],code_khach_hang[],3,0)</f>
        <v>Miền Nam đặc biệt 1</v>
      </c>
      <c r="H4559" t="str">
        <f>VLOOKUP(Table8[[#This Row],[Mã khách hàng]],'Khách hàng'!A:D,4,0)</f>
        <v>Food Đức Việt</v>
      </c>
      <c r="I4559" t="str">
        <f>VLOOKUP(Table8[[#This Row],[Mã khách hàng]],'Khách hàng'!A:E,5,0)</f>
        <v>HC-CT120</v>
      </c>
    </row>
    <row r="4560" spans="1:9" x14ac:dyDescent="0.25">
      <c r="A4560" s="14" t="s">
        <v>13909</v>
      </c>
      <c r="B4560" s="15" t="s">
        <v>5</v>
      </c>
      <c r="C4560" s="16" t="s">
        <v>15035</v>
      </c>
      <c r="D4560" s="21"/>
      <c r="E4560" s="32" t="s">
        <v>15683</v>
      </c>
      <c r="F4560" s="22" t="str">
        <f>VLOOKUP(Table8[[#This Row],[Mã khách hàng]],code_khach_hang[],2,0)</f>
        <v>CHI NHÁNH TRÀ VINH - CÔNG TY CỔ PHẦN DỊCH VỤ THƯƠNG MẠI TỔNG HỢP WINCOMMERCE</v>
      </c>
      <c r="G4560" s="16" t="str">
        <f>VLOOKUP(Table8[[#This Row],[Mã khách hàng]],code_khach_hang[],3,0)</f>
        <v>Miền Nam đặc biệt 1</v>
      </c>
      <c r="H4560" t="str">
        <f>VLOOKUP(Table8[[#This Row],[Mã khách hàng]],'Khách hàng'!A:D,4,0)</f>
        <v>Food Đức Việt</v>
      </c>
      <c r="I4560" t="str">
        <f>VLOOKUP(Table8[[#This Row],[Mã khách hàng]],'Khách hàng'!A:E,5,0)</f>
        <v>HC-CT120</v>
      </c>
    </row>
    <row r="4561" spans="1:9" x14ac:dyDescent="0.25">
      <c r="A4561" s="14" t="s">
        <v>13910</v>
      </c>
      <c r="B4561" s="15" t="s">
        <v>5</v>
      </c>
      <c r="C4561" s="16" t="s">
        <v>15036</v>
      </c>
      <c r="D4561" s="21"/>
      <c r="E4561" s="32" t="s">
        <v>15683</v>
      </c>
      <c r="F4561" s="22" t="str">
        <f>VLOOKUP(Table8[[#This Row],[Mã khách hàng]],code_khach_hang[],2,0)</f>
        <v>CHI NHÁNH TRÀ VINH - CÔNG TY CỔ PHẦN DỊCH VỤ THƯƠNG MẠI TỔNG HỢP WINCOMMERCE</v>
      </c>
      <c r="G4561" s="16" t="str">
        <f>VLOOKUP(Table8[[#This Row],[Mã khách hàng]],code_khach_hang[],3,0)</f>
        <v>Miền Nam đặc biệt 1</v>
      </c>
      <c r="H4561" t="str">
        <f>VLOOKUP(Table8[[#This Row],[Mã khách hàng]],'Khách hàng'!A:D,4,0)</f>
        <v>Food Đức Việt</v>
      </c>
      <c r="I4561" t="str">
        <f>VLOOKUP(Table8[[#This Row],[Mã khách hàng]],'Khách hàng'!A:E,5,0)</f>
        <v>HC-CT120</v>
      </c>
    </row>
    <row r="4562" spans="1:9" x14ac:dyDescent="0.25">
      <c r="A4562" s="14" t="s">
        <v>13911</v>
      </c>
      <c r="B4562" s="15" t="s">
        <v>5</v>
      </c>
      <c r="C4562" s="16" t="s">
        <v>15037</v>
      </c>
      <c r="D4562" s="21"/>
      <c r="E4562" s="32" t="s">
        <v>15683</v>
      </c>
      <c r="F4562" s="22" t="str">
        <f>VLOOKUP(Table8[[#This Row],[Mã khách hàng]],code_khach_hang[],2,0)</f>
        <v>CHI NHÁNH TRÀ VINH - CÔNG TY CỔ PHẦN DỊCH VỤ THƯƠNG MẠI TỔNG HỢP WINCOMMERCE</v>
      </c>
      <c r="G4562" s="16" t="str">
        <f>VLOOKUP(Table8[[#This Row],[Mã khách hàng]],code_khach_hang[],3,0)</f>
        <v>Miền Nam đặc biệt 1</v>
      </c>
      <c r="H4562" t="str">
        <f>VLOOKUP(Table8[[#This Row],[Mã khách hàng]],'Khách hàng'!A:D,4,0)</f>
        <v>Food Đức Việt</v>
      </c>
      <c r="I4562" t="str">
        <f>VLOOKUP(Table8[[#This Row],[Mã khách hàng]],'Khách hàng'!A:E,5,0)</f>
        <v>HC-CT120</v>
      </c>
    </row>
    <row r="4563" spans="1:9" x14ac:dyDescent="0.25">
      <c r="A4563" s="14" t="s">
        <v>13912</v>
      </c>
      <c r="B4563" s="15" t="s">
        <v>5</v>
      </c>
      <c r="C4563" s="16" t="s">
        <v>15038</v>
      </c>
      <c r="D4563" s="21"/>
      <c r="E4563" s="32" t="s">
        <v>15682</v>
      </c>
      <c r="F4563" s="22" t="str">
        <f>VLOOKUP(Table8[[#This Row],[Mã khách hàng]],code_khach_hang[],2,0)</f>
        <v>CHI NHÁNH CÀ MAU - CÔNG TY CỔ PHẦN DỊCH VỤ THƯƠNG MẠI TỔNG HỢP WINCOMMERCE</v>
      </c>
      <c r="G4563" s="16" t="str">
        <f>VLOOKUP(Table8[[#This Row],[Mã khách hàng]],code_khach_hang[],3,0)</f>
        <v>Miền Nam đặc biệt 1</v>
      </c>
      <c r="H4563" t="str">
        <f>VLOOKUP(Table8[[#This Row],[Mã khách hàng]],'Khách hàng'!A:D,4,0)</f>
        <v>Food Đức Việt</v>
      </c>
      <c r="I4563" t="str">
        <f>VLOOKUP(Table8[[#This Row],[Mã khách hàng]],'Khách hàng'!A:E,5,0)</f>
        <v>HC-CT120</v>
      </c>
    </row>
    <row r="4564" spans="1:9" x14ac:dyDescent="0.25">
      <c r="A4564" s="14" t="s">
        <v>13913</v>
      </c>
      <c r="B4564" s="15" t="s">
        <v>5</v>
      </c>
      <c r="C4564" s="16" t="s">
        <v>15039</v>
      </c>
      <c r="D4564" s="21"/>
      <c r="E4564" s="32" t="s">
        <v>15681</v>
      </c>
      <c r="F4564" s="22" t="str">
        <f>VLOOKUP(Table8[[#This Row],[Mã khách hàng]],code_khach_hang[],2,0)</f>
        <v>CHI NHÁNH BẾN TRE - CÔNG TY CỔ PHẦN DỊCH VỤ THƯƠNG MẠI TỔNG HỢP WINCOMMERCE</v>
      </c>
      <c r="G4564" s="16" t="str">
        <f>VLOOKUP(Table8[[#This Row],[Mã khách hàng]],code_khach_hang[],3,0)</f>
        <v>Miền Nam đặc biệt 1</v>
      </c>
      <c r="H4564" t="str">
        <f>VLOOKUP(Table8[[#This Row],[Mã khách hàng]],'Khách hàng'!A:D,4,0)</f>
        <v>Food Đức Việt</v>
      </c>
      <c r="I4564" t="str">
        <f>VLOOKUP(Table8[[#This Row],[Mã khách hàng]],'Khách hàng'!A:E,5,0)</f>
        <v>HCVG80</v>
      </c>
    </row>
    <row r="4565" spans="1:9" x14ac:dyDescent="0.25">
      <c r="A4565" s="14" t="s">
        <v>13914</v>
      </c>
      <c r="B4565" s="15" t="s">
        <v>5</v>
      </c>
      <c r="C4565" s="16" t="s">
        <v>15040</v>
      </c>
      <c r="D4565" s="21"/>
      <c r="E4565" s="32" t="s">
        <v>15684</v>
      </c>
      <c r="F4565" s="22" t="str">
        <f>VLOOKUP(Table8[[#This Row],[Mã khách hàng]],code_khach_hang[],2,0)</f>
        <v>CHI NHÁNH NINH THUẬN - CÔNG TY CỔ PHẦN DỊCH VỤ THƯƠNG MẠI TỔNG HỢP WINCOMMERCE</v>
      </c>
      <c r="G4565" s="16" t="str">
        <f>VLOOKUP(Table8[[#This Row],[Mã khách hàng]],code_khach_hang[],3,0)</f>
        <v>Miền Nam đặc biệt 3</v>
      </c>
      <c r="H4565" t="str">
        <f>VLOOKUP(Table8[[#This Row],[Mã khách hàng]],'Khách hàng'!A:D,4,0)</f>
        <v>Food Đức Việt</v>
      </c>
      <c r="I4565" t="str">
        <f>VLOOKUP(Table8[[#This Row],[Mã khách hàng]],'Khách hàng'!A:E,5,0)</f>
        <v>HCVG80</v>
      </c>
    </row>
    <row r="4566" spans="1:9" x14ac:dyDescent="0.25">
      <c r="A4566" s="14" t="s">
        <v>13915</v>
      </c>
      <c r="B4566" s="15" t="s">
        <v>5</v>
      </c>
      <c r="C4566" s="16" t="s">
        <v>15041</v>
      </c>
      <c r="D4566" s="21"/>
      <c r="E4566" s="32" t="s">
        <v>15684</v>
      </c>
      <c r="F4566" s="22" t="str">
        <f>VLOOKUP(Table8[[#This Row],[Mã khách hàng]],code_khach_hang[],2,0)</f>
        <v>CHI NHÁNH NINH THUẬN - CÔNG TY CỔ PHẦN DỊCH VỤ THƯƠNG MẠI TỔNG HỢP WINCOMMERCE</v>
      </c>
      <c r="G4566" s="16" t="str">
        <f>VLOOKUP(Table8[[#This Row],[Mã khách hàng]],code_khach_hang[],3,0)</f>
        <v>Miền Nam đặc biệt 3</v>
      </c>
      <c r="H4566" t="str">
        <f>VLOOKUP(Table8[[#This Row],[Mã khách hàng]],'Khách hàng'!A:D,4,0)</f>
        <v>Food Đức Việt</v>
      </c>
      <c r="I4566" t="str">
        <f>VLOOKUP(Table8[[#This Row],[Mã khách hàng]],'Khách hàng'!A:E,5,0)</f>
        <v>HCVG80</v>
      </c>
    </row>
    <row r="4567" spans="1:9" x14ac:dyDescent="0.25">
      <c r="A4567" s="14" t="s">
        <v>13916</v>
      </c>
      <c r="B4567" s="15" t="s">
        <v>5</v>
      </c>
      <c r="C4567" s="16" t="s">
        <v>15042</v>
      </c>
      <c r="D4567" s="21"/>
      <c r="E4567" s="32" t="s">
        <v>15684</v>
      </c>
      <c r="F4567" s="22" t="str">
        <f>VLOOKUP(Table8[[#This Row],[Mã khách hàng]],code_khach_hang[],2,0)</f>
        <v>CHI NHÁNH NINH THUẬN - CÔNG TY CỔ PHẦN DỊCH VỤ THƯƠNG MẠI TỔNG HỢP WINCOMMERCE</v>
      </c>
      <c r="G4567" s="16" t="str">
        <f>VLOOKUP(Table8[[#This Row],[Mã khách hàng]],code_khach_hang[],3,0)</f>
        <v>Miền Nam đặc biệt 3</v>
      </c>
      <c r="H4567" t="str">
        <f>VLOOKUP(Table8[[#This Row],[Mã khách hàng]],'Khách hàng'!A:D,4,0)</f>
        <v>Food Đức Việt</v>
      </c>
      <c r="I4567" t="str">
        <f>VLOOKUP(Table8[[#This Row],[Mã khách hàng]],'Khách hàng'!A:E,5,0)</f>
        <v>HCVG80</v>
      </c>
    </row>
    <row r="4568" spans="1:9" x14ac:dyDescent="0.25">
      <c r="A4568" s="14" t="s">
        <v>13917</v>
      </c>
      <c r="B4568" s="15" t="s">
        <v>5</v>
      </c>
      <c r="C4568" s="16" t="s">
        <v>15043</v>
      </c>
      <c r="D4568" s="21"/>
      <c r="E4568" s="32" t="s">
        <v>15684</v>
      </c>
      <c r="F4568" s="22" t="str">
        <f>VLOOKUP(Table8[[#This Row],[Mã khách hàng]],code_khach_hang[],2,0)</f>
        <v>CHI NHÁNH NINH THUẬN - CÔNG TY CỔ PHẦN DỊCH VỤ THƯƠNG MẠI TỔNG HỢP WINCOMMERCE</v>
      </c>
      <c r="G4568" s="16" t="str">
        <f>VLOOKUP(Table8[[#This Row],[Mã khách hàng]],code_khach_hang[],3,0)</f>
        <v>Miền Nam đặc biệt 3</v>
      </c>
      <c r="H4568" t="str">
        <f>VLOOKUP(Table8[[#This Row],[Mã khách hàng]],'Khách hàng'!A:D,4,0)</f>
        <v>Food Đức Việt</v>
      </c>
      <c r="I4568" t="str">
        <f>VLOOKUP(Table8[[#This Row],[Mã khách hàng]],'Khách hàng'!A:E,5,0)</f>
        <v>HCVG80</v>
      </c>
    </row>
    <row r="4569" spans="1:9" x14ac:dyDescent="0.25">
      <c r="A4569" s="14" t="s">
        <v>13918</v>
      </c>
      <c r="B4569" s="15" t="s">
        <v>5</v>
      </c>
      <c r="C4569" s="16" t="s">
        <v>15044</v>
      </c>
      <c r="D4569" s="21"/>
      <c r="E4569" s="32" t="s">
        <v>15681</v>
      </c>
      <c r="F4569" s="22" t="str">
        <f>VLOOKUP(Table8[[#This Row],[Mã khách hàng]],code_khach_hang[],2,0)</f>
        <v>CHI NHÁNH BẾN TRE - CÔNG TY CỔ PHẦN DỊCH VỤ THƯƠNG MẠI TỔNG HỢP WINCOMMERCE</v>
      </c>
      <c r="G4569" s="16" t="str">
        <f>VLOOKUP(Table8[[#This Row],[Mã khách hàng]],code_khach_hang[],3,0)</f>
        <v>Miền Nam đặc biệt 1</v>
      </c>
      <c r="H4569" t="str">
        <f>VLOOKUP(Table8[[#This Row],[Mã khách hàng]],'Khách hàng'!A:D,4,0)</f>
        <v>Food Đức Việt</v>
      </c>
      <c r="I4569" t="str">
        <f>VLOOKUP(Table8[[#This Row],[Mã khách hàng]],'Khách hàng'!A:E,5,0)</f>
        <v>HCVG80</v>
      </c>
    </row>
    <row r="4570" spans="1:9" x14ac:dyDescent="0.25">
      <c r="A4570" s="14" t="s">
        <v>13919</v>
      </c>
      <c r="B4570" s="15" t="s">
        <v>5</v>
      </c>
      <c r="C4570" s="16" t="s">
        <v>15045</v>
      </c>
      <c r="D4570" s="21"/>
      <c r="E4570" s="32" t="s">
        <v>15681</v>
      </c>
      <c r="F4570" s="22" t="str">
        <f>VLOOKUP(Table8[[#This Row],[Mã khách hàng]],code_khach_hang[],2,0)</f>
        <v>CHI NHÁNH BẾN TRE - CÔNG TY CỔ PHẦN DỊCH VỤ THƯƠNG MẠI TỔNG HỢP WINCOMMERCE</v>
      </c>
      <c r="G4570" s="16" t="str">
        <f>VLOOKUP(Table8[[#This Row],[Mã khách hàng]],code_khach_hang[],3,0)</f>
        <v>Miền Nam đặc biệt 1</v>
      </c>
      <c r="H4570" t="str">
        <f>VLOOKUP(Table8[[#This Row],[Mã khách hàng]],'Khách hàng'!A:D,4,0)</f>
        <v>Food Đức Việt</v>
      </c>
      <c r="I4570" t="str">
        <f>VLOOKUP(Table8[[#This Row],[Mã khách hàng]],'Khách hàng'!A:E,5,0)</f>
        <v>HCVG80</v>
      </c>
    </row>
    <row r="4571" spans="1:9" x14ac:dyDescent="0.25">
      <c r="A4571" s="14" t="s">
        <v>13920</v>
      </c>
      <c r="B4571" s="15" t="s">
        <v>5</v>
      </c>
      <c r="C4571" s="16" t="s">
        <v>15046</v>
      </c>
      <c r="D4571" s="21"/>
      <c r="E4571" s="32" t="s">
        <v>15671</v>
      </c>
      <c r="F4571" s="22" t="str">
        <f>VLOOKUP(Table8[[#This Row],[Mã khách hàng]],code_khach_hang[],2,0)</f>
        <v>CHI NHÁNH BÌNH DƯƠNG - CÔNG TY CỔ PHẦN DỊCH VỤ THƯƠNG MẠI TỔNG HỢP WINCOMMERCE</v>
      </c>
      <c r="G4571" s="16" t="str">
        <f>VLOOKUP(Table8[[#This Row],[Mã khách hàng]],code_khach_hang[],3,0)</f>
        <v>Miền Nam đặc biệt 1</v>
      </c>
      <c r="H4571" t="str">
        <f>VLOOKUP(Table8[[#This Row],[Mã khách hàng]],'Khách hàng'!A:D,4,0)</f>
        <v>Food Đức Việt</v>
      </c>
      <c r="I4571" t="str">
        <f>VLOOKUP(Table8[[#This Row],[Mã khách hàng]],'Khách hàng'!A:E,5,0)</f>
        <v>HCVG80</v>
      </c>
    </row>
    <row r="4572" spans="1:9" x14ac:dyDescent="0.25">
      <c r="A4572" s="14" t="s">
        <v>13921</v>
      </c>
      <c r="B4572" s="15" t="s">
        <v>5</v>
      </c>
      <c r="C4572" s="16" t="s">
        <v>15047</v>
      </c>
      <c r="D4572" s="21"/>
      <c r="E4572" s="32" t="s">
        <v>15683</v>
      </c>
      <c r="F4572" s="22" t="str">
        <f>VLOOKUP(Table8[[#This Row],[Mã khách hàng]],code_khach_hang[],2,0)</f>
        <v>CHI NHÁNH TRÀ VINH - CÔNG TY CỔ PHẦN DỊCH VỤ THƯƠNG MẠI TỔNG HỢP WINCOMMERCE</v>
      </c>
      <c r="G4572" s="16" t="str">
        <f>VLOOKUP(Table8[[#This Row],[Mã khách hàng]],code_khach_hang[],3,0)</f>
        <v>Miền Nam đặc biệt 1</v>
      </c>
      <c r="H4572" t="str">
        <f>VLOOKUP(Table8[[#This Row],[Mã khách hàng]],'Khách hàng'!A:D,4,0)</f>
        <v>Food Đức Việt</v>
      </c>
      <c r="I4572" t="str">
        <f>VLOOKUP(Table8[[#This Row],[Mã khách hàng]],'Khách hàng'!A:E,5,0)</f>
        <v>HC-CT120</v>
      </c>
    </row>
    <row r="4573" spans="1:9" x14ac:dyDescent="0.25">
      <c r="A4573" s="14" t="s">
        <v>13922</v>
      </c>
      <c r="B4573" s="15" t="s">
        <v>5</v>
      </c>
      <c r="C4573" s="16" t="s">
        <v>15048</v>
      </c>
      <c r="D4573" s="21"/>
      <c r="E4573" s="32" t="s">
        <v>15683</v>
      </c>
      <c r="F4573" s="22" t="str">
        <f>VLOOKUP(Table8[[#This Row],[Mã khách hàng]],code_khach_hang[],2,0)</f>
        <v>CHI NHÁNH TRÀ VINH - CÔNG TY CỔ PHẦN DỊCH VỤ THƯƠNG MẠI TỔNG HỢP WINCOMMERCE</v>
      </c>
      <c r="G4573" s="16" t="str">
        <f>VLOOKUP(Table8[[#This Row],[Mã khách hàng]],code_khach_hang[],3,0)</f>
        <v>Miền Nam đặc biệt 1</v>
      </c>
      <c r="H4573" t="str">
        <f>VLOOKUP(Table8[[#This Row],[Mã khách hàng]],'Khách hàng'!A:D,4,0)</f>
        <v>Food Đức Việt</v>
      </c>
      <c r="I4573" t="str">
        <f>VLOOKUP(Table8[[#This Row],[Mã khách hàng]],'Khách hàng'!A:E,5,0)</f>
        <v>HC-CT120</v>
      </c>
    </row>
    <row r="4574" spans="1:9" x14ac:dyDescent="0.25">
      <c r="A4574" s="14" t="s">
        <v>13923</v>
      </c>
      <c r="B4574" s="15" t="s">
        <v>5</v>
      </c>
      <c r="C4574" s="16" t="s">
        <v>15049</v>
      </c>
      <c r="D4574" s="21"/>
      <c r="E4574" s="32" t="s">
        <v>15683</v>
      </c>
      <c r="F4574" s="22" t="str">
        <f>VLOOKUP(Table8[[#This Row],[Mã khách hàng]],code_khach_hang[],2,0)</f>
        <v>CHI NHÁNH TRÀ VINH - CÔNG TY CỔ PHẦN DỊCH VỤ THƯƠNG MẠI TỔNG HỢP WINCOMMERCE</v>
      </c>
      <c r="G4574" s="16" t="str">
        <f>VLOOKUP(Table8[[#This Row],[Mã khách hàng]],code_khach_hang[],3,0)</f>
        <v>Miền Nam đặc biệt 1</v>
      </c>
      <c r="H4574" t="str">
        <f>VLOOKUP(Table8[[#This Row],[Mã khách hàng]],'Khách hàng'!A:D,4,0)</f>
        <v>Food Đức Việt</v>
      </c>
      <c r="I4574" t="str">
        <f>VLOOKUP(Table8[[#This Row],[Mã khách hàng]],'Khách hàng'!A:E,5,0)</f>
        <v>HC-CT120</v>
      </c>
    </row>
    <row r="4575" spans="1:9" x14ac:dyDescent="0.25">
      <c r="A4575" s="14" t="s">
        <v>13924</v>
      </c>
      <c r="B4575" s="15" t="s">
        <v>5</v>
      </c>
      <c r="C4575" s="16" t="s">
        <v>15050</v>
      </c>
      <c r="D4575" s="21"/>
      <c r="E4575" s="32" t="s">
        <v>15680</v>
      </c>
      <c r="F4575" s="22" t="str">
        <f>VLOOKUP(Table8[[#This Row],[Mã khách hàng]],code_khach_hang[],2,0)</f>
        <v>CHI NHÁNH SÓC TRĂNG - CÔNG TY CỔ PHẦN DỊCH VỤ THƯƠNG MẠI TỔNG HỢP WINCOMMERCE</v>
      </c>
      <c r="G4575" s="16" t="str">
        <f>VLOOKUP(Table8[[#This Row],[Mã khách hàng]],code_khach_hang[],3,0)</f>
        <v>Miền Nam đặc biệt 1</v>
      </c>
      <c r="H4575" t="str">
        <f>VLOOKUP(Table8[[#This Row],[Mã khách hàng]],'Khách hàng'!A:D,4,0)</f>
        <v>Food Đức Việt</v>
      </c>
      <c r="I4575" t="str">
        <f>VLOOKUP(Table8[[#This Row],[Mã khách hàng]],'Khách hàng'!A:E,5,0)</f>
        <v>HC-CT120</v>
      </c>
    </row>
    <row r="4576" spans="1:9" x14ac:dyDescent="0.25">
      <c r="A4576" s="14" t="s">
        <v>13925</v>
      </c>
      <c r="B4576" s="15" t="s">
        <v>5</v>
      </c>
      <c r="C4576" s="16" t="s">
        <v>15051</v>
      </c>
      <c r="D4576" s="21"/>
      <c r="E4576" s="32" t="s">
        <v>15681</v>
      </c>
      <c r="F4576" s="22" t="str">
        <f>VLOOKUP(Table8[[#This Row],[Mã khách hàng]],code_khach_hang[],2,0)</f>
        <v>CHI NHÁNH BẾN TRE - CÔNG TY CỔ PHẦN DỊCH VỤ THƯƠNG MẠI TỔNG HỢP WINCOMMERCE</v>
      </c>
      <c r="G4576" s="16" t="str">
        <f>VLOOKUP(Table8[[#This Row],[Mã khách hàng]],code_khach_hang[],3,0)</f>
        <v>Miền Nam đặc biệt 1</v>
      </c>
      <c r="H4576" t="str">
        <f>VLOOKUP(Table8[[#This Row],[Mã khách hàng]],'Khách hàng'!A:D,4,0)</f>
        <v>Food Đức Việt</v>
      </c>
      <c r="I4576" t="str">
        <f>VLOOKUP(Table8[[#This Row],[Mã khách hàng]],'Khách hàng'!A:E,5,0)</f>
        <v>HCVG80</v>
      </c>
    </row>
    <row r="4577" spans="1:9" x14ac:dyDescent="0.25">
      <c r="A4577" s="14" t="s">
        <v>13926</v>
      </c>
      <c r="B4577" s="15" t="s">
        <v>5</v>
      </c>
      <c r="C4577" s="16" t="s">
        <v>15052</v>
      </c>
      <c r="D4577" s="21"/>
      <c r="E4577" s="32" t="s">
        <v>15685</v>
      </c>
      <c r="F4577" s="22" t="str">
        <f>VLOOKUP(Table8[[#This Row],[Mã khách hàng]],code_khach_hang[],2,0)</f>
        <v>CHI NHÁNH BÀ RỊA - VŨNG TÀU - CÔNG TY CỔ PHẦN DỊCH VỤ THƯƠNG MẠI TỔNG HỢP WINCOMMERCE</v>
      </c>
      <c r="G4577" s="16" t="str">
        <f>VLOOKUP(Table8[[#This Row],[Mã khách hàng]],code_khach_hang[],3,0)</f>
        <v>Miền Nam đặc biệt 3</v>
      </c>
      <c r="H4577" t="str">
        <f>VLOOKUP(Table8[[#This Row],[Mã khách hàng]],'Khách hàng'!A:D,4,0)</f>
        <v>Food Đức Việt</v>
      </c>
      <c r="I4577" t="str">
        <f>VLOOKUP(Table8[[#This Row],[Mã khách hàng]],'Khách hàng'!A:E,5,0)</f>
        <v>HCVG80</v>
      </c>
    </row>
    <row r="4578" spans="1:9" x14ac:dyDescent="0.25">
      <c r="A4578" s="14" t="s">
        <v>13927</v>
      </c>
      <c r="B4578" s="15" t="s">
        <v>5</v>
      </c>
      <c r="C4578" s="16" t="s">
        <v>15053</v>
      </c>
      <c r="D4578" s="21"/>
      <c r="E4578" s="32" t="s">
        <v>15680</v>
      </c>
      <c r="F4578" s="22" t="str">
        <f>VLOOKUP(Table8[[#This Row],[Mã khách hàng]],code_khach_hang[],2,0)</f>
        <v>CHI NHÁNH SÓC TRĂNG - CÔNG TY CỔ PHẦN DỊCH VỤ THƯƠNG MẠI TỔNG HỢP WINCOMMERCE</v>
      </c>
      <c r="G4578" s="16" t="str">
        <f>VLOOKUP(Table8[[#This Row],[Mã khách hàng]],code_khach_hang[],3,0)</f>
        <v>Miền Nam đặc biệt 1</v>
      </c>
      <c r="H4578" t="str">
        <f>VLOOKUP(Table8[[#This Row],[Mã khách hàng]],'Khách hàng'!A:D,4,0)</f>
        <v>Food Đức Việt</v>
      </c>
      <c r="I4578" t="str">
        <f>VLOOKUP(Table8[[#This Row],[Mã khách hàng]],'Khách hàng'!A:E,5,0)</f>
        <v>HC-CT120</v>
      </c>
    </row>
    <row r="4579" spans="1:9" x14ac:dyDescent="0.25">
      <c r="A4579" s="14" t="s">
        <v>13928</v>
      </c>
      <c r="B4579" s="15" t="s">
        <v>5</v>
      </c>
      <c r="C4579" s="16" t="s">
        <v>15054</v>
      </c>
      <c r="D4579" s="21"/>
      <c r="E4579" s="32" t="s">
        <v>15667</v>
      </c>
      <c r="F4579" s="22" t="str">
        <f>VLOOKUP(Table8[[#This Row],[Mã khách hàng]],code_khach_hang[],2,0)</f>
        <v>CÔNG TY CỔ PHẦN DỊCH VỤ THƯƠNG MẠI TỔNG HỢP WINCOMMERCE</v>
      </c>
      <c r="G4579" s="16" t="str">
        <f>VLOOKUP(Table8[[#This Row],[Mã khách hàng]],code_khach_hang[],3,0)</f>
        <v>Miền Nam đặc biệt 1</v>
      </c>
      <c r="H4579" t="str">
        <f>VLOOKUP(Table8[[#This Row],[Mã khách hàng]],'Khách hàng'!A:D,4,0)</f>
        <v>Food Đức Việt</v>
      </c>
      <c r="I4579" t="str">
        <f>VLOOKUP(Table8[[#This Row],[Mã khách hàng]],'Khách hàng'!A:E,5,0)</f>
        <v>HCVG80</v>
      </c>
    </row>
    <row r="4580" spans="1:9" x14ac:dyDescent="0.25">
      <c r="A4580" s="14" t="s">
        <v>13929</v>
      </c>
      <c r="B4580" s="15" t="s">
        <v>5</v>
      </c>
      <c r="C4580" s="16" t="s">
        <v>15055</v>
      </c>
      <c r="D4580" s="21"/>
      <c r="E4580" s="32" t="s">
        <v>15680</v>
      </c>
      <c r="F4580" s="22" t="str">
        <f>VLOOKUP(Table8[[#This Row],[Mã khách hàng]],code_khach_hang[],2,0)</f>
        <v>CHI NHÁNH SÓC TRĂNG - CÔNG TY CỔ PHẦN DỊCH VỤ THƯƠNG MẠI TỔNG HỢP WINCOMMERCE</v>
      </c>
      <c r="G4580" s="16" t="str">
        <f>VLOOKUP(Table8[[#This Row],[Mã khách hàng]],code_khach_hang[],3,0)</f>
        <v>Miền Nam đặc biệt 1</v>
      </c>
      <c r="H4580" t="str">
        <f>VLOOKUP(Table8[[#This Row],[Mã khách hàng]],'Khách hàng'!A:D,4,0)</f>
        <v>Food Đức Việt</v>
      </c>
      <c r="I4580" t="str">
        <f>VLOOKUP(Table8[[#This Row],[Mã khách hàng]],'Khách hàng'!A:E,5,0)</f>
        <v>HC-CT120</v>
      </c>
    </row>
    <row r="4581" spans="1:9" x14ac:dyDescent="0.25">
      <c r="A4581" s="14" t="s">
        <v>13930</v>
      </c>
      <c r="B4581" s="15" t="s">
        <v>5</v>
      </c>
      <c r="C4581" s="16" t="s">
        <v>15056</v>
      </c>
      <c r="D4581" s="21"/>
      <c r="E4581" s="32" t="s">
        <v>15674</v>
      </c>
      <c r="F4581" s="22" t="str">
        <f>VLOOKUP(Table8[[#This Row],[Mã khách hàng]],code_khach_hang[],2,0)</f>
        <v>CHI NHÁNH LONG AN - CÔNG TY CỔ PHẦN DỊCH VỤ THƯƠNG MẠI TỔNG HỢP WINCOMMERCE</v>
      </c>
      <c r="G4581" s="16" t="str">
        <f>VLOOKUP(Table8[[#This Row],[Mã khách hàng]],code_khach_hang[],3,0)</f>
        <v>Miền Nam đặc biệt 2</v>
      </c>
      <c r="H4581" t="str">
        <f>VLOOKUP(Table8[[#This Row],[Mã khách hàng]],'Khách hàng'!A:D,4,0)</f>
        <v>Food Đức Việt</v>
      </c>
      <c r="I4581" t="str">
        <f>VLOOKUP(Table8[[#This Row],[Mã khách hàng]],'Khách hàng'!A:E,5,0)</f>
        <v>HCVG80</v>
      </c>
    </row>
    <row r="4582" spans="1:9" x14ac:dyDescent="0.25">
      <c r="A4582" s="14" t="s">
        <v>13931</v>
      </c>
      <c r="B4582" s="15" t="s">
        <v>5</v>
      </c>
      <c r="C4582" s="16" t="s">
        <v>15057</v>
      </c>
      <c r="D4582" s="21"/>
      <c r="E4582" s="32" t="s">
        <v>15684</v>
      </c>
      <c r="F4582" s="22" t="str">
        <f>VLOOKUP(Table8[[#This Row],[Mã khách hàng]],code_khach_hang[],2,0)</f>
        <v>CHI NHÁNH NINH THUẬN - CÔNG TY CỔ PHẦN DỊCH VỤ THƯƠNG MẠI TỔNG HỢP WINCOMMERCE</v>
      </c>
      <c r="G4582" s="16" t="str">
        <f>VLOOKUP(Table8[[#This Row],[Mã khách hàng]],code_khach_hang[],3,0)</f>
        <v>Miền Nam đặc biệt 3</v>
      </c>
      <c r="H4582" t="str">
        <f>VLOOKUP(Table8[[#This Row],[Mã khách hàng]],'Khách hàng'!A:D,4,0)</f>
        <v>Food Đức Việt</v>
      </c>
      <c r="I4582" t="str">
        <f>VLOOKUP(Table8[[#This Row],[Mã khách hàng]],'Khách hàng'!A:E,5,0)</f>
        <v>HCVG80</v>
      </c>
    </row>
    <row r="4583" spans="1:9" x14ac:dyDescent="0.25">
      <c r="A4583" s="14" t="s">
        <v>13932</v>
      </c>
      <c r="B4583" s="15" t="s">
        <v>5</v>
      </c>
      <c r="C4583" s="16" t="s">
        <v>15058</v>
      </c>
      <c r="D4583" s="21"/>
      <c r="E4583" s="32" t="s">
        <v>15684</v>
      </c>
      <c r="F4583" s="22" t="str">
        <f>VLOOKUP(Table8[[#This Row],[Mã khách hàng]],code_khach_hang[],2,0)</f>
        <v>CHI NHÁNH NINH THUẬN - CÔNG TY CỔ PHẦN DỊCH VỤ THƯƠNG MẠI TỔNG HỢP WINCOMMERCE</v>
      </c>
      <c r="G4583" s="16" t="str">
        <f>VLOOKUP(Table8[[#This Row],[Mã khách hàng]],code_khach_hang[],3,0)</f>
        <v>Miền Nam đặc biệt 3</v>
      </c>
      <c r="H4583" t="str">
        <f>VLOOKUP(Table8[[#This Row],[Mã khách hàng]],'Khách hàng'!A:D,4,0)</f>
        <v>Food Đức Việt</v>
      </c>
      <c r="I4583" t="str">
        <f>VLOOKUP(Table8[[#This Row],[Mã khách hàng]],'Khách hàng'!A:E,5,0)</f>
        <v>HCVG80</v>
      </c>
    </row>
    <row r="4584" spans="1:9" x14ac:dyDescent="0.25">
      <c r="A4584" s="14" t="s">
        <v>13933</v>
      </c>
      <c r="B4584" s="15" t="s">
        <v>5</v>
      </c>
      <c r="C4584" s="16" t="s">
        <v>15059</v>
      </c>
      <c r="D4584" s="21"/>
      <c r="E4584" s="32" t="s">
        <v>15682</v>
      </c>
      <c r="F4584" s="22" t="str">
        <f>VLOOKUP(Table8[[#This Row],[Mã khách hàng]],code_khach_hang[],2,0)</f>
        <v>CHI NHÁNH CÀ MAU - CÔNG TY CỔ PHẦN DỊCH VỤ THƯƠNG MẠI TỔNG HỢP WINCOMMERCE</v>
      </c>
      <c r="G4584" s="16" t="str">
        <f>VLOOKUP(Table8[[#This Row],[Mã khách hàng]],code_khach_hang[],3,0)</f>
        <v>Miền Nam đặc biệt 1</v>
      </c>
      <c r="H4584" t="str">
        <f>VLOOKUP(Table8[[#This Row],[Mã khách hàng]],'Khách hàng'!A:D,4,0)</f>
        <v>Food Đức Việt</v>
      </c>
      <c r="I4584" t="str">
        <f>VLOOKUP(Table8[[#This Row],[Mã khách hàng]],'Khách hàng'!A:E,5,0)</f>
        <v>HC-CT120</v>
      </c>
    </row>
    <row r="4585" spans="1:9" x14ac:dyDescent="0.25">
      <c r="A4585" s="14" t="s">
        <v>13934</v>
      </c>
      <c r="B4585" s="15" t="s">
        <v>5</v>
      </c>
      <c r="C4585" s="16" t="s">
        <v>15060</v>
      </c>
      <c r="D4585" s="21"/>
      <c r="E4585" s="32" t="s">
        <v>15667</v>
      </c>
      <c r="F4585" s="22" t="str">
        <f>VLOOKUP(Table8[[#This Row],[Mã khách hàng]],code_khach_hang[],2,0)</f>
        <v>CÔNG TY CỔ PHẦN DỊCH VỤ THƯƠNG MẠI TỔNG HỢP WINCOMMERCE</v>
      </c>
      <c r="G4585" s="16" t="str">
        <f>VLOOKUP(Table8[[#This Row],[Mã khách hàng]],code_khach_hang[],3,0)</f>
        <v>Miền Nam đặc biệt 1</v>
      </c>
      <c r="H4585" t="str">
        <f>VLOOKUP(Table8[[#This Row],[Mã khách hàng]],'Khách hàng'!A:D,4,0)</f>
        <v>Food Đức Việt</v>
      </c>
      <c r="I4585" t="str">
        <f>VLOOKUP(Table8[[#This Row],[Mã khách hàng]],'Khách hàng'!A:E,5,0)</f>
        <v>HCVG80</v>
      </c>
    </row>
    <row r="4586" spans="1:9" x14ac:dyDescent="0.25">
      <c r="A4586" s="14" t="s">
        <v>13935</v>
      </c>
      <c r="B4586" s="15" t="s">
        <v>5</v>
      </c>
      <c r="C4586" s="16" t="s">
        <v>15061</v>
      </c>
      <c r="D4586" s="21"/>
      <c r="E4586" s="32" t="s">
        <v>15684</v>
      </c>
      <c r="F4586" s="22" t="str">
        <f>VLOOKUP(Table8[[#This Row],[Mã khách hàng]],code_khach_hang[],2,0)</f>
        <v>CHI NHÁNH NINH THUẬN - CÔNG TY CỔ PHẦN DỊCH VỤ THƯƠNG MẠI TỔNG HỢP WINCOMMERCE</v>
      </c>
      <c r="G4586" s="16" t="str">
        <f>VLOOKUP(Table8[[#This Row],[Mã khách hàng]],code_khach_hang[],3,0)</f>
        <v>Miền Nam đặc biệt 3</v>
      </c>
      <c r="H4586" t="str">
        <f>VLOOKUP(Table8[[#This Row],[Mã khách hàng]],'Khách hàng'!A:D,4,0)</f>
        <v>Food Đức Việt</v>
      </c>
      <c r="I4586" t="str">
        <f>VLOOKUP(Table8[[#This Row],[Mã khách hàng]],'Khách hàng'!A:E,5,0)</f>
        <v>HCVG80</v>
      </c>
    </row>
    <row r="4587" spans="1:9" x14ac:dyDescent="0.25">
      <c r="A4587" s="14" t="s">
        <v>13936</v>
      </c>
      <c r="B4587" s="15" t="s">
        <v>5</v>
      </c>
      <c r="C4587" s="16" t="s">
        <v>15062</v>
      </c>
      <c r="D4587" s="21"/>
      <c r="E4587" s="32" t="s">
        <v>15685</v>
      </c>
      <c r="F4587" s="22" t="str">
        <f>VLOOKUP(Table8[[#This Row],[Mã khách hàng]],code_khach_hang[],2,0)</f>
        <v>CHI NHÁNH BÀ RỊA - VŨNG TÀU - CÔNG TY CỔ PHẦN DỊCH VỤ THƯƠNG MẠI TỔNG HỢP WINCOMMERCE</v>
      </c>
      <c r="G4587" s="16" t="str">
        <f>VLOOKUP(Table8[[#This Row],[Mã khách hàng]],code_khach_hang[],3,0)</f>
        <v>Miền Nam đặc biệt 3</v>
      </c>
      <c r="H4587" t="str">
        <f>VLOOKUP(Table8[[#This Row],[Mã khách hàng]],'Khách hàng'!A:D,4,0)</f>
        <v>Food Đức Việt</v>
      </c>
      <c r="I4587" t="str">
        <f>VLOOKUP(Table8[[#This Row],[Mã khách hàng]],'Khách hàng'!A:E,5,0)</f>
        <v>HCVG80</v>
      </c>
    </row>
    <row r="4588" spans="1:9" x14ac:dyDescent="0.25">
      <c r="A4588" s="14" t="s">
        <v>13937</v>
      </c>
      <c r="B4588" s="15" t="s">
        <v>5</v>
      </c>
      <c r="C4588" s="16" t="s">
        <v>15063</v>
      </c>
      <c r="D4588" s="21"/>
      <c r="E4588" s="32" t="s">
        <v>15667</v>
      </c>
      <c r="F4588" s="22" t="str">
        <f>VLOOKUP(Table8[[#This Row],[Mã khách hàng]],code_khach_hang[],2,0)</f>
        <v>CÔNG TY CỔ PHẦN DỊCH VỤ THƯƠNG MẠI TỔNG HỢP WINCOMMERCE</v>
      </c>
      <c r="G4588" s="16" t="str">
        <f>VLOOKUP(Table8[[#This Row],[Mã khách hàng]],code_khach_hang[],3,0)</f>
        <v>Miền Nam đặc biệt 1</v>
      </c>
      <c r="H4588" t="str">
        <f>VLOOKUP(Table8[[#This Row],[Mã khách hàng]],'Khách hàng'!A:D,4,0)</f>
        <v>Food Đức Việt</v>
      </c>
      <c r="I4588" t="str">
        <f>VLOOKUP(Table8[[#This Row],[Mã khách hàng]],'Khách hàng'!A:E,5,0)</f>
        <v>HCVG80</v>
      </c>
    </row>
    <row r="4589" spans="1:9" x14ac:dyDescent="0.25">
      <c r="A4589" s="14" t="s">
        <v>13938</v>
      </c>
      <c r="B4589" s="15" t="s">
        <v>5</v>
      </c>
      <c r="C4589" s="16" t="s">
        <v>15064</v>
      </c>
      <c r="D4589" s="21"/>
      <c r="E4589" s="32" t="s">
        <v>15671</v>
      </c>
      <c r="F4589" s="22" t="str">
        <f>VLOOKUP(Table8[[#This Row],[Mã khách hàng]],code_khach_hang[],2,0)</f>
        <v>CHI NHÁNH BÌNH DƯƠNG - CÔNG TY CỔ PHẦN DỊCH VỤ THƯƠNG MẠI TỔNG HỢP WINCOMMERCE</v>
      </c>
      <c r="G4589" s="16" t="str">
        <f>VLOOKUP(Table8[[#This Row],[Mã khách hàng]],code_khach_hang[],3,0)</f>
        <v>Miền Nam đặc biệt 1</v>
      </c>
      <c r="H4589" t="str">
        <f>VLOOKUP(Table8[[#This Row],[Mã khách hàng]],'Khách hàng'!A:D,4,0)</f>
        <v>Food Đức Việt</v>
      </c>
      <c r="I4589" t="str">
        <f>VLOOKUP(Table8[[#This Row],[Mã khách hàng]],'Khách hàng'!A:E,5,0)</f>
        <v>HCVG80</v>
      </c>
    </row>
    <row r="4590" spans="1:9" x14ac:dyDescent="0.25">
      <c r="A4590" s="14" t="s">
        <v>13939</v>
      </c>
      <c r="B4590" s="15" t="s">
        <v>5</v>
      </c>
      <c r="C4590" s="16" t="s">
        <v>15065</v>
      </c>
      <c r="D4590" s="21"/>
      <c r="E4590" s="32" t="s">
        <v>15685</v>
      </c>
      <c r="F4590" s="22" t="str">
        <f>VLOOKUP(Table8[[#This Row],[Mã khách hàng]],code_khach_hang[],2,0)</f>
        <v>CHI NHÁNH BÀ RỊA - VŨNG TÀU - CÔNG TY CỔ PHẦN DỊCH VỤ THƯƠNG MẠI TỔNG HỢP WINCOMMERCE</v>
      </c>
      <c r="G4590" s="16" t="str">
        <f>VLOOKUP(Table8[[#This Row],[Mã khách hàng]],code_khach_hang[],3,0)</f>
        <v>Miền Nam đặc biệt 3</v>
      </c>
      <c r="H4590" t="str">
        <f>VLOOKUP(Table8[[#This Row],[Mã khách hàng]],'Khách hàng'!A:D,4,0)</f>
        <v>Food Đức Việt</v>
      </c>
      <c r="I4590" t="str">
        <f>VLOOKUP(Table8[[#This Row],[Mã khách hàng]],'Khách hàng'!A:E,5,0)</f>
        <v>HCVG80</v>
      </c>
    </row>
    <row r="4591" spans="1:9" x14ac:dyDescent="0.25">
      <c r="A4591" s="14" t="s">
        <v>13940</v>
      </c>
      <c r="B4591" s="15" t="s">
        <v>5</v>
      </c>
      <c r="C4591" s="16" t="s">
        <v>15066</v>
      </c>
      <c r="D4591" s="21"/>
      <c r="E4591" s="32" t="s">
        <v>15667</v>
      </c>
      <c r="F4591" s="22" t="str">
        <f>VLOOKUP(Table8[[#This Row],[Mã khách hàng]],code_khach_hang[],2,0)</f>
        <v>CÔNG TY CỔ PHẦN DỊCH VỤ THƯƠNG MẠI TỔNG HỢP WINCOMMERCE</v>
      </c>
      <c r="G4591" s="16" t="str">
        <f>VLOOKUP(Table8[[#This Row],[Mã khách hàng]],code_khach_hang[],3,0)</f>
        <v>Miền Nam đặc biệt 1</v>
      </c>
      <c r="H4591" t="str">
        <f>VLOOKUP(Table8[[#This Row],[Mã khách hàng]],'Khách hàng'!A:D,4,0)</f>
        <v>Food Đức Việt</v>
      </c>
      <c r="I4591" t="str">
        <f>VLOOKUP(Table8[[#This Row],[Mã khách hàng]],'Khách hàng'!A:E,5,0)</f>
        <v>HCVG80</v>
      </c>
    </row>
    <row r="4592" spans="1:9" x14ac:dyDescent="0.25">
      <c r="A4592" s="14" t="s">
        <v>13941</v>
      </c>
      <c r="B4592" s="15" t="s">
        <v>5</v>
      </c>
      <c r="C4592" s="16" t="s">
        <v>15067</v>
      </c>
      <c r="D4592" s="21"/>
      <c r="E4592" s="32" t="s">
        <v>15682</v>
      </c>
      <c r="F4592" s="22" t="str">
        <f>VLOOKUP(Table8[[#This Row],[Mã khách hàng]],code_khach_hang[],2,0)</f>
        <v>CHI NHÁNH CÀ MAU - CÔNG TY CỔ PHẦN DỊCH VỤ THƯƠNG MẠI TỔNG HỢP WINCOMMERCE</v>
      </c>
      <c r="G4592" s="16" t="str">
        <f>VLOOKUP(Table8[[#This Row],[Mã khách hàng]],code_khach_hang[],3,0)</f>
        <v>Miền Nam đặc biệt 1</v>
      </c>
      <c r="H4592" t="str">
        <f>VLOOKUP(Table8[[#This Row],[Mã khách hàng]],'Khách hàng'!A:D,4,0)</f>
        <v>Food Đức Việt</v>
      </c>
      <c r="I4592" t="str">
        <f>VLOOKUP(Table8[[#This Row],[Mã khách hàng]],'Khách hàng'!A:E,5,0)</f>
        <v>HC-CT120</v>
      </c>
    </row>
    <row r="4593" spans="1:9" x14ac:dyDescent="0.25">
      <c r="A4593" s="14" t="s">
        <v>13942</v>
      </c>
      <c r="B4593" s="15" t="s">
        <v>5</v>
      </c>
      <c r="C4593" s="16" t="s">
        <v>15068</v>
      </c>
      <c r="D4593" s="21"/>
      <c r="E4593" s="32" t="s">
        <v>15667</v>
      </c>
      <c r="F4593" s="22" t="str">
        <f>VLOOKUP(Table8[[#This Row],[Mã khách hàng]],code_khach_hang[],2,0)</f>
        <v>CÔNG TY CỔ PHẦN DỊCH VỤ THƯƠNG MẠI TỔNG HỢP WINCOMMERCE</v>
      </c>
      <c r="G4593" s="16" t="str">
        <f>VLOOKUP(Table8[[#This Row],[Mã khách hàng]],code_khach_hang[],3,0)</f>
        <v>Miền Nam đặc biệt 1</v>
      </c>
      <c r="H4593" t="str">
        <f>VLOOKUP(Table8[[#This Row],[Mã khách hàng]],'Khách hàng'!A:D,4,0)</f>
        <v>Food Đức Việt</v>
      </c>
      <c r="I4593" t="str">
        <f>VLOOKUP(Table8[[#This Row],[Mã khách hàng]],'Khách hàng'!A:E,5,0)</f>
        <v>HCVG80</v>
      </c>
    </row>
    <row r="4594" spans="1:9" x14ac:dyDescent="0.25">
      <c r="A4594" s="14" t="s">
        <v>13943</v>
      </c>
      <c r="B4594" s="15" t="s">
        <v>5</v>
      </c>
      <c r="C4594" s="16" t="s">
        <v>15069</v>
      </c>
      <c r="D4594" s="21"/>
      <c r="E4594" s="32" t="s">
        <v>15667</v>
      </c>
      <c r="F4594" s="22" t="str">
        <f>VLOOKUP(Table8[[#This Row],[Mã khách hàng]],code_khach_hang[],2,0)</f>
        <v>CÔNG TY CỔ PHẦN DỊCH VỤ THƯƠNG MẠI TỔNG HỢP WINCOMMERCE</v>
      </c>
      <c r="G4594" s="16" t="str">
        <f>VLOOKUP(Table8[[#This Row],[Mã khách hàng]],code_khach_hang[],3,0)</f>
        <v>Miền Nam đặc biệt 1</v>
      </c>
      <c r="H4594" t="str">
        <f>VLOOKUP(Table8[[#This Row],[Mã khách hàng]],'Khách hàng'!A:D,4,0)</f>
        <v>Food Đức Việt</v>
      </c>
      <c r="I4594" t="str">
        <f>VLOOKUP(Table8[[#This Row],[Mã khách hàng]],'Khách hàng'!A:E,5,0)</f>
        <v>HCVG80</v>
      </c>
    </row>
    <row r="4595" spans="1:9" x14ac:dyDescent="0.25">
      <c r="A4595" s="14" t="s">
        <v>13944</v>
      </c>
      <c r="B4595" s="15" t="s">
        <v>5</v>
      </c>
      <c r="C4595" s="16" t="s">
        <v>15070</v>
      </c>
      <c r="D4595" s="21"/>
      <c r="E4595" s="32" t="s">
        <v>15682</v>
      </c>
      <c r="F4595" s="22" t="str">
        <f>VLOOKUP(Table8[[#This Row],[Mã khách hàng]],code_khach_hang[],2,0)</f>
        <v>CHI NHÁNH CÀ MAU - CÔNG TY CỔ PHẦN DỊCH VỤ THƯƠNG MẠI TỔNG HỢP WINCOMMERCE</v>
      </c>
      <c r="G4595" s="16" t="str">
        <f>VLOOKUP(Table8[[#This Row],[Mã khách hàng]],code_khach_hang[],3,0)</f>
        <v>Miền Nam đặc biệt 1</v>
      </c>
      <c r="H4595" t="str">
        <f>VLOOKUP(Table8[[#This Row],[Mã khách hàng]],'Khách hàng'!A:D,4,0)</f>
        <v>Food Đức Việt</v>
      </c>
      <c r="I4595" t="str">
        <f>VLOOKUP(Table8[[#This Row],[Mã khách hàng]],'Khách hàng'!A:E,5,0)</f>
        <v>HC-CT120</v>
      </c>
    </row>
    <row r="4596" spans="1:9" x14ac:dyDescent="0.25">
      <c r="A4596" s="14" t="s">
        <v>13945</v>
      </c>
      <c r="B4596" s="15" t="s">
        <v>5</v>
      </c>
      <c r="C4596" s="16" t="s">
        <v>15071</v>
      </c>
      <c r="D4596" s="21"/>
      <c r="E4596" s="32" t="s">
        <v>15683</v>
      </c>
      <c r="F4596" s="22" t="str">
        <f>VLOOKUP(Table8[[#This Row],[Mã khách hàng]],code_khach_hang[],2,0)</f>
        <v>CHI NHÁNH TRÀ VINH - CÔNG TY CỔ PHẦN DỊCH VỤ THƯƠNG MẠI TỔNG HỢP WINCOMMERCE</v>
      </c>
      <c r="G4596" s="16" t="str">
        <f>VLOOKUP(Table8[[#This Row],[Mã khách hàng]],code_khach_hang[],3,0)</f>
        <v>Miền Nam đặc biệt 1</v>
      </c>
      <c r="H4596" t="str">
        <f>VLOOKUP(Table8[[#This Row],[Mã khách hàng]],'Khách hàng'!A:D,4,0)</f>
        <v>Food Đức Việt</v>
      </c>
      <c r="I4596" t="str">
        <f>VLOOKUP(Table8[[#This Row],[Mã khách hàng]],'Khách hàng'!A:E,5,0)</f>
        <v>HC-CT120</v>
      </c>
    </row>
    <row r="4597" spans="1:9" x14ac:dyDescent="0.25">
      <c r="A4597" s="14" t="s">
        <v>13946</v>
      </c>
      <c r="B4597" s="15" t="s">
        <v>5</v>
      </c>
      <c r="C4597" s="16" t="s">
        <v>15072</v>
      </c>
      <c r="D4597" s="21"/>
      <c r="E4597" s="32" t="s">
        <v>15667</v>
      </c>
      <c r="F4597" s="22" t="str">
        <f>VLOOKUP(Table8[[#This Row],[Mã khách hàng]],code_khach_hang[],2,0)</f>
        <v>CÔNG TY CỔ PHẦN DỊCH VỤ THƯƠNG MẠI TỔNG HỢP WINCOMMERCE</v>
      </c>
      <c r="G4597" s="16" t="str">
        <f>VLOOKUP(Table8[[#This Row],[Mã khách hàng]],code_khach_hang[],3,0)</f>
        <v>Miền Nam đặc biệt 1</v>
      </c>
      <c r="H4597" t="str">
        <f>VLOOKUP(Table8[[#This Row],[Mã khách hàng]],'Khách hàng'!A:D,4,0)</f>
        <v>Food Đức Việt</v>
      </c>
      <c r="I4597" t="str">
        <f>VLOOKUP(Table8[[#This Row],[Mã khách hàng]],'Khách hàng'!A:E,5,0)</f>
        <v>HCVG80</v>
      </c>
    </row>
    <row r="4598" spans="1:9" x14ac:dyDescent="0.25">
      <c r="A4598" s="14" t="s">
        <v>13947</v>
      </c>
      <c r="B4598" s="15" t="s">
        <v>5</v>
      </c>
      <c r="C4598" s="16" t="s">
        <v>15073</v>
      </c>
      <c r="D4598" s="21"/>
      <c r="E4598" s="32" t="s">
        <v>15680</v>
      </c>
      <c r="F4598" s="22" t="str">
        <f>VLOOKUP(Table8[[#This Row],[Mã khách hàng]],code_khach_hang[],2,0)</f>
        <v>CHI NHÁNH SÓC TRĂNG - CÔNG TY CỔ PHẦN DỊCH VỤ THƯƠNG MẠI TỔNG HỢP WINCOMMERCE</v>
      </c>
      <c r="G4598" s="16" t="str">
        <f>VLOOKUP(Table8[[#This Row],[Mã khách hàng]],code_khach_hang[],3,0)</f>
        <v>Miền Nam đặc biệt 1</v>
      </c>
      <c r="H4598" t="str">
        <f>VLOOKUP(Table8[[#This Row],[Mã khách hàng]],'Khách hàng'!A:D,4,0)</f>
        <v>Food Đức Việt</v>
      </c>
      <c r="I4598" t="str">
        <f>VLOOKUP(Table8[[#This Row],[Mã khách hàng]],'Khách hàng'!A:E,5,0)</f>
        <v>HC-CT120</v>
      </c>
    </row>
    <row r="4599" spans="1:9" x14ac:dyDescent="0.25">
      <c r="A4599" s="14" t="s">
        <v>13948</v>
      </c>
      <c r="B4599" s="15" t="s">
        <v>5</v>
      </c>
      <c r="C4599" s="16" t="s">
        <v>15074</v>
      </c>
      <c r="D4599" s="21"/>
      <c r="E4599" s="32" t="s">
        <v>15685</v>
      </c>
      <c r="F4599" s="22" t="str">
        <f>VLOOKUP(Table8[[#This Row],[Mã khách hàng]],code_khach_hang[],2,0)</f>
        <v>CHI NHÁNH BÀ RỊA - VŨNG TÀU - CÔNG TY CỔ PHẦN DỊCH VỤ THƯƠNG MẠI TỔNG HỢP WINCOMMERCE</v>
      </c>
      <c r="G4599" s="16" t="str">
        <f>VLOOKUP(Table8[[#This Row],[Mã khách hàng]],code_khach_hang[],3,0)</f>
        <v>Miền Nam đặc biệt 3</v>
      </c>
      <c r="H4599" t="str">
        <f>VLOOKUP(Table8[[#This Row],[Mã khách hàng]],'Khách hàng'!A:D,4,0)</f>
        <v>Food Đức Việt</v>
      </c>
      <c r="I4599" t="str">
        <f>VLOOKUP(Table8[[#This Row],[Mã khách hàng]],'Khách hàng'!A:E,5,0)</f>
        <v>HCVG80</v>
      </c>
    </row>
    <row r="4600" spans="1:9" x14ac:dyDescent="0.25">
      <c r="A4600" s="14" t="s">
        <v>13949</v>
      </c>
      <c r="B4600" s="15" t="s">
        <v>5</v>
      </c>
      <c r="C4600" s="16" t="s">
        <v>15075</v>
      </c>
      <c r="D4600" s="21"/>
      <c r="E4600" s="32" t="s">
        <v>15668</v>
      </c>
      <c r="F4600" s="22" t="str">
        <f>VLOOKUP(Table8[[#This Row],[Mã khách hàng]],code_khach_hang[],2,0)</f>
        <v>CHI NHÁNH ĐỒNG NAI - CÔNG TY CỔ PHẦN DỊCH VỤ THƯƠNG MẠI TỔNG HỢP WINCOMMERCE</v>
      </c>
      <c r="G4600" s="16" t="str">
        <f>VLOOKUP(Table8[[#This Row],[Mã khách hàng]],code_khach_hang[],3,0)</f>
        <v>Miền Nam đặc biệt 3</v>
      </c>
      <c r="H4600" t="str">
        <f>VLOOKUP(Table8[[#This Row],[Mã khách hàng]],'Khách hàng'!A:D,4,0)</f>
        <v>Food Đức Việt</v>
      </c>
      <c r="I4600" t="str">
        <f>VLOOKUP(Table8[[#This Row],[Mã khách hàng]],'Khách hàng'!A:E,5,0)</f>
        <v>HCVG80</v>
      </c>
    </row>
    <row r="4601" spans="1:9" x14ac:dyDescent="0.25">
      <c r="A4601" s="14" t="s">
        <v>13950</v>
      </c>
      <c r="B4601" s="15" t="s">
        <v>5</v>
      </c>
      <c r="C4601" s="16" t="s">
        <v>15076</v>
      </c>
      <c r="D4601" s="21"/>
      <c r="E4601" s="32" t="s">
        <v>15668</v>
      </c>
      <c r="F4601" s="22" t="str">
        <f>VLOOKUP(Table8[[#This Row],[Mã khách hàng]],code_khach_hang[],2,0)</f>
        <v>CHI NHÁNH ĐỒNG NAI - CÔNG TY CỔ PHẦN DỊCH VỤ THƯƠNG MẠI TỔNG HỢP WINCOMMERCE</v>
      </c>
      <c r="G4601" s="16" t="str">
        <f>VLOOKUP(Table8[[#This Row],[Mã khách hàng]],code_khach_hang[],3,0)</f>
        <v>Miền Nam đặc biệt 3</v>
      </c>
      <c r="H4601" t="str">
        <f>VLOOKUP(Table8[[#This Row],[Mã khách hàng]],'Khách hàng'!A:D,4,0)</f>
        <v>Food Đức Việt</v>
      </c>
      <c r="I4601" t="str">
        <f>VLOOKUP(Table8[[#This Row],[Mã khách hàng]],'Khách hàng'!A:E,5,0)</f>
        <v>HCVG80</v>
      </c>
    </row>
    <row r="4602" spans="1:9" x14ac:dyDescent="0.25">
      <c r="A4602" s="14" t="s">
        <v>13951</v>
      </c>
      <c r="B4602" s="15" t="s">
        <v>5</v>
      </c>
      <c r="C4602" s="16" t="s">
        <v>15077</v>
      </c>
      <c r="D4602" s="21"/>
      <c r="E4602" s="32" t="s">
        <v>15668</v>
      </c>
      <c r="F4602" s="22" t="str">
        <f>VLOOKUP(Table8[[#This Row],[Mã khách hàng]],code_khach_hang[],2,0)</f>
        <v>CHI NHÁNH ĐỒNG NAI - CÔNG TY CỔ PHẦN DỊCH VỤ THƯƠNG MẠI TỔNG HỢP WINCOMMERCE</v>
      </c>
      <c r="G4602" s="16" t="str">
        <f>VLOOKUP(Table8[[#This Row],[Mã khách hàng]],code_khach_hang[],3,0)</f>
        <v>Miền Nam đặc biệt 3</v>
      </c>
      <c r="H4602" t="str">
        <f>VLOOKUP(Table8[[#This Row],[Mã khách hàng]],'Khách hàng'!A:D,4,0)</f>
        <v>Food Đức Việt</v>
      </c>
      <c r="I4602" t="str">
        <f>VLOOKUP(Table8[[#This Row],[Mã khách hàng]],'Khách hàng'!A:E,5,0)</f>
        <v>HCVG80</v>
      </c>
    </row>
    <row r="4603" spans="1:9" x14ac:dyDescent="0.25">
      <c r="A4603" s="14" t="s">
        <v>13952</v>
      </c>
      <c r="B4603" s="15" t="s">
        <v>5</v>
      </c>
      <c r="C4603" s="16" t="s">
        <v>15078</v>
      </c>
      <c r="D4603" s="21"/>
      <c r="E4603" s="32" t="s">
        <v>15667</v>
      </c>
      <c r="F4603" s="22" t="str">
        <f>VLOOKUP(Table8[[#This Row],[Mã khách hàng]],code_khach_hang[],2,0)</f>
        <v>CÔNG TY CỔ PHẦN DỊCH VỤ THƯƠNG MẠI TỔNG HỢP WINCOMMERCE</v>
      </c>
      <c r="G4603" s="16" t="str">
        <f>VLOOKUP(Table8[[#This Row],[Mã khách hàng]],code_khach_hang[],3,0)</f>
        <v>Miền Nam đặc biệt 1</v>
      </c>
      <c r="H4603" t="str">
        <f>VLOOKUP(Table8[[#This Row],[Mã khách hàng]],'Khách hàng'!A:D,4,0)</f>
        <v>Food Đức Việt</v>
      </c>
      <c r="I4603" t="str">
        <f>VLOOKUP(Table8[[#This Row],[Mã khách hàng]],'Khách hàng'!A:E,5,0)</f>
        <v>HCVG80</v>
      </c>
    </row>
    <row r="4604" spans="1:9" x14ac:dyDescent="0.25">
      <c r="A4604" s="14" t="s">
        <v>13953</v>
      </c>
      <c r="B4604" s="15" t="s">
        <v>5</v>
      </c>
      <c r="C4604" s="16" t="s">
        <v>15079</v>
      </c>
      <c r="D4604" s="21"/>
      <c r="E4604" s="32" t="s">
        <v>15667</v>
      </c>
      <c r="F4604" s="22" t="str">
        <f>VLOOKUP(Table8[[#This Row],[Mã khách hàng]],code_khach_hang[],2,0)</f>
        <v>CÔNG TY CỔ PHẦN DỊCH VỤ THƯƠNG MẠI TỔNG HỢP WINCOMMERCE</v>
      </c>
      <c r="G4604" s="16" t="str">
        <f>VLOOKUP(Table8[[#This Row],[Mã khách hàng]],code_khach_hang[],3,0)</f>
        <v>Miền Nam đặc biệt 1</v>
      </c>
      <c r="H4604" t="str">
        <f>VLOOKUP(Table8[[#This Row],[Mã khách hàng]],'Khách hàng'!A:D,4,0)</f>
        <v>Food Đức Việt</v>
      </c>
      <c r="I4604" t="str">
        <f>VLOOKUP(Table8[[#This Row],[Mã khách hàng]],'Khách hàng'!A:E,5,0)</f>
        <v>HCVG80</v>
      </c>
    </row>
    <row r="4605" spans="1:9" x14ac:dyDescent="0.25">
      <c r="A4605" s="14" t="s">
        <v>13954</v>
      </c>
      <c r="B4605" s="15" t="s">
        <v>5</v>
      </c>
      <c r="C4605" s="16" t="s">
        <v>15080</v>
      </c>
      <c r="D4605" s="21"/>
      <c r="E4605" s="32" t="s">
        <v>15668</v>
      </c>
      <c r="F4605" s="22" t="str">
        <f>VLOOKUP(Table8[[#This Row],[Mã khách hàng]],code_khach_hang[],2,0)</f>
        <v>CHI NHÁNH ĐỒNG NAI - CÔNG TY CỔ PHẦN DỊCH VỤ THƯƠNG MẠI TỔNG HỢP WINCOMMERCE</v>
      </c>
      <c r="G4605" s="16" t="str">
        <f>VLOOKUP(Table8[[#This Row],[Mã khách hàng]],code_khach_hang[],3,0)</f>
        <v>Miền Nam đặc biệt 3</v>
      </c>
      <c r="H4605" t="str">
        <f>VLOOKUP(Table8[[#This Row],[Mã khách hàng]],'Khách hàng'!A:D,4,0)</f>
        <v>Food Đức Việt</v>
      </c>
      <c r="I4605" t="str">
        <f>VLOOKUP(Table8[[#This Row],[Mã khách hàng]],'Khách hàng'!A:E,5,0)</f>
        <v>HCVG80</v>
      </c>
    </row>
    <row r="4606" spans="1:9" x14ac:dyDescent="0.25">
      <c r="A4606" s="14" t="s">
        <v>13955</v>
      </c>
      <c r="B4606" s="15" t="s">
        <v>5</v>
      </c>
      <c r="C4606" s="16" t="s">
        <v>15081</v>
      </c>
      <c r="D4606" s="21"/>
      <c r="E4606" s="32" t="s">
        <v>15667</v>
      </c>
      <c r="F4606" s="22" t="str">
        <f>VLOOKUP(Table8[[#This Row],[Mã khách hàng]],code_khach_hang[],2,0)</f>
        <v>CÔNG TY CỔ PHẦN DỊCH VỤ THƯƠNG MẠI TỔNG HỢP WINCOMMERCE</v>
      </c>
      <c r="G4606" s="16" t="str">
        <f>VLOOKUP(Table8[[#This Row],[Mã khách hàng]],code_khach_hang[],3,0)</f>
        <v>Miền Nam đặc biệt 1</v>
      </c>
      <c r="H4606" t="str">
        <f>VLOOKUP(Table8[[#This Row],[Mã khách hàng]],'Khách hàng'!A:D,4,0)</f>
        <v>Food Đức Việt</v>
      </c>
      <c r="I4606" t="str">
        <f>VLOOKUP(Table8[[#This Row],[Mã khách hàng]],'Khách hàng'!A:E,5,0)</f>
        <v>HCVG80</v>
      </c>
    </row>
    <row r="4607" spans="1:9" x14ac:dyDescent="0.25">
      <c r="A4607" s="14" t="s">
        <v>13956</v>
      </c>
      <c r="B4607" s="15" t="s">
        <v>5</v>
      </c>
      <c r="C4607" s="16" t="s">
        <v>15082</v>
      </c>
      <c r="D4607" s="21"/>
      <c r="E4607" s="32" t="s">
        <v>15667</v>
      </c>
      <c r="F4607" s="22" t="str">
        <f>VLOOKUP(Table8[[#This Row],[Mã khách hàng]],code_khach_hang[],2,0)</f>
        <v>CÔNG TY CỔ PHẦN DỊCH VỤ THƯƠNG MẠI TỔNG HỢP WINCOMMERCE</v>
      </c>
      <c r="G4607" s="16" t="str">
        <f>VLOOKUP(Table8[[#This Row],[Mã khách hàng]],code_khach_hang[],3,0)</f>
        <v>Miền Nam đặc biệt 1</v>
      </c>
      <c r="H4607" t="str">
        <f>VLOOKUP(Table8[[#This Row],[Mã khách hàng]],'Khách hàng'!A:D,4,0)</f>
        <v>Food Đức Việt</v>
      </c>
      <c r="I4607" t="str">
        <f>VLOOKUP(Table8[[#This Row],[Mã khách hàng]],'Khách hàng'!A:E,5,0)</f>
        <v>HCVG80</v>
      </c>
    </row>
    <row r="4608" spans="1:9" x14ac:dyDescent="0.25">
      <c r="A4608" s="14" t="s">
        <v>13957</v>
      </c>
      <c r="B4608" s="15" t="s">
        <v>5</v>
      </c>
      <c r="C4608" s="16" t="s">
        <v>15083</v>
      </c>
      <c r="D4608" s="21"/>
      <c r="E4608" s="32" t="s">
        <v>15671</v>
      </c>
      <c r="F4608" s="22" t="str">
        <f>VLOOKUP(Table8[[#This Row],[Mã khách hàng]],code_khach_hang[],2,0)</f>
        <v>CHI NHÁNH BÌNH DƯƠNG - CÔNG TY CỔ PHẦN DỊCH VỤ THƯƠNG MẠI TỔNG HỢP WINCOMMERCE</v>
      </c>
      <c r="G4608" s="16" t="str">
        <f>VLOOKUP(Table8[[#This Row],[Mã khách hàng]],code_khach_hang[],3,0)</f>
        <v>Miền Nam đặc biệt 1</v>
      </c>
      <c r="H4608" t="str">
        <f>VLOOKUP(Table8[[#This Row],[Mã khách hàng]],'Khách hàng'!A:D,4,0)</f>
        <v>Food Đức Việt</v>
      </c>
      <c r="I4608" t="str">
        <f>VLOOKUP(Table8[[#This Row],[Mã khách hàng]],'Khách hàng'!A:E,5,0)</f>
        <v>HCVG80</v>
      </c>
    </row>
    <row r="4609" spans="1:9" x14ac:dyDescent="0.25">
      <c r="A4609" s="14" t="s">
        <v>13958</v>
      </c>
      <c r="B4609" s="15" t="s">
        <v>5</v>
      </c>
      <c r="C4609" s="16" t="s">
        <v>15084</v>
      </c>
      <c r="D4609" s="21"/>
      <c r="E4609" s="32" t="s">
        <v>15667</v>
      </c>
      <c r="F4609" s="22" t="str">
        <f>VLOOKUP(Table8[[#This Row],[Mã khách hàng]],code_khach_hang[],2,0)</f>
        <v>CÔNG TY CỔ PHẦN DỊCH VỤ THƯƠNG MẠI TỔNG HỢP WINCOMMERCE</v>
      </c>
      <c r="G4609" s="16" t="str">
        <f>VLOOKUP(Table8[[#This Row],[Mã khách hàng]],code_khach_hang[],3,0)</f>
        <v>Miền Nam đặc biệt 1</v>
      </c>
      <c r="H4609" t="str">
        <f>VLOOKUP(Table8[[#This Row],[Mã khách hàng]],'Khách hàng'!A:D,4,0)</f>
        <v>Food Đức Việt</v>
      </c>
      <c r="I4609" t="str">
        <f>VLOOKUP(Table8[[#This Row],[Mã khách hàng]],'Khách hàng'!A:E,5,0)</f>
        <v>HCVG80</v>
      </c>
    </row>
    <row r="4610" spans="1:9" x14ac:dyDescent="0.25">
      <c r="A4610" s="14" t="s">
        <v>13959</v>
      </c>
      <c r="B4610" s="15" t="s">
        <v>5</v>
      </c>
      <c r="C4610" s="16" t="s">
        <v>15085</v>
      </c>
      <c r="D4610" s="21"/>
      <c r="E4610" s="32" t="s">
        <v>15667</v>
      </c>
      <c r="F4610" s="22" t="str">
        <f>VLOOKUP(Table8[[#This Row],[Mã khách hàng]],code_khach_hang[],2,0)</f>
        <v>CÔNG TY CỔ PHẦN DỊCH VỤ THƯƠNG MẠI TỔNG HỢP WINCOMMERCE</v>
      </c>
      <c r="G4610" s="16" t="str">
        <f>VLOOKUP(Table8[[#This Row],[Mã khách hàng]],code_khach_hang[],3,0)</f>
        <v>Miền Nam đặc biệt 1</v>
      </c>
      <c r="H4610" t="str">
        <f>VLOOKUP(Table8[[#This Row],[Mã khách hàng]],'Khách hàng'!A:D,4,0)</f>
        <v>Food Đức Việt</v>
      </c>
      <c r="I4610" t="str">
        <f>VLOOKUP(Table8[[#This Row],[Mã khách hàng]],'Khách hàng'!A:E,5,0)</f>
        <v>HCVG80</v>
      </c>
    </row>
    <row r="4611" spans="1:9" x14ac:dyDescent="0.25">
      <c r="A4611" s="14" t="s">
        <v>13960</v>
      </c>
      <c r="B4611" s="15" t="s">
        <v>5</v>
      </c>
      <c r="C4611" s="16" t="s">
        <v>15086</v>
      </c>
      <c r="D4611" s="21"/>
      <c r="E4611" s="32" t="s">
        <v>15667</v>
      </c>
      <c r="F4611" s="22" t="str">
        <f>VLOOKUP(Table8[[#This Row],[Mã khách hàng]],code_khach_hang[],2,0)</f>
        <v>CÔNG TY CỔ PHẦN DỊCH VỤ THƯƠNG MẠI TỔNG HỢP WINCOMMERCE</v>
      </c>
      <c r="G4611" s="16" t="str">
        <f>VLOOKUP(Table8[[#This Row],[Mã khách hàng]],code_khach_hang[],3,0)</f>
        <v>Miền Nam đặc biệt 1</v>
      </c>
      <c r="H4611" t="str">
        <f>VLOOKUP(Table8[[#This Row],[Mã khách hàng]],'Khách hàng'!A:D,4,0)</f>
        <v>Food Đức Việt</v>
      </c>
      <c r="I4611" t="str">
        <f>VLOOKUP(Table8[[#This Row],[Mã khách hàng]],'Khách hàng'!A:E,5,0)</f>
        <v>HCVG80</v>
      </c>
    </row>
    <row r="4612" spans="1:9" x14ac:dyDescent="0.25">
      <c r="A4612" s="14" t="s">
        <v>13961</v>
      </c>
      <c r="B4612" s="15" t="s">
        <v>5</v>
      </c>
      <c r="C4612" s="16" t="s">
        <v>15087</v>
      </c>
      <c r="D4612" s="21"/>
      <c r="E4612" s="32" t="s">
        <v>15667</v>
      </c>
      <c r="F4612" s="22" t="str">
        <f>VLOOKUP(Table8[[#This Row],[Mã khách hàng]],code_khach_hang[],2,0)</f>
        <v>CÔNG TY CỔ PHẦN DỊCH VỤ THƯƠNG MẠI TỔNG HỢP WINCOMMERCE</v>
      </c>
      <c r="G4612" s="16" t="str">
        <f>VLOOKUP(Table8[[#This Row],[Mã khách hàng]],code_khach_hang[],3,0)</f>
        <v>Miền Nam đặc biệt 1</v>
      </c>
      <c r="H4612" t="str">
        <f>VLOOKUP(Table8[[#This Row],[Mã khách hàng]],'Khách hàng'!A:D,4,0)</f>
        <v>Food Đức Việt</v>
      </c>
      <c r="I4612" t="str">
        <f>VLOOKUP(Table8[[#This Row],[Mã khách hàng]],'Khách hàng'!A:E,5,0)</f>
        <v>HCVG80</v>
      </c>
    </row>
    <row r="4613" spans="1:9" x14ac:dyDescent="0.25">
      <c r="A4613" s="14" t="s">
        <v>13962</v>
      </c>
      <c r="B4613" s="15" t="s">
        <v>5</v>
      </c>
      <c r="C4613" s="16" t="s">
        <v>15088</v>
      </c>
      <c r="D4613" s="21"/>
      <c r="E4613" s="32" t="s">
        <v>15668</v>
      </c>
      <c r="F4613" s="22" t="str">
        <f>VLOOKUP(Table8[[#This Row],[Mã khách hàng]],code_khach_hang[],2,0)</f>
        <v>CHI NHÁNH ĐỒNG NAI - CÔNG TY CỔ PHẦN DỊCH VỤ THƯƠNG MẠI TỔNG HỢP WINCOMMERCE</v>
      </c>
      <c r="G4613" s="16" t="str">
        <f>VLOOKUP(Table8[[#This Row],[Mã khách hàng]],code_khach_hang[],3,0)</f>
        <v>Miền Nam đặc biệt 3</v>
      </c>
      <c r="H4613" t="str">
        <f>VLOOKUP(Table8[[#This Row],[Mã khách hàng]],'Khách hàng'!A:D,4,0)</f>
        <v>Food Đức Việt</v>
      </c>
      <c r="I4613" t="str">
        <f>VLOOKUP(Table8[[#This Row],[Mã khách hàng]],'Khách hàng'!A:E,5,0)</f>
        <v>HCVG80</v>
      </c>
    </row>
    <row r="4614" spans="1:9" x14ac:dyDescent="0.25">
      <c r="A4614" s="14" t="s">
        <v>13963</v>
      </c>
      <c r="B4614" s="15" t="s">
        <v>5</v>
      </c>
      <c r="C4614" s="16" t="s">
        <v>15089</v>
      </c>
      <c r="D4614" s="21"/>
      <c r="E4614" s="32" t="s">
        <v>15685</v>
      </c>
      <c r="F4614" s="22" t="str">
        <f>VLOOKUP(Table8[[#This Row],[Mã khách hàng]],code_khach_hang[],2,0)</f>
        <v>CHI NHÁNH BÀ RỊA - VŨNG TÀU - CÔNG TY CỔ PHẦN DỊCH VỤ THƯƠNG MẠI TỔNG HỢP WINCOMMERCE</v>
      </c>
      <c r="G4614" s="16" t="str">
        <f>VLOOKUP(Table8[[#This Row],[Mã khách hàng]],code_khach_hang[],3,0)</f>
        <v>Miền Nam đặc biệt 3</v>
      </c>
      <c r="H4614" t="str">
        <f>VLOOKUP(Table8[[#This Row],[Mã khách hàng]],'Khách hàng'!A:D,4,0)</f>
        <v>Food Đức Việt</v>
      </c>
      <c r="I4614" t="str">
        <f>VLOOKUP(Table8[[#This Row],[Mã khách hàng]],'Khách hàng'!A:E,5,0)</f>
        <v>HCVG80</v>
      </c>
    </row>
    <row r="4615" spans="1:9" x14ac:dyDescent="0.25">
      <c r="A4615" s="14" t="s">
        <v>13964</v>
      </c>
      <c r="B4615" s="15" t="s">
        <v>5</v>
      </c>
      <c r="C4615" s="16" t="s">
        <v>15090</v>
      </c>
      <c r="D4615" s="21"/>
      <c r="E4615" s="32" t="s">
        <v>15668</v>
      </c>
      <c r="F4615" s="22" t="str">
        <f>VLOOKUP(Table8[[#This Row],[Mã khách hàng]],code_khach_hang[],2,0)</f>
        <v>CHI NHÁNH ĐỒNG NAI - CÔNG TY CỔ PHẦN DỊCH VỤ THƯƠNG MẠI TỔNG HỢP WINCOMMERCE</v>
      </c>
      <c r="G4615" s="16" t="str">
        <f>VLOOKUP(Table8[[#This Row],[Mã khách hàng]],code_khach_hang[],3,0)</f>
        <v>Miền Nam đặc biệt 3</v>
      </c>
      <c r="H4615" t="str">
        <f>VLOOKUP(Table8[[#This Row],[Mã khách hàng]],'Khách hàng'!A:D,4,0)</f>
        <v>Food Đức Việt</v>
      </c>
      <c r="I4615" t="str">
        <f>VLOOKUP(Table8[[#This Row],[Mã khách hàng]],'Khách hàng'!A:E,5,0)</f>
        <v>HCVG80</v>
      </c>
    </row>
    <row r="4616" spans="1:9" x14ac:dyDescent="0.25">
      <c r="A4616" s="14" t="s">
        <v>13965</v>
      </c>
      <c r="B4616" s="15" t="s">
        <v>5</v>
      </c>
      <c r="C4616" s="16" t="s">
        <v>15091</v>
      </c>
      <c r="D4616" s="21"/>
      <c r="E4616" s="32" t="s">
        <v>15667</v>
      </c>
      <c r="F4616" s="22" t="str">
        <f>VLOOKUP(Table8[[#This Row],[Mã khách hàng]],code_khach_hang[],2,0)</f>
        <v>CÔNG TY CỔ PHẦN DỊCH VỤ THƯƠNG MẠI TỔNG HỢP WINCOMMERCE</v>
      </c>
      <c r="G4616" s="16" t="str">
        <f>VLOOKUP(Table8[[#This Row],[Mã khách hàng]],code_khach_hang[],3,0)</f>
        <v>Miền Nam đặc biệt 1</v>
      </c>
      <c r="H4616" t="str">
        <f>VLOOKUP(Table8[[#This Row],[Mã khách hàng]],'Khách hàng'!A:D,4,0)</f>
        <v>Food Đức Việt</v>
      </c>
      <c r="I4616" t="str">
        <f>VLOOKUP(Table8[[#This Row],[Mã khách hàng]],'Khách hàng'!A:E,5,0)</f>
        <v>HCVG80</v>
      </c>
    </row>
    <row r="4617" spans="1:9" x14ac:dyDescent="0.25">
      <c r="A4617" s="14" t="s">
        <v>13966</v>
      </c>
      <c r="B4617" s="15" t="s">
        <v>5</v>
      </c>
      <c r="C4617" s="16" t="s">
        <v>15092</v>
      </c>
      <c r="D4617" s="21"/>
      <c r="E4617" s="32" t="s">
        <v>15685</v>
      </c>
      <c r="F4617" s="22" t="str">
        <f>VLOOKUP(Table8[[#This Row],[Mã khách hàng]],code_khach_hang[],2,0)</f>
        <v>CHI NHÁNH BÀ RỊA - VŨNG TÀU - CÔNG TY CỔ PHẦN DỊCH VỤ THƯƠNG MẠI TỔNG HỢP WINCOMMERCE</v>
      </c>
      <c r="G4617" s="16" t="str">
        <f>VLOOKUP(Table8[[#This Row],[Mã khách hàng]],code_khach_hang[],3,0)</f>
        <v>Miền Nam đặc biệt 3</v>
      </c>
      <c r="H4617" t="str">
        <f>VLOOKUP(Table8[[#This Row],[Mã khách hàng]],'Khách hàng'!A:D,4,0)</f>
        <v>Food Đức Việt</v>
      </c>
      <c r="I4617" t="str">
        <f>VLOOKUP(Table8[[#This Row],[Mã khách hàng]],'Khách hàng'!A:E,5,0)</f>
        <v>HCVG80</v>
      </c>
    </row>
    <row r="4618" spans="1:9" x14ac:dyDescent="0.25">
      <c r="A4618" s="14" t="s">
        <v>13967</v>
      </c>
      <c r="B4618" s="15" t="s">
        <v>5</v>
      </c>
      <c r="C4618" s="16" t="s">
        <v>15093</v>
      </c>
      <c r="D4618" s="21"/>
      <c r="E4618" s="32" t="s">
        <v>15667</v>
      </c>
      <c r="F4618" s="22" t="str">
        <f>VLOOKUP(Table8[[#This Row],[Mã khách hàng]],code_khach_hang[],2,0)</f>
        <v>CÔNG TY CỔ PHẦN DỊCH VỤ THƯƠNG MẠI TỔNG HỢP WINCOMMERCE</v>
      </c>
      <c r="G4618" s="16" t="str">
        <f>VLOOKUP(Table8[[#This Row],[Mã khách hàng]],code_khach_hang[],3,0)</f>
        <v>Miền Nam đặc biệt 1</v>
      </c>
      <c r="H4618" t="str">
        <f>VLOOKUP(Table8[[#This Row],[Mã khách hàng]],'Khách hàng'!A:D,4,0)</f>
        <v>Food Đức Việt</v>
      </c>
      <c r="I4618" t="str">
        <f>VLOOKUP(Table8[[#This Row],[Mã khách hàng]],'Khách hàng'!A:E,5,0)</f>
        <v>HCVG80</v>
      </c>
    </row>
    <row r="4619" spans="1:9" x14ac:dyDescent="0.25">
      <c r="A4619" s="14" t="s">
        <v>13968</v>
      </c>
      <c r="B4619" s="15" t="s">
        <v>5</v>
      </c>
      <c r="C4619" s="16" t="s">
        <v>15094</v>
      </c>
      <c r="D4619" s="21"/>
      <c r="E4619" s="32" t="s">
        <v>15668</v>
      </c>
      <c r="F4619" s="22" t="str">
        <f>VLOOKUP(Table8[[#This Row],[Mã khách hàng]],code_khach_hang[],2,0)</f>
        <v>CHI NHÁNH ĐỒNG NAI - CÔNG TY CỔ PHẦN DỊCH VỤ THƯƠNG MẠI TỔNG HỢP WINCOMMERCE</v>
      </c>
      <c r="G4619" s="16" t="str">
        <f>VLOOKUP(Table8[[#This Row],[Mã khách hàng]],code_khach_hang[],3,0)</f>
        <v>Miền Nam đặc biệt 3</v>
      </c>
      <c r="H4619" t="str">
        <f>VLOOKUP(Table8[[#This Row],[Mã khách hàng]],'Khách hàng'!A:D,4,0)</f>
        <v>Food Đức Việt</v>
      </c>
      <c r="I4619" t="str">
        <f>VLOOKUP(Table8[[#This Row],[Mã khách hàng]],'Khách hàng'!A:E,5,0)</f>
        <v>HCVG80</v>
      </c>
    </row>
    <row r="4620" spans="1:9" x14ac:dyDescent="0.25">
      <c r="A4620" s="14" t="s">
        <v>13969</v>
      </c>
      <c r="B4620" s="15" t="s">
        <v>5</v>
      </c>
      <c r="C4620" s="16" t="s">
        <v>15095</v>
      </c>
      <c r="D4620" s="21"/>
      <c r="E4620" s="32" t="s">
        <v>15667</v>
      </c>
      <c r="F4620" s="22" t="str">
        <f>VLOOKUP(Table8[[#This Row],[Mã khách hàng]],code_khach_hang[],2,0)</f>
        <v>CÔNG TY CỔ PHẦN DỊCH VỤ THƯƠNG MẠI TỔNG HỢP WINCOMMERCE</v>
      </c>
      <c r="G4620" s="16" t="str">
        <f>VLOOKUP(Table8[[#This Row],[Mã khách hàng]],code_khach_hang[],3,0)</f>
        <v>Miền Nam đặc biệt 1</v>
      </c>
      <c r="H4620" t="str">
        <f>VLOOKUP(Table8[[#This Row],[Mã khách hàng]],'Khách hàng'!A:D,4,0)</f>
        <v>Food Đức Việt</v>
      </c>
      <c r="I4620" t="str">
        <f>VLOOKUP(Table8[[#This Row],[Mã khách hàng]],'Khách hàng'!A:E,5,0)</f>
        <v>HCVG80</v>
      </c>
    </row>
    <row r="4621" spans="1:9" x14ac:dyDescent="0.25">
      <c r="A4621" s="14" t="s">
        <v>13970</v>
      </c>
      <c r="B4621" s="15" t="s">
        <v>5</v>
      </c>
      <c r="C4621" s="16" t="s">
        <v>15096</v>
      </c>
      <c r="D4621" s="21"/>
      <c r="E4621" s="32" t="s">
        <v>15670</v>
      </c>
      <c r="F4621" s="22" t="str">
        <f>VLOOKUP(Table8[[#This Row],[Mã khách hàng]],code_khach_hang[],2,0)</f>
        <v>CHI NHÁNH TIỀN GIANG - CÔNG TY CỔ PHẦN DỊCH VỤ THƯƠNG MẠI TỔNG HỢP WINCOMMERCE</v>
      </c>
      <c r="G4621" s="16" t="str">
        <f>VLOOKUP(Table8[[#This Row],[Mã khách hàng]],code_khach_hang[],3,0)</f>
        <v>Miền Nam đặc biệt 1</v>
      </c>
      <c r="H4621" t="str">
        <f>VLOOKUP(Table8[[#This Row],[Mã khách hàng]],'Khách hàng'!A:D,4,0)</f>
        <v>Food Đức Việt</v>
      </c>
      <c r="I4621" t="str">
        <f>VLOOKUP(Table8[[#This Row],[Mã khách hàng]],'Khách hàng'!A:E,5,0)</f>
        <v>HCVG80</v>
      </c>
    </row>
    <row r="4622" spans="1:9" x14ac:dyDescent="0.25">
      <c r="A4622" s="14" t="s">
        <v>13971</v>
      </c>
      <c r="B4622" s="15" t="s">
        <v>5</v>
      </c>
      <c r="C4622" s="16" t="s">
        <v>15097</v>
      </c>
      <c r="D4622" s="21"/>
      <c r="E4622" s="32" t="s">
        <v>15670</v>
      </c>
      <c r="F4622" s="22" t="str">
        <f>VLOOKUP(Table8[[#This Row],[Mã khách hàng]],code_khach_hang[],2,0)</f>
        <v>CHI NHÁNH TIỀN GIANG - CÔNG TY CỔ PHẦN DỊCH VỤ THƯƠNG MẠI TỔNG HỢP WINCOMMERCE</v>
      </c>
      <c r="G4622" s="16" t="str">
        <f>VLOOKUP(Table8[[#This Row],[Mã khách hàng]],code_khach_hang[],3,0)</f>
        <v>Miền Nam đặc biệt 1</v>
      </c>
      <c r="H4622" t="str">
        <f>VLOOKUP(Table8[[#This Row],[Mã khách hàng]],'Khách hàng'!A:D,4,0)</f>
        <v>Food Đức Việt</v>
      </c>
      <c r="I4622" t="str">
        <f>VLOOKUP(Table8[[#This Row],[Mã khách hàng]],'Khách hàng'!A:E,5,0)</f>
        <v>HCVG80</v>
      </c>
    </row>
    <row r="4623" spans="1:9" x14ac:dyDescent="0.25">
      <c r="A4623" s="14" t="s">
        <v>13972</v>
      </c>
      <c r="B4623" s="15" t="s">
        <v>5</v>
      </c>
      <c r="C4623" s="16" t="s">
        <v>15098</v>
      </c>
      <c r="D4623" s="21"/>
      <c r="E4623" s="32" t="s">
        <v>15682</v>
      </c>
      <c r="F4623" s="22" t="str">
        <f>VLOOKUP(Table8[[#This Row],[Mã khách hàng]],code_khach_hang[],2,0)</f>
        <v>CHI NHÁNH CÀ MAU - CÔNG TY CỔ PHẦN DỊCH VỤ THƯƠNG MẠI TỔNG HỢP WINCOMMERCE</v>
      </c>
      <c r="G4623" s="16" t="str">
        <f>VLOOKUP(Table8[[#This Row],[Mã khách hàng]],code_khach_hang[],3,0)</f>
        <v>Miền Nam đặc biệt 1</v>
      </c>
      <c r="H4623" t="str">
        <f>VLOOKUP(Table8[[#This Row],[Mã khách hàng]],'Khách hàng'!A:D,4,0)</f>
        <v>Food Đức Việt</v>
      </c>
      <c r="I4623" t="str">
        <f>VLOOKUP(Table8[[#This Row],[Mã khách hàng]],'Khách hàng'!A:E,5,0)</f>
        <v>HC-CT120</v>
      </c>
    </row>
    <row r="4624" spans="1:9" x14ac:dyDescent="0.25">
      <c r="A4624" s="14" t="s">
        <v>13973</v>
      </c>
      <c r="B4624" s="15" t="s">
        <v>5</v>
      </c>
      <c r="C4624" s="16" t="s">
        <v>15099</v>
      </c>
      <c r="D4624" s="21"/>
      <c r="E4624" s="32" t="s">
        <v>15668</v>
      </c>
      <c r="F4624" s="22" t="str">
        <f>VLOOKUP(Table8[[#This Row],[Mã khách hàng]],code_khach_hang[],2,0)</f>
        <v>CHI NHÁNH ĐỒNG NAI - CÔNG TY CỔ PHẦN DỊCH VỤ THƯƠNG MẠI TỔNG HỢP WINCOMMERCE</v>
      </c>
      <c r="G4624" s="16" t="str">
        <f>VLOOKUP(Table8[[#This Row],[Mã khách hàng]],code_khach_hang[],3,0)</f>
        <v>Miền Nam đặc biệt 3</v>
      </c>
      <c r="H4624" t="str">
        <f>VLOOKUP(Table8[[#This Row],[Mã khách hàng]],'Khách hàng'!A:D,4,0)</f>
        <v>Food Đức Việt</v>
      </c>
      <c r="I4624" t="str">
        <f>VLOOKUP(Table8[[#This Row],[Mã khách hàng]],'Khách hàng'!A:E,5,0)</f>
        <v>HCVG80</v>
      </c>
    </row>
    <row r="4625" spans="1:9" x14ac:dyDescent="0.25">
      <c r="A4625" s="14" t="s">
        <v>13974</v>
      </c>
      <c r="B4625" s="15" t="s">
        <v>5</v>
      </c>
      <c r="C4625" s="16" t="s">
        <v>15100</v>
      </c>
      <c r="D4625" s="21"/>
      <c r="E4625" s="32" t="s">
        <v>15683</v>
      </c>
      <c r="F4625" s="22" t="str">
        <f>VLOOKUP(Table8[[#This Row],[Mã khách hàng]],code_khach_hang[],2,0)</f>
        <v>CHI NHÁNH TRÀ VINH - CÔNG TY CỔ PHẦN DỊCH VỤ THƯƠNG MẠI TỔNG HỢP WINCOMMERCE</v>
      </c>
      <c r="G4625" s="16" t="str">
        <f>VLOOKUP(Table8[[#This Row],[Mã khách hàng]],code_khach_hang[],3,0)</f>
        <v>Miền Nam đặc biệt 1</v>
      </c>
      <c r="H4625" t="str">
        <f>VLOOKUP(Table8[[#This Row],[Mã khách hàng]],'Khách hàng'!A:D,4,0)</f>
        <v>Food Đức Việt</v>
      </c>
      <c r="I4625" t="str">
        <f>VLOOKUP(Table8[[#This Row],[Mã khách hàng]],'Khách hàng'!A:E,5,0)</f>
        <v>HC-CT120</v>
      </c>
    </row>
    <row r="4626" spans="1:9" x14ac:dyDescent="0.25">
      <c r="A4626" s="14" t="s">
        <v>13975</v>
      </c>
      <c r="B4626" s="15" t="s">
        <v>5</v>
      </c>
      <c r="C4626" s="16" t="s">
        <v>15101</v>
      </c>
      <c r="D4626" s="21"/>
      <c r="E4626" s="32" t="s">
        <v>15680</v>
      </c>
      <c r="F4626" s="22" t="str">
        <f>VLOOKUP(Table8[[#This Row],[Mã khách hàng]],code_khach_hang[],2,0)</f>
        <v>CHI NHÁNH SÓC TRĂNG - CÔNG TY CỔ PHẦN DỊCH VỤ THƯƠNG MẠI TỔNG HỢP WINCOMMERCE</v>
      </c>
      <c r="G4626" s="16" t="str">
        <f>VLOOKUP(Table8[[#This Row],[Mã khách hàng]],code_khach_hang[],3,0)</f>
        <v>Miền Nam đặc biệt 1</v>
      </c>
      <c r="H4626" t="str">
        <f>VLOOKUP(Table8[[#This Row],[Mã khách hàng]],'Khách hàng'!A:D,4,0)</f>
        <v>Food Đức Việt</v>
      </c>
      <c r="I4626" t="str">
        <f>VLOOKUP(Table8[[#This Row],[Mã khách hàng]],'Khách hàng'!A:E,5,0)</f>
        <v>HC-CT120</v>
      </c>
    </row>
    <row r="4627" spans="1:9" x14ac:dyDescent="0.25">
      <c r="A4627" s="14" t="s">
        <v>13976</v>
      </c>
      <c r="B4627" s="15" t="s">
        <v>5</v>
      </c>
      <c r="C4627" s="16" t="s">
        <v>15102</v>
      </c>
      <c r="D4627" s="21"/>
      <c r="E4627" s="32" t="s">
        <v>15668</v>
      </c>
      <c r="F4627" s="22" t="str">
        <f>VLOOKUP(Table8[[#This Row],[Mã khách hàng]],code_khach_hang[],2,0)</f>
        <v>CHI NHÁNH ĐỒNG NAI - CÔNG TY CỔ PHẦN DỊCH VỤ THƯƠNG MẠI TỔNG HỢP WINCOMMERCE</v>
      </c>
      <c r="G4627" s="16" t="str">
        <f>VLOOKUP(Table8[[#This Row],[Mã khách hàng]],code_khach_hang[],3,0)</f>
        <v>Miền Nam đặc biệt 3</v>
      </c>
      <c r="H4627" t="str">
        <f>VLOOKUP(Table8[[#This Row],[Mã khách hàng]],'Khách hàng'!A:D,4,0)</f>
        <v>Food Đức Việt</v>
      </c>
      <c r="I4627" t="str">
        <f>VLOOKUP(Table8[[#This Row],[Mã khách hàng]],'Khách hàng'!A:E,5,0)</f>
        <v>HCVG80</v>
      </c>
    </row>
    <row r="4628" spans="1:9" x14ac:dyDescent="0.25">
      <c r="A4628" s="14" t="s">
        <v>13977</v>
      </c>
      <c r="B4628" s="15" t="s">
        <v>5</v>
      </c>
      <c r="C4628" s="16" t="s">
        <v>15103</v>
      </c>
      <c r="D4628" s="21"/>
      <c r="E4628" s="32" t="s">
        <v>15667</v>
      </c>
      <c r="F4628" s="22" t="str">
        <f>VLOOKUP(Table8[[#This Row],[Mã khách hàng]],code_khach_hang[],2,0)</f>
        <v>CÔNG TY CỔ PHẦN DỊCH VỤ THƯƠNG MẠI TỔNG HỢP WINCOMMERCE</v>
      </c>
      <c r="G4628" s="16" t="str">
        <f>VLOOKUP(Table8[[#This Row],[Mã khách hàng]],code_khach_hang[],3,0)</f>
        <v>Miền Nam đặc biệt 1</v>
      </c>
      <c r="H4628" t="str">
        <f>VLOOKUP(Table8[[#This Row],[Mã khách hàng]],'Khách hàng'!A:D,4,0)</f>
        <v>Food Đức Việt</v>
      </c>
      <c r="I4628" t="str">
        <f>VLOOKUP(Table8[[#This Row],[Mã khách hàng]],'Khách hàng'!A:E,5,0)</f>
        <v>HCVG80</v>
      </c>
    </row>
    <row r="4629" spans="1:9" x14ac:dyDescent="0.25">
      <c r="A4629" s="14" t="s">
        <v>13978</v>
      </c>
      <c r="B4629" s="15" t="s">
        <v>5</v>
      </c>
      <c r="C4629" s="16" t="s">
        <v>15104</v>
      </c>
      <c r="D4629" s="21"/>
      <c r="E4629" s="32" t="s">
        <v>15667</v>
      </c>
      <c r="F4629" s="22" t="str">
        <f>VLOOKUP(Table8[[#This Row],[Mã khách hàng]],code_khach_hang[],2,0)</f>
        <v>CÔNG TY CỔ PHẦN DỊCH VỤ THƯƠNG MẠI TỔNG HỢP WINCOMMERCE</v>
      </c>
      <c r="G4629" s="16" t="str">
        <f>VLOOKUP(Table8[[#This Row],[Mã khách hàng]],code_khach_hang[],3,0)</f>
        <v>Miền Nam đặc biệt 1</v>
      </c>
      <c r="H4629" t="str">
        <f>VLOOKUP(Table8[[#This Row],[Mã khách hàng]],'Khách hàng'!A:D,4,0)</f>
        <v>Food Đức Việt</v>
      </c>
      <c r="I4629" t="str">
        <f>VLOOKUP(Table8[[#This Row],[Mã khách hàng]],'Khách hàng'!A:E,5,0)</f>
        <v>HCVG80</v>
      </c>
    </row>
    <row r="4630" spans="1:9" x14ac:dyDescent="0.25">
      <c r="A4630" s="14" t="s">
        <v>13979</v>
      </c>
      <c r="B4630" s="15" t="s">
        <v>5</v>
      </c>
      <c r="C4630" s="16" t="s">
        <v>15105</v>
      </c>
      <c r="D4630" s="21"/>
      <c r="E4630" s="32" t="s">
        <v>15667</v>
      </c>
      <c r="F4630" s="22" t="str">
        <f>VLOOKUP(Table8[[#This Row],[Mã khách hàng]],code_khach_hang[],2,0)</f>
        <v>CÔNG TY CỔ PHẦN DỊCH VỤ THƯƠNG MẠI TỔNG HỢP WINCOMMERCE</v>
      </c>
      <c r="G4630" s="16" t="str">
        <f>VLOOKUP(Table8[[#This Row],[Mã khách hàng]],code_khach_hang[],3,0)</f>
        <v>Miền Nam đặc biệt 1</v>
      </c>
      <c r="H4630" t="str">
        <f>VLOOKUP(Table8[[#This Row],[Mã khách hàng]],'Khách hàng'!A:D,4,0)</f>
        <v>Food Đức Việt</v>
      </c>
      <c r="I4630" t="str">
        <f>VLOOKUP(Table8[[#This Row],[Mã khách hàng]],'Khách hàng'!A:E,5,0)</f>
        <v>HCVG80</v>
      </c>
    </row>
    <row r="4631" spans="1:9" x14ac:dyDescent="0.25">
      <c r="A4631" s="14" t="s">
        <v>13980</v>
      </c>
      <c r="B4631" s="15" t="s">
        <v>5</v>
      </c>
      <c r="C4631" s="16" t="s">
        <v>15106</v>
      </c>
      <c r="D4631" s="21"/>
      <c r="E4631" s="32" t="s">
        <v>15685</v>
      </c>
      <c r="F4631" s="22" t="str">
        <f>VLOOKUP(Table8[[#This Row],[Mã khách hàng]],code_khach_hang[],2,0)</f>
        <v>CHI NHÁNH BÀ RỊA - VŨNG TÀU - CÔNG TY CỔ PHẦN DỊCH VỤ THƯƠNG MẠI TỔNG HỢP WINCOMMERCE</v>
      </c>
      <c r="G4631" s="16" t="str">
        <f>VLOOKUP(Table8[[#This Row],[Mã khách hàng]],code_khach_hang[],3,0)</f>
        <v>Miền Nam đặc biệt 3</v>
      </c>
      <c r="H4631" t="str">
        <f>VLOOKUP(Table8[[#This Row],[Mã khách hàng]],'Khách hàng'!A:D,4,0)</f>
        <v>Food Đức Việt</v>
      </c>
      <c r="I4631" t="str">
        <f>VLOOKUP(Table8[[#This Row],[Mã khách hàng]],'Khách hàng'!A:E,5,0)</f>
        <v>HCVG80</v>
      </c>
    </row>
    <row r="4632" spans="1:9" x14ac:dyDescent="0.25">
      <c r="A4632" s="14" t="s">
        <v>13981</v>
      </c>
      <c r="B4632" s="15" t="s">
        <v>5</v>
      </c>
      <c r="C4632" s="16" t="s">
        <v>15107</v>
      </c>
      <c r="D4632" s="21"/>
      <c r="E4632" s="32" t="s">
        <v>15682</v>
      </c>
      <c r="F4632" s="22" t="str">
        <f>VLOOKUP(Table8[[#This Row],[Mã khách hàng]],code_khach_hang[],2,0)</f>
        <v>CHI NHÁNH CÀ MAU - CÔNG TY CỔ PHẦN DỊCH VỤ THƯƠNG MẠI TỔNG HỢP WINCOMMERCE</v>
      </c>
      <c r="G4632" s="16" t="str">
        <f>VLOOKUP(Table8[[#This Row],[Mã khách hàng]],code_khach_hang[],3,0)</f>
        <v>Miền Nam đặc biệt 1</v>
      </c>
      <c r="H4632" t="str">
        <f>VLOOKUP(Table8[[#This Row],[Mã khách hàng]],'Khách hàng'!A:D,4,0)</f>
        <v>Food Đức Việt</v>
      </c>
      <c r="I4632" t="str">
        <f>VLOOKUP(Table8[[#This Row],[Mã khách hàng]],'Khách hàng'!A:E,5,0)</f>
        <v>HC-CT120</v>
      </c>
    </row>
    <row r="4633" spans="1:9" x14ac:dyDescent="0.25">
      <c r="A4633" s="14" t="s">
        <v>13982</v>
      </c>
      <c r="B4633" s="15" t="s">
        <v>5</v>
      </c>
      <c r="C4633" s="16" t="s">
        <v>15108</v>
      </c>
      <c r="D4633" s="21"/>
      <c r="E4633" s="32" t="s">
        <v>15685</v>
      </c>
      <c r="F4633" s="22" t="str">
        <f>VLOOKUP(Table8[[#This Row],[Mã khách hàng]],code_khach_hang[],2,0)</f>
        <v>CHI NHÁNH BÀ RỊA - VŨNG TÀU - CÔNG TY CỔ PHẦN DỊCH VỤ THƯƠNG MẠI TỔNG HỢP WINCOMMERCE</v>
      </c>
      <c r="G4633" s="16" t="str">
        <f>VLOOKUP(Table8[[#This Row],[Mã khách hàng]],code_khach_hang[],3,0)</f>
        <v>Miền Nam đặc biệt 3</v>
      </c>
      <c r="H4633" t="str">
        <f>VLOOKUP(Table8[[#This Row],[Mã khách hàng]],'Khách hàng'!A:D,4,0)</f>
        <v>Food Đức Việt</v>
      </c>
      <c r="I4633" t="str">
        <f>VLOOKUP(Table8[[#This Row],[Mã khách hàng]],'Khách hàng'!A:E,5,0)</f>
        <v>HCVG80</v>
      </c>
    </row>
    <row r="4634" spans="1:9" x14ac:dyDescent="0.25">
      <c r="A4634" s="14" t="s">
        <v>13983</v>
      </c>
      <c r="B4634" s="15" t="s">
        <v>5</v>
      </c>
      <c r="C4634" s="16" t="s">
        <v>15109</v>
      </c>
      <c r="D4634" s="21"/>
      <c r="E4634" s="32" t="s">
        <v>15667</v>
      </c>
      <c r="F4634" s="22" t="str">
        <f>VLOOKUP(Table8[[#This Row],[Mã khách hàng]],code_khach_hang[],2,0)</f>
        <v>CÔNG TY CỔ PHẦN DỊCH VỤ THƯƠNG MẠI TỔNG HỢP WINCOMMERCE</v>
      </c>
      <c r="G4634" s="16" t="str">
        <f>VLOOKUP(Table8[[#This Row],[Mã khách hàng]],code_khach_hang[],3,0)</f>
        <v>Miền Nam đặc biệt 1</v>
      </c>
      <c r="H4634" t="str">
        <f>VLOOKUP(Table8[[#This Row],[Mã khách hàng]],'Khách hàng'!A:D,4,0)</f>
        <v>Food Đức Việt</v>
      </c>
      <c r="I4634" t="str">
        <f>VLOOKUP(Table8[[#This Row],[Mã khách hàng]],'Khách hàng'!A:E,5,0)</f>
        <v>HCVG80</v>
      </c>
    </row>
    <row r="4635" spans="1:9" x14ac:dyDescent="0.25">
      <c r="A4635" s="14" t="s">
        <v>13984</v>
      </c>
      <c r="B4635" s="15" t="s">
        <v>5</v>
      </c>
      <c r="C4635" s="16" t="s">
        <v>15110</v>
      </c>
      <c r="D4635" s="21"/>
      <c r="E4635" s="32" t="s">
        <v>15685</v>
      </c>
      <c r="F4635" s="22" t="str">
        <f>VLOOKUP(Table8[[#This Row],[Mã khách hàng]],code_khach_hang[],2,0)</f>
        <v>CHI NHÁNH BÀ RỊA - VŨNG TÀU - CÔNG TY CỔ PHẦN DỊCH VỤ THƯƠNG MẠI TỔNG HỢP WINCOMMERCE</v>
      </c>
      <c r="G4635" s="16" t="str">
        <f>VLOOKUP(Table8[[#This Row],[Mã khách hàng]],code_khach_hang[],3,0)</f>
        <v>Miền Nam đặc biệt 3</v>
      </c>
      <c r="H4635" t="str">
        <f>VLOOKUP(Table8[[#This Row],[Mã khách hàng]],'Khách hàng'!A:D,4,0)</f>
        <v>Food Đức Việt</v>
      </c>
      <c r="I4635" t="str">
        <f>VLOOKUP(Table8[[#This Row],[Mã khách hàng]],'Khách hàng'!A:E,5,0)</f>
        <v>HCVG80</v>
      </c>
    </row>
    <row r="4636" spans="1:9" x14ac:dyDescent="0.25">
      <c r="A4636" s="14" t="s">
        <v>13985</v>
      </c>
      <c r="B4636" s="15" t="s">
        <v>5</v>
      </c>
      <c r="C4636" s="16" t="s">
        <v>15111</v>
      </c>
      <c r="D4636" s="21"/>
      <c r="E4636" s="32" t="s">
        <v>15667</v>
      </c>
      <c r="F4636" s="22" t="str">
        <f>VLOOKUP(Table8[[#This Row],[Mã khách hàng]],code_khach_hang[],2,0)</f>
        <v>CÔNG TY CỔ PHẦN DỊCH VỤ THƯƠNG MẠI TỔNG HỢP WINCOMMERCE</v>
      </c>
      <c r="G4636" s="16" t="str">
        <f>VLOOKUP(Table8[[#This Row],[Mã khách hàng]],code_khach_hang[],3,0)</f>
        <v>Miền Nam đặc biệt 1</v>
      </c>
      <c r="H4636" t="str">
        <f>VLOOKUP(Table8[[#This Row],[Mã khách hàng]],'Khách hàng'!A:D,4,0)</f>
        <v>Food Đức Việt</v>
      </c>
      <c r="I4636" t="str">
        <f>VLOOKUP(Table8[[#This Row],[Mã khách hàng]],'Khách hàng'!A:E,5,0)</f>
        <v>HCVG80</v>
      </c>
    </row>
    <row r="4637" spans="1:9" x14ac:dyDescent="0.25">
      <c r="A4637" s="14" t="s">
        <v>13986</v>
      </c>
      <c r="B4637" s="15" t="s">
        <v>5</v>
      </c>
      <c r="C4637" s="16" t="s">
        <v>15112</v>
      </c>
      <c r="D4637" s="21"/>
      <c r="E4637" s="32" t="s">
        <v>15667</v>
      </c>
      <c r="F4637" s="22" t="str">
        <f>VLOOKUP(Table8[[#This Row],[Mã khách hàng]],code_khach_hang[],2,0)</f>
        <v>CÔNG TY CỔ PHẦN DỊCH VỤ THƯƠNG MẠI TỔNG HỢP WINCOMMERCE</v>
      </c>
      <c r="G4637" s="16" t="str">
        <f>VLOOKUP(Table8[[#This Row],[Mã khách hàng]],code_khach_hang[],3,0)</f>
        <v>Miền Nam đặc biệt 1</v>
      </c>
      <c r="H4637" t="str">
        <f>VLOOKUP(Table8[[#This Row],[Mã khách hàng]],'Khách hàng'!A:D,4,0)</f>
        <v>Food Đức Việt</v>
      </c>
      <c r="I4637" t="str">
        <f>VLOOKUP(Table8[[#This Row],[Mã khách hàng]],'Khách hàng'!A:E,5,0)</f>
        <v>HCVG80</v>
      </c>
    </row>
    <row r="4638" spans="1:9" x14ac:dyDescent="0.25">
      <c r="A4638" s="14" t="s">
        <v>13987</v>
      </c>
      <c r="B4638" s="15" t="s">
        <v>5</v>
      </c>
      <c r="C4638" s="16" t="s">
        <v>15113</v>
      </c>
      <c r="D4638" s="21"/>
      <c r="E4638" s="32" t="s">
        <v>15667</v>
      </c>
      <c r="F4638" s="22" t="str">
        <f>VLOOKUP(Table8[[#This Row],[Mã khách hàng]],code_khach_hang[],2,0)</f>
        <v>CÔNG TY CỔ PHẦN DỊCH VỤ THƯƠNG MẠI TỔNG HỢP WINCOMMERCE</v>
      </c>
      <c r="G4638" s="16" t="str">
        <f>VLOOKUP(Table8[[#This Row],[Mã khách hàng]],code_khach_hang[],3,0)</f>
        <v>Miền Nam đặc biệt 1</v>
      </c>
      <c r="H4638" t="str">
        <f>VLOOKUP(Table8[[#This Row],[Mã khách hàng]],'Khách hàng'!A:D,4,0)</f>
        <v>Food Đức Việt</v>
      </c>
      <c r="I4638" t="str">
        <f>VLOOKUP(Table8[[#This Row],[Mã khách hàng]],'Khách hàng'!A:E,5,0)</f>
        <v>HCVG80</v>
      </c>
    </row>
    <row r="4639" spans="1:9" x14ac:dyDescent="0.25">
      <c r="A4639" s="14" t="s">
        <v>13988</v>
      </c>
      <c r="B4639" s="15" t="s">
        <v>5</v>
      </c>
      <c r="C4639" s="16" t="s">
        <v>15114</v>
      </c>
      <c r="D4639" s="21"/>
      <c r="E4639" s="32" t="s">
        <v>15670</v>
      </c>
      <c r="F4639" s="22" t="str">
        <f>VLOOKUP(Table8[[#This Row],[Mã khách hàng]],code_khach_hang[],2,0)</f>
        <v>CHI NHÁNH TIỀN GIANG - CÔNG TY CỔ PHẦN DỊCH VỤ THƯƠNG MẠI TỔNG HỢP WINCOMMERCE</v>
      </c>
      <c r="G4639" s="16" t="str">
        <f>VLOOKUP(Table8[[#This Row],[Mã khách hàng]],code_khach_hang[],3,0)</f>
        <v>Miền Nam đặc biệt 1</v>
      </c>
      <c r="H4639" t="str">
        <f>VLOOKUP(Table8[[#This Row],[Mã khách hàng]],'Khách hàng'!A:D,4,0)</f>
        <v>Food Đức Việt</v>
      </c>
      <c r="I4639" t="str">
        <f>VLOOKUP(Table8[[#This Row],[Mã khách hàng]],'Khách hàng'!A:E,5,0)</f>
        <v>HCVG80</v>
      </c>
    </row>
    <row r="4640" spans="1:9" x14ac:dyDescent="0.25">
      <c r="A4640" s="14" t="s">
        <v>13989</v>
      </c>
      <c r="B4640" s="15" t="s">
        <v>5</v>
      </c>
      <c r="C4640" s="16" t="s">
        <v>15115</v>
      </c>
      <c r="D4640" s="21"/>
      <c r="E4640" s="32" t="s">
        <v>15668</v>
      </c>
      <c r="F4640" s="22" t="str">
        <f>VLOOKUP(Table8[[#This Row],[Mã khách hàng]],code_khach_hang[],2,0)</f>
        <v>CHI NHÁNH ĐỒNG NAI - CÔNG TY CỔ PHẦN DỊCH VỤ THƯƠNG MẠI TỔNG HỢP WINCOMMERCE</v>
      </c>
      <c r="G4640" s="16" t="str">
        <f>VLOOKUP(Table8[[#This Row],[Mã khách hàng]],code_khach_hang[],3,0)</f>
        <v>Miền Nam đặc biệt 3</v>
      </c>
      <c r="H4640" t="str">
        <f>VLOOKUP(Table8[[#This Row],[Mã khách hàng]],'Khách hàng'!A:D,4,0)</f>
        <v>Food Đức Việt</v>
      </c>
      <c r="I4640" t="str">
        <f>VLOOKUP(Table8[[#This Row],[Mã khách hàng]],'Khách hàng'!A:E,5,0)</f>
        <v>HCVG80</v>
      </c>
    </row>
    <row r="4641" spans="1:9" x14ac:dyDescent="0.25">
      <c r="A4641" s="14" t="s">
        <v>13990</v>
      </c>
      <c r="B4641" s="15" t="s">
        <v>5</v>
      </c>
      <c r="C4641" s="16" t="s">
        <v>15116</v>
      </c>
      <c r="D4641" s="21"/>
      <c r="E4641" s="32" t="s">
        <v>15685</v>
      </c>
      <c r="F4641" s="22" t="str">
        <f>VLOOKUP(Table8[[#This Row],[Mã khách hàng]],code_khach_hang[],2,0)</f>
        <v>CHI NHÁNH BÀ RỊA - VŨNG TÀU - CÔNG TY CỔ PHẦN DỊCH VỤ THƯƠNG MẠI TỔNG HỢP WINCOMMERCE</v>
      </c>
      <c r="G4641" s="16" t="str">
        <f>VLOOKUP(Table8[[#This Row],[Mã khách hàng]],code_khach_hang[],3,0)</f>
        <v>Miền Nam đặc biệt 3</v>
      </c>
      <c r="H4641" t="str">
        <f>VLOOKUP(Table8[[#This Row],[Mã khách hàng]],'Khách hàng'!A:D,4,0)</f>
        <v>Food Đức Việt</v>
      </c>
      <c r="I4641" t="str">
        <f>VLOOKUP(Table8[[#This Row],[Mã khách hàng]],'Khách hàng'!A:E,5,0)</f>
        <v>HCVG80</v>
      </c>
    </row>
    <row r="4642" spans="1:9" x14ac:dyDescent="0.25">
      <c r="A4642" s="14" t="s">
        <v>13991</v>
      </c>
      <c r="B4642" s="15" t="s">
        <v>5</v>
      </c>
      <c r="C4642" s="16" t="s">
        <v>15117</v>
      </c>
      <c r="D4642" s="21"/>
      <c r="E4642" s="32" t="s">
        <v>15674</v>
      </c>
      <c r="F4642" s="22" t="str">
        <f>VLOOKUP(Table8[[#This Row],[Mã khách hàng]],code_khach_hang[],2,0)</f>
        <v>CHI NHÁNH LONG AN - CÔNG TY CỔ PHẦN DỊCH VỤ THƯƠNG MẠI TỔNG HỢP WINCOMMERCE</v>
      </c>
      <c r="G4642" s="16" t="str">
        <f>VLOOKUP(Table8[[#This Row],[Mã khách hàng]],code_khach_hang[],3,0)</f>
        <v>Miền Nam đặc biệt 2</v>
      </c>
      <c r="H4642" t="str">
        <f>VLOOKUP(Table8[[#This Row],[Mã khách hàng]],'Khách hàng'!A:D,4,0)</f>
        <v>Food Đức Việt</v>
      </c>
      <c r="I4642" t="str">
        <f>VLOOKUP(Table8[[#This Row],[Mã khách hàng]],'Khách hàng'!A:E,5,0)</f>
        <v>HCVG80</v>
      </c>
    </row>
    <row r="4643" spans="1:9" x14ac:dyDescent="0.25">
      <c r="A4643" s="14" t="s">
        <v>13992</v>
      </c>
      <c r="B4643" s="15" t="s">
        <v>5</v>
      </c>
      <c r="C4643" s="16" t="s">
        <v>15118</v>
      </c>
      <c r="D4643" s="21"/>
      <c r="E4643" s="32" t="s">
        <v>15668</v>
      </c>
      <c r="F4643" s="22" t="str">
        <f>VLOOKUP(Table8[[#This Row],[Mã khách hàng]],code_khach_hang[],2,0)</f>
        <v>CHI NHÁNH ĐỒNG NAI - CÔNG TY CỔ PHẦN DỊCH VỤ THƯƠNG MẠI TỔNG HỢP WINCOMMERCE</v>
      </c>
      <c r="G4643" s="16" t="str">
        <f>VLOOKUP(Table8[[#This Row],[Mã khách hàng]],code_khach_hang[],3,0)</f>
        <v>Miền Nam đặc biệt 3</v>
      </c>
      <c r="H4643" t="str">
        <f>VLOOKUP(Table8[[#This Row],[Mã khách hàng]],'Khách hàng'!A:D,4,0)</f>
        <v>Food Đức Việt</v>
      </c>
      <c r="I4643" t="str">
        <f>VLOOKUP(Table8[[#This Row],[Mã khách hàng]],'Khách hàng'!A:E,5,0)</f>
        <v>HCVG80</v>
      </c>
    </row>
    <row r="4644" spans="1:9" x14ac:dyDescent="0.25">
      <c r="A4644" s="14" t="s">
        <v>13993</v>
      </c>
      <c r="B4644" s="15" t="s">
        <v>5</v>
      </c>
      <c r="C4644" s="16" t="s">
        <v>15119</v>
      </c>
      <c r="D4644" s="21"/>
      <c r="E4644" s="32" t="s">
        <v>15667</v>
      </c>
      <c r="F4644" s="22" t="str">
        <f>VLOOKUP(Table8[[#This Row],[Mã khách hàng]],code_khach_hang[],2,0)</f>
        <v>CÔNG TY CỔ PHẦN DỊCH VỤ THƯƠNG MẠI TỔNG HỢP WINCOMMERCE</v>
      </c>
      <c r="G4644" s="16" t="str">
        <f>VLOOKUP(Table8[[#This Row],[Mã khách hàng]],code_khach_hang[],3,0)</f>
        <v>Miền Nam đặc biệt 1</v>
      </c>
      <c r="H4644" t="str">
        <f>VLOOKUP(Table8[[#This Row],[Mã khách hàng]],'Khách hàng'!A:D,4,0)</f>
        <v>Food Đức Việt</v>
      </c>
      <c r="I4644" t="str">
        <f>VLOOKUP(Table8[[#This Row],[Mã khách hàng]],'Khách hàng'!A:E,5,0)</f>
        <v>HCVG80</v>
      </c>
    </row>
    <row r="4645" spans="1:9" x14ac:dyDescent="0.25">
      <c r="A4645" s="14" t="s">
        <v>13994</v>
      </c>
      <c r="B4645" s="15" t="s">
        <v>5</v>
      </c>
      <c r="C4645" s="16" t="s">
        <v>15120</v>
      </c>
      <c r="D4645" s="21"/>
      <c r="E4645" s="32" t="s">
        <v>15672</v>
      </c>
      <c r="F4645" s="22" t="str">
        <f>VLOOKUP(Table8[[#This Row],[Mã khách hàng]],code_khach_hang[],2,0)</f>
        <v>CHI NHÁNH AN GIANG - CÔNG TY CỔ PHẦN DỊCH VỤ THƯƠNG MẠI TỔNG HỢP WINCOMMERCE</v>
      </c>
      <c r="G4645" s="16" t="str">
        <f>VLOOKUP(Table8[[#This Row],[Mã khách hàng]],code_khach_hang[],3,0)</f>
        <v>Miền Nam đặc biệt 2</v>
      </c>
      <c r="H4645" t="str">
        <f>VLOOKUP(Table8[[#This Row],[Mã khách hàng]],'Khách hàng'!A:D,4,0)</f>
        <v>Food Đức Việt</v>
      </c>
      <c r="I4645" t="str">
        <f>VLOOKUP(Table8[[#This Row],[Mã khách hàng]],'Khách hàng'!A:E,5,0)</f>
        <v>HC-CT120</v>
      </c>
    </row>
    <row r="4646" spans="1:9" x14ac:dyDescent="0.25">
      <c r="A4646" s="14" t="s">
        <v>13995</v>
      </c>
      <c r="B4646" s="15" t="s">
        <v>5</v>
      </c>
      <c r="C4646" s="16" t="s">
        <v>15121</v>
      </c>
      <c r="D4646" s="21"/>
      <c r="E4646" s="32" t="s">
        <v>15674</v>
      </c>
      <c r="F4646" s="22" t="str">
        <f>VLOOKUP(Table8[[#This Row],[Mã khách hàng]],code_khach_hang[],2,0)</f>
        <v>CHI NHÁNH LONG AN - CÔNG TY CỔ PHẦN DỊCH VỤ THƯƠNG MẠI TỔNG HỢP WINCOMMERCE</v>
      </c>
      <c r="G4646" s="16" t="str">
        <f>VLOOKUP(Table8[[#This Row],[Mã khách hàng]],code_khach_hang[],3,0)</f>
        <v>Miền Nam đặc biệt 2</v>
      </c>
      <c r="H4646" t="str">
        <f>VLOOKUP(Table8[[#This Row],[Mã khách hàng]],'Khách hàng'!A:D,4,0)</f>
        <v>Food Đức Việt</v>
      </c>
      <c r="I4646" t="str">
        <f>VLOOKUP(Table8[[#This Row],[Mã khách hàng]],'Khách hàng'!A:E,5,0)</f>
        <v>HCVG80</v>
      </c>
    </row>
    <row r="4647" spans="1:9" x14ac:dyDescent="0.25">
      <c r="A4647" s="14" t="s">
        <v>13996</v>
      </c>
      <c r="B4647" s="15" t="s">
        <v>5</v>
      </c>
      <c r="C4647" s="16" t="s">
        <v>15122</v>
      </c>
      <c r="D4647" s="21"/>
      <c r="E4647" s="32" t="s">
        <v>15672</v>
      </c>
      <c r="F4647" s="22" t="str">
        <f>VLOOKUP(Table8[[#This Row],[Mã khách hàng]],code_khach_hang[],2,0)</f>
        <v>CHI NHÁNH AN GIANG - CÔNG TY CỔ PHẦN DỊCH VỤ THƯƠNG MẠI TỔNG HỢP WINCOMMERCE</v>
      </c>
      <c r="G4647" s="16" t="str">
        <f>VLOOKUP(Table8[[#This Row],[Mã khách hàng]],code_khach_hang[],3,0)</f>
        <v>Miền Nam đặc biệt 2</v>
      </c>
      <c r="H4647" t="str">
        <f>VLOOKUP(Table8[[#This Row],[Mã khách hàng]],'Khách hàng'!A:D,4,0)</f>
        <v>Food Đức Việt</v>
      </c>
      <c r="I4647" t="str">
        <f>VLOOKUP(Table8[[#This Row],[Mã khách hàng]],'Khách hàng'!A:E,5,0)</f>
        <v>HC-CT120</v>
      </c>
    </row>
    <row r="4648" spans="1:9" x14ac:dyDescent="0.25">
      <c r="A4648" s="14" t="s">
        <v>13997</v>
      </c>
      <c r="B4648" s="15" t="s">
        <v>5</v>
      </c>
      <c r="C4648" s="16" t="s">
        <v>15123</v>
      </c>
      <c r="D4648" s="21"/>
      <c r="E4648" s="32" t="s">
        <v>15671</v>
      </c>
      <c r="F4648" s="22" t="str">
        <f>VLOOKUP(Table8[[#This Row],[Mã khách hàng]],code_khach_hang[],2,0)</f>
        <v>CHI NHÁNH BÌNH DƯƠNG - CÔNG TY CỔ PHẦN DỊCH VỤ THƯƠNG MẠI TỔNG HỢP WINCOMMERCE</v>
      </c>
      <c r="G4648" s="16" t="str">
        <f>VLOOKUP(Table8[[#This Row],[Mã khách hàng]],code_khach_hang[],3,0)</f>
        <v>Miền Nam đặc biệt 1</v>
      </c>
      <c r="H4648" t="str">
        <f>VLOOKUP(Table8[[#This Row],[Mã khách hàng]],'Khách hàng'!A:D,4,0)</f>
        <v>Food Đức Việt</v>
      </c>
      <c r="I4648" t="str">
        <f>VLOOKUP(Table8[[#This Row],[Mã khách hàng]],'Khách hàng'!A:E,5,0)</f>
        <v>HCVG80</v>
      </c>
    </row>
    <row r="4649" spans="1:9" x14ac:dyDescent="0.25">
      <c r="A4649" s="14" t="s">
        <v>13998</v>
      </c>
      <c r="B4649" s="15" t="s">
        <v>5</v>
      </c>
      <c r="C4649" s="16" t="s">
        <v>15124</v>
      </c>
      <c r="D4649" s="21"/>
      <c r="E4649" s="32" t="s">
        <v>15667</v>
      </c>
      <c r="F4649" s="22" t="str">
        <f>VLOOKUP(Table8[[#This Row],[Mã khách hàng]],code_khach_hang[],2,0)</f>
        <v>CÔNG TY CỔ PHẦN DỊCH VỤ THƯƠNG MẠI TỔNG HỢP WINCOMMERCE</v>
      </c>
      <c r="G4649" s="16" t="str">
        <f>VLOOKUP(Table8[[#This Row],[Mã khách hàng]],code_khach_hang[],3,0)</f>
        <v>Miền Nam đặc biệt 1</v>
      </c>
      <c r="H4649" t="str">
        <f>VLOOKUP(Table8[[#This Row],[Mã khách hàng]],'Khách hàng'!A:D,4,0)</f>
        <v>Food Đức Việt</v>
      </c>
      <c r="I4649" t="str">
        <f>VLOOKUP(Table8[[#This Row],[Mã khách hàng]],'Khách hàng'!A:E,5,0)</f>
        <v>HCVG80</v>
      </c>
    </row>
    <row r="4650" spans="1:9" x14ac:dyDescent="0.25">
      <c r="A4650" s="14" t="s">
        <v>13999</v>
      </c>
      <c r="B4650" s="15" t="s">
        <v>5</v>
      </c>
      <c r="C4650" s="16" t="s">
        <v>15125</v>
      </c>
      <c r="D4650" s="21"/>
      <c r="E4650" s="32" t="s">
        <v>15668</v>
      </c>
      <c r="F4650" s="22" t="str">
        <f>VLOOKUP(Table8[[#This Row],[Mã khách hàng]],code_khach_hang[],2,0)</f>
        <v>CHI NHÁNH ĐỒNG NAI - CÔNG TY CỔ PHẦN DỊCH VỤ THƯƠNG MẠI TỔNG HỢP WINCOMMERCE</v>
      </c>
      <c r="G4650" s="16" t="str">
        <f>VLOOKUP(Table8[[#This Row],[Mã khách hàng]],code_khach_hang[],3,0)</f>
        <v>Miền Nam đặc biệt 3</v>
      </c>
      <c r="H4650" t="str">
        <f>VLOOKUP(Table8[[#This Row],[Mã khách hàng]],'Khách hàng'!A:D,4,0)</f>
        <v>Food Đức Việt</v>
      </c>
      <c r="I4650" t="str">
        <f>VLOOKUP(Table8[[#This Row],[Mã khách hàng]],'Khách hàng'!A:E,5,0)</f>
        <v>HCVG80</v>
      </c>
    </row>
    <row r="4651" spans="1:9" x14ac:dyDescent="0.25">
      <c r="A4651" s="14" t="s">
        <v>14000</v>
      </c>
      <c r="B4651" s="15" t="s">
        <v>5</v>
      </c>
      <c r="C4651" s="16" t="s">
        <v>15126</v>
      </c>
      <c r="D4651" s="21"/>
      <c r="E4651" s="32" t="s">
        <v>15672</v>
      </c>
      <c r="F4651" s="22" t="str">
        <f>VLOOKUP(Table8[[#This Row],[Mã khách hàng]],code_khach_hang[],2,0)</f>
        <v>CHI NHÁNH AN GIANG - CÔNG TY CỔ PHẦN DỊCH VỤ THƯƠNG MẠI TỔNG HỢP WINCOMMERCE</v>
      </c>
      <c r="G4651" s="16" t="str">
        <f>VLOOKUP(Table8[[#This Row],[Mã khách hàng]],code_khach_hang[],3,0)</f>
        <v>Miền Nam đặc biệt 2</v>
      </c>
      <c r="H4651" t="str">
        <f>VLOOKUP(Table8[[#This Row],[Mã khách hàng]],'Khách hàng'!A:D,4,0)</f>
        <v>Food Đức Việt</v>
      </c>
      <c r="I4651" t="str">
        <f>VLOOKUP(Table8[[#This Row],[Mã khách hàng]],'Khách hàng'!A:E,5,0)</f>
        <v>HC-CT120</v>
      </c>
    </row>
    <row r="4652" spans="1:9" x14ac:dyDescent="0.25">
      <c r="A4652" s="14" t="s">
        <v>14001</v>
      </c>
      <c r="B4652" s="15" t="s">
        <v>5</v>
      </c>
      <c r="C4652" s="16" t="s">
        <v>15127</v>
      </c>
      <c r="D4652" s="21"/>
      <c r="E4652" s="32" t="s">
        <v>15671</v>
      </c>
      <c r="F4652" s="22" t="str">
        <f>VLOOKUP(Table8[[#This Row],[Mã khách hàng]],code_khach_hang[],2,0)</f>
        <v>CHI NHÁNH BÌNH DƯƠNG - CÔNG TY CỔ PHẦN DỊCH VỤ THƯƠNG MẠI TỔNG HỢP WINCOMMERCE</v>
      </c>
      <c r="G4652" s="16" t="str">
        <f>VLOOKUP(Table8[[#This Row],[Mã khách hàng]],code_khach_hang[],3,0)</f>
        <v>Miền Nam đặc biệt 1</v>
      </c>
      <c r="H4652" t="str">
        <f>VLOOKUP(Table8[[#This Row],[Mã khách hàng]],'Khách hàng'!A:D,4,0)</f>
        <v>Food Đức Việt</v>
      </c>
      <c r="I4652" t="str">
        <f>VLOOKUP(Table8[[#This Row],[Mã khách hàng]],'Khách hàng'!A:E,5,0)</f>
        <v>HCVG80</v>
      </c>
    </row>
    <row r="4653" spans="1:9" x14ac:dyDescent="0.25">
      <c r="A4653" s="14" t="s">
        <v>14002</v>
      </c>
      <c r="B4653" s="15" t="s">
        <v>5</v>
      </c>
      <c r="C4653" s="16" t="s">
        <v>15128</v>
      </c>
      <c r="D4653" s="21"/>
      <c r="E4653" s="32" t="s">
        <v>15670</v>
      </c>
      <c r="F4653" s="22" t="str">
        <f>VLOOKUP(Table8[[#This Row],[Mã khách hàng]],code_khach_hang[],2,0)</f>
        <v>CHI NHÁNH TIỀN GIANG - CÔNG TY CỔ PHẦN DỊCH VỤ THƯƠNG MẠI TỔNG HỢP WINCOMMERCE</v>
      </c>
      <c r="G4653" s="16" t="str">
        <f>VLOOKUP(Table8[[#This Row],[Mã khách hàng]],code_khach_hang[],3,0)</f>
        <v>Miền Nam đặc biệt 1</v>
      </c>
      <c r="H4653" t="str">
        <f>VLOOKUP(Table8[[#This Row],[Mã khách hàng]],'Khách hàng'!A:D,4,0)</f>
        <v>Food Đức Việt</v>
      </c>
      <c r="I4653" t="str">
        <f>VLOOKUP(Table8[[#This Row],[Mã khách hàng]],'Khách hàng'!A:E,5,0)</f>
        <v>HCVG80</v>
      </c>
    </row>
    <row r="4654" spans="1:9" x14ac:dyDescent="0.25">
      <c r="A4654" s="14" t="s">
        <v>14003</v>
      </c>
      <c r="B4654" s="15" t="s">
        <v>5</v>
      </c>
      <c r="C4654" s="16" t="s">
        <v>15129</v>
      </c>
      <c r="D4654" s="21"/>
      <c r="E4654" s="32" t="s">
        <v>15671</v>
      </c>
      <c r="F4654" s="22" t="str">
        <f>VLOOKUP(Table8[[#This Row],[Mã khách hàng]],code_khach_hang[],2,0)</f>
        <v>CHI NHÁNH BÌNH DƯƠNG - CÔNG TY CỔ PHẦN DỊCH VỤ THƯƠNG MẠI TỔNG HỢP WINCOMMERCE</v>
      </c>
      <c r="G4654" s="16" t="str">
        <f>VLOOKUP(Table8[[#This Row],[Mã khách hàng]],code_khach_hang[],3,0)</f>
        <v>Miền Nam đặc biệt 1</v>
      </c>
      <c r="H4654" t="str">
        <f>VLOOKUP(Table8[[#This Row],[Mã khách hàng]],'Khách hàng'!A:D,4,0)</f>
        <v>Food Đức Việt</v>
      </c>
      <c r="I4654" t="str">
        <f>VLOOKUP(Table8[[#This Row],[Mã khách hàng]],'Khách hàng'!A:E,5,0)</f>
        <v>HCVG80</v>
      </c>
    </row>
    <row r="4655" spans="1:9" x14ac:dyDescent="0.25">
      <c r="A4655" s="14" t="s">
        <v>14004</v>
      </c>
      <c r="B4655" s="15" t="s">
        <v>5</v>
      </c>
      <c r="C4655" s="16" t="s">
        <v>15130</v>
      </c>
      <c r="D4655" s="21"/>
      <c r="E4655" s="32" t="s">
        <v>15671</v>
      </c>
      <c r="F4655" s="22" t="str">
        <f>VLOOKUP(Table8[[#This Row],[Mã khách hàng]],code_khach_hang[],2,0)</f>
        <v>CHI NHÁNH BÌNH DƯƠNG - CÔNG TY CỔ PHẦN DỊCH VỤ THƯƠNG MẠI TỔNG HỢP WINCOMMERCE</v>
      </c>
      <c r="G4655" s="16" t="str">
        <f>VLOOKUP(Table8[[#This Row],[Mã khách hàng]],code_khach_hang[],3,0)</f>
        <v>Miền Nam đặc biệt 1</v>
      </c>
      <c r="H4655" t="str">
        <f>VLOOKUP(Table8[[#This Row],[Mã khách hàng]],'Khách hàng'!A:D,4,0)</f>
        <v>Food Đức Việt</v>
      </c>
      <c r="I4655" t="str">
        <f>VLOOKUP(Table8[[#This Row],[Mã khách hàng]],'Khách hàng'!A:E,5,0)</f>
        <v>HCVG80</v>
      </c>
    </row>
    <row r="4656" spans="1:9" x14ac:dyDescent="0.25">
      <c r="A4656" s="14" t="s">
        <v>14005</v>
      </c>
      <c r="B4656" s="15" t="s">
        <v>5</v>
      </c>
      <c r="C4656" s="16" t="s">
        <v>15131</v>
      </c>
      <c r="D4656" s="21"/>
      <c r="E4656" s="32" t="s">
        <v>15685</v>
      </c>
      <c r="F4656" s="22" t="str">
        <f>VLOOKUP(Table8[[#This Row],[Mã khách hàng]],code_khach_hang[],2,0)</f>
        <v>CHI NHÁNH BÀ RỊA - VŨNG TÀU - CÔNG TY CỔ PHẦN DỊCH VỤ THƯƠNG MẠI TỔNG HỢP WINCOMMERCE</v>
      </c>
      <c r="G4656" s="16" t="str">
        <f>VLOOKUP(Table8[[#This Row],[Mã khách hàng]],code_khach_hang[],3,0)</f>
        <v>Miền Nam đặc biệt 3</v>
      </c>
      <c r="H4656" t="str">
        <f>VLOOKUP(Table8[[#This Row],[Mã khách hàng]],'Khách hàng'!A:D,4,0)</f>
        <v>Food Đức Việt</v>
      </c>
      <c r="I4656" t="str">
        <f>VLOOKUP(Table8[[#This Row],[Mã khách hàng]],'Khách hàng'!A:E,5,0)</f>
        <v>HCVG80</v>
      </c>
    </row>
    <row r="4657" spans="1:9" x14ac:dyDescent="0.25">
      <c r="A4657" s="14" t="s">
        <v>14006</v>
      </c>
      <c r="B4657" s="15" t="s">
        <v>5</v>
      </c>
      <c r="C4657" s="16" t="s">
        <v>15132</v>
      </c>
      <c r="D4657" s="21"/>
      <c r="E4657" s="32" t="s">
        <v>15671</v>
      </c>
      <c r="F4657" s="22" t="str">
        <f>VLOOKUP(Table8[[#This Row],[Mã khách hàng]],code_khach_hang[],2,0)</f>
        <v>CHI NHÁNH BÌNH DƯƠNG - CÔNG TY CỔ PHẦN DỊCH VỤ THƯƠNG MẠI TỔNG HỢP WINCOMMERCE</v>
      </c>
      <c r="G4657" s="16" t="str">
        <f>VLOOKUP(Table8[[#This Row],[Mã khách hàng]],code_khach_hang[],3,0)</f>
        <v>Miền Nam đặc biệt 1</v>
      </c>
      <c r="H4657" t="str">
        <f>VLOOKUP(Table8[[#This Row],[Mã khách hàng]],'Khách hàng'!A:D,4,0)</f>
        <v>Food Đức Việt</v>
      </c>
      <c r="I4657" t="str">
        <f>VLOOKUP(Table8[[#This Row],[Mã khách hàng]],'Khách hàng'!A:E,5,0)</f>
        <v>HCVG80</v>
      </c>
    </row>
    <row r="4658" spans="1:9" x14ac:dyDescent="0.25">
      <c r="A4658" s="14" t="s">
        <v>14007</v>
      </c>
      <c r="B4658" s="15" t="s">
        <v>5</v>
      </c>
      <c r="C4658" s="16" t="s">
        <v>15133</v>
      </c>
      <c r="D4658" s="21"/>
      <c r="E4658" s="32" t="s">
        <v>15667</v>
      </c>
      <c r="F4658" s="22" t="str">
        <f>VLOOKUP(Table8[[#This Row],[Mã khách hàng]],code_khach_hang[],2,0)</f>
        <v>CÔNG TY CỔ PHẦN DỊCH VỤ THƯƠNG MẠI TỔNG HỢP WINCOMMERCE</v>
      </c>
      <c r="G4658" s="16" t="str">
        <f>VLOOKUP(Table8[[#This Row],[Mã khách hàng]],code_khach_hang[],3,0)</f>
        <v>Miền Nam đặc biệt 1</v>
      </c>
      <c r="H4658" t="str">
        <f>VLOOKUP(Table8[[#This Row],[Mã khách hàng]],'Khách hàng'!A:D,4,0)</f>
        <v>Food Đức Việt</v>
      </c>
      <c r="I4658" t="str">
        <f>VLOOKUP(Table8[[#This Row],[Mã khách hàng]],'Khách hàng'!A:E,5,0)</f>
        <v>HCVG80</v>
      </c>
    </row>
    <row r="4659" spans="1:9" x14ac:dyDescent="0.25">
      <c r="A4659" s="14" t="s">
        <v>14008</v>
      </c>
      <c r="B4659" s="15" t="s">
        <v>5</v>
      </c>
      <c r="C4659" s="16" t="s">
        <v>15134</v>
      </c>
      <c r="D4659" s="21"/>
      <c r="E4659" s="32" t="s">
        <v>15668</v>
      </c>
      <c r="F4659" s="22" t="str">
        <f>VLOOKUP(Table8[[#This Row],[Mã khách hàng]],code_khach_hang[],2,0)</f>
        <v>CHI NHÁNH ĐỒNG NAI - CÔNG TY CỔ PHẦN DỊCH VỤ THƯƠNG MẠI TỔNG HỢP WINCOMMERCE</v>
      </c>
      <c r="G4659" s="16" t="str">
        <f>VLOOKUP(Table8[[#This Row],[Mã khách hàng]],code_khach_hang[],3,0)</f>
        <v>Miền Nam đặc biệt 3</v>
      </c>
      <c r="H4659" t="str">
        <f>VLOOKUP(Table8[[#This Row],[Mã khách hàng]],'Khách hàng'!A:D,4,0)</f>
        <v>Food Đức Việt</v>
      </c>
      <c r="I4659" t="str">
        <f>VLOOKUP(Table8[[#This Row],[Mã khách hàng]],'Khách hàng'!A:E,5,0)</f>
        <v>HCVG80</v>
      </c>
    </row>
    <row r="4660" spans="1:9" x14ac:dyDescent="0.25">
      <c r="A4660" s="14" t="s">
        <v>14009</v>
      </c>
      <c r="B4660" s="15" t="s">
        <v>5</v>
      </c>
      <c r="C4660" s="16" t="s">
        <v>15135</v>
      </c>
      <c r="D4660" s="21"/>
      <c r="E4660" s="32" t="s">
        <v>15671</v>
      </c>
      <c r="F4660" s="22" t="str">
        <f>VLOOKUP(Table8[[#This Row],[Mã khách hàng]],code_khach_hang[],2,0)</f>
        <v>CHI NHÁNH BÌNH DƯƠNG - CÔNG TY CỔ PHẦN DỊCH VỤ THƯƠNG MẠI TỔNG HỢP WINCOMMERCE</v>
      </c>
      <c r="G4660" s="16" t="str">
        <f>VLOOKUP(Table8[[#This Row],[Mã khách hàng]],code_khach_hang[],3,0)</f>
        <v>Miền Nam đặc biệt 1</v>
      </c>
      <c r="H4660" t="str">
        <f>VLOOKUP(Table8[[#This Row],[Mã khách hàng]],'Khách hàng'!A:D,4,0)</f>
        <v>Food Đức Việt</v>
      </c>
      <c r="I4660" t="str">
        <f>VLOOKUP(Table8[[#This Row],[Mã khách hàng]],'Khách hàng'!A:E,5,0)</f>
        <v>HCVG80</v>
      </c>
    </row>
    <row r="4661" spans="1:9" x14ac:dyDescent="0.25">
      <c r="A4661" s="14" t="s">
        <v>14010</v>
      </c>
      <c r="B4661" s="15" t="s">
        <v>5</v>
      </c>
      <c r="C4661" s="16" t="s">
        <v>15136</v>
      </c>
      <c r="D4661" s="21"/>
      <c r="E4661" s="32" t="s">
        <v>15667</v>
      </c>
      <c r="F4661" s="22" t="str">
        <f>VLOOKUP(Table8[[#This Row],[Mã khách hàng]],code_khach_hang[],2,0)</f>
        <v>CÔNG TY CỔ PHẦN DỊCH VỤ THƯƠNG MẠI TỔNG HỢP WINCOMMERCE</v>
      </c>
      <c r="G4661" s="16" t="str">
        <f>VLOOKUP(Table8[[#This Row],[Mã khách hàng]],code_khach_hang[],3,0)</f>
        <v>Miền Nam đặc biệt 1</v>
      </c>
      <c r="H4661" t="str">
        <f>VLOOKUP(Table8[[#This Row],[Mã khách hàng]],'Khách hàng'!A:D,4,0)</f>
        <v>Food Đức Việt</v>
      </c>
      <c r="I4661" t="str">
        <f>VLOOKUP(Table8[[#This Row],[Mã khách hàng]],'Khách hàng'!A:E,5,0)</f>
        <v>HCVG80</v>
      </c>
    </row>
    <row r="4662" spans="1:9" x14ac:dyDescent="0.25">
      <c r="A4662" s="14" t="s">
        <v>14011</v>
      </c>
      <c r="B4662" s="15" t="s">
        <v>5</v>
      </c>
      <c r="C4662" s="16" t="s">
        <v>15137</v>
      </c>
      <c r="D4662" s="21"/>
      <c r="E4662" s="32" t="s">
        <v>15672</v>
      </c>
      <c r="F4662" s="22" t="str">
        <f>VLOOKUP(Table8[[#This Row],[Mã khách hàng]],code_khach_hang[],2,0)</f>
        <v>CHI NHÁNH AN GIANG - CÔNG TY CỔ PHẦN DỊCH VỤ THƯƠNG MẠI TỔNG HỢP WINCOMMERCE</v>
      </c>
      <c r="G4662" s="16" t="str">
        <f>VLOOKUP(Table8[[#This Row],[Mã khách hàng]],code_khach_hang[],3,0)</f>
        <v>Miền Nam đặc biệt 2</v>
      </c>
      <c r="H4662" t="str">
        <f>VLOOKUP(Table8[[#This Row],[Mã khách hàng]],'Khách hàng'!A:D,4,0)</f>
        <v>Food Đức Việt</v>
      </c>
      <c r="I4662" t="str">
        <f>VLOOKUP(Table8[[#This Row],[Mã khách hàng]],'Khách hàng'!A:E,5,0)</f>
        <v>HC-CT120</v>
      </c>
    </row>
    <row r="4663" spans="1:9" x14ac:dyDescent="0.25">
      <c r="A4663" s="14" t="s">
        <v>14012</v>
      </c>
      <c r="B4663" s="15" t="s">
        <v>5</v>
      </c>
      <c r="C4663" s="16" t="s">
        <v>15138</v>
      </c>
      <c r="D4663" s="21"/>
      <c r="E4663" s="32" t="s">
        <v>15686</v>
      </c>
      <c r="F4663" s="22" t="str">
        <f>VLOOKUP(Table8[[#This Row],[Mã khách hàng]],code_khach_hang[],2,0)</f>
        <v>CHI NHÁNH BÌNH PHƯỚC - CÔNG TY CỔ PHẦN DỊCH VỤ THƯƠNG MẠI TỔNG HỢP WINCOMMERCE</v>
      </c>
      <c r="G4663" s="16" t="str">
        <f>VLOOKUP(Table8[[#This Row],[Mã khách hàng]],code_khach_hang[],3,0)</f>
        <v>Miền Nam đặc biệt 2</v>
      </c>
      <c r="H4663" t="str">
        <f>VLOOKUP(Table8[[#This Row],[Mã khách hàng]],'Khách hàng'!A:D,4,0)</f>
        <v>Food Đức Việt</v>
      </c>
      <c r="I4663" t="str">
        <f>VLOOKUP(Table8[[#This Row],[Mã khách hàng]],'Khách hàng'!A:E,5,0)</f>
        <v>HCVG80</v>
      </c>
    </row>
    <row r="4664" spans="1:9" x14ac:dyDescent="0.25">
      <c r="A4664" s="14" t="s">
        <v>14013</v>
      </c>
      <c r="B4664" s="15" t="s">
        <v>5</v>
      </c>
      <c r="C4664" s="16" t="s">
        <v>15139</v>
      </c>
      <c r="D4664" s="21"/>
      <c r="E4664" s="32" t="s">
        <v>15686</v>
      </c>
      <c r="F4664" s="22" t="str">
        <f>VLOOKUP(Table8[[#This Row],[Mã khách hàng]],code_khach_hang[],2,0)</f>
        <v>CHI NHÁNH BÌNH PHƯỚC - CÔNG TY CỔ PHẦN DỊCH VỤ THƯƠNG MẠI TỔNG HỢP WINCOMMERCE</v>
      </c>
      <c r="G4664" s="16" t="str">
        <f>VLOOKUP(Table8[[#This Row],[Mã khách hàng]],code_khach_hang[],3,0)</f>
        <v>Miền Nam đặc biệt 2</v>
      </c>
      <c r="H4664" t="str">
        <f>VLOOKUP(Table8[[#This Row],[Mã khách hàng]],'Khách hàng'!A:D,4,0)</f>
        <v>Food Đức Việt</v>
      </c>
      <c r="I4664" t="str">
        <f>VLOOKUP(Table8[[#This Row],[Mã khách hàng]],'Khách hàng'!A:E,5,0)</f>
        <v>HCVG80</v>
      </c>
    </row>
    <row r="4665" spans="1:9" x14ac:dyDescent="0.25">
      <c r="A4665" s="14" t="s">
        <v>14014</v>
      </c>
      <c r="B4665" s="15" t="s">
        <v>5</v>
      </c>
      <c r="C4665" s="16" t="s">
        <v>15140</v>
      </c>
      <c r="D4665" s="21"/>
      <c r="E4665" s="32" t="s">
        <v>15686</v>
      </c>
      <c r="F4665" s="22" t="str">
        <f>VLOOKUP(Table8[[#This Row],[Mã khách hàng]],code_khach_hang[],2,0)</f>
        <v>CHI NHÁNH BÌNH PHƯỚC - CÔNG TY CỔ PHẦN DỊCH VỤ THƯƠNG MẠI TỔNG HỢP WINCOMMERCE</v>
      </c>
      <c r="G4665" s="16" t="str">
        <f>VLOOKUP(Table8[[#This Row],[Mã khách hàng]],code_khach_hang[],3,0)</f>
        <v>Miền Nam đặc biệt 2</v>
      </c>
      <c r="H4665" t="str">
        <f>VLOOKUP(Table8[[#This Row],[Mã khách hàng]],'Khách hàng'!A:D,4,0)</f>
        <v>Food Đức Việt</v>
      </c>
      <c r="I4665" t="str">
        <f>VLOOKUP(Table8[[#This Row],[Mã khách hàng]],'Khách hàng'!A:E,5,0)</f>
        <v>HCVG80</v>
      </c>
    </row>
    <row r="4666" spans="1:9" x14ac:dyDescent="0.25">
      <c r="A4666" s="14" t="s">
        <v>14015</v>
      </c>
      <c r="B4666" s="15" t="s">
        <v>5</v>
      </c>
      <c r="C4666" s="16" t="s">
        <v>15141</v>
      </c>
      <c r="D4666" s="21"/>
      <c r="E4666" s="32" t="s">
        <v>15686</v>
      </c>
      <c r="F4666" s="22" t="str">
        <f>VLOOKUP(Table8[[#This Row],[Mã khách hàng]],code_khach_hang[],2,0)</f>
        <v>CHI NHÁNH BÌNH PHƯỚC - CÔNG TY CỔ PHẦN DỊCH VỤ THƯƠNG MẠI TỔNG HỢP WINCOMMERCE</v>
      </c>
      <c r="G4666" s="16" t="str">
        <f>VLOOKUP(Table8[[#This Row],[Mã khách hàng]],code_khach_hang[],3,0)</f>
        <v>Miền Nam đặc biệt 2</v>
      </c>
      <c r="H4666" t="str">
        <f>VLOOKUP(Table8[[#This Row],[Mã khách hàng]],'Khách hàng'!A:D,4,0)</f>
        <v>Food Đức Việt</v>
      </c>
      <c r="I4666" t="str">
        <f>VLOOKUP(Table8[[#This Row],[Mã khách hàng]],'Khách hàng'!A:E,5,0)</f>
        <v>HCVG80</v>
      </c>
    </row>
    <row r="4667" spans="1:9" x14ac:dyDescent="0.25">
      <c r="A4667" s="14" t="s">
        <v>14016</v>
      </c>
      <c r="B4667" s="15" t="s">
        <v>5</v>
      </c>
      <c r="C4667" s="16" t="s">
        <v>15142</v>
      </c>
      <c r="D4667" s="21"/>
      <c r="E4667" s="32" t="s">
        <v>15672</v>
      </c>
      <c r="F4667" s="22" t="str">
        <f>VLOOKUP(Table8[[#This Row],[Mã khách hàng]],code_khach_hang[],2,0)</f>
        <v>CHI NHÁNH AN GIANG - CÔNG TY CỔ PHẦN DỊCH VỤ THƯƠNG MẠI TỔNG HỢP WINCOMMERCE</v>
      </c>
      <c r="G4667" s="16" t="str">
        <f>VLOOKUP(Table8[[#This Row],[Mã khách hàng]],code_khach_hang[],3,0)</f>
        <v>Miền Nam đặc biệt 2</v>
      </c>
      <c r="H4667" t="str">
        <f>VLOOKUP(Table8[[#This Row],[Mã khách hàng]],'Khách hàng'!A:D,4,0)</f>
        <v>Food Đức Việt</v>
      </c>
      <c r="I4667" t="str">
        <f>VLOOKUP(Table8[[#This Row],[Mã khách hàng]],'Khách hàng'!A:E,5,0)</f>
        <v>HC-CT120</v>
      </c>
    </row>
    <row r="4668" spans="1:9" x14ac:dyDescent="0.25">
      <c r="A4668" s="14" t="s">
        <v>14017</v>
      </c>
      <c r="B4668" s="15" t="s">
        <v>5</v>
      </c>
      <c r="C4668" s="16" t="s">
        <v>15143</v>
      </c>
      <c r="D4668" s="21"/>
      <c r="E4668" s="32" t="s">
        <v>15678</v>
      </c>
      <c r="F4668" s="22" t="str">
        <f>VLOOKUP(Table8[[#This Row],[Mã khách hàng]],code_khach_hang[],2,0)</f>
        <v>CHI NHÁNH LÂM ĐỒNG - CÔNG TY CỔ PHẦN DỊCH VỤ THƯƠNG MẠI TỔNG HỢP WINCOMMERCE</v>
      </c>
      <c r="G4668" s="16" t="str">
        <f>VLOOKUP(Table8[[#This Row],[Mã khách hàng]],code_khach_hang[],3,0)</f>
        <v>Miền Nam đặc biệt 2</v>
      </c>
      <c r="H4668" t="str">
        <f>VLOOKUP(Table8[[#This Row],[Mã khách hàng]],'Khách hàng'!A:D,4,0)</f>
        <v>Food Đức Việt</v>
      </c>
      <c r="I4668" t="str">
        <f>VLOOKUP(Table8[[#This Row],[Mã khách hàng]],'Khách hàng'!A:E,5,0)</f>
        <v>HCVG80</v>
      </c>
    </row>
    <row r="4669" spans="1:9" x14ac:dyDescent="0.25">
      <c r="A4669" s="14" t="s">
        <v>14018</v>
      </c>
      <c r="B4669" s="15" t="s">
        <v>5</v>
      </c>
      <c r="C4669" s="16" t="s">
        <v>15144</v>
      </c>
      <c r="D4669" s="21"/>
      <c r="E4669" s="32" t="s">
        <v>15678</v>
      </c>
      <c r="F4669" s="22" t="str">
        <f>VLOOKUP(Table8[[#This Row],[Mã khách hàng]],code_khach_hang[],2,0)</f>
        <v>CHI NHÁNH LÂM ĐỒNG - CÔNG TY CỔ PHẦN DỊCH VỤ THƯƠNG MẠI TỔNG HỢP WINCOMMERCE</v>
      </c>
      <c r="G4669" s="16" t="str">
        <f>VLOOKUP(Table8[[#This Row],[Mã khách hàng]],code_khach_hang[],3,0)</f>
        <v>Miền Nam đặc biệt 2</v>
      </c>
      <c r="H4669" t="str">
        <f>VLOOKUP(Table8[[#This Row],[Mã khách hàng]],'Khách hàng'!A:D,4,0)</f>
        <v>Food Đức Việt</v>
      </c>
      <c r="I4669" t="str">
        <f>VLOOKUP(Table8[[#This Row],[Mã khách hàng]],'Khách hàng'!A:E,5,0)</f>
        <v>HCVG80</v>
      </c>
    </row>
    <row r="4670" spans="1:9" x14ac:dyDescent="0.25">
      <c r="A4670" s="14" t="s">
        <v>14019</v>
      </c>
      <c r="B4670" s="15" t="s">
        <v>5</v>
      </c>
      <c r="C4670" s="16" t="s">
        <v>15145</v>
      </c>
      <c r="D4670" s="21"/>
      <c r="E4670" s="32" t="s">
        <v>15667</v>
      </c>
      <c r="F4670" s="22" t="str">
        <f>VLOOKUP(Table8[[#This Row],[Mã khách hàng]],code_khach_hang[],2,0)</f>
        <v>CÔNG TY CỔ PHẦN DỊCH VỤ THƯƠNG MẠI TỔNG HỢP WINCOMMERCE</v>
      </c>
      <c r="G4670" s="16" t="str">
        <f>VLOOKUP(Table8[[#This Row],[Mã khách hàng]],code_khach_hang[],3,0)</f>
        <v>Miền Nam đặc biệt 1</v>
      </c>
      <c r="H4670" t="str">
        <f>VLOOKUP(Table8[[#This Row],[Mã khách hàng]],'Khách hàng'!A:D,4,0)</f>
        <v>Food Đức Việt</v>
      </c>
      <c r="I4670" t="str">
        <f>VLOOKUP(Table8[[#This Row],[Mã khách hàng]],'Khách hàng'!A:E,5,0)</f>
        <v>HCVG80</v>
      </c>
    </row>
    <row r="4671" spans="1:9" x14ac:dyDescent="0.25">
      <c r="A4671" s="14" t="s">
        <v>14020</v>
      </c>
      <c r="B4671" s="15" t="s">
        <v>5</v>
      </c>
      <c r="C4671" s="16" t="s">
        <v>15146</v>
      </c>
      <c r="D4671" s="21"/>
      <c r="E4671" s="32" t="s">
        <v>15671</v>
      </c>
      <c r="F4671" s="22" t="str">
        <f>VLOOKUP(Table8[[#This Row],[Mã khách hàng]],code_khach_hang[],2,0)</f>
        <v>CHI NHÁNH BÌNH DƯƠNG - CÔNG TY CỔ PHẦN DỊCH VỤ THƯƠNG MẠI TỔNG HỢP WINCOMMERCE</v>
      </c>
      <c r="G4671" s="16" t="str">
        <f>VLOOKUP(Table8[[#This Row],[Mã khách hàng]],code_khach_hang[],3,0)</f>
        <v>Miền Nam đặc biệt 1</v>
      </c>
      <c r="H4671" t="str">
        <f>VLOOKUP(Table8[[#This Row],[Mã khách hàng]],'Khách hàng'!A:D,4,0)</f>
        <v>Food Đức Việt</v>
      </c>
      <c r="I4671" t="str">
        <f>VLOOKUP(Table8[[#This Row],[Mã khách hàng]],'Khách hàng'!A:E,5,0)</f>
        <v>HCVG80</v>
      </c>
    </row>
    <row r="4672" spans="1:9" x14ac:dyDescent="0.25">
      <c r="A4672" s="14" t="s">
        <v>14021</v>
      </c>
      <c r="B4672" s="15" t="s">
        <v>5</v>
      </c>
      <c r="C4672" s="16" t="s">
        <v>15147</v>
      </c>
      <c r="D4672" s="21"/>
      <c r="E4672" s="32" t="s">
        <v>15667</v>
      </c>
      <c r="F4672" s="22" t="str">
        <f>VLOOKUP(Table8[[#This Row],[Mã khách hàng]],code_khach_hang[],2,0)</f>
        <v>CÔNG TY CỔ PHẦN DỊCH VỤ THƯƠNG MẠI TỔNG HỢP WINCOMMERCE</v>
      </c>
      <c r="G4672" s="16" t="str">
        <f>VLOOKUP(Table8[[#This Row],[Mã khách hàng]],code_khach_hang[],3,0)</f>
        <v>Miền Nam đặc biệt 1</v>
      </c>
      <c r="H4672" t="str">
        <f>VLOOKUP(Table8[[#This Row],[Mã khách hàng]],'Khách hàng'!A:D,4,0)</f>
        <v>Food Đức Việt</v>
      </c>
      <c r="I4672" t="str">
        <f>VLOOKUP(Table8[[#This Row],[Mã khách hàng]],'Khách hàng'!A:E,5,0)</f>
        <v>HCVG80</v>
      </c>
    </row>
    <row r="4673" spans="1:9" x14ac:dyDescent="0.25">
      <c r="A4673" s="14" t="s">
        <v>14022</v>
      </c>
      <c r="B4673" s="15" t="s">
        <v>5</v>
      </c>
      <c r="C4673" s="16" t="s">
        <v>15148</v>
      </c>
      <c r="D4673" s="21"/>
      <c r="E4673" s="32" t="s">
        <v>15672</v>
      </c>
      <c r="F4673" s="22" t="str">
        <f>VLOOKUP(Table8[[#This Row],[Mã khách hàng]],code_khach_hang[],2,0)</f>
        <v>CHI NHÁNH AN GIANG - CÔNG TY CỔ PHẦN DỊCH VỤ THƯƠNG MẠI TỔNG HỢP WINCOMMERCE</v>
      </c>
      <c r="G4673" s="16" t="str">
        <f>VLOOKUP(Table8[[#This Row],[Mã khách hàng]],code_khach_hang[],3,0)</f>
        <v>Miền Nam đặc biệt 2</v>
      </c>
      <c r="H4673" t="str">
        <f>VLOOKUP(Table8[[#This Row],[Mã khách hàng]],'Khách hàng'!A:D,4,0)</f>
        <v>Food Đức Việt</v>
      </c>
      <c r="I4673" t="str">
        <f>VLOOKUP(Table8[[#This Row],[Mã khách hàng]],'Khách hàng'!A:E,5,0)</f>
        <v>HC-CT120</v>
      </c>
    </row>
    <row r="4674" spans="1:9" x14ac:dyDescent="0.25">
      <c r="A4674" s="14" t="s">
        <v>14023</v>
      </c>
      <c r="B4674" s="15" t="s">
        <v>5</v>
      </c>
      <c r="C4674" s="16" t="s">
        <v>15149</v>
      </c>
      <c r="D4674" s="21"/>
      <c r="E4674" s="32" t="s">
        <v>15672</v>
      </c>
      <c r="F4674" s="22" t="str">
        <f>VLOOKUP(Table8[[#This Row],[Mã khách hàng]],code_khach_hang[],2,0)</f>
        <v>CHI NHÁNH AN GIANG - CÔNG TY CỔ PHẦN DỊCH VỤ THƯƠNG MẠI TỔNG HỢP WINCOMMERCE</v>
      </c>
      <c r="G4674" s="16" t="str">
        <f>VLOOKUP(Table8[[#This Row],[Mã khách hàng]],code_khach_hang[],3,0)</f>
        <v>Miền Nam đặc biệt 2</v>
      </c>
      <c r="H4674" t="str">
        <f>VLOOKUP(Table8[[#This Row],[Mã khách hàng]],'Khách hàng'!A:D,4,0)</f>
        <v>Food Đức Việt</v>
      </c>
      <c r="I4674" t="str">
        <f>VLOOKUP(Table8[[#This Row],[Mã khách hàng]],'Khách hàng'!A:E,5,0)</f>
        <v>HC-CT120</v>
      </c>
    </row>
    <row r="4675" spans="1:9" x14ac:dyDescent="0.25">
      <c r="A4675" s="14" t="s">
        <v>14024</v>
      </c>
      <c r="B4675" s="15" t="s">
        <v>5</v>
      </c>
      <c r="C4675" s="16" t="s">
        <v>15150</v>
      </c>
      <c r="D4675" s="21"/>
      <c r="E4675" s="32" t="s">
        <v>15667</v>
      </c>
      <c r="F4675" s="22" t="str">
        <f>VLOOKUP(Table8[[#This Row],[Mã khách hàng]],code_khach_hang[],2,0)</f>
        <v>CÔNG TY CỔ PHẦN DỊCH VỤ THƯƠNG MẠI TỔNG HỢP WINCOMMERCE</v>
      </c>
      <c r="G4675" s="16" t="str">
        <f>VLOOKUP(Table8[[#This Row],[Mã khách hàng]],code_khach_hang[],3,0)</f>
        <v>Miền Nam đặc biệt 1</v>
      </c>
      <c r="H4675" t="str">
        <f>VLOOKUP(Table8[[#This Row],[Mã khách hàng]],'Khách hàng'!A:D,4,0)</f>
        <v>Food Đức Việt</v>
      </c>
      <c r="I4675" t="str">
        <f>VLOOKUP(Table8[[#This Row],[Mã khách hàng]],'Khách hàng'!A:E,5,0)</f>
        <v>HCVG80</v>
      </c>
    </row>
    <row r="4676" spans="1:9" x14ac:dyDescent="0.25">
      <c r="A4676" s="14" t="s">
        <v>14025</v>
      </c>
      <c r="B4676" s="15" t="s">
        <v>5</v>
      </c>
      <c r="C4676" s="16" t="s">
        <v>15151</v>
      </c>
      <c r="D4676" s="21"/>
      <c r="E4676" s="32" t="s">
        <v>15670</v>
      </c>
      <c r="F4676" s="22" t="str">
        <f>VLOOKUP(Table8[[#This Row],[Mã khách hàng]],code_khach_hang[],2,0)</f>
        <v>CHI NHÁNH TIỀN GIANG - CÔNG TY CỔ PHẦN DỊCH VỤ THƯƠNG MẠI TỔNG HỢP WINCOMMERCE</v>
      </c>
      <c r="G4676" s="16" t="str">
        <f>VLOOKUP(Table8[[#This Row],[Mã khách hàng]],code_khach_hang[],3,0)</f>
        <v>Miền Nam đặc biệt 1</v>
      </c>
      <c r="H4676" t="str">
        <f>VLOOKUP(Table8[[#This Row],[Mã khách hàng]],'Khách hàng'!A:D,4,0)</f>
        <v>Food Đức Việt</v>
      </c>
      <c r="I4676" t="str">
        <f>VLOOKUP(Table8[[#This Row],[Mã khách hàng]],'Khách hàng'!A:E,5,0)</f>
        <v>HCVG80</v>
      </c>
    </row>
    <row r="4677" spans="1:9" x14ac:dyDescent="0.25">
      <c r="A4677" s="14" t="s">
        <v>14026</v>
      </c>
      <c r="B4677" s="15" t="s">
        <v>5</v>
      </c>
      <c r="C4677" s="16" t="s">
        <v>15152</v>
      </c>
      <c r="D4677" s="21"/>
      <c r="E4677" s="32" t="s">
        <v>15671</v>
      </c>
      <c r="F4677" s="22" t="str">
        <f>VLOOKUP(Table8[[#This Row],[Mã khách hàng]],code_khach_hang[],2,0)</f>
        <v>CHI NHÁNH BÌNH DƯƠNG - CÔNG TY CỔ PHẦN DỊCH VỤ THƯƠNG MẠI TỔNG HỢP WINCOMMERCE</v>
      </c>
      <c r="G4677" s="16" t="str">
        <f>VLOOKUP(Table8[[#This Row],[Mã khách hàng]],code_khach_hang[],3,0)</f>
        <v>Miền Nam đặc biệt 1</v>
      </c>
      <c r="H4677" t="str">
        <f>VLOOKUP(Table8[[#This Row],[Mã khách hàng]],'Khách hàng'!A:D,4,0)</f>
        <v>Food Đức Việt</v>
      </c>
      <c r="I4677" t="str">
        <f>VLOOKUP(Table8[[#This Row],[Mã khách hàng]],'Khách hàng'!A:E,5,0)</f>
        <v>HCVG80</v>
      </c>
    </row>
    <row r="4678" spans="1:9" x14ac:dyDescent="0.25">
      <c r="A4678" s="14" t="s">
        <v>14027</v>
      </c>
      <c r="B4678" s="15" t="s">
        <v>5</v>
      </c>
      <c r="C4678" s="16" t="s">
        <v>15153</v>
      </c>
      <c r="D4678" s="21"/>
      <c r="E4678" s="32" t="s">
        <v>15685</v>
      </c>
      <c r="F4678" s="22" t="str">
        <f>VLOOKUP(Table8[[#This Row],[Mã khách hàng]],code_khach_hang[],2,0)</f>
        <v>CHI NHÁNH BÀ RỊA - VŨNG TÀU - CÔNG TY CỔ PHẦN DỊCH VỤ THƯƠNG MẠI TỔNG HỢP WINCOMMERCE</v>
      </c>
      <c r="G4678" s="16" t="str">
        <f>VLOOKUP(Table8[[#This Row],[Mã khách hàng]],code_khach_hang[],3,0)</f>
        <v>Miền Nam đặc biệt 3</v>
      </c>
      <c r="H4678" t="str">
        <f>VLOOKUP(Table8[[#This Row],[Mã khách hàng]],'Khách hàng'!A:D,4,0)</f>
        <v>Food Đức Việt</v>
      </c>
      <c r="I4678" t="str">
        <f>VLOOKUP(Table8[[#This Row],[Mã khách hàng]],'Khách hàng'!A:E,5,0)</f>
        <v>HCVG80</v>
      </c>
    </row>
    <row r="4679" spans="1:9" x14ac:dyDescent="0.25">
      <c r="A4679" s="14" t="s">
        <v>14028</v>
      </c>
      <c r="B4679" s="15" t="s">
        <v>5</v>
      </c>
      <c r="C4679" s="16" t="s">
        <v>15154</v>
      </c>
      <c r="D4679" s="21"/>
      <c r="E4679" s="32" t="s">
        <v>15668</v>
      </c>
      <c r="F4679" s="22" t="str">
        <f>VLOOKUP(Table8[[#This Row],[Mã khách hàng]],code_khach_hang[],2,0)</f>
        <v>CHI NHÁNH ĐỒNG NAI - CÔNG TY CỔ PHẦN DỊCH VỤ THƯƠNG MẠI TỔNG HỢP WINCOMMERCE</v>
      </c>
      <c r="G4679" s="16" t="str">
        <f>VLOOKUP(Table8[[#This Row],[Mã khách hàng]],code_khach_hang[],3,0)</f>
        <v>Miền Nam đặc biệt 3</v>
      </c>
      <c r="H4679" t="str">
        <f>VLOOKUP(Table8[[#This Row],[Mã khách hàng]],'Khách hàng'!A:D,4,0)</f>
        <v>Food Đức Việt</v>
      </c>
      <c r="I4679" t="str">
        <f>VLOOKUP(Table8[[#This Row],[Mã khách hàng]],'Khách hàng'!A:E,5,0)</f>
        <v>HCVG80</v>
      </c>
    </row>
    <row r="4680" spans="1:9" x14ac:dyDescent="0.25">
      <c r="A4680" s="14" t="s">
        <v>14029</v>
      </c>
      <c r="B4680" s="15" t="s">
        <v>5</v>
      </c>
      <c r="C4680" s="16" t="s">
        <v>15155</v>
      </c>
      <c r="D4680" s="21"/>
      <c r="E4680" s="32" t="s">
        <v>15667</v>
      </c>
      <c r="F4680" s="22" t="str">
        <f>VLOOKUP(Table8[[#This Row],[Mã khách hàng]],code_khach_hang[],2,0)</f>
        <v>CÔNG TY CỔ PHẦN DỊCH VỤ THƯƠNG MẠI TỔNG HỢP WINCOMMERCE</v>
      </c>
      <c r="G4680" s="16" t="str">
        <f>VLOOKUP(Table8[[#This Row],[Mã khách hàng]],code_khach_hang[],3,0)</f>
        <v>Miền Nam đặc biệt 1</v>
      </c>
      <c r="H4680" t="str">
        <f>VLOOKUP(Table8[[#This Row],[Mã khách hàng]],'Khách hàng'!A:D,4,0)</f>
        <v>Food Đức Việt</v>
      </c>
      <c r="I4680" t="str">
        <f>VLOOKUP(Table8[[#This Row],[Mã khách hàng]],'Khách hàng'!A:E,5,0)</f>
        <v>HCVG80</v>
      </c>
    </row>
    <row r="4681" spans="1:9" x14ac:dyDescent="0.25">
      <c r="A4681" s="14" t="s">
        <v>14030</v>
      </c>
      <c r="B4681" s="15" t="s">
        <v>5</v>
      </c>
      <c r="C4681" s="16" t="s">
        <v>15156</v>
      </c>
      <c r="D4681" s="21"/>
      <c r="E4681" s="32" t="s">
        <v>15668</v>
      </c>
      <c r="F4681" s="22" t="str">
        <f>VLOOKUP(Table8[[#This Row],[Mã khách hàng]],code_khach_hang[],2,0)</f>
        <v>CHI NHÁNH ĐỒNG NAI - CÔNG TY CỔ PHẦN DỊCH VỤ THƯƠNG MẠI TỔNG HỢP WINCOMMERCE</v>
      </c>
      <c r="G4681" s="16" t="str">
        <f>VLOOKUP(Table8[[#This Row],[Mã khách hàng]],code_khach_hang[],3,0)</f>
        <v>Miền Nam đặc biệt 3</v>
      </c>
      <c r="H4681" t="str">
        <f>VLOOKUP(Table8[[#This Row],[Mã khách hàng]],'Khách hàng'!A:D,4,0)</f>
        <v>Food Đức Việt</v>
      </c>
      <c r="I4681" t="str">
        <f>VLOOKUP(Table8[[#This Row],[Mã khách hàng]],'Khách hàng'!A:E,5,0)</f>
        <v>HCVG80</v>
      </c>
    </row>
    <row r="4682" spans="1:9" x14ac:dyDescent="0.25">
      <c r="A4682" s="14" t="s">
        <v>14031</v>
      </c>
      <c r="B4682" s="15" t="s">
        <v>5</v>
      </c>
      <c r="C4682" s="16" t="s">
        <v>15157</v>
      </c>
      <c r="D4682" s="21"/>
      <c r="E4682" s="32" t="s">
        <v>15680</v>
      </c>
      <c r="F4682" s="22" t="str">
        <f>VLOOKUP(Table8[[#This Row],[Mã khách hàng]],code_khach_hang[],2,0)</f>
        <v>CHI NHÁNH SÓC TRĂNG - CÔNG TY CỔ PHẦN DỊCH VỤ THƯƠNG MẠI TỔNG HỢP WINCOMMERCE</v>
      </c>
      <c r="G4682" s="16" t="str">
        <f>VLOOKUP(Table8[[#This Row],[Mã khách hàng]],code_khach_hang[],3,0)</f>
        <v>Miền Nam đặc biệt 1</v>
      </c>
      <c r="H4682" t="str">
        <f>VLOOKUP(Table8[[#This Row],[Mã khách hàng]],'Khách hàng'!A:D,4,0)</f>
        <v>Food Đức Việt</v>
      </c>
      <c r="I4682" t="str">
        <f>VLOOKUP(Table8[[#This Row],[Mã khách hàng]],'Khách hàng'!A:E,5,0)</f>
        <v>HC-CT120</v>
      </c>
    </row>
    <row r="4683" spans="1:9" x14ac:dyDescent="0.25">
      <c r="A4683" s="14" t="s">
        <v>14032</v>
      </c>
      <c r="B4683" s="15" t="s">
        <v>5</v>
      </c>
      <c r="C4683" s="16" t="s">
        <v>15158</v>
      </c>
      <c r="D4683" s="21"/>
      <c r="E4683" s="32" t="s">
        <v>15672</v>
      </c>
      <c r="F4683" s="22" t="str">
        <f>VLOOKUP(Table8[[#This Row],[Mã khách hàng]],code_khach_hang[],2,0)</f>
        <v>CHI NHÁNH AN GIANG - CÔNG TY CỔ PHẦN DỊCH VỤ THƯƠNG MẠI TỔNG HỢP WINCOMMERCE</v>
      </c>
      <c r="G4683" s="16" t="str">
        <f>VLOOKUP(Table8[[#This Row],[Mã khách hàng]],code_khach_hang[],3,0)</f>
        <v>Miền Nam đặc biệt 2</v>
      </c>
      <c r="H4683" t="str">
        <f>VLOOKUP(Table8[[#This Row],[Mã khách hàng]],'Khách hàng'!A:D,4,0)</f>
        <v>Food Đức Việt</v>
      </c>
      <c r="I4683" t="str">
        <f>VLOOKUP(Table8[[#This Row],[Mã khách hàng]],'Khách hàng'!A:E,5,0)</f>
        <v>HC-CT120</v>
      </c>
    </row>
    <row r="4684" spans="1:9" x14ac:dyDescent="0.25">
      <c r="A4684" s="14" t="s">
        <v>14033</v>
      </c>
      <c r="B4684" s="15" t="s">
        <v>5</v>
      </c>
      <c r="C4684" s="16" t="s">
        <v>15159</v>
      </c>
      <c r="D4684" s="21"/>
      <c r="E4684" s="32" t="s">
        <v>15668</v>
      </c>
      <c r="F4684" s="22" t="str">
        <f>VLOOKUP(Table8[[#This Row],[Mã khách hàng]],code_khach_hang[],2,0)</f>
        <v>CHI NHÁNH ĐỒNG NAI - CÔNG TY CỔ PHẦN DỊCH VỤ THƯƠNG MẠI TỔNG HỢP WINCOMMERCE</v>
      </c>
      <c r="G4684" s="16" t="str">
        <f>VLOOKUP(Table8[[#This Row],[Mã khách hàng]],code_khach_hang[],3,0)</f>
        <v>Miền Nam đặc biệt 3</v>
      </c>
      <c r="H4684" t="str">
        <f>VLOOKUP(Table8[[#This Row],[Mã khách hàng]],'Khách hàng'!A:D,4,0)</f>
        <v>Food Đức Việt</v>
      </c>
      <c r="I4684" t="str">
        <f>VLOOKUP(Table8[[#This Row],[Mã khách hàng]],'Khách hàng'!A:E,5,0)</f>
        <v>HCVG80</v>
      </c>
    </row>
    <row r="4685" spans="1:9" x14ac:dyDescent="0.25">
      <c r="A4685" s="14" t="s">
        <v>14034</v>
      </c>
      <c r="B4685" s="15" t="s">
        <v>5</v>
      </c>
      <c r="C4685" s="16" t="s">
        <v>15160</v>
      </c>
      <c r="D4685" s="21"/>
      <c r="E4685" s="32" t="s">
        <v>15667</v>
      </c>
      <c r="F4685" s="22" t="str">
        <f>VLOOKUP(Table8[[#This Row],[Mã khách hàng]],code_khach_hang[],2,0)</f>
        <v>CÔNG TY CỔ PHẦN DỊCH VỤ THƯƠNG MẠI TỔNG HỢP WINCOMMERCE</v>
      </c>
      <c r="G4685" s="16" t="str">
        <f>VLOOKUP(Table8[[#This Row],[Mã khách hàng]],code_khach_hang[],3,0)</f>
        <v>Miền Nam đặc biệt 1</v>
      </c>
      <c r="H4685" t="str">
        <f>VLOOKUP(Table8[[#This Row],[Mã khách hàng]],'Khách hàng'!A:D,4,0)</f>
        <v>Food Đức Việt</v>
      </c>
      <c r="I4685" t="str">
        <f>VLOOKUP(Table8[[#This Row],[Mã khách hàng]],'Khách hàng'!A:E,5,0)</f>
        <v>HCVG80</v>
      </c>
    </row>
    <row r="4686" spans="1:9" x14ac:dyDescent="0.25">
      <c r="A4686" s="14" t="s">
        <v>14035</v>
      </c>
      <c r="B4686" s="15" t="s">
        <v>5</v>
      </c>
      <c r="C4686" s="16" t="s">
        <v>15161</v>
      </c>
      <c r="D4686" s="21"/>
      <c r="E4686" s="32" t="s">
        <v>15672</v>
      </c>
      <c r="F4686" s="22" t="str">
        <f>VLOOKUP(Table8[[#This Row],[Mã khách hàng]],code_khach_hang[],2,0)</f>
        <v>CHI NHÁNH AN GIANG - CÔNG TY CỔ PHẦN DỊCH VỤ THƯƠNG MẠI TỔNG HỢP WINCOMMERCE</v>
      </c>
      <c r="G4686" s="16" t="str">
        <f>VLOOKUP(Table8[[#This Row],[Mã khách hàng]],code_khach_hang[],3,0)</f>
        <v>Miền Nam đặc biệt 2</v>
      </c>
      <c r="H4686" t="str">
        <f>VLOOKUP(Table8[[#This Row],[Mã khách hàng]],'Khách hàng'!A:D,4,0)</f>
        <v>Food Đức Việt</v>
      </c>
      <c r="I4686" t="str">
        <f>VLOOKUP(Table8[[#This Row],[Mã khách hàng]],'Khách hàng'!A:E,5,0)</f>
        <v>HC-CT120</v>
      </c>
    </row>
    <row r="4687" spans="1:9" x14ac:dyDescent="0.25">
      <c r="A4687" s="14" t="s">
        <v>14036</v>
      </c>
      <c r="B4687" s="15" t="s">
        <v>5</v>
      </c>
      <c r="C4687" s="16" t="s">
        <v>15162</v>
      </c>
      <c r="D4687" s="21"/>
      <c r="E4687" s="32" t="s">
        <v>15667</v>
      </c>
      <c r="F4687" s="22" t="str">
        <f>VLOOKUP(Table8[[#This Row],[Mã khách hàng]],code_khach_hang[],2,0)</f>
        <v>CÔNG TY CỔ PHẦN DỊCH VỤ THƯƠNG MẠI TỔNG HỢP WINCOMMERCE</v>
      </c>
      <c r="G4687" s="16" t="str">
        <f>VLOOKUP(Table8[[#This Row],[Mã khách hàng]],code_khach_hang[],3,0)</f>
        <v>Miền Nam đặc biệt 1</v>
      </c>
      <c r="H4687" t="str">
        <f>VLOOKUP(Table8[[#This Row],[Mã khách hàng]],'Khách hàng'!A:D,4,0)</f>
        <v>Food Đức Việt</v>
      </c>
      <c r="I4687" t="str">
        <f>VLOOKUP(Table8[[#This Row],[Mã khách hàng]],'Khách hàng'!A:E,5,0)</f>
        <v>HCVG80</v>
      </c>
    </row>
    <row r="4688" spans="1:9" x14ac:dyDescent="0.25">
      <c r="A4688" s="14" t="s">
        <v>14037</v>
      </c>
      <c r="B4688" s="15" t="s">
        <v>5</v>
      </c>
      <c r="C4688" s="16" t="s">
        <v>15163</v>
      </c>
      <c r="D4688" s="21"/>
      <c r="E4688" s="32" t="s">
        <v>15678</v>
      </c>
      <c r="F4688" s="22" t="str">
        <f>VLOOKUP(Table8[[#This Row],[Mã khách hàng]],code_khach_hang[],2,0)</f>
        <v>CHI NHÁNH LÂM ĐỒNG - CÔNG TY CỔ PHẦN DỊCH VỤ THƯƠNG MẠI TỔNG HỢP WINCOMMERCE</v>
      </c>
      <c r="G4688" s="16" t="str">
        <f>VLOOKUP(Table8[[#This Row],[Mã khách hàng]],code_khach_hang[],3,0)</f>
        <v>Miền Nam đặc biệt 2</v>
      </c>
      <c r="H4688" t="str">
        <f>VLOOKUP(Table8[[#This Row],[Mã khách hàng]],'Khách hàng'!A:D,4,0)</f>
        <v>Food Đức Việt</v>
      </c>
      <c r="I4688" t="str">
        <f>VLOOKUP(Table8[[#This Row],[Mã khách hàng]],'Khách hàng'!A:E,5,0)</f>
        <v>HCVG80</v>
      </c>
    </row>
    <row r="4689" spans="1:9" x14ac:dyDescent="0.25">
      <c r="A4689" s="14" t="s">
        <v>14038</v>
      </c>
      <c r="B4689" s="15" t="s">
        <v>5</v>
      </c>
      <c r="C4689" s="16" t="s">
        <v>15164</v>
      </c>
      <c r="D4689" s="21"/>
      <c r="E4689" s="32" t="s">
        <v>15670</v>
      </c>
      <c r="F4689" s="22" t="str">
        <f>VLOOKUP(Table8[[#This Row],[Mã khách hàng]],code_khach_hang[],2,0)</f>
        <v>CHI NHÁNH TIỀN GIANG - CÔNG TY CỔ PHẦN DỊCH VỤ THƯƠNG MẠI TỔNG HỢP WINCOMMERCE</v>
      </c>
      <c r="G4689" s="16" t="str">
        <f>VLOOKUP(Table8[[#This Row],[Mã khách hàng]],code_khach_hang[],3,0)</f>
        <v>Miền Nam đặc biệt 1</v>
      </c>
      <c r="H4689" t="str">
        <f>VLOOKUP(Table8[[#This Row],[Mã khách hàng]],'Khách hàng'!A:D,4,0)</f>
        <v>Food Đức Việt</v>
      </c>
      <c r="I4689" t="str">
        <f>VLOOKUP(Table8[[#This Row],[Mã khách hàng]],'Khách hàng'!A:E,5,0)</f>
        <v>HCVG80</v>
      </c>
    </row>
    <row r="4690" spans="1:9" x14ac:dyDescent="0.25">
      <c r="A4690" s="14" t="s">
        <v>14039</v>
      </c>
      <c r="B4690" s="15" t="s">
        <v>5</v>
      </c>
      <c r="C4690" s="16" t="s">
        <v>15165</v>
      </c>
      <c r="D4690" s="21"/>
      <c r="E4690" s="32" t="s">
        <v>15687</v>
      </c>
      <c r="F4690" s="22" t="str">
        <f>VLOOKUP(Table8[[#This Row],[Mã khách hàng]],code_khach_hang[],2,0)</f>
        <v>CHI NHÁNH BẠC LIÊU - CÔNG TY CỔ PHẦN DỊCH VỤ THƯƠNG MẠI TỔNG HỢP WINCOMMERCE</v>
      </c>
      <c r="G4690" s="16" t="str">
        <f>VLOOKUP(Table8[[#This Row],[Mã khách hàng]],code_khach_hang[],3,0)</f>
        <v>Miền Nam đặc biệt 1</v>
      </c>
      <c r="H4690" t="str">
        <f>VLOOKUP(Table8[[#This Row],[Mã khách hàng]],'Khách hàng'!A:D,4,0)</f>
        <v>Food Đức Việt</v>
      </c>
      <c r="I4690" t="str">
        <f>VLOOKUP(Table8[[#This Row],[Mã khách hàng]],'Khách hàng'!A:E,5,0)</f>
        <v>HC-CT120</v>
      </c>
    </row>
    <row r="4691" spans="1:9" x14ac:dyDescent="0.25">
      <c r="A4691" s="14" t="s">
        <v>14040</v>
      </c>
      <c r="B4691" s="15" t="s">
        <v>5</v>
      </c>
      <c r="C4691" s="16" t="s">
        <v>15166</v>
      </c>
      <c r="D4691" s="21"/>
      <c r="E4691" s="32" t="s">
        <v>15667</v>
      </c>
      <c r="F4691" s="22" t="str">
        <f>VLOOKUP(Table8[[#This Row],[Mã khách hàng]],code_khach_hang[],2,0)</f>
        <v>CÔNG TY CỔ PHẦN DỊCH VỤ THƯƠNG MẠI TỔNG HỢP WINCOMMERCE</v>
      </c>
      <c r="G4691" s="16" t="str">
        <f>VLOOKUP(Table8[[#This Row],[Mã khách hàng]],code_khach_hang[],3,0)</f>
        <v>Miền Nam đặc biệt 1</v>
      </c>
      <c r="H4691" t="str">
        <f>VLOOKUP(Table8[[#This Row],[Mã khách hàng]],'Khách hàng'!A:D,4,0)</f>
        <v>Food Đức Việt</v>
      </c>
      <c r="I4691" t="str">
        <f>VLOOKUP(Table8[[#This Row],[Mã khách hàng]],'Khách hàng'!A:E,5,0)</f>
        <v>HCVG80</v>
      </c>
    </row>
    <row r="4692" spans="1:9" x14ac:dyDescent="0.25">
      <c r="A4692" s="14" t="s">
        <v>14041</v>
      </c>
      <c r="B4692" s="15" t="s">
        <v>5</v>
      </c>
      <c r="C4692" s="16" t="s">
        <v>15167</v>
      </c>
      <c r="D4692" s="21"/>
      <c r="E4692" s="32" t="s">
        <v>15687</v>
      </c>
      <c r="F4692" s="22" t="str">
        <f>VLOOKUP(Table8[[#This Row],[Mã khách hàng]],code_khach_hang[],2,0)</f>
        <v>CHI NHÁNH BẠC LIÊU - CÔNG TY CỔ PHẦN DỊCH VỤ THƯƠNG MẠI TỔNG HỢP WINCOMMERCE</v>
      </c>
      <c r="G4692" s="16" t="str">
        <f>VLOOKUP(Table8[[#This Row],[Mã khách hàng]],code_khach_hang[],3,0)</f>
        <v>Miền Nam đặc biệt 1</v>
      </c>
      <c r="H4692" t="str">
        <f>VLOOKUP(Table8[[#This Row],[Mã khách hàng]],'Khách hàng'!A:D,4,0)</f>
        <v>Food Đức Việt</v>
      </c>
      <c r="I4692" t="str">
        <f>VLOOKUP(Table8[[#This Row],[Mã khách hàng]],'Khách hàng'!A:E,5,0)</f>
        <v>HC-CT120</v>
      </c>
    </row>
    <row r="4693" spans="1:9" x14ac:dyDescent="0.25">
      <c r="A4693" s="14" t="s">
        <v>14042</v>
      </c>
      <c r="B4693" s="15" t="s">
        <v>5</v>
      </c>
      <c r="C4693" s="16" t="s">
        <v>15168</v>
      </c>
      <c r="D4693" s="21"/>
      <c r="E4693" s="32" t="s">
        <v>15682</v>
      </c>
      <c r="F4693" s="22" t="str">
        <f>VLOOKUP(Table8[[#This Row],[Mã khách hàng]],code_khach_hang[],2,0)</f>
        <v>CHI NHÁNH CÀ MAU - CÔNG TY CỔ PHẦN DỊCH VỤ THƯƠNG MẠI TỔNG HỢP WINCOMMERCE</v>
      </c>
      <c r="G4693" s="16" t="str">
        <f>VLOOKUP(Table8[[#This Row],[Mã khách hàng]],code_khach_hang[],3,0)</f>
        <v>Miền Nam đặc biệt 1</v>
      </c>
      <c r="H4693" t="str">
        <f>VLOOKUP(Table8[[#This Row],[Mã khách hàng]],'Khách hàng'!A:D,4,0)</f>
        <v>Food Đức Việt</v>
      </c>
      <c r="I4693" t="str">
        <f>VLOOKUP(Table8[[#This Row],[Mã khách hàng]],'Khách hàng'!A:E,5,0)</f>
        <v>HC-CT120</v>
      </c>
    </row>
    <row r="4694" spans="1:9" x14ac:dyDescent="0.25">
      <c r="A4694" s="14" t="s">
        <v>14043</v>
      </c>
      <c r="B4694" s="15" t="s">
        <v>5</v>
      </c>
      <c r="C4694" s="16" t="s">
        <v>15169</v>
      </c>
      <c r="D4694" s="21"/>
      <c r="E4694" s="32" t="s">
        <v>15687</v>
      </c>
      <c r="F4694" s="22" t="str">
        <f>VLOOKUP(Table8[[#This Row],[Mã khách hàng]],code_khach_hang[],2,0)</f>
        <v>CHI NHÁNH BẠC LIÊU - CÔNG TY CỔ PHẦN DỊCH VỤ THƯƠNG MẠI TỔNG HỢP WINCOMMERCE</v>
      </c>
      <c r="G4694" s="16" t="str">
        <f>VLOOKUP(Table8[[#This Row],[Mã khách hàng]],code_khach_hang[],3,0)</f>
        <v>Miền Nam đặc biệt 1</v>
      </c>
      <c r="H4694" t="str">
        <f>VLOOKUP(Table8[[#This Row],[Mã khách hàng]],'Khách hàng'!A:D,4,0)</f>
        <v>Food Đức Việt</v>
      </c>
      <c r="I4694" t="str">
        <f>VLOOKUP(Table8[[#This Row],[Mã khách hàng]],'Khách hàng'!A:E,5,0)</f>
        <v>HC-CT120</v>
      </c>
    </row>
    <row r="4695" spans="1:9" x14ac:dyDescent="0.25">
      <c r="A4695" s="14" t="s">
        <v>14044</v>
      </c>
      <c r="B4695" s="15" t="s">
        <v>5</v>
      </c>
      <c r="C4695" s="16" t="s">
        <v>15170</v>
      </c>
      <c r="D4695" s="21"/>
      <c r="E4695" s="32" t="s">
        <v>15667</v>
      </c>
      <c r="F4695" s="22" t="str">
        <f>VLOOKUP(Table8[[#This Row],[Mã khách hàng]],code_khach_hang[],2,0)</f>
        <v>CÔNG TY CỔ PHẦN DỊCH VỤ THƯƠNG MẠI TỔNG HỢP WINCOMMERCE</v>
      </c>
      <c r="G4695" s="16" t="str">
        <f>VLOOKUP(Table8[[#This Row],[Mã khách hàng]],code_khach_hang[],3,0)</f>
        <v>Miền Nam đặc biệt 1</v>
      </c>
      <c r="H4695" t="str">
        <f>VLOOKUP(Table8[[#This Row],[Mã khách hàng]],'Khách hàng'!A:D,4,0)</f>
        <v>Food Đức Việt</v>
      </c>
      <c r="I4695" t="str">
        <f>VLOOKUP(Table8[[#This Row],[Mã khách hàng]],'Khách hàng'!A:E,5,0)</f>
        <v>HCVG80</v>
      </c>
    </row>
    <row r="4696" spans="1:9" x14ac:dyDescent="0.25">
      <c r="A4696" s="14" t="s">
        <v>14045</v>
      </c>
      <c r="B4696" s="15" t="s">
        <v>5</v>
      </c>
      <c r="C4696" s="16" t="s">
        <v>15171</v>
      </c>
      <c r="D4696" s="21"/>
      <c r="E4696" s="32" t="s">
        <v>15671</v>
      </c>
      <c r="F4696" s="22" t="str">
        <f>VLOOKUP(Table8[[#This Row],[Mã khách hàng]],code_khach_hang[],2,0)</f>
        <v>CHI NHÁNH BÌNH DƯƠNG - CÔNG TY CỔ PHẦN DỊCH VỤ THƯƠNG MẠI TỔNG HỢP WINCOMMERCE</v>
      </c>
      <c r="G4696" s="16" t="str">
        <f>VLOOKUP(Table8[[#This Row],[Mã khách hàng]],code_khach_hang[],3,0)</f>
        <v>Miền Nam đặc biệt 1</v>
      </c>
      <c r="H4696" t="str">
        <f>VLOOKUP(Table8[[#This Row],[Mã khách hàng]],'Khách hàng'!A:D,4,0)</f>
        <v>Food Đức Việt</v>
      </c>
      <c r="I4696" t="str">
        <f>VLOOKUP(Table8[[#This Row],[Mã khách hàng]],'Khách hàng'!A:E,5,0)</f>
        <v>HCVG80</v>
      </c>
    </row>
    <row r="4697" spans="1:9" x14ac:dyDescent="0.25">
      <c r="A4697" s="14" t="s">
        <v>14046</v>
      </c>
      <c r="B4697" s="15" t="s">
        <v>5</v>
      </c>
      <c r="C4697" s="16" t="s">
        <v>15172</v>
      </c>
      <c r="D4697" s="21"/>
      <c r="E4697" s="32" t="s">
        <v>15670</v>
      </c>
      <c r="F4697" s="22" t="str">
        <f>VLOOKUP(Table8[[#This Row],[Mã khách hàng]],code_khach_hang[],2,0)</f>
        <v>CHI NHÁNH TIỀN GIANG - CÔNG TY CỔ PHẦN DỊCH VỤ THƯƠNG MẠI TỔNG HỢP WINCOMMERCE</v>
      </c>
      <c r="G4697" s="16" t="str">
        <f>VLOOKUP(Table8[[#This Row],[Mã khách hàng]],code_khach_hang[],3,0)</f>
        <v>Miền Nam đặc biệt 1</v>
      </c>
      <c r="H4697" t="str">
        <f>VLOOKUP(Table8[[#This Row],[Mã khách hàng]],'Khách hàng'!A:D,4,0)</f>
        <v>Food Đức Việt</v>
      </c>
      <c r="I4697" t="str">
        <f>VLOOKUP(Table8[[#This Row],[Mã khách hàng]],'Khách hàng'!A:E,5,0)</f>
        <v>HCVG80</v>
      </c>
    </row>
    <row r="4698" spans="1:9" x14ac:dyDescent="0.25">
      <c r="A4698" s="14" t="s">
        <v>14047</v>
      </c>
      <c r="B4698" s="15" t="s">
        <v>5</v>
      </c>
      <c r="C4698" s="16" t="s">
        <v>15173</v>
      </c>
      <c r="D4698" s="21"/>
      <c r="E4698" s="32" t="s">
        <v>15676</v>
      </c>
      <c r="F4698" s="22" t="str">
        <f>VLOOKUP(Table8[[#This Row],[Mã khách hàng]],code_khach_hang[],2,0)</f>
        <v>CHI NHÁNH KIÊN GIANG - CÔNG TY CỔ PHẦN DỊCH VỤ THƯƠNG MẠI TỔNG HỢP WINCOMMERCE</v>
      </c>
      <c r="G4698" s="16" t="str">
        <f>VLOOKUP(Table8[[#This Row],[Mã khách hàng]],code_khach_hang[],3,0)</f>
        <v>Miền Nam đặc biệt 2</v>
      </c>
      <c r="H4698" t="str">
        <f>VLOOKUP(Table8[[#This Row],[Mã khách hàng]],'Khách hàng'!A:D,4,0)</f>
        <v>Food Đức Việt</v>
      </c>
      <c r="I4698" t="str">
        <f>VLOOKUP(Table8[[#This Row],[Mã khách hàng]],'Khách hàng'!A:E,5,0)</f>
        <v>HC-CT120</v>
      </c>
    </row>
    <row r="4699" spans="1:9" x14ac:dyDescent="0.25">
      <c r="A4699" s="14" t="s">
        <v>14048</v>
      </c>
      <c r="B4699" s="15" t="s">
        <v>5</v>
      </c>
      <c r="C4699" s="16" t="s">
        <v>15174</v>
      </c>
      <c r="D4699" s="21"/>
      <c r="E4699" s="32" t="s">
        <v>15671</v>
      </c>
      <c r="F4699" s="22" t="str">
        <f>VLOOKUP(Table8[[#This Row],[Mã khách hàng]],code_khach_hang[],2,0)</f>
        <v>CHI NHÁNH BÌNH DƯƠNG - CÔNG TY CỔ PHẦN DỊCH VỤ THƯƠNG MẠI TỔNG HỢP WINCOMMERCE</v>
      </c>
      <c r="G4699" s="16" t="str">
        <f>VLOOKUP(Table8[[#This Row],[Mã khách hàng]],code_khach_hang[],3,0)</f>
        <v>Miền Nam đặc biệt 1</v>
      </c>
      <c r="H4699" t="str">
        <f>VLOOKUP(Table8[[#This Row],[Mã khách hàng]],'Khách hàng'!A:D,4,0)</f>
        <v>Food Đức Việt</v>
      </c>
      <c r="I4699" t="str">
        <f>VLOOKUP(Table8[[#This Row],[Mã khách hàng]],'Khách hàng'!A:E,5,0)</f>
        <v>HCVG80</v>
      </c>
    </row>
    <row r="4700" spans="1:9" x14ac:dyDescent="0.25">
      <c r="A4700" s="14" t="s">
        <v>14049</v>
      </c>
      <c r="B4700" s="15" t="s">
        <v>5</v>
      </c>
      <c r="C4700" s="16" t="s">
        <v>15175</v>
      </c>
      <c r="D4700" s="21"/>
      <c r="E4700" s="32" t="s">
        <v>15674</v>
      </c>
      <c r="F4700" s="22" t="str">
        <f>VLOOKUP(Table8[[#This Row],[Mã khách hàng]],code_khach_hang[],2,0)</f>
        <v>CHI NHÁNH LONG AN - CÔNG TY CỔ PHẦN DỊCH VỤ THƯƠNG MẠI TỔNG HỢP WINCOMMERCE</v>
      </c>
      <c r="G4700" s="16" t="str">
        <f>VLOOKUP(Table8[[#This Row],[Mã khách hàng]],code_khach_hang[],3,0)</f>
        <v>Miền Nam đặc biệt 2</v>
      </c>
      <c r="H4700" t="str">
        <f>VLOOKUP(Table8[[#This Row],[Mã khách hàng]],'Khách hàng'!A:D,4,0)</f>
        <v>Food Đức Việt</v>
      </c>
      <c r="I4700" t="str">
        <f>VLOOKUP(Table8[[#This Row],[Mã khách hàng]],'Khách hàng'!A:E,5,0)</f>
        <v>HCVG80</v>
      </c>
    </row>
    <row r="4701" spans="1:9" x14ac:dyDescent="0.25">
      <c r="A4701" s="14" t="s">
        <v>14050</v>
      </c>
      <c r="B4701" s="15" t="s">
        <v>5</v>
      </c>
      <c r="C4701" s="16" t="s">
        <v>15176</v>
      </c>
      <c r="D4701" s="21"/>
      <c r="E4701" s="32" t="s">
        <v>15667</v>
      </c>
      <c r="F4701" s="22" t="str">
        <f>VLOOKUP(Table8[[#This Row],[Mã khách hàng]],code_khach_hang[],2,0)</f>
        <v>CÔNG TY CỔ PHẦN DỊCH VỤ THƯƠNG MẠI TỔNG HỢP WINCOMMERCE</v>
      </c>
      <c r="G4701" s="16" t="str">
        <f>VLOOKUP(Table8[[#This Row],[Mã khách hàng]],code_khach_hang[],3,0)</f>
        <v>Miền Nam đặc biệt 1</v>
      </c>
      <c r="H4701" t="str">
        <f>VLOOKUP(Table8[[#This Row],[Mã khách hàng]],'Khách hàng'!A:D,4,0)</f>
        <v>Food Đức Việt</v>
      </c>
      <c r="I4701" t="str">
        <f>VLOOKUP(Table8[[#This Row],[Mã khách hàng]],'Khách hàng'!A:E,5,0)</f>
        <v>HCVG80</v>
      </c>
    </row>
    <row r="4702" spans="1:9" x14ac:dyDescent="0.25">
      <c r="A4702" s="14" t="s">
        <v>14051</v>
      </c>
      <c r="B4702" s="15" t="s">
        <v>5</v>
      </c>
      <c r="C4702" s="16" t="s">
        <v>15177</v>
      </c>
      <c r="D4702" s="21"/>
      <c r="E4702" s="32" t="s">
        <v>15671</v>
      </c>
      <c r="F4702" s="22" t="str">
        <f>VLOOKUP(Table8[[#This Row],[Mã khách hàng]],code_khach_hang[],2,0)</f>
        <v>CHI NHÁNH BÌNH DƯƠNG - CÔNG TY CỔ PHẦN DỊCH VỤ THƯƠNG MẠI TỔNG HỢP WINCOMMERCE</v>
      </c>
      <c r="G4702" s="16" t="str">
        <f>VLOOKUP(Table8[[#This Row],[Mã khách hàng]],code_khach_hang[],3,0)</f>
        <v>Miền Nam đặc biệt 1</v>
      </c>
      <c r="H4702" t="str">
        <f>VLOOKUP(Table8[[#This Row],[Mã khách hàng]],'Khách hàng'!A:D,4,0)</f>
        <v>Food Đức Việt</v>
      </c>
      <c r="I4702" t="str">
        <f>VLOOKUP(Table8[[#This Row],[Mã khách hàng]],'Khách hàng'!A:E,5,0)</f>
        <v>HCVG80</v>
      </c>
    </row>
    <row r="4703" spans="1:9" x14ac:dyDescent="0.25">
      <c r="A4703" s="14" t="s">
        <v>14052</v>
      </c>
      <c r="B4703" s="15" t="s">
        <v>5</v>
      </c>
      <c r="C4703" s="16" t="s">
        <v>15178</v>
      </c>
      <c r="D4703" s="21"/>
      <c r="E4703" s="32" t="s">
        <v>15671</v>
      </c>
      <c r="F4703" s="22" t="str">
        <f>VLOOKUP(Table8[[#This Row],[Mã khách hàng]],code_khach_hang[],2,0)</f>
        <v>CHI NHÁNH BÌNH DƯƠNG - CÔNG TY CỔ PHẦN DỊCH VỤ THƯƠNG MẠI TỔNG HỢP WINCOMMERCE</v>
      </c>
      <c r="G4703" s="16" t="str">
        <f>VLOOKUP(Table8[[#This Row],[Mã khách hàng]],code_khach_hang[],3,0)</f>
        <v>Miền Nam đặc biệt 1</v>
      </c>
      <c r="H4703" t="str">
        <f>VLOOKUP(Table8[[#This Row],[Mã khách hàng]],'Khách hàng'!A:D,4,0)</f>
        <v>Food Đức Việt</v>
      </c>
      <c r="I4703" t="str">
        <f>VLOOKUP(Table8[[#This Row],[Mã khách hàng]],'Khách hàng'!A:E,5,0)</f>
        <v>HCVG80</v>
      </c>
    </row>
    <row r="4704" spans="1:9" x14ac:dyDescent="0.25">
      <c r="A4704" s="14" t="s">
        <v>14053</v>
      </c>
      <c r="B4704" s="15" t="s">
        <v>5</v>
      </c>
      <c r="C4704" s="16" t="s">
        <v>15179</v>
      </c>
      <c r="D4704" s="21"/>
      <c r="E4704" s="32" t="s">
        <v>15668</v>
      </c>
      <c r="F4704" s="22" t="str">
        <f>VLOOKUP(Table8[[#This Row],[Mã khách hàng]],code_khach_hang[],2,0)</f>
        <v>CHI NHÁNH ĐỒNG NAI - CÔNG TY CỔ PHẦN DỊCH VỤ THƯƠNG MẠI TỔNG HỢP WINCOMMERCE</v>
      </c>
      <c r="G4704" s="16" t="str">
        <f>VLOOKUP(Table8[[#This Row],[Mã khách hàng]],code_khach_hang[],3,0)</f>
        <v>Miền Nam đặc biệt 3</v>
      </c>
      <c r="H4704" t="str">
        <f>VLOOKUP(Table8[[#This Row],[Mã khách hàng]],'Khách hàng'!A:D,4,0)</f>
        <v>Food Đức Việt</v>
      </c>
      <c r="I4704" t="str">
        <f>VLOOKUP(Table8[[#This Row],[Mã khách hàng]],'Khách hàng'!A:E,5,0)</f>
        <v>HCVG80</v>
      </c>
    </row>
    <row r="4705" spans="1:9" x14ac:dyDescent="0.25">
      <c r="A4705" s="14" t="s">
        <v>14054</v>
      </c>
      <c r="B4705" s="15" t="s">
        <v>5</v>
      </c>
      <c r="C4705" s="16" t="s">
        <v>15180</v>
      </c>
      <c r="D4705" s="21"/>
      <c r="E4705" s="32" t="s">
        <v>15667</v>
      </c>
      <c r="F4705" s="22" t="str">
        <f>VLOOKUP(Table8[[#This Row],[Mã khách hàng]],code_khach_hang[],2,0)</f>
        <v>CÔNG TY CỔ PHẦN DỊCH VỤ THƯƠNG MẠI TỔNG HỢP WINCOMMERCE</v>
      </c>
      <c r="G4705" s="16" t="str">
        <f>VLOOKUP(Table8[[#This Row],[Mã khách hàng]],code_khach_hang[],3,0)</f>
        <v>Miền Nam đặc biệt 1</v>
      </c>
      <c r="H4705" t="str">
        <f>VLOOKUP(Table8[[#This Row],[Mã khách hàng]],'Khách hàng'!A:D,4,0)</f>
        <v>Food Đức Việt</v>
      </c>
      <c r="I4705" t="str">
        <f>VLOOKUP(Table8[[#This Row],[Mã khách hàng]],'Khách hàng'!A:E,5,0)</f>
        <v>HCVG80</v>
      </c>
    </row>
    <row r="4706" spans="1:9" x14ac:dyDescent="0.25">
      <c r="A4706" s="14" t="s">
        <v>14055</v>
      </c>
      <c r="B4706" s="15" t="s">
        <v>5</v>
      </c>
      <c r="C4706" s="16" t="s">
        <v>15181</v>
      </c>
      <c r="D4706" s="21"/>
      <c r="E4706" s="32" t="s">
        <v>15671</v>
      </c>
      <c r="F4706" s="22" t="str">
        <f>VLOOKUP(Table8[[#This Row],[Mã khách hàng]],code_khach_hang[],2,0)</f>
        <v>CHI NHÁNH BÌNH DƯƠNG - CÔNG TY CỔ PHẦN DỊCH VỤ THƯƠNG MẠI TỔNG HỢP WINCOMMERCE</v>
      </c>
      <c r="G4706" s="16" t="str">
        <f>VLOOKUP(Table8[[#This Row],[Mã khách hàng]],code_khach_hang[],3,0)</f>
        <v>Miền Nam đặc biệt 1</v>
      </c>
      <c r="H4706" t="str">
        <f>VLOOKUP(Table8[[#This Row],[Mã khách hàng]],'Khách hàng'!A:D,4,0)</f>
        <v>Food Đức Việt</v>
      </c>
      <c r="I4706" t="str">
        <f>VLOOKUP(Table8[[#This Row],[Mã khách hàng]],'Khách hàng'!A:E,5,0)</f>
        <v>HCVG80</v>
      </c>
    </row>
    <row r="4707" spans="1:9" x14ac:dyDescent="0.25">
      <c r="A4707" s="14" t="s">
        <v>14056</v>
      </c>
      <c r="B4707" s="15" t="s">
        <v>5</v>
      </c>
      <c r="C4707" s="16" t="s">
        <v>15182</v>
      </c>
      <c r="D4707" s="21"/>
      <c r="E4707" s="32" t="s">
        <v>15686</v>
      </c>
      <c r="F4707" s="22" t="str">
        <f>VLOOKUP(Table8[[#This Row],[Mã khách hàng]],code_khach_hang[],2,0)</f>
        <v>CHI NHÁNH BÌNH PHƯỚC - CÔNG TY CỔ PHẦN DỊCH VỤ THƯƠNG MẠI TỔNG HỢP WINCOMMERCE</v>
      </c>
      <c r="G4707" s="16" t="str">
        <f>VLOOKUP(Table8[[#This Row],[Mã khách hàng]],code_khach_hang[],3,0)</f>
        <v>Miền Nam đặc biệt 2</v>
      </c>
      <c r="H4707" t="str">
        <f>VLOOKUP(Table8[[#This Row],[Mã khách hàng]],'Khách hàng'!A:D,4,0)</f>
        <v>Food Đức Việt</v>
      </c>
      <c r="I4707" t="str">
        <f>VLOOKUP(Table8[[#This Row],[Mã khách hàng]],'Khách hàng'!A:E,5,0)</f>
        <v>HCVG80</v>
      </c>
    </row>
    <row r="4708" spans="1:9" x14ac:dyDescent="0.25">
      <c r="A4708" s="14" t="s">
        <v>14057</v>
      </c>
      <c r="B4708" s="15" t="s">
        <v>5</v>
      </c>
      <c r="C4708" s="16" t="s">
        <v>15183</v>
      </c>
      <c r="D4708" s="21"/>
      <c r="E4708" s="32" t="s">
        <v>15686</v>
      </c>
      <c r="F4708" s="22" t="str">
        <f>VLOOKUP(Table8[[#This Row],[Mã khách hàng]],code_khach_hang[],2,0)</f>
        <v>CHI NHÁNH BÌNH PHƯỚC - CÔNG TY CỔ PHẦN DỊCH VỤ THƯƠNG MẠI TỔNG HỢP WINCOMMERCE</v>
      </c>
      <c r="G4708" s="16" t="str">
        <f>VLOOKUP(Table8[[#This Row],[Mã khách hàng]],code_khach_hang[],3,0)</f>
        <v>Miền Nam đặc biệt 2</v>
      </c>
      <c r="H4708" t="str">
        <f>VLOOKUP(Table8[[#This Row],[Mã khách hàng]],'Khách hàng'!A:D,4,0)</f>
        <v>Food Đức Việt</v>
      </c>
      <c r="I4708" t="str">
        <f>VLOOKUP(Table8[[#This Row],[Mã khách hàng]],'Khách hàng'!A:E,5,0)</f>
        <v>HCVG80</v>
      </c>
    </row>
    <row r="4709" spans="1:9" x14ac:dyDescent="0.25">
      <c r="A4709" s="14" t="s">
        <v>14058</v>
      </c>
      <c r="B4709" s="15" t="s">
        <v>5</v>
      </c>
      <c r="C4709" s="16" t="s">
        <v>15184</v>
      </c>
      <c r="D4709" s="21"/>
      <c r="E4709" s="32" t="s">
        <v>15667</v>
      </c>
      <c r="F4709" s="22" t="str">
        <f>VLOOKUP(Table8[[#This Row],[Mã khách hàng]],code_khach_hang[],2,0)</f>
        <v>CÔNG TY CỔ PHẦN DỊCH VỤ THƯƠNG MẠI TỔNG HỢP WINCOMMERCE</v>
      </c>
      <c r="G4709" s="16" t="str">
        <f>VLOOKUP(Table8[[#This Row],[Mã khách hàng]],code_khach_hang[],3,0)</f>
        <v>Miền Nam đặc biệt 1</v>
      </c>
      <c r="H4709" t="str">
        <f>VLOOKUP(Table8[[#This Row],[Mã khách hàng]],'Khách hàng'!A:D,4,0)</f>
        <v>Food Đức Việt</v>
      </c>
      <c r="I4709" t="str">
        <f>VLOOKUP(Table8[[#This Row],[Mã khách hàng]],'Khách hàng'!A:E,5,0)</f>
        <v>HCVG80</v>
      </c>
    </row>
    <row r="4710" spans="1:9" x14ac:dyDescent="0.25">
      <c r="A4710" s="14" t="s">
        <v>14059</v>
      </c>
      <c r="B4710" s="15" t="s">
        <v>5</v>
      </c>
      <c r="C4710" s="16" t="s">
        <v>15185</v>
      </c>
      <c r="D4710" s="21"/>
      <c r="E4710" s="32" t="s">
        <v>15680</v>
      </c>
      <c r="F4710" s="22" t="str">
        <f>VLOOKUP(Table8[[#This Row],[Mã khách hàng]],code_khach_hang[],2,0)</f>
        <v>CHI NHÁNH SÓC TRĂNG - CÔNG TY CỔ PHẦN DỊCH VỤ THƯƠNG MẠI TỔNG HỢP WINCOMMERCE</v>
      </c>
      <c r="G4710" s="16" t="str">
        <f>VLOOKUP(Table8[[#This Row],[Mã khách hàng]],code_khach_hang[],3,0)</f>
        <v>Miền Nam đặc biệt 1</v>
      </c>
      <c r="H4710" t="str">
        <f>VLOOKUP(Table8[[#This Row],[Mã khách hàng]],'Khách hàng'!A:D,4,0)</f>
        <v>Food Đức Việt</v>
      </c>
      <c r="I4710" t="str">
        <f>VLOOKUP(Table8[[#This Row],[Mã khách hàng]],'Khách hàng'!A:E,5,0)</f>
        <v>HC-CT120</v>
      </c>
    </row>
    <row r="4711" spans="1:9" x14ac:dyDescent="0.25">
      <c r="A4711" s="14" t="s">
        <v>14060</v>
      </c>
      <c r="B4711" s="15" t="s">
        <v>5</v>
      </c>
      <c r="C4711" s="16" t="s">
        <v>15186</v>
      </c>
      <c r="D4711" s="21"/>
      <c r="E4711" s="32" t="s">
        <v>15671</v>
      </c>
      <c r="F4711" s="22" t="str">
        <f>VLOOKUP(Table8[[#This Row],[Mã khách hàng]],code_khach_hang[],2,0)</f>
        <v>CHI NHÁNH BÌNH DƯƠNG - CÔNG TY CỔ PHẦN DỊCH VỤ THƯƠNG MẠI TỔNG HỢP WINCOMMERCE</v>
      </c>
      <c r="G4711" s="16" t="str">
        <f>VLOOKUP(Table8[[#This Row],[Mã khách hàng]],code_khach_hang[],3,0)</f>
        <v>Miền Nam đặc biệt 1</v>
      </c>
      <c r="H4711" t="str">
        <f>VLOOKUP(Table8[[#This Row],[Mã khách hàng]],'Khách hàng'!A:D,4,0)</f>
        <v>Food Đức Việt</v>
      </c>
      <c r="I4711" t="str">
        <f>VLOOKUP(Table8[[#This Row],[Mã khách hàng]],'Khách hàng'!A:E,5,0)</f>
        <v>HCVG80</v>
      </c>
    </row>
    <row r="4712" spans="1:9" x14ac:dyDescent="0.25">
      <c r="A4712" s="14" t="s">
        <v>14061</v>
      </c>
      <c r="B4712" s="15" t="s">
        <v>5</v>
      </c>
      <c r="C4712" s="16" t="s">
        <v>15187</v>
      </c>
      <c r="D4712" s="21"/>
      <c r="E4712" s="32" t="s">
        <v>15671</v>
      </c>
      <c r="F4712" s="22" t="str">
        <f>VLOOKUP(Table8[[#This Row],[Mã khách hàng]],code_khach_hang[],2,0)</f>
        <v>CHI NHÁNH BÌNH DƯƠNG - CÔNG TY CỔ PHẦN DỊCH VỤ THƯƠNG MẠI TỔNG HỢP WINCOMMERCE</v>
      </c>
      <c r="G4712" s="16" t="str">
        <f>VLOOKUP(Table8[[#This Row],[Mã khách hàng]],code_khach_hang[],3,0)</f>
        <v>Miền Nam đặc biệt 1</v>
      </c>
      <c r="H4712" t="str">
        <f>VLOOKUP(Table8[[#This Row],[Mã khách hàng]],'Khách hàng'!A:D,4,0)</f>
        <v>Food Đức Việt</v>
      </c>
      <c r="I4712" t="str">
        <f>VLOOKUP(Table8[[#This Row],[Mã khách hàng]],'Khách hàng'!A:E,5,0)</f>
        <v>HCVG80</v>
      </c>
    </row>
    <row r="4713" spans="1:9" x14ac:dyDescent="0.25">
      <c r="A4713" s="14" t="s">
        <v>14062</v>
      </c>
      <c r="B4713" s="15" t="s">
        <v>5</v>
      </c>
      <c r="C4713" s="16" t="s">
        <v>15188</v>
      </c>
      <c r="D4713" s="21"/>
      <c r="E4713" s="32" t="s">
        <v>15667</v>
      </c>
      <c r="F4713" s="22" t="str">
        <f>VLOOKUP(Table8[[#This Row],[Mã khách hàng]],code_khach_hang[],2,0)</f>
        <v>CÔNG TY CỔ PHẦN DỊCH VỤ THƯƠNG MẠI TỔNG HỢP WINCOMMERCE</v>
      </c>
      <c r="G4713" s="16" t="str">
        <f>VLOOKUP(Table8[[#This Row],[Mã khách hàng]],code_khach_hang[],3,0)</f>
        <v>Miền Nam đặc biệt 1</v>
      </c>
      <c r="H4713" t="str">
        <f>VLOOKUP(Table8[[#This Row],[Mã khách hàng]],'Khách hàng'!A:D,4,0)</f>
        <v>Food Đức Việt</v>
      </c>
      <c r="I4713" t="str">
        <f>VLOOKUP(Table8[[#This Row],[Mã khách hàng]],'Khách hàng'!A:E,5,0)</f>
        <v>HCVG80</v>
      </c>
    </row>
    <row r="4714" spans="1:9" x14ac:dyDescent="0.25">
      <c r="A4714" s="14" t="s">
        <v>14063</v>
      </c>
      <c r="B4714" s="15" t="s">
        <v>5</v>
      </c>
      <c r="C4714" s="16" t="s">
        <v>15189</v>
      </c>
      <c r="D4714" s="21"/>
      <c r="E4714" s="32" t="s">
        <v>15673</v>
      </c>
      <c r="F4714" s="22" t="str">
        <f>VLOOKUP(Table8[[#This Row],[Mã khách hàng]],code_khach_hang[],2,0)</f>
        <v>CHI NHÁNH BÌNH THUẬN - CÔNG TY CỔ PHẦN DỊCH VỤ THƯƠNG MẠI TỔNG HỢP WINCOMMERCE</v>
      </c>
      <c r="G4714" s="16" t="str">
        <f>VLOOKUP(Table8[[#This Row],[Mã khách hàng]],code_khach_hang[],3,0)</f>
        <v>Miền Nam đặc biệt 3</v>
      </c>
      <c r="H4714" t="str">
        <f>VLOOKUP(Table8[[#This Row],[Mã khách hàng]],'Khách hàng'!A:D,4,0)</f>
        <v>Food Đức Việt</v>
      </c>
      <c r="I4714" t="str">
        <f>VLOOKUP(Table8[[#This Row],[Mã khách hàng]],'Khách hàng'!A:E,5,0)</f>
        <v>HCVG80</v>
      </c>
    </row>
    <row r="4715" spans="1:9" x14ac:dyDescent="0.25">
      <c r="A4715" s="14" t="s">
        <v>14064</v>
      </c>
      <c r="B4715" s="15" t="s">
        <v>5</v>
      </c>
      <c r="C4715" s="16" t="s">
        <v>15190</v>
      </c>
      <c r="D4715" s="21"/>
      <c r="E4715" s="32" t="s">
        <v>15667</v>
      </c>
      <c r="F4715" s="22" t="str">
        <f>VLOOKUP(Table8[[#This Row],[Mã khách hàng]],code_khach_hang[],2,0)</f>
        <v>CÔNG TY CỔ PHẦN DỊCH VỤ THƯƠNG MẠI TỔNG HỢP WINCOMMERCE</v>
      </c>
      <c r="G4715" s="16" t="str">
        <f>VLOOKUP(Table8[[#This Row],[Mã khách hàng]],code_khach_hang[],3,0)</f>
        <v>Miền Nam đặc biệt 1</v>
      </c>
      <c r="H4715" t="str">
        <f>VLOOKUP(Table8[[#This Row],[Mã khách hàng]],'Khách hàng'!A:D,4,0)</f>
        <v>Food Đức Việt</v>
      </c>
      <c r="I4715" t="str">
        <f>VLOOKUP(Table8[[#This Row],[Mã khách hàng]],'Khách hàng'!A:E,5,0)</f>
        <v>HCVG80</v>
      </c>
    </row>
    <row r="4716" spans="1:9" x14ac:dyDescent="0.25">
      <c r="A4716" s="14" t="s">
        <v>14065</v>
      </c>
      <c r="B4716" s="15" t="s">
        <v>5</v>
      </c>
      <c r="C4716" s="16" t="s">
        <v>15191</v>
      </c>
      <c r="D4716" s="21"/>
      <c r="E4716" s="32" t="s">
        <v>15684</v>
      </c>
      <c r="F4716" s="22" t="str">
        <f>VLOOKUP(Table8[[#This Row],[Mã khách hàng]],code_khach_hang[],2,0)</f>
        <v>CHI NHÁNH NINH THUẬN - CÔNG TY CỔ PHẦN DỊCH VỤ THƯƠNG MẠI TỔNG HỢP WINCOMMERCE</v>
      </c>
      <c r="G4716" s="16" t="str">
        <f>VLOOKUP(Table8[[#This Row],[Mã khách hàng]],code_khach_hang[],3,0)</f>
        <v>Miền Nam đặc biệt 3</v>
      </c>
      <c r="H4716" t="str">
        <f>VLOOKUP(Table8[[#This Row],[Mã khách hàng]],'Khách hàng'!A:D,4,0)</f>
        <v>Food Đức Việt</v>
      </c>
      <c r="I4716" t="str">
        <f>VLOOKUP(Table8[[#This Row],[Mã khách hàng]],'Khách hàng'!A:E,5,0)</f>
        <v>HCVG80</v>
      </c>
    </row>
    <row r="4717" spans="1:9" x14ac:dyDescent="0.25">
      <c r="A4717" s="14" t="s">
        <v>14066</v>
      </c>
      <c r="B4717" s="15" t="s">
        <v>5</v>
      </c>
      <c r="C4717" s="16" t="s">
        <v>15192</v>
      </c>
      <c r="D4717" s="21"/>
      <c r="E4717" s="32" t="s">
        <v>15673</v>
      </c>
      <c r="F4717" s="22" t="str">
        <f>VLOOKUP(Table8[[#This Row],[Mã khách hàng]],code_khach_hang[],2,0)</f>
        <v>CHI NHÁNH BÌNH THUẬN - CÔNG TY CỔ PHẦN DỊCH VỤ THƯƠNG MẠI TỔNG HỢP WINCOMMERCE</v>
      </c>
      <c r="G4717" s="16" t="str">
        <f>VLOOKUP(Table8[[#This Row],[Mã khách hàng]],code_khach_hang[],3,0)</f>
        <v>Miền Nam đặc biệt 3</v>
      </c>
      <c r="H4717" t="str">
        <f>VLOOKUP(Table8[[#This Row],[Mã khách hàng]],'Khách hàng'!A:D,4,0)</f>
        <v>Food Đức Việt</v>
      </c>
      <c r="I4717" t="str">
        <f>VLOOKUP(Table8[[#This Row],[Mã khách hàng]],'Khách hàng'!A:E,5,0)</f>
        <v>HCVG80</v>
      </c>
    </row>
    <row r="4718" spans="1:9" x14ac:dyDescent="0.25">
      <c r="A4718" s="14" t="s">
        <v>14067</v>
      </c>
      <c r="B4718" s="15" t="s">
        <v>5</v>
      </c>
      <c r="C4718" s="16" t="s">
        <v>15193</v>
      </c>
      <c r="D4718" s="21"/>
      <c r="E4718" s="32" t="s">
        <v>15673</v>
      </c>
      <c r="F4718" s="22" t="str">
        <f>VLOOKUP(Table8[[#This Row],[Mã khách hàng]],code_khach_hang[],2,0)</f>
        <v>CHI NHÁNH BÌNH THUẬN - CÔNG TY CỔ PHẦN DỊCH VỤ THƯƠNG MẠI TỔNG HỢP WINCOMMERCE</v>
      </c>
      <c r="G4718" s="16" t="str">
        <f>VLOOKUP(Table8[[#This Row],[Mã khách hàng]],code_khach_hang[],3,0)</f>
        <v>Miền Nam đặc biệt 3</v>
      </c>
      <c r="H4718" t="str">
        <f>VLOOKUP(Table8[[#This Row],[Mã khách hàng]],'Khách hàng'!A:D,4,0)</f>
        <v>Food Đức Việt</v>
      </c>
      <c r="I4718" t="str">
        <f>VLOOKUP(Table8[[#This Row],[Mã khách hàng]],'Khách hàng'!A:E,5,0)</f>
        <v>HCVG80</v>
      </c>
    </row>
    <row r="4719" spans="1:9" x14ac:dyDescent="0.25">
      <c r="A4719" s="14" t="s">
        <v>14068</v>
      </c>
      <c r="B4719" s="15" t="s">
        <v>5</v>
      </c>
      <c r="C4719" s="16" t="s">
        <v>15194</v>
      </c>
      <c r="D4719" s="21"/>
      <c r="E4719" s="32" t="s">
        <v>15684</v>
      </c>
      <c r="F4719" s="22" t="str">
        <f>VLOOKUP(Table8[[#This Row],[Mã khách hàng]],code_khach_hang[],2,0)</f>
        <v>CHI NHÁNH NINH THUẬN - CÔNG TY CỔ PHẦN DỊCH VỤ THƯƠNG MẠI TỔNG HỢP WINCOMMERCE</v>
      </c>
      <c r="G4719" s="16" t="str">
        <f>VLOOKUP(Table8[[#This Row],[Mã khách hàng]],code_khach_hang[],3,0)</f>
        <v>Miền Nam đặc biệt 3</v>
      </c>
      <c r="H4719" t="str">
        <f>VLOOKUP(Table8[[#This Row],[Mã khách hàng]],'Khách hàng'!A:D,4,0)</f>
        <v>Food Đức Việt</v>
      </c>
      <c r="I4719" t="str">
        <f>VLOOKUP(Table8[[#This Row],[Mã khách hàng]],'Khách hàng'!A:E,5,0)</f>
        <v>HCVG80</v>
      </c>
    </row>
    <row r="4720" spans="1:9" x14ac:dyDescent="0.25">
      <c r="A4720" s="14" t="s">
        <v>14069</v>
      </c>
      <c r="B4720" s="15" t="s">
        <v>5</v>
      </c>
      <c r="C4720" s="16" t="s">
        <v>15195</v>
      </c>
      <c r="D4720" s="21"/>
      <c r="E4720" s="32" t="s">
        <v>15680</v>
      </c>
      <c r="F4720" s="22" t="str">
        <f>VLOOKUP(Table8[[#This Row],[Mã khách hàng]],code_khach_hang[],2,0)</f>
        <v>CHI NHÁNH SÓC TRĂNG - CÔNG TY CỔ PHẦN DỊCH VỤ THƯƠNG MẠI TỔNG HỢP WINCOMMERCE</v>
      </c>
      <c r="G4720" s="16" t="str">
        <f>VLOOKUP(Table8[[#This Row],[Mã khách hàng]],code_khach_hang[],3,0)</f>
        <v>Miền Nam đặc biệt 1</v>
      </c>
      <c r="H4720" t="str">
        <f>VLOOKUP(Table8[[#This Row],[Mã khách hàng]],'Khách hàng'!A:D,4,0)</f>
        <v>Food Đức Việt</v>
      </c>
      <c r="I4720" t="str">
        <f>VLOOKUP(Table8[[#This Row],[Mã khách hàng]],'Khách hàng'!A:E,5,0)</f>
        <v>HC-CT120</v>
      </c>
    </row>
    <row r="4721" spans="1:9" x14ac:dyDescent="0.25">
      <c r="A4721" s="14" t="s">
        <v>14070</v>
      </c>
      <c r="B4721" s="15" t="s">
        <v>5</v>
      </c>
      <c r="C4721" s="16" t="s">
        <v>15196</v>
      </c>
      <c r="D4721" s="21"/>
      <c r="E4721" s="32" t="s">
        <v>15671</v>
      </c>
      <c r="F4721" s="22" t="str">
        <f>VLOOKUP(Table8[[#This Row],[Mã khách hàng]],code_khach_hang[],2,0)</f>
        <v>CHI NHÁNH BÌNH DƯƠNG - CÔNG TY CỔ PHẦN DỊCH VỤ THƯƠNG MẠI TỔNG HỢP WINCOMMERCE</v>
      </c>
      <c r="G4721" s="16" t="str">
        <f>VLOOKUP(Table8[[#This Row],[Mã khách hàng]],code_khach_hang[],3,0)</f>
        <v>Miền Nam đặc biệt 1</v>
      </c>
      <c r="H4721" t="str">
        <f>VLOOKUP(Table8[[#This Row],[Mã khách hàng]],'Khách hàng'!A:D,4,0)</f>
        <v>Food Đức Việt</v>
      </c>
      <c r="I4721" t="str">
        <f>VLOOKUP(Table8[[#This Row],[Mã khách hàng]],'Khách hàng'!A:E,5,0)</f>
        <v>HCVG80</v>
      </c>
    </row>
    <row r="4722" spans="1:9" x14ac:dyDescent="0.25">
      <c r="A4722" s="14" t="s">
        <v>14071</v>
      </c>
      <c r="B4722" s="15" t="s">
        <v>5</v>
      </c>
      <c r="C4722" s="16" t="s">
        <v>15197</v>
      </c>
      <c r="D4722" s="21"/>
      <c r="E4722" s="32" t="s">
        <v>15681</v>
      </c>
      <c r="F4722" s="22" t="str">
        <f>VLOOKUP(Table8[[#This Row],[Mã khách hàng]],code_khach_hang[],2,0)</f>
        <v>CHI NHÁNH BẾN TRE - CÔNG TY CỔ PHẦN DỊCH VỤ THƯƠNG MẠI TỔNG HỢP WINCOMMERCE</v>
      </c>
      <c r="G4722" s="16" t="str">
        <f>VLOOKUP(Table8[[#This Row],[Mã khách hàng]],code_khach_hang[],3,0)</f>
        <v>Miền Nam đặc biệt 1</v>
      </c>
      <c r="H4722" t="str">
        <f>VLOOKUP(Table8[[#This Row],[Mã khách hàng]],'Khách hàng'!A:D,4,0)</f>
        <v>Food Đức Việt</v>
      </c>
      <c r="I4722" t="str">
        <f>VLOOKUP(Table8[[#This Row],[Mã khách hàng]],'Khách hàng'!A:E,5,0)</f>
        <v>HCVG80</v>
      </c>
    </row>
    <row r="4723" spans="1:9" x14ac:dyDescent="0.25">
      <c r="A4723" s="14" t="s">
        <v>14072</v>
      </c>
      <c r="B4723" s="15" t="s">
        <v>5</v>
      </c>
      <c r="C4723" s="16" t="s">
        <v>15198</v>
      </c>
      <c r="D4723" s="21"/>
      <c r="E4723" s="32" t="s">
        <v>15680</v>
      </c>
      <c r="F4723" s="22" t="str">
        <f>VLOOKUP(Table8[[#This Row],[Mã khách hàng]],code_khach_hang[],2,0)</f>
        <v>CHI NHÁNH SÓC TRĂNG - CÔNG TY CỔ PHẦN DỊCH VỤ THƯƠNG MẠI TỔNG HỢP WINCOMMERCE</v>
      </c>
      <c r="G4723" s="16" t="str">
        <f>VLOOKUP(Table8[[#This Row],[Mã khách hàng]],code_khach_hang[],3,0)</f>
        <v>Miền Nam đặc biệt 1</v>
      </c>
      <c r="H4723" t="str">
        <f>VLOOKUP(Table8[[#This Row],[Mã khách hàng]],'Khách hàng'!A:D,4,0)</f>
        <v>Food Đức Việt</v>
      </c>
      <c r="I4723" t="str">
        <f>VLOOKUP(Table8[[#This Row],[Mã khách hàng]],'Khách hàng'!A:E,5,0)</f>
        <v>HC-CT120</v>
      </c>
    </row>
    <row r="4724" spans="1:9" x14ac:dyDescent="0.25">
      <c r="A4724" s="14" t="s">
        <v>14073</v>
      </c>
      <c r="B4724" s="15" t="s">
        <v>5</v>
      </c>
      <c r="C4724" s="16" t="s">
        <v>15199</v>
      </c>
      <c r="D4724" s="21"/>
      <c r="E4724" s="32" t="s">
        <v>15683</v>
      </c>
      <c r="F4724" s="22" t="str">
        <f>VLOOKUP(Table8[[#This Row],[Mã khách hàng]],code_khach_hang[],2,0)</f>
        <v>CHI NHÁNH TRÀ VINH - CÔNG TY CỔ PHẦN DỊCH VỤ THƯƠNG MẠI TỔNG HỢP WINCOMMERCE</v>
      </c>
      <c r="G4724" s="16" t="str">
        <f>VLOOKUP(Table8[[#This Row],[Mã khách hàng]],code_khach_hang[],3,0)</f>
        <v>Miền Nam đặc biệt 1</v>
      </c>
      <c r="H4724" t="str">
        <f>VLOOKUP(Table8[[#This Row],[Mã khách hàng]],'Khách hàng'!A:D,4,0)</f>
        <v>Food Đức Việt</v>
      </c>
      <c r="I4724" t="str">
        <f>VLOOKUP(Table8[[#This Row],[Mã khách hàng]],'Khách hàng'!A:E,5,0)</f>
        <v>HC-CT120</v>
      </c>
    </row>
    <row r="4725" spans="1:9" x14ac:dyDescent="0.25">
      <c r="A4725" s="14" t="s">
        <v>14074</v>
      </c>
      <c r="B4725" s="15" t="s">
        <v>5</v>
      </c>
      <c r="C4725" s="16" t="s">
        <v>15200</v>
      </c>
      <c r="D4725" s="21"/>
      <c r="E4725" s="32" t="s">
        <v>15668</v>
      </c>
      <c r="F4725" s="22" t="str">
        <f>VLOOKUP(Table8[[#This Row],[Mã khách hàng]],code_khach_hang[],2,0)</f>
        <v>CHI NHÁNH ĐỒNG NAI - CÔNG TY CỔ PHẦN DỊCH VỤ THƯƠNG MẠI TỔNG HỢP WINCOMMERCE</v>
      </c>
      <c r="G4725" s="16" t="str">
        <f>VLOOKUP(Table8[[#This Row],[Mã khách hàng]],code_khach_hang[],3,0)</f>
        <v>Miền Nam đặc biệt 3</v>
      </c>
      <c r="H4725" t="str">
        <f>VLOOKUP(Table8[[#This Row],[Mã khách hàng]],'Khách hàng'!A:D,4,0)</f>
        <v>Food Đức Việt</v>
      </c>
      <c r="I4725" t="str">
        <f>VLOOKUP(Table8[[#This Row],[Mã khách hàng]],'Khách hàng'!A:E,5,0)</f>
        <v>HCVG80</v>
      </c>
    </row>
    <row r="4726" spans="1:9" x14ac:dyDescent="0.25">
      <c r="A4726" s="14" t="s">
        <v>14075</v>
      </c>
      <c r="B4726" s="15" t="s">
        <v>5</v>
      </c>
      <c r="C4726" s="16" t="s">
        <v>15201</v>
      </c>
      <c r="D4726" s="21"/>
      <c r="E4726" s="32" t="s">
        <v>15678</v>
      </c>
      <c r="F4726" s="22" t="str">
        <f>VLOOKUP(Table8[[#This Row],[Mã khách hàng]],code_khach_hang[],2,0)</f>
        <v>CHI NHÁNH LÂM ĐỒNG - CÔNG TY CỔ PHẦN DỊCH VỤ THƯƠNG MẠI TỔNG HỢP WINCOMMERCE</v>
      </c>
      <c r="G4726" s="16" t="str">
        <f>VLOOKUP(Table8[[#This Row],[Mã khách hàng]],code_khach_hang[],3,0)</f>
        <v>Miền Nam đặc biệt 2</v>
      </c>
      <c r="H4726" t="str">
        <f>VLOOKUP(Table8[[#This Row],[Mã khách hàng]],'Khách hàng'!A:D,4,0)</f>
        <v>Food Đức Việt</v>
      </c>
      <c r="I4726" t="str">
        <f>VLOOKUP(Table8[[#This Row],[Mã khách hàng]],'Khách hàng'!A:E,5,0)</f>
        <v>HCVG80</v>
      </c>
    </row>
    <row r="4727" spans="1:9" x14ac:dyDescent="0.25">
      <c r="A4727" s="14" t="s">
        <v>14076</v>
      </c>
      <c r="B4727" s="15" t="s">
        <v>5</v>
      </c>
      <c r="C4727" s="16" t="s">
        <v>15202</v>
      </c>
      <c r="D4727" s="21"/>
      <c r="E4727" s="32" t="s">
        <v>15668</v>
      </c>
      <c r="F4727" s="22" t="str">
        <f>VLOOKUP(Table8[[#This Row],[Mã khách hàng]],code_khach_hang[],2,0)</f>
        <v>CHI NHÁNH ĐỒNG NAI - CÔNG TY CỔ PHẦN DỊCH VỤ THƯƠNG MẠI TỔNG HỢP WINCOMMERCE</v>
      </c>
      <c r="G4727" s="16" t="str">
        <f>VLOOKUP(Table8[[#This Row],[Mã khách hàng]],code_khach_hang[],3,0)</f>
        <v>Miền Nam đặc biệt 3</v>
      </c>
      <c r="H4727" t="str">
        <f>VLOOKUP(Table8[[#This Row],[Mã khách hàng]],'Khách hàng'!A:D,4,0)</f>
        <v>Food Đức Việt</v>
      </c>
      <c r="I4727" t="str">
        <f>VLOOKUP(Table8[[#This Row],[Mã khách hàng]],'Khách hàng'!A:E,5,0)</f>
        <v>HCVG80</v>
      </c>
    </row>
    <row r="4728" spans="1:9" x14ac:dyDescent="0.25">
      <c r="A4728" s="14" t="s">
        <v>14077</v>
      </c>
      <c r="B4728" s="15" t="s">
        <v>183</v>
      </c>
      <c r="C4728" s="16" t="s">
        <v>15203</v>
      </c>
      <c r="D4728" s="21"/>
      <c r="E4728" s="32" t="s">
        <v>15667</v>
      </c>
      <c r="F4728" s="22" t="str">
        <f>VLOOKUP(Table8[[#This Row],[Mã khách hàng]],code_khach_hang[],2,0)</f>
        <v>CÔNG TY CỔ PHẦN DỊCH VỤ THƯƠNG MẠI TỔNG HỢP WINCOMMERCE</v>
      </c>
      <c r="G4728" s="16" t="str">
        <f>VLOOKUP(Table8[[#This Row],[Mã khách hàng]],code_khach_hang[],3,0)</f>
        <v>Miền Nam đặc biệt 1</v>
      </c>
      <c r="H4728" t="str">
        <f>VLOOKUP(Table8[[#This Row],[Mã khách hàng]],'Khách hàng'!A:D,4,0)</f>
        <v>Food Đức Việt</v>
      </c>
      <c r="I4728" t="str">
        <f>VLOOKUP(Table8[[#This Row],[Mã khách hàng]],'Khách hàng'!A:E,5,0)</f>
        <v>HCVG80</v>
      </c>
    </row>
    <row r="4729" spans="1:9" x14ac:dyDescent="0.25">
      <c r="A4729" s="14" t="s">
        <v>14078</v>
      </c>
      <c r="B4729" s="15" t="s">
        <v>183</v>
      </c>
      <c r="C4729" s="16" t="s">
        <v>15204</v>
      </c>
      <c r="D4729" s="21"/>
      <c r="E4729" s="32" t="s">
        <v>15667</v>
      </c>
      <c r="F4729" s="22" t="str">
        <f>VLOOKUP(Table8[[#This Row],[Mã khách hàng]],code_khach_hang[],2,0)</f>
        <v>CÔNG TY CỔ PHẦN DỊCH VỤ THƯƠNG MẠI TỔNG HỢP WINCOMMERCE</v>
      </c>
      <c r="G4729" s="16" t="str">
        <f>VLOOKUP(Table8[[#This Row],[Mã khách hàng]],code_khach_hang[],3,0)</f>
        <v>Miền Nam đặc biệt 1</v>
      </c>
      <c r="H4729" t="str">
        <f>VLOOKUP(Table8[[#This Row],[Mã khách hàng]],'Khách hàng'!A:D,4,0)</f>
        <v>Food Đức Việt</v>
      </c>
      <c r="I4729" t="str">
        <f>VLOOKUP(Table8[[#This Row],[Mã khách hàng]],'Khách hàng'!A:E,5,0)</f>
        <v>HCVG80</v>
      </c>
    </row>
    <row r="4730" spans="1:9" x14ac:dyDescent="0.25">
      <c r="A4730" s="14" t="s">
        <v>14079</v>
      </c>
      <c r="B4730" s="15" t="s">
        <v>183</v>
      </c>
      <c r="C4730" s="16" t="s">
        <v>15205</v>
      </c>
      <c r="D4730" s="21"/>
      <c r="E4730" s="32" t="s">
        <v>15667</v>
      </c>
      <c r="F4730" s="22" t="str">
        <f>VLOOKUP(Table8[[#This Row],[Mã khách hàng]],code_khach_hang[],2,0)</f>
        <v>CÔNG TY CỔ PHẦN DỊCH VỤ THƯƠNG MẠI TỔNG HỢP WINCOMMERCE</v>
      </c>
      <c r="G4730" s="16" t="str">
        <f>VLOOKUP(Table8[[#This Row],[Mã khách hàng]],code_khach_hang[],3,0)</f>
        <v>Miền Nam đặc biệt 1</v>
      </c>
      <c r="H4730" t="str">
        <f>VLOOKUP(Table8[[#This Row],[Mã khách hàng]],'Khách hàng'!A:D,4,0)</f>
        <v>Food Đức Việt</v>
      </c>
      <c r="I4730" t="str">
        <f>VLOOKUP(Table8[[#This Row],[Mã khách hàng]],'Khách hàng'!A:E,5,0)</f>
        <v>HCVG80</v>
      </c>
    </row>
    <row r="4731" spans="1:9" x14ac:dyDescent="0.25">
      <c r="A4731" s="14" t="s">
        <v>14080</v>
      </c>
      <c r="B4731" s="15" t="s">
        <v>183</v>
      </c>
      <c r="C4731" s="16" t="s">
        <v>15206</v>
      </c>
      <c r="D4731" s="21"/>
      <c r="E4731" s="32" t="s">
        <v>15667</v>
      </c>
      <c r="F4731" s="22" t="str">
        <f>VLOOKUP(Table8[[#This Row],[Mã khách hàng]],code_khach_hang[],2,0)</f>
        <v>CÔNG TY CỔ PHẦN DỊCH VỤ THƯƠNG MẠI TỔNG HỢP WINCOMMERCE</v>
      </c>
      <c r="G4731" s="16" t="str">
        <f>VLOOKUP(Table8[[#This Row],[Mã khách hàng]],code_khach_hang[],3,0)</f>
        <v>Miền Nam đặc biệt 1</v>
      </c>
      <c r="H4731" t="str">
        <f>VLOOKUP(Table8[[#This Row],[Mã khách hàng]],'Khách hàng'!A:D,4,0)</f>
        <v>Food Đức Việt</v>
      </c>
      <c r="I4731" t="str">
        <f>VLOOKUP(Table8[[#This Row],[Mã khách hàng]],'Khách hàng'!A:E,5,0)</f>
        <v>HCVG80</v>
      </c>
    </row>
    <row r="4732" spans="1:9" x14ac:dyDescent="0.25">
      <c r="A4732" s="14" t="s">
        <v>14081</v>
      </c>
      <c r="B4732" s="15" t="s">
        <v>183</v>
      </c>
      <c r="C4732" s="16" t="s">
        <v>15207</v>
      </c>
      <c r="D4732" s="21"/>
      <c r="E4732" s="32" t="s">
        <v>15667</v>
      </c>
      <c r="F4732" s="22" t="str">
        <f>VLOOKUP(Table8[[#This Row],[Mã khách hàng]],code_khach_hang[],2,0)</f>
        <v>CÔNG TY CỔ PHẦN DỊCH VỤ THƯƠNG MẠI TỔNG HỢP WINCOMMERCE</v>
      </c>
      <c r="G4732" s="16" t="str">
        <f>VLOOKUP(Table8[[#This Row],[Mã khách hàng]],code_khach_hang[],3,0)</f>
        <v>Miền Nam đặc biệt 1</v>
      </c>
      <c r="H4732" t="str">
        <f>VLOOKUP(Table8[[#This Row],[Mã khách hàng]],'Khách hàng'!A:D,4,0)</f>
        <v>Food Đức Việt</v>
      </c>
      <c r="I4732" t="str">
        <f>VLOOKUP(Table8[[#This Row],[Mã khách hàng]],'Khách hàng'!A:E,5,0)</f>
        <v>HCVG80</v>
      </c>
    </row>
    <row r="4733" spans="1:9" x14ac:dyDescent="0.25">
      <c r="A4733" s="14" t="s">
        <v>14082</v>
      </c>
      <c r="B4733" s="15" t="s">
        <v>183</v>
      </c>
      <c r="C4733" s="16" t="s">
        <v>15208</v>
      </c>
      <c r="D4733" s="21"/>
      <c r="E4733" s="32" t="s">
        <v>15667</v>
      </c>
      <c r="F4733" s="22" t="str">
        <f>VLOOKUP(Table8[[#This Row],[Mã khách hàng]],code_khach_hang[],2,0)</f>
        <v>CÔNG TY CỔ PHẦN DỊCH VỤ THƯƠNG MẠI TỔNG HỢP WINCOMMERCE</v>
      </c>
      <c r="G4733" s="16" t="str">
        <f>VLOOKUP(Table8[[#This Row],[Mã khách hàng]],code_khach_hang[],3,0)</f>
        <v>Miền Nam đặc biệt 1</v>
      </c>
      <c r="H4733" t="str">
        <f>VLOOKUP(Table8[[#This Row],[Mã khách hàng]],'Khách hàng'!A:D,4,0)</f>
        <v>Food Đức Việt</v>
      </c>
      <c r="I4733" t="str">
        <f>VLOOKUP(Table8[[#This Row],[Mã khách hàng]],'Khách hàng'!A:E,5,0)</f>
        <v>HCVG80</v>
      </c>
    </row>
    <row r="4734" spans="1:9" x14ac:dyDescent="0.25">
      <c r="A4734" s="14" t="s">
        <v>14083</v>
      </c>
      <c r="B4734" s="15" t="s">
        <v>183</v>
      </c>
      <c r="C4734" s="16" t="s">
        <v>15209</v>
      </c>
      <c r="D4734" s="21"/>
      <c r="E4734" s="32" t="s">
        <v>15667</v>
      </c>
      <c r="F4734" s="22" t="str">
        <f>VLOOKUP(Table8[[#This Row],[Mã khách hàng]],code_khach_hang[],2,0)</f>
        <v>CÔNG TY CỔ PHẦN DỊCH VỤ THƯƠNG MẠI TỔNG HỢP WINCOMMERCE</v>
      </c>
      <c r="G4734" s="16" t="str">
        <f>VLOOKUP(Table8[[#This Row],[Mã khách hàng]],code_khach_hang[],3,0)</f>
        <v>Miền Nam đặc biệt 1</v>
      </c>
      <c r="H4734" t="str">
        <f>VLOOKUP(Table8[[#This Row],[Mã khách hàng]],'Khách hàng'!A:D,4,0)</f>
        <v>Food Đức Việt</v>
      </c>
      <c r="I4734" t="str">
        <f>VLOOKUP(Table8[[#This Row],[Mã khách hàng]],'Khách hàng'!A:E,5,0)</f>
        <v>HCVG80</v>
      </c>
    </row>
    <row r="4735" spans="1:9" x14ac:dyDescent="0.25">
      <c r="A4735" s="14" t="s">
        <v>14084</v>
      </c>
      <c r="B4735" s="15" t="s">
        <v>183</v>
      </c>
      <c r="C4735" s="16" t="s">
        <v>15210</v>
      </c>
      <c r="D4735" s="21"/>
      <c r="E4735" s="32" t="s">
        <v>15667</v>
      </c>
      <c r="F4735" s="22" t="str">
        <f>VLOOKUP(Table8[[#This Row],[Mã khách hàng]],code_khach_hang[],2,0)</f>
        <v>CÔNG TY CỔ PHẦN DỊCH VỤ THƯƠNG MẠI TỔNG HỢP WINCOMMERCE</v>
      </c>
      <c r="G4735" s="16" t="str">
        <f>VLOOKUP(Table8[[#This Row],[Mã khách hàng]],code_khach_hang[],3,0)</f>
        <v>Miền Nam đặc biệt 1</v>
      </c>
      <c r="H4735" t="str">
        <f>VLOOKUP(Table8[[#This Row],[Mã khách hàng]],'Khách hàng'!A:D,4,0)</f>
        <v>Food Đức Việt</v>
      </c>
      <c r="I4735" t="str">
        <f>VLOOKUP(Table8[[#This Row],[Mã khách hàng]],'Khách hàng'!A:E,5,0)</f>
        <v>HCVG80</v>
      </c>
    </row>
    <row r="4736" spans="1:9" x14ac:dyDescent="0.25">
      <c r="A4736" s="14" t="s">
        <v>14085</v>
      </c>
      <c r="B4736" s="15" t="s">
        <v>183</v>
      </c>
      <c r="C4736" s="16" t="s">
        <v>15211</v>
      </c>
      <c r="D4736" s="21"/>
      <c r="E4736" s="32" t="s">
        <v>15667</v>
      </c>
      <c r="F4736" s="22" t="str">
        <f>VLOOKUP(Table8[[#This Row],[Mã khách hàng]],code_khach_hang[],2,0)</f>
        <v>CÔNG TY CỔ PHẦN DỊCH VỤ THƯƠNG MẠI TỔNG HỢP WINCOMMERCE</v>
      </c>
      <c r="G4736" s="16" t="str">
        <f>VLOOKUP(Table8[[#This Row],[Mã khách hàng]],code_khach_hang[],3,0)</f>
        <v>Miền Nam đặc biệt 1</v>
      </c>
      <c r="H4736" t="str">
        <f>VLOOKUP(Table8[[#This Row],[Mã khách hàng]],'Khách hàng'!A:D,4,0)</f>
        <v>Food Đức Việt</v>
      </c>
      <c r="I4736" t="str">
        <f>VLOOKUP(Table8[[#This Row],[Mã khách hàng]],'Khách hàng'!A:E,5,0)</f>
        <v>HCVG80</v>
      </c>
    </row>
    <row r="4737" spans="1:9" x14ac:dyDescent="0.25">
      <c r="A4737" s="14" t="s">
        <v>14086</v>
      </c>
      <c r="B4737" s="15" t="s">
        <v>5</v>
      </c>
      <c r="C4737" s="16" t="s">
        <v>15212</v>
      </c>
      <c r="D4737" s="21"/>
      <c r="E4737" s="32" t="s">
        <v>15667</v>
      </c>
      <c r="F4737" s="22" t="str">
        <f>VLOOKUP(Table8[[#This Row],[Mã khách hàng]],code_khach_hang[],2,0)</f>
        <v>CÔNG TY CỔ PHẦN DỊCH VỤ THƯƠNG MẠI TỔNG HỢP WINCOMMERCE</v>
      </c>
      <c r="G4737" s="16" t="str">
        <f>VLOOKUP(Table8[[#This Row],[Mã khách hàng]],code_khach_hang[],3,0)</f>
        <v>Miền Nam đặc biệt 1</v>
      </c>
      <c r="H4737" t="str">
        <f>VLOOKUP(Table8[[#This Row],[Mã khách hàng]],'Khách hàng'!A:D,4,0)</f>
        <v>Food Đức Việt</v>
      </c>
      <c r="I4737" t="str">
        <f>VLOOKUP(Table8[[#This Row],[Mã khách hàng]],'Khách hàng'!A:E,5,0)</f>
        <v>HCVG80</v>
      </c>
    </row>
    <row r="4738" spans="1:9" x14ac:dyDescent="0.25">
      <c r="A4738" s="14" t="s">
        <v>14087</v>
      </c>
      <c r="B4738" s="15" t="s">
        <v>183</v>
      </c>
      <c r="C4738" s="16" t="s">
        <v>15213</v>
      </c>
      <c r="D4738" s="21"/>
      <c r="E4738" s="32" t="s">
        <v>15667</v>
      </c>
      <c r="F4738" s="22" t="str">
        <f>VLOOKUP(Table8[[#This Row],[Mã khách hàng]],code_khach_hang[],2,0)</f>
        <v>CÔNG TY CỔ PHẦN DỊCH VỤ THƯƠNG MẠI TỔNG HỢP WINCOMMERCE</v>
      </c>
      <c r="G4738" s="16" t="str">
        <f>VLOOKUP(Table8[[#This Row],[Mã khách hàng]],code_khach_hang[],3,0)</f>
        <v>Miền Nam đặc biệt 1</v>
      </c>
      <c r="H4738" t="str">
        <f>VLOOKUP(Table8[[#This Row],[Mã khách hàng]],'Khách hàng'!A:D,4,0)</f>
        <v>Food Đức Việt</v>
      </c>
      <c r="I4738" t="str">
        <f>VLOOKUP(Table8[[#This Row],[Mã khách hàng]],'Khách hàng'!A:E,5,0)</f>
        <v>HCVG80</v>
      </c>
    </row>
    <row r="4739" spans="1:9" x14ac:dyDescent="0.25">
      <c r="A4739" s="14" t="s">
        <v>14088</v>
      </c>
      <c r="B4739" s="15" t="s">
        <v>183</v>
      </c>
      <c r="C4739" s="16" t="s">
        <v>15214</v>
      </c>
      <c r="D4739" s="21"/>
      <c r="E4739" s="32" t="s">
        <v>15667</v>
      </c>
      <c r="F4739" s="22" t="str">
        <f>VLOOKUP(Table8[[#This Row],[Mã khách hàng]],code_khach_hang[],2,0)</f>
        <v>CÔNG TY CỔ PHẦN DỊCH VỤ THƯƠNG MẠI TỔNG HỢP WINCOMMERCE</v>
      </c>
      <c r="G4739" s="16" t="str">
        <f>VLOOKUP(Table8[[#This Row],[Mã khách hàng]],code_khach_hang[],3,0)</f>
        <v>Miền Nam đặc biệt 1</v>
      </c>
      <c r="H4739" t="str">
        <f>VLOOKUP(Table8[[#This Row],[Mã khách hàng]],'Khách hàng'!A:D,4,0)</f>
        <v>Food Đức Việt</v>
      </c>
      <c r="I4739" t="str">
        <f>VLOOKUP(Table8[[#This Row],[Mã khách hàng]],'Khách hàng'!A:E,5,0)</f>
        <v>HCVG80</v>
      </c>
    </row>
    <row r="4740" spans="1:9" x14ac:dyDescent="0.25">
      <c r="A4740" s="14" t="s">
        <v>14089</v>
      </c>
      <c r="B4740" s="15" t="s">
        <v>183</v>
      </c>
      <c r="C4740" s="16" t="s">
        <v>15215</v>
      </c>
      <c r="D4740" s="21"/>
      <c r="E4740" s="32" t="s">
        <v>15667</v>
      </c>
      <c r="F4740" s="22" t="str">
        <f>VLOOKUP(Table8[[#This Row],[Mã khách hàng]],code_khach_hang[],2,0)</f>
        <v>CÔNG TY CỔ PHẦN DỊCH VỤ THƯƠNG MẠI TỔNG HỢP WINCOMMERCE</v>
      </c>
      <c r="G4740" s="16" t="str">
        <f>VLOOKUP(Table8[[#This Row],[Mã khách hàng]],code_khach_hang[],3,0)</f>
        <v>Miền Nam đặc biệt 1</v>
      </c>
      <c r="H4740" t="str">
        <f>VLOOKUP(Table8[[#This Row],[Mã khách hàng]],'Khách hàng'!A:D,4,0)</f>
        <v>Food Đức Việt</v>
      </c>
      <c r="I4740" t="str">
        <f>VLOOKUP(Table8[[#This Row],[Mã khách hàng]],'Khách hàng'!A:E,5,0)</f>
        <v>HCVG80</v>
      </c>
    </row>
    <row r="4741" spans="1:9" x14ac:dyDescent="0.25">
      <c r="A4741" s="14" t="s">
        <v>14090</v>
      </c>
      <c r="B4741" s="15" t="s">
        <v>183</v>
      </c>
      <c r="C4741" s="16" t="s">
        <v>15216</v>
      </c>
      <c r="D4741" s="21"/>
      <c r="E4741" s="32" t="s">
        <v>15667</v>
      </c>
      <c r="F4741" s="22" t="str">
        <f>VLOOKUP(Table8[[#This Row],[Mã khách hàng]],code_khach_hang[],2,0)</f>
        <v>CÔNG TY CỔ PHẦN DỊCH VỤ THƯƠNG MẠI TỔNG HỢP WINCOMMERCE</v>
      </c>
      <c r="G4741" s="16" t="str">
        <f>VLOOKUP(Table8[[#This Row],[Mã khách hàng]],code_khach_hang[],3,0)</f>
        <v>Miền Nam đặc biệt 1</v>
      </c>
      <c r="H4741" t="str">
        <f>VLOOKUP(Table8[[#This Row],[Mã khách hàng]],'Khách hàng'!A:D,4,0)</f>
        <v>Food Đức Việt</v>
      </c>
      <c r="I4741" t="str">
        <f>VLOOKUP(Table8[[#This Row],[Mã khách hàng]],'Khách hàng'!A:E,5,0)</f>
        <v>HCVG80</v>
      </c>
    </row>
    <row r="4742" spans="1:9" x14ac:dyDescent="0.25">
      <c r="A4742" s="14" t="s">
        <v>14091</v>
      </c>
      <c r="B4742" s="15" t="s">
        <v>183</v>
      </c>
      <c r="C4742" s="16" t="s">
        <v>15217</v>
      </c>
      <c r="D4742" s="21"/>
      <c r="E4742" s="32" t="s">
        <v>15667</v>
      </c>
      <c r="F4742" s="22" t="str">
        <f>VLOOKUP(Table8[[#This Row],[Mã khách hàng]],code_khach_hang[],2,0)</f>
        <v>CÔNG TY CỔ PHẦN DỊCH VỤ THƯƠNG MẠI TỔNG HỢP WINCOMMERCE</v>
      </c>
      <c r="G4742" s="16" t="str">
        <f>VLOOKUP(Table8[[#This Row],[Mã khách hàng]],code_khach_hang[],3,0)</f>
        <v>Miền Nam đặc biệt 1</v>
      </c>
      <c r="H4742" t="str">
        <f>VLOOKUP(Table8[[#This Row],[Mã khách hàng]],'Khách hàng'!A:D,4,0)</f>
        <v>Food Đức Việt</v>
      </c>
      <c r="I4742" t="str">
        <f>VLOOKUP(Table8[[#This Row],[Mã khách hàng]],'Khách hàng'!A:E,5,0)</f>
        <v>HCVG80</v>
      </c>
    </row>
    <row r="4743" spans="1:9" x14ac:dyDescent="0.25">
      <c r="A4743" s="14" t="s">
        <v>14092</v>
      </c>
      <c r="B4743" s="15" t="s">
        <v>183</v>
      </c>
      <c r="C4743" s="16" t="s">
        <v>15218</v>
      </c>
      <c r="D4743" s="21"/>
      <c r="E4743" s="32" t="s">
        <v>15667</v>
      </c>
      <c r="F4743" s="22" t="str">
        <f>VLOOKUP(Table8[[#This Row],[Mã khách hàng]],code_khach_hang[],2,0)</f>
        <v>CÔNG TY CỔ PHẦN DỊCH VỤ THƯƠNG MẠI TỔNG HỢP WINCOMMERCE</v>
      </c>
      <c r="G4743" s="16" t="str">
        <f>VLOOKUP(Table8[[#This Row],[Mã khách hàng]],code_khach_hang[],3,0)</f>
        <v>Miền Nam đặc biệt 1</v>
      </c>
      <c r="H4743" t="str">
        <f>VLOOKUP(Table8[[#This Row],[Mã khách hàng]],'Khách hàng'!A:D,4,0)</f>
        <v>Food Đức Việt</v>
      </c>
      <c r="I4743" t="str">
        <f>VLOOKUP(Table8[[#This Row],[Mã khách hàng]],'Khách hàng'!A:E,5,0)</f>
        <v>HCVG80</v>
      </c>
    </row>
    <row r="4744" spans="1:9" x14ac:dyDescent="0.25">
      <c r="A4744" s="14" t="s">
        <v>14093</v>
      </c>
      <c r="B4744" s="15" t="s">
        <v>183</v>
      </c>
      <c r="C4744" s="16" t="s">
        <v>15219</v>
      </c>
      <c r="D4744" s="21"/>
      <c r="E4744" s="32" t="s">
        <v>15667</v>
      </c>
      <c r="F4744" s="22" t="str">
        <f>VLOOKUP(Table8[[#This Row],[Mã khách hàng]],code_khach_hang[],2,0)</f>
        <v>CÔNG TY CỔ PHẦN DỊCH VỤ THƯƠNG MẠI TỔNG HỢP WINCOMMERCE</v>
      </c>
      <c r="G4744" s="16" t="str">
        <f>VLOOKUP(Table8[[#This Row],[Mã khách hàng]],code_khach_hang[],3,0)</f>
        <v>Miền Nam đặc biệt 1</v>
      </c>
      <c r="H4744" t="str">
        <f>VLOOKUP(Table8[[#This Row],[Mã khách hàng]],'Khách hàng'!A:D,4,0)</f>
        <v>Food Đức Việt</v>
      </c>
      <c r="I4744" t="str">
        <f>VLOOKUP(Table8[[#This Row],[Mã khách hàng]],'Khách hàng'!A:E,5,0)</f>
        <v>HCVG80</v>
      </c>
    </row>
    <row r="4745" spans="1:9" x14ac:dyDescent="0.25">
      <c r="A4745" s="14" t="s">
        <v>14094</v>
      </c>
      <c r="B4745" s="15" t="s">
        <v>183</v>
      </c>
      <c r="C4745" s="16" t="s">
        <v>15220</v>
      </c>
      <c r="D4745" s="21"/>
      <c r="E4745" s="32" t="s">
        <v>15667</v>
      </c>
      <c r="F4745" s="22" t="str">
        <f>VLOOKUP(Table8[[#This Row],[Mã khách hàng]],code_khach_hang[],2,0)</f>
        <v>CÔNG TY CỔ PHẦN DỊCH VỤ THƯƠNG MẠI TỔNG HỢP WINCOMMERCE</v>
      </c>
      <c r="G4745" s="16" t="str">
        <f>VLOOKUP(Table8[[#This Row],[Mã khách hàng]],code_khach_hang[],3,0)</f>
        <v>Miền Nam đặc biệt 1</v>
      </c>
      <c r="H4745" t="str">
        <f>VLOOKUP(Table8[[#This Row],[Mã khách hàng]],'Khách hàng'!A:D,4,0)</f>
        <v>Food Đức Việt</v>
      </c>
      <c r="I4745" t="str">
        <f>VLOOKUP(Table8[[#This Row],[Mã khách hàng]],'Khách hàng'!A:E,5,0)</f>
        <v>HCVG80</v>
      </c>
    </row>
    <row r="4746" spans="1:9" x14ac:dyDescent="0.25">
      <c r="A4746" s="14" t="s">
        <v>14095</v>
      </c>
      <c r="B4746" s="15" t="s">
        <v>183</v>
      </c>
      <c r="C4746" s="16" t="s">
        <v>15221</v>
      </c>
      <c r="D4746" s="21"/>
      <c r="E4746" s="32" t="s">
        <v>15668</v>
      </c>
      <c r="F4746" s="22" t="str">
        <f>VLOOKUP(Table8[[#This Row],[Mã khách hàng]],code_khach_hang[],2,0)</f>
        <v>CHI NHÁNH ĐỒNG NAI - CÔNG TY CỔ PHẦN DỊCH VỤ THƯƠNG MẠI TỔNG HỢP WINCOMMERCE</v>
      </c>
      <c r="G4746" s="16" t="str">
        <f>VLOOKUP(Table8[[#This Row],[Mã khách hàng]],code_khach_hang[],3,0)</f>
        <v>Miền Nam đặc biệt 3</v>
      </c>
      <c r="H4746" t="str">
        <f>VLOOKUP(Table8[[#This Row],[Mã khách hàng]],'Khách hàng'!A:D,4,0)</f>
        <v>Food Đức Việt</v>
      </c>
      <c r="I4746" t="str">
        <f>VLOOKUP(Table8[[#This Row],[Mã khách hàng]],'Khách hàng'!A:E,5,0)</f>
        <v>HCVG80</v>
      </c>
    </row>
    <row r="4747" spans="1:9" x14ac:dyDescent="0.25">
      <c r="A4747" s="14" t="s">
        <v>14096</v>
      </c>
      <c r="B4747" s="15" t="s">
        <v>183</v>
      </c>
      <c r="C4747" s="16" t="s">
        <v>15222</v>
      </c>
      <c r="D4747" s="21"/>
      <c r="E4747" s="32" t="s">
        <v>15667</v>
      </c>
      <c r="F4747" s="22" t="str">
        <f>VLOOKUP(Table8[[#This Row],[Mã khách hàng]],code_khach_hang[],2,0)</f>
        <v>CÔNG TY CỔ PHẦN DỊCH VỤ THƯƠNG MẠI TỔNG HỢP WINCOMMERCE</v>
      </c>
      <c r="G4747" s="16" t="str">
        <f>VLOOKUP(Table8[[#This Row],[Mã khách hàng]],code_khach_hang[],3,0)</f>
        <v>Miền Nam đặc biệt 1</v>
      </c>
      <c r="H4747" t="str">
        <f>VLOOKUP(Table8[[#This Row],[Mã khách hàng]],'Khách hàng'!A:D,4,0)</f>
        <v>Food Đức Việt</v>
      </c>
      <c r="I4747" t="str">
        <f>VLOOKUP(Table8[[#This Row],[Mã khách hàng]],'Khách hàng'!A:E,5,0)</f>
        <v>HCVG80</v>
      </c>
    </row>
    <row r="4748" spans="1:9" x14ac:dyDescent="0.25">
      <c r="A4748" s="14" t="s">
        <v>14097</v>
      </c>
      <c r="B4748" s="15" t="s">
        <v>183</v>
      </c>
      <c r="C4748" s="16" t="s">
        <v>15223</v>
      </c>
      <c r="D4748" s="21"/>
      <c r="E4748" s="32" t="s">
        <v>15667</v>
      </c>
      <c r="F4748" s="22" t="str">
        <f>VLOOKUP(Table8[[#This Row],[Mã khách hàng]],code_khach_hang[],2,0)</f>
        <v>CÔNG TY CỔ PHẦN DỊCH VỤ THƯƠNG MẠI TỔNG HỢP WINCOMMERCE</v>
      </c>
      <c r="G4748" s="16" t="str">
        <f>VLOOKUP(Table8[[#This Row],[Mã khách hàng]],code_khach_hang[],3,0)</f>
        <v>Miền Nam đặc biệt 1</v>
      </c>
      <c r="H4748" t="str">
        <f>VLOOKUP(Table8[[#This Row],[Mã khách hàng]],'Khách hàng'!A:D,4,0)</f>
        <v>Food Đức Việt</v>
      </c>
      <c r="I4748" t="str">
        <f>VLOOKUP(Table8[[#This Row],[Mã khách hàng]],'Khách hàng'!A:E,5,0)</f>
        <v>HCVG80</v>
      </c>
    </row>
    <row r="4749" spans="1:9" x14ac:dyDescent="0.25">
      <c r="A4749" s="14" t="s">
        <v>14098</v>
      </c>
      <c r="B4749" s="15" t="s">
        <v>183</v>
      </c>
      <c r="C4749" s="16" t="s">
        <v>15224</v>
      </c>
      <c r="D4749" s="21"/>
      <c r="E4749" s="32" t="s">
        <v>15667</v>
      </c>
      <c r="F4749" s="22" t="str">
        <f>VLOOKUP(Table8[[#This Row],[Mã khách hàng]],code_khach_hang[],2,0)</f>
        <v>CÔNG TY CỔ PHẦN DỊCH VỤ THƯƠNG MẠI TỔNG HỢP WINCOMMERCE</v>
      </c>
      <c r="G4749" s="16" t="str">
        <f>VLOOKUP(Table8[[#This Row],[Mã khách hàng]],code_khach_hang[],3,0)</f>
        <v>Miền Nam đặc biệt 1</v>
      </c>
      <c r="H4749" t="str">
        <f>VLOOKUP(Table8[[#This Row],[Mã khách hàng]],'Khách hàng'!A:D,4,0)</f>
        <v>Food Đức Việt</v>
      </c>
      <c r="I4749" t="str">
        <f>VLOOKUP(Table8[[#This Row],[Mã khách hàng]],'Khách hàng'!A:E,5,0)</f>
        <v>HCVG80</v>
      </c>
    </row>
    <row r="4750" spans="1:9" x14ac:dyDescent="0.25">
      <c r="A4750" s="14" t="s">
        <v>14099</v>
      </c>
      <c r="B4750" s="15" t="s">
        <v>183</v>
      </c>
      <c r="C4750" s="16" t="s">
        <v>15225</v>
      </c>
      <c r="D4750" s="21"/>
      <c r="E4750" s="32" t="s">
        <v>15667</v>
      </c>
      <c r="F4750" s="22" t="str">
        <f>VLOOKUP(Table8[[#This Row],[Mã khách hàng]],code_khach_hang[],2,0)</f>
        <v>CÔNG TY CỔ PHẦN DỊCH VỤ THƯƠNG MẠI TỔNG HỢP WINCOMMERCE</v>
      </c>
      <c r="G4750" s="16" t="str">
        <f>VLOOKUP(Table8[[#This Row],[Mã khách hàng]],code_khach_hang[],3,0)</f>
        <v>Miền Nam đặc biệt 1</v>
      </c>
      <c r="H4750" t="str">
        <f>VLOOKUP(Table8[[#This Row],[Mã khách hàng]],'Khách hàng'!A:D,4,0)</f>
        <v>Food Đức Việt</v>
      </c>
      <c r="I4750" t="str">
        <f>VLOOKUP(Table8[[#This Row],[Mã khách hàng]],'Khách hàng'!A:E,5,0)</f>
        <v>HCVG80</v>
      </c>
    </row>
    <row r="4751" spans="1:9" x14ac:dyDescent="0.25">
      <c r="A4751" s="14" t="s">
        <v>14100</v>
      </c>
      <c r="B4751" s="15" t="s">
        <v>183</v>
      </c>
      <c r="C4751" s="16" t="s">
        <v>15226</v>
      </c>
      <c r="D4751" s="21"/>
      <c r="E4751" s="32" t="s">
        <v>15667</v>
      </c>
      <c r="F4751" s="22" t="str">
        <f>VLOOKUP(Table8[[#This Row],[Mã khách hàng]],code_khach_hang[],2,0)</f>
        <v>CÔNG TY CỔ PHẦN DỊCH VỤ THƯƠNG MẠI TỔNG HỢP WINCOMMERCE</v>
      </c>
      <c r="G4751" s="16" t="str">
        <f>VLOOKUP(Table8[[#This Row],[Mã khách hàng]],code_khach_hang[],3,0)</f>
        <v>Miền Nam đặc biệt 1</v>
      </c>
      <c r="H4751" t="str">
        <f>VLOOKUP(Table8[[#This Row],[Mã khách hàng]],'Khách hàng'!A:D,4,0)</f>
        <v>Food Đức Việt</v>
      </c>
      <c r="I4751" t="str">
        <f>VLOOKUP(Table8[[#This Row],[Mã khách hàng]],'Khách hàng'!A:E,5,0)</f>
        <v>HCVG80</v>
      </c>
    </row>
    <row r="4752" spans="1:9" x14ac:dyDescent="0.25">
      <c r="A4752" s="14" t="s">
        <v>14101</v>
      </c>
      <c r="B4752" s="15" t="s">
        <v>183</v>
      </c>
      <c r="C4752" s="16" t="s">
        <v>15227</v>
      </c>
      <c r="D4752" s="21"/>
      <c r="E4752" s="32" t="s">
        <v>15667</v>
      </c>
      <c r="F4752" s="22" t="str">
        <f>VLOOKUP(Table8[[#This Row],[Mã khách hàng]],code_khach_hang[],2,0)</f>
        <v>CÔNG TY CỔ PHẦN DỊCH VỤ THƯƠNG MẠI TỔNG HỢP WINCOMMERCE</v>
      </c>
      <c r="G4752" s="16" t="str">
        <f>VLOOKUP(Table8[[#This Row],[Mã khách hàng]],code_khach_hang[],3,0)</f>
        <v>Miền Nam đặc biệt 1</v>
      </c>
      <c r="H4752" t="str">
        <f>VLOOKUP(Table8[[#This Row],[Mã khách hàng]],'Khách hàng'!A:D,4,0)</f>
        <v>Food Đức Việt</v>
      </c>
      <c r="I4752" t="str">
        <f>VLOOKUP(Table8[[#This Row],[Mã khách hàng]],'Khách hàng'!A:E,5,0)</f>
        <v>HCVG80</v>
      </c>
    </row>
    <row r="4753" spans="1:9" x14ac:dyDescent="0.25">
      <c r="A4753" s="14" t="s">
        <v>14102</v>
      </c>
      <c r="B4753" s="15" t="s">
        <v>183</v>
      </c>
      <c r="C4753" s="16" t="s">
        <v>15228</v>
      </c>
      <c r="D4753" s="21"/>
      <c r="E4753" s="32" t="s">
        <v>15667</v>
      </c>
      <c r="F4753" s="22" t="str">
        <f>VLOOKUP(Table8[[#This Row],[Mã khách hàng]],code_khach_hang[],2,0)</f>
        <v>CÔNG TY CỔ PHẦN DỊCH VỤ THƯƠNG MẠI TỔNG HỢP WINCOMMERCE</v>
      </c>
      <c r="G4753" s="16" t="str">
        <f>VLOOKUP(Table8[[#This Row],[Mã khách hàng]],code_khach_hang[],3,0)</f>
        <v>Miền Nam đặc biệt 1</v>
      </c>
      <c r="H4753" t="str">
        <f>VLOOKUP(Table8[[#This Row],[Mã khách hàng]],'Khách hàng'!A:D,4,0)</f>
        <v>Food Đức Việt</v>
      </c>
      <c r="I4753" t="str">
        <f>VLOOKUP(Table8[[#This Row],[Mã khách hàng]],'Khách hàng'!A:E,5,0)</f>
        <v>HCVG80</v>
      </c>
    </row>
    <row r="4754" spans="1:9" x14ac:dyDescent="0.25">
      <c r="A4754" s="14" t="s">
        <v>14103</v>
      </c>
      <c r="B4754" s="15" t="s">
        <v>183</v>
      </c>
      <c r="C4754" s="16" t="s">
        <v>15229</v>
      </c>
      <c r="D4754" s="21"/>
      <c r="E4754" s="32" t="s">
        <v>15667</v>
      </c>
      <c r="F4754" s="22" t="str">
        <f>VLOOKUP(Table8[[#This Row],[Mã khách hàng]],code_khach_hang[],2,0)</f>
        <v>CÔNG TY CỔ PHẦN DỊCH VỤ THƯƠNG MẠI TỔNG HỢP WINCOMMERCE</v>
      </c>
      <c r="G4754" s="16" t="str">
        <f>VLOOKUP(Table8[[#This Row],[Mã khách hàng]],code_khach_hang[],3,0)</f>
        <v>Miền Nam đặc biệt 1</v>
      </c>
      <c r="H4754" t="str">
        <f>VLOOKUP(Table8[[#This Row],[Mã khách hàng]],'Khách hàng'!A:D,4,0)</f>
        <v>Food Đức Việt</v>
      </c>
      <c r="I4754" t="str">
        <f>VLOOKUP(Table8[[#This Row],[Mã khách hàng]],'Khách hàng'!A:E,5,0)</f>
        <v>HCVG80</v>
      </c>
    </row>
    <row r="4755" spans="1:9" x14ac:dyDescent="0.25">
      <c r="A4755" s="14" t="s">
        <v>14104</v>
      </c>
      <c r="B4755" s="15" t="s">
        <v>183</v>
      </c>
      <c r="C4755" s="16" t="s">
        <v>15230</v>
      </c>
      <c r="D4755" s="21"/>
      <c r="E4755" s="32" t="s">
        <v>15667</v>
      </c>
      <c r="F4755" s="22" t="str">
        <f>VLOOKUP(Table8[[#This Row],[Mã khách hàng]],code_khach_hang[],2,0)</f>
        <v>CÔNG TY CỔ PHẦN DỊCH VỤ THƯƠNG MẠI TỔNG HỢP WINCOMMERCE</v>
      </c>
      <c r="G4755" s="16" t="str">
        <f>VLOOKUP(Table8[[#This Row],[Mã khách hàng]],code_khach_hang[],3,0)</f>
        <v>Miền Nam đặc biệt 1</v>
      </c>
      <c r="H4755" t="str">
        <f>VLOOKUP(Table8[[#This Row],[Mã khách hàng]],'Khách hàng'!A:D,4,0)</f>
        <v>Food Đức Việt</v>
      </c>
      <c r="I4755" t="str">
        <f>VLOOKUP(Table8[[#This Row],[Mã khách hàng]],'Khách hàng'!A:E,5,0)</f>
        <v>HCVG80</v>
      </c>
    </row>
    <row r="4756" spans="1:9" x14ac:dyDescent="0.25">
      <c r="A4756" s="14" t="s">
        <v>14105</v>
      </c>
      <c r="B4756" s="15" t="s">
        <v>183</v>
      </c>
      <c r="C4756" s="16" t="s">
        <v>15231</v>
      </c>
      <c r="D4756" s="21"/>
      <c r="E4756" s="32" t="s">
        <v>15667</v>
      </c>
      <c r="F4756" s="22" t="str">
        <f>VLOOKUP(Table8[[#This Row],[Mã khách hàng]],code_khach_hang[],2,0)</f>
        <v>CÔNG TY CỔ PHẦN DỊCH VỤ THƯƠNG MẠI TỔNG HỢP WINCOMMERCE</v>
      </c>
      <c r="G4756" s="16" t="str">
        <f>VLOOKUP(Table8[[#This Row],[Mã khách hàng]],code_khach_hang[],3,0)</f>
        <v>Miền Nam đặc biệt 1</v>
      </c>
      <c r="H4756" t="str">
        <f>VLOOKUP(Table8[[#This Row],[Mã khách hàng]],'Khách hàng'!A:D,4,0)</f>
        <v>Food Đức Việt</v>
      </c>
      <c r="I4756" t="str">
        <f>VLOOKUP(Table8[[#This Row],[Mã khách hàng]],'Khách hàng'!A:E,5,0)</f>
        <v>HCVG80</v>
      </c>
    </row>
    <row r="4757" spans="1:9" x14ac:dyDescent="0.25">
      <c r="A4757" s="14" t="s">
        <v>14106</v>
      </c>
      <c r="B4757" s="15" t="s">
        <v>183</v>
      </c>
      <c r="C4757" s="16" t="s">
        <v>15232</v>
      </c>
      <c r="D4757" s="21"/>
      <c r="E4757" s="32" t="s">
        <v>15667</v>
      </c>
      <c r="F4757" s="22" t="str">
        <f>VLOOKUP(Table8[[#This Row],[Mã khách hàng]],code_khach_hang[],2,0)</f>
        <v>CÔNG TY CỔ PHẦN DỊCH VỤ THƯƠNG MẠI TỔNG HỢP WINCOMMERCE</v>
      </c>
      <c r="G4757" s="16" t="str">
        <f>VLOOKUP(Table8[[#This Row],[Mã khách hàng]],code_khach_hang[],3,0)</f>
        <v>Miền Nam đặc biệt 1</v>
      </c>
      <c r="H4757" t="str">
        <f>VLOOKUP(Table8[[#This Row],[Mã khách hàng]],'Khách hàng'!A:D,4,0)</f>
        <v>Food Đức Việt</v>
      </c>
      <c r="I4757" t="str">
        <f>VLOOKUP(Table8[[#This Row],[Mã khách hàng]],'Khách hàng'!A:E,5,0)</f>
        <v>HCVG80</v>
      </c>
    </row>
    <row r="4758" spans="1:9" x14ac:dyDescent="0.25">
      <c r="A4758" s="14" t="s">
        <v>14107</v>
      </c>
      <c r="B4758" s="15" t="s">
        <v>183</v>
      </c>
      <c r="C4758" s="16" t="s">
        <v>15233</v>
      </c>
      <c r="D4758" s="21"/>
      <c r="E4758" s="32" t="s">
        <v>15667</v>
      </c>
      <c r="F4758" s="22" t="str">
        <f>VLOOKUP(Table8[[#This Row],[Mã khách hàng]],code_khach_hang[],2,0)</f>
        <v>CÔNG TY CỔ PHẦN DỊCH VỤ THƯƠNG MẠI TỔNG HỢP WINCOMMERCE</v>
      </c>
      <c r="G4758" s="16" t="str">
        <f>VLOOKUP(Table8[[#This Row],[Mã khách hàng]],code_khach_hang[],3,0)</f>
        <v>Miền Nam đặc biệt 1</v>
      </c>
      <c r="H4758" t="str">
        <f>VLOOKUP(Table8[[#This Row],[Mã khách hàng]],'Khách hàng'!A:D,4,0)</f>
        <v>Food Đức Việt</v>
      </c>
      <c r="I4758" t="str">
        <f>VLOOKUP(Table8[[#This Row],[Mã khách hàng]],'Khách hàng'!A:E,5,0)</f>
        <v>HCVG80</v>
      </c>
    </row>
    <row r="4759" spans="1:9" x14ac:dyDescent="0.25">
      <c r="A4759" s="14" t="s">
        <v>14108</v>
      </c>
      <c r="B4759" s="15" t="s">
        <v>183</v>
      </c>
      <c r="C4759" s="16" t="s">
        <v>15234</v>
      </c>
      <c r="D4759" s="21"/>
      <c r="E4759" s="32" t="s">
        <v>15667</v>
      </c>
      <c r="F4759" s="22" t="str">
        <f>VLOOKUP(Table8[[#This Row],[Mã khách hàng]],code_khach_hang[],2,0)</f>
        <v>CÔNG TY CỔ PHẦN DỊCH VỤ THƯƠNG MẠI TỔNG HỢP WINCOMMERCE</v>
      </c>
      <c r="G4759" s="16" t="str">
        <f>VLOOKUP(Table8[[#This Row],[Mã khách hàng]],code_khach_hang[],3,0)</f>
        <v>Miền Nam đặc biệt 1</v>
      </c>
      <c r="H4759" t="str">
        <f>VLOOKUP(Table8[[#This Row],[Mã khách hàng]],'Khách hàng'!A:D,4,0)</f>
        <v>Food Đức Việt</v>
      </c>
      <c r="I4759" t="str">
        <f>VLOOKUP(Table8[[#This Row],[Mã khách hàng]],'Khách hàng'!A:E,5,0)</f>
        <v>HCVG80</v>
      </c>
    </row>
    <row r="4760" spans="1:9" x14ac:dyDescent="0.25">
      <c r="A4760" s="14" t="s">
        <v>14109</v>
      </c>
      <c r="B4760" s="15" t="s">
        <v>183</v>
      </c>
      <c r="C4760" s="16" t="s">
        <v>15235</v>
      </c>
      <c r="D4760" s="21"/>
      <c r="E4760" s="32" t="s">
        <v>15667</v>
      </c>
      <c r="F4760" s="22" t="str">
        <f>VLOOKUP(Table8[[#This Row],[Mã khách hàng]],code_khach_hang[],2,0)</f>
        <v>CÔNG TY CỔ PHẦN DỊCH VỤ THƯƠNG MẠI TỔNG HỢP WINCOMMERCE</v>
      </c>
      <c r="G4760" s="16" t="str">
        <f>VLOOKUP(Table8[[#This Row],[Mã khách hàng]],code_khach_hang[],3,0)</f>
        <v>Miền Nam đặc biệt 1</v>
      </c>
      <c r="H4760" t="str">
        <f>VLOOKUP(Table8[[#This Row],[Mã khách hàng]],'Khách hàng'!A:D,4,0)</f>
        <v>Food Đức Việt</v>
      </c>
      <c r="I4760" t="str">
        <f>VLOOKUP(Table8[[#This Row],[Mã khách hàng]],'Khách hàng'!A:E,5,0)</f>
        <v>HCVG80</v>
      </c>
    </row>
    <row r="4761" spans="1:9" x14ac:dyDescent="0.25">
      <c r="A4761" s="14" t="s">
        <v>14110</v>
      </c>
      <c r="B4761" s="15" t="s">
        <v>183</v>
      </c>
      <c r="C4761" s="16" t="s">
        <v>15236</v>
      </c>
      <c r="D4761" s="21"/>
      <c r="E4761" s="32" t="s">
        <v>15667</v>
      </c>
      <c r="F4761" s="22" t="str">
        <f>VLOOKUP(Table8[[#This Row],[Mã khách hàng]],code_khach_hang[],2,0)</f>
        <v>CÔNG TY CỔ PHẦN DỊCH VỤ THƯƠNG MẠI TỔNG HỢP WINCOMMERCE</v>
      </c>
      <c r="G4761" s="16" t="str">
        <f>VLOOKUP(Table8[[#This Row],[Mã khách hàng]],code_khach_hang[],3,0)</f>
        <v>Miền Nam đặc biệt 1</v>
      </c>
      <c r="H4761" t="str">
        <f>VLOOKUP(Table8[[#This Row],[Mã khách hàng]],'Khách hàng'!A:D,4,0)</f>
        <v>Food Đức Việt</v>
      </c>
      <c r="I4761" t="str">
        <f>VLOOKUP(Table8[[#This Row],[Mã khách hàng]],'Khách hàng'!A:E,5,0)</f>
        <v>HCVG80</v>
      </c>
    </row>
    <row r="4762" spans="1:9" x14ac:dyDescent="0.25">
      <c r="A4762" s="14" t="s">
        <v>14111</v>
      </c>
      <c r="B4762" s="15" t="s">
        <v>183</v>
      </c>
      <c r="C4762" s="16" t="s">
        <v>15237</v>
      </c>
      <c r="D4762" s="21"/>
      <c r="E4762" s="32" t="s">
        <v>15667</v>
      </c>
      <c r="F4762" s="22" t="str">
        <f>VLOOKUP(Table8[[#This Row],[Mã khách hàng]],code_khach_hang[],2,0)</f>
        <v>CÔNG TY CỔ PHẦN DỊCH VỤ THƯƠNG MẠI TỔNG HỢP WINCOMMERCE</v>
      </c>
      <c r="G4762" s="16" t="str">
        <f>VLOOKUP(Table8[[#This Row],[Mã khách hàng]],code_khach_hang[],3,0)</f>
        <v>Miền Nam đặc biệt 1</v>
      </c>
      <c r="H4762" t="str">
        <f>VLOOKUP(Table8[[#This Row],[Mã khách hàng]],'Khách hàng'!A:D,4,0)</f>
        <v>Food Đức Việt</v>
      </c>
      <c r="I4762" t="str">
        <f>VLOOKUP(Table8[[#This Row],[Mã khách hàng]],'Khách hàng'!A:E,5,0)</f>
        <v>HCVG80</v>
      </c>
    </row>
    <row r="4763" spans="1:9" x14ac:dyDescent="0.25">
      <c r="A4763" s="14" t="s">
        <v>14112</v>
      </c>
      <c r="B4763" s="15" t="s">
        <v>183</v>
      </c>
      <c r="C4763" s="16" t="s">
        <v>15238</v>
      </c>
      <c r="D4763" s="21"/>
      <c r="E4763" s="32" t="s">
        <v>15667</v>
      </c>
      <c r="F4763" s="22" t="str">
        <f>VLOOKUP(Table8[[#This Row],[Mã khách hàng]],code_khach_hang[],2,0)</f>
        <v>CÔNG TY CỔ PHẦN DỊCH VỤ THƯƠNG MẠI TỔNG HỢP WINCOMMERCE</v>
      </c>
      <c r="G4763" s="16" t="str">
        <f>VLOOKUP(Table8[[#This Row],[Mã khách hàng]],code_khach_hang[],3,0)</f>
        <v>Miền Nam đặc biệt 1</v>
      </c>
      <c r="H4763" t="str">
        <f>VLOOKUP(Table8[[#This Row],[Mã khách hàng]],'Khách hàng'!A:D,4,0)</f>
        <v>Food Đức Việt</v>
      </c>
      <c r="I4763" t="str">
        <f>VLOOKUP(Table8[[#This Row],[Mã khách hàng]],'Khách hàng'!A:E,5,0)</f>
        <v>HCVG80</v>
      </c>
    </row>
    <row r="4764" spans="1:9" x14ac:dyDescent="0.25">
      <c r="A4764" s="14" t="s">
        <v>14113</v>
      </c>
      <c r="B4764" s="15" t="s">
        <v>183</v>
      </c>
      <c r="C4764" s="16" t="s">
        <v>15239</v>
      </c>
      <c r="D4764" s="21"/>
      <c r="E4764" s="32" t="s">
        <v>15667</v>
      </c>
      <c r="F4764" s="22" t="str">
        <f>VLOOKUP(Table8[[#This Row],[Mã khách hàng]],code_khach_hang[],2,0)</f>
        <v>CÔNG TY CỔ PHẦN DỊCH VỤ THƯƠNG MẠI TỔNG HỢP WINCOMMERCE</v>
      </c>
      <c r="G4764" s="16" t="str">
        <f>VLOOKUP(Table8[[#This Row],[Mã khách hàng]],code_khach_hang[],3,0)</f>
        <v>Miền Nam đặc biệt 1</v>
      </c>
      <c r="H4764" t="str">
        <f>VLOOKUP(Table8[[#This Row],[Mã khách hàng]],'Khách hàng'!A:D,4,0)</f>
        <v>Food Đức Việt</v>
      </c>
      <c r="I4764" t="str">
        <f>VLOOKUP(Table8[[#This Row],[Mã khách hàng]],'Khách hàng'!A:E,5,0)</f>
        <v>HCVG80</v>
      </c>
    </row>
    <row r="4765" spans="1:9" x14ac:dyDescent="0.25">
      <c r="A4765" s="14" t="s">
        <v>14114</v>
      </c>
      <c r="B4765" s="15" t="s">
        <v>183</v>
      </c>
      <c r="C4765" s="16" t="s">
        <v>15240</v>
      </c>
      <c r="D4765" s="21"/>
      <c r="E4765" s="32" t="s">
        <v>15667</v>
      </c>
      <c r="F4765" s="22" t="str">
        <f>VLOOKUP(Table8[[#This Row],[Mã khách hàng]],code_khach_hang[],2,0)</f>
        <v>CÔNG TY CỔ PHẦN DỊCH VỤ THƯƠNG MẠI TỔNG HỢP WINCOMMERCE</v>
      </c>
      <c r="G4765" s="16" t="str">
        <f>VLOOKUP(Table8[[#This Row],[Mã khách hàng]],code_khach_hang[],3,0)</f>
        <v>Miền Nam đặc biệt 1</v>
      </c>
      <c r="H4765" t="str">
        <f>VLOOKUP(Table8[[#This Row],[Mã khách hàng]],'Khách hàng'!A:D,4,0)</f>
        <v>Food Đức Việt</v>
      </c>
      <c r="I4765" t="str">
        <f>VLOOKUP(Table8[[#This Row],[Mã khách hàng]],'Khách hàng'!A:E,5,0)</f>
        <v>HCVG80</v>
      </c>
    </row>
    <row r="4766" spans="1:9" x14ac:dyDescent="0.25">
      <c r="A4766" s="14" t="s">
        <v>14115</v>
      </c>
      <c r="B4766" s="15" t="s">
        <v>183</v>
      </c>
      <c r="C4766" s="16" t="s">
        <v>15241</v>
      </c>
      <c r="D4766" s="21"/>
      <c r="E4766" s="32" t="s">
        <v>15667</v>
      </c>
      <c r="F4766" s="22" t="str">
        <f>VLOOKUP(Table8[[#This Row],[Mã khách hàng]],code_khach_hang[],2,0)</f>
        <v>CÔNG TY CỔ PHẦN DỊCH VỤ THƯƠNG MẠI TỔNG HỢP WINCOMMERCE</v>
      </c>
      <c r="G4766" s="16" t="str">
        <f>VLOOKUP(Table8[[#This Row],[Mã khách hàng]],code_khach_hang[],3,0)</f>
        <v>Miền Nam đặc biệt 1</v>
      </c>
      <c r="H4766" t="str">
        <f>VLOOKUP(Table8[[#This Row],[Mã khách hàng]],'Khách hàng'!A:D,4,0)</f>
        <v>Food Đức Việt</v>
      </c>
      <c r="I4766" t="str">
        <f>VLOOKUP(Table8[[#This Row],[Mã khách hàng]],'Khách hàng'!A:E,5,0)</f>
        <v>HCVG80</v>
      </c>
    </row>
    <row r="4767" spans="1:9" x14ac:dyDescent="0.25">
      <c r="A4767" s="14" t="s">
        <v>14116</v>
      </c>
      <c r="B4767" s="15" t="s">
        <v>183</v>
      </c>
      <c r="C4767" s="16" t="s">
        <v>15242</v>
      </c>
      <c r="D4767" s="21"/>
      <c r="E4767" s="32" t="s">
        <v>15667</v>
      </c>
      <c r="F4767" s="22" t="str">
        <f>VLOOKUP(Table8[[#This Row],[Mã khách hàng]],code_khach_hang[],2,0)</f>
        <v>CÔNG TY CỔ PHẦN DỊCH VỤ THƯƠNG MẠI TỔNG HỢP WINCOMMERCE</v>
      </c>
      <c r="G4767" s="16" t="str">
        <f>VLOOKUP(Table8[[#This Row],[Mã khách hàng]],code_khach_hang[],3,0)</f>
        <v>Miền Nam đặc biệt 1</v>
      </c>
      <c r="H4767" t="str">
        <f>VLOOKUP(Table8[[#This Row],[Mã khách hàng]],'Khách hàng'!A:D,4,0)</f>
        <v>Food Đức Việt</v>
      </c>
      <c r="I4767" t="str">
        <f>VLOOKUP(Table8[[#This Row],[Mã khách hàng]],'Khách hàng'!A:E,5,0)</f>
        <v>HCVG80</v>
      </c>
    </row>
    <row r="4768" spans="1:9" x14ac:dyDescent="0.25">
      <c r="A4768" s="14" t="s">
        <v>14117</v>
      </c>
      <c r="B4768" s="15" t="s">
        <v>183</v>
      </c>
      <c r="C4768" s="16" t="s">
        <v>15243</v>
      </c>
      <c r="D4768" s="21"/>
      <c r="E4768" s="32" t="s">
        <v>15667</v>
      </c>
      <c r="F4768" s="22" t="str">
        <f>VLOOKUP(Table8[[#This Row],[Mã khách hàng]],code_khach_hang[],2,0)</f>
        <v>CÔNG TY CỔ PHẦN DỊCH VỤ THƯƠNG MẠI TỔNG HỢP WINCOMMERCE</v>
      </c>
      <c r="G4768" s="16" t="str">
        <f>VLOOKUP(Table8[[#This Row],[Mã khách hàng]],code_khach_hang[],3,0)</f>
        <v>Miền Nam đặc biệt 1</v>
      </c>
      <c r="H4768" t="str">
        <f>VLOOKUP(Table8[[#This Row],[Mã khách hàng]],'Khách hàng'!A:D,4,0)</f>
        <v>Food Đức Việt</v>
      </c>
      <c r="I4768" t="str">
        <f>VLOOKUP(Table8[[#This Row],[Mã khách hàng]],'Khách hàng'!A:E,5,0)</f>
        <v>HCVG80</v>
      </c>
    </row>
    <row r="4769" spans="1:9" x14ac:dyDescent="0.25">
      <c r="A4769" s="14" t="s">
        <v>14118</v>
      </c>
      <c r="B4769" s="15" t="s">
        <v>183</v>
      </c>
      <c r="C4769" s="16" t="s">
        <v>15244</v>
      </c>
      <c r="D4769" s="21"/>
      <c r="E4769" s="32" t="s">
        <v>15667</v>
      </c>
      <c r="F4769" s="22" t="str">
        <f>VLOOKUP(Table8[[#This Row],[Mã khách hàng]],code_khach_hang[],2,0)</f>
        <v>CÔNG TY CỔ PHẦN DỊCH VỤ THƯƠNG MẠI TỔNG HỢP WINCOMMERCE</v>
      </c>
      <c r="G4769" s="16" t="str">
        <f>VLOOKUP(Table8[[#This Row],[Mã khách hàng]],code_khach_hang[],3,0)</f>
        <v>Miền Nam đặc biệt 1</v>
      </c>
      <c r="H4769" t="str">
        <f>VLOOKUP(Table8[[#This Row],[Mã khách hàng]],'Khách hàng'!A:D,4,0)</f>
        <v>Food Đức Việt</v>
      </c>
      <c r="I4769" t="str">
        <f>VLOOKUP(Table8[[#This Row],[Mã khách hàng]],'Khách hàng'!A:E,5,0)</f>
        <v>HCVG80</v>
      </c>
    </row>
    <row r="4770" spans="1:9" x14ac:dyDescent="0.25">
      <c r="A4770" s="14" t="s">
        <v>14119</v>
      </c>
      <c r="B4770" s="15" t="s">
        <v>183</v>
      </c>
      <c r="C4770" s="16" t="s">
        <v>15245</v>
      </c>
      <c r="D4770" s="21"/>
      <c r="E4770" s="32" t="s">
        <v>15685</v>
      </c>
      <c r="F4770" s="22" t="str">
        <f>VLOOKUP(Table8[[#This Row],[Mã khách hàng]],code_khach_hang[],2,0)</f>
        <v>CHI NHÁNH BÀ RỊA - VŨNG TÀU - CÔNG TY CỔ PHẦN DỊCH VỤ THƯƠNG MẠI TỔNG HỢP WINCOMMERCE</v>
      </c>
      <c r="G4770" s="16" t="str">
        <f>VLOOKUP(Table8[[#This Row],[Mã khách hàng]],code_khach_hang[],3,0)</f>
        <v>Miền Nam đặc biệt 3</v>
      </c>
      <c r="H4770" t="str">
        <f>VLOOKUP(Table8[[#This Row],[Mã khách hàng]],'Khách hàng'!A:D,4,0)</f>
        <v>Food Đức Việt</v>
      </c>
      <c r="I4770" t="str">
        <f>VLOOKUP(Table8[[#This Row],[Mã khách hàng]],'Khách hàng'!A:E,5,0)</f>
        <v>HCVG80</v>
      </c>
    </row>
    <row r="4771" spans="1:9" x14ac:dyDescent="0.25">
      <c r="A4771" s="14" t="s">
        <v>14120</v>
      </c>
      <c r="B4771" s="15" t="s">
        <v>183</v>
      </c>
      <c r="C4771" s="16" t="s">
        <v>15246</v>
      </c>
      <c r="D4771" s="21"/>
      <c r="E4771" s="32" t="s">
        <v>15667</v>
      </c>
      <c r="F4771" s="22" t="str">
        <f>VLOOKUP(Table8[[#This Row],[Mã khách hàng]],code_khach_hang[],2,0)</f>
        <v>CÔNG TY CỔ PHẦN DỊCH VỤ THƯƠNG MẠI TỔNG HỢP WINCOMMERCE</v>
      </c>
      <c r="G4771" s="16" t="str">
        <f>VLOOKUP(Table8[[#This Row],[Mã khách hàng]],code_khach_hang[],3,0)</f>
        <v>Miền Nam đặc biệt 1</v>
      </c>
      <c r="H4771" t="str">
        <f>VLOOKUP(Table8[[#This Row],[Mã khách hàng]],'Khách hàng'!A:D,4,0)</f>
        <v>Food Đức Việt</v>
      </c>
      <c r="I4771" t="str">
        <f>VLOOKUP(Table8[[#This Row],[Mã khách hàng]],'Khách hàng'!A:E,5,0)</f>
        <v>HCVG80</v>
      </c>
    </row>
    <row r="4772" spans="1:9" x14ac:dyDescent="0.25">
      <c r="A4772" s="14" t="s">
        <v>14121</v>
      </c>
      <c r="B4772" s="15" t="s">
        <v>183</v>
      </c>
      <c r="C4772" s="16" t="s">
        <v>15247</v>
      </c>
      <c r="D4772" s="21"/>
      <c r="E4772" s="32" t="s">
        <v>15667</v>
      </c>
      <c r="F4772" s="22" t="str">
        <f>VLOOKUP(Table8[[#This Row],[Mã khách hàng]],code_khach_hang[],2,0)</f>
        <v>CÔNG TY CỔ PHẦN DỊCH VỤ THƯƠNG MẠI TỔNG HỢP WINCOMMERCE</v>
      </c>
      <c r="G4772" s="16" t="str">
        <f>VLOOKUP(Table8[[#This Row],[Mã khách hàng]],code_khach_hang[],3,0)</f>
        <v>Miền Nam đặc biệt 1</v>
      </c>
      <c r="H4772" t="str">
        <f>VLOOKUP(Table8[[#This Row],[Mã khách hàng]],'Khách hàng'!A:D,4,0)</f>
        <v>Food Đức Việt</v>
      </c>
      <c r="I4772" t="str">
        <f>VLOOKUP(Table8[[#This Row],[Mã khách hàng]],'Khách hàng'!A:E,5,0)</f>
        <v>HCVG80</v>
      </c>
    </row>
    <row r="4773" spans="1:9" x14ac:dyDescent="0.25">
      <c r="A4773" s="14" t="s">
        <v>14122</v>
      </c>
      <c r="B4773" s="15" t="s">
        <v>183</v>
      </c>
      <c r="C4773" s="16" t="s">
        <v>15248</v>
      </c>
      <c r="D4773" s="21"/>
      <c r="E4773" s="32" t="s">
        <v>15685</v>
      </c>
      <c r="F4773" s="22" t="str">
        <f>VLOOKUP(Table8[[#This Row],[Mã khách hàng]],code_khach_hang[],2,0)</f>
        <v>CHI NHÁNH BÀ RỊA - VŨNG TÀU - CÔNG TY CỔ PHẦN DỊCH VỤ THƯƠNG MẠI TỔNG HỢP WINCOMMERCE</v>
      </c>
      <c r="G4773" s="16" t="str">
        <f>VLOOKUP(Table8[[#This Row],[Mã khách hàng]],code_khach_hang[],3,0)</f>
        <v>Miền Nam đặc biệt 3</v>
      </c>
      <c r="H4773" t="str">
        <f>VLOOKUP(Table8[[#This Row],[Mã khách hàng]],'Khách hàng'!A:D,4,0)</f>
        <v>Food Đức Việt</v>
      </c>
      <c r="I4773" t="str">
        <f>VLOOKUP(Table8[[#This Row],[Mã khách hàng]],'Khách hàng'!A:E,5,0)</f>
        <v>HCVG80</v>
      </c>
    </row>
    <row r="4774" spans="1:9" x14ac:dyDescent="0.25">
      <c r="A4774" s="14" t="s">
        <v>14123</v>
      </c>
      <c r="B4774" s="15" t="s">
        <v>183</v>
      </c>
      <c r="C4774" s="16" t="s">
        <v>15249</v>
      </c>
      <c r="D4774" s="21"/>
      <c r="E4774" s="32" t="s">
        <v>15685</v>
      </c>
      <c r="F4774" s="22" t="str">
        <f>VLOOKUP(Table8[[#This Row],[Mã khách hàng]],code_khach_hang[],2,0)</f>
        <v>CHI NHÁNH BÀ RỊA - VŨNG TÀU - CÔNG TY CỔ PHẦN DỊCH VỤ THƯƠNG MẠI TỔNG HỢP WINCOMMERCE</v>
      </c>
      <c r="G4774" s="16" t="str">
        <f>VLOOKUP(Table8[[#This Row],[Mã khách hàng]],code_khach_hang[],3,0)</f>
        <v>Miền Nam đặc biệt 3</v>
      </c>
      <c r="H4774" t="str">
        <f>VLOOKUP(Table8[[#This Row],[Mã khách hàng]],'Khách hàng'!A:D,4,0)</f>
        <v>Food Đức Việt</v>
      </c>
      <c r="I4774" t="str">
        <f>VLOOKUP(Table8[[#This Row],[Mã khách hàng]],'Khách hàng'!A:E,5,0)</f>
        <v>HCVG80</v>
      </c>
    </row>
    <row r="4775" spans="1:9" x14ac:dyDescent="0.25">
      <c r="A4775" s="14" t="s">
        <v>14124</v>
      </c>
      <c r="B4775" s="15" t="s">
        <v>183</v>
      </c>
      <c r="C4775" s="16" t="s">
        <v>15250</v>
      </c>
      <c r="D4775" s="21"/>
      <c r="E4775" s="32" t="s">
        <v>15685</v>
      </c>
      <c r="F4775" s="22" t="str">
        <f>VLOOKUP(Table8[[#This Row],[Mã khách hàng]],code_khach_hang[],2,0)</f>
        <v>CHI NHÁNH BÀ RỊA - VŨNG TÀU - CÔNG TY CỔ PHẦN DỊCH VỤ THƯƠNG MẠI TỔNG HỢP WINCOMMERCE</v>
      </c>
      <c r="G4775" s="16" t="str">
        <f>VLOOKUP(Table8[[#This Row],[Mã khách hàng]],code_khach_hang[],3,0)</f>
        <v>Miền Nam đặc biệt 3</v>
      </c>
      <c r="H4775" t="str">
        <f>VLOOKUP(Table8[[#This Row],[Mã khách hàng]],'Khách hàng'!A:D,4,0)</f>
        <v>Food Đức Việt</v>
      </c>
      <c r="I4775" t="str">
        <f>VLOOKUP(Table8[[#This Row],[Mã khách hàng]],'Khách hàng'!A:E,5,0)</f>
        <v>HCVG80</v>
      </c>
    </row>
    <row r="4776" spans="1:9" x14ac:dyDescent="0.25">
      <c r="A4776" s="14" t="s">
        <v>14125</v>
      </c>
      <c r="B4776" s="15" t="s">
        <v>183</v>
      </c>
      <c r="C4776" s="16" t="s">
        <v>15251</v>
      </c>
      <c r="D4776" s="21"/>
      <c r="E4776" s="32" t="s">
        <v>15667</v>
      </c>
      <c r="F4776" s="22" t="str">
        <f>VLOOKUP(Table8[[#This Row],[Mã khách hàng]],code_khach_hang[],2,0)</f>
        <v>CÔNG TY CỔ PHẦN DỊCH VỤ THƯƠNG MẠI TỔNG HỢP WINCOMMERCE</v>
      </c>
      <c r="G4776" s="16" t="str">
        <f>VLOOKUP(Table8[[#This Row],[Mã khách hàng]],code_khach_hang[],3,0)</f>
        <v>Miền Nam đặc biệt 1</v>
      </c>
      <c r="H4776" t="str">
        <f>VLOOKUP(Table8[[#This Row],[Mã khách hàng]],'Khách hàng'!A:D,4,0)</f>
        <v>Food Đức Việt</v>
      </c>
      <c r="I4776" t="str">
        <f>VLOOKUP(Table8[[#This Row],[Mã khách hàng]],'Khách hàng'!A:E,5,0)</f>
        <v>HCVG80</v>
      </c>
    </row>
    <row r="4777" spans="1:9" x14ac:dyDescent="0.25">
      <c r="A4777" s="14" t="s">
        <v>14126</v>
      </c>
      <c r="B4777" s="15" t="s">
        <v>183</v>
      </c>
      <c r="C4777" s="16" t="s">
        <v>15252</v>
      </c>
      <c r="D4777" s="21"/>
      <c r="E4777" s="32" t="s">
        <v>15667</v>
      </c>
      <c r="F4777" s="22" t="str">
        <f>VLOOKUP(Table8[[#This Row],[Mã khách hàng]],code_khach_hang[],2,0)</f>
        <v>CÔNG TY CỔ PHẦN DỊCH VỤ THƯƠNG MẠI TỔNG HỢP WINCOMMERCE</v>
      </c>
      <c r="G4777" s="16" t="str">
        <f>VLOOKUP(Table8[[#This Row],[Mã khách hàng]],code_khach_hang[],3,0)</f>
        <v>Miền Nam đặc biệt 1</v>
      </c>
      <c r="H4777" t="str">
        <f>VLOOKUP(Table8[[#This Row],[Mã khách hàng]],'Khách hàng'!A:D,4,0)</f>
        <v>Food Đức Việt</v>
      </c>
      <c r="I4777" t="str">
        <f>VLOOKUP(Table8[[#This Row],[Mã khách hàng]],'Khách hàng'!A:E,5,0)</f>
        <v>HCVG80</v>
      </c>
    </row>
    <row r="4778" spans="1:9" x14ac:dyDescent="0.25">
      <c r="A4778" s="14" t="s">
        <v>14127</v>
      </c>
      <c r="B4778" s="15" t="s">
        <v>183</v>
      </c>
      <c r="C4778" s="16" t="s">
        <v>15253</v>
      </c>
      <c r="D4778" s="21"/>
      <c r="E4778" s="32" t="s">
        <v>15667</v>
      </c>
      <c r="F4778" s="22" t="str">
        <f>VLOOKUP(Table8[[#This Row],[Mã khách hàng]],code_khach_hang[],2,0)</f>
        <v>CÔNG TY CỔ PHẦN DỊCH VỤ THƯƠNG MẠI TỔNG HỢP WINCOMMERCE</v>
      </c>
      <c r="G4778" s="16" t="str">
        <f>VLOOKUP(Table8[[#This Row],[Mã khách hàng]],code_khach_hang[],3,0)</f>
        <v>Miền Nam đặc biệt 1</v>
      </c>
      <c r="H4778" t="str">
        <f>VLOOKUP(Table8[[#This Row],[Mã khách hàng]],'Khách hàng'!A:D,4,0)</f>
        <v>Food Đức Việt</v>
      </c>
      <c r="I4778" t="str">
        <f>VLOOKUP(Table8[[#This Row],[Mã khách hàng]],'Khách hàng'!A:E,5,0)</f>
        <v>HCVG80</v>
      </c>
    </row>
    <row r="4779" spans="1:9" x14ac:dyDescent="0.25">
      <c r="A4779" s="14" t="s">
        <v>14128</v>
      </c>
      <c r="B4779" s="15" t="s">
        <v>183</v>
      </c>
      <c r="C4779" s="16" t="s">
        <v>15254</v>
      </c>
      <c r="D4779" s="21"/>
      <c r="E4779" s="32" t="s">
        <v>15685</v>
      </c>
      <c r="F4779" s="22" t="str">
        <f>VLOOKUP(Table8[[#This Row],[Mã khách hàng]],code_khach_hang[],2,0)</f>
        <v>CHI NHÁNH BÀ RỊA - VŨNG TÀU - CÔNG TY CỔ PHẦN DỊCH VỤ THƯƠNG MẠI TỔNG HỢP WINCOMMERCE</v>
      </c>
      <c r="G4779" s="16" t="str">
        <f>VLOOKUP(Table8[[#This Row],[Mã khách hàng]],code_khach_hang[],3,0)</f>
        <v>Miền Nam đặc biệt 3</v>
      </c>
      <c r="H4779" t="str">
        <f>VLOOKUP(Table8[[#This Row],[Mã khách hàng]],'Khách hàng'!A:D,4,0)</f>
        <v>Food Đức Việt</v>
      </c>
      <c r="I4779" t="str">
        <f>VLOOKUP(Table8[[#This Row],[Mã khách hàng]],'Khách hàng'!A:E,5,0)</f>
        <v>HCVG80</v>
      </c>
    </row>
    <row r="4780" spans="1:9" x14ac:dyDescent="0.25">
      <c r="A4780" s="14" t="s">
        <v>14129</v>
      </c>
      <c r="B4780" s="15" t="s">
        <v>183</v>
      </c>
      <c r="C4780" s="16" t="s">
        <v>15255</v>
      </c>
      <c r="D4780" s="21"/>
      <c r="E4780" s="32" t="s">
        <v>15685</v>
      </c>
      <c r="F4780" s="22" t="str">
        <f>VLOOKUP(Table8[[#This Row],[Mã khách hàng]],code_khach_hang[],2,0)</f>
        <v>CHI NHÁNH BÀ RỊA - VŨNG TÀU - CÔNG TY CỔ PHẦN DỊCH VỤ THƯƠNG MẠI TỔNG HỢP WINCOMMERCE</v>
      </c>
      <c r="G4780" s="16" t="str">
        <f>VLOOKUP(Table8[[#This Row],[Mã khách hàng]],code_khach_hang[],3,0)</f>
        <v>Miền Nam đặc biệt 3</v>
      </c>
      <c r="H4780" t="str">
        <f>VLOOKUP(Table8[[#This Row],[Mã khách hàng]],'Khách hàng'!A:D,4,0)</f>
        <v>Food Đức Việt</v>
      </c>
      <c r="I4780" t="str">
        <f>VLOOKUP(Table8[[#This Row],[Mã khách hàng]],'Khách hàng'!A:E,5,0)</f>
        <v>HCVG80</v>
      </c>
    </row>
    <row r="4781" spans="1:9" x14ac:dyDescent="0.25">
      <c r="A4781" s="14" t="s">
        <v>14130</v>
      </c>
      <c r="B4781" s="15" t="s">
        <v>183</v>
      </c>
      <c r="C4781" s="16" t="s">
        <v>15256</v>
      </c>
      <c r="D4781" s="21"/>
      <c r="E4781" s="32" t="s">
        <v>15685</v>
      </c>
      <c r="F4781" s="22" t="str">
        <f>VLOOKUP(Table8[[#This Row],[Mã khách hàng]],code_khach_hang[],2,0)</f>
        <v>CHI NHÁNH BÀ RỊA - VŨNG TÀU - CÔNG TY CỔ PHẦN DỊCH VỤ THƯƠNG MẠI TỔNG HỢP WINCOMMERCE</v>
      </c>
      <c r="G4781" s="16" t="str">
        <f>VLOOKUP(Table8[[#This Row],[Mã khách hàng]],code_khach_hang[],3,0)</f>
        <v>Miền Nam đặc biệt 3</v>
      </c>
      <c r="H4781" t="str">
        <f>VLOOKUP(Table8[[#This Row],[Mã khách hàng]],'Khách hàng'!A:D,4,0)</f>
        <v>Food Đức Việt</v>
      </c>
      <c r="I4781" t="str">
        <f>VLOOKUP(Table8[[#This Row],[Mã khách hàng]],'Khách hàng'!A:E,5,0)</f>
        <v>HCVG80</v>
      </c>
    </row>
    <row r="4782" spans="1:9" x14ac:dyDescent="0.25">
      <c r="A4782" s="14" t="s">
        <v>14131</v>
      </c>
      <c r="B4782" s="15" t="s">
        <v>183</v>
      </c>
      <c r="C4782" s="16" t="s">
        <v>15257</v>
      </c>
      <c r="D4782" s="21"/>
      <c r="E4782" s="32" t="s">
        <v>15685</v>
      </c>
      <c r="F4782" s="22" t="str">
        <f>VLOOKUP(Table8[[#This Row],[Mã khách hàng]],code_khach_hang[],2,0)</f>
        <v>CHI NHÁNH BÀ RỊA - VŨNG TÀU - CÔNG TY CỔ PHẦN DỊCH VỤ THƯƠNG MẠI TỔNG HỢP WINCOMMERCE</v>
      </c>
      <c r="G4782" s="16" t="str">
        <f>VLOOKUP(Table8[[#This Row],[Mã khách hàng]],code_khach_hang[],3,0)</f>
        <v>Miền Nam đặc biệt 3</v>
      </c>
      <c r="H4782" t="str">
        <f>VLOOKUP(Table8[[#This Row],[Mã khách hàng]],'Khách hàng'!A:D,4,0)</f>
        <v>Food Đức Việt</v>
      </c>
      <c r="I4782" t="str">
        <f>VLOOKUP(Table8[[#This Row],[Mã khách hàng]],'Khách hàng'!A:E,5,0)</f>
        <v>HCVG80</v>
      </c>
    </row>
    <row r="4783" spans="1:9" x14ac:dyDescent="0.25">
      <c r="A4783" s="14" t="s">
        <v>14132</v>
      </c>
      <c r="B4783" s="15" t="s">
        <v>183</v>
      </c>
      <c r="C4783" s="16" t="s">
        <v>15258</v>
      </c>
      <c r="D4783" s="21"/>
      <c r="E4783" s="32" t="s">
        <v>15667</v>
      </c>
      <c r="F4783" s="22" t="str">
        <f>VLOOKUP(Table8[[#This Row],[Mã khách hàng]],code_khach_hang[],2,0)</f>
        <v>CÔNG TY CỔ PHẦN DỊCH VỤ THƯƠNG MẠI TỔNG HỢP WINCOMMERCE</v>
      </c>
      <c r="G4783" s="16" t="str">
        <f>VLOOKUP(Table8[[#This Row],[Mã khách hàng]],code_khach_hang[],3,0)</f>
        <v>Miền Nam đặc biệt 1</v>
      </c>
      <c r="H4783" t="str">
        <f>VLOOKUP(Table8[[#This Row],[Mã khách hàng]],'Khách hàng'!A:D,4,0)</f>
        <v>Food Đức Việt</v>
      </c>
      <c r="I4783" t="str">
        <f>VLOOKUP(Table8[[#This Row],[Mã khách hàng]],'Khách hàng'!A:E,5,0)</f>
        <v>HCVG80</v>
      </c>
    </row>
    <row r="4784" spans="1:9" x14ac:dyDescent="0.25">
      <c r="A4784" s="14" t="s">
        <v>14133</v>
      </c>
      <c r="B4784" s="15" t="s">
        <v>183</v>
      </c>
      <c r="C4784" s="16" t="s">
        <v>15259</v>
      </c>
      <c r="D4784" s="21"/>
      <c r="E4784" s="32" t="s">
        <v>15667</v>
      </c>
      <c r="F4784" s="22" t="str">
        <f>VLOOKUP(Table8[[#This Row],[Mã khách hàng]],code_khach_hang[],2,0)</f>
        <v>CÔNG TY CỔ PHẦN DỊCH VỤ THƯƠNG MẠI TỔNG HỢP WINCOMMERCE</v>
      </c>
      <c r="G4784" s="16" t="str">
        <f>VLOOKUP(Table8[[#This Row],[Mã khách hàng]],code_khach_hang[],3,0)</f>
        <v>Miền Nam đặc biệt 1</v>
      </c>
      <c r="H4784" t="str">
        <f>VLOOKUP(Table8[[#This Row],[Mã khách hàng]],'Khách hàng'!A:D,4,0)</f>
        <v>Food Đức Việt</v>
      </c>
      <c r="I4784" t="str">
        <f>VLOOKUP(Table8[[#This Row],[Mã khách hàng]],'Khách hàng'!A:E,5,0)</f>
        <v>HCVG80</v>
      </c>
    </row>
    <row r="4785" spans="1:9" x14ac:dyDescent="0.25">
      <c r="A4785" s="14" t="s">
        <v>14134</v>
      </c>
      <c r="B4785" s="15" t="s">
        <v>183</v>
      </c>
      <c r="C4785" s="16" t="s">
        <v>15260</v>
      </c>
      <c r="D4785" s="21"/>
      <c r="E4785" s="32" t="s">
        <v>15685</v>
      </c>
      <c r="F4785" s="22" t="str">
        <f>VLOOKUP(Table8[[#This Row],[Mã khách hàng]],code_khach_hang[],2,0)</f>
        <v>CHI NHÁNH BÀ RỊA - VŨNG TÀU - CÔNG TY CỔ PHẦN DỊCH VỤ THƯƠNG MẠI TỔNG HỢP WINCOMMERCE</v>
      </c>
      <c r="G4785" s="16" t="str">
        <f>VLOOKUP(Table8[[#This Row],[Mã khách hàng]],code_khach_hang[],3,0)</f>
        <v>Miền Nam đặc biệt 3</v>
      </c>
      <c r="H4785" t="str">
        <f>VLOOKUP(Table8[[#This Row],[Mã khách hàng]],'Khách hàng'!A:D,4,0)</f>
        <v>Food Đức Việt</v>
      </c>
      <c r="I4785" t="str">
        <f>VLOOKUP(Table8[[#This Row],[Mã khách hàng]],'Khách hàng'!A:E,5,0)</f>
        <v>HCVG80</v>
      </c>
    </row>
    <row r="4786" spans="1:9" x14ac:dyDescent="0.25">
      <c r="A4786" s="14" t="s">
        <v>14135</v>
      </c>
      <c r="B4786" s="15" t="s">
        <v>183</v>
      </c>
      <c r="C4786" s="16" t="s">
        <v>15261</v>
      </c>
      <c r="D4786" s="21"/>
      <c r="E4786" s="32" t="s">
        <v>15685</v>
      </c>
      <c r="F4786" s="22" t="str">
        <f>VLOOKUP(Table8[[#This Row],[Mã khách hàng]],code_khach_hang[],2,0)</f>
        <v>CHI NHÁNH BÀ RỊA - VŨNG TÀU - CÔNG TY CỔ PHẦN DỊCH VỤ THƯƠNG MẠI TỔNG HỢP WINCOMMERCE</v>
      </c>
      <c r="G4786" s="16" t="str">
        <f>VLOOKUP(Table8[[#This Row],[Mã khách hàng]],code_khach_hang[],3,0)</f>
        <v>Miền Nam đặc biệt 3</v>
      </c>
      <c r="H4786" t="str">
        <f>VLOOKUP(Table8[[#This Row],[Mã khách hàng]],'Khách hàng'!A:D,4,0)</f>
        <v>Food Đức Việt</v>
      </c>
      <c r="I4786" t="str">
        <f>VLOOKUP(Table8[[#This Row],[Mã khách hàng]],'Khách hàng'!A:E,5,0)</f>
        <v>HCVG80</v>
      </c>
    </row>
    <row r="4787" spans="1:9" x14ac:dyDescent="0.25">
      <c r="A4787" s="14" t="s">
        <v>14136</v>
      </c>
      <c r="B4787" s="15" t="s">
        <v>183</v>
      </c>
      <c r="C4787" s="16" t="s">
        <v>15262</v>
      </c>
      <c r="D4787" s="21"/>
      <c r="E4787" s="32" t="s">
        <v>15671</v>
      </c>
      <c r="F4787" s="22" t="str">
        <f>VLOOKUP(Table8[[#This Row],[Mã khách hàng]],code_khach_hang[],2,0)</f>
        <v>CHI NHÁNH BÌNH DƯƠNG - CÔNG TY CỔ PHẦN DỊCH VỤ THƯƠNG MẠI TỔNG HỢP WINCOMMERCE</v>
      </c>
      <c r="G4787" s="16" t="str">
        <f>VLOOKUP(Table8[[#This Row],[Mã khách hàng]],code_khach_hang[],3,0)</f>
        <v>Miền Nam đặc biệt 1</v>
      </c>
      <c r="H4787" t="str">
        <f>VLOOKUP(Table8[[#This Row],[Mã khách hàng]],'Khách hàng'!A:D,4,0)</f>
        <v>Food Đức Việt</v>
      </c>
      <c r="I4787" t="str">
        <f>VLOOKUP(Table8[[#This Row],[Mã khách hàng]],'Khách hàng'!A:E,5,0)</f>
        <v>HCVG80</v>
      </c>
    </row>
    <row r="4788" spans="1:9" x14ac:dyDescent="0.25">
      <c r="A4788" s="14" t="s">
        <v>14137</v>
      </c>
      <c r="B4788" s="15" t="s">
        <v>183</v>
      </c>
      <c r="C4788" s="16" t="s">
        <v>15263</v>
      </c>
      <c r="D4788" s="21"/>
      <c r="E4788" s="32" t="s">
        <v>15667</v>
      </c>
      <c r="F4788" s="22" t="str">
        <f>VLOOKUP(Table8[[#This Row],[Mã khách hàng]],code_khach_hang[],2,0)</f>
        <v>CÔNG TY CỔ PHẦN DỊCH VỤ THƯƠNG MẠI TỔNG HỢP WINCOMMERCE</v>
      </c>
      <c r="G4788" s="16" t="str">
        <f>VLOOKUP(Table8[[#This Row],[Mã khách hàng]],code_khach_hang[],3,0)</f>
        <v>Miền Nam đặc biệt 1</v>
      </c>
      <c r="H4788" t="str">
        <f>VLOOKUP(Table8[[#This Row],[Mã khách hàng]],'Khách hàng'!A:D,4,0)</f>
        <v>Food Đức Việt</v>
      </c>
      <c r="I4788" t="str">
        <f>VLOOKUP(Table8[[#This Row],[Mã khách hàng]],'Khách hàng'!A:E,5,0)</f>
        <v>HCVG80</v>
      </c>
    </row>
    <row r="4789" spans="1:9" x14ac:dyDescent="0.25">
      <c r="A4789" s="14" t="s">
        <v>14138</v>
      </c>
      <c r="B4789" s="15" t="s">
        <v>183</v>
      </c>
      <c r="C4789" s="16" t="s">
        <v>15264</v>
      </c>
      <c r="D4789" s="21"/>
      <c r="E4789" s="32" t="s">
        <v>15685</v>
      </c>
      <c r="F4789" s="22" t="str">
        <f>VLOOKUP(Table8[[#This Row],[Mã khách hàng]],code_khach_hang[],2,0)</f>
        <v>CHI NHÁNH BÀ RỊA - VŨNG TÀU - CÔNG TY CỔ PHẦN DỊCH VỤ THƯƠNG MẠI TỔNG HỢP WINCOMMERCE</v>
      </c>
      <c r="G4789" s="16" t="str">
        <f>VLOOKUP(Table8[[#This Row],[Mã khách hàng]],code_khach_hang[],3,0)</f>
        <v>Miền Nam đặc biệt 3</v>
      </c>
      <c r="H4789" t="str">
        <f>VLOOKUP(Table8[[#This Row],[Mã khách hàng]],'Khách hàng'!A:D,4,0)</f>
        <v>Food Đức Việt</v>
      </c>
      <c r="I4789" t="str">
        <f>VLOOKUP(Table8[[#This Row],[Mã khách hàng]],'Khách hàng'!A:E,5,0)</f>
        <v>HCVG80</v>
      </c>
    </row>
    <row r="4790" spans="1:9" x14ac:dyDescent="0.25">
      <c r="A4790" s="14" t="s">
        <v>14139</v>
      </c>
      <c r="B4790" s="15" t="s">
        <v>183</v>
      </c>
      <c r="C4790" s="16" t="s">
        <v>15265</v>
      </c>
      <c r="D4790" s="21"/>
      <c r="E4790" s="32" t="s">
        <v>15667</v>
      </c>
      <c r="F4790" s="22" t="str">
        <f>VLOOKUP(Table8[[#This Row],[Mã khách hàng]],code_khach_hang[],2,0)</f>
        <v>CÔNG TY CỔ PHẦN DỊCH VỤ THƯƠNG MẠI TỔNG HỢP WINCOMMERCE</v>
      </c>
      <c r="G4790" s="16" t="str">
        <f>VLOOKUP(Table8[[#This Row],[Mã khách hàng]],code_khach_hang[],3,0)</f>
        <v>Miền Nam đặc biệt 1</v>
      </c>
      <c r="H4790" t="str">
        <f>VLOOKUP(Table8[[#This Row],[Mã khách hàng]],'Khách hàng'!A:D,4,0)</f>
        <v>Food Đức Việt</v>
      </c>
      <c r="I4790" t="str">
        <f>VLOOKUP(Table8[[#This Row],[Mã khách hàng]],'Khách hàng'!A:E,5,0)</f>
        <v>HCVG80</v>
      </c>
    </row>
    <row r="4791" spans="1:9" x14ac:dyDescent="0.25">
      <c r="A4791" s="14" t="s">
        <v>14140</v>
      </c>
      <c r="B4791" s="15" t="s">
        <v>183</v>
      </c>
      <c r="C4791" s="16" t="s">
        <v>15266</v>
      </c>
      <c r="D4791" s="21"/>
      <c r="E4791" s="32" t="s">
        <v>15667</v>
      </c>
      <c r="F4791" s="22" t="str">
        <f>VLOOKUP(Table8[[#This Row],[Mã khách hàng]],code_khach_hang[],2,0)</f>
        <v>CÔNG TY CỔ PHẦN DỊCH VỤ THƯƠNG MẠI TỔNG HỢP WINCOMMERCE</v>
      </c>
      <c r="G4791" s="16" t="str">
        <f>VLOOKUP(Table8[[#This Row],[Mã khách hàng]],code_khach_hang[],3,0)</f>
        <v>Miền Nam đặc biệt 1</v>
      </c>
      <c r="H4791" t="str">
        <f>VLOOKUP(Table8[[#This Row],[Mã khách hàng]],'Khách hàng'!A:D,4,0)</f>
        <v>Food Đức Việt</v>
      </c>
      <c r="I4791" t="str">
        <f>VLOOKUP(Table8[[#This Row],[Mã khách hàng]],'Khách hàng'!A:E,5,0)</f>
        <v>HCVG80</v>
      </c>
    </row>
    <row r="4792" spans="1:9" x14ac:dyDescent="0.25">
      <c r="A4792" s="14" t="s">
        <v>14141</v>
      </c>
      <c r="B4792" s="15" t="s">
        <v>183</v>
      </c>
      <c r="C4792" s="16" t="s">
        <v>15267</v>
      </c>
      <c r="D4792" s="21"/>
      <c r="E4792" s="32" t="s">
        <v>15667</v>
      </c>
      <c r="F4792" s="22" t="str">
        <f>VLOOKUP(Table8[[#This Row],[Mã khách hàng]],code_khach_hang[],2,0)</f>
        <v>CÔNG TY CỔ PHẦN DỊCH VỤ THƯƠNG MẠI TỔNG HỢP WINCOMMERCE</v>
      </c>
      <c r="G4792" s="16" t="str">
        <f>VLOOKUP(Table8[[#This Row],[Mã khách hàng]],code_khach_hang[],3,0)</f>
        <v>Miền Nam đặc biệt 1</v>
      </c>
      <c r="H4792" t="str">
        <f>VLOOKUP(Table8[[#This Row],[Mã khách hàng]],'Khách hàng'!A:D,4,0)</f>
        <v>Food Đức Việt</v>
      </c>
      <c r="I4792" t="str">
        <f>VLOOKUP(Table8[[#This Row],[Mã khách hàng]],'Khách hàng'!A:E,5,0)</f>
        <v>HCVG80</v>
      </c>
    </row>
    <row r="4793" spans="1:9" x14ac:dyDescent="0.25">
      <c r="A4793" s="14" t="s">
        <v>14142</v>
      </c>
      <c r="B4793" s="15" t="s">
        <v>183</v>
      </c>
      <c r="C4793" s="16" t="s">
        <v>15268</v>
      </c>
      <c r="D4793" s="21"/>
      <c r="E4793" s="32" t="s">
        <v>15685</v>
      </c>
      <c r="F4793" s="22" t="str">
        <f>VLOOKUP(Table8[[#This Row],[Mã khách hàng]],code_khach_hang[],2,0)</f>
        <v>CHI NHÁNH BÀ RỊA - VŨNG TÀU - CÔNG TY CỔ PHẦN DỊCH VỤ THƯƠNG MẠI TỔNG HỢP WINCOMMERCE</v>
      </c>
      <c r="G4793" s="16" t="str">
        <f>VLOOKUP(Table8[[#This Row],[Mã khách hàng]],code_khach_hang[],3,0)</f>
        <v>Miền Nam đặc biệt 3</v>
      </c>
      <c r="H4793" t="str">
        <f>VLOOKUP(Table8[[#This Row],[Mã khách hàng]],'Khách hàng'!A:D,4,0)</f>
        <v>Food Đức Việt</v>
      </c>
      <c r="I4793" t="str">
        <f>VLOOKUP(Table8[[#This Row],[Mã khách hàng]],'Khách hàng'!A:E,5,0)</f>
        <v>HCVG80</v>
      </c>
    </row>
    <row r="4794" spans="1:9" x14ac:dyDescent="0.25">
      <c r="A4794" s="14" t="s">
        <v>14143</v>
      </c>
      <c r="B4794" s="15" t="s">
        <v>183</v>
      </c>
      <c r="C4794" s="16" t="s">
        <v>15269</v>
      </c>
      <c r="D4794" s="21"/>
      <c r="E4794" s="32" t="s">
        <v>15667</v>
      </c>
      <c r="F4794" s="22" t="str">
        <f>VLOOKUP(Table8[[#This Row],[Mã khách hàng]],code_khach_hang[],2,0)</f>
        <v>CÔNG TY CỔ PHẦN DỊCH VỤ THƯƠNG MẠI TỔNG HỢP WINCOMMERCE</v>
      </c>
      <c r="G4794" s="16" t="str">
        <f>VLOOKUP(Table8[[#This Row],[Mã khách hàng]],code_khach_hang[],3,0)</f>
        <v>Miền Nam đặc biệt 1</v>
      </c>
      <c r="H4794" t="str">
        <f>VLOOKUP(Table8[[#This Row],[Mã khách hàng]],'Khách hàng'!A:D,4,0)</f>
        <v>Food Đức Việt</v>
      </c>
      <c r="I4794" t="str">
        <f>VLOOKUP(Table8[[#This Row],[Mã khách hàng]],'Khách hàng'!A:E,5,0)</f>
        <v>HCVG80</v>
      </c>
    </row>
    <row r="4795" spans="1:9" x14ac:dyDescent="0.25">
      <c r="A4795" s="14" t="s">
        <v>14144</v>
      </c>
      <c r="B4795" s="15" t="s">
        <v>183</v>
      </c>
      <c r="C4795" s="16" t="s">
        <v>15270</v>
      </c>
      <c r="D4795" s="21"/>
      <c r="E4795" s="32" t="s">
        <v>15667</v>
      </c>
      <c r="F4795" s="22" t="str">
        <f>VLOOKUP(Table8[[#This Row],[Mã khách hàng]],code_khach_hang[],2,0)</f>
        <v>CÔNG TY CỔ PHẦN DỊCH VỤ THƯƠNG MẠI TỔNG HỢP WINCOMMERCE</v>
      </c>
      <c r="G4795" s="16" t="str">
        <f>VLOOKUP(Table8[[#This Row],[Mã khách hàng]],code_khach_hang[],3,0)</f>
        <v>Miền Nam đặc biệt 1</v>
      </c>
      <c r="H4795" t="str">
        <f>VLOOKUP(Table8[[#This Row],[Mã khách hàng]],'Khách hàng'!A:D,4,0)</f>
        <v>Food Đức Việt</v>
      </c>
      <c r="I4795" t="str">
        <f>VLOOKUP(Table8[[#This Row],[Mã khách hàng]],'Khách hàng'!A:E,5,0)</f>
        <v>HCVG80</v>
      </c>
    </row>
    <row r="4796" spans="1:9" x14ac:dyDescent="0.25">
      <c r="A4796" s="14" t="s">
        <v>14145</v>
      </c>
      <c r="B4796" s="15" t="s">
        <v>183</v>
      </c>
      <c r="C4796" s="16" t="s">
        <v>15271</v>
      </c>
      <c r="D4796" s="21"/>
      <c r="E4796" s="32" t="s">
        <v>15667</v>
      </c>
      <c r="F4796" s="22" t="str">
        <f>VLOOKUP(Table8[[#This Row],[Mã khách hàng]],code_khach_hang[],2,0)</f>
        <v>CÔNG TY CỔ PHẦN DỊCH VỤ THƯƠNG MẠI TỔNG HỢP WINCOMMERCE</v>
      </c>
      <c r="G4796" s="16" t="str">
        <f>VLOOKUP(Table8[[#This Row],[Mã khách hàng]],code_khach_hang[],3,0)</f>
        <v>Miền Nam đặc biệt 1</v>
      </c>
      <c r="H4796" t="str">
        <f>VLOOKUP(Table8[[#This Row],[Mã khách hàng]],'Khách hàng'!A:D,4,0)</f>
        <v>Food Đức Việt</v>
      </c>
      <c r="I4796" t="str">
        <f>VLOOKUP(Table8[[#This Row],[Mã khách hàng]],'Khách hàng'!A:E,5,0)</f>
        <v>HCVG80</v>
      </c>
    </row>
    <row r="4797" spans="1:9" x14ac:dyDescent="0.25">
      <c r="A4797" s="14" t="s">
        <v>14146</v>
      </c>
      <c r="B4797" s="15" t="s">
        <v>183</v>
      </c>
      <c r="C4797" s="16" t="s">
        <v>15272</v>
      </c>
      <c r="D4797" s="21"/>
      <c r="E4797" s="32" t="s">
        <v>15667</v>
      </c>
      <c r="F4797" s="22" t="str">
        <f>VLOOKUP(Table8[[#This Row],[Mã khách hàng]],code_khach_hang[],2,0)</f>
        <v>CÔNG TY CỔ PHẦN DỊCH VỤ THƯƠNG MẠI TỔNG HỢP WINCOMMERCE</v>
      </c>
      <c r="G4797" s="16" t="str">
        <f>VLOOKUP(Table8[[#This Row],[Mã khách hàng]],code_khach_hang[],3,0)</f>
        <v>Miền Nam đặc biệt 1</v>
      </c>
      <c r="H4797" t="str">
        <f>VLOOKUP(Table8[[#This Row],[Mã khách hàng]],'Khách hàng'!A:D,4,0)</f>
        <v>Food Đức Việt</v>
      </c>
      <c r="I4797" t="str">
        <f>VLOOKUP(Table8[[#This Row],[Mã khách hàng]],'Khách hàng'!A:E,5,0)</f>
        <v>HCVG80</v>
      </c>
    </row>
    <row r="4798" spans="1:9" x14ac:dyDescent="0.25">
      <c r="A4798" s="14" t="s">
        <v>14147</v>
      </c>
      <c r="B4798" s="15" t="s">
        <v>183</v>
      </c>
      <c r="C4798" s="16" t="s">
        <v>15273</v>
      </c>
      <c r="D4798" s="21"/>
      <c r="E4798" s="32" t="s">
        <v>15667</v>
      </c>
      <c r="F4798" s="22" t="str">
        <f>VLOOKUP(Table8[[#This Row],[Mã khách hàng]],code_khach_hang[],2,0)</f>
        <v>CÔNG TY CỔ PHẦN DỊCH VỤ THƯƠNG MẠI TỔNG HỢP WINCOMMERCE</v>
      </c>
      <c r="G4798" s="16" t="str">
        <f>VLOOKUP(Table8[[#This Row],[Mã khách hàng]],code_khach_hang[],3,0)</f>
        <v>Miền Nam đặc biệt 1</v>
      </c>
      <c r="H4798" t="str">
        <f>VLOOKUP(Table8[[#This Row],[Mã khách hàng]],'Khách hàng'!A:D,4,0)</f>
        <v>Food Đức Việt</v>
      </c>
      <c r="I4798" t="str">
        <f>VLOOKUP(Table8[[#This Row],[Mã khách hàng]],'Khách hàng'!A:E,5,0)</f>
        <v>HCVG80</v>
      </c>
    </row>
    <row r="4799" spans="1:9" x14ac:dyDescent="0.25">
      <c r="A4799" s="14" t="s">
        <v>14148</v>
      </c>
      <c r="B4799" s="15" t="s">
        <v>183</v>
      </c>
      <c r="C4799" s="16" t="s">
        <v>15274</v>
      </c>
      <c r="D4799" s="21"/>
      <c r="E4799" s="32" t="s">
        <v>15667</v>
      </c>
      <c r="F4799" s="22" t="str">
        <f>VLOOKUP(Table8[[#This Row],[Mã khách hàng]],code_khach_hang[],2,0)</f>
        <v>CÔNG TY CỔ PHẦN DỊCH VỤ THƯƠNG MẠI TỔNG HỢP WINCOMMERCE</v>
      </c>
      <c r="G4799" s="16" t="str">
        <f>VLOOKUP(Table8[[#This Row],[Mã khách hàng]],code_khach_hang[],3,0)</f>
        <v>Miền Nam đặc biệt 1</v>
      </c>
      <c r="H4799" t="str">
        <f>VLOOKUP(Table8[[#This Row],[Mã khách hàng]],'Khách hàng'!A:D,4,0)</f>
        <v>Food Đức Việt</v>
      </c>
      <c r="I4799" t="str">
        <f>VLOOKUP(Table8[[#This Row],[Mã khách hàng]],'Khách hàng'!A:E,5,0)</f>
        <v>HCVG80</v>
      </c>
    </row>
    <row r="4800" spans="1:9" x14ac:dyDescent="0.25">
      <c r="A4800" s="14" t="s">
        <v>14149</v>
      </c>
      <c r="B4800" s="15" t="s">
        <v>183</v>
      </c>
      <c r="C4800" s="16" t="s">
        <v>15275</v>
      </c>
      <c r="D4800" s="21"/>
      <c r="E4800" s="32" t="s">
        <v>15667</v>
      </c>
      <c r="F4800" s="22" t="str">
        <f>VLOOKUP(Table8[[#This Row],[Mã khách hàng]],code_khach_hang[],2,0)</f>
        <v>CÔNG TY CỔ PHẦN DỊCH VỤ THƯƠNG MẠI TỔNG HỢP WINCOMMERCE</v>
      </c>
      <c r="G4800" s="16" t="str">
        <f>VLOOKUP(Table8[[#This Row],[Mã khách hàng]],code_khach_hang[],3,0)</f>
        <v>Miền Nam đặc biệt 1</v>
      </c>
      <c r="H4800" t="str">
        <f>VLOOKUP(Table8[[#This Row],[Mã khách hàng]],'Khách hàng'!A:D,4,0)</f>
        <v>Food Đức Việt</v>
      </c>
      <c r="I4800" t="str">
        <f>VLOOKUP(Table8[[#This Row],[Mã khách hàng]],'Khách hàng'!A:E,5,0)</f>
        <v>HCVG80</v>
      </c>
    </row>
    <row r="4801" spans="1:9" x14ac:dyDescent="0.25">
      <c r="A4801" s="14" t="s">
        <v>14150</v>
      </c>
      <c r="B4801" s="15" t="s">
        <v>183</v>
      </c>
      <c r="C4801" s="16" t="s">
        <v>15276</v>
      </c>
      <c r="D4801" s="21"/>
      <c r="E4801" s="32" t="s">
        <v>15667</v>
      </c>
      <c r="F4801" s="22" t="str">
        <f>VLOOKUP(Table8[[#This Row],[Mã khách hàng]],code_khach_hang[],2,0)</f>
        <v>CÔNG TY CỔ PHẦN DỊCH VỤ THƯƠNG MẠI TỔNG HỢP WINCOMMERCE</v>
      </c>
      <c r="G4801" s="16" t="str">
        <f>VLOOKUP(Table8[[#This Row],[Mã khách hàng]],code_khach_hang[],3,0)</f>
        <v>Miền Nam đặc biệt 1</v>
      </c>
      <c r="H4801" t="str">
        <f>VLOOKUP(Table8[[#This Row],[Mã khách hàng]],'Khách hàng'!A:D,4,0)</f>
        <v>Food Đức Việt</v>
      </c>
      <c r="I4801" t="str">
        <f>VLOOKUP(Table8[[#This Row],[Mã khách hàng]],'Khách hàng'!A:E,5,0)</f>
        <v>HCVG80</v>
      </c>
    </row>
    <row r="4802" spans="1:9" x14ac:dyDescent="0.25">
      <c r="A4802" s="14" t="s">
        <v>14151</v>
      </c>
      <c r="B4802" s="15" t="s">
        <v>183</v>
      </c>
      <c r="C4802" s="16" t="s">
        <v>15277</v>
      </c>
      <c r="D4802" s="21"/>
      <c r="E4802" s="32" t="s">
        <v>15668</v>
      </c>
      <c r="F4802" s="22" t="str">
        <f>VLOOKUP(Table8[[#This Row],[Mã khách hàng]],code_khach_hang[],2,0)</f>
        <v>CHI NHÁNH ĐỒNG NAI - CÔNG TY CỔ PHẦN DỊCH VỤ THƯƠNG MẠI TỔNG HỢP WINCOMMERCE</v>
      </c>
      <c r="G4802" s="16" t="str">
        <f>VLOOKUP(Table8[[#This Row],[Mã khách hàng]],code_khach_hang[],3,0)</f>
        <v>Miền Nam đặc biệt 3</v>
      </c>
      <c r="H4802" t="str">
        <f>VLOOKUP(Table8[[#This Row],[Mã khách hàng]],'Khách hàng'!A:D,4,0)</f>
        <v>Food Đức Việt</v>
      </c>
      <c r="I4802" t="str">
        <f>VLOOKUP(Table8[[#This Row],[Mã khách hàng]],'Khách hàng'!A:E,5,0)</f>
        <v>HCVG80</v>
      </c>
    </row>
    <row r="4803" spans="1:9" x14ac:dyDescent="0.25">
      <c r="A4803" s="14" t="s">
        <v>14152</v>
      </c>
      <c r="B4803" s="15" t="s">
        <v>183</v>
      </c>
      <c r="C4803" s="16" t="s">
        <v>15278</v>
      </c>
      <c r="D4803" s="21"/>
      <c r="E4803" s="32" t="s">
        <v>15668</v>
      </c>
      <c r="F4803" s="22" t="str">
        <f>VLOOKUP(Table8[[#This Row],[Mã khách hàng]],code_khach_hang[],2,0)</f>
        <v>CHI NHÁNH ĐỒNG NAI - CÔNG TY CỔ PHẦN DỊCH VỤ THƯƠNG MẠI TỔNG HỢP WINCOMMERCE</v>
      </c>
      <c r="G4803" s="16" t="str">
        <f>VLOOKUP(Table8[[#This Row],[Mã khách hàng]],code_khach_hang[],3,0)</f>
        <v>Miền Nam đặc biệt 3</v>
      </c>
      <c r="H4803" t="str">
        <f>VLOOKUP(Table8[[#This Row],[Mã khách hàng]],'Khách hàng'!A:D,4,0)</f>
        <v>Food Đức Việt</v>
      </c>
      <c r="I4803" t="str">
        <f>VLOOKUP(Table8[[#This Row],[Mã khách hàng]],'Khách hàng'!A:E,5,0)</f>
        <v>HCVG80</v>
      </c>
    </row>
    <row r="4804" spans="1:9" x14ac:dyDescent="0.25">
      <c r="A4804" s="14" t="s">
        <v>14153</v>
      </c>
      <c r="B4804" s="15" t="s">
        <v>183</v>
      </c>
      <c r="C4804" s="16" t="s">
        <v>15279</v>
      </c>
      <c r="D4804" s="21"/>
      <c r="E4804" s="32" t="s">
        <v>15668</v>
      </c>
      <c r="F4804" s="22" t="str">
        <f>VLOOKUP(Table8[[#This Row],[Mã khách hàng]],code_khach_hang[],2,0)</f>
        <v>CHI NHÁNH ĐỒNG NAI - CÔNG TY CỔ PHẦN DỊCH VỤ THƯƠNG MẠI TỔNG HỢP WINCOMMERCE</v>
      </c>
      <c r="G4804" s="16" t="str">
        <f>VLOOKUP(Table8[[#This Row],[Mã khách hàng]],code_khach_hang[],3,0)</f>
        <v>Miền Nam đặc biệt 3</v>
      </c>
      <c r="H4804" t="str">
        <f>VLOOKUP(Table8[[#This Row],[Mã khách hàng]],'Khách hàng'!A:D,4,0)</f>
        <v>Food Đức Việt</v>
      </c>
      <c r="I4804" t="str">
        <f>VLOOKUP(Table8[[#This Row],[Mã khách hàng]],'Khách hàng'!A:E,5,0)</f>
        <v>HCVG80</v>
      </c>
    </row>
    <row r="4805" spans="1:9" x14ac:dyDescent="0.25">
      <c r="A4805" s="14" t="s">
        <v>14154</v>
      </c>
      <c r="B4805" s="15" t="s">
        <v>183</v>
      </c>
      <c r="C4805" s="16" t="s">
        <v>15280</v>
      </c>
      <c r="D4805" s="21"/>
      <c r="E4805" s="32" t="s">
        <v>15668</v>
      </c>
      <c r="F4805" s="22" t="str">
        <f>VLOOKUP(Table8[[#This Row],[Mã khách hàng]],code_khach_hang[],2,0)</f>
        <v>CHI NHÁNH ĐỒNG NAI - CÔNG TY CỔ PHẦN DỊCH VỤ THƯƠNG MẠI TỔNG HỢP WINCOMMERCE</v>
      </c>
      <c r="G4805" s="16" t="str">
        <f>VLOOKUP(Table8[[#This Row],[Mã khách hàng]],code_khach_hang[],3,0)</f>
        <v>Miền Nam đặc biệt 3</v>
      </c>
      <c r="H4805" t="str">
        <f>VLOOKUP(Table8[[#This Row],[Mã khách hàng]],'Khách hàng'!A:D,4,0)</f>
        <v>Food Đức Việt</v>
      </c>
      <c r="I4805" t="str">
        <f>VLOOKUP(Table8[[#This Row],[Mã khách hàng]],'Khách hàng'!A:E,5,0)</f>
        <v>HCVG80</v>
      </c>
    </row>
    <row r="4806" spans="1:9" x14ac:dyDescent="0.25">
      <c r="A4806" s="14" t="s">
        <v>14155</v>
      </c>
      <c r="B4806" s="15" t="s">
        <v>183</v>
      </c>
      <c r="C4806" s="16" t="s">
        <v>15281</v>
      </c>
      <c r="D4806" s="21"/>
      <c r="E4806" s="32" t="s">
        <v>15667</v>
      </c>
      <c r="F4806" s="22" t="str">
        <f>VLOOKUP(Table8[[#This Row],[Mã khách hàng]],code_khach_hang[],2,0)</f>
        <v>CÔNG TY CỔ PHẦN DỊCH VỤ THƯƠNG MẠI TỔNG HỢP WINCOMMERCE</v>
      </c>
      <c r="G4806" s="16" t="str">
        <f>VLOOKUP(Table8[[#This Row],[Mã khách hàng]],code_khach_hang[],3,0)</f>
        <v>Miền Nam đặc biệt 1</v>
      </c>
      <c r="H4806" t="str">
        <f>VLOOKUP(Table8[[#This Row],[Mã khách hàng]],'Khách hàng'!A:D,4,0)</f>
        <v>Food Đức Việt</v>
      </c>
      <c r="I4806" t="str">
        <f>VLOOKUP(Table8[[#This Row],[Mã khách hàng]],'Khách hàng'!A:E,5,0)</f>
        <v>HCVG80</v>
      </c>
    </row>
    <row r="4807" spans="1:9" x14ac:dyDescent="0.25">
      <c r="A4807" s="14" t="s">
        <v>14156</v>
      </c>
      <c r="B4807" s="15" t="s">
        <v>183</v>
      </c>
      <c r="C4807" s="16" t="s">
        <v>15282</v>
      </c>
      <c r="D4807" s="21"/>
      <c r="E4807" s="32" t="s">
        <v>15685</v>
      </c>
      <c r="F4807" s="22" t="str">
        <f>VLOOKUP(Table8[[#This Row],[Mã khách hàng]],code_khach_hang[],2,0)</f>
        <v>CHI NHÁNH BÀ RỊA - VŨNG TÀU - CÔNG TY CỔ PHẦN DỊCH VỤ THƯƠNG MẠI TỔNG HỢP WINCOMMERCE</v>
      </c>
      <c r="G4807" s="16" t="str">
        <f>VLOOKUP(Table8[[#This Row],[Mã khách hàng]],code_khach_hang[],3,0)</f>
        <v>Miền Nam đặc biệt 3</v>
      </c>
      <c r="H4807" t="str">
        <f>VLOOKUP(Table8[[#This Row],[Mã khách hàng]],'Khách hàng'!A:D,4,0)</f>
        <v>Food Đức Việt</v>
      </c>
      <c r="I4807" t="str">
        <f>VLOOKUP(Table8[[#This Row],[Mã khách hàng]],'Khách hàng'!A:E,5,0)</f>
        <v>HCVG80</v>
      </c>
    </row>
    <row r="4808" spans="1:9" x14ac:dyDescent="0.25">
      <c r="A4808" s="14" t="s">
        <v>14157</v>
      </c>
      <c r="B4808" s="15" t="s">
        <v>183</v>
      </c>
      <c r="C4808" s="16" t="s">
        <v>15283</v>
      </c>
      <c r="D4808" s="21"/>
      <c r="E4808" s="32" t="s">
        <v>15685</v>
      </c>
      <c r="F4808" s="22" t="str">
        <f>VLOOKUP(Table8[[#This Row],[Mã khách hàng]],code_khach_hang[],2,0)</f>
        <v>CHI NHÁNH BÀ RỊA - VŨNG TÀU - CÔNG TY CỔ PHẦN DỊCH VỤ THƯƠNG MẠI TỔNG HỢP WINCOMMERCE</v>
      </c>
      <c r="G4808" s="16" t="str">
        <f>VLOOKUP(Table8[[#This Row],[Mã khách hàng]],code_khach_hang[],3,0)</f>
        <v>Miền Nam đặc biệt 3</v>
      </c>
      <c r="H4808" t="str">
        <f>VLOOKUP(Table8[[#This Row],[Mã khách hàng]],'Khách hàng'!A:D,4,0)</f>
        <v>Food Đức Việt</v>
      </c>
      <c r="I4808" t="str">
        <f>VLOOKUP(Table8[[#This Row],[Mã khách hàng]],'Khách hàng'!A:E,5,0)</f>
        <v>HCVG80</v>
      </c>
    </row>
    <row r="4809" spans="1:9" x14ac:dyDescent="0.25">
      <c r="A4809" s="14" t="s">
        <v>14158</v>
      </c>
      <c r="B4809" s="15" t="s">
        <v>183</v>
      </c>
      <c r="C4809" s="16" t="s">
        <v>15284</v>
      </c>
      <c r="D4809" s="21"/>
      <c r="E4809" s="32" t="s">
        <v>15667</v>
      </c>
      <c r="F4809" s="22" t="str">
        <f>VLOOKUP(Table8[[#This Row],[Mã khách hàng]],code_khach_hang[],2,0)</f>
        <v>CÔNG TY CỔ PHẦN DỊCH VỤ THƯƠNG MẠI TỔNG HỢP WINCOMMERCE</v>
      </c>
      <c r="G4809" s="16" t="str">
        <f>VLOOKUP(Table8[[#This Row],[Mã khách hàng]],code_khach_hang[],3,0)</f>
        <v>Miền Nam đặc biệt 1</v>
      </c>
      <c r="H4809" t="str">
        <f>VLOOKUP(Table8[[#This Row],[Mã khách hàng]],'Khách hàng'!A:D,4,0)</f>
        <v>Food Đức Việt</v>
      </c>
      <c r="I4809" t="str">
        <f>VLOOKUP(Table8[[#This Row],[Mã khách hàng]],'Khách hàng'!A:E,5,0)</f>
        <v>HCVG80</v>
      </c>
    </row>
    <row r="4810" spans="1:9" x14ac:dyDescent="0.25">
      <c r="A4810" s="14" t="s">
        <v>14159</v>
      </c>
      <c r="B4810" s="15" t="s">
        <v>183</v>
      </c>
      <c r="C4810" s="16" t="s">
        <v>15285</v>
      </c>
      <c r="D4810" s="21"/>
      <c r="E4810" s="32" t="s">
        <v>15667</v>
      </c>
      <c r="F4810" s="22" t="str">
        <f>VLOOKUP(Table8[[#This Row],[Mã khách hàng]],code_khach_hang[],2,0)</f>
        <v>CÔNG TY CỔ PHẦN DỊCH VỤ THƯƠNG MẠI TỔNG HỢP WINCOMMERCE</v>
      </c>
      <c r="G4810" s="16" t="str">
        <f>VLOOKUP(Table8[[#This Row],[Mã khách hàng]],code_khach_hang[],3,0)</f>
        <v>Miền Nam đặc biệt 1</v>
      </c>
      <c r="H4810" t="str">
        <f>VLOOKUP(Table8[[#This Row],[Mã khách hàng]],'Khách hàng'!A:D,4,0)</f>
        <v>Food Đức Việt</v>
      </c>
      <c r="I4810" t="str">
        <f>VLOOKUP(Table8[[#This Row],[Mã khách hàng]],'Khách hàng'!A:E,5,0)</f>
        <v>HCVG80</v>
      </c>
    </row>
    <row r="4811" spans="1:9" x14ac:dyDescent="0.25">
      <c r="A4811" s="14" t="s">
        <v>14160</v>
      </c>
      <c r="B4811" s="15" t="s">
        <v>183</v>
      </c>
      <c r="C4811" s="16" t="s">
        <v>15286</v>
      </c>
      <c r="D4811" s="21"/>
      <c r="E4811" s="32" t="s">
        <v>15667</v>
      </c>
      <c r="F4811" s="22" t="str">
        <f>VLOOKUP(Table8[[#This Row],[Mã khách hàng]],code_khach_hang[],2,0)</f>
        <v>CÔNG TY CỔ PHẦN DỊCH VỤ THƯƠNG MẠI TỔNG HỢP WINCOMMERCE</v>
      </c>
      <c r="G4811" s="16" t="str">
        <f>VLOOKUP(Table8[[#This Row],[Mã khách hàng]],code_khach_hang[],3,0)</f>
        <v>Miền Nam đặc biệt 1</v>
      </c>
      <c r="H4811" t="str">
        <f>VLOOKUP(Table8[[#This Row],[Mã khách hàng]],'Khách hàng'!A:D,4,0)</f>
        <v>Food Đức Việt</v>
      </c>
      <c r="I4811" t="str">
        <f>VLOOKUP(Table8[[#This Row],[Mã khách hàng]],'Khách hàng'!A:E,5,0)</f>
        <v>HCVG80</v>
      </c>
    </row>
    <row r="4812" spans="1:9" x14ac:dyDescent="0.25">
      <c r="A4812" s="14" t="s">
        <v>14161</v>
      </c>
      <c r="B4812" s="15" t="s">
        <v>183</v>
      </c>
      <c r="C4812" s="16" t="s">
        <v>15287</v>
      </c>
      <c r="D4812" s="21"/>
      <c r="E4812" s="32" t="s">
        <v>15667</v>
      </c>
      <c r="F4812" s="22" t="str">
        <f>VLOOKUP(Table8[[#This Row],[Mã khách hàng]],code_khach_hang[],2,0)</f>
        <v>CÔNG TY CỔ PHẦN DỊCH VỤ THƯƠNG MẠI TỔNG HỢP WINCOMMERCE</v>
      </c>
      <c r="G4812" s="16" t="str">
        <f>VLOOKUP(Table8[[#This Row],[Mã khách hàng]],code_khach_hang[],3,0)</f>
        <v>Miền Nam đặc biệt 1</v>
      </c>
      <c r="H4812" t="str">
        <f>VLOOKUP(Table8[[#This Row],[Mã khách hàng]],'Khách hàng'!A:D,4,0)</f>
        <v>Food Đức Việt</v>
      </c>
      <c r="I4812" t="str">
        <f>VLOOKUP(Table8[[#This Row],[Mã khách hàng]],'Khách hàng'!A:E,5,0)</f>
        <v>HCVG80</v>
      </c>
    </row>
    <row r="4813" spans="1:9" x14ac:dyDescent="0.25">
      <c r="A4813" s="14" t="s">
        <v>14162</v>
      </c>
      <c r="B4813" s="15" t="s">
        <v>183</v>
      </c>
      <c r="C4813" s="16" t="s">
        <v>15288</v>
      </c>
      <c r="D4813" s="21"/>
      <c r="E4813" s="32" t="s">
        <v>15667</v>
      </c>
      <c r="F4813" s="22" t="str">
        <f>VLOOKUP(Table8[[#This Row],[Mã khách hàng]],code_khach_hang[],2,0)</f>
        <v>CÔNG TY CỔ PHẦN DỊCH VỤ THƯƠNG MẠI TỔNG HỢP WINCOMMERCE</v>
      </c>
      <c r="G4813" s="16" t="str">
        <f>VLOOKUP(Table8[[#This Row],[Mã khách hàng]],code_khach_hang[],3,0)</f>
        <v>Miền Nam đặc biệt 1</v>
      </c>
      <c r="H4813" t="str">
        <f>VLOOKUP(Table8[[#This Row],[Mã khách hàng]],'Khách hàng'!A:D,4,0)</f>
        <v>Food Đức Việt</v>
      </c>
      <c r="I4813" t="str">
        <f>VLOOKUP(Table8[[#This Row],[Mã khách hàng]],'Khách hàng'!A:E,5,0)</f>
        <v>HCVG80</v>
      </c>
    </row>
    <row r="4814" spans="1:9" x14ac:dyDescent="0.25">
      <c r="A4814" s="14" t="s">
        <v>14163</v>
      </c>
      <c r="B4814" s="15" t="s">
        <v>183</v>
      </c>
      <c r="C4814" s="16" t="s">
        <v>15289</v>
      </c>
      <c r="D4814" s="21"/>
      <c r="E4814" s="32" t="s">
        <v>15667</v>
      </c>
      <c r="F4814" s="22" t="str">
        <f>VLOOKUP(Table8[[#This Row],[Mã khách hàng]],code_khach_hang[],2,0)</f>
        <v>CÔNG TY CỔ PHẦN DỊCH VỤ THƯƠNG MẠI TỔNG HỢP WINCOMMERCE</v>
      </c>
      <c r="G4814" s="16" t="str">
        <f>VLOOKUP(Table8[[#This Row],[Mã khách hàng]],code_khach_hang[],3,0)</f>
        <v>Miền Nam đặc biệt 1</v>
      </c>
      <c r="H4814" t="str">
        <f>VLOOKUP(Table8[[#This Row],[Mã khách hàng]],'Khách hàng'!A:D,4,0)</f>
        <v>Food Đức Việt</v>
      </c>
      <c r="I4814" t="str">
        <f>VLOOKUP(Table8[[#This Row],[Mã khách hàng]],'Khách hàng'!A:E,5,0)</f>
        <v>HCVG80</v>
      </c>
    </row>
    <row r="4815" spans="1:9" x14ac:dyDescent="0.25">
      <c r="A4815" s="14" t="s">
        <v>14164</v>
      </c>
      <c r="B4815" s="15" t="s">
        <v>183</v>
      </c>
      <c r="C4815" s="16" t="s">
        <v>15290</v>
      </c>
      <c r="D4815" s="21"/>
      <c r="E4815" s="32" t="s">
        <v>15667</v>
      </c>
      <c r="F4815" s="22" t="str">
        <f>VLOOKUP(Table8[[#This Row],[Mã khách hàng]],code_khach_hang[],2,0)</f>
        <v>CÔNG TY CỔ PHẦN DỊCH VỤ THƯƠNG MẠI TỔNG HỢP WINCOMMERCE</v>
      </c>
      <c r="G4815" s="16" t="str">
        <f>VLOOKUP(Table8[[#This Row],[Mã khách hàng]],code_khach_hang[],3,0)</f>
        <v>Miền Nam đặc biệt 1</v>
      </c>
      <c r="H4815" t="str">
        <f>VLOOKUP(Table8[[#This Row],[Mã khách hàng]],'Khách hàng'!A:D,4,0)</f>
        <v>Food Đức Việt</v>
      </c>
      <c r="I4815" t="str">
        <f>VLOOKUP(Table8[[#This Row],[Mã khách hàng]],'Khách hàng'!A:E,5,0)</f>
        <v>HCVG80</v>
      </c>
    </row>
    <row r="4816" spans="1:9" x14ac:dyDescent="0.25">
      <c r="A4816" s="14" t="s">
        <v>14165</v>
      </c>
      <c r="B4816" s="15" t="s">
        <v>183</v>
      </c>
      <c r="C4816" s="16" t="s">
        <v>15291</v>
      </c>
      <c r="D4816" s="21"/>
      <c r="E4816" s="32" t="s">
        <v>15667</v>
      </c>
      <c r="F4816" s="22" t="str">
        <f>VLOOKUP(Table8[[#This Row],[Mã khách hàng]],code_khach_hang[],2,0)</f>
        <v>CÔNG TY CỔ PHẦN DỊCH VỤ THƯƠNG MẠI TỔNG HỢP WINCOMMERCE</v>
      </c>
      <c r="G4816" s="16" t="str">
        <f>VLOOKUP(Table8[[#This Row],[Mã khách hàng]],code_khach_hang[],3,0)</f>
        <v>Miền Nam đặc biệt 1</v>
      </c>
      <c r="H4816" t="str">
        <f>VLOOKUP(Table8[[#This Row],[Mã khách hàng]],'Khách hàng'!A:D,4,0)</f>
        <v>Food Đức Việt</v>
      </c>
      <c r="I4816" t="str">
        <f>VLOOKUP(Table8[[#This Row],[Mã khách hàng]],'Khách hàng'!A:E,5,0)</f>
        <v>HCVG80</v>
      </c>
    </row>
    <row r="4817" spans="1:9" x14ac:dyDescent="0.25">
      <c r="A4817" s="14" t="s">
        <v>14166</v>
      </c>
      <c r="B4817" s="15" t="s">
        <v>183</v>
      </c>
      <c r="C4817" s="16" t="s">
        <v>15292</v>
      </c>
      <c r="D4817" s="21"/>
      <c r="E4817" s="32" t="s">
        <v>15671</v>
      </c>
      <c r="F4817" s="22" t="str">
        <f>VLOOKUP(Table8[[#This Row],[Mã khách hàng]],code_khach_hang[],2,0)</f>
        <v>CHI NHÁNH BÌNH DƯƠNG - CÔNG TY CỔ PHẦN DỊCH VỤ THƯƠNG MẠI TỔNG HỢP WINCOMMERCE</v>
      </c>
      <c r="G4817" s="16" t="str">
        <f>VLOOKUP(Table8[[#This Row],[Mã khách hàng]],code_khach_hang[],3,0)</f>
        <v>Miền Nam đặc biệt 1</v>
      </c>
      <c r="H4817" t="str">
        <f>VLOOKUP(Table8[[#This Row],[Mã khách hàng]],'Khách hàng'!A:D,4,0)</f>
        <v>Food Đức Việt</v>
      </c>
      <c r="I4817" t="str">
        <f>VLOOKUP(Table8[[#This Row],[Mã khách hàng]],'Khách hàng'!A:E,5,0)</f>
        <v>HCVG80</v>
      </c>
    </row>
    <row r="4818" spans="1:9" x14ac:dyDescent="0.25">
      <c r="A4818" s="14" t="s">
        <v>14167</v>
      </c>
      <c r="B4818" s="15" t="s">
        <v>183</v>
      </c>
      <c r="C4818" s="16" t="s">
        <v>15293</v>
      </c>
      <c r="D4818" s="21"/>
      <c r="E4818" s="32" t="s">
        <v>15667</v>
      </c>
      <c r="F4818" s="22" t="str">
        <f>VLOOKUP(Table8[[#This Row],[Mã khách hàng]],code_khach_hang[],2,0)</f>
        <v>CÔNG TY CỔ PHẦN DỊCH VỤ THƯƠNG MẠI TỔNG HỢP WINCOMMERCE</v>
      </c>
      <c r="G4818" s="16" t="str">
        <f>VLOOKUP(Table8[[#This Row],[Mã khách hàng]],code_khach_hang[],3,0)</f>
        <v>Miền Nam đặc biệt 1</v>
      </c>
      <c r="H4818" t="str">
        <f>VLOOKUP(Table8[[#This Row],[Mã khách hàng]],'Khách hàng'!A:D,4,0)</f>
        <v>Food Đức Việt</v>
      </c>
      <c r="I4818" t="str">
        <f>VLOOKUP(Table8[[#This Row],[Mã khách hàng]],'Khách hàng'!A:E,5,0)</f>
        <v>HCVG80</v>
      </c>
    </row>
    <row r="4819" spans="1:9" x14ac:dyDescent="0.25">
      <c r="A4819" s="14" t="s">
        <v>14168</v>
      </c>
      <c r="B4819" s="15" t="s">
        <v>183</v>
      </c>
      <c r="C4819" s="16" t="s">
        <v>15294</v>
      </c>
      <c r="D4819" s="21"/>
      <c r="E4819" s="32" t="s">
        <v>15667</v>
      </c>
      <c r="F4819" s="22" t="str">
        <f>VLOOKUP(Table8[[#This Row],[Mã khách hàng]],code_khach_hang[],2,0)</f>
        <v>CÔNG TY CỔ PHẦN DỊCH VỤ THƯƠNG MẠI TỔNG HỢP WINCOMMERCE</v>
      </c>
      <c r="G4819" s="16" t="str">
        <f>VLOOKUP(Table8[[#This Row],[Mã khách hàng]],code_khach_hang[],3,0)</f>
        <v>Miền Nam đặc biệt 1</v>
      </c>
      <c r="H4819" t="str">
        <f>VLOOKUP(Table8[[#This Row],[Mã khách hàng]],'Khách hàng'!A:D,4,0)</f>
        <v>Food Đức Việt</v>
      </c>
      <c r="I4819" t="str">
        <f>VLOOKUP(Table8[[#This Row],[Mã khách hàng]],'Khách hàng'!A:E,5,0)</f>
        <v>HCVG80</v>
      </c>
    </row>
    <row r="4820" spans="1:9" x14ac:dyDescent="0.25">
      <c r="A4820" s="14" t="s">
        <v>14169</v>
      </c>
      <c r="B4820" s="15" t="s">
        <v>183</v>
      </c>
      <c r="C4820" s="16" t="s">
        <v>15295</v>
      </c>
      <c r="D4820" s="21"/>
      <c r="E4820" s="32" t="s">
        <v>15685</v>
      </c>
      <c r="F4820" s="22" t="str">
        <f>VLOOKUP(Table8[[#This Row],[Mã khách hàng]],code_khach_hang[],2,0)</f>
        <v>CHI NHÁNH BÀ RỊA - VŨNG TÀU - CÔNG TY CỔ PHẦN DỊCH VỤ THƯƠNG MẠI TỔNG HỢP WINCOMMERCE</v>
      </c>
      <c r="G4820" s="16" t="str">
        <f>VLOOKUP(Table8[[#This Row],[Mã khách hàng]],code_khach_hang[],3,0)</f>
        <v>Miền Nam đặc biệt 3</v>
      </c>
      <c r="H4820" t="str">
        <f>VLOOKUP(Table8[[#This Row],[Mã khách hàng]],'Khách hàng'!A:D,4,0)</f>
        <v>Food Đức Việt</v>
      </c>
      <c r="I4820" t="str">
        <f>VLOOKUP(Table8[[#This Row],[Mã khách hàng]],'Khách hàng'!A:E,5,0)</f>
        <v>HCVG80</v>
      </c>
    </row>
    <row r="4821" spans="1:9" x14ac:dyDescent="0.25">
      <c r="A4821" s="14" t="s">
        <v>14170</v>
      </c>
      <c r="B4821" s="15" t="s">
        <v>183</v>
      </c>
      <c r="C4821" s="16" t="s">
        <v>15296</v>
      </c>
      <c r="D4821" s="21"/>
      <c r="E4821" s="32" t="s">
        <v>15685</v>
      </c>
      <c r="F4821" s="22" t="str">
        <f>VLOOKUP(Table8[[#This Row],[Mã khách hàng]],code_khach_hang[],2,0)</f>
        <v>CHI NHÁNH BÀ RỊA - VŨNG TÀU - CÔNG TY CỔ PHẦN DỊCH VỤ THƯƠNG MẠI TỔNG HỢP WINCOMMERCE</v>
      </c>
      <c r="G4821" s="16" t="str">
        <f>VLOOKUP(Table8[[#This Row],[Mã khách hàng]],code_khach_hang[],3,0)</f>
        <v>Miền Nam đặc biệt 3</v>
      </c>
      <c r="H4821" t="str">
        <f>VLOOKUP(Table8[[#This Row],[Mã khách hàng]],'Khách hàng'!A:D,4,0)</f>
        <v>Food Đức Việt</v>
      </c>
      <c r="I4821" t="str">
        <f>VLOOKUP(Table8[[#This Row],[Mã khách hàng]],'Khách hàng'!A:E,5,0)</f>
        <v>HCVG80</v>
      </c>
    </row>
    <row r="4822" spans="1:9" x14ac:dyDescent="0.25">
      <c r="A4822" s="14" t="s">
        <v>14171</v>
      </c>
      <c r="B4822" s="15" t="s">
        <v>183</v>
      </c>
      <c r="C4822" s="16" t="s">
        <v>15297</v>
      </c>
      <c r="D4822" s="21"/>
      <c r="E4822" s="32" t="s">
        <v>15667</v>
      </c>
      <c r="F4822" s="22" t="str">
        <f>VLOOKUP(Table8[[#This Row],[Mã khách hàng]],code_khach_hang[],2,0)</f>
        <v>CÔNG TY CỔ PHẦN DỊCH VỤ THƯƠNG MẠI TỔNG HỢP WINCOMMERCE</v>
      </c>
      <c r="G4822" s="16" t="str">
        <f>VLOOKUP(Table8[[#This Row],[Mã khách hàng]],code_khach_hang[],3,0)</f>
        <v>Miền Nam đặc biệt 1</v>
      </c>
      <c r="H4822" t="str">
        <f>VLOOKUP(Table8[[#This Row],[Mã khách hàng]],'Khách hàng'!A:D,4,0)</f>
        <v>Food Đức Việt</v>
      </c>
      <c r="I4822" t="str">
        <f>VLOOKUP(Table8[[#This Row],[Mã khách hàng]],'Khách hàng'!A:E,5,0)</f>
        <v>HCVG80</v>
      </c>
    </row>
    <row r="4823" spans="1:9" x14ac:dyDescent="0.25">
      <c r="A4823" s="14" t="s">
        <v>14172</v>
      </c>
      <c r="B4823" s="15" t="s">
        <v>183</v>
      </c>
      <c r="C4823" s="16" t="s">
        <v>15298</v>
      </c>
      <c r="D4823" s="21"/>
      <c r="E4823" s="32" t="s">
        <v>15667</v>
      </c>
      <c r="F4823" s="22" t="str">
        <f>VLOOKUP(Table8[[#This Row],[Mã khách hàng]],code_khach_hang[],2,0)</f>
        <v>CÔNG TY CỔ PHẦN DỊCH VỤ THƯƠNG MẠI TỔNG HỢP WINCOMMERCE</v>
      </c>
      <c r="G4823" s="16" t="str">
        <f>VLOOKUP(Table8[[#This Row],[Mã khách hàng]],code_khach_hang[],3,0)</f>
        <v>Miền Nam đặc biệt 1</v>
      </c>
      <c r="H4823" t="str">
        <f>VLOOKUP(Table8[[#This Row],[Mã khách hàng]],'Khách hàng'!A:D,4,0)</f>
        <v>Food Đức Việt</v>
      </c>
      <c r="I4823" t="str">
        <f>VLOOKUP(Table8[[#This Row],[Mã khách hàng]],'Khách hàng'!A:E,5,0)</f>
        <v>HCVG80</v>
      </c>
    </row>
    <row r="4824" spans="1:9" x14ac:dyDescent="0.25">
      <c r="A4824" s="14" t="s">
        <v>14173</v>
      </c>
      <c r="B4824" s="15" t="s">
        <v>183</v>
      </c>
      <c r="C4824" s="16" t="s">
        <v>15299</v>
      </c>
      <c r="D4824" s="21"/>
      <c r="E4824" s="32" t="s">
        <v>15667</v>
      </c>
      <c r="F4824" s="22" t="str">
        <f>VLOOKUP(Table8[[#This Row],[Mã khách hàng]],code_khach_hang[],2,0)</f>
        <v>CÔNG TY CỔ PHẦN DỊCH VỤ THƯƠNG MẠI TỔNG HỢP WINCOMMERCE</v>
      </c>
      <c r="G4824" s="16" t="str">
        <f>VLOOKUP(Table8[[#This Row],[Mã khách hàng]],code_khach_hang[],3,0)</f>
        <v>Miền Nam đặc biệt 1</v>
      </c>
      <c r="H4824" t="str">
        <f>VLOOKUP(Table8[[#This Row],[Mã khách hàng]],'Khách hàng'!A:D,4,0)</f>
        <v>Food Đức Việt</v>
      </c>
      <c r="I4824" t="str">
        <f>VLOOKUP(Table8[[#This Row],[Mã khách hàng]],'Khách hàng'!A:E,5,0)</f>
        <v>HCVG80</v>
      </c>
    </row>
    <row r="4825" spans="1:9" x14ac:dyDescent="0.25">
      <c r="A4825" s="14" t="s">
        <v>14174</v>
      </c>
      <c r="B4825" s="15" t="s">
        <v>183</v>
      </c>
      <c r="C4825" s="16" t="s">
        <v>15300</v>
      </c>
      <c r="D4825" s="21"/>
      <c r="E4825" s="32" t="s">
        <v>15667</v>
      </c>
      <c r="F4825" s="22" t="str">
        <f>VLOOKUP(Table8[[#This Row],[Mã khách hàng]],code_khach_hang[],2,0)</f>
        <v>CÔNG TY CỔ PHẦN DỊCH VỤ THƯƠNG MẠI TỔNG HỢP WINCOMMERCE</v>
      </c>
      <c r="G4825" s="16" t="str">
        <f>VLOOKUP(Table8[[#This Row],[Mã khách hàng]],code_khach_hang[],3,0)</f>
        <v>Miền Nam đặc biệt 1</v>
      </c>
      <c r="H4825" t="str">
        <f>VLOOKUP(Table8[[#This Row],[Mã khách hàng]],'Khách hàng'!A:D,4,0)</f>
        <v>Food Đức Việt</v>
      </c>
      <c r="I4825" t="str">
        <f>VLOOKUP(Table8[[#This Row],[Mã khách hàng]],'Khách hàng'!A:E,5,0)</f>
        <v>HCVG80</v>
      </c>
    </row>
    <row r="4826" spans="1:9" x14ac:dyDescent="0.25">
      <c r="A4826" s="14" t="s">
        <v>14175</v>
      </c>
      <c r="B4826" s="15" t="s">
        <v>183</v>
      </c>
      <c r="C4826" s="16" t="s">
        <v>15301</v>
      </c>
      <c r="D4826" s="21"/>
      <c r="E4826" s="32" t="s">
        <v>15667</v>
      </c>
      <c r="F4826" s="22" t="str">
        <f>VLOOKUP(Table8[[#This Row],[Mã khách hàng]],code_khach_hang[],2,0)</f>
        <v>CÔNG TY CỔ PHẦN DỊCH VỤ THƯƠNG MẠI TỔNG HỢP WINCOMMERCE</v>
      </c>
      <c r="G4826" s="16" t="str">
        <f>VLOOKUP(Table8[[#This Row],[Mã khách hàng]],code_khach_hang[],3,0)</f>
        <v>Miền Nam đặc biệt 1</v>
      </c>
      <c r="H4826" t="str">
        <f>VLOOKUP(Table8[[#This Row],[Mã khách hàng]],'Khách hàng'!A:D,4,0)</f>
        <v>Food Đức Việt</v>
      </c>
      <c r="I4826" t="str">
        <f>VLOOKUP(Table8[[#This Row],[Mã khách hàng]],'Khách hàng'!A:E,5,0)</f>
        <v>HCVG80</v>
      </c>
    </row>
    <row r="4827" spans="1:9" x14ac:dyDescent="0.25">
      <c r="A4827" s="14" t="s">
        <v>14176</v>
      </c>
      <c r="B4827" s="15" t="s">
        <v>183</v>
      </c>
      <c r="C4827" s="16" t="s">
        <v>15302</v>
      </c>
      <c r="D4827" s="21"/>
      <c r="E4827" s="32" t="s">
        <v>15667</v>
      </c>
      <c r="F4827" s="22" t="str">
        <f>VLOOKUP(Table8[[#This Row],[Mã khách hàng]],code_khach_hang[],2,0)</f>
        <v>CÔNG TY CỔ PHẦN DỊCH VỤ THƯƠNG MẠI TỔNG HỢP WINCOMMERCE</v>
      </c>
      <c r="G4827" s="16" t="str">
        <f>VLOOKUP(Table8[[#This Row],[Mã khách hàng]],code_khach_hang[],3,0)</f>
        <v>Miền Nam đặc biệt 1</v>
      </c>
      <c r="H4827" t="str">
        <f>VLOOKUP(Table8[[#This Row],[Mã khách hàng]],'Khách hàng'!A:D,4,0)</f>
        <v>Food Đức Việt</v>
      </c>
      <c r="I4827" t="str">
        <f>VLOOKUP(Table8[[#This Row],[Mã khách hàng]],'Khách hàng'!A:E,5,0)</f>
        <v>HCVG80</v>
      </c>
    </row>
    <row r="4828" spans="1:9" x14ac:dyDescent="0.25">
      <c r="A4828" s="14" t="s">
        <v>14177</v>
      </c>
      <c r="B4828" s="15" t="s">
        <v>183</v>
      </c>
      <c r="C4828" s="16" t="s">
        <v>15303</v>
      </c>
      <c r="D4828" s="21"/>
      <c r="E4828" s="32" t="s">
        <v>15667</v>
      </c>
      <c r="F4828" s="22" t="str">
        <f>VLOOKUP(Table8[[#This Row],[Mã khách hàng]],code_khach_hang[],2,0)</f>
        <v>CÔNG TY CỔ PHẦN DỊCH VỤ THƯƠNG MẠI TỔNG HỢP WINCOMMERCE</v>
      </c>
      <c r="G4828" s="16" t="str">
        <f>VLOOKUP(Table8[[#This Row],[Mã khách hàng]],code_khach_hang[],3,0)</f>
        <v>Miền Nam đặc biệt 1</v>
      </c>
      <c r="H4828" t="str">
        <f>VLOOKUP(Table8[[#This Row],[Mã khách hàng]],'Khách hàng'!A:D,4,0)</f>
        <v>Food Đức Việt</v>
      </c>
      <c r="I4828" t="str">
        <f>VLOOKUP(Table8[[#This Row],[Mã khách hàng]],'Khách hàng'!A:E,5,0)</f>
        <v>HCVG80</v>
      </c>
    </row>
    <row r="4829" spans="1:9" x14ac:dyDescent="0.25">
      <c r="A4829" s="14" t="s">
        <v>14178</v>
      </c>
      <c r="B4829" s="15" t="s">
        <v>183</v>
      </c>
      <c r="C4829" s="16" t="s">
        <v>15304</v>
      </c>
      <c r="D4829" s="21"/>
      <c r="E4829" s="32" t="s">
        <v>15667</v>
      </c>
      <c r="F4829" s="22" t="str">
        <f>VLOOKUP(Table8[[#This Row],[Mã khách hàng]],code_khach_hang[],2,0)</f>
        <v>CÔNG TY CỔ PHẦN DỊCH VỤ THƯƠNG MẠI TỔNG HỢP WINCOMMERCE</v>
      </c>
      <c r="G4829" s="16" t="str">
        <f>VLOOKUP(Table8[[#This Row],[Mã khách hàng]],code_khach_hang[],3,0)</f>
        <v>Miền Nam đặc biệt 1</v>
      </c>
      <c r="H4829" t="str">
        <f>VLOOKUP(Table8[[#This Row],[Mã khách hàng]],'Khách hàng'!A:D,4,0)</f>
        <v>Food Đức Việt</v>
      </c>
      <c r="I4829" t="str">
        <f>VLOOKUP(Table8[[#This Row],[Mã khách hàng]],'Khách hàng'!A:E,5,0)</f>
        <v>HCVG80</v>
      </c>
    </row>
    <row r="4830" spans="1:9" x14ac:dyDescent="0.25">
      <c r="A4830" s="14" t="s">
        <v>14179</v>
      </c>
      <c r="B4830" s="15" t="s">
        <v>183</v>
      </c>
      <c r="C4830" s="16" t="s">
        <v>15305</v>
      </c>
      <c r="D4830" s="21"/>
      <c r="E4830" s="32" t="s">
        <v>15671</v>
      </c>
      <c r="F4830" s="22" t="str">
        <f>VLOOKUP(Table8[[#This Row],[Mã khách hàng]],code_khach_hang[],2,0)</f>
        <v>CHI NHÁNH BÌNH DƯƠNG - CÔNG TY CỔ PHẦN DỊCH VỤ THƯƠNG MẠI TỔNG HỢP WINCOMMERCE</v>
      </c>
      <c r="G4830" s="16" t="str">
        <f>VLOOKUP(Table8[[#This Row],[Mã khách hàng]],code_khach_hang[],3,0)</f>
        <v>Miền Nam đặc biệt 1</v>
      </c>
      <c r="H4830" t="str">
        <f>VLOOKUP(Table8[[#This Row],[Mã khách hàng]],'Khách hàng'!A:D,4,0)</f>
        <v>Food Đức Việt</v>
      </c>
      <c r="I4830" t="str">
        <f>VLOOKUP(Table8[[#This Row],[Mã khách hàng]],'Khách hàng'!A:E,5,0)</f>
        <v>HCVG80</v>
      </c>
    </row>
    <row r="4831" spans="1:9" x14ac:dyDescent="0.25">
      <c r="A4831" s="14" t="s">
        <v>14180</v>
      </c>
      <c r="B4831" s="15" t="s">
        <v>183</v>
      </c>
      <c r="C4831" s="16" t="s">
        <v>15306</v>
      </c>
      <c r="D4831" s="21"/>
      <c r="E4831" s="32" t="s">
        <v>15667</v>
      </c>
      <c r="F4831" s="22" t="str">
        <f>VLOOKUP(Table8[[#This Row],[Mã khách hàng]],code_khach_hang[],2,0)</f>
        <v>CÔNG TY CỔ PHẦN DỊCH VỤ THƯƠNG MẠI TỔNG HỢP WINCOMMERCE</v>
      </c>
      <c r="G4831" s="16" t="str">
        <f>VLOOKUP(Table8[[#This Row],[Mã khách hàng]],code_khach_hang[],3,0)</f>
        <v>Miền Nam đặc biệt 1</v>
      </c>
      <c r="H4831" t="str">
        <f>VLOOKUP(Table8[[#This Row],[Mã khách hàng]],'Khách hàng'!A:D,4,0)</f>
        <v>Food Đức Việt</v>
      </c>
      <c r="I4831" t="str">
        <f>VLOOKUP(Table8[[#This Row],[Mã khách hàng]],'Khách hàng'!A:E,5,0)</f>
        <v>HCVG80</v>
      </c>
    </row>
    <row r="4832" spans="1:9" x14ac:dyDescent="0.25">
      <c r="A4832" s="14" t="s">
        <v>14181</v>
      </c>
      <c r="B4832" s="15" t="s">
        <v>183</v>
      </c>
      <c r="C4832" s="16" t="s">
        <v>15307</v>
      </c>
      <c r="D4832" s="21"/>
      <c r="E4832" s="32" t="s">
        <v>15667</v>
      </c>
      <c r="F4832" s="22" t="str">
        <f>VLOOKUP(Table8[[#This Row],[Mã khách hàng]],code_khach_hang[],2,0)</f>
        <v>CÔNG TY CỔ PHẦN DỊCH VỤ THƯƠNG MẠI TỔNG HỢP WINCOMMERCE</v>
      </c>
      <c r="G4832" s="16" t="str">
        <f>VLOOKUP(Table8[[#This Row],[Mã khách hàng]],code_khach_hang[],3,0)</f>
        <v>Miền Nam đặc biệt 1</v>
      </c>
      <c r="H4832" t="str">
        <f>VLOOKUP(Table8[[#This Row],[Mã khách hàng]],'Khách hàng'!A:D,4,0)</f>
        <v>Food Đức Việt</v>
      </c>
      <c r="I4832" t="str">
        <f>VLOOKUP(Table8[[#This Row],[Mã khách hàng]],'Khách hàng'!A:E,5,0)</f>
        <v>HCVG80</v>
      </c>
    </row>
    <row r="4833" spans="1:9" x14ac:dyDescent="0.25">
      <c r="A4833" s="14" t="s">
        <v>14182</v>
      </c>
      <c r="B4833" s="15" t="s">
        <v>183</v>
      </c>
      <c r="C4833" s="16" t="s">
        <v>15308</v>
      </c>
      <c r="D4833" s="21"/>
      <c r="E4833" s="32" t="s">
        <v>15671</v>
      </c>
      <c r="F4833" s="22" t="str">
        <f>VLOOKUP(Table8[[#This Row],[Mã khách hàng]],code_khach_hang[],2,0)</f>
        <v>CHI NHÁNH BÌNH DƯƠNG - CÔNG TY CỔ PHẦN DỊCH VỤ THƯƠNG MẠI TỔNG HỢP WINCOMMERCE</v>
      </c>
      <c r="G4833" s="16" t="str">
        <f>VLOOKUP(Table8[[#This Row],[Mã khách hàng]],code_khach_hang[],3,0)</f>
        <v>Miền Nam đặc biệt 1</v>
      </c>
      <c r="H4833" t="str">
        <f>VLOOKUP(Table8[[#This Row],[Mã khách hàng]],'Khách hàng'!A:D,4,0)</f>
        <v>Food Đức Việt</v>
      </c>
      <c r="I4833" t="str">
        <f>VLOOKUP(Table8[[#This Row],[Mã khách hàng]],'Khách hàng'!A:E,5,0)</f>
        <v>HCVG80</v>
      </c>
    </row>
    <row r="4834" spans="1:9" x14ac:dyDescent="0.25">
      <c r="A4834" s="14" t="s">
        <v>14183</v>
      </c>
      <c r="B4834" s="15" t="s">
        <v>183</v>
      </c>
      <c r="C4834" s="16" t="s">
        <v>15309</v>
      </c>
      <c r="D4834" s="21"/>
      <c r="E4834" s="32" t="s">
        <v>15667</v>
      </c>
      <c r="F4834" s="22" t="str">
        <f>VLOOKUP(Table8[[#This Row],[Mã khách hàng]],code_khach_hang[],2,0)</f>
        <v>CÔNG TY CỔ PHẦN DỊCH VỤ THƯƠNG MẠI TỔNG HỢP WINCOMMERCE</v>
      </c>
      <c r="G4834" s="16" t="str">
        <f>VLOOKUP(Table8[[#This Row],[Mã khách hàng]],code_khach_hang[],3,0)</f>
        <v>Miền Nam đặc biệt 1</v>
      </c>
      <c r="H4834" t="str">
        <f>VLOOKUP(Table8[[#This Row],[Mã khách hàng]],'Khách hàng'!A:D,4,0)</f>
        <v>Food Đức Việt</v>
      </c>
      <c r="I4834" t="str">
        <f>VLOOKUP(Table8[[#This Row],[Mã khách hàng]],'Khách hàng'!A:E,5,0)</f>
        <v>HCVG80</v>
      </c>
    </row>
    <row r="4835" spans="1:9" x14ac:dyDescent="0.25">
      <c r="A4835" s="14" t="s">
        <v>14184</v>
      </c>
      <c r="B4835" s="15" t="s">
        <v>183</v>
      </c>
      <c r="C4835" s="16" t="s">
        <v>15310</v>
      </c>
      <c r="D4835" s="21"/>
      <c r="E4835" s="32" t="s">
        <v>15685</v>
      </c>
      <c r="F4835" s="22" t="str">
        <f>VLOOKUP(Table8[[#This Row],[Mã khách hàng]],code_khach_hang[],2,0)</f>
        <v>CHI NHÁNH BÀ RỊA - VŨNG TÀU - CÔNG TY CỔ PHẦN DỊCH VỤ THƯƠNG MẠI TỔNG HỢP WINCOMMERCE</v>
      </c>
      <c r="G4835" s="16" t="str">
        <f>VLOOKUP(Table8[[#This Row],[Mã khách hàng]],code_khach_hang[],3,0)</f>
        <v>Miền Nam đặc biệt 3</v>
      </c>
      <c r="H4835" t="str">
        <f>VLOOKUP(Table8[[#This Row],[Mã khách hàng]],'Khách hàng'!A:D,4,0)</f>
        <v>Food Đức Việt</v>
      </c>
      <c r="I4835" t="str">
        <f>VLOOKUP(Table8[[#This Row],[Mã khách hàng]],'Khách hàng'!A:E,5,0)</f>
        <v>HCVG80</v>
      </c>
    </row>
    <row r="4836" spans="1:9" x14ac:dyDescent="0.25">
      <c r="A4836" s="14" t="s">
        <v>14185</v>
      </c>
      <c r="B4836" s="15" t="s">
        <v>183</v>
      </c>
      <c r="C4836" s="16" t="s">
        <v>15311</v>
      </c>
      <c r="D4836" s="21"/>
      <c r="E4836" s="32" t="s">
        <v>15667</v>
      </c>
      <c r="F4836" s="22" t="str">
        <f>VLOOKUP(Table8[[#This Row],[Mã khách hàng]],code_khach_hang[],2,0)</f>
        <v>CÔNG TY CỔ PHẦN DỊCH VỤ THƯƠNG MẠI TỔNG HỢP WINCOMMERCE</v>
      </c>
      <c r="G4836" s="16" t="str">
        <f>VLOOKUP(Table8[[#This Row],[Mã khách hàng]],code_khach_hang[],3,0)</f>
        <v>Miền Nam đặc biệt 1</v>
      </c>
      <c r="H4836" t="str">
        <f>VLOOKUP(Table8[[#This Row],[Mã khách hàng]],'Khách hàng'!A:D,4,0)</f>
        <v>Food Đức Việt</v>
      </c>
      <c r="I4836" t="str">
        <f>VLOOKUP(Table8[[#This Row],[Mã khách hàng]],'Khách hàng'!A:E,5,0)</f>
        <v>HCVG80</v>
      </c>
    </row>
    <row r="4837" spans="1:9" x14ac:dyDescent="0.25">
      <c r="A4837" s="14" t="s">
        <v>14186</v>
      </c>
      <c r="B4837" s="15" t="s">
        <v>183</v>
      </c>
      <c r="C4837" s="16" t="s">
        <v>15312</v>
      </c>
      <c r="D4837" s="21"/>
      <c r="E4837" s="32" t="s">
        <v>15668</v>
      </c>
      <c r="F4837" s="22" t="str">
        <f>VLOOKUP(Table8[[#This Row],[Mã khách hàng]],code_khach_hang[],2,0)</f>
        <v>CHI NHÁNH ĐỒNG NAI - CÔNG TY CỔ PHẦN DỊCH VỤ THƯƠNG MẠI TỔNG HỢP WINCOMMERCE</v>
      </c>
      <c r="G4837" s="16" t="str">
        <f>VLOOKUP(Table8[[#This Row],[Mã khách hàng]],code_khach_hang[],3,0)</f>
        <v>Miền Nam đặc biệt 3</v>
      </c>
      <c r="H4837" t="str">
        <f>VLOOKUP(Table8[[#This Row],[Mã khách hàng]],'Khách hàng'!A:D,4,0)</f>
        <v>Food Đức Việt</v>
      </c>
      <c r="I4837" t="str">
        <f>VLOOKUP(Table8[[#This Row],[Mã khách hàng]],'Khách hàng'!A:E,5,0)</f>
        <v>HCVG80</v>
      </c>
    </row>
    <row r="4838" spans="1:9" x14ac:dyDescent="0.25">
      <c r="A4838" s="14" t="s">
        <v>14187</v>
      </c>
      <c r="B4838" s="15" t="s">
        <v>183</v>
      </c>
      <c r="C4838" s="16" t="s">
        <v>15313</v>
      </c>
      <c r="D4838" s="21"/>
      <c r="E4838" s="32" t="s">
        <v>15667</v>
      </c>
      <c r="F4838" s="22" t="str">
        <f>VLOOKUP(Table8[[#This Row],[Mã khách hàng]],code_khach_hang[],2,0)</f>
        <v>CÔNG TY CỔ PHẦN DỊCH VỤ THƯƠNG MẠI TỔNG HỢP WINCOMMERCE</v>
      </c>
      <c r="G4838" s="16" t="str">
        <f>VLOOKUP(Table8[[#This Row],[Mã khách hàng]],code_khach_hang[],3,0)</f>
        <v>Miền Nam đặc biệt 1</v>
      </c>
      <c r="H4838" t="str">
        <f>VLOOKUP(Table8[[#This Row],[Mã khách hàng]],'Khách hàng'!A:D,4,0)</f>
        <v>Food Đức Việt</v>
      </c>
      <c r="I4838" t="str">
        <f>VLOOKUP(Table8[[#This Row],[Mã khách hàng]],'Khách hàng'!A:E,5,0)</f>
        <v>HCVG80</v>
      </c>
    </row>
    <row r="4839" spans="1:9" x14ac:dyDescent="0.25">
      <c r="A4839" s="14" t="s">
        <v>14188</v>
      </c>
      <c r="B4839" s="15" t="s">
        <v>183</v>
      </c>
      <c r="C4839" s="16" t="s">
        <v>15314</v>
      </c>
      <c r="D4839" s="21"/>
      <c r="E4839" s="32" t="s">
        <v>15667</v>
      </c>
      <c r="F4839" s="22" t="str">
        <f>VLOOKUP(Table8[[#This Row],[Mã khách hàng]],code_khach_hang[],2,0)</f>
        <v>CÔNG TY CỔ PHẦN DỊCH VỤ THƯƠNG MẠI TỔNG HỢP WINCOMMERCE</v>
      </c>
      <c r="G4839" s="16" t="str">
        <f>VLOOKUP(Table8[[#This Row],[Mã khách hàng]],code_khach_hang[],3,0)</f>
        <v>Miền Nam đặc biệt 1</v>
      </c>
      <c r="H4839" t="str">
        <f>VLOOKUP(Table8[[#This Row],[Mã khách hàng]],'Khách hàng'!A:D,4,0)</f>
        <v>Food Đức Việt</v>
      </c>
      <c r="I4839" t="str">
        <f>VLOOKUP(Table8[[#This Row],[Mã khách hàng]],'Khách hàng'!A:E,5,0)</f>
        <v>HCVG80</v>
      </c>
    </row>
    <row r="4840" spans="1:9" x14ac:dyDescent="0.25">
      <c r="A4840" s="14" t="s">
        <v>14189</v>
      </c>
      <c r="B4840" s="15" t="s">
        <v>183</v>
      </c>
      <c r="C4840" s="16" t="s">
        <v>15315</v>
      </c>
      <c r="D4840" s="21"/>
      <c r="E4840" s="32" t="s">
        <v>15667</v>
      </c>
      <c r="F4840" s="22" t="str">
        <f>VLOOKUP(Table8[[#This Row],[Mã khách hàng]],code_khach_hang[],2,0)</f>
        <v>CÔNG TY CỔ PHẦN DỊCH VỤ THƯƠNG MẠI TỔNG HỢP WINCOMMERCE</v>
      </c>
      <c r="G4840" s="16" t="str">
        <f>VLOOKUP(Table8[[#This Row],[Mã khách hàng]],code_khach_hang[],3,0)</f>
        <v>Miền Nam đặc biệt 1</v>
      </c>
      <c r="H4840" t="str">
        <f>VLOOKUP(Table8[[#This Row],[Mã khách hàng]],'Khách hàng'!A:D,4,0)</f>
        <v>Food Đức Việt</v>
      </c>
      <c r="I4840" t="str">
        <f>VLOOKUP(Table8[[#This Row],[Mã khách hàng]],'Khách hàng'!A:E,5,0)</f>
        <v>HCVG80</v>
      </c>
    </row>
    <row r="4841" spans="1:9" x14ac:dyDescent="0.25">
      <c r="A4841" s="14" t="s">
        <v>14190</v>
      </c>
      <c r="B4841" s="15" t="s">
        <v>183</v>
      </c>
      <c r="C4841" s="16" t="s">
        <v>15316</v>
      </c>
      <c r="D4841" s="21"/>
      <c r="E4841" s="32" t="s">
        <v>15667</v>
      </c>
      <c r="F4841" s="22" t="str">
        <f>VLOOKUP(Table8[[#This Row],[Mã khách hàng]],code_khach_hang[],2,0)</f>
        <v>CÔNG TY CỔ PHẦN DỊCH VỤ THƯƠNG MẠI TỔNG HỢP WINCOMMERCE</v>
      </c>
      <c r="G4841" s="16" t="str">
        <f>VLOOKUP(Table8[[#This Row],[Mã khách hàng]],code_khach_hang[],3,0)</f>
        <v>Miền Nam đặc biệt 1</v>
      </c>
      <c r="H4841" t="str">
        <f>VLOOKUP(Table8[[#This Row],[Mã khách hàng]],'Khách hàng'!A:D,4,0)</f>
        <v>Food Đức Việt</v>
      </c>
      <c r="I4841" t="str">
        <f>VLOOKUP(Table8[[#This Row],[Mã khách hàng]],'Khách hàng'!A:E,5,0)</f>
        <v>HCVG80</v>
      </c>
    </row>
    <row r="4842" spans="1:9" x14ac:dyDescent="0.25">
      <c r="A4842" s="14" t="s">
        <v>14191</v>
      </c>
      <c r="B4842" s="15" t="s">
        <v>183</v>
      </c>
      <c r="C4842" s="16" t="s">
        <v>15317</v>
      </c>
      <c r="D4842" s="21"/>
      <c r="E4842" s="32" t="s">
        <v>15667</v>
      </c>
      <c r="F4842" s="22" t="str">
        <f>VLOOKUP(Table8[[#This Row],[Mã khách hàng]],code_khach_hang[],2,0)</f>
        <v>CÔNG TY CỔ PHẦN DỊCH VỤ THƯƠNG MẠI TỔNG HỢP WINCOMMERCE</v>
      </c>
      <c r="G4842" s="16" t="str">
        <f>VLOOKUP(Table8[[#This Row],[Mã khách hàng]],code_khach_hang[],3,0)</f>
        <v>Miền Nam đặc biệt 1</v>
      </c>
      <c r="H4842" t="str">
        <f>VLOOKUP(Table8[[#This Row],[Mã khách hàng]],'Khách hàng'!A:D,4,0)</f>
        <v>Food Đức Việt</v>
      </c>
      <c r="I4842" t="str">
        <f>VLOOKUP(Table8[[#This Row],[Mã khách hàng]],'Khách hàng'!A:E,5,0)</f>
        <v>HCVG80</v>
      </c>
    </row>
    <row r="4843" spans="1:9" x14ac:dyDescent="0.25">
      <c r="A4843" s="14" t="s">
        <v>14192</v>
      </c>
      <c r="B4843" s="15" t="s">
        <v>183</v>
      </c>
      <c r="C4843" s="16" t="s">
        <v>15318</v>
      </c>
      <c r="D4843" s="21"/>
      <c r="E4843" s="32" t="s">
        <v>15671</v>
      </c>
      <c r="F4843" s="22" t="str">
        <f>VLOOKUP(Table8[[#This Row],[Mã khách hàng]],code_khach_hang[],2,0)</f>
        <v>CHI NHÁNH BÌNH DƯƠNG - CÔNG TY CỔ PHẦN DỊCH VỤ THƯƠNG MẠI TỔNG HỢP WINCOMMERCE</v>
      </c>
      <c r="G4843" s="16" t="str">
        <f>VLOOKUP(Table8[[#This Row],[Mã khách hàng]],code_khach_hang[],3,0)</f>
        <v>Miền Nam đặc biệt 1</v>
      </c>
      <c r="H4843" t="str">
        <f>VLOOKUP(Table8[[#This Row],[Mã khách hàng]],'Khách hàng'!A:D,4,0)</f>
        <v>Food Đức Việt</v>
      </c>
      <c r="I4843" t="str">
        <f>VLOOKUP(Table8[[#This Row],[Mã khách hàng]],'Khách hàng'!A:E,5,0)</f>
        <v>HCVG80</v>
      </c>
    </row>
    <row r="4844" spans="1:9" x14ac:dyDescent="0.25">
      <c r="A4844" s="14" t="s">
        <v>14193</v>
      </c>
      <c r="B4844" s="15" t="s">
        <v>183</v>
      </c>
      <c r="C4844" s="16" t="s">
        <v>15319</v>
      </c>
      <c r="D4844" s="21"/>
      <c r="E4844" s="32" t="s">
        <v>15667</v>
      </c>
      <c r="F4844" s="22" t="str">
        <f>VLOOKUP(Table8[[#This Row],[Mã khách hàng]],code_khach_hang[],2,0)</f>
        <v>CÔNG TY CỔ PHẦN DỊCH VỤ THƯƠNG MẠI TỔNG HỢP WINCOMMERCE</v>
      </c>
      <c r="G4844" s="16" t="str">
        <f>VLOOKUP(Table8[[#This Row],[Mã khách hàng]],code_khach_hang[],3,0)</f>
        <v>Miền Nam đặc biệt 1</v>
      </c>
      <c r="H4844" t="str">
        <f>VLOOKUP(Table8[[#This Row],[Mã khách hàng]],'Khách hàng'!A:D,4,0)</f>
        <v>Food Đức Việt</v>
      </c>
      <c r="I4844" t="str">
        <f>VLOOKUP(Table8[[#This Row],[Mã khách hàng]],'Khách hàng'!A:E,5,0)</f>
        <v>HCVG80</v>
      </c>
    </row>
    <row r="4845" spans="1:9" x14ac:dyDescent="0.25">
      <c r="A4845" s="14" t="s">
        <v>14194</v>
      </c>
      <c r="B4845" s="15" t="s">
        <v>183</v>
      </c>
      <c r="C4845" s="16" t="s">
        <v>15320</v>
      </c>
      <c r="D4845" s="21"/>
      <c r="E4845" s="32" t="s">
        <v>15667</v>
      </c>
      <c r="F4845" s="22" t="str">
        <f>VLOOKUP(Table8[[#This Row],[Mã khách hàng]],code_khach_hang[],2,0)</f>
        <v>CÔNG TY CỔ PHẦN DỊCH VỤ THƯƠNG MẠI TỔNG HỢP WINCOMMERCE</v>
      </c>
      <c r="G4845" s="16" t="str">
        <f>VLOOKUP(Table8[[#This Row],[Mã khách hàng]],code_khach_hang[],3,0)</f>
        <v>Miền Nam đặc biệt 1</v>
      </c>
      <c r="H4845" t="str">
        <f>VLOOKUP(Table8[[#This Row],[Mã khách hàng]],'Khách hàng'!A:D,4,0)</f>
        <v>Food Đức Việt</v>
      </c>
      <c r="I4845" t="str">
        <f>VLOOKUP(Table8[[#This Row],[Mã khách hàng]],'Khách hàng'!A:E,5,0)</f>
        <v>HCVG80</v>
      </c>
    </row>
    <row r="4846" spans="1:9" x14ac:dyDescent="0.25">
      <c r="A4846" s="14" t="s">
        <v>14195</v>
      </c>
      <c r="B4846" s="15" t="s">
        <v>183</v>
      </c>
      <c r="C4846" s="16" t="s">
        <v>15321</v>
      </c>
      <c r="D4846" s="21"/>
      <c r="E4846" s="32" t="s">
        <v>15671</v>
      </c>
      <c r="F4846" s="22" t="str">
        <f>VLOOKUP(Table8[[#This Row],[Mã khách hàng]],code_khach_hang[],2,0)</f>
        <v>CHI NHÁNH BÌNH DƯƠNG - CÔNG TY CỔ PHẦN DỊCH VỤ THƯƠNG MẠI TỔNG HỢP WINCOMMERCE</v>
      </c>
      <c r="G4846" s="16" t="str">
        <f>VLOOKUP(Table8[[#This Row],[Mã khách hàng]],code_khach_hang[],3,0)</f>
        <v>Miền Nam đặc biệt 1</v>
      </c>
      <c r="H4846" t="str">
        <f>VLOOKUP(Table8[[#This Row],[Mã khách hàng]],'Khách hàng'!A:D,4,0)</f>
        <v>Food Đức Việt</v>
      </c>
      <c r="I4846" t="str">
        <f>VLOOKUP(Table8[[#This Row],[Mã khách hàng]],'Khách hàng'!A:E,5,0)</f>
        <v>HCVG80</v>
      </c>
    </row>
    <row r="4847" spans="1:9" x14ac:dyDescent="0.25">
      <c r="A4847" s="14" t="s">
        <v>14196</v>
      </c>
      <c r="B4847" s="15" t="s">
        <v>183</v>
      </c>
      <c r="C4847" s="16" t="s">
        <v>15322</v>
      </c>
      <c r="D4847" s="21"/>
      <c r="E4847" s="32" t="s">
        <v>15667</v>
      </c>
      <c r="F4847" s="22" t="str">
        <f>VLOOKUP(Table8[[#This Row],[Mã khách hàng]],code_khach_hang[],2,0)</f>
        <v>CÔNG TY CỔ PHẦN DỊCH VỤ THƯƠNG MẠI TỔNG HỢP WINCOMMERCE</v>
      </c>
      <c r="G4847" s="16" t="str">
        <f>VLOOKUP(Table8[[#This Row],[Mã khách hàng]],code_khach_hang[],3,0)</f>
        <v>Miền Nam đặc biệt 1</v>
      </c>
      <c r="H4847" t="str">
        <f>VLOOKUP(Table8[[#This Row],[Mã khách hàng]],'Khách hàng'!A:D,4,0)</f>
        <v>Food Đức Việt</v>
      </c>
      <c r="I4847" t="str">
        <f>VLOOKUP(Table8[[#This Row],[Mã khách hàng]],'Khách hàng'!A:E,5,0)</f>
        <v>HCVG80</v>
      </c>
    </row>
    <row r="4848" spans="1:9" x14ac:dyDescent="0.25">
      <c r="A4848" s="14" t="s">
        <v>14197</v>
      </c>
      <c r="B4848" s="15" t="s">
        <v>183</v>
      </c>
      <c r="C4848" s="16" t="s">
        <v>15323</v>
      </c>
      <c r="D4848" s="21"/>
      <c r="E4848" s="32" t="s">
        <v>15667</v>
      </c>
      <c r="F4848" s="22" t="str">
        <f>VLOOKUP(Table8[[#This Row],[Mã khách hàng]],code_khach_hang[],2,0)</f>
        <v>CÔNG TY CỔ PHẦN DỊCH VỤ THƯƠNG MẠI TỔNG HỢP WINCOMMERCE</v>
      </c>
      <c r="G4848" s="16" t="str">
        <f>VLOOKUP(Table8[[#This Row],[Mã khách hàng]],code_khach_hang[],3,0)</f>
        <v>Miền Nam đặc biệt 1</v>
      </c>
      <c r="H4848" t="str">
        <f>VLOOKUP(Table8[[#This Row],[Mã khách hàng]],'Khách hàng'!A:D,4,0)</f>
        <v>Food Đức Việt</v>
      </c>
      <c r="I4848" t="str">
        <f>VLOOKUP(Table8[[#This Row],[Mã khách hàng]],'Khách hàng'!A:E,5,0)</f>
        <v>HCVG80</v>
      </c>
    </row>
    <row r="4849" spans="1:9" x14ac:dyDescent="0.25">
      <c r="A4849" s="14" t="s">
        <v>14198</v>
      </c>
      <c r="B4849" s="15" t="s">
        <v>183</v>
      </c>
      <c r="C4849" s="16" t="s">
        <v>15324</v>
      </c>
      <c r="D4849" s="21"/>
      <c r="E4849" s="32" t="s">
        <v>15667</v>
      </c>
      <c r="F4849" s="22" t="str">
        <f>VLOOKUP(Table8[[#This Row],[Mã khách hàng]],code_khach_hang[],2,0)</f>
        <v>CÔNG TY CỔ PHẦN DỊCH VỤ THƯƠNG MẠI TỔNG HỢP WINCOMMERCE</v>
      </c>
      <c r="G4849" s="16" t="str">
        <f>VLOOKUP(Table8[[#This Row],[Mã khách hàng]],code_khach_hang[],3,0)</f>
        <v>Miền Nam đặc biệt 1</v>
      </c>
      <c r="H4849" t="str">
        <f>VLOOKUP(Table8[[#This Row],[Mã khách hàng]],'Khách hàng'!A:D,4,0)</f>
        <v>Food Đức Việt</v>
      </c>
      <c r="I4849" t="str">
        <f>VLOOKUP(Table8[[#This Row],[Mã khách hàng]],'Khách hàng'!A:E,5,0)</f>
        <v>HCVG80</v>
      </c>
    </row>
    <row r="4850" spans="1:9" x14ac:dyDescent="0.25">
      <c r="A4850" s="14" t="s">
        <v>14199</v>
      </c>
      <c r="B4850" s="15" t="s">
        <v>183</v>
      </c>
      <c r="C4850" s="16" t="s">
        <v>15325</v>
      </c>
      <c r="D4850" s="21"/>
      <c r="E4850" s="32" t="s">
        <v>15667</v>
      </c>
      <c r="F4850" s="22" t="str">
        <f>VLOOKUP(Table8[[#This Row],[Mã khách hàng]],code_khach_hang[],2,0)</f>
        <v>CÔNG TY CỔ PHẦN DỊCH VỤ THƯƠNG MẠI TỔNG HỢP WINCOMMERCE</v>
      </c>
      <c r="G4850" s="16" t="str">
        <f>VLOOKUP(Table8[[#This Row],[Mã khách hàng]],code_khach_hang[],3,0)</f>
        <v>Miền Nam đặc biệt 1</v>
      </c>
      <c r="H4850" t="str">
        <f>VLOOKUP(Table8[[#This Row],[Mã khách hàng]],'Khách hàng'!A:D,4,0)</f>
        <v>Food Đức Việt</v>
      </c>
      <c r="I4850" t="str">
        <f>VLOOKUP(Table8[[#This Row],[Mã khách hàng]],'Khách hàng'!A:E,5,0)</f>
        <v>HCVG80</v>
      </c>
    </row>
    <row r="4851" spans="1:9" x14ac:dyDescent="0.25">
      <c r="A4851" s="14" t="s">
        <v>14200</v>
      </c>
      <c r="B4851" s="15" t="s">
        <v>183</v>
      </c>
      <c r="C4851" s="16" t="s">
        <v>15326</v>
      </c>
      <c r="D4851" s="21"/>
      <c r="E4851" s="32" t="s">
        <v>15667</v>
      </c>
      <c r="F4851" s="22" t="str">
        <f>VLOOKUP(Table8[[#This Row],[Mã khách hàng]],code_khach_hang[],2,0)</f>
        <v>CÔNG TY CỔ PHẦN DỊCH VỤ THƯƠNG MẠI TỔNG HỢP WINCOMMERCE</v>
      </c>
      <c r="G4851" s="16" t="str">
        <f>VLOOKUP(Table8[[#This Row],[Mã khách hàng]],code_khach_hang[],3,0)</f>
        <v>Miền Nam đặc biệt 1</v>
      </c>
      <c r="H4851" t="str">
        <f>VLOOKUP(Table8[[#This Row],[Mã khách hàng]],'Khách hàng'!A:D,4,0)</f>
        <v>Food Đức Việt</v>
      </c>
      <c r="I4851" t="str">
        <f>VLOOKUP(Table8[[#This Row],[Mã khách hàng]],'Khách hàng'!A:E,5,0)</f>
        <v>HCVG80</v>
      </c>
    </row>
    <row r="4852" spans="1:9" x14ac:dyDescent="0.25">
      <c r="A4852" s="14" t="s">
        <v>14201</v>
      </c>
      <c r="B4852" s="15" t="s">
        <v>183</v>
      </c>
      <c r="C4852" s="16" t="s">
        <v>15327</v>
      </c>
      <c r="D4852" s="21"/>
      <c r="E4852" s="32" t="s">
        <v>15667</v>
      </c>
      <c r="F4852" s="22" t="str">
        <f>VLOOKUP(Table8[[#This Row],[Mã khách hàng]],code_khach_hang[],2,0)</f>
        <v>CÔNG TY CỔ PHẦN DỊCH VỤ THƯƠNG MẠI TỔNG HỢP WINCOMMERCE</v>
      </c>
      <c r="G4852" s="16" t="str">
        <f>VLOOKUP(Table8[[#This Row],[Mã khách hàng]],code_khach_hang[],3,0)</f>
        <v>Miền Nam đặc biệt 1</v>
      </c>
      <c r="H4852" t="str">
        <f>VLOOKUP(Table8[[#This Row],[Mã khách hàng]],'Khách hàng'!A:D,4,0)</f>
        <v>Food Đức Việt</v>
      </c>
      <c r="I4852" t="str">
        <f>VLOOKUP(Table8[[#This Row],[Mã khách hàng]],'Khách hàng'!A:E,5,0)</f>
        <v>HCVG80</v>
      </c>
    </row>
    <row r="4853" spans="1:9" x14ac:dyDescent="0.25">
      <c r="A4853" s="14" t="s">
        <v>14202</v>
      </c>
      <c r="B4853" s="15" t="s">
        <v>183</v>
      </c>
      <c r="C4853" s="16" t="s">
        <v>15328</v>
      </c>
      <c r="D4853" s="21"/>
      <c r="E4853" s="32" t="s">
        <v>15667</v>
      </c>
      <c r="F4853" s="22" t="str">
        <f>VLOOKUP(Table8[[#This Row],[Mã khách hàng]],code_khach_hang[],2,0)</f>
        <v>CÔNG TY CỔ PHẦN DỊCH VỤ THƯƠNG MẠI TỔNG HỢP WINCOMMERCE</v>
      </c>
      <c r="G4853" s="16" t="str">
        <f>VLOOKUP(Table8[[#This Row],[Mã khách hàng]],code_khach_hang[],3,0)</f>
        <v>Miền Nam đặc biệt 1</v>
      </c>
      <c r="H4853" t="str">
        <f>VLOOKUP(Table8[[#This Row],[Mã khách hàng]],'Khách hàng'!A:D,4,0)</f>
        <v>Food Đức Việt</v>
      </c>
      <c r="I4853" t="str">
        <f>VLOOKUP(Table8[[#This Row],[Mã khách hàng]],'Khách hàng'!A:E,5,0)</f>
        <v>HCVG80</v>
      </c>
    </row>
    <row r="4854" spans="1:9" x14ac:dyDescent="0.25">
      <c r="A4854" s="14" t="s">
        <v>14203</v>
      </c>
      <c r="B4854" s="15" t="s">
        <v>183</v>
      </c>
      <c r="C4854" s="16" t="s">
        <v>15329</v>
      </c>
      <c r="D4854" s="21"/>
      <c r="E4854" s="32" t="s">
        <v>15667</v>
      </c>
      <c r="F4854" s="22" t="str">
        <f>VLOOKUP(Table8[[#This Row],[Mã khách hàng]],code_khach_hang[],2,0)</f>
        <v>CÔNG TY CỔ PHẦN DỊCH VỤ THƯƠNG MẠI TỔNG HỢP WINCOMMERCE</v>
      </c>
      <c r="G4854" s="16" t="str">
        <f>VLOOKUP(Table8[[#This Row],[Mã khách hàng]],code_khach_hang[],3,0)</f>
        <v>Miền Nam đặc biệt 1</v>
      </c>
      <c r="H4854" t="str">
        <f>VLOOKUP(Table8[[#This Row],[Mã khách hàng]],'Khách hàng'!A:D,4,0)</f>
        <v>Food Đức Việt</v>
      </c>
      <c r="I4854" t="str">
        <f>VLOOKUP(Table8[[#This Row],[Mã khách hàng]],'Khách hàng'!A:E,5,0)</f>
        <v>HCVG80</v>
      </c>
    </row>
    <row r="4855" spans="1:9" x14ac:dyDescent="0.25">
      <c r="A4855" s="14" t="s">
        <v>14204</v>
      </c>
      <c r="B4855" s="15" t="s">
        <v>183</v>
      </c>
      <c r="C4855" s="16" t="s">
        <v>15330</v>
      </c>
      <c r="D4855" s="21"/>
      <c r="E4855" s="32" t="s">
        <v>15685</v>
      </c>
      <c r="F4855" s="22" t="str">
        <f>VLOOKUP(Table8[[#This Row],[Mã khách hàng]],code_khach_hang[],2,0)</f>
        <v>CHI NHÁNH BÀ RỊA - VŨNG TÀU - CÔNG TY CỔ PHẦN DỊCH VỤ THƯƠNG MẠI TỔNG HỢP WINCOMMERCE</v>
      </c>
      <c r="G4855" s="16" t="str">
        <f>VLOOKUP(Table8[[#This Row],[Mã khách hàng]],code_khach_hang[],3,0)</f>
        <v>Miền Nam đặc biệt 3</v>
      </c>
      <c r="H4855" t="str">
        <f>VLOOKUP(Table8[[#This Row],[Mã khách hàng]],'Khách hàng'!A:D,4,0)</f>
        <v>Food Đức Việt</v>
      </c>
      <c r="I4855" t="str">
        <f>VLOOKUP(Table8[[#This Row],[Mã khách hàng]],'Khách hàng'!A:E,5,0)</f>
        <v>HCVG80</v>
      </c>
    </row>
    <row r="4856" spans="1:9" x14ac:dyDescent="0.25">
      <c r="A4856" s="14" t="s">
        <v>14205</v>
      </c>
      <c r="B4856" s="15" t="s">
        <v>183</v>
      </c>
      <c r="C4856" s="16" t="s">
        <v>15331</v>
      </c>
      <c r="D4856" s="21"/>
      <c r="E4856" s="32" t="s">
        <v>15667</v>
      </c>
      <c r="F4856" s="22" t="str">
        <f>VLOOKUP(Table8[[#This Row],[Mã khách hàng]],code_khach_hang[],2,0)</f>
        <v>CÔNG TY CỔ PHẦN DỊCH VỤ THƯƠNG MẠI TỔNG HỢP WINCOMMERCE</v>
      </c>
      <c r="G4856" s="16" t="str">
        <f>VLOOKUP(Table8[[#This Row],[Mã khách hàng]],code_khach_hang[],3,0)</f>
        <v>Miền Nam đặc biệt 1</v>
      </c>
      <c r="H4856" t="str">
        <f>VLOOKUP(Table8[[#This Row],[Mã khách hàng]],'Khách hàng'!A:D,4,0)</f>
        <v>Food Đức Việt</v>
      </c>
      <c r="I4856" t="str">
        <f>VLOOKUP(Table8[[#This Row],[Mã khách hàng]],'Khách hàng'!A:E,5,0)</f>
        <v>HCVG80</v>
      </c>
    </row>
    <row r="4857" spans="1:9" x14ac:dyDescent="0.25">
      <c r="A4857" s="14" t="s">
        <v>14206</v>
      </c>
      <c r="B4857" s="15" t="s">
        <v>183</v>
      </c>
      <c r="C4857" s="16" t="s">
        <v>15332</v>
      </c>
      <c r="D4857" s="21"/>
      <c r="E4857" s="32" t="s">
        <v>15667</v>
      </c>
      <c r="F4857" s="22" t="str">
        <f>VLOOKUP(Table8[[#This Row],[Mã khách hàng]],code_khach_hang[],2,0)</f>
        <v>CÔNG TY CỔ PHẦN DỊCH VỤ THƯƠNG MẠI TỔNG HỢP WINCOMMERCE</v>
      </c>
      <c r="G4857" s="16" t="str">
        <f>VLOOKUP(Table8[[#This Row],[Mã khách hàng]],code_khach_hang[],3,0)</f>
        <v>Miền Nam đặc biệt 1</v>
      </c>
      <c r="H4857" t="str">
        <f>VLOOKUP(Table8[[#This Row],[Mã khách hàng]],'Khách hàng'!A:D,4,0)</f>
        <v>Food Đức Việt</v>
      </c>
      <c r="I4857" t="str">
        <f>VLOOKUP(Table8[[#This Row],[Mã khách hàng]],'Khách hàng'!A:E,5,0)</f>
        <v>HCVG80</v>
      </c>
    </row>
    <row r="4858" spans="1:9" x14ac:dyDescent="0.25">
      <c r="A4858" s="14" t="s">
        <v>14207</v>
      </c>
      <c r="B4858" s="15" t="s">
        <v>183</v>
      </c>
      <c r="C4858" s="16" t="s">
        <v>15333</v>
      </c>
      <c r="D4858" s="21"/>
      <c r="E4858" s="32" t="s">
        <v>15667</v>
      </c>
      <c r="F4858" s="22" t="str">
        <f>VLOOKUP(Table8[[#This Row],[Mã khách hàng]],code_khach_hang[],2,0)</f>
        <v>CÔNG TY CỔ PHẦN DỊCH VỤ THƯƠNG MẠI TỔNG HỢP WINCOMMERCE</v>
      </c>
      <c r="G4858" s="16" t="str">
        <f>VLOOKUP(Table8[[#This Row],[Mã khách hàng]],code_khach_hang[],3,0)</f>
        <v>Miền Nam đặc biệt 1</v>
      </c>
      <c r="H4858" t="str">
        <f>VLOOKUP(Table8[[#This Row],[Mã khách hàng]],'Khách hàng'!A:D,4,0)</f>
        <v>Food Đức Việt</v>
      </c>
      <c r="I4858" t="str">
        <f>VLOOKUP(Table8[[#This Row],[Mã khách hàng]],'Khách hàng'!A:E,5,0)</f>
        <v>HCVG80</v>
      </c>
    </row>
    <row r="4859" spans="1:9" x14ac:dyDescent="0.25">
      <c r="A4859" s="14" t="s">
        <v>14208</v>
      </c>
      <c r="B4859" s="15" t="s">
        <v>183</v>
      </c>
      <c r="C4859" s="16" t="s">
        <v>15334</v>
      </c>
      <c r="D4859" s="21"/>
      <c r="E4859" s="32" t="s">
        <v>15667</v>
      </c>
      <c r="F4859" s="22" t="str">
        <f>VLOOKUP(Table8[[#This Row],[Mã khách hàng]],code_khach_hang[],2,0)</f>
        <v>CÔNG TY CỔ PHẦN DỊCH VỤ THƯƠNG MẠI TỔNG HỢP WINCOMMERCE</v>
      </c>
      <c r="G4859" s="16" t="str">
        <f>VLOOKUP(Table8[[#This Row],[Mã khách hàng]],code_khach_hang[],3,0)</f>
        <v>Miền Nam đặc biệt 1</v>
      </c>
      <c r="H4859" t="str">
        <f>VLOOKUP(Table8[[#This Row],[Mã khách hàng]],'Khách hàng'!A:D,4,0)</f>
        <v>Food Đức Việt</v>
      </c>
      <c r="I4859" t="str">
        <f>VLOOKUP(Table8[[#This Row],[Mã khách hàng]],'Khách hàng'!A:E,5,0)</f>
        <v>HCVG80</v>
      </c>
    </row>
    <row r="4860" spans="1:9" x14ac:dyDescent="0.25">
      <c r="A4860" s="14" t="s">
        <v>14209</v>
      </c>
      <c r="B4860" s="15" t="s">
        <v>183</v>
      </c>
      <c r="C4860" s="16" t="s">
        <v>15335</v>
      </c>
      <c r="D4860" s="21"/>
      <c r="E4860" s="32" t="s">
        <v>15667</v>
      </c>
      <c r="F4860" s="22" t="str">
        <f>VLOOKUP(Table8[[#This Row],[Mã khách hàng]],code_khach_hang[],2,0)</f>
        <v>CÔNG TY CỔ PHẦN DỊCH VỤ THƯƠNG MẠI TỔNG HỢP WINCOMMERCE</v>
      </c>
      <c r="G4860" s="16" t="str">
        <f>VLOOKUP(Table8[[#This Row],[Mã khách hàng]],code_khach_hang[],3,0)</f>
        <v>Miền Nam đặc biệt 1</v>
      </c>
      <c r="H4860" t="str">
        <f>VLOOKUP(Table8[[#This Row],[Mã khách hàng]],'Khách hàng'!A:D,4,0)</f>
        <v>Food Đức Việt</v>
      </c>
      <c r="I4860" t="str">
        <f>VLOOKUP(Table8[[#This Row],[Mã khách hàng]],'Khách hàng'!A:E,5,0)</f>
        <v>HCVG80</v>
      </c>
    </row>
    <row r="4861" spans="1:9" x14ac:dyDescent="0.25">
      <c r="A4861" s="14" t="s">
        <v>14210</v>
      </c>
      <c r="B4861" s="15" t="s">
        <v>183</v>
      </c>
      <c r="C4861" s="16" t="s">
        <v>15336</v>
      </c>
      <c r="D4861" s="21"/>
      <c r="E4861" s="32" t="s">
        <v>15667</v>
      </c>
      <c r="F4861" s="22" t="str">
        <f>VLOOKUP(Table8[[#This Row],[Mã khách hàng]],code_khach_hang[],2,0)</f>
        <v>CÔNG TY CỔ PHẦN DỊCH VỤ THƯƠNG MẠI TỔNG HỢP WINCOMMERCE</v>
      </c>
      <c r="G4861" s="16" t="str">
        <f>VLOOKUP(Table8[[#This Row],[Mã khách hàng]],code_khach_hang[],3,0)</f>
        <v>Miền Nam đặc biệt 1</v>
      </c>
      <c r="H4861" t="str">
        <f>VLOOKUP(Table8[[#This Row],[Mã khách hàng]],'Khách hàng'!A:D,4,0)</f>
        <v>Food Đức Việt</v>
      </c>
      <c r="I4861" t="str">
        <f>VLOOKUP(Table8[[#This Row],[Mã khách hàng]],'Khách hàng'!A:E,5,0)</f>
        <v>HCVG80</v>
      </c>
    </row>
    <row r="4862" spans="1:9" x14ac:dyDescent="0.25">
      <c r="A4862" s="14" t="s">
        <v>14211</v>
      </c>
      <c r="B4862" s="15" t="s">
        <v>183</v>
      </c>
      <c r="C4862" s="16" t="s">
        <v>15337</v>
      </c>
      <c r="D4862" s="21"/>
      <c r="E4862" s="32" t="s">
        <v>15667</v>
      </c>
      <c r="F4862" s="22" t="str">
        <f>VLOOKUP(Table8[[#This Row],[Mã khách hàng]],code_khach_hang[],2,0)</f>
        <v>CÔNG TY CỔ PHẦN DỊCH VỤ THƯƠNG MẠI TỔNG HỢP WINCOMMERCE</v>
      </c>
      <c r="G4862" s="16" t="str">
        <f>VLOOKUP(Table8[[#This Row],[Mã khách hàng]],code_khach_hang[],3,0)</f>
        <v>Miền Nam đặc biệt 1</v>
      </c>
      <c r="H4862" t="str">
        <f>VLOOKUP(Table8[[#This Row],[Mã khách hàng]],'Khách hàng'!A:D,4,0)</f>
        <v>Food Đức Việt</v>
      </c>
      <c r="I4862" t="str">
        <f>VLOOKUP(Table8[[#This Row],[Mã khách hàng]],'Khách hàng'!A:E,5,0)</f>
        <v>HCVG80</v>
      </c>
    </row>
    <row r="4863" spans="1:9" x14ac:dyDescent="0.25">
      <c r="A4863" s="14" t="s">
        <v>14212</v>
      </c>
      <c r="B4863" s="15" t="s">
        <v>183</v>
      </c>
      <c r="C4863" s="16" t="s">
        <v>15338</v>
      </c>
      <c r="D4863" s="21"/>
      <c r="E4863" s="32" t="s">
        <v>15667</v>
      </c>
      <c r="F4863" s="22" t="str">
        <f>VLOOKUP(Table8[[#This Row],[Mã khách hàng]],code_khach_hang[],2,0)</f>
        <v>CÔNG TY CỔ PHẦN DỊCH VỤ THƯƠNG MẠI TỔNG HỢP WINCOMMERCE</v>
      </c>
      <c r="G4863" s="16" t="str">
        <f>VLOOKUP(Table8[[#This Row],[Mã khách hàng]],code_khach_hang[],3,0)</f>
        <v>Miền Nam đặc biệt 1</v>
      </c>
      <c r="H4863" t="str">
        <f>VLOOKUP(Table8[[#This Row],[Mã khách hàng]],'Khách hàng'!A:D,4,0)</f>
        <v>Food Đức Việt</v>
      </c>
      <c r="I4863" t="str">
        <f>VLOOKUP(Table8[[#This Row],[Mã khách hàng]],'Khách hàng'!A:E,5,0)</f>
        <v>HCVG80</v>
      </c>
    </row>
    <row r="4864" spans="1:9" x14ac:dyDescent="0.25">
      <c r="A4864" s="14" t="s">
        <v>14213</v>
      </c>
      <c r="B4864" s="15" t="s">
        <v>183</v>
      </c>
      <c r="C4864" s="16" t="s">
        <v>15339</v>
      </c>
      <c r="D4864" s="21"/>
      <c r="E4864" s="32" t="s">
        <v>15667</v>
      </c>
      <c r="F4864" s="22" t="str">
        <f>VLOOKUP(Table8[[#This Row],[Mã khách hàng]],code_khach_hang[],2,0)</f>
        <v>CÔNG TY CỔ PHẦN DỊCH VỤ THƯƠNG MẠI TỔNG HỢP WINCOMMERCE</v>
      </c>
      <c r="G4864" s="16" t="str">
        <f>VLOOKUP(Table8[[#This Row],[Mã khách hàng]],code_khach_hang[],3,0)</f>
        <v>Miền Nam đặc biệt 1</v>
      </c>
      <c r="H4864" t="str">
        <f>VLOOKUP(Table8[[#This Row],[Mã khách hàng]],'Khách hàng'!A:D,4,0)</f>
        <v>Food Đức Việt</v>
      </c>
      <c r="I4864" t="str">
        <f>VLOOKUP(Table8[[#This Row],[Mã khách hàng]],'Khách hàng'!A:E,5,0)</f>
        <v>HCVG80</v>
      </c>
    </row>
    <row r="4865" spans="1:9" x14ac:dyDescent="0.25">
      <c r="A4865" s="14" t="s">
        <v>14214</v>
      </c>
      <c r="B4865" s="15" t="s">
        <v>183</v>
      </c>
      <c r="C4865" s="16" t="s">
        <v>15340</v>
      </c>
      <c r="D4865" s="21"/>
      <c r="E4865" s="32" t="s">
        <v>15667</v>
      </c>
      <c r="F4865" s="22" t="str">
        <f>VLOOKUP(Table8[[#This Row],[Mã khách hàng]],code_khach_hang[],2,0)</f>
        <v>CÔNG TY CỔ PHẦN DỊCH VỤ THƯƠNG MẠI TỔNG HỢP WINCOMMERCE</v>
      </c>
      <c r="G4865" s="16" t="str">
        <f>VLOOKUP(Table8[[#This Row],[Mã khách hàng]],code_khach_hang[],3,0)</f>
        <v>Miền Nam đặc biệt 1</v>
      </c>
      <c r="H4865" t="str">
        <f>VLOOKUP(Table8[[#This Row],[Mã khách hàng]],'Khách hàng'!A:D,4,0)</f>
        <v>Food Đức Việt</v>
      </c>
      <c r="I4865" t="str">
        <f>VLOOKUP(Table8[[#This Row],[Mã khách hàng]],'Khách hàng'!A:E,5,0)</f>
        <v>HCVG80</v>
      </c>
    </row>
    <row r="4866" spans="1:9" x14ac:dyDescent="0.25">
      <c r="A4866" s="14" t="s">
        <v>14215</v>
      </c>
      <c r="B4866" s="15" t="s">
        <v>183</v>
      </c>
      <c r="C4866" s="16" t="s">
        <v>15341</v>
      </c>
      <c r="D4866" s="21"/>
      <c r="E4866" s="32" t="s">
        <v>15667</v>
      </c>
      <c r="F4866" s="22" t="str">
        <f>VLOOKUP(Table8[[#This Row],[Mã khách hàng]],code_khach_hang[],2,0)</f>
        <v>CÔNG TY CỔ PHẦN DỊCH VỤ THƯƠNG MẠI TỔNG HỢP WINCOMMERCE</v>
      </c>
      <c r="G4866" s="16" t="str">
        <f>VLOOKUP(Table8[[#This Row],[Mã khách hàng]],code_khach_hang[],3,0)</f>
        <v>Miền Nam đặc biệt 1</v>
      </c>
      <c r="H4866" t="str">
        <f>VLOOKUP(Table8[[#This Row],[Mã khách hàng]],'Khách hàng'!A:D,4,0)</f>
        <v>Food Đức Việt</v>
      </c>
      <c r="I4866" t="str">
        <f>VLOOKUP(Table8[[#This Row],[Mã khách hàng]],'Khách hàng'!A:E,5,0)</f>
        <v>HCVG80</v>
      </c>
    </row>
    <row r="4867" spans="1:9" x14ac:dyDescent="0.25">
      <c r="A4867" s="14" t="s">
        <v>14216</v>
      </c>
      <c r="B4867" s="15" t="s">
        <v>5</v>
      </c>
      <c r="C4867" s="16" t="s">
        <v>15342</v>
      </c>
      <c r="D4867" s="21"/>
      <c r="E4867" s="32" t="s">
        <v>15684</v>
      </c>
      <c r="F4867" s="22" t="str">
        <f>VLOOKUP(Table8[[#This Row],[Mã khách hàng]],code_khach_hang[],2,0)</f>
        <v>CHI NHÁNH NINH THUẬN - CÔNG TY CỔ PHẦN DỊCH VỤ THƯƠNG MẠI TỔNG HỢP WINCOMMERCE</v>
      </c>
      <c r="G4867" s="16" t="str">
        <f>VLOOKUP(Table8[[#This Row],[Mã khách hàng]],code_khach_hang[],3,0)</f>
        <v>Miền Nam đặc biệt 3</v>
      </c>
      <c r="H4867" t="str">
        <f>VLOOKUP(Table8[[#This Row],[Mã khách hàng]],'Khách hàng'!A:D,4,0)</f>
        <v>Food Đức Việt</v>
      </c>
      <c r="I4867" t="str">
        <f>VLOOKUP(Table8[[#This Row],[Mã khách hàng]],'Khách hàng'!A:E,5,0)</f>
        <v>HCVG80</v>
      </c>
    </row>
    <row r="4868" spans="1:9" x14ac:dyDescent="0.25">
      <c r="A4868" s="14" t="s">
        <v>14217</v>
      </c>
      <c r="B4868" s="15" t="s">
        <v>183</v>
      </c>
      <c r="C4868" s="16" t="s">
        <v>15343</v>
      </c>
      <c r="D4868" s="21"/>
      <c r="E4868" s="32" t="s">
        <v>15667</v>
      </c>
      <c r="F4868" s="22" t="str">
        <f>VLOOKUP(Table8[[#This Row],[Mã khách hàng]],code_khach_hang[],2,0)</f>
        <v>CÔNG TY CỔ PHẦN DỊCH VỤ THƯƠNG MẠI TỔNG HỢP WINCOMMERCE</v>
      </c>
      <c r="G4868" s="16" t="str">
        <f>VLOOKUP(Table8[[#This Row],[Mã khách hàng]],code_khach_hang[],3,0)</f>
        <v>Miền Nam đặc biệt 1</v>
      </c>
      <c r="H4868" t="str">
        <f>VLOOKUP(Table8[[#This Row],[Mã khách hàng]],'Khách hàng'!A:D,4,0)</f>
        <v>Food Đức Việt</v>
      </c>
      <c r="I4868" t="str">
        <f>VLOOKUP(Table8[[#This Row],[Mã khách hàng]],'Khách hàng'!A:E,5,0)</f>
        <v>HCVG80</v>
      </c>
    </row>
    <row r="4869" spans="1:9" x14ac:dyDescent="0.25">
      <c r="A4869" s="14" t="s">
        <v>14218</v>
      </c>
      <c r="B4869" s="15" t="s">
        <v>183</v>
      </c>
      <c r="C4869" s="16" t="s">
        <v>15344</v>
      </c>
      <c r="D4869" s="21"/>
      <c r="E4869" s="32" t="s">
        <v>15671</v>
      </c>
      <c r="F4869" s="22" t="str">
        <f>VLOOKUP(Table8[[#This Row],[Mã khách hàng]],code_khach_hang[],2,0)</f>
        <v>CHI NHÁNH BÌNH DƯƠNG - CÔNG TY CỔ PHẦN DỊCH VỤ THƯƠNG MẠI TỔNG HỢP WINCOMMERCE</v>
      </c>
      <c r="G4869" s="16" t="str">
        <f>VLOOKUP(Table8[[#This Row],[Mã khách hàng]],code_khach_hang[],3,0)</f>
        <v>Miền Nam đặc biệt 1</v>
      </c>
      <c r="H4869" t="str">
        <f>VLOOKUP(Table8[[#This Row],[Mã khách hàng]],'Khách hàng'!A:D,4,0)</f>
        <v>Food Đức Việt</v>
      </c>
      <c r="I4869" t="str">
        <f>VLOOKUP(Table8[[#This Row],[Mã khách hàng]],'Khách hàng'!A:E,5,0)</f>
        <v>HCVG80</v>
      </c>
    </row>
    <row r="4870" spans="1:9" x14ac:dyDescent="0.25">
      <c r="A4870" s="14" t="s">
        <v>14219</v>
      </c>
      <c r="B4870" s="15" t="s">
        <v>183</v>
      </c>
      <c r="C4870" s="16" t="s">
        <v>15345</v>
      </c>
      <c r="D4870" s="21"/>
      <c r="E4870" s="32" t="s">
        <v>15668</v>
      </c>
      <c r="F4870" s="22" t="str">
        <f>VLOOKUP(Table8[[#This Row],[Mã khách hàng]],code_khach_hang[],2,0)</f>
        <v>CHI NHÁNH ĐỒNG NAI - CÔNG TY CỔ PHẦN DỊCH VỤ THƯƠNG MẠI TỔNG HỢP WINCOMMERCE</v>
      </c>
      <c r="G4870" s="16" t="str">
        <f>VLOOKUP(Table8[[#This Row],[Mã khách hàng]],code_khach_hang[],3,0)</f>
        <v>Miền Nam đặc biệt 3</v>
      </c>
      <c r="H4870" t="str">
        <f>VLOOKUP(Table8[[#This Row],[Mã khách hàng]],'Khách hàng'!A:D,4,0)</f>
        <v>Food Đức Việt</v>
      </c>
      <c r="I4870" t="str">
        <f>VLOOKUP(Table8[[#This Row],[Mã khách hàng]],'Khách hàng'!A:E,5,0)</f>
        <v>HCVG80</v>
      </c>
    </row>
    <row r="4871" spans="1:9" x14ac:dyDescent="0.25">
      <c r="A4871" s="14" t="s">
        <v>14220</v>
      </c>
      <c r="B4871" s="15" t="s">
        <v>183</v>
      </c>
      <c r="C4871" s="16" t="s">
        <v>15346</v>
      </c>
      <c r="D4871" s="21"/>
      <c r="E4871" s="32" t="s">
        <v>15667</v>
      </c>
      <c r="F4871" s="22" t="str">
        <f>VLOOKUP(Table8[[#This Row],[Mã khách hàng]],code_khach_hang[],2,0)</f>
        <v>CÔNG TY CỔ PHẦN DỊCH VỤ THƯƠNG MẠI TỔNG HỢP WINCOMMERCE</v>
      </c>
      <c r="G4871" s="16" t="str">
        <f>VLOOKUP(Table8[[#This Row],[Mã khách hàng]],code_khach_hang[],3,0)</f>
        <v>Miền Nam đặc biệt 1</v>
      </c>
      <c r="H4871" t="str">
        <f>VLOOKUP(Table8[[#This Row],[Mã khách hàng]],'Khách hàng'!A:D,4,0)</f>
        <v>Food Đức Việt</v>
      </c>
      <c r="I4871" t="str">
        <f>VLOOKUP(Table8[[#This Row],[Mã khách hàng]],'Khách hàng'!A:E,5,0)</f>
        <v>HCVG80</v>
      </c>
    </row>
    <row r="4872" spans="1:9" x14ac:dyDescent="0.25">
      <c r="A4872" s="14" t="s">
        <v>14221</v>
      </c>
      <c r="B4872" s="15" t="s">
        <v>183</v>
      </c>
      <c r="C4872" s="16" t="s">
        <v>15347</v>
      </c>
      <c r="D4872" s="21"/>
      <c r="E4872" s="32" t="s">
        <v>15671</v>
      </c>
      <c r="F4872" s="22" t="str">
        <f>VLOOKUP(Table8[[#This Row],[Mã khách hàng]],code_khach_hang[],2,0)</f>
        <v>CHI NHÁNH BÌNH DƯƠNG - CÔNG TY CỔ PHẦN DỊCH VỤ THƯƠNG MẠI TỔNG HỢP WINCOMMERCE</v>
      </c>
      <c r="G4872" s="16" t="str">
        <f>VLOOKUP(Table8[[#This Row],[Mã khách hàng]],code_khach_hang[],3,0)</f>
        <v>Miền Nam đặc biệt 1</v>
      </c>
      <c r="H4872" t="str">
        <f>VLOOKUP(Table8[[#This Row],[Mã khách hàng]],'Khách hàng'!A:D,4,0)</f>
        <v>Food Đức Việt</v>
      </c>
      <c r="I4872" t="str">
        <f>VLOOKUP(Table8[[#This Row],[Mã khách hàng]],'Khách hàng'!A:E,5,0)</f>
        <v>HCVG80</v>
      </c>
    </row>
    <row r="4873" spans="1:9" x14ac:dyDescent="0.25">
      <c r="A4873" s="14" t="s">
        <v>14222</v>
      </c>
      <c r="B4873" s="15" t="s">
        <v>183</v>
      </c>
      <c r="C4873" s="16" t="s">
        <v>15348</v>
      </c>
      <c r="D4873" s="21"/>
      <c r="E4873" s="32" t="s">
        <v>15667</v>
      </c>
      <c r="F4873" s="22" t="str">
        <f>VLOOKUP(Table8[[#This Row],[Mã khách hàng]],code_khach_hang[],2,0)</f>
        <v>CÔNG TY CỔ PHẦN DỊCH VỤ THƯƠNG MẠI TỔNG HỢP WINCOMMERCE</v>
      </c>
      <c r="G4873" s="16" t="str">
        <f>VLOOKUP(Table8[[#This Row],[Mã khách hàng]],code_khach_hang[],3,0)</f>
        <v>Miền Nam đặc biệt 1</v>
      </c>
      <c r="H4873" t="str">
        <f>VLOOKUP(Table8[[#This Row],[Mã khách hàng]],'Khách hàng'!A:D,4,0)</f>
        <v>Food Đức Việt</v>
      </c>
      <c r="I4873" t="str">
        <f>VLOOKUP(Table8[[#This Row],[Mã khách hàng]],'Khách hàng'!A:E,5,0)</f>
        <v>HCVG80</v>
      </c>
    </row>
    <row r="4874" spans="1:9" x14ac:dyDescent="0.25">
      <c r="A4874" s="14" t="s">
        <v>14223</v>
      </c>
      <c r="B4874" s="15" t="s">
        <v>183</v>
      </c>
      <c r="C4874" s="16" t="s">
        <v>15349</v>
      </c>
      <c r="D4874" s="21"/>
      <c r="E4874" s="32" t="s">
        <v>15668</v>
      </c>
      <c r="F4874" s="22" t="str">
        <f>VLOOKUP(Table8[[#This Row],[Mã khách hàng]],code_khach_hang[],2,0)</f>
        <v>CHI NHÁNH ĐỒNG NAI - CÔNG TY CỔ PHẦN DỊCH VỤ THƯƠNG MẠI TỔNG HỢP WINCOMMERCE</v>
      </c>
      <c r="G4874" s="16" t="str">
        <f>VLOOKUP(Table8[[#This Row],[Mã khách hàng]],code_khach_hang[],3,0)</f>
        <v>Miền Nam đặc biệt 3</v>
      </c>
      <c r="H4874" t="str">
        <f>VLOOKUP(Table8[[#This Row],[Mã khách hàng]],'Khách hàng'!A:D,4,0)</f>
        <v>Food Đức Việt</v>
      </c>
      <c r="I4874" t="str">
        <f>VLOOKUP(Table8[[#This Row],[Mã khách hàng]],'Khách hàng'!A:E,5,0)</f>
        <v>HCVG80</v>
      </c>
    </row>
    <row r="4875" spans="1:9" x14ac:dyDescent="0.25">
      <c r="A4875" s="14" t="s">
        <v>14224</v>
      </c>
      <c r="B4875" s="15" t="s">
        <v>183</v>
      </c>
      <c r="C4875" s="16" t="s">
        <v>15350</v>
      </c>
      <c r="D4875" s="21"/>
      <c r="E4875" s="32" t="s">
        <v>15667</v>
      </c>
      <c r="F4875" s="22" t="str">
        <f>VLOOKUP(Table8[[#This Row],[Mã khách hàng]],code_khach_hang[],2,0)</f>
        <v>CÔNG TY CỔ PHẦN DỊCH VỤ THƯƠNG MẠI TỔNG HỢP WINCOMMERCE</v>
      </c>
      <c r="G4875" s="16" t="str">
        <f>VLOOKUP(Table8[[#This Row],[Mã khách hàng]],code_khach_hang[],3,0)</f>
        <v>Miền Nam đặc biệt 1</v>
      </c>
      <c r="H4875" t="str">
        <f>VLOOKUP(Table8[[#This Row],[Mã khách hàng]],'Khách hàng'!A:D,4,0)</f>
        <v>Food Đức Việt</v>
      </c>
      <c r="I4875" t="str">
        <f>VLOOKUP(Table8[[#This Row],[Mã khách hàng]],'Khách hàng'!A:E,5,0)</f>
        <v>HCVG80</v>
      </c>
    </row>
    <row r="4876" spans="1:9" x14ac:dyDescent="0.25">
      <c r="A4876" s="14" t="s">
        <v>14225</v>
      </c>
      <c r="B4876" s="15" t="s">
        <v>183</v>
      </c>
      <c r="C4876" s="16" t="s">
        <v>15351</v>
      </c>
      <c r="D4876" s="21"/>
      <c r="E4876" s="32" t="s">
        <v>15667</v>
      </c>
      <c r="F4876" s="22" t="str">
        <f>VLOOKUP(Table8[[#This Row],[Mã khách hàng]],code_khach_hang[],2,0)</f>
        <v>CÔNG TY CỔ PHẦN DỊCH VỤ THƯƠNG MẠI TỔNG HỢP WINCOMMERCE</v>
      </c>
      <c r="G4876" s="16" t="str">
        <f>VLOOKUP(Table8[[#This Row],[Mã khách hàng]],code_khach_hang[],3,0)</f>
        <v>Miền Nam đặc biệt 1</v>
      </c>
      <c r="H4876" t="str">
        <f>VLOOKUP(Table8[[#This Row],[Mã khách hàng]],'Khách hàng'!A:D,4,0)</f>
        <v>Food Đức Việt</v>
      </c>
      <c r="I4876" t="str">
        <f>VLOOKUP(Table8[[#This Row],[Mã khách hàng]],'Khách hàng'!A:E,5,0)</f>
        <v>HCVG80</v>
      </c>
    </row>
    <row r="4877" spans="1:9" x14ac:dyDescent="0.25">
      <c r="A4877" s="14" t="s">
        <v>14226</v>
      </c>
      <c r="B4877" s="15" t="s">
        <v>183</v>
      </c>
      <c r="C4877" s="16" t="s">
        <v>15352</v>
      </c>
      <c r="D4877" s="21"/>
      <c r="E4877" s="32" t="s">
        <v>15667</v>
      </c>
      <c r="F4877" s="22" t="str">
        <f>VLOOKUP(Table8[[#This Row],[Mã khách hàng]],code_khach_hang[],2,0)</f>
        <v>CÔNG TY CỔ PHẦN DỊCH VỤ THƯƠNG MẠI TỔNG HỢP WINCOMMERCE</v>
      </c>
      <c r="G4877" s="16" t="str">
        <f>VLOOKUP(Table8[[#This Row],[Mã khách hàng]],code_khach_hang[],3,0)</f>
        <v>Miền Nam đặc biệt 1</v>
      </c>
      <c r="H4877" t="str">
        <f>VLOOKUP(Table8[[#This Row],[Mã khách hàng]],'Khách hàng'!A:D,4,0)</f>
        <v>Food Đức Việt</v>
      </c>
      <c r="I4877" t="str">
        <f>VLOOKUP(Table8[[#This Row],[Mã khách hàng]],'Khách hàng'!A:E,5,0)</f>
        <v>HCVG80</v>
      </c>
    </row>
    <row r="4878" spans="1:9" x14ac:dyDescent="0.25">
      <c r="A4878" s="14" t="s">
        <v>14227</v>
      </c>
      <c r="B4878" s="15" t="s">
        <v>183</v>
      </c>
      <c r="C4878" s="16" t="s">
        <v>15353</v>
      </c>
      <c r="D4878" s="21"/>
      <c r="E4878" s="32" t="s">
        <v>15667</v>
      </c>
      <c r="F4878" s="22" t="str">
        <f>VLOOKUP(Table8[[#This Row],[Mã khách hàng]],code_khach_hang[],2,0)</f>
        <v>CÔNG TY CỔ PHẦN DỊCH VỤ THƯƠNG MẠI TỔNG HỢP WINCOMMERCE</v>
      </c>
      <c r="G4878" s="16" t="str">
        <f>VLOOKUP(Table8[[#This Row],[Mã khách hàng]],code_khach_hang[],3,0)</f>
        <v>Miền Nam đặc biệt 1</v>
      </c>
      <c r="H4878" t="str">
        <f>VLOOKUP(Table8[[#This Row],[Mã khách hàng]],'Khách hàng'!A:D,4,0)</f>
        <v>Food Đức Việt</v>
      </c>
      <c r="I4878" t="str">
        <f>VLOOKUP(Table8[[#This Row],[Mã khách hàng]],'Khách hàng'!A:E,5,0)</f>
        <v>HCVG80</v>
      </c>
    </row>
    <row r="4879" spans="1:9" x14ac:dyDescent="0.25">
      <c r="A4879" s="14" t="s">
        <v>14228</v>
      </c>
      <c r="B4879" s="15" t="s">
        <v>183</v>
      </c>
      <c r="C4879" s="16" t="s">
        <v>15354</v>
      </c>
      <c r="D4879" s="21"/>
      <c r="E4879" s="32" t="s">
        <v>15685</v>
      </c>
      <c r="F4879" s="22" t="str">
        <f>VLOOKUP(Table8[[#This Row],[Mã khách hàng]],code_khach_hang[],2,0)</f>
        <v>CHI NHÁNH BÀ RỊA - VŨNG TÀU - CÔNG TY CỔ PHẦN DỊCH VỤ THƯƠNG MẠI TỔNG HỢP WINCOMMERCE</v>
      </c>
      <c r="G4879" s="16" t="str">
        <f>VLOOKUP(Table8[[#This Row],[Mã khách hàng]],code_khach_hang[],3,0)</f>
        <v>Miền Nam đặc biệt 3</v>
      </c>
      <c r="H4879" t="str">
        <f>VLOOKUP(Table8[[#This Row],[Mã khách hàng]],'Khách hàng'!A:D,4,0)</f>
        <v>Food Đức Việt</v>
      </c>
      <c r="I4879" t="str">
        <f>VLOOKUP(Table8[[#This Row],[Mã khách hàng]],'Khách hàng'!A:E,5,0)</f>
        <v>HCVG80</v>
      </c>
    </row>
    <row r="4880" spans="1:9" x14ac:dyDescent="0.25">
      <c r="A4880" s="14" t="s">
        <v>14229</v>
      </c>
      <c r="B4880" s="15" t="s">
        <v>183</v>
      </c>
      <c r="C4880" s="16" t="s">
        <v>15355</v>
      </c>
      <c r="D4880" s="21"/>
      <c r="E4880" s="32" t="s">
        <v>15667</v>
      </c>
      <c r="F4880" s="22" t="str">
        <f>VLOOKUP(Table8[[#This Row],[Mã khách hàng]],code_khach_hang[],2,0)</f>
        <v>CÔNG TY CỔ PHẦN DỊCH VỤ THƯƠNG MẠI TỔNG HỢP WINCOMMERCE</v>
      </c>
      <c r="G4880" s="16" t="str">
        <f>VLOOKUP(Table8[[#This Row],[Mã khách hàng]],code_khach_hang[],3,0)</f>
        <v>Miền Nam đặc biệt 1</v>
      </c>
      <c r="H4880" t="str">
        <f>VLOOKUP(Table8[[#This Row],[Mã khách hàng]],'Khách hàng'!A:D,4,0)</f>
        <v>Food Đức Việt</v>
      </c>
      <c r="I4880" t="str">
        <f>VLOOKUP(Table8[[#This Row],[Mã khách hàng]],'Khách hàng'!A:E,5,0)</f>
        <v>HCVG80</v>
      </c>
    </row>
    <row r="4881" spans="1:9" x14ac:dyDescent="0.25">
      <c r="A4881" s="14" t="s">
        <v>14230</v>
      </c>
      <c r="B4881" s="15" t="s">
        <v>183</v>
      </c>
      <c r="C4881" s="16" t="s">
        <v>15356</v>
      </c>
      <c r="D4881" s="21"/>
      <c r="E4881" s="32" t="s">
        <v>15667</v>
      </c>
      <c r="F4881" s="22" t="str">
        <f>VLOOKUP(Table8[[#This Row],[Mã khách hàng]],code_khach_hang[],2,0)</f>
        <v>CÔNG TY CỔ PHẦN DỊCH VỤ THƯƠNG MẠI TỔNG HỢP WINCOMMERCE</v>
      </c>
      <c r="G4881" s="16" t="str">
        <f>VLOOKUP(Table8[[#This Row],[Mã khách hàng]],code_khach_hang[],3,0)</f>
        <v>Miền Nam đặc biệt 1</v>
      </c>
      <c r="H4881" t="str">
        <f>VLOOKUP(Table8[[#This Row],[Mã khách hàng]],'Khách hàng'!A:D,4,0)</f>
        <v>Food Đức Việt</v>
      </c>
      <c r="I4881" t="str">
        <f>VLOOKUP(Table8[[#This Row],[Mã khách hàng]],'Khách hàng'!A:E,5,0)</f>
        <v>HCVG80</v>
      </c>
    </row>
    <row r="4882" spans="1:9" x14ac:dyDescent="0.25">
      <c r="A4882" s="14" t="s">
        <v>14231</v>
      </c>
      <c r="B4882" s="15" t="s">
        <v>183</v>
      </c>
      <c r="C4882" s="16" t="s">
        <v>15357</v>
      </c>
      <c r="D4882" s="21"/>
      <c r="E4882" s="32" t="s">
        <v>15668</v>
      </c>
      <c r="F4882" s="22" t="str">
        <f>VLOOKUP(Table8[[#This Row],[Mã khách hàng]],code_khach_hang[],2,0)</f>
        <v>CHI NHÁNH ĐỒNG NAI - CÔNG TY CỔ PHẦN DỊCH VỤ THƯƠNG MẠI TỔNG HỢP WINCOMMERCE</v>
      </c>
      <c r="G4882" s="16" t="str">
        <f>VLOOKUP(Table8[[#This Row],[Mã khách hàng]],code_khach_hang[],3,0)</f>
        <v>Miền Nam đặc biệt 3</v>
      </c>
      <c r="H4882" t="str">
        <f>VLOOKUP(Table8[[#This Row],[Mã khách hàng]],'Khách hàng'!A:D,4,0)</f>
        <v>Food Đức Việt</v>
      </c>
      <c r="I4882" t="str">
        <f>VLOOKUP(Table8[[#This Row],[Mã khách hàng]],'Khách hàng'!A:E,5,0)</f>
        <v>HCVG80</v>
      </c>
    </row>
    <row r="4883" spans="1:9" x14ac:dyDescent="0.25">
      <c r="A4883" s="14" t="s">
        <v>14232</v>
      </c>
      <c r="B4883" s="15" t="s">
        <v>5</v>
      </c>
      <c r="C4883" s="16" t="s">
        <v>15358</v>
      </c>
      <c r="D4883" s="21"/>
      <c r="E4883" s="32" t="s">
        <v>15677</v>
      </c>
      <c r="F4883" s="22" t="str">
        <f>VLOOKUP(Table8[[#This Row],[Mã khách hàng]],code_khach_hang[],2,0)</f>
        <v>CHI NHÁNH TÂY NINH - CÔNG TY CỔ PHẦN DỊCH VỤ THƯƠNG MẠI TỔNG HỢP WINCOMMERCE</v>
      </c>
      <c r="G4883" s="16" t="str">
        <f>VLOOKUP(Table8[[#This Row],[Mã khách hàng]],code_khach_hang[],3,0)</f>
        <v>Miền Nam đặc biệt 2</v>
      </c>
      <c r="H4883" t="str">
        <f>VLOOKUP(Table8[[#This Row],[Mã khách hàng]],'Khách hàng'!A:D,4,0)</f>
        <v>Food Đức Việt</v>
      </c>
      <c r="I4883" t="str">
        <f>VLOOKUP(Table8[[#This Row],[Mã khách hàng]],'Khách hàng'!A:E,5,0)</f>
        <v>HCVG80</v>
      </c>
    </row>
    <row r="4884" spans="1:9" x14ac:dyDescent="0.25">
      <c r="A4884" s="14" t="s">
        <v>14233</v>
      </c>
      <c r="B4884" s="15" t="s">
        <v>183</v>
      </c>
      <c r="C4884" s="16" t="s">
        <v>15359</v>
      </c>
      <c r="D4884" s="21"/>
      <c r="E4884" s="32" t="s">
        <v>15667</v>
      </c>
      <c r="F4884" s="22" t="str">
        <f>VLOOKUP(Table8[[#This Row],[Mã khách hàng]],code_khach_hang[],2,0)</f>
        <v>CÔNG TY CỔ PHẦN DỊCH VỤ THƯƠNG MẠI TỔNG HỢP WINCOMMERCE</v>
      </c>
      <c r="G4884" s="16" t="str">
        <f>VLOOKUP(Table8[[#This Row],[Mã khách hàng]],code_khach_hang[],3,0)</f>
        <v>Miền Nam đặc biệt 1</v>
      </c>
      <c r="H4884" t="str">
        <f>VLOOKUP(Table8[[#This Row],[Mã khách hàng]],'Khách hàng'!A:D,4,0)</f>
        <v>Food Đức Việt</v>
      </c>
      <c r="I4884" t="str">
        <f>VLOOKUP(Table8[[#This Row],[Mã khách hàng]],'Khách hàng'!A:E,5,0)</f>
        <v>HCVG80</v>
      </c>
    </row>
    <row r="4885" spans="1:9" x14ac:dyDescent="0.25">
      <c r="A4885" s="14" t="s">
        <v>14234</v>
      </c>
      <c r="B4885" s="15" t="s">
        <v>183</v>
      </c>
      <c r="C4885" s="16" t="s">
        <v>15360</v>
      </c>
      <c r="D4885" s="21"/>
      <c r="E4885" s="32" t="s">
        <v>15671</v>
      </c>
      <c r="F4885" s="22" t="str">
        <f>VLOOKUP(Table8[[#This Row],[Mã khách hàng]],code_khach_hang[],2,0)</f>
        <v>CHI NHÁNH BÌNH DƯƠNG - CÔNG TY CỔ PHẦN DỊCH VỤ THƯƠNG MẠI TỔNG HỢP WINCOMMERCE</v>
      </c>
      <c r="G4885" s="16" t="str">
        <f>VLOOKUP(Table8[[#This Row],[Mã khách hàng]],code_khach_hang[],3,0)</f>
        <v>Miền Nam đặc biệt 1</v>
      </c>
      <c r="H4885" t="str">
        <f>VLOOKUP(Table8[[#This Row],[Mã khách hàng]],'Khách hàng'!A:D,4,0)</f>
        <v>Food Đức Việt</v>
      </c>
      <c r="I4885" t="str">
        <f>VLOOKUP(Table8[[#This Row],[Mã khách hàng]],'Khách hàng'!A:E,5,0)</f>
        <v>HCVG80</v>
      </c>
    </row>
    <row r="4886" spans="1:9" x14ac:dyDescent="0.25">
      <c r="A4886" s="14" t="s">
        <v>14235</v>
      </c>
      <c r="B4886" s="15" t="s">
        <v>183</v>
      </c>
      <c r="C4886" s="16" t="s">
        <v>15361</v>
      </c>
      <c r="D4886" s="21"/>
      <c r="E4886" s="32" t="s">
        <v>15668</v>
      </c>
      <c r="F4886" s="22" t="str">
        <f>VLOOKUP(Table8[[#This Row],[Mã khách hàng]],code_khach_hang[],2,0)</f>
        <v>CHI NHÁNH ĐỒNG NAI - CÔNG TY CỔ PHẦN DỊCH VỤ THƯƠNG MẠI TỔNG HỢP WINCOMMERCE</v>
      </c>
      <c r="G4886" s="16" t="str">
        <f>VLOOKUP(Table8[[#This Row],[Mã khách hàng]],code_khach_hang[],3,0)</f>
        <v>Miền Nam đặc biệt 3</v>
      </c>
      <c r="H4886" t="str">
        <f>VLOOKUP(Table8[[#This Row],[Mã khách hàng]],'Khách hàng'!A:D,4,0)</f>
        <v>Food Đức Việt</v>
      </c>
      <c r="I4886" t="str">
        <f>VLOOKUP(Table8[[#This Row],[Mã khách hàng]],'Khách hàng'!A:E,5,0)</f>
        <v>HCVG80</v>
      </c>
    </row>
    <row r="4887" spans="1:9" x14ac:dyDescent="0.25">
      <c r="A4887" s="14" t="s">
        <v>14236</v>
      </c>
      <c r="B4887" s="15" t="s">
        <v>183</v>
      </c>
      <c r="C4887" s="16" t="s">
        <v>15362</v>
      </c>
      <c r="D4887" s="21"/>
      <c r="E4887" s="32" t="s">
        <v>15668</v>
      </c>
      <c r="F4887" s="22" t="str">
        <f>VLOOKUP(Table8[[#This Row],[Mã khách hàng]],code_khach_hang[],2,0)</f>
        <v>CHI NHÁNH ĐỒNG NAI - CÔNG TY CỔ PHẦN DỊCH VỤ THƯƠNG MẠI TỔNG HỢP WINCOMMERCE</v>
      </c>
      <c r="G4887" s="16" t="str">
        <f>VLOOKUP(Table8[[#This Row],[Mã khách hàng]],code_khach_hang[],3,0)</f>
        <v>Miền Nam đặc biệt 3</v>
      </c>
      <c r="H4887" t="str">
        <f>VLOOKUP(Table8[[#This Row],[Mã khách hàng]],'Khách hàng'!A:D,4,0)</f>
        <v>Food Đức Việt</v>
      </c>
      <c r="I4887" t="str">
        <f>VLOOKUP(Table8[[#This Row],[Mã khách hàng]],'Khách hàng'!A:E,5,0)</f>
        <v>HCVG80</v>
      </c>
    </row>
    <row r="4888" spans="1:9" x14ac:dyDescent="0.25">
      <c r="A4888" s="14" t="s">
        <v>14237</v>
      </c>
      <c r="B4888" s="15" t="s">
        <v>183</v>
      </c>
      <c r="C4888" s="16" t="s">
        <v>15363</v>
      </c>
      <c r="D4888" s="21"/>
      <c r="E4888" s="32" t="s">
        <v>15667</v>
      </c>
      <c r="F4888" s="22" t="str">
        <f>VLOOKUP(Table8[[#This Row],[Mã khách hàng]],code_khach_hang[],2,0)</f>
        <v>CÔNG TY CỔ PHẦN DỊCH VỤ THƯƠNG MẠI TỔNG HỢP WINCOMMERCE</v>
      </c>
      <c r="G4888" s="16" t="str">
        <f>VLOOKUP(Table8[[#This Row],[Mã khách hàng]],code_khach_hang[],3,0)</f>
        <v>Miền Nam đặc biệt 1</v>
      </c>
      <c r="H4888" t="str">
        <f>VLOOKUP(Table8[[#This Row],[Mã khách hàng]],'Khách hàng'!A:D,4,0)</f>
        <v>Food Đức Việt</v>
      </c>
      <c r="I4888" t="str">
        <f>VLOOKUP(Table8[[#This Row],[Mã khách hàng]],'Khách hàng'!A:E,5,0)</f>
        <v>HCVG80</v>
      </c>
    </row>
    <row r="4889" spans="1:9" x14ac:dyDescent="0.25">
      <c r="A4889" s="14" t="s">
        <v>14238</v>
      </c>
      <c r="B4889" s="15" t="s">
        <v>183</v>
      </c>
      <c r="C4889" s="16" t="s">
        <v>15364</v>
      </c>
      <c r="D4889" s="21"/>
      <c r="E4889" s="32" t="s">
        <v>15667</v>
      </c>
      <c r="F4889" s="22" t="str">
        <f>VLOOKUP(Table8[[#This Row],[Mã khách hàng]],code_khach_hang[],2,0)</f>
        <v>CÔNG TY CỔ PHẦN DỊCH VỤ THƯƠNG MẠI TỔNG HỢP WINCOMMERCE</v>
      </c>
      <c r="G4889" s="16" t="str">
        <f>VLOOKUP(Table8[[#This Row],[Mã khách hàng]],code_khach_hang[],3,0)</f>
        <v>Miền Nam đặc biệt 1</v>
      </c>
      <c r="H4889" t="str">
        <f>VLOOKUP(Table8[[#This Row],[Mã khách hàng]],'Khách hàng'!A:D,4,0)</f>
        <v>Food Đức Việt</v>
      </c>
      <c r="I4889" t="str">
        <f>VLOOKUP(Table8[[#This Row],[Mã khách hàng]],'Khách hàng'!A:E,5,0)</f>
        <v>HCVG80</v>
      </c>
    </row>
    <row r="4890" spans="1:9" x14ac:dyDescent="0.25">
      <c r="A4890" s="14" t="s">
        <v>14239</v>
      </c>
      <c r="B4890" s="15" t="s">
        <v>183</v>
      </c>
      <c r="C4890" s="16" t="s">
        <v>15365</v>
      </c>
      <c r="D4890" s="21"/>
      <c r="E4890" s="32" t="s">
        <v>15667</v>
      </c>
      <c r="F4890" s="22" t="str">
        <f>VLOOKUP(Table8[[#This Row],[Mã khách hàng]],code_khach_hang[],2,0)</f>
        <v>CÔNG TY CỔ PHẦN DỊCH VỤ THƯƠNG MẠI TỔNG HỢP WINCOMMERCE</v>
      </c>
      <c r="G4890" s="16" t="str">
        <f>VLOOKUP(Table8[[#This Row],[Mã khách hàng]],code_khach_hang[],3,0)</f>
        <v>Miền Nam đặc biệt 1</v>
      </c>
      <c r="H4890" t="str">
        <f>VLOOKUP(Table8[[#This Row],[Mã khách hàng]],'Khách hàng'!A:D,4,0)</f>
        <v>Food Đức Việt</v>
      </c>
      <c r="I4890" t="str">
        <f>VLOOKUP(Table8[[#This Row],[Mã khách hàng]],'Khách hàng'!A:E,5,0)</f>
        <v>HCVG80</v>
      </c>
    </row>
    <row r="4891" spans="1:9" x14ac:dyDescent="0.25">
      <c r="A4891" s="14" t="s">
        <v>14240</v>
      </c>
      <c r="B4891" s="15" t="s">
        <v>183</v>
      </c>
      <c r="C4891" s="16" t="s">
        <v>15366</v>
      </c>
      <c r="D4891" s="21"/>
      <c r="E4891" s="32" t="s">
        <v>15671</v>
      </c>
      <c r="F4891" s="22" t="str">
        <f>VLOOKUP(Table8[[#This Row],[Mã khách hàng]],code_khach_hang[],2,0)</f>
        <v>CHI NHÁNH BÌNH DƯƠNG - CÔNG TY CỔ PHẦN DỊCH VỤ THƯƠNG MẠI TỔNG HỢP WINCOMMERCE</v>
      </c>
      <c r="G4891" s="16" t="str">
        <f>VLOOKUP(Table8[[#This Row],[Mã khách hàng]],code_khach_hang[],3,0)</f>
        <v>Miền Nam đặc biệt 1</v>
      </c>
      <c r="H4891" t="str">
        <f>VLOOKUP(Table8[[#This Row],[Mã khách hàng]],'Khách hàng'!A:D,4,0)</f>
        <v>Food Đức Việt</v>
      </c>
      <c r="I4891" t="str">
        <f>VLOOKUP(Table8[[#This Row],[Mã khách hàng]],'Khách hàng'!A:E,5,0)</f>
        <v>HCVG80</v>
      </c>
    </row>
    <row r="4892" spans="1:9" x14ac:dyDescent="0.25">
      <c r="A4892" s="14" t="s">
        <v>14241</v>
      </c>
      <c r="B4892" s="15" t="s">
        <v>183</v>
      </c>
      <c r="C4892" s="16" t="s">
        <v>15367</v>
      </c>
      <c r="D4892" s="21"/>
      <c r="E4892" s="32" t="s">
        <v>15667</v>
      </c>
      <c r="F4892" s="22" t="str">
        <f>VLOOKUP(Table8[[#This Row],[Mã khách hàng]],code_khach_hang[],2,0)</f>
        <v>CÔNG TY CỔ PHẦN DỊCH VỤ THƯƠNG MẠI TỔNG HỢP WINCOMMERCE</v>
      </c>
      <c r="G4892" s="16" t="str">
        <f>VLOOKUP(Table8[[#This Row],[Mã khách hàng]],code_khach_hang[],3,0)</f>
        <v>Miền Nam đặc biệt 1</v>
      </c>
      <c r="H4892" t="str">
        <f>VLOOKUP(Table8[[#This Row],[Mã khách hàng]],'Khách hàng'!A:D,4,0)</f>
        <v>Food Đức Việt</v>
      </c>
      <c r="I4892" t="str">
        <f>VLOOKUP(Table8[[#This Row],[Mã khách hàng]],'Khách hàng'!A:E,5,0)</f>
        <v>HCVG80</v>
      </c>
    </row>
    <row r="4893" spans="1:9" x14ac:dyDescent="0.25">
      <c r="A4893" s="14" t="s">
        <v>14242</v>
      </c>
      <c r="B4893" s="15" t="s">
        <v>183</v>
      </c>
      <c r="C4893" s="16" t="s">
        <v>15368</v>
      </c>
      <c r="D4893" s="21"/>
      <c r="E4893" s="32" t="s">
        <v>15685</v>
      </c>
      <c r="F4893" s="22" t="str">
        <f>VLOOKUP(Table8[[#This Row],[Mã khách hàng]],code_khach_hang[],2,0)</f>
        <v>CHI NHÁNH BÀ RỊA - VŨNG TÀU - CÔNG TY CỔ PHẦN DỊCH VỤ THƯƠNG MẠI TỔNG HỢP WINCOMMERCE</v>
      </c>
      <c r="G4893" s="16" t="str">
        <f>VLOOKUP(Table8[[#This Row],[Mã khách hàng]],code_khach_hang[],3,0)</f>
        <v>Miền Nam đặc biệt 3</v>
      </c>
      <c r="H4893" t="str">
        <f>VLOOKUP(Table8[[#This Row],[Mã khách hàng]],'Khách hàng'!A:D,4,0)</f>
        <v>Food Đức Việt</v>
      </c>
      <c r="I4893" t="str">
        <f>VLOOKUP(Table8[[#This Row],[Mã khách hàng]],'Khách hàng'!A:E,5,0)</f>
        <v>HCVG80</v>
      </c>
    </row>
    <row r="4894" spans="1:9" x14ac:dyDescent="0.25">
      <c r="A4894" s="14" t="s">
        <v>14243</v>
      </c>
      <c r="B4894" s="15" t="s">
        <v>183</v>
      </c>
      <c r="C4894" s="16" t="s">
        <v>15369</v>
      </c>
      <c r="D4894" s="21"/>
      <c r="E4894" s="32" t="s">
        <v>15667</v>
      </c>
      <c r="F4894" s="22" t="str">
        <f>VLOOKUP(Table8[[#This Row],[Mã khách hàng]],code_khach_hang[],2,0)</f>
        <v>CÔNG TY CỔ PHẦN DỊCH VỤ THƯƠNG MẠI TỔNG HỢP WINCOMMERCE</v>
      </c>
      <c r="G4894" s="16" t="str">
        <f>VLOOKUP(Table8[[#This Row],[Mã khách hàng]],code_khach_hang[],3,0)</f>
        <v>Miền Nam đặc biệt 1</v>
      </c>
      <c r="H4894" t="str">
        <f>VLOOKUP(Table8[[#This Row],[Mã khách hàng]],'Khách hàng'!A:D,4,0)</f>
        <v>Food Đức Việt</v>
      </c>
      <c r="I4894" t="str">
        <f>VLOOKUP(Table8[[#This Row],[Mã khách hàng]],'Khách hàng'!A:E,5,0)</f>
        <v>HCVG80</v>
      </c>
    </row>
    <row r="4895" spans="1:9" x14ac:dyDescent="0.25">
      <c r="A4895" s="14" t="s">
        <v>14244</v>
      </c>
      <c r="B4895" s="15" t="s">
        <v>183</v>
      </c>
      <c r="C4895" s="16" t="s">
        <v>15370</v>
      </c>
      <c r="D4895" s="21"/>
      <c r="E4895" s="32" t="s">
        <v>15667</v>
      </c>
      <c r="F4895" s="22" t="str">
        <f>VLOOKUP(Table8[[#This Row],[Mã khách hàng]],code_khach_hang[],2,0)</f>
        <v>CÔNG TY CỔ PHẦN DỊCH VỤ THƯƠNG MẠI TỔNG HỢP WINCOMMERCE</v>
      </c>
      <c r="G4895" s="16" t="str">
        <f>VLOOKUP(Table8[[#This Row],[Mã khách hàng]],code_khach_hang[],3,0)</f>
        <v>Miền Nam đặc biệt 1</v>
      </c>
      <c r="H4895" t="str">
        <f>VLOOKUP(Table8[[#This Row],[Mã khách hàng]],'Khách hàng'!A:D,4,0)</f>
        <v>Food Đức Việt</v>
      </c>
      <c r="I4895" t="str">
        <f>VLOOKUP(Table8[[#This Row],[Mã khách hàng]],'Khách hàng'!A:E,5,0)</f>
        <v>HCVG80</v>
      </c>
    </row>
    <row r="4896" spans="1:9" x14ac:dyDescent="0.25">
      <c r="A4896" s="14" t="s">
        <v>14245</v>
      </c>
      <c r="B4896" s="15" t="s">
        <v>183</v>
      </c>
      <c r="C4896" s="16" t="s">
        <v>15371</v>
      </c>
      <c r="D4896" s="21"/>
      <c r="E4896" s="32" t="s">
        <v>15667</v>
      </c>
      <c r="F4896" s="22" t="str">
        <f>VLOOKUP(Table8[[#This Row],[Mã khách hàng]],code_khach_hang[],2,0)</f>
        <v>CÔNG TY CỔ PHẦN DỊCH VỤ THƯƠNG MẠI TỔNG HỢP WINCOMMERCE</v>
      </c>
      <c r="G4896" s="16" t="str">
        <f>VLOOKUP(Table8[[#This Row],[Mã khách hàng]],code_khach_hang[],3,0)</f>
        <v>Miền Nam đặc biệt 1</v>
      </c>
      <c r="H4896" t="str">
        <f>VLOOKUP(Table8[[#This Row],[Mã khách hàng]],'Khách hàng'!A:D,4,0)</f>
        <v>Food Đức Việt</v>
      </c>
      <c r="I4896" t="str">
        <f>VLOOKUP(Table8[[#This Row],[Mã khách hàng]],'Khách hàng'!A:E,5,0)</f>
        <v>HCVG80</v>
      </c>
    </row>
    <row r="4897" spans="1:9" x14ac:dyDescent="0.25">
      <c r="A4897" s="14" t="s">
        <v>14246</v>
      </c>
      <c r="B4897" s="15" t="s">
        <v>183</v>
      </c>
      <c r="C4897" s="16" t="s">
        <v>15372</v>
      </c>
      <c r="D4897" s="21"/>
      <c r="E4897" s="32" t="s">
        <v>15667</v>
      </c>
      <c r="F4897" s="22" t="str">
        <f>VLOOKUP(Table8[[#This Row],[Mã khách hàng]],code_khach_hang[],2,0)</f>
        <v>CÔNG TY CỔ PHẦN DỊCH VỤ THƯƠNG MẠI TỔNG HỢP WINCOMMERCE</v>
      </c>
      <c r="G4897" s="16" t="str">
        <f>VLOOKUP(Table8[[#This Row],[Mã khách hàng]],code_khach_hang[],3,0)</f>
        <v>Miền Nam đặc biệt 1</v>
      </c>
      <c r="H4897" t="str">
        <f>VLOOKUP(Table8[[#This Row],[Mã khách hàng]],'Khách hàng'!A:D,4,0)</f>
        <v>Food Đức Việt</v>
      </c>
      <c r="I4897" t="str">
        <f>VLOOKUP(Table8[[#This Row],[Mã khách hàng]],'Khách hàng'!A:E,5,0)</f>
        <v>HCVG80</v>
      </c>
    </row>
    <row r="4898" spans="1:9" x14ac:dyDescent="0.25">
      <c r="A4898" s="14" t="s">
        <v>14247</v>
      </c>
      <c r="B4898" s="15" t="s">
        <v>183</v>
      </c>
      <c r="C4898" s="16" t="s">
        <v>15373</v>
      </c>
      <c r="D4898" s="21"/>
      <c r="E4898" s="32" t="s">
        <v>15685</v>
      </c>
      <c r="F4898" s="22" t="str">
        <f>VLOOKUP(Table8[[#This Row],[Mã khách hàng]],code_khach_hang[],2,0)</f>
        <v>CHI NHÁNH BÀ RỊA - VŨNG TÀU - CÔNG TY CỔ PHẦN DỊCH VỤ THƯƠNG MẠI TỔNG HỢP WINCOMMERCE</v>
      </c>
      <c r="G4898" s="16" t="str">
        <f>VLOOKUP(Table8[[#This Row],[Mã khách hàng]],code_khach_hang[],3,0)</f>
        <v>Miền Nam đặc biệt 3</v>
      </c>
      <c r="H4898" t="str">
        <f>VLOOKUP(Table8[[#This Row],[Mã khách hàng]],'Khách hàng'!A:D,4,0)</f>
        <v>Food Đức Việt</v>
      </c>
      <c r="I4898" t="str">
        <f>VLOOKUP(Table8[[#This Row],[Mã khách hàng]],'Khách hàng'!A:E,5,0)</f>
        <v>HCVG80</v>
      </c>
    </row>
    <row r="4899" spans="1:9" x14ac:dyDescent="0.25">
      <c r="A4899" s="14" t="s">
        <v>14248</v>
      </c>
      <c r="B4899" s="15" t="s">
        <v>183</v>
      </c>
      <c r="C4899" s="16" t="s">
        <v>15374</v>
      </c>
      <c r="D4899" s="21"/>
      <c r="E4899" s="32" t="s">
        <v>15667</v>
      </c>
      <c r="F4899" s="22" t="str">
        <f>VLOOKUP(Table8[[#This Row],[Mã khách hàng]],code_khach_hang[],2,0)</f>
        <v>CÔNG TY CỔ PHẦN DỊCH VỤ THƯƠNG MẠI TỔNG HỢP WINCOMMERCE</v>
      </c>
      <c r="G4899" s="16" t="str">
        <f>VLOOKUP(Table8[[#This Row],[Mã khách hàng]],code_khach_hang[],3,0)</f>
        <v>Miền Nam đặc biệt 1</v>
      </c>
      <c r="H4899" t="str">
        <f>VLOOKUP(Table8[[#This Row],[Mã khách hàng]],'Khách hàng'!A:D,4,0)</f>
        <v>Food Đức Việt</v>
      </c>
      <c r="I4899" t="str">
        <f>VLOOKUP(Table8[[#This Row],[Mã khách hàng]],'Khách hàng'!A:E,5,0)</f>
        <v>HCVG80</v>
      </c>
    </row>
    <row r="4900" spans="1:9" x14ac:dyDescent="0.25">
      <c r="A4900" s="14" t="s">
        <v>14249</v>
      </c>
      <c r="B4900" s="15" t="s">
        <v>183</v>
      </c>
      <c r="C4900" s="16" t="s">
        <v>15375</v>
      </c>
      <c r="D4900" s="21"/>
      <c r="E4900" s="32" t="s">
        <v>15667</v>
      </c>
      <c r="F4900" s="22" t="str">
        <f>VLOOKUP(Table8[[#This Row],[Mã khách hàng]],code_khach_hang[],2,0)</f>
        <v>CÔNG TY CỔ PHẦN DỊCH VỤ THƯƠNG MẠI TỔNG HỢP WINCOMMERCE</v>
      </c>
      <c r="G4900" s="16" t="str">
        <f>VLOOKUP(Table8[[#This Row],[Mã khách hàng]],code_khach_hang[],3,0)</f>
        <v>Miền Nam đặc biệt 1</v>
      </c>
      <c r="H4900" t="str">
        <f>VLOOKUP(Table8[[#This Row],[Mã khách hàng]],'Khách hàng'!A:D,4,0)</f>
        <v>Food Đức Việt</v>
      </c>
      <c r="I4900" t="str">
        <f>VLOOKUP(Table8[[#This Row],[Mã khách hàng]],'Khách hàng'!A:E,5,0)</f>
        <v>HCVG80</v>
      </c>
    </row>
    <row r="4901" spans="1:9" x14ac:dyDescent="0.25">
      <c r="A4901" s="14" t="s">
        <v>14250</v>
      </c>
      <c r="B4901" s="15" t="s">
        <v>183</v>
      </c>
      <c r="C4901" s="16" t="s">
        <v>15376</v>
      </c>
      <c r="D4901" s="21"/>
      <c r="E4901" s="32" t="s">
        <v>15667</v>
      </c>
      <c r="F4901" s="22" t="str">
        <f>VLOOKUP(Table8[[#This Row],[Mã khách hàng]],code_khach_hang[],2,0)</f>
        <v>CÔNG TY CỔ PHẦN DỊCH VỤ THƯƠNG MẠI TỔNG HỢP WINCOMMERCE</v>
      </c>
      <c r="G4901" s="16" t="str">
        <f>VLOOKUP(Table8[[#This Row],[Mã khách hàng]],code_khach_hang[],3,0)</f>
        <v>Miền Nam đặc biệt 1</v>
      </c>
      <c r="H4901" t="str">
        <f>VLOOKUP(Table8[[#This Row],[Mã khách hàng]],'Khách hàng'!A:D,4,0)</f>
        <v>Food Đức Việt</v>
      </c>
      <c r="I4901" t="str">
        <f>VLOOKUP(Table8[[#This Row],[Mã khách hàng]],'Khách hàng'!A:E,5,0)</f>
        <v>HCVG80</v>
      </c>
    </row>
    <row r="4902" spans="1:9" x14ac:dyDescent="0.25">
      <c r="A4902" s="14" t="s">
        <v>14251</v>
      </c>
      <c r="B4902" s="15" t="s">
        <v>183</v>
      </c>
      <c r="C4902" s="16" t="s">
        <v>15377</v>
      </c>
      <c r="D4902" s="21"/>
      <c r="E4902" s="32" t="s">
        <v>15685</v>
      </c>
      <c r="F4902" s="22" t="str">
        <f>VLOOKUP(Table8[[#This Row],[Mã khách hàng]],code_khach_hang[],2,0)</f>
        <v>CHI NHÁNH BÀ RỊA - VŨNG TÀU - CÔNG TY CỔ PHẦN DỊCH VỤ THƯƠNG MẠI TỔNG HỢP WINCOMMERCE</v>
      </c>
      <c r="G4902" s="16" t="str">
        <f>VLOOKUP(Table8[[#This Row],[Mã khách hàng]],code_khach_hang[],3,0)</f>
        <v>Miền Nam đặc biệt 3</v>
      </c>
      <c r="H4902" t="str">
        <f>VLOOKUP(Table8[[#This Row],[Mã khách hàng]],'Khách hàng'!A:D,4,0)</f>
        <v>Food Đức Việt</v>
      </c>
      <c r="I4902" t="str">
        <f>VLOOKUP(Table8[[#This Row],[Mã khách hàng]],'Khách hàng'!A:E,5,0)</f>
        <v>HCVG80</v>
      </c>
    </row>
    <row r="4903" spans="1:9" x14ac:dyDescent="0.25">
      <c r="A4903" s="14" t="s">
        <v>14252</v>
      </c>
      <c r="B4903" s="15" t="s">
        <v>183</v>
      </c>
      <c r="C4903" s="16" t="s">
        <v>15378</v>
      </c>
      <c r="D4903" s="21"/>
      <c r="E4903" s="32" t="s">
        <v>15667</v>
      </c>
      <c r="F4903" s="22" t="str">
        <f>VLOOKUP(Table8[[#This Row],[Mã khách hàng]],code_khach_hang[],2,0)</f>
        <v>CÔNG TY CỔ PHẦN DỊCH VỤ THƯƠNG MẠI TỔNG HỢP WINCOMMERCE</v>
      </c>
      <c r="G4903" s="16" t="str">
        <f>VLOOKUP(Table8[[#This Row],[Mã khách hàng]],code_khach_hang[],3,0)</f>
        <v>Miền Nam đặc biệt 1</v>
      </c>
      <c r="H4903" t="str">
        <f>VLOOKUP(Table8[[#This Row],[Mã khách hàng]],'Khách hàng'!A:D,4,0)</f>
        <v>Food Đức Việt</v>
      </c>
      <c r="I4903" t="str">
        <f>VLOOKUP(Table8[[#This Row],[Mã khách hàng]],'Khách hàng'!A:E,5,0)</f>
        <v>HCVG80</v>
      </c>
    </row>
    <row r="4904" spans="1:9" x14ac:dyDescent="0.25">
      <c r="A4904" s="14" t="s">
        <v>14253</v>
      </c>
      <c r="B4904" s="15" t="s">
        <v>183</v>
      </c>
      <c r="C4904" s="16" t="s">
        <v>15379</v>
      </c>
      <c r="D4904" s="21"/>
      <c r="E4904" s="32" t="s">
        <v>15685</v>
      </c>
      <c r="F4904" s="22" t="str">
        <f>VLOOKUP(Table8[[#This Row],[Mã khách hàng]],code_khach_hang[],2,0)</f>
        <v>CHI NHÁNH BÀ RỊA - VŨNG TÀU - CÔNG TY CỔ PHẦN DỊCH VỤ THƯƠNG MẠI TỔNG HỢP WINCOMMERCE</v>
      </c>
      <c r="G4904" s="16" t="str">
        <f>VLOOKUP(Table8[[#This Row],[Mã khách hàng]],code_khach_hang[],3,0)</f>
        <v>Miền Nam đặc biệt 3</v>
      </c>
      <c r="H4904" t="str">
        <f>VLOOKUP(Table8[[#This Row],[Mã khách hàng]],'Khách hàng'!A:D,4,0)</f>
        <v>Food Đức Việt</v>
      </c>
      <c r="I4904" t="str">
        <f>VLOOKUP(Table8[[#This Row],[Mã khách hàng]],'Khách hàng'!A:E,5,0)</f>
        <v>HCVG80</v>
      </c>
    </row>
    <row r="4905" spans="1:9" x14ac:dyDescent="0.25">
      <c r="A4905" s="14" t="s">
        <v>14254</v>
      </c>
      <c r="B4905" s="15" t="s">
        <v>183</v>
      </c>
      <c r="C4905" s="16" t="s">
        <v>15380</v>
      </c>
      <c r="D4905" s="21"/>
      <c r="E4905" s="32" t="s">
        <v>15667</v>
      </c>
      <c r="F4905" s="22" t="str">
        <f>VLOOKUP(Table8[[#This Row],[Mã khách hàng]],code_khach_hang[],2,0)</f>
        <v>CÔNG TY CỔ PHẦN DỊCH VỤ THƯƠNG MẠI TỔNG HỢP WINCOMMERCE</v>
      </c>
      <c r="G4905" s="16" t="str">
        <f>VLOOKUP(Table8[[#This Row],[Mã khách hàng]],code_khach_hang[],3,0)</f>
        <v>Miền Nam đặc biệt 1</v>
      </c>
      <c r="H4905" t="str">
        <f>VLOOKUP(Table8[[#This Row],[Mã khách hàng]],'Khách hàng'!A:D,4,0)</f>
        <v>Food Đức Việt</v>
      </c>
      <c r="I4905" t="str">
        <f>VLOOKUP(Table8[[#This Row],[Mã khách hàng]],'Khách hàng'!A:E,5,0)</f>
        <v>HCVG80</v>
      </c>
    </row>
    <row r="4906" spans="1:9" x14ac:dyDescent="0.25">
      <c r="A4906" s="14" t="s">
        <v>14255</v>
      </c>
      <c r="B4906" s="15" t="s">
        <v>183</v>
      </c>
      <c r="C4906" s="16" t="s">
        <v>15381</v>
      </c>
      <c r="D4906" s="21"/>
      <c r="E4906" s="32" t="s">
        <v>15667</v>
      </c>
      <c r="F4906" s="22" t="str">
        <f>VLOOKUP(Table8[[#This Row],[Mã khách hàng]],code_khach_hang[],2,0)</f>
        <v>CÔNG TY CỔ PHẦN DỊCH VỤ THƯƠNG MẠI TỔNG HỢP WINCOMMERCE</v>
      </c>
      <c r="G4906" s="16" t="str">
        <f>VLOOKUP(Table8[[#This Row],[Mã khách hàng]],code_khach_hang[],3,0)</f>
        <v>Miền Nam đặc biệt 1</v>
      </c>
      <c r="H4906" t="str">
        <f>VLOOKUP(Table8[[#This Row],[Mã khách hàng]],'Khách hàng'!A:D,4,0)</f>
        <v>Food Đức Việt</v>
      </c>
      <c r="I4906" t="str">
        <f>VLOOKUP(Table8[[#This Row],[Mã khách hàng]],'Khách hàng'!A:E,5,0)</f>
        <v>HCVG80</v>
      </c>
    </row>
    <row r="4907" spans="1:9" x14ac:dyDescent="0.25">
      <c r="A4907" s="14" t="s">
        <v>14256</v>
      </c>
      <c r="B4907" s="15" t="s">
        <v>183</v>
      </c>
      <c r="C4907" s="16" t="s">
        <v>15382</v>
      </c>
      <c r="D4907" s="21"/>
      <c r="E4907" s="32" t="s">
        <v>15667</v>
      </c>
      <c r="F4907" s="22" t="str">
        <f>VLOOKUP(Table8[[#This Row],[Mã khách hàng]],code_khach_hang[],2,0)</f>
        <v>CÔNG TY CỔ PHẦN DỊCH VỤ THƯƠNG MẠI TỔNG HỢP WINCOMMERCE</v>
      </c>
      <c r="G4907" s="16" t="str">
        <f>VLOOKUP(Table8[[#This Row],[Mã khách hàng]],code_khach_hang[],3,0)</f>
        <v>Miền Nam đặc biệt 1</v>
      </c>
      <c r="H4907" t="str">
        <f>VLOOKUP(Table8[[#This Row],[Mã khách hàng]],'Khách hàng'!A:D,4,0)</f>
        <v>Food Đức Việt</v>
      </c>
      <c r="I4907" t="str">
        <f>VLOOKUP(Table8[[#This Row],[Mã khách hàng]],'Khách hàng'!A:E,5,0)</f>
        <v>HCVG80</v>
      </c>
    </row>
    <row r="4908" spans="1:9" x14ac:dyDescent="0.25">
      <c r="A4908" s="14" t="s">
        <v>14257</v>
      </c>
      <c r="B4908" s="15" t="s">
        <v>183</v>
      </c>
      <c r="C4908" s="16" t="s">
        <v>15383</v>
      </c>
      <c r="D4908" s="21"/>
      <c r="E4908" s="32" t="s">
        <v>15668</v>
      </c>
      <c r="F4908" s="22" t="str">
        <f>VLOOKUP(Table8[[#This Row],[Mã khách hàng]],code_khach_hang[],2,0)</f>
        <v>CHI NHÁNH ĐỒNG NAI - CÔNG TY CỔ PHẦN DỊCH VỤ THƯƠNG MẠI TỔNG HỢP WINCOMMERCE</v>
      </c>
      <c r="G4908" s="16" t="str">
        <f>VLOOKUP(Table8[[#This Row],[Mã khách hàng]],code_khach_hang[],3,0)</f>
        <v>Miền Nam đặc biệt 3</v>
      </c>
      <c r="H4908" t="str">
        <f>VLOOKUP(Table8[[#This Row],[Mã khách hàng]],'Khách hàng'!A:D,4,0)</f>
        <v>Food Đức Việt</v>
      </c>
      <c r="I4908" t="str">
        <f>VLOOKUP(Table8[[#This Row],[Mã khách hàng]],'Khách hàng'!A:E,5,0)</f>
        <v>HCVG80</v>
      </c>
    </row>
    <row r="4909" spans="1:9" x14ac:dyDescent="0.25">
      <c r="A4909" s="14" t="s">
        <v>14258</v>
      </c>
      <c r="B4909" s="15" t="s">
        <v>183</v>
      </c>
      <c r="C4909" s="16" t="s">
        <v>15384</v>
      </c>
      <c r="D4909" s="21"/>
      <c r="E4909" s="32" t="s">
        <v>15667</v>
      </c>
      <c r="F4909" s="22" t="str">
        <f>VLOOKUP(Table8[[#This Row],[Mã khách hàng]],code_khach_hang[],2,0)</f>
        <v>CÔNG TY CỔ PHẦN DỊCH VỤ THƯƠNG MẠI TỔNG HỢP WINCOMMERCE</v>
      </c>
      <c r="G4909" s="16" t="str">
        <f>VLOOKUP(Table8[[#This Row],[Mã khách hàng]],code_khach_hang[],3,0)</f>
        <v>Miền Nam đặc biệt 1</v>
      </c>
      <c r="H4909" t="str">
        <f>VLOOKUP(Table8[[#This Row],[Mã khách hàng]],'Khách hàng'!A:D,4,0)</f>
        <v>Food Đức Việt</v>
      </c>
      <c r="I4909" t="str">
        <f>VLOOKUP(Table8[[#This Row],[Mã khách hàng]],'Khách hàng'!A:E,5,0)</f>
        <v>HCVG80</v>
      </c>
    </row>
    <row r="4910" spans="1:9" x14ac:dyDescent="0.25">
      <c r="A4910" s="14" t="s">
        <v>14259</v>
      </c>
      <c r="B4910" s="15" t="s">
        <v>183</v>
      </c>
      <c r="C4910" s="16" t="s">
        <v>15385</v>
      </c>
      <c r="D4910" s="21"/>
      <c r="E4910" s="32" t="s">
        <v>15668</v>
      </c>
      <c r="F4910" s="22" t="str">
        <f>VLOOKUP(Table8[[#This Row],[Mã khách hàng]],code_khach_hang[],2,0)</f>
        <v>CHI NHÁNH ĐỒNG NAI - CÔNG TY CỔ PHẦN DỊCH VỤ THƯƠNG MẠI TỔNG HỢP WINCOMMERCE</v>
      </c>
      <c r="G4910" s="16" t="str">
        <f>VLOOKUP(Table8[[#This Row],[Mã khách hàng]],code_khach_hang[],3,0)</f>
        <v>Miền Nam đặc biệt 3</v>
      </c>
      <c r="H4910" t="str">
        <f>VLOOKUP(Table8[[#This Row],[Mã khách hàng]],'Khách hàng'!A:D,4,0)</f>
        <v>Food Đức Việt</v>
      </c>
      <c r="I4910" t="str">
        <f>VLOOKUP(Table8[[#This Row],[Mã khách hàng]],'Khách hàng'!A:E,5,0)</f>
        <v>HCVG80</v>
      </c>
    </row>
    <row r="4911" spans="1:9" x14ac:dyDescent="0.25">
      <c r="A4911" s="14" t="s">
        <v>14260</v>
      </c>
      <c r="B4911" s="15" t="s">
        <v>183</v>
      </c>
      <c r="C4911" s="16" t="s">
        <v>15386</v>
      </c>
      <c r="D4911" s="21"/>
      <c r="E4911" s="32" t="s">
        <v>15668</v>
      </c>
      <c r="F4911" s="22" t="str">
        <f>VLOOKUP(Table8[[#This Row],[Mã khách hàng]],code_khach_hang[],2,0)</f>
        <v>CHI NHÁNH ĐỒNG NAI - CÔNG TY CỔ PHẦN DỊCH VỤ THƯƠNG MẠI TỔNG HỢP WINCOMMERCE</v>
      </c>
      <c r="G4911" s="16" t="str">
        <f>VLOOKUP(Table8[[#This Row],[Mã khách hàng]],code_khach_hang[],3,0)</f>
        <v>Miền Nam đặc biệt 3</v>
      </c>
      <c r="H4911" t="str">
        <f>VLOOKUP(Table8[[#This Row],[Mã khách hàng]],'Khách hàng'!A:D,4,0)</f>
        <v>Food Đức Việt</v>
      </c>
      <c r="I4911" t="str">
        <f>VLOOKUP(Table8[[#This Row],[Mã khách hàng]],'Khách hàng'!A:E,5,0)</f>
        <v>HCVG80</v>
      </c>
    </row>
    <row r="4912" spans="1:9" x14ac:dyDescent="0.25">
      <c r="A4912" s="14" t="s">
        <v>14261</v>
      </c>
      <c r="B4912" s="15" t="s">
        <v>183</v>
      </c>
      <c r="C4912" s="16" t="s">
        <v>15387</v>
      </c>
      <c r="D4912" s="21"/>
      <c r="E4912" s="32" t="s">
        <v>15668</v>
      </c>
      <c r="F4912" s="22" t="str">
        <f>VLOOKUP(Table8[[#This Row],[Mã khách hàng]],code_khach_hang[],2,0)</f>
        <v>CHI NHÁNH ĐỒNG NAI - CÔNG TY CỔ PHẦN DỊCH VỤ THƯƠNG MẠI TỔNG HỢP WINCOMMERCE</v>
      </c>
      <c r="G4912" s="16" t="str">
        <f>VLOOKUP(Table8[[#This Row],[Mã khách hàng]],code_khach_hang[],3,0)</f>
        <v>Miền Nam đặc biệt 3</v>
      </c>
      <c r="H4912" t="str">
        <f>VLOOKUP(Table8[[#This Row],[Mã khách hàng]],'Khách hàng'!A:D,4,0)</f>
        <v>Food Đức Việt</v>
      </c>
      <c r="I4912" t="str">
        <f>VLOOKUP(Table8[[#This Row],[Mã khách hàng]],'Khách hàng'!A:E,5,0)</f>
        <v>HCVG80</v>
      </c>
    </row>
    <row r="4913" spans="1:9" x14ac:dyDescent="0.25">
      <c r="A4913" s="14" t="s">
        <v>14262</v>
      </c>
      <c r="B4913" s="15" t="s">
        <v>5</v>
      </c>
      <c r="C4913" s="16" t="s">
        <v>15388</v>
      </c>
      <c r="D4913" s="21"/>
      <c r="E4913" s="32" t="s">
        <v>15675</v>
      </c>
      <c r="F4913" s="22" t="str">
        <f>VLOOKUP(Table8[[#This Row],[Mã khách hàng]],code_khach_hang[],2,0)</f>
        <v>CHI NHÁNH VĨNH LONG - CÔNG TY CỔ PHẦN DỊCH VỤ THƯƠNG MẠI TỔNG HỢP WINCOMMERCE</v>
      </c>
      <c r="G4913" s="16" t="str">
        <f>VLOOKUP(Table8[[#This Row],[Mã khách hàng]],code_khach_hang[],3,0)</f>
        <v>Miền Nam đặc biệt 2</v>
      </c>
      <c r="H4913" t="str">
        <f>VLOOKUP(Table8[[#This Row],[Mã khách hàng]],'Khách hàng'!A:D,4,0)</f>
        <v>Food Đức Việt</v>
      </c>
      <c r="I4913" t="str">
        <f>VLOOKUP(Table8[[#This Row],[Mã khách hàng]],'Khách hàng'!A:E,5,0)</f>
        <v>HC-CT120</v>
      </c>
    </row>
    <row r="4914" spans="1:9" x14ac:dyDescent="0.25">
      <c r="A4914" s="14" t="s">
        <v>14263</v>
      </c>
      <c r="B4914" s="15" t="s">
        <v>183</v>
      </c>
      <c r="C4914" s="16" t="s">
        <v>15389</v>
      </c>
      <c r="D4914" s="21"/>
      <c r="E4914" s="32" t="s">
        <v>15667</v>
      </c>
      <c r="F4914" s="22" t="str">
        <f>VLOOKUP(Table8[[#This Row],[Mã khách hàng]],code_khach_hang[],2,0)</f>
        <v>CÔNG TY CỔ PHẦN DỊCH VỤ THƯƠNG MẠI TỔNG HỢP WINCOMMERCE</v>
      </c>
      <c r="G4914" s="16" t="str">
        <f>VLOOKUP(Table8[[#This Row],[Mã khách hàng]],code_khach_hang[],3,0)</f>
        <v>Miền Nam đặc biệt 1</v>
      </c>
      <c r="H4914" t="str">
        <f>VLOOKUP(Table8[[#This Row],[Mã khách hàng]],'Khách hàng'!A:D,4,0)</f>
        <v>Food Đức Việt</v>
      </c>
      <c r="I4914" t="str">
        <f>VLOOKUP(Table8[[#This Row],[Mã khách hàng]],'Khách hàng'!A:E,5,0)</f>
        <v>HCVG80</v>
      </c>
    </row>
    <row r="4915" spans="1:9" x14ac:dyDescent="0.25">
      <c r="A4915" s="14" t="s">
        <v>14264</v>
      </c>
      <c r="B4915" s="15" t="s">
        <v>183</v>
      </c>
      <c r="C4915" s="16" t="s">
        <v>15390</v>
      </c>
      <c r="D4915" s="21"/>
      <c r="E4915" s="32" t="s">
        <v>15667</v>
      </c>
      <c r="F4915" s="22" t="str">
        <f>VLOOKUP(Table8[[#This Row],[Mã khách hàng]],code_khach_hang[],2,0)</f>
        <v>CÔNG TY CỔ PHẦN DỊCH VỤ THƯƠNG MẠI TỔNG HỢP WINCOMMERCE</v>
      </c>
      <c r="G4915" s="16" t="str">
        <f>VLOOKUP(Table8[[#This Row],[Mã khách hàng]],code_khach_hang[],3,0)</f>
        <v>Miền Nam đặc biệt 1</v>
      </c>
      <c r="H4915" t="str">
        <f>VLOOKUP(Table8[[#This Row],[Mã khách hàng]],'Khách hàng'!A:D,4,0)</f>
        <v>Food Đức Việt</v>
      </c>
      <c r="I4915" t="str">
        <f>VLOOKUP(Table8[[#This Row],[Mã khách hàng]],'Khách hàng'!A:E,5,0)</f>
        <v>HCVG80</v>
      </c>
    </row>
    <row r="4916" spans="1:9" x14ac:dyDescent="0.25">
      <c r="A4916" s="14" t="s">
        <v>14265</v>
      </c>
      <c r="B4916" s="15" t="s">
        <v>183</v>
      </c>
      <c r="C4916" s="16" t="s">
        <v>15391</v>
      </c>
      <c r="D4916" s="21"/>
      <c r="E4916" s="32" t="s">
        <v>15667</v>
      </c>
      <c r="F4916" s="22" t="str">
        <f>VLOOKUP(Table8[[#This Row],[Mã khách hàng]],code_khach_hang[],2,0)</f>
        <v>CÔNG TY CỔ PHẦN DỊCH VỤ THƯƠNG MẠI TỔNG HỢP WINCOMMERCE</v>
      </c>
      <c r="G4916" s="16" t="str">
        <f>VLOOKUP(Table8[[#This Row],[Mã khách hàng]],code_khach_hang[],3,0)</f>
        <v>Miền Nam đặc biệt 1</v>
      </c>
      <c r="H4916" t="str">
        <f>VLOOKUP(Table8[[#This Row],[Mã khách hàng]],'Khách hàng'!A:D,4,0)</f>
        <v>Food Đức Việt</v>
      </c>
      <c r="I4916" t="str">
        <f>VLOOKUP(Table8[[#This Row],[Mã khách hàng]],'Khách hàng'!A:E,5,0)</f>
        <v>HCVG80</v>
      </c>
    </row>
    <row r="4917" spans="1:9" x14ac:dyDescent="0.25">
      <c r="A4917" s="14" t="s">
        <v>14266</v>
      </c>
      <c r="B4917" s="15" t="s">
        <v>183</v>
      </c>
      <c r="C4917" s="16" t="s">
        <v>15392</v>
      </c>
      <c r="D4917" s="21"/>
      <c r="E4917" s="32" t="s">
        <v>15667</v>
      </c>
      <c r="F4917" s="22" t="str">
        <f>VLOOKUP(Table8[[#This Row],[Mã khách hàng]],code_khach_hang[],2,0)</f>
        <v>CÔNG TY CỔ PHẦN DỊCH VỤ THƯƠNG MẠI TỔNG HỢP WINCOMMERCE</v>
      </c>
      <c r="G4917" s="16" t="str">
        <f>VLOOKUP(Table8[[#This Row],[Mã khách hàng]],code_khach_hang[],3,0)</f>
        <v>Miền Nam đặc biệt 1</v>
      </c>
      <c r="H4917" t="str">
        <f>VLOOKUP(Table8[[#This Row],[Mã khách hàng]],'Khách hàng'!A:D,4,0)</f>
        <v>Food Đức Việt</v>
      </c>
      <c r="I4917" t="str">
        <f>VLOOKUP(Table8[[#This Row],[Mã khách hàng]],'Khách hàng'!A:E,5,0)</f>
        <v>HCVG80</v>
      </c>
    </row>
    <row r="4918" spans="1:9" x14ac:dyDescent="0.25">
      <c r="A4918" s="14" t="s">
        <v>14267</v>
      </c>
      <c r="B4918" s="15" t="s">
        <v>183</v>
      </c>
      <c r="C4918" s="16" t="s">
        <v>15393</v>
      </c>
      <c r="D4918" s="21"/>
      <c r="E4918" s="32" t="s">
        <v>15667</v>
      </c>
      <c r="F4918" s="22" t="str">
        <f>VLOOKUP(Table8[[#This Row],[Mã khách hàng]],code_khach_hang[],2,0)</f>
        <v>CÔNG TY CỔ PHẦN DỊCH VỤ THƯƠNG MẠI TỔNG HỢP WINCOMMERCE</v>
      </c>
      <c r="G4918" s="16" t="str">
        <f>VLOOKUP(Table8[[#This Row],[Mã khách hàng]],code_khach_hang[],3,0)</f>
        <v>Miền Nam đặc biệt 1</v>
      </c>
      <c r="H4918" t="str">
        <f>VLOOKUP(Table8[[#This Row],[Mã khách hàng]],'Khách hàng'!A:D,4,0)</f>
        <v>Food Đức Việt</v>
      </c>
      <c r="I4918" t="str">
        <f>VLOOKUP(Table8[[#This Row],[Mã khách hàng]],'Khách hàng'!A:E,5,0)</f>
        <v>HCVG80</v>
      </c>
    </row>
    <row r="4919" spans="1:9" x14ac:dyDescent="0.25">
      <c r="A4919" s="14" t="s">
        <v>14268</v>
      </c>
      <c r="B4919" s="15" t="s">
        <v>183</v>
      </c>
      <c r="C4919" s="16" t="s">
        <v>15394</v>
      </c>
      <c r="D4919" s="21"/>
      <c r="E4919" s="32" t="s">
        <v>15667</v>
      </c>
      <c r="F4919" s="22" t="str">
        <f>VLOOKUP(Table8[[#This Row],[Mã khách hàng]],code_khach_hang[],2,0)</f>
        <v>CÔNG TY CỔ PHẦN DỊCH VỤ THƯƠNG MẠI TỔNG HỢP WINCOMMERCE</v>
      </c>
      <c r="G4919" s="16" t="str">
        <f>VLOOKUP(Table8[[#This Row],[Mã khách hàng]],code_khach_hang[],3,0)</f>
        <v>Miền Nam đặc biệt 1</v>
      </c>
      <c r="H4919" t="str">
        <f>VLOOKUP(Table8[[#This Row],[Mã khách hàng]],'Khách hàng'!A:D,4,0)</f>
        <v>Food Đức Việt</v>
      </c>
      <c r="I4919" t="str">
        <f>VLOOKUP(Table8[[#This Row],[Mã khách hàng]],'Khách hàng'!A:E,5,0)</f>
        <v>HCVG80</v>
      </c>
    </row>
    <row r="4920" spans="1:9" x14ac:dyDescent="0.25">
      <c r="A4920" s="14" t="s">
        <v>14269</v>
      </c>
      <c r="B4920" s="15" t="s">
        <v>183</v>
      </c>
      <c r="C4920" s="16" t="s">
        <v>15395</v>
      </c>
      <c r="D4920" s="21"/>
      <c r="E4920" s="32" t="s">
        <v>15667</v>
      </c>
      <c r="F4920" s="22" t="str">
        <f>VLOOKUP(Table8[[#This Row],[Mã khách hàng]],code_khach_hang[],2,0)</f>
        <v>CÔNG TY CỔ PHẦN DỊCH VỤ THƯƠNG MẠI TỔNG HỢP WINCOMMERCE</v>
      </c>
      <c r="G4920" s="16" t="str">
        <f>VLOOKUP(Table8[[#This Row],[Mã khách hàng]],code_khach_hang[],3,0)</f>
        <v>Miền Nam đặc biệt 1</v>
      </c>
      <c r="H4920" t="str">
        <f>VLOOKUP(Table8[[#This Row],[Mã khách hàng]],'Khách hàng'!A:D,4,0)</f>
        <v>Food Đức Việt</v>
      </c>
      <c r="I4920" t="str">
        <f>VLOOKUP(Table8[[#This Row],[Mã khách hàng]],'Khách hàng'!A:E,5,0)</f>
        <v>HCVG80</v>
      </c>
    </row>
    <row r="4921" spans="1:9" x14ac:dyDescent="0.25">
      <c r="A4921" s="14" t="s">
        <v>14270</v>
      </c>
      <c r="B4921" s="15" t="s">
        <v>183</v>
      </c>
      <c r="C4921" s="16" t="s">
        <v>15396</v>
      </c>
      <c r="D4921" s="21"/>
      <c r="E4921" s="32" t="s">
        <v>15667</v>
      </c>
      <c r="F4921" s="22" t="str">
        <f>VLOOKUP(Table8[[#This Row],[Mã khách hàng]],code_khach_hang[],2,0)</f>
        <v>CÔNG TY CỔ PHẦN DỊCH VỤ THƯƠNG MẠI TỔNG HỢP WINCOMMERCE</v>
      </c>
      <c r="G4921" s="16" t="str">
        <f>VLOOKUP(Table8[[#This Row],[Mã khách hàng]],code_khach_hang[],3,0)</f>
        <v>Miền Nam đặc biệt 1</v>
      </c>
      <c r="H4921" t="str">
        <f>VLOOKUP(Table8[[#This Row],[Mã khách hàng]],'Khách hàng'!A:D,4,0)</f>
        <v>Food Đức Việt</v>
      </c>
      <c r="I4921" t="str">
        <f>VLOOKUP(Table8[[#This Row],[Mã khách hàng]],'Khách hàng'!A:E,5,0)</f>
        <v>HCVG80</v>
      </c>
    </row>
    <row r="4922" spans="1:9" x14ac:dyDescent="0.25">
      <c r="A4922" s="14" t="s">
        <v>14271</v>
      </c>
      <c r="B4922" s="15" t="s">
        <v>183</v>
      </c>
      <c r="C4922" s="16" t="s">
        <v>15397</v>
      </c>
      <c r="D4922" s="21"/>
      <c r="E4922" s="32" t="s">
        <v>15667</v>
      </c>
      <c r="F4922" s="22" t="str">
        <f>VLOOKUP(Table8[[#This Row],[Mã khách hàng]],code_khach_hang[],2,0)</f>
        <v>CÔNG TY CỔ PHẦN DỊCH VỤ THƯƠNG MẠI TỔNG HỢP WINCOMMERCE</v>
      </c>
      <c r="G4922" s="16" t="str">
        <f>VLOOKUP(Table8[[#This Row],[Mã khách hàng]],code_khach_hang[],3,0)</f>
        <v>Miền Nam đặc biệt 1</v>
      </c>
      <c r="H4922" t="str">
        <f>VLOOKUP(Table8[[#This Row],[Mã khách hàng]],'Khách hàng'!A:D,4,0)</f>
        <v>Food Đức Việt</v>
      </c>
      <c r="I4922" t="str">
        <f>VLOOKUP(Table8[[#This Row],[Mã khách hàng]],'Khách hàng'!A:E,5,0)</f>
        <v>HCVG80</v>
      </c>
    </row>
    <row r="4923" spans="1:9" x14ac:dyDescent="0.25">
      <c r="A4923" s="14" t="s">
        <v>14272</v>
      </c>
      <c r="B4923" s="15" t="s">
        <v>183</v>
      </c>
      <c r="C4923" s="16" t="s">
        <v>15398</v>
      </c>
      <c r="D4923" s="21"/>
      <c r="E4923" s="32" t="s">
        <v>15667</v>
      </c>
      <c r="F4923" s="22" t="str">
        <f>VLOOKUP(Table8[[#This Row],[Mã khách hàng]],code_khach_hang[],2,0)</f>
        <v>CÔNG TY CỔ PHẦN DỊCH VỤ THƯƠNG MẠI TỔNG HỢP WINCOMMERCE</v>
      </c>
      <c r="G4923" s="16" t="str">
        <f>VLOOKUP(Table8[[#This Row],[Mã khách hàng]],code_khach_hang[],3,0)</f>
        <v>Miền Nam đặc biệt 1</v>
      </c>
      <c r="H4923" t="str">
        <f>VLOOKUP(Table8[[#This Row],[Mã khách hàng]],'Khách hàng'!A:D,4,0)</f>
        <v>Food Đức Việt</v>
      </c>
      <c r="I4923" t="str">
        <f>VLOOKUP(Table8[[#This Row],[Mã khách hàng]],'Khách hàng'!A:E,5,0)</f>
        <v>HCVG80</v>
      </c>
    </row>
    <row r="4924" spans="1:9" x14ac:dyDescent="0.25">
      <c r="A4924" s="14" t="s">
        <v>14273</v>
      </c>
      <c r="B4924" s="15" t="s">
        <v>183</v>
      </c>
      <c r="C4924" s="16" t="s">
        <v>15399</v>
      </c>
      <c r="D4924" s="21"/>
      <c r="E4924" s="32" t="s">
        <v>15667</v>
      </c>
      <c r="F4924" s="22" t="str">
        <f>VLOOKUP(Table8[[#This Row],[Mã khách hàng]],code_khach_hang[],2,0)</f>
        <v>CÔNG TY CỔ PHẦN DỊCH VỤ THƯƠNG MẠI TỔNG HỢP WINCOMMERCE</v>
      </c>
      <c r="G4924" s="16" t="str">
        <f>VLOOKUP(Table8[[#This Row],[Mã khách hàng]],code_khach_hang[],3,0)</f>
        <v>Miền Nam đặc biệt 1</v>
      </c>
      <c r="H4924" t="str">
        <f>VLOOKUP(Table8[[#This Row],[Mã khách hàng]],'Khách hàng'!A:D,4,0)</f>
        <v>Food Đức Việt</v>
      </c>
      <c r="I4924" t="str">
        <f>VLOOKUP(Table8[[#This Row],[Mã khách hàng]],'Khách hàng'!A:E,5,0)</f>
        <v>HCVG80</v>
      </c>
    </row>
    <row r="4925" spans="1:9" x14ac:dyDescent="0.25">
      <c r="A4925" s="14" t="s">
        <v>14274</v>
      </c>
      <c r="B4925" s="15" t="s">
        <v>183</v>
      </c>
      <c r="C4925" s="16" t="s">
        <v>15400</v>
      </c>
      <c r="D4925" s="21"/>
      <c r="E4925" s="32" t="s">
        <v>15667</v>
      </c>
      <c r="F4925" s="22" t="str">
        <f>VLOOKUP(Table8[[#This Row],[Mã khách hàng]],code_khach_hang[],2,0)</f>
        <v>CÔNG TY CỔ PHẦN DỊCH VỤ THƯƠNG MẠI TỔNG HỢP WINCOMMERCE</v>
      </c>
      <c r="G4925" s="16" t="str">
        <f>VLOOKUP(Table8[[#This Row],[Mã khách hàng]],code_khach_hang[],3,0)</f>
        <v>Miền Nam đặc biệt 1</v>
      </c>
      <c r="H4925" t="str">
        <f>VLOOKUP(Table8[[#This Row],[Mã khách hàng]],'Khách hàng'!A:D,4,0)</f>
        <v>Food Đức Việt</v>
      </c>
      <c r="I4925" t="str">
        <f>VLOOKUP(Table8[[#This Row],[Mã khách hàng]],'Khách hàng'!A:E,5,0)</f>
        <v>HCVG80</v>
      </c>
    </row>
    <row r="4926" spans="1:9" x14ac:dyDescent="0.25">
      <c r="A4926" s="14" t="s">
        <v>14275</v>
      </c>
      <c r="B4926" s="15" t="s">
        <v>183</v>
      </c>
      <c r="C4926" s="16" t="s">
        <v>15401</v>
      </c>
      <c r="D4926" s="21"/>
      <c r="E4926" s="32" t="s">
        <v>15667</v>
      </c>
      <c r="F4926" s="22" t="str">
        <f>VLOOKUP(Table8[[#This Row],[Mã khách hàng]],code_khach_hang[],2,0)</f>
        <v>CÔNG TY CỔ PHẦN DỊCH VỤ THƯƠNG MẠI TỔNG HỢP WINCOMMERCE</v>
      </c>
      <c r="G4926" s="16" t="str">
        <f>VLOOKUP(Table8[[#This Row],[Mã khách hàng]],code_khach_hang[],3,0)</f>
        <v>Miền Nam đặc biệt 1</v>
      </c>
      <c r="H4926" t="str">
        <f>VLOOKUP(Table8[[#This Row],[Mã khách hàng]],'Khách hàng'!A:D,4,0)</f>
        <v>Food Đức Việt</v>
      </c>
      <c r="I4926" t="str">
        <f>VLOOKUP(Table8[[#This Row],[Mã khách hàng]],'Khách hàng'!A:E,5,0)</f>
        <v>HCVG80</v>
      </c>
    </row>
    <row r="4927" spans="1:9" x14ac:dyDescent="0.25">
      <c r="A4927" s="14" t="s">
        <v>14276</v>
      </c>
      <c r="B4927" s="15" t="s">
        <v>183</v>
      </c>
      <c r="C4927" s="16" t="s">
        <v>15402</v>
      </c>
      <c r="D4927" s="21"/>
      <c r="E4927" s="32" t="s">
        <v>15667</v>
      </c>
      <c r="F4927" s="22" t="str">
        <f>VLOOKUP(Table8[[#This Row],[Mã khách hàng]],code_khach_hang[],2,0)</f>
        <v>CÔNG TY CỔ PHẦN DỊCH VỤ THƯƠNG MẠI TỔNG HỢP WINCOMMERCE</v>
      </c>
      <c r="G4927" s="16" t="str">
        <f>VLOOKUP(Table8[[#This Row],[Mã khách hàng]],code_khach_hang[],3,0)</f>
        <v>Miền Nam đặc biệt 1</v>
      </c>
      <c r="H4927" t="str">
        <f>VLOOKUP(Table8[[#This Row],[Mã khách hàng]],'Khách hàng'!A:D,4,0)</f>
        <v>Food Đức Việt</v>
      </c>
      <c r="I4927" t="str">
        <f>VLOOKUP(Table8[[#This Row],[Mã khách hàng]],'Khách hàng'!A:E,5,0)</f>
        <v>HCVG80</v>
      </c>
    </row>
    <row r="4928" spans="1:9" x14ac:dyDescent="0.25">
      <c r="A4928" s="14" t="s">
        <v>14277</v>
      </c>
      <c r="B4928" s="15" t="s">
        <v>183</v>
      </c>
      <c r="C4928" s="16" t="s">
        <v>15403</v>
      </c>
      <c r="D4928" s="21"/>
      <c r="E4928" s="32" t="s">
        <v>15667</v>
      </c>
      <c r="F4928" s="22" t="str">
        <f>VLOOKUP(Table8[[#This Row],[Mã khách hàng]],code_khach_hang[],2,0)</f>
        <v>CÔNG TY CỔ PHẦN DỊCH VỤ THƯƠNG MẠI TỔNG HỢP WINCOMMERCE</v>
      </c>
      <c r="G4928" s="16" t="str">
        <f>VLOOKUP(Table8[[#This Row],[Mã khách hàng]],code_khach_hang[],3,0)</f>
        <v>Miền Nam đặc biệt 1</v>
      </c>
      <c r="H4928" t="str">
        <f>VLOOKUP(Table8[[#This Row],[Mã khách hàng]],'Khách hàng'!A:D,4,0)</f>
        <v>Food Đức Việt</v>
      </c>
      <c r="I4928" t="str">
        <f>VLOOKUP(Table8[[#This Row],[Mã khách hàng]],'Khách hàng'!A:E,5,0)</f>
        <v>HCVG80</v>
      </c>
    </row>
    <row r="4929" spans="1:9" x14ac:dyDescent="0.25">
      <c r="A4929" s="14" t="s">
        <v>14278</v>
      </c>
      <c r="B4929" s="15" t="s">
        <v>183</v>
      </c>
      <c r="C4929" s="16" t="s">
        <v>15404</v>
      </c>
      <c r="D4929" s="21"/>
      <c r="E4929" s="32" t="s">
        <v>15667</v>
      </c>
      <c r="F4929" s="22" t="str">
        <f>VLOOKUP(Table8[[#This Row],[Mã khách hàng]],code_khach_hang[],2,0)</f>
        <v>CÔNG TY CỔ PHẦN DỊCH VỤ THƯƠNG MẠI TỔNG HỢP WINCOMMERCE</v>
      </c>
      <c r="G4929" s="16" t="str">
        <f>VLOOKUP(Table8[[#This Row],[Mã khách hàng]],code_khach_hang[],3,0)</f>
        <v>Miền Nam đặc biệt 1</v>
      </c>
      <c r="H4929" t="str">
        <f>VLOOKUP(Table8[[#This Row],[Mã khách hàng]],'Khách hàng'!A:D,4,0)</f>
        <v>Food Đức Việt</v>
      </c>
      <c r="I4929" t="str">
        <f>VLOOKUP(Table8[[#This Row],[Mã khách hàng]],'Khách hàng'!A:E,5,0)</f>
        <v>HCVG80</v>
      </c>
    </row>
    <row r="4930" spans="1:9" x14ac:dyDescent="0.25">
      <c r="A4930" s="14" t="s">
        <v>14279</v>
      </c>
      <c r="B4930" s="15" t="s">
        <v>183</v>
      </c>
      <c r="C4930" s="16" t="s">
        <v>15405</v>
      </c>
      <c r="D4930" s="21"/>
      <c r="E4930" s="32" t="s">
        <v>15667</v>
      </c>
      <c r="F4930" s="22" t="str">
        <f>VLOOKUP(Table8[[#This Row],[Mã khách hàng]],code_khach_hang[],2,0)</f>
        <v>CÔNG TY CỔ PHẦN DỊCH VỤ THƯƠNG MẠI TỔNG HỢP WINCOMMERCE</v>
      </c>
      <c r="G4930" s="16" t="str">
        <f>VLOOKUP(Table8[[#This Row],[Mã khách hàng]],code_khach_hang[],3,0)</f>
        <v>Miền Nam đặc biệt 1</v>
      </c>
      <c r="H4930" t="str">
        <f>VLOOKUP(Table8[[#This Row],[Mã khách hàng]],'Khách hàng'!A:D,4,0)</f>
        <v>Food Đức Việt</v>
      </c>
      <c r="I4930" t="str">
        <f>VLOOKUP(Table8[[#This Row],[Mã khách hàng]],'Khách hàng'!A:E,5,0)</f>
        <v>HCVG80</v>
      </c>
    </row>
    <row r="4931" spans="1:9" x14ac:dyDescent="0.25">
      <c r="A4931" s="14" t="s">
        <v>14280</v>
      </c>
      <c r="B4931" s="15" t="s">
        <v>183</v>
      </c>
      <c r="C4931" s="16" t="s">
        <v>15406</v>
      </c>
      <c r="D4931" s="21"/>
      <c r="E4931" s="32" t="s">
        <v>15668</v>
      </c>
      <c r="F4931" s="22" t="str">
        <f>VLOOKUP(Table8[[#This Row],[Mã khách hàng]],code_khach_hang[],2,0)</f>
        <v>CHI NHÁNH ĐỒNG NAI - CÔNG TY CỔ PHẦN DỊCH VỤ THƯƠNG MẠI TỔNG HỢP WINCOMMERCE</v>
      </c>
      <c r="G4931" s="16" t="str">
        <f>VLOOKUP(Table8[[#This Row],[Mã khách hàng]],code_khach_hang[],3,0)</f>
        <v>Miền Nam đặc biệt 3</v>
      </c>
      <c r="H4931" t="str">
        <f>VLOOKUP(Table8[[#This Row],[Mã khách hàng]],'Khách hàng'!A:D,4,0)</f>
        <v>Food Đức Việt</v>
      </c>
      <c r="I4931" t="str">
        <f>VLOOKUP(Table8[[#This Row],[Mã khách hàng]],'Khách hàng'!A:E,5,0)</f>
        <v>HCVG80</v>
      </c>
    </row>
    <row r="4932" spans="1:9" x14ac:dyDescent="0.25">
      <c r="A4932" s="14" t="s">
        <v>14281</v>
      </c>
      <c r="B4932" s="15" t="s">
        <v>183</v>
      </c>
      <c r="C4932" s="16" t="s">
        <v>15407</v>
      </c>
      <c r="D4932" s="21"/>
      <c r="E4932" s="32" t="s">
        <v>15668</v>
      </c>
      <c r="F4932" s="22" t="str">
        <f>VLOOKUP(Table8[[#This Row],[Mã khách hàng]],code_khach_hang[],2,0)</f>
        <v>CHI NHÁNH ĐỒNG NAI - CÔNG TY CỔ PHẦN DỊCH VỤ THƯƠNG MẠI TỔNG HỢP WINCOMMERCE</v>
      </c>
      <c r="G4932" s="16" t="str">
        <f>VLOOKUP(Table8[[#This Row],[Mã khách hàng]],code_khach_hang[],3,0)</f>
        <v>Miền Nam đặc biệt 3</v>
      </c>
      <c r="H4932" t="str">
        <f>VLOOKUP(Table8[[#This Row],[Mã khách hàng]],'Khách hàng'!A:D,4,0)</f>
        <v>Food Đức Việt</v>
      </c>
      <c r="I4932" t="str">
        <f>VLOOKUP(Table8[[#This Row],[Mã khách hàng]],'Khách hàng'!A:E,5,0)</f>
        <v>HCVG80</v>
      </c>
    </row>
    <row r="4933" spans="1:9" x14ac:dyDescent="0.25">
      <c r="A4933" s="14" t="s">
        <v>14282</v>
      </c>
      <c r="B4933" s="15" t="s">
        <v>183</v>
      </c>
      <c r="C4933" s="16" t="s">
        <v>15408</v>
      </c>
      <c r="D4933" s="21"/>
      <c r="E4933" s="32" t="s">
        <v>15668</v>
      </c>
      <c r="F4933" s="22" t="str">
        <f>VLOOKUP(Table8[[#This Row],[Mã khách hàng]],code_khach_hang[],2,0)</f>
        <v>CHI NHÁNH ĐỒNG NAI - CÔNG TY CỔ PHẦN DỊCH VỤ THƯƠNG MẠI TỔNG HỢP WINCOMMERCE</v>
      </c>
      <c r="G4933" s="16" t="str">
        <f>VLOOKUP(Table8[[#This Row],[Mã khách hàng]],code_khach_hang[],3,0)</f>
        <v>Miền Nam đặc biệt 3</v>
      </c>
      <c r="H4933" t="str">
        <f>VLOOKUP(Table8[[#This Row],[Mã khách hàng]],'Khách hàng'!A:D,4,0)</f>
        <v>Food Đức Việt</v>
      </c>
      <c r="I4933" t="str">
        <f>VLOOKUP(Table8[[#This Row],[Mã khách hàng]],'Khách hàng'!A:E,5,0)</f>
        <v>HCVG80</v>
      </c>
    </row>
    <row r="4934" spans="1:9" x14ac:dyDescent="0.25">
      <c r="A4934" s="14" t="s">
        <v>14283</v>
      </c>
      <c r="B4934" s="15" t="s">
        <v>183</v>
      </c>
      <c r="C4934" s="16" t="s">
        <v>15409</v>
      </c>
      <c r="D4934" s="21"/>
      <c r="E4934" s="32" t="s">
        <v>15668</v>
      </c>
      <c r="F4934" s="22" t="str">
        <f>VLOOKUP(Table8[[#This Row],[Mã khách hàng]],code_khach_hang[],2,0)</f>
        <v>CHI NHÁNH ĐỒNG NAI - CÔNG TY CỔ PHẦN DỊCH VỤ THƯƠNG MẠI TỔNG HỢP WINCOMMERCE</v>
      </c>
      <c r="G4934" s="16" t="str">
        <f>VLOOKUP(Table8[[#This Row],[Mã khách hàng]],code_khach_hang[],3,0)</f>
        <v>Miền Nam đặc biệt 3</v>
      </c>
      <c r="H4934" t="str">
        <f>VLOOKUP(Table8[[#This Row],[Mã khách hàng]],'Khách hàng'!A:D,4,0)</f>
        <v>Food Đức Việt</v>
      </c>
      <c r="I4934" t="str">
        <f>VLOOKUP(Table8[[#This Row],[Mã khách hàng]],'Khách hàng'!A:E,5,0)</f>
        <v>HCVG80</v>
      </c>
    </row>
    <row r="4935" spans="1:9" x14ac:dyDescent="0.25">
      <c r="A4935" s="14" t="s">
        <v>14284</v>
      </c>
      <c r="B4935" s="15" t="s">
        <v>183</v>
      </c>
      <c r="C4935" s="16" t="s">
        <v>15410</v>
      </c>
      <c r="D4935" s="21"/>
      <c r="E4935" s="32" t="s">
        <v>15667</v>
      </c>
      <c r="F4935" s="22" t="str">
        <f>VLOOKUP(Table8[[#This Row],[Mã khách hàng]],code_khach_hang[],2,0)</f>
        <v>CÔNG TY CỔ PHẦN DỊCH VỤ THƯƠNG MẠI TỔNG HỢP WINCOMMERCE</v>
      </c>
      <c r="G4935" s="16" t="str">
        <f>VLOOKUP(Table8[[#This Row],[Mã khách hàng]],code_khach_hang[],3,0)</f>
        <v>Miền Nam đặc biệt 1</v>
      </c>
      <c r="H4935" t="str">
        <f>VLOOKUP(Table8[[#This Row],[Mã khách hàng]],'Khách hàng'!A:D,4,0)</f>
        <v>Food Đức Việt</v>
      </c>
      <c r="I4935" t="str">
        <f>VLOOKUP(Table8[[#This Row],[Mã khách hàng]],'Khách hàng'!A:E,5,0)</f>
        <v>HCVG80</v>
      </c>
    </row>
    <row r="4936" spans="1:9" x14ac:dyDescent="0.25">
      <c r="A4936" s="14" t="s">
        <v>14285</v>
      </c>
      <c r="B4936" s="15" t="s">
        <v>183</v>
      </c>
      <c r="C4936" s="16" t="s">
        <v>15411</v>
      </c>
      <c r="D4936" s="21"/>
      <c r="E4936" s="32" t="s">
        <v>15667</v>
      </c>
      <c r="F4936" s="22" t="str">
        <f>VLOOKUP(Table8[[#This Row],[Mã khách hàng]],code_khach_hang[],2,0)</f>
        <v>CÔNG TY CỔ PHẦN DỊCH VỤ THƯƠNG MẠI TỔNG HỢP WINCOMMERCE</v>
      </c>
      <c r="G4936" s="16" t="str">
        <f>VLOOKUP(Table8[[#This Row],[Mã khách hàng]],code_khach_hang[],3,0)</f>
        <v>Miền Nam đặc biệt 1</v>
      </c>
      <c r="H4936" t="str">
        <f>VLOOKUP(Table8[[#This Row],[Mã khách hàng]],'Khách hàng'!A:D,4,0)</f>
        <v>Food Đức Việt</v>
      </c>
      <c r="I4936" t="str">
        <f>VLOOKUP(Table8[[#This Row],[Mã khách hàng]],'Khách hàng'!A:E,5,0)</f>
        <v>HCVG80</v>
      </c>
    </row>
    <row r="4937" spans="1:9" x14ac:dyDescent="0.25">
      <c r="A4937" s="14" t="s">
        <v>14286</v>
      </c>
      <c r="B4937" s="15" t="s">
        <v>183</v>
      </c>
      <c r="C4937" s="16" t="s">
        <v>15412</v>
      </c>
      <c r="D4937" s="21"/>
      <c r="E4937" s="32" t="s">
        <v>15667</v>
      </c>
      <c r="F4937" s="22" t="str">
        <f>VLOOKUP(Table8[[#This Row],[Mã khách hàng]],code_khach_hang[],2,0)</f>
        <v>CÔNG TY CỔ PHẦN DỊCH VỤ THƯƠNG MẠI TỔNG HỢP WINCOMMERCE</v>
      </c>
      <c r="G4937" s="16" t="str">
        <f>VLOOKUP(Table8[[#This Row],[Mã khách hàng]],code_khach_hang[],3,0)</f>
        <v>Miền Nam đặc biệt 1</v>
      </c>
      <c r="H4937" t="str">
        <f>VLOOKUP(Table8[[#This Row],[Mã khách hàng]],'Khách hàng'!A:D,4,0)</f>
        <v>Food Đức Việt</v>
      </c>
      <c r="I4937" t="str">
        <f>VLOOKUP(Table8[[#This Row],[Mã khách hàng]],'Khách hàng'!A:E,5,0)</f>
        <v>HCVG80</v>
      </c>
    </row>
    <row r="4938" spans="1:9" x14ac:dyDescent="0.25">
      <c r="A4938" s="14" t="s">
        <v>14287</v>
      </c>
      <c r="B4938" s="15" t="s">
        <v>183</v>
      </c>
      <c r="C4938" s="16" t="s">
        <v>15413</v>
      </c>
      <c r="D4938" s="21"/>
      <c r="E4938" s="32" t="s">
        <v>15667</v>
      </c>
      <c r="F4938" s="22" t="str">
        <f>VLOOKUP(Table8[[#This Row],[Mã khách hàng]],code_khach_hang[],2,0)</f>
        <v>CÔNG TY CỔ PHẦN DỊCH VỤ THƯƠNG MẠI TỔNG HỢP WINCOMMERCE</v>
      </c>
      <c r="G4938" s="16" t="str">
        <f>VLOOKUP(Table8[[#This Row],[Mã khách hàng]],code_khach_hang[],3,0)</f>
        <v>Miền Nam đặc biệt 1</v>
      </c>
      <c r="H4938" t="str">
        <f>VLOOKUP(Table8[[#This Row],[Mã khách hàng]],'Khách hàng'!A:D,4,0)</f>
        <v>Food Đức Việt</v>
      </c>
      <c r="I4938" t="str">
        <f>VLOOKUP(Table8[[#This Row],[Mã khách hàng]],'Khách hàng'!A:E,5,0)</f>
        <v>HCVG80</v>
      </c>
    </row>
    <row r="4939" spans="1:9" x14ac:dyDescent="0.25">
      <c r="A4939" s="14" t="s">
        <v>14288</v>
      </c>
      <c r="B4939" s="15" t="s">
        <v>183</v>
      </c>
      <c r="C4939" s="16" t="s">
        <v>15414</v>
      </c>
      <c r="D4939" s="21"/>
      <c r="E4939" s="32" t="s">
        <v>15668</v>
      </c>
      <c r="F4939" s="22" t="str">
        <f>VLOOKUP(Table8[[#This Row],[Mã khách hàng]],code_khach_hang[],2,0)</f>
        <v>CHI NHÁNH ĐỒNG NAI - CÔNG TY CỔ PHẦN DỊCH VỤ THƯƠNG MẠI TỔNG HỢP WINCOMMERCE</v>
      </c>
      <c r="G4939" s="16" t="str">
        <f>VLOOKUP(Table8[[#This Row],[Mã khách hàng]],code_khach_hang[],3,0)</f>
        <v>Miền Nam đặc biệt 3</v>
      </c>
      <c r="H4939" t="str">
        <f>VLOOKUP(Table8[[#This Row],[Mã khách hàng]],'Khách hàng'!A:D,4,0)</f>
        <v>Food Đức Việt</v>
      </c>
      <c r="I4939" t="str">
        <f>VLOOKUP(Table8[[#This Row],[Mã khách hàng]],'Khách hàng'!A:E,5,0)</f>
        <v>HCVG80</v>
      </c>
    </row>
    <row r="4940" spans="1:9" x14ac:dyDescent="0.25">
      <c r="A4940" s="14" t="s">
        <v>14289</v>
      </c>
      <c r="B4940" s="15" t="s">
        <v>183</v>
      </c>
      <c r="C4940" s="16" t="s">
        <v>15415</v>
      </c>
      <c r="D4940" s="21"/>
      <c r="E4940" s="32" t="s">
        <v>15667</v>
      </c>
      <c r="F4940" s="22" t="str">
        <f>VLOOKUP(Table8[[#This Row],[Mã khách hàng]],code_khach_hang[],2,0)</f>
        <v>CÔNG TY CỔ PHẦN DỊCH VỤ THƯƠNG MẠI TỔNG HỢP WINCOMMERCE</v>
      </c>
      <c r="G4940" s="16" t="str">
        <f>VLOOKUP(Table8[[#This Row],[Mã khách hàng]],code_khach_hang[],3,0)</f>
        <v>Miền Nam đặc biệt 1</v>
      </c>
      <c r="H4940" t="str">
        <f>VLOOKUP(Table8[[#This Row],[Mã khách hàng]],'Khách hàng'!A:D,4,0)</f>
        <v>Food Đức Việt</v>
      </c>
      <c r="I4940" t="str">
        <f>VLOOKUP(Table8[[#This Row],[Mã khách hàng]],'Khách hàng'!A:E,5,0)</f>
        <v>HCVG80</v>
      </c>
    </row>
    <row r="4941" spans="1:9" x14ac:dyDescent="0.25">
      <c r="A4941" s="14" t="s">
        <v>14290</v>
      </c>
      <c r="B4941" s="15" t="s">
        <v>183</v>
      </c>
      <c r="C4941" s="16" t="s">
        <v>15416</v>
      </c>
      <c r="D4941" s="21"/>
      <c r="E4941" s="32" t="s">
        <v>15667</v>
      </c>
      <c r="F4941" s="22" t="str">
        <f>VLOOKUP(Table8[[#This Row],[Mã khách hàng]],code_khach_hang[],2,0)</f>
        <v>CÔNG TY CỔ PHẦN DỊCH VỤ THƯƠNG MẠI TỔNG HỢP WINCOMMERCE</v>
      </c>
      <c r="G4941" s="16" t="str">
        <f>VLOOKUP(Table8[[#This Row],[Mã khách hàng]],code_khach_hang[],3,0)</f>
        <v>Miền Nam đặc biệt 1</v>
      </c>
      <c r="H4941" t="str">
        <f>VLOOKUP(Table8[[#This Row],[Mã khách hàng]],'Khách hàng'!A:D,4,0)</f>
        <v>Food Đức Việt</v>
      </c>
      <c r="I4941" t="str">
        <f>VLOOKUP(Table8[[#This Row],[Mã khách hàng]],'Khách hàng'!A:E,5,0)</f>
        <v>HCVG80</v>
      </c>
    </row>
    <row r="4942" spans="1:9" x14ac:dyDescent="0.25">
      <c r="A4942" s="14" t="s">
        <v>14291</v>
      </c>
      <c r="B4942" s="15" t="s">
        <v>183</v>
      </c>
      <c r="C4942" s="16" t="s">
        <v>15417</v>
      </c>
      <c r="D4942" s="21"/>
      <c r="E4942" s="32" t="s">
        <v>15667</v>
      </c>
      <c r="F4942" s="22" t="str">
        <f>VLOOKUP(Table8[[#This Row],[Mã khách hàng]],code_khach_hang[],2,0)</f>
        <v>CÔNG TY CỔ PHẦN DỊCH VỤ THƯƠNG MẠI TỔNG HỢP WINCOMMERCE</v>
      </c>
      <c r="G4942" s="16" t="str">
        <f>VLOOKUP(Table8[[#This Row],[Mã khách hàng]],code_khach_hang[],3,0)</f>
        <v>Miền Nam đặc biệt 1</v>
      </c>
      <c r="H4942" t="str">
        <f>VLOOKUP(Table8[[#This Row],[Mã khách hàng]],'Khách hàng'!A:D,4,0)</f>
        <v>Food Đức Việt</v>
      </c>
      <c r="I4942" t="str">
        <f>VLOOKUP(Table8[[#This Row],[Mã khách hàng]],'Khách hàng'!A:E,5,0)</f>
        <v>HCVG80</v>
      </c>
    </row>
    <row r="4943" spans="1:9" x14ac:dyDescent="0.25">
      <c r="A4943" s="14" t="s">
        <v>14292</v>
      </c>
      <c r="B4943" s="15" t="s">
        <v>183</v>
      </c>
      <c r="C4943" s="16" t="s">
        <v>15418</v>
      </c>
      <c r="D4943" s="21"/>
      <c r="E4943" s="32" t="s">
        <v>15667</v>
      </c>
      <c r="F4943" s="22" t="str">
        <f>VLOOKUP(Table8[[#This Row],[Mã khách hàng]],code_khach_hang[],2,0)</f>
        <v>CÔNG TY CỔ PHẦN DỊCH VỤ THƯƠNG MẠI TỔNG HỢP WINCOMMERCE</v>
      </c>
      <c r="G4943" s="16" t="str">
        <f>VLOOKUP(Table8[[#This Row],[Mã khách hàng]],code_khach_hang[],3,0)</f>
        <v>Miền Nam đặc biệt 1</v>
      </c>
      <c r="H4943" t="str">
        <f>VLOOKUP(Table8[[#This Row],[Mã khách hàng]],'Khách hàng'!A:D,4,0)</f>
        <v>Food Đức Việt</v>
      </c>
      <c r="I4943" t="str">
        <f>VLOOKUP(Table8[[#This Row],[Mã khách hàng]],'Khách hàng'!A:E,5,0)</f>
        <v>HCVG80</v>
      </c>
    </row>
    <row r="4944" spans="1:9" x14ac:dyDescent="0.25">
      <c r="A4944" s="14" t="s">
        <v>14293</v>
      </c>
      <c r="B4944" s="15" t="s">
        <v>183</v>
      </c>
      <c r="C4944" s="16" t="s">
        <v>15419</v>
      </c>
      <c r="D4944" s="21"/>
      <c r="E4944" s="32" t="s">
        <v>15667</v>
      </c>
      <c r="F4944" s="22" t="str">
        <f>VLOOKUP(Table8[[#This Row],[Mã khách hàng]],code_khach_hang[],2,0)</f>
        <v>CÔNG TY CỔ PHẦN DỊCH VỤ THƯƠNG MẠI TỔNG HỢP WINCOMMERCE</v>
      </c>
      <c r="G4944" s="16" t="str">
        <f>VLOOKUP(Table8[[#This Row],[Mã khách hàng]],code_khach_hang[],3,0)</f>
        <v>Miền Nam đặc biệt 1</v>
      </c>
      <c r="H4944" t="str">
        <f>VLOOKUP(Table8[[#This Row],[Mã khách hàng]],'Khách hàng'!A:D,4,0)</f>
        <v>Food Đức Việt</v>
      </c>
      <c r="I4944" t="str">
        <f>VLOOKUP(Table8[[#This Row],[Mã khách hàng]],'Khách hàng'!A:E,5,0)</f>
        <v>HCVG80</v>
      </c>
    </row>
    <row r="4945" spans="1:9" x14ac:dyDescent="0.25">
      <c r="A4945" s="14" t="s">
        <v>14294</v>
      </c>
      <c r="B4945" s="15" t="s">
        <v>183</v>
      </c>
      <c r="C4945" s="16" t="s">
        <v>15420</v>
      </c>
      <c r="D4945" s="21"/>
      <c r="E4945" s="32" t="s">
        <v>15667</v>
      </c>
      <c r="F4945" s="22" t="str">
        <f>VLOOKUP(Table8[[#This Row],[Mã khách hàng]],code_khach_hang[],2,0)</f>
        <v>CÔNG TY CỔ PHẦN DỊCH VỤ THƯƠNG MẠI TỔNG HỢP WINCOMMERCE</v>
      </c>
      <c r="G4945" s="16" t="str">
        <f>VLOOKUP(Table8[[#This Row],[Mã khách hàng]],code_khach_hang[],3,0)</f>
        <v>Miền Nam đặc biệt 1</v>
      </c>
      <c r="H4945" t="str">
        <f>VLOOKUP(Table8[[#This Row],[Mã khách hàng]],'Khách hàng'!A:D,4,0)</f>
        <v>Food Đức Việt</v>
      </c>
      <c r="I4945" t="str">
        <f>VLOOKUP(Table8[[#This Row],[Mã khách hàng]],'Khách hàng'!A:E,5,0)</f>
        <v>HCVG80</v>
      </c>
    </row>
    <row r="4946" spans="1:9" x14ac:dyDescent="0.25">
      <c r="A4946" s="14" t="s">
        <v>14295</v>
      </c>
      <c r="B4946" s="15" t="s">
        <v>183</v>
      </c>
      <c r="C4946" s="16" t="s">
        <v>15421</v>
      </c>
      <c r="D4946" s="21"/>
      <c r="E4946" s="32" t="s">
        <v>15667</v>
      </c>
      <c r="F4946" s="22" t="str">
        <f>VLOOKUP(Table8[[#This Row],[Mã khách hàng]],code_khach_hang[],2,0)</f>
        <v>CÔNG TY CỔ PHẦN DỊCH VỤ THƯƠNG MẠI TỔNG HỢP WINCOMMERCE</v>
      </c>
      <c r="G4946" s="16" t="str">
        <f>VLOOKUP(Table8[[#This Row],[Mã khách hàng]],code_khach_hang[],3,0)</f>
        <v>Miền Nam đặc biệt 1</v>
      </c>
      <c r="H4946" t="str">
        <f>VLOOKUP(Table8[[#This Row],[Mã khách hàng]],'Khách hàng'!A:D,4,0)</f>
        <v>Food Đức Việt</v>
      </c>
      <c r="I4946" t="str">
        <f>VLOOKUP(Table8[[#This Row],[Mã khách hàng]],'Khách hàng'!A:E,5,0)</f>
        <v>HCVG80</v>
      </c>
    </row>
    <row r="4947" spans="1:9" x14ac:dyDescent="0.25">
      <c r="A4947" s="14" t="s">
        <v>14296</v>
      </c>
      <c r="B4947" s="15" t="s">
        <v>183</v>
      </c>
      <c r="C4947" s="16" t="s">
        <v>15422</v>
      </c>
      <c r="D4947" s="21"/>
      <c r="E4947" s="32" t="s">
        <v>15667</v>
      </c>
      <c r="F4947" s="22" t="str">
        <f>VLOOKUP(Table8[[#This Row],[Mã khách hàng]],code_khach_hang[],2,0)</f>
        <v>CÔNG TY CỔ PHẦN DỊCH VỤ THƯƠNG MẠI TỔNG HỢP WINCOMMERCE</v>
      </c>
      <c r="G4947" s="16" t="str">
        <f>VLOOKUP(Table8[[#This Row],[Mã khách hàng]],code_khach_hang[],3,0)</f>
        <v>Miền Nam đặc biệt 1</v>
      </c>
      <c r="H4947" t="str">
        <f>VLOOKUP(Table8[[#This Row],[Mã khách hàng]],'Khách hàng'!A:D,4,0)</f>
        <v>Food Đức Việt</v>
      </c>
      <c r="I4947" t="str">
        <f>VLOOKUP(Table8[[#This Row],[Mã khách hàng]],'Khách hàng'!A:E,5,0)</f>
        <v>HCVG80</v>
      </c>
    </row>
    <row r="4948" spans="1:9" x14ac:dyDescent="0.25">
      <c r="A4948" s="14" t="s">
        <v>14297</v>
      </c>
      <c r="B4948" s="15" t="s">
        <v>183</v>
      </c>
      <c r="C4948" s="16" t="s">
        <v>15423</v>
      </c>
      <c r="D4948" s="21"/>
      <c r="E4948" s="32" t="s">
        <v>15667</v>
      </c>
      <c r="F4948" s="22" t="str">
        <f>VLOOKUP(Table8[[#This Row],[Mã khách hàng]],code_khach_hang[],2,0)</f>
        <v>CÔNG TY CỔ PHẦN DỊCH VỤ THƯƠNG MẠI TỔNG HỢP WINCOMMERCE</v>
      </c>
      <c r="G4948" s="16" t="str">
        <f>VLOOKUP(Table8[[#This Row],[Mã khách hàng]],code_khach_hang[],3,0)</f>
        <v>Miền Nam đặc biệt 1</v>
      </c>
      <c r="H4948" t="str">
        <f>VLOOKUP(Table8[[#This Row],[Mã khách hàng]],'Khách hàng'!A:D,4,0)</f>
        <v>Food Đức Việt</v>
      </c>
      <c r="I4948" t="str">
        <f>VLOOKUP(Table8[[#This Row],[Mã khách hàng]],'Khách hàng'!A:E,5,0)</f>
        <v>HCVG80</v>
      </c>
    </row>
    <row r="4949" spans="1:9" x14ac:dyDescent="0.25">
      <c r="A4949" s="14" t="s">
        <v>14298</v>
      </c>
      <c r="B4949" s="15" t="s">
        <v>183</v>
      </c>
      <c r="C4949" s="16" t="s">
        <v>15424</v>
      </c>
      <c r="D4949" s="21"/>
      <c r="E4949" s="32" t="s">
        <v>15667</v>
      </c>
      <c r="F4949" s="22" t="str">
        <f>VLOOKUP(Table8[[#This Row],[Mã khách hàng]],code_khach_hang[],2,0)</f>
        <v>CÔNG TY CỔ PHẦN DỊCH VỤ THƯƠNG MẠI TỔNG HỢP WINCOMMERCE</v>
      </c>
      <c r="G4949" s="16" t="str">
        <f>VLOOKUP(Table8[[#This Row],[Mã khách hàng]],code_khach_hang[],3,0)</f>
        <v>Miền Nam đặc biệt 1</v>
      </c>
      <c r="H4949" t="str">
        <f>VLOOKUP(Table8[[#This Row],[Mã khách hàng]],'Khách hàng'!A:D,4,0)</f>
        <v>Food Đức Việt</v>
      </c>
      <c r="I4949" t="str">
        <f>VLOOKUP(Table8[[#This Row],[Mã khách hàng]],'Khách hàng'!A:E,5,0)</f>
        <v>HCVG80</v>
      </c>
    </row>
    <row r="4950" spans="1:9" x14ac:dyDescent="0.25">
      <c r="A4950" s="14" t="s">
        <v>14299</v>
      </c>
      <c r="B4950" s="15" t="s">
        <v>183</v>
      </c>
      <c r="C4950" s="16" t="s">
        <v>15425</v>
      </c>
      <c r="D4950" s="21"/>
      <c r="E4950" s="32" t="s">
        <v>15667</v>
      </c>
      <c r="F4950" s="22" t="str">
        <f>VLOOKUP(Table8[[#This Row],[Mã khách hàng]],code_khach_hang[],2,0)</f>
        <v>CÔNG TY CỔ PHẦN DỊCH VỤ THƯƠNG MẠI TỔNG HỢP WINCOMMERCE</v>
      </c>
      <c r="G4950" s="16" t="str">
        <f>VLOOKUP(Table8[[#This Row],[Mã khách hàng]],code_khach_hang[],3,0)</f>
        <v>Miền Nam đặc biệt 1</v>
      </c>
      <c r="H4950" t="str">
        <f>VLOOKUP(Table8[[#This Row],[Mã khách hàng]],'Khách hàng'!A:D,4,0)</f>
        <v>Food Đức Việt</v>
      </c>
      <c r="I4950" t="str">
        <f>VLOOKUP(Table8[[#This Row],[Mã khách hàng]],'Khách hàng'!A:E,5,0)</f>
        <v>HCVG80</v>
      </c>
    </row>
    <row r="4951" spans="1:9" x14ac:dyDescent="0.25">
      <c r="A4951" s="14" t="s">
        <v>14300</v>
      </c>
      <c r="B4951" s="15" t="s">
        <v>183</v>
      </c>
      <c r="C4951" s="16" t="s">
        <v>15426</v>
      </c>
      <c r="D4951" s="21"/>
      <c r="E4951" s="32" t="s">
        <v>15667</v>
      </c>
      <c r="F4951" s="22" t="str">
        <f>VLOOKUP(Table8[[#This Row],[Mã khách hàng]],code_khach_hang[],2,0)</f>
        <v>CÔNG TY CỔ PHẦN DỊCH VỤ THƯƠNG MẠI TỔNG HỢP WINCOMMERCE</v>
      </c>
      <c r="G4951" s="16" t="str">
        <f>VLOOKUP(Table8[[#This Row],[Mã khách hàng]],code_khach_hang[],3,0)</f>
        <v>Miền Nam đặc biệt 1</v>
      </c>
      <c r="H4951" t="str">
        <f>VLOOKUP(Table8[[#This Row],[Mã khách hàng]],'Khách hàng'!A:D,4,0)</f>
        <v>Food Đức Việt</v>
      </c>
      <c r="I4951" t="str">
        <f>VLOOKUP(Table8[[#This Row],[Mã khách hàng]],'Khách hàng'!A:E,5,0)</f>
        <v>HCVG80</v>
      </c>
    </row>
    <row r="4952" spans="1:9" x14ac:dyDescent="0.25">
      <c r="A4952" s="14" t="s">
        <v>14301</v>
      </c>
      <c r="B4952" s="15" t="s">
        <v>183</v>
      </c>
      <c r="C4952" s="16" t="s">
        <v>15427</v>
      </c>
      <c r="D4952" s="21"/>
      <c r="E4952" s="32" t="s">
        <v>15667</v>
      </c>
      <c r="F4952" s="22" t="str">
        <f>VLOOKUP(Table8[[#This Row],[Mã khách hàng]],code_khach_hang[],2,0)</f>
        <v>CÔNG TY CỔ PHẦN DỊCH VỤ THƯƠNG MẠI TỔNG HỢP WINCOMMERCE</v>
      </c>
      <c r="G4952" s="16" t="str">
        <f>VLOOKUP(Table8[[#This Row],[Mã khách hàng]],code_khach_hang[],3,0)</f>
        <v>Miền Nam đặc biệt 1</v>
      </c>
      <c r="H4952" t="str">
        <f>VLOOKUP(Table8[[#This Row],[Mã khách hàng]],'Khách hàng'!A:D,4,0)</f>
        <v>Food Đức Việt</v>
      </c>
      <c r="I4952" t="str">
        <f>VLOOKUP(Table8[[#This Row],[Mã khách hàng]],'Khách hàng'!A:E,5,0)</f>
        <v>HCVG80</v>
      </c>
    </row>
    <row r="4953" spans="1:9" x14ac:dyDescent="0.25">
      <c r="A4953" s="14" t="s">
        <v>14302</v>
      </c>
      <c r="B4953" s="15" t="s">
        <v>183</v>
      </c>
      <c r="C4953" s="16" t="s">
        <v>15428</v>
      </c>
      <c r="D4953" s="21"/>
      <c r="E4953" s="32" t="s">
        <v>15667</v>
      </c>
      <c r="F4953" s="22" t="str">
        <f>VLOOKUP(Table8[[#This Row],[Mã khách hàng]],code_khach_hang[],2,0)</f>
        <v>CÔNG TY CỔ PHẦN DỊCH VỤ THƯƠNG MẠI TỔNG HỢP WINCOMMERCE</v>
      </c>
      <c r="G4953" s="16" t="str">
        <f>VLOOKUP(Table8[[#This Row],[Mã khách hàng]],code_khach_hang[],3,0)</f>
        <v>Miền Nam đặc biệt 1</v>
      </c>
      <c r="H4953" t="str">
        <f>VLOOKUP(Table8[[#This Row],[Mã khách hàng]],'Khách hàng'!A:D,4,0)</f>
        <v>Food Đức Việt</v>
      </c>
      <c r="I4953" t="str">
        <f>VLOOKUP(Table8[[#This Row],[Mã khách hàng]],'Khách hàng'!A:E,5,0)</f>
        <v>HCVG80</v>
      </c>
    </row>
    <row r="4954" spans="1:9" x14ac:dyDescent="0.25">
      <c r="A4954" s="14" t="s">
        <v>14303</v>
      </c>
      <c r="B4954" s="15" t="s">
        <v>183</v>
      </c>
      <c r="C4954" s="16" t="s">
        <v>15429</v>
      </c>
      <c r="D4954" s="21"/>
      <c r="E4954" s="32" t="s">
        <v>15668</v>
      </c>
      <c r="F4954" s="22" t="str">
        <f>VLOOKUP(Table8[[#This Row],[Mã khách hàng]],code_khach_hang[],2,0)</f>
        <v>CHI NHÁNH ĐỒNG NAI - CÔNG TY CỔ PHẦN DỊCH VỤ THƯƠNG MẠI TỔNG HỢP WINCOMMERCE</v>
      </c>
      <c r="G4954" s="16" t="str">
        <f>VLOOKUP(Table8[[#This Row],[Mã khách hàng]],code_khach_hang[],3,0)</f>
        <v>Miền Nam đặc biệt 3</v>
      </c>
      <c r="H4954" t="str">
        <f>VLOOKUP(Table8[[#This Row],[Mã khách hàng]],'Khách hàng'!A:D,4,0)</f>
        <v>Food Đức Việt</v>
      </c>
      <c r="I4954" t="str">
        <f>VLOOKUP(Table8[[#This Row],[Mã khách hàng]],'Khách hàng'!A:E,5,0)</f>
        <v>HCVG80</v>
      </c>
    </row>
    <row r="4955" spans="1:9" x14ac:dyDescent="0.25">
      <c r="A4955" s="14" t="s">
        <v>14304</v>
      </c>
      <c r="B4955" s="15" t="s">
        <v>183</v>
      </c>
      <c r="C4955" s="16" t="s">
        <v>15430</v>
      </c>
      <c r="D4955" s="21"/>
      <c r="E4955" s="32" t="s">
        <v>15667</v>
      </c>
      <c r="F4955" s="22" t="str">
        <f>VLOOKUP(Table8[[#This Row],[Mã khách hàng]],code_khach_hang[],2,0)</f>
        <v>CÔNG TY CỔ PHẦN DỊCH VỤ THƯƠNG MẠI TỔNG HỢP WINCOMMERCE</v>
      </c>
      <c r="G4955" s="16" t="str">
        <f>VLOOKUP(Table8[[#This Row],[Mã khách hàng]],code_khach_hang[],3,0)</f>
        <v>Miền Nam đặc biệt 1</v>
      </c>
      <c r="H4955" t="str">
        <f>VLOOKUP(Table8[[#This Row],[Mã khách hàng]],'Khách hàng'!A:D,4,0)</f>
        <v>Food Đức Việt</v>
      </c>
      <c r="I4955" t="str">
        <f>VLOOKUP(Table8[[#This Row],[Mã khách hàng]],'Khách hàng'!A:E,5,0)</f>
        <v>HCVG80</v>
      </c>
    </row>
    <row r="4956" spans="1:9" x14ac:dyDescent="0.25">
      <c r="A4956" s="14" t="s">
        <v>14305</v>
      </c>
      <c r="B4956" s="15" t="s">
        <v>183</v>
      </c>
      <c r="C4956" s="16" t="s">
        <v>15431</v>
      </c>
      <c r="D4956" s="21"/>
      <c r="E4956" s="32" t="s">
        <v>15667</v>
      </c>
      <c r="F4956" s="22" t="str">
        <f>VLOOKUP(Table8[[#This Row],[Mã khách hàng]],code_khach_hang[],2,0)</f>
        <v>CÔNG TY CỔ PHẦN DỊCH VỤ THƯƠNG MẠI TỔNG HỢP WINCOMMERCE</v>
      </c>
      <c r="G4956" s="16" t="str">
        <f>VLOOKUP(Table8[[#This Row],[Mã khách hàng]],code_khach_hang[],3,0)</f>
        <v>Miền Nam đặc biệt 1</v>
      </c>
      <c r="H4956" t="str">
        <f>VLOOKUP(Table8[[#This Row],[Mã khách hàng]],'Khách hàng'!A:D,4,0)</f>
        <v>Food Đức Việt</v>
      </c>
      <c r="I4956" t="str">
        <f>VLOOKUP(Table8[[#This Row],[Mã khách hàng]],'Khách hàng'!A:E,5,0)</f>
        <v>HCVG80</v>
      </c>
    </row>
    <row r="4957" spans="1:9" x14ac:dyDescent="0.25">
      <c r="A4957" s="14" t="s">
        <v>14306</v>
      </c>
      <c r="B4957" s="15" t="s">
        <v>183</v>
      </c>
      <c r="C4957" s="16" t="s">
        <v>15432</v>
      </c>
      <c r="D4957" s="21"/>
      <c r="E4957" s="32" t="s">
        <v>15667</v>
      </c>
      <c r="F4957" s="22" t="str">
        <f>VLOOKUP(Table8[[#This Row],[Mã khách hàng]],code_khach_hang[],2,0)</f>
        <v>CÔNG TY CỔ PHẦN DỊCH VỤ THƯƠNG MẠI TỔNG HỢP WINCOMMERCE</v>
      </c>
      <c r="G4957" s="16" t="str">
        <f>VLOOKUP(Table8[[#This Row],[Mã khách hàng]],code_khach_hang[],3,0)</f>
        <v>Miền Nam đặc biệt 1</v>
      </c>
      <c r="H4957" t="str">
        <f>VLOOKUP(Table8[[#This Row],[Mã khách hàng]],'Khách hàng'!A:D,4,0)</f>
        <v>Food Đức Việt</v>
      </c>
      <c r="I4957" t="str">
        <f>VLOOKUP(Table8[[#This Row],[Mã khách hàng]],'Khách hàng'!A:E,5,0)</f>
        <v>HCVG80</v>
      </c>
    </row>
    <row r="4958" spans="1:9" x14ac:dyDescent="0.25">
      <c r="A4958" s="14" t="s">
        <v>14307</v>
      </c>
      <c r="B4958" s="15" t="s">
        <v>183</v>
      </c>
      <c r="C4958" s="16" t="s">
        <v>15433</v>
      </c>
      <c r="D4958" s="21"/>
      <c r="E4958" s="32" t="s">
        <v>15667</v>
      </c>
      <c r="F4958" s="22" t="str">
        <f>VLOOKUP(Table8[[#This Row],[Mã khách hàng]],code_khach_hang[],2,0)</f>
        <v>CÔNG TY CỔ PHẦN DỊCH VỤ THƯƠNG MẠI TỔNG HỢP WINCOMMERCE</v>
      </c>
      <c r="G4958" s="16" t="str">
        <f>VLOOKUP(Table8[[#This Row],[Mã khách hàng]],code_khach_hang[],3,0)</f>
        <v>Miền Nam đặc biệt 1</v>
      </c>
      <c r="H4958" t="str">
        <f>VLOOKUP(Table8[[#This Row],[Mã khách hàng]],'Khách hàng'!A:D,4,0)</f>
        <v>Food Đức Việt</v>
      </c>
      <c r="I4958" t="str">
        <f>VLOOKUP(Table8[[#This Row],[Mã khách hàng]],'Khách hàng'!A:E,5,0)</f>
        <v>HCVG80</v>
      </c>
    </row>
    <row r="4959" spans="1:9" x14ac:dyDescent="0.25">
      <c r="A4959" s="14" t="s">
        <v>14308</v>
      </c>
      <c r="B4959" s="15" t="s">
        <v>183</v>
      </c>
      <c r="C4959" s="16" t="s">
        <v>15434</v>
      </c>
      <c r="D4959" s="21"/>
      <c r="E4959" s="32" t="s">
        <v>15667</v>
      </c>
      <c r="F4959" s="22" t="str">
        <f>VLOOKUP(Table8[[#This Row],[Mã khách hàng]],code_khach_hang[],2,0)</f>
        <v>CÔNG TY CỔ PHẦN DỊCH VỤ THƯƠNG MẠI TỔNG HỢP WINCOMMERCE</v>
      </c>
      <c r="G4959" s="16" t="str">
        <f>VLOOKUP(Table8[[#This Row],[Mã khách hàng]],code_khach_hang[],3,0)</f>
        <v>Miền Nam đặc biệt 1</v>
      </c>
      <c r="H4959" t="str">
        <f>VLOOKUP(Table8[[#This Row],[Mã khách hàng]],'Khách hàng'!A:D,4,0)</f>
        <v>Food Đức Việt</v>
      </c>
      <c r="I4959" t="str">
        <f>VLOOKUP(Table8[[#This Row],[Mã khách hàng]],'Khách hàng'!A:E,5,0)</f>
        <v>HCVG80</v>
      </c>
    </row>
    <row r="4960" spans="1:9" x14ac:dyDescent="0.25">
      <c r="A4960" s="14" t="s">
        <v>14309</v>
      </c>
      <c r="B4960" s="15" t="s">
        <v>183</v>
      </c>
      <c r="C4960" s="16" t="s">
        <v>15435</v>
      </c>
      <c r="D4960" s="21"/>
      <c r="E4960" s="32" t="s">
        <v>15667</v>
      </c>
      <c r="F4960" s="22" t="str">
        <f>VLOOKUP(Table8[[#This Row],[Mã khách hàng]],code_khach_hang[],2,0)</f>
        <v>CÔNG TY CỔ PHẦN DỊCH VỤ THƯƠNG MẠI TỔNG HỢP WINCOMMERCE</v>
      </c>
      <c r="G4960" s="16" t="str">
        <f>VLOOKUP(Table8[[#This Row],[Mã khách hàng]],code_khach_hang[],3,0)</f>
        <v>Miền Nam đặc biệt 1</v>
      </c>
      <c r="H4960" t="str">
        <f>VLOOKUP(Table8[[#This Row],[Mã khách hàng]],'Khách hàng'!A:D,4,0)</f>
        <v>Food Đức Việt</v>
      </c>
      <c r="I4960" t="str">
        <f>VLOOKUP(Table8[[#This Row],[Mã khách hàng]],'Khách hàng'!A:E,5,0)</f>
        <v>HCVG80</v>
      </c>
    </row>
    <row r="4961" spans="1:9" x14ac:dyDescent="0.25">
      <c r="A4961" s="14" t="s">
        <v>14310</v>
      </c>
      <c r="B4961" s="15" t="s">
        <v>183</v>
      </c>
      <c r="C4961" s="16" t="s">
        <v>15436</v>
      </c>
      <c r="D4961" s="21"/>
      <c r="E4961" s="32" t="s">
        <v>15667</v>
      </c>
      <c r="F4961" s="22" t="str">
        <f>VLOOKUP(Table8[[#This Row],[Mã khách hàng]],code_khach_hang[],2,0)</f>
        <v>CÔNG TY CỔ PHẦN DỊCH VỤ THƯƠNG MẠI TỔNG HỢP WINCOMMERCE</v>
      </c>
      <c r="G4961" s="16" t="str">
        <f>VLOOKUP(Table8[[#This Row],[Mã khách hàng]],code_khach_hang[],3,0)</f>
        <v>Miền Nam đặc biệt 1</v>
      </c>
      <c r="H4961" t="str">
        <f>VLOOKUP(Table8[[#This Row],[Mã khách hàng]],'Khách hàng'!A:D,4,0)</f>
        <v>Food Đức Việt</v>
      </c>
      <c r="I4961" t="str">
        <f>VLOOKUP(Table8[[#This Row],[Mã khách hàng]],'Khách hàng'!A:E,5,0)</f>
        <v>HCVG80</v>
      </c>
    </row>
    <row r="4962" spans="1:9" x14ac:dyDescent="0.25">
      <c r="A4962" s="14" t="s">
        <v>14311</v>
      </c>
      <c r="B4962" s="15" t="s">
        <v>183</v>
      </c>
      <c r="C4962" s="16" t="s">
        <v>15437</v>
      </c>
      <c r="D4962" s="21"/>
      <c r="E4962" s="32" t="s">
        <v>15667</v>
      </c>
      <c r="F4962" s="22" t="str">
        <f>VLOOKUP(Table8[[#This Row],[Mã khách hàng]],code_khach_hang[],2,0)</f>
        <v>CÔNG TY CỔ PHẦN DỊCH VỤ THƯƠNG MẠI TỔNG HỢP WINCOMMERCE</v>
      </c>
      <c r="G4962" s="16" t="str">
        <f>VLOOKUP(Table8[[#This Row],[Mã khách hàng]],code_khach_hang[],3,0)</f>
        <v>Miền Nam đặc biệt 1</v>
      </c>
      <c r="H4962" t="str">
        <f>VLOOKUP(Table8[[#This Row],[Mã khách hàng]],'Khách hàng'!A:D,4,0)</f>
        <v>Food Đức Việt</v>
      </c>
      <c r="I4962" t="str">
        <f>VLOOKUP(Table8[[#This Row],[Mã khách hàng]],'Khách hàng'!A:E,5,0)</f>
        <v>HCVG80</v>
      </c>
    </row>
    <row r="4963" spans="1:9" x14ac:dyDescent="0.25">
      <c r="A4963" s="14" t="s">
        <v>14312</v>
      </c>
      <c r="B4963" s="15" t="s">
        <v>183</v>
      </c>
      <c r="C4963" s="16" t="s">
        <v>15438</v>
      </c>
      <c r="D4963" s="21"/>
      <c r="E4963" s="32" t="s">
        <v>15667</v>
      </c>
      <c r="F4963" s="22" t="str">
        <f>VLOOKUP(Table8[[#This Row],[Mã khách hàng]],code_khach_hang[],2,0)</f>
        <v>CÔNG TY CỔ PHẦN DỊCH VỤ THƯƠNG MẠI TỔNG HỢP WINCOMMERCE</v>
      </c>
      <c r="G4963" s="16" t="str">
        <f>VLOOKUP(Table8[[#This Row],[Mã khách hàng]],code_khach_hang[],3,0)</f>
        <v>Miền Nam đặc biệt 1</v>
      </c>
      <c r="H4963" t="str">
        <f>VLOOKUP(Table8[[#This Row],[Mã khách hàng]],'Khách hàng'!A:D,4,0)</f>
        <v>Food Đức Việt</v>
      </c>
      <c r="I4963" t="str">
        <f>VLOOKUP(Table8[[#This Row],[Mã khách hàng]],'Khách hàng'!A:E,5,0)</f>
        <v>HCVG80</v>
      </c>
    </row>
    <row r="4964" spans="1:9" x14ac:dyDescent="0.25">
      <c r="A4964" s="14" t="s">
        <v>14313</v>
      </c>
      <c r="B4964" s="15" t="s">
        <v>183</v>
      </c>
      <c r="C4964" s="16" t="s">
        <v>15439</v>
      </c>
      <c r="D4964" s="21"/>
      <c r="E4964" s="32" t="s">
        <v>15685</v>
      </c>
      <c r="F4964" s="22" t="str">
        <f>VLOOKUP(Table8[[#This Row],[Mã khách hàng]],code_khach_hang[],2,0)</f>
        <v>CHI NHÁNH BÀ RỊA - VŨNG TÀU - CÔNG TY CỔ PHẦN DỊCH VỤ THƯƠNG MẠI TỔNG HỢP WINCOMMERCE</v>
      </c>
      <c r="G4964" s="16" t="str">
        <f>VLOOKUP(Table8[[#This Row],[Mã khách hàng]],code_khach_hang[],3,0)</f>
        <v>Miền Nam đặc biệt 3</v>
      </c>
      <c r="H4964" t="str">
        <f>VLOOKUP(Table8[[#This Row],[Mã khách hàng]],'Khách hàng'!A:D,4,0)</f>
        <v>Food Đức Việt</v>
      </c>
      <c r="I4964" t="str">
        <f>VLOOKUP(Table8[[#This Row],[Mã khách hàng]],'Khách hàng'!A:E,5,0)</f>
        <v>HCVG80</v>
      </c>
    </row>
    <row r="4965" spans="1:9" x14ac:dyDescent="0.25">
      <c r="A4965" s="14" t="s">
        <v>14314</v>
      </c>
      <c r="B4965" s="15" t="s">
        <v>183</v>
      </c>
      <c r="C4965" s="16" t="s">
        <v>15440</v>
      </c>
      <c r="D4965" s="21"/>
      <c r="E4965" s="32" t="s">
        <v>15668</v>
      </c>
      <c r="F4965" s="22" t="str">
        <f>VLOOKUP(Table8[[#This Row],[Mã khách hàng]],code_khach_hang[],2,0)</f>
        <v>CHI NHÁNH ĐỒNG NAI - CÔNG TY CỔ PHẦN DỊCH VỤ THƯƠNG MẠI TỔNG HỢP WINCOMMERCE</v>
      </c>
      <c r="G4965" s="16" t="str">
        <f>VLOOKUP(Table8[[#This Row],[Mã khách hàng]],code_khach_hang[],3,0)</f>
        <v>Miền Nam đặc biệt 3</v>
      </c>
      <c r="H4965" t="str">
        <f>VLOOKUP(Table8[[#This Row],[Mã khách hàng]],'Khách hàng'!A:D,4,0)</f>
        <v>Food Đức Việt</v>
      </c>
      <c r="I4965" t="str">
        <f>VLOOKUP(Table8[[#This Row],[Mã khách hàng]],'Khách hàng'!A:E,5,0)</f>
        <v>HCVG80</v>
      </c>
    </row>
    <row r="4966" spans="1:9" x14ac:dyDescent="0.25">
      <c r="A4966" s="14" t="s">
        <v>14315</v>
      </c>
      <c r="B4966" s="15" t="s">
        <v>183</v>
      </c>
      <c r="C4966" s="16" t="s">
        <v>15441</v>
      </c>
      <c r="D4966" s="21"/>
      <c r="E4966" s="32" t="s">
        <v>15667</v>
      </c>
      <c r="F4966" s="22" t="str">
        <f>VLOOKUP(Table8[[#This Row],[Mã khách hàng]],code_khach_hang[],2,0)</f>
        <v>CÔNG TY CỔ PHẦN DỊCH VỤ THƯƠNG MẠI TỔNG HỢP WINCOMMERCE</v>
      </c>
      <c r="G4966" s="16" t="str">
        <f>VLOOKUP(Table8[[#This Row],[Mã khách hàng]],code_khach_hang[],3,0)</f>
        <v>Miền Nam đặc biệt 1</v>
      </c>
      <c r="H4966" t="str">
        <f>VLOOKUP(Table8[[#This Row],[Mã khách hàng]],'Khách hàng'!A:D,4,0)</f>
        <v>Food Đức Việt</v>
      </c>
      <c r="I4966" t="str">
        <f>VLOOKUP(Table8[[#This Row],[Mã khách hàng]],'Khách hàng'!A:E,5,0)</f>
        <v>HCVG80</v>
      </c>
    </row>
    <row r="4967" spans="1:9" x14ac:dyDescent="0.25">
      <c r="A4967" s="14" t="s">
        <v>14316</v>
      </c>
      <c r="B4967" s="15" t="s">
        <v>183</v>
      </c>
      <c r="C4967" s="16" t="s">
        <v>15442</v>
      </c>
      <c r="D4967" s="21"/>
      <c r="E4967" s="32" t="s">
        <v>15667</v>
      </c>
      <c r="F4967" s="22" t="str">
        <f>VLOOKUP(Table8[[#This Row],[Mã khách hàng]],code_khach_hang[],2,0)</f>
        <v>CÔNG TY CỔ PHẦN DỊCH VỤ THƯƠNG MẠI TỔNG HỢP WINCOMMERCE</v>
      </c>
      <c r="G4967" s="16" t="str">
        <f>VLOOKUP(Table8[[#This Row],[Mã khách hàng]],code_khach_hang[],3,0)</f>
        <v>Miền Nam đặc biệt 1</v>
      </c>
      <c r="H4967" t="str">
        <f>VLOOKUP(Table8[[#This Row],[Mã khách hàng]],'Khách hàng'!A:D,4,0)</f>
        <v>Food Đức Việt</v>
      </c>
      <c r="I4967" t="str">
        <f>VLOOKUP(Table8[[#This Row],[Mã khách hàng]],'Khách hàng'!A:E,5,0)</f>
        <v>HCVG80</v>
      </c>
    </row>
    <row r="4968" spans="1:9" x14ac:dyDescent="0.25">
      <c r="A4968" s="14" t="s">
        <v>14317</v>
      </c>
      <c r="B4968" s="15" t="s">
        <v>183</v>
      </c>
      <c r="C4968" s="16" t="s">
        <v>15443</v>
      </c>
      <c r="D4968" s="21"/>
      <c r="E4968" s="32" t="s">
        <v>15667</v>
      </c>
      <c r="F4968" s="22" t="str">
        <f>VLOOKUP(Table8[[#This Row],[Mã khách hàng]],code_khach_hang[],2,0)</f>
        <v>CÔNG TY CỔ PHẦN DỊCH VỤ THƯƠNG MẠI TỔNG HỢP WINCOMMERCE</v>
      </c>
      <c r="G4968" s="16" t="str">
        <f>VLOOKUP(Table8[[#This Row],[Mã khách hàng]],code_khach_hang[],3,0)</f>
        <v>Miền Nam đặc biệt 1</v>
      </c>
      <c r="H4968" t="str">
        <f>VLOOKUP(Table8[[#This Row],[Mã khách hàng]],'Khách hàng'!A:D,4,0)</f>
        <v>Food Đức Việt</v>
      </c>
      <c r="I4968" t="str">
        <f>VLOOKUP(Table8[[#This Row],[Mã khách hàng]],'Khách hàng'!A:E,5,0)</f>
        <v>HCVG80</v>
      </c>
    </row>
    <row r="4969" spans="1:9" x14ac:dyDescent="0.25">
      <c r="A4969" s="14" t="s">
        <v>14318</v>
      </c>
      <c r="B4969" s="15" t="s">
        <v>183</v>
      </c>
      <c r="C4969" s="16" t="s">
        <v>15444</v>
      </c>
      <c r="D4969" s="21"/>
      <c r="E4969" s="32" t="s">
        <v>15667</v>
      </c>
      <c r="F4969" s="22" t="str">
        <f>VLOOKUP(Table8[[#This Row],[Mã khách hàng]],code_khach_hang[],2,0)</f>
        <v>CÔNG TY CỔ PHẦN DỊCH VỤ THƯƠNG MẠI TỔNG HỢP WINCOMMERCE</v>
      </c>
      <c r="G4969" s="16" t="str">
        <f>VLOOKUP(Table8[[#This Row],[Mã khách hàng]],code_khach_hang[],3,0)</f>
        <v>Miền Nam đặc biệt 1</v>
      </c>
      <c r="H4969" t="str">
        <f>VLOOKUP(Table8[[#This Row],[Mã khách hàng]],'Khách hàng'!A:D,4,0)</f>
        <v>Food Đức Việt</v>
      </c>
      <c r="I4969" t="str">
        <f>VLOOKUP(Table8[[#This Row],[Mã khách hàng]],'Khách hàng'!A:E,5,0)</f>
        <v>HCVG80</v>
      </c>
    </row>
    <row r="4970" spans="1:9" x14ac:dyDescent="0.25">
      <c r="A4970" s="14" t="s">
        <v>14319</v>
      </c>
      <c r="B4970" s="15" t="s">
        <v>183</v>
      </c>
      <c r="C4970" s="16" t="s">
        <v>15445</v>
      </c>
      <c r="D4970" s="21"/>
      <c r="E4970" s="32" t="s">
        <v>15667</v>
      </c>
      <c r="F4970" s="22" t="str">
        <f>VLOOKUP(Table8[[#This Row],[Mã khách hàng]],code_khach_hang[],2,0)</f>
        <v>CÔNG TY CỔ PHẦN DỊCH VỤ THƯƠNG MẠI TỔNG HỢP WINCOMMERCE</v>
      </c>
      <c r="G4970" s="16" t="str">
        <f>VLOOKUP(Table8[[#This Row],[Mã khách hàng]],code_khach_hang[],3,0)</f>
        <v>Miền Nam đặc biệt 1</v>
      </c>
      <c r="H4970" t="str">
        <f>VLOOKUP(Table8[[#This Row],[Mã khách hàng]],'Khách hàng'!A:D,4,0)</f>
        <v>Food Đức Việt</v>
      </c>
      <c r="I4970" t="str">
        <f>VLOOKUP(Table8[[#This Row],[Mã khách hàng]],'Khách hàng'!A:E,5,0)</f>
        <v>HCVG80</v>
      </c>
    </row>
    <row r="4971" spans="1:9" x14ac:dyDescent="0.25">
      <c r="A4971" s="14" t="s">
        <v>14320</v>
      </c>
      <c r="B4971" s="15" t="s">
        <v>183</v>
      </c>
      <c r="C4971" s="16" t="s">
        <v>15446</v>
      </c>
      <c r="D4971" s="21"/>
      <c r="E4971" s="32" t="s">
        <v>15667</v>
      </c>
      <c r="F4971" s="22" t="str">
        <f>VLOOKUP(Table8[[#This Row],[Mã khách hàng]],code_khach_hang[],2,0)</f>
        <v>CÔNG TY CỔ PHẦN DỊCH VỤ THƯƠNG MẠI TỔNG HỢP WINCOMMERCE</v>
      </c>
      <c r="G4971" s="16" t="str">
        <f>VLOOKUP(Table8[[#This Row],[Mã khách hàng]],code_khach_hang[],3,0)</f>
        <v>Miền Nam đặc biệt 1</v>
      </c>
      <c r="H4971" t="str">
        <f>VLOOKUP(Table8[[#This Row],[Mã khách hàng]],'Khách hàng'!A:D,4,0)</f>
        <v>Food Đức Việt</v>
      </c>
      <c r="I4971" t="str">
        <f>VLOOKUP(Table8[[#This Row],[Mã khách hàng]],'Khách hàng'!A:E,5,0)</f>
        <v>HCVG80</v>
      </c>
    </row>
    <row r="4972" spans="1:9" x14ac:dyDescent="0.25">
      <c r="A4972" s="14" t="s">
        <v>14321</v>
      </c>
      <c r="B4972" s="15" t="s">
        <v>183</v>
      </c>
      <c r="C4972" s="16" t="s">
        <v>15447</v>
      </c>
      <c r="D4972" s="21"/>
      <c r="E4972" s="32" t="s">
        <v>15667</v>
      </c>
      <c r="F4972" s="22" t="str">
        <f>VLOOKUP(Table8[[#This Row],[Mã khách hàng]],code_khach_hang[],2,0)</f>
        <v>CÔNG TY CỔ PHẦN DỊCH VỤ THƯƠNG MẠI TỔNG HỢP WINCOMMERCE</v>
      </c>
      <c r="G4972" s="16" t="str">
        <f>VLOOKUP(Table8[[#This Row],[Mã khách hàng]],code_khach_hang[],3,0)</f>
        <v>Miền Nam đặc biệt 1</v>
      </c>
      <c r="H4972" t="str">
        <f>VLOOKUP(Table8[[#This Row],[Mã khách hàng]],'Khách hàng'!A:D,4,0)</f>
        <v>Food Đức Việt</v>
      </c>
      <c r="I4972" t="str">
        <f>VLOOKUP(Table8[[#This Row],[Mã khách hàng]],'Khách hàng'!A:E,5,0)</f>
        <v>HCVG80</v>
      </c>
    </row>
    <row r="4973" spans="1:9" x14ac:dyDescent="0.25">
      <c r="A4973" s="14" t="s">
        <v>14322</v>
      </c>
      <c r="B4973" s="15" t="s">
        <v>183</v>
      </c>
      <c r="C4973" s="16" t="s">
        <v>15448</v>
      </c>
      <c r="D4973" s="21"/>
      <c r="E4973" s="32" t="s">
        <v>15667</v>
      </c>
      <c r="F4973" s="22" t="str">
        <f>VLOOKUP(Table8[[#This Row],[Mã khách hàng]],code_khach_hang[],2,0)</f>
        <v>CÔNG TY CỔ PHẦN DỊCH VỤ THƯƠNG MẠI TỔNG HỢP WINCOMMERCE</v>
      </c>
      <c r="G4973" s="16" t="str">
        <f>VLOOKUP(Table8[[#This Row],[Mã khách hàng]],code_khach_hang[],3,0)</f>
        <v>Miền Nam đặc biệt 1</v>
      </c>
      <c r="H4973" t="str">
        <f>VLOOKUP(Table8[[#This Row],[Mã khách hàng]],'Khách hàng'!A:D,4,0)</f>
        <v>Food Đức Việt</v>
      </c>
      <c r="I4973" t="str">
        <f>VLOOKUP(Table8[[#This Row],[Mã khách hàng]],'Khách hàng'!A:E,5,0)</f>
        <v>HCVG80</v>
      </c>
    </row>
    <row r="4974" spans="1:9" x14ac:dyDescent="0.25">
      <c r="A4974" s="14" t="s">
        <v>14323</v>
      </c>
      <c r="B4974" s="15" t="s">
        <v>183</v>
      </c>
      <c r="C4974" s="16" t="s">
        <v>15449</v>
      </c>
      <c r="D4974" s="21"/>
      <c r="E4974" s="32" t="s">
        <v>15667</v>
      </c>
      <c r="F4974" s="22" t="str">
        <f>VLOOKUP(Table8[[#This Row],[Mã khách hàng]],code_khach_hang[],2,0)</f>
        <v>CÔNG TY CỔ PHẦN DỊCH VỤ THƯƠNG MẠI TỔNG HỢP WINCOMMERCE</v>
      </c>
      <c r="G4974" s="16" t="str">
        <f>VLOOKUP(Table8[[#This Row],[Mã khách hàng]],code_khach_hang[],3,0)</f>
        <v>Miền Nam đặc biệt 1</v>
      </c>
      <c r="H4974" t="str">
        <f>VLOOKUP(Table8[[#This Row],[Mã khách hàng]],'Khách hàng'!A:D,4,0)</f>
        <v>Food Đức Việt</v>
      </c>
      <c r="I4974" t="str">
        <f>VLOOKUP(Table8[[#This Row],[Mã khách hàng]],'Khách hàng'!A:E,5,0)</f>
        <v>HCVG80</v>
      </c>
    </row>
    <row r="4975" spans="1:9" x14ac:dyDescent="0.25">
      <c r="A4975" s="14" t="s">
        <v>14324</v>
      </c>
      <c r="B4975" s="15" t="s">
        <v>183</v>
      </c>
      <c r="C4975" s="16" t="s">
        <v>15450</v>
      </c>
      <c r="D4975" s="21"/>
      <c r="E4975" s="32" t="s">
        <v>15667</v>
      </c>
      <c r="F4975" s="22" t="str">
        <f>VLOOKUP(Table8[[#This Row],[Mã khách hàng]],code_khach_hang[],2,0)</f>
        <v>CÔNG TY CỔ PHẦN DỊCH VỤ THƯƠNG MẠI TỔNG HỢP WINCOMMERCE</v>
      </c>
      <c r="G4975" s="16" t="str">
        <f>VLOOKUP(Table8[[#This Row],[Mã khách hàng]],code_khach_hang[],3,0)</f>
        <v>Miền Nam đặc biệt 1</v>
      </c>
      <c r="H4975" t="str">
        <f>VLOOKUP(Table8[[#This Row],[Mã khách hàng]],'Khách hàng'!A:D,4,0)</f>
        <v>Food Đức Việt</v>
      </c>
      <c r="I4975" t="str">
        <f>VLOOKUP(Table8[[#This Row],[Mã khách hàng]],'Khách hàng'!A:E,5,0)</f>
        <v>HCVG80</v>
      </c>
    </row>
    <row r="4976" spans="1:9" x14ac:dyDescent="0.25">
      <c r="A4976" s="14" t="s">
        <v>14325</v>
      </c>
      <c r="B4976" s="15" t="s">
        <v>183</v>
      </c>
      <c r="C4976" s="16" t="s">
        <v>15451</v>
      </c>
      <c r="D4976" s="21"/>
      <c r="E4976" s="32" t="s">
        <v>15667</v>
      </c>
      <c r="F4976" s="22" t="str">
        <f>VLOOKUP(Table8[[#This Row],[Mã khách hàng]],code_khach_hang[],2,0)</f>
        <v>CÔNG TY CỔ PHẦN DỊCH VỤ THƯƠNG MẠI TỔNG HỢP WINCOMMERCE</v>
      </c>
      <c r="G4976" s="16" t="str">
        <f>VLOOKUP(Table8[[#This Row],[Mã khách hàng]],code_khach_hang[],3,0)</f>
        <v>Miền Nam đặc biệt 1</v>
      </c>
      <c r="H4976" t="str">
        <f>VLOOKUP(Table8[[#This Row],[Mã khách hàng]],'Khách hàng'!A:D,4,0)</f>
        <v>Food Đức Việt</v>
      </c>
      <c r="I4976" t="str">
        <f>VLOOKUP(Table8[[#This Row],[Mã khách hàng]],'Khách hàng'!A:E,5,0)</f>
        <v>HCVG80</v>
      </c>
    </row>
    <row r="4977" spans="1:9" x14ac:dyDescent="0.25">
      <c r="A4977" s="14" t="s">
        <v>14326</v>
      </c>
      <c r="B4977" s="15" t="s">
        <v>183</v>
      </c>
      <c r="C4977" s="16" t="s">
        <v>15452</v>
      </c>
      <c r="D4977" s="21"/>
      <c r="E4977" s="32" t="s">
        <v>15667</v>
      </c>
      <c r="F4977" s="22" t="str">
        <f>VLOOKUP(Table8[[#This Row],[Mã khách hàng]],code_khach_hang[],2,0)</f>
        <v>CÔNG TY CỔ PHẦN DỊCH VỤ THƯƠNG MẠI TỔNG HỢP WINCOMMERCE</v>
      </c>
      <c r="G4977" s="16" t="str">
        <f>VLOOKUP(Table8[[#This Row],[Mã khách hàng]],code_khach_hang[],3,0)</f>
        <v>Miền Nam đặc biệt 1</v>
      </c>
      <c r="H4977" t="str">
        <f>VLOOKUP(Table8[[#This Row],[Mã khách hàng]],'Khách hàng'!A:D,4,0)</f>
        <v>Food Đức Việt</v>
      </c>
      <c r="I4977" t="str">
        <f>VLOOKUP(Table8[[#This Row],[Mã khách hàng]],'Khách hàng'!A:E,5,0)</f>
        <v>HCVG80</v>
      </c>
    </row>
    <row r="4978" spans="1:9" x14ac:dyDescent="0.25">
      <c r="A4978" s="14" t="s">
        <v>14327</v>
      </c>
      <c r="B4978" s="15" t="s">
        <v>183</v>
      </c>
      <c r="C4978" s="16" t="s">
        <v>15453</v>
      </c>
      <c r="D4978" s="21"/>
      <c r="E4978" s="32" t="s">
        <v>15667</v>
      </c>
      <c r="F4978" s="22" t="str">
        <f>VLOOKUP(Table8[[#This Row],[Mã khách hàng]],code_khach_hang[],2,0)</f>
        <v>CÔNG TY CỔ PHẦN DỊCH VỤ THƯƠNG MẠI TỔNG HỢP WINCOMMERCE</v>
      </c>
      <c r="G4978" s="16" t="str">
        <f>VLOOKUP(Table8[[#This Row],[Mã khách hàng]],code_khach_hang[],3,0)</f>
        <v>Miền Nam đặc biệt 1</v>
      </c>
      <c r="H4978" t="str">
        <f>VLOOKUP(Table8[[#This Row],[Mã khách hàng]],'Khách hàng'!A:D,4,0)</f>
        <v>Food Đức Việt</v>
      </c>
      <c r="I4978" t="str">
        <f>VLOOKUP(Table8[[#This Row],[Mã khách hàng]],'Khách hàng'!A:E,5,0)</f>
        <v>HCVG80</v>
      </c>
    </row>
    <row r="4979" spans="1:9" x14ac:dyDescent="0.25">
      <c r="A4979" s="14" t="s">
        <v>14328</v>
      </c>
      <c r="B4979" s="15" t="s">
        <v>183</v>
      </c>
      <c r="C4979" s="16" t="s">
        <v>15454</v>
      </c>
      <c r="D4979" s="21"/>
      <c r="E4979" s="32" t="s">
        <v>15667</v>
      </c>
      <c r="F4979" s="22" t="str">
        <f>VLOOKUP(Table8[[#This Row],[Mã khách hàng]],code_khach_hang[],2,0)</f>
        <v>CÔNG TY CỔ PHẦN DỊCH VỤ THƯƠNG MẠI TỔNG HỢP WINCOMMERCE</v>
      </c>
      <c r="G4979" s="16" t="str">
        <f>VLOOKUP(Table8[[#This Row],[Mã khách hàng]],code_khach_hang[],3,0)</f>
        <v>Miền Nam đặc biệt 1</v>
      </c>
      <c r="H4979" t="str">
        <f>VLOOKUP(Table8[[#This Row],[Mã khách hàng]],'Khách hàng'!A:D,4,0)</f>
        <v>Food Đức Việt</v>
      </c>
      <c r="I4979" t="str">
        <f>VLOOKUP(Table8[[#This Row],[Mã khách hàng]],'Khách hàng'!A:E,5,0)</f>
        <v>HCVG80</v>
      </c>
    </row>
    <row r="4980" spans="1:9" x14ac:dyDescent="0.25">
      <c r="A4980" s="14" t="s">
        <v>14329</v>
      </c>
      <c r="B4980" s="15" t="s">
        <v>183</v>
      </c>
      <c r="C4980" s="16" t="s">
        <v>15455</v>
      </c>
      <c r="D4980" s="21"/>
      <c r="E4980" s="32" t="s">
        <v>15667</v>
      </c>
      <c r="F4980" s="22" t="str">
        <f>VLOOKUP(Table8[[#This Row],[Mã khách hàng]],code_khach_hang[],2,0)</f>
        <v>CÔNG TY CỔ PHẦN DỊCH VỤ THƯƠNG MẠI TỔNG HỢP WINCOMMERCE</v>
      </c>
      <c r="G4980" s="16" t="str">
        <f>VLOOKUP(Table8[[#This Row],[Mã khách hàng]],code_khach_hang[],3,0)</f>
        <v>Miền Nam đặc biệt 1</v>
      </c>
      <c r="H4980" t="str">
        <f>VLOOKUP(Table8[[#This Row],[Mã khách hàng]],'Khách hàng'!A:D,4,0)</f>
        <v>Food Đức Việt</v>
      </c>
      <c r="I4980" t="str">
        <f>VLOOKUP(Table8[[#This Row],[Mã khách hàng]],'Khách hàng'!A:E,5,0)</f>
        <v>HCVG80</v>
      </c>
    </row>
    <row r="4981" spans="1:9" x14ac:dyDescent="0.25">
      <c r="A4981" s="14" t="s">
        <v>14330</v>
      </c>
      <c r="B4981" s="15" t="s">
        <v>183</v>
      </c>
      <c r="C4981" s="16" t="s">
        <v>15456</v>
      </c>
      <c r="D4981" s="21"/>
      <c r="E4981" s="32" t="s">
        <v>15667</v>
      </c>
      <c r="F4981" s="22" t="str">
        <f>VLOOKUP(Table8[[#This Row],[Mã khách hàng]],code_khach_hang[],2,0)</f>
        <v>CÔNG TY CỔ PHẦN DỊCH VỤ THƯƠNG MẠI TỔNG HỢP WINCOMMERCE</v>
      </c>
      <c r="G4981" s="16" t="str">
        <f>VLOOKUP(Table8[[#This Row],[Mã khách hàng]],code_khach_hang[],3,0)</f>
        <v>Miền Nam đặc biệt 1</v>
      </c>
      <c r="H4981" t="str">
        <f>VLOOKUP(Table8[[#This Row],[Mã khách hàng]],'Khách hàng'!A:D,4,0)</f>
        <v>Food Đức Việt</v>
      </c>
      <c r="I4981" t="str">
        <f>VLOOKUP(Table8[[#This Row],[Mã khách hàng]],'Khách hàng'!A:E,5,0)</f>
        <v>HCVG80</v>
      </c>
    </row>
    <row r="4982" spans="1:9" x14ac:dyDescent="0.25">
      <c r="A4982" s="14" t="s">
        <v>14331</v>
      </c>
      <c r="B4982" s="15" t="s">
        <v>183</v>
      </c>
      <c r="C4982" s="16" t="s">
        <v>15457</v>
      </c>
      <c r="D4982" s="21"/>
      <c r="E4982" s="32" t="s">
        <v>15667</v>
      </c>
      <c r="F4982" s="22" t="str">
        <f>VLOOKUP(Table8[[#This Row],[Mã khách hàng]],code_khach_hang[],2,0)</f>
        <v>CÔNG TY CỔ PHẦN DỊCH VỤ THƯƠNG MẠI TỔNG HỢP WINCOMMERCE</v>
      </c>
      <c r="G4982" s="16" t="str">
        <f>VLOOKUP(Table8[[#This Row],[Mã khách hàng]],code_khach_hang[],3,0)</f>
        <v>Miền Nam đặc biệt 1</v>
      </c>
      <c r="H4982" t="str">
        <f>VLOOKUP(Table8[[#This Row],[Mã khách hàng]],'Khách hàng'!A:D,4,0)</f>
        <v>Food Đức Việt</v>
      </c>
      <c r="I4982" t="str">
        <f>VLOOKUP(Table8[[#This Row],[Mã khách hàng]],'Khách hàng'!A:E,5,0)</f>
        <v>HCVG80</v>
      </c>
    </row>
    <row r="4983" spans="1:9" x14ac:dyDescent="0.25">
      <c r="A4983" s="14" t="s">
        <v>14332</v>
      </c>
      <c r="B4983" s="15" t="s">
        <v>183</v>
      </c>
      <c r="C4983" s="16" t="s">
        <v>15458</v>
      </c>
      <c r="D4983" s="21"/>
      <c r="E4983" s="32" t="s">
        <v>15685</v>
      </c>
      <c r="F4983" s="22" t="str">
        <f>VLOOKUP(Table8[[#This Row],[Mã khách hàng]],code_khach_hang[],2,0)</f>
        <v>CHI NHÁNH BÀ RỊA - VŨNG TÀU - CÔNG TY CỔ PHẦN DỊCH VỤ THƯƠNG MẠI TỔNG HỢP WINCOMMERCE</v>
      </c>
      <c r="G4983" s="16" t="str">
        <f>VLOOKUP(Table8[[#This Row],[Mã khách hàng]],code_khach_hang[],3,0)</f>
        <v>Miền Nam đặc biệt 3</v>
      </c>
      <c r="H4983" t="str">
        <f>VLOOKUP(Table8[[#This Row],[Mã khách hàng]],'Khách hàng'!A:D,4,0)</f>
        <v>Food Đức Việt</v>
      </c>
      <c r="I4983" t="str">
        <f>VLOOKUP(Table8[[#This Row],[Mã khách hàng]],'Khách hàng'!A:E,5,0)</f>
        <v>HCVG80</v>
      </c>
    </row>
    <row r="4984" spans="1:9" x14ac:dyDescent="0.25">
      <c r="A4984" s="14" t="s">
        <v>14333</v>
      </c>
      <c r="B4984" s="15" t="s">
        <v>183</v>
      </c>
      <c r="C4984" s="16" t="s">
        <v>15459</v>
      </c>
      <c r="D4984" s="21"/>
      <c r="E4984" s="32" t="s">
        <v>15667</v>
      </c>
      <c r="F4984" s="22" t="str">
        <f>VLOOKUP(Table8[[#This Row],[Mã khách hàng]],code_khach_hang[],2,0)</f>
        <v>CÔNG TY CỔ PHẦN DỊCH VỤ THƯƠNG MẠI TỔNG HỢP WINCOMMERCE</v>
      </c>
      <c r="G4984" s="16" t="str">
        <f>VLOOKUP(Table8[[#This Row],[Mã khách hàng]],code_khach_hang[],3,0)</f>
        <v>Miền Nam đặc biệt 1</v>
      </c>
      <c r="H4984" t="str">
        <f>VLOOKUP(Table8[[#This Row],[Mã khách hàng]],'Khách hàng'!A:D,4,0)</f>
        <v>Food Đức Việt</v>
      </c>
      <c r="I4984" t="str">
        <f>VLOOKUP(Table8[[#This Row],[Mã khách hàng]],'Khách hàng'!A:E,5,0)</f>
        <v>HCVG80</v>
      </c>
    </row>
    <row r="4985" spans="1:9" x14ac:dyDescent="0.25">
      <c r="A4985" s="14" t="s">
        <v>14334</v>
      </c>
      <c r="B4985" s="15" t="s">
        <v>183</v>
      </c>
      <c r="C4985" s="16" t="s">
        <v>15460</v>
      </c>
      <c r="D4985" s="21"/>
      <c r="E4985" s="32" t="s">
        <v>15667</v>
      </c>
      <c r="F4985" s="22" t="str">
        <f>VLOOKUP(Table8[[#This Row],[Mã khách hàng]],code_khach_hang[],2,0)</f>
        <v>CÔNG TY CỔ PHẦN DỊCH VỤ THƯƠNG MẠI TỔNG HỢP WINCOMMERCE</v>
      </c>
      <c r="G4985" s="16" t="str">
        <f>VLOOKUP(Table8[[#This Row],[Mã khách hàng]],code_khach_hang[],3,0)</f>
        <v>Miền Nam đặc biệt 1</v>
      </c>
      <c r="H4985" t="str">
        <f>VLOOKUP(Table8[[#This Row],[Mã khách hàng]],'Khách hàng'!A:D,4,0)</f>
        <v>Food Đức Việt</v>
      </c>
      <c r="I4985" t="str">
        <f>VLOOKUP(Table8[[#This Row],[Mã khách hàng]],'Khách hàng'!A:E,5,0)</f>
        <v>HCVG80</v>
      </c>
    </row>
    <row r="4986" spans="1:9" x14ac:dyDescent="0.25">
      <c r="A4986" s="14" t="s">
        <v>14335</v>
      </c>
      <c r="B4986" s="15" t="s">
        <v>183</v>
      </c>
      <c r="C4986" s="16" t="s">
        <v>15461</v>
      </c>
      <c r="D4986" s="21"/>
      <c r="E4986" s="32" t="s">
        <v>15667</v>
      </c>
      <c r="F4986" s="22" t="str">
        <f>VLOOKUP(Table8[[#This Row],[Mã khách hàng]],code_khach_hang[],2,0)</f>
        <v>CÔNG TY CỔ PHẦN DỊCH VỤ THƯƠNG MẠI TỔNG HỢP WINCOMMERCE</v>
      </c>
      <c r="G4986" s="16" t="str">
        <f>VLOOKUP(Table8[[#This Row],[Mã khách hàng]],code_khach_hang[],3,0)</f>
        <v>Miền Nam đặc biệt 1</v>
      </c>
      <c r="H4986" t="str">
        <f>VLOOKUP(Table8[[#This Row],[Mã khách hàng]],'Khách hàng'!A:D,4,0)</f>
        <v>Food Đức Việt</v>
      </c>
      <c r="I4986" t="str">
        <f>VLOOKUP(Table8[[#This Row],[Mã khách hàng]],'Khách hàng'!A:E,5,0)</f>
        <v>HCVG80</v>
      </c>
    </row>
    <row r="4987" spans="1:9" x14ac:dyDescent="0.25">
      <c r="A4987" s="14" t="s">
        <v>14336</v>
      </c>
      <c r="B4987" s="15" t="s">
        <v>183</v>
      </c>
      <c r="C4987" s="16" t="s">
        <v>15462</v>
      </c>
      <c r="D4987" s="21"/>
      <c r="E4987" s="32" t="s">
        <v>15667</v>
      </c>
      <c r="F4987" s="22" t="str">
        <f>VLOOKUP(Table8[[#This Row],[Mã khách hàng]],code_khach_hang[],2,0)</f>
        <v>CÔNG TY CỔ PHẦN DỊCH VỤ THƯƠNG MẠI TỔNG HỢP WINCOMMERCE</v>
      </c>
      <c r="G4987" s="16" t="str">
        <f>VLOOKUP(Table8[[#This Row],[Mã khách hàng]],code_khach_hang[],3,0)</f>
        <v>Miền Nam đặc biệt 1</v>
      </c>
      <c r="H4987" t="str">
        <f>VLOOKUP(Table8[[#This Row],[Mã khách hàng]],'Khách hàng'!A:D,4,0)</f>
        <v>Food Đức Việt</v>
      </c>
      <c r="I4987" t="str">
        <f>VLOOKUP(Table8[[#This Row],[Mã khách hàng]],'Khách hàng'!A:E,5,0)</f>
        <v>HCVG80</v>
      </c>
    </row>
    <row r="4988" spans="1:9" x14ac:dyDescent="0.25">
      <c r="A4988" s="14" t="s">
        <v>14337</v>
      </c>
      <c r="B4988" s="15" t="s">
        <v>183</v>
      </c>
      <c r="C4988" s="16" t="s">
        <v>15463</v>
      </c>
      <c r="D4988" s="21"/>
      <c r="E4988" s="32" t="s">
        <v>15667</v>
      </c>
      <c r="F4988" s="22" t="str">
        <f>VLOOKUP(Table8[[#This Row],[Mã khách hàng]],code_khach_hang[],2,0)</f>
        <v>CÔNG TY CỔ PHẦN DỊCH VỤ THƯƠNG MẠI TỔNG HỢP WINCOMMERCE</v>
      </c>
      <c r="G4988" s="16" t="str">
        <f>VLOOKUP(Table8[[#This Row],[Mã khách hàng]],code_khach_hang[],3,0)</f>
        <v>Miền Nam đặc biệt 1</v>
      </c>
      <c r="H4988" t="str">
        <f>VLOOKUP(Table8[[#This Row],[Mã khách hàng]],'Khách hàng'!A:D,4,0)</f>
        <v>Food Đức Việt</v>
      </c>
      <c r="I4988" t="str">
        <f>VLOOKUP(Table8[[#This Row],[Mã khách hàng]],'Khách hàng'!A:E,5,0)</f>
        <v>HCVG80</v>
      </c>
    </row>
    <row r="4989" spans="1:9" x14ac:dyDescent="0.25">
      <c r="A4989" s="14" t="s">
        <v>14338</v>
      </c>
      <c r="B4989" s="15" t="s">
        <v>183</v>
      </c>
      <c r="C4989" s="16" t="s">
        <v>15464</v>
      </c>
      <c r="D4989" s="21"/>
      <c r="E4989" s="32" t="s">
        <v>15667</v>
      </c>
      <c r="F4989" s="22" t="str">
        <f>VLOOKUP(Table8[[#This Row],[Mã khách hàng]],code_khach_hang[],2,0)</f>
        <v>CÔNG TY CỔ PHẦN DỊCH VỤ THƯƠNG MẠI TỔNG HỢP WINCOMMERCE</v>
      </c>
      <c r="G4989" s="16" t="str">
        <f>VLOOKUP(Table8[[#This Row],[Mã khách hàng]],code_khach_hang[],3,0)</f>
        <v>Miền Nam đặc biệt 1</v>
      </c>
      <c r="H4989" t="str">
        <f>VLOOKUP(Table8[[#This Row],[Mã khách hàng]],'Khách hàng'!A:D,4,0)</f>
        <v>Food Đức Việt</v>
      </c>
      <c r="I4989" t="str">
        <f>VLOOKUP(Table8[[#This Row],[Mã khách hàng]],'Khách hàng'!A:E,5,0)</f>
        <v>HCVG80</v>
      </c>
    </row>
    <row r="4990" spans="1:9" x14ac:dyDescent="0.25">
      <c r="A4990" s="14" t="s">
        <v>14339</v>
      </c>
      <c r="B4990" s="15" t="s">
        <v>183</v>
      </c>
      <c r="C4990" s="16" t="s">
        <v>15465</v>
      </c>
      <c r="D4990" s="21"/>
      <c r="E4990" s="32" t="s">
        <v>15667</v>
      </c>
      <c r="F4990" s="22" t="str">
        <f>VLOOKUP(Table8[[#This Row],[Mã khách hàng]],code_khach_hang[],2,0)</f>
        <v>CÔNG TY CỔ PHẦN DỊCH VỤ THƯƠNG MẠI TỔNG HỢP WINCOMMERCE</v>
      </c>
      <c r="G4990" s="16" t="str">
        <f>VLOOKUP(Table8[[#This Row],[Mã khách hàng]],code_khach_hang[],3,0)</f>
        <v>Miền Nam đặc biệt 1</v>
      </c>
      <c r="H4990" t="str">
        <f>VLOOKUP(Table8[[#This Row],[Mã khách hàng]],'Khách hàng'!A:D,4,0)</f>
        <v>Food Đức Việt</v>
      </c>
      <c r="I4990" t="str">
        <f>VLOOKUP(Table8[[#This Row],[Mã khách hàng]],'Khách hàng'!A:E,5,0)</f>
        <v>HCVG80</v>
      </c>
    </row>
    <row r="4991" spans="1:9" x14ac:dyDescent="0.25">
      <c r="A4991" s="14" t="s">
        <v>14340</v>
      </c>
      <c r="B4991" s="15" t="s">
        <v>183</v>
      </c>
      <c r="C4991" s="16" t="s">
        <v>15466</v>
      </c>
      <c r="D4991" s="21"/>
      <c r="E4991" s="32" t="s">
        <v>15667</v>
      </c>
      <c r="F4991" s="22" t="str">
        <f>VLOOKUP(Table8[[#This Row],[Mã khách hàng]],code_khach_hang[],2,0)</f>
        <v>CÔNG TY CỔ PHẦN DỊCH VỤ THƯƠNG MẠI TỔNG HỢP WINCOMMERCE</v>
      </c>
      <c r="G4991" s="16" t="str">
        <f>VLOOKUP(Table8[[#This Row],[Mã khách hàng]],code_khach_hang[],3,0)</f>
        <v>Miền Nam đặc biệt 1</v>
      </c>
      <c r="H4991" t="str">
        <f>VLOOKUP(Table8[[#This Row],[Mã khách hàng]],'Khách hàng'!A:D,4,0)</f>
        <v>Food Đức Việt</v>
      </c>
      <c r="I4991" t="str">
        <f>VLOOKUP(Table8[[#This Row],[Mã khách hàng]],'Khách hàng'!A:E,5,0)</f>
        <v>HCVG80</v>
      </c>
    </row>
    <row r="4992" spans="1:9" x14ac:dyDescent="0.25">
      <c r="A4992" s="14" t="s">
        <v>14341</v>
      </c>
      <c r="B4992" s="15" t="s">
        <v>183</v>
      </c>
      <c r="C4992" s="16" t="s">
        <v>15467</v>
      </c>
      <c r="D4992" s="21"/>
      <c r="E4992" s="32" t="s">
        <v>15667</v>
      </c>
      <c r="F4992" s="22" t="str">
        <f>VLOOKUP(Table8[[#This Row],[Mã khách hàng]],code_khach_hang[],2,0)</f>
        <v>CÔNG TY CỔ PHẦN DỊCH VỤ THƯƠNG MẠI TỔNG HỢP WINCOMMERCE</v>
      </c>
      <c r="G4992" s="16" t="str">
        <f>VLOOKUP(Table8[[#This Row],[Mã khách hàng]],code_khach_hang[],3,0)</f>
        <v>Miền Nam đặc biệt 1</v>
      </c>
      <c r="H4992" t="str">
        <f>VLOOKUP(Table8[[#This Row],[Mã khách hàng]],'Khách hàng'!A:D,4,0)</f>
        <v>Food Đức Việt</v>
      </c>
      <c r="I4992" t="str">
        <f>VLOOKUP(Table8[[#This Row],[Mã khách hàng]],'Khách hàng'!A:E,5,0)</f>
        <v>HCVG80</v>
      </c>
    </row>
    <row r="4993" spans="1:9" x14ac:dyDescent="0.25">
      <c r="A4993" s="14" t="s">
        <v>14342</v>
      </c>
      <c r="B4993" s="15" t="s">
        <v>183</v>
      </c>
      <c r="C4993" s="16" t="s">
        <v>15468</v>
      </c>
      <c r="D4993" s="21"/>
      <c r="E4993" s="32" t="s">
        <v>15667</v>
      </c>
      <c r="F4993" s="22" t="str">
        <f>VLOOKUP(Table8[[#This Row],[Mã khách hàng]],code_khach_hang[],2,0)</f>
        <v>CÔNG TY CỔ PHẦN DỊCH VỤ THƯƠNG MẠI TỔNG HỢP WINCOMMERCE</v>
      </c>
      <c r="G4993" s="16" t="str">
        <f>VLOOKUP(Table8[[#This Row],[Mã khách hàng]],code_khach_hang[],3,0)</f>
        <v>Miền Nam đặc biệt 1</v>
      </c>
      <c r="H4993" t="str">
        <f>VLOOKUP(Table8[[#This Row],[Mã khách hàng]],'Khách hàng'!A:D,4,0)</f>
        <v>Food Đức Việt</v>
      </c>
      <c r="I4993" t="str">
        <f>VLOOKUP(Table8[[#This Row],[Mã khách hàng]],'Khách hàng'!A:E,5,0)</f>
        <v>HCVG80</v>
      </c>
    </row>
    <row r="4994" spans="1:9" x14ac:dyDescent="0.25">
      <c r="A4994" s="14" t="s">
        <v>14343</v>
      </c>
      <c r="B4994" s="15" t="s">
        <v>183</v>
      </c>
      <c r="C4994" s="16" t="s">
        <v>15469</v>
      </c>
      <c r="D4994" s="21"/>
      <c r="E4994" s="32" t="s">
        <v>15685</v>
      </c>
      <c r="F4994" s="22" t="str">
        <f>VLOOKUP(Table8[[#This Row],[Mã khách hàng]],code_khach_hang[],2,0)</f>
        <v>CHI NHÁNH BÀ RỊA - VŨNG TÀU - CÔNG TY CỔ PHẦN DỊCH VỤ THƯƠNG MẠI TỔNG HỢP WINCOMMERCE</v>
      </c>
      <c r="G4994" s="16" t="str">
        <f>VLOOKUP(Table8[[#This Row],[Mã khách hàng]],code_khach_hang[],3,0)</f>
        <v>Miền Nam đặc biệt 3</v>
      </c>
      <c r="H4994" t="str">
        <f>VLOOKUP(Table8[[#This Row],[Mã khách hàng]],'Khách hàng'!A:D,4,0)</f>
        <v>Food Đức Việt</v>
      </c>
      <c r="I4994" t="str">
        <f>VLOOKUP(Table8[[#This Row],[Mã khách hàng]],'Khách hàng'!A:E,5,0)</f>
        <v>HCVG80</v>
      </c>
    </row>
    <row r="4995" spans="1:9" x14ac:dyDescent="0.25">
      <c r="A4995" s="14" t="s">
        <v>14344</v>
      </c>
      <c r="B4995" s="15" t="s">
        <v>183</v>
      </c>
      <c r="C4995" s="16" t="s">
        <v>15470</v>
      </c>
      <c r="D4995" s="21"/>
      <c r="E4995" s="32" t="s">
        <v>15667</v>
      </c>
      <c r="F4995" s="22" t="str">
        <f>VLOOKUP(Table8[[#This Row],[Mã khách hàng]],code_khach_hang[],2,0)</f>
        <v>CÔNG TY CỔ PHẦN DỊCH VỤ THƯƠNG MẠI TỔNG HỢP WINCOMMERCE</v>
      </c>
      <c r="G4995" s="16" t="str">
        <f>VLOOKUP(Table8[[#This Row],[Mã khách hàng]],code_khach_hang[],3,0)</f>
        <v>Miền Nam đặc biệt 1</v>
      </c>
      <c r="H4995" t="str">
        <f>VLOOKUP(Table8[[#This Row],[Mã khách hàng]],'Khách hàng'!A:D,4,0)</f>
        <v>Food Đức Việt</v>
      </c>
      <c r="I4995" t="str">
        <f>VLOOKUP(Table8[[#This Row],[Mã khách hàng]],'Khách hàng'!A:E,5,0)</f>
        <v>HCVG80</v>
      </c>
    </row>
    <row r="4996" spans="1:9" x14ac:dyDescent="0.25">
      <c r="A4996" s="14" t="s">
        <v>14345</v>
      </c>
      <c r="B4996" s="15" t="s">
        <v>183</v>
      </c>
      <c r="C4996" s="16" t="s">
        <v>15471</v>
      </c>
      <c r="D4996" s="21"/>
      <c r="E4996" s="32" t="s">
        <v>15667</v>
      </c>
      <c r="F4996" s="22" t="str">
        <f>VLOOKUP(Table8[[#This Row],[Mã khách hàng]],code_khach_hang[],2,0)</f>
        <v>CÔNG TY CỔ PHẦN DỊCH VỤ THƯƠNG MẠI TỔNG HỢP WINCOMMERCE</v>
      </c>
      <c r="G4996" s="16" t="str">
        <f>VLOOKUP(Table8[[#This Row],[Mã khách hàng]],code_khach_hang[],3,0)</f>
        <v>Miền Nam đặc biệt 1</v>
      </c>
      <c r="H4996" t="str">
        <f>VLOOKUP(Table8[[#This Row],[Mã khách hàng]],'Khách hàng'!A:D,4,0)</f>
        <v>Food Đức Việt</v>
      </c>
      <c r="I4996" t="str">
        <f>VLOOKUP(Table8[[#This Row],[Mã khách hàng]],'Khách hàng'!A:E,5,0)</f>
        <v>HCVG80</v>
      </c>
    </row>
    <row r="4997" spans="1:9" x14ac:dyDescent="0.25">
      <c r="A4997" s="14" t="s">
        <v>14346</v>
      </c>
      <c r="B4997" s="15" t="s">
        <v>183</v>
      </c>
      <c r="C4997" s="16" t="s">
        <v>15472</v>
      </c>
      <c r="D4997" s="21"/>
      <c r="E4997" s="32" t="s">
        <v>15671</v>
      </c>
      <c r="F4997" s="22" t="str">
        <f>VLOOKUP(Table8[[#This Row],[Mã khách hàng]],code_khach_hang[],2,0)</f>
        <v>CHI NHÁNH BÌNH DƯƠNG - CÔNG TY CỔ PHẦN DỊCH VỤ THƯƠNG MẠI TỔNG HỢP WINCOMMERCE</v>
      </c>
      <c r="G4997" s="16" t="str">
        <f>VLOOKUP(Table8[[#This Row],[Mã khách hàng]],code_khach_hang[],3,0)</f>
        <v>Miền Nam đặc biệt 1</v>
      </c>
      <c r="H4997" t="str">
        <f>VLOOKUP(Table8[[#This Row],[Mã khách hàng]],'Khách hàng'!A:D,4,0)</f>
        <v>Food Đức Việt</v>
      </c>
      <c r="I4997" t="str">
        <f>VLOOKUP(Table8[[#This Row],[Mã khách hàng]],'Khách hàng'!A:E,5,0)</f>
        <v>HCVG80</v>
      </c>
    </row>
    <row r="4998" spans="1:9" x14ac:dyDescent="0.25">
      <c r="A4998" s="14" t="s">
        <v>14347</v>
      </c>
      <c r="B4998" s="15" t="s">
        <v>183</v>
      </c>
      <c r="C4998" s="16" t="s">
        <v>15473</v>
      </c>
      <c r="D4998" s="21"/>
      <c r="E4998" s="32" t="s">
        <v>15667</v>
      </c>
      <c r="F4998" s="22" t="str">
        <f>VLOOKUP(Table8[[#This Row],[Mã khách hàng]],code_khach_hang[],2,0)</f>
        <v>CÔNG TY CỔ PHẦN DỊCH VỤ THƯƠNG MẠI TỔNG HỢP WINCOMMERCE</v>
      </c>
      <c r="G4998" s="16" t="str">
        <f>VLOOKUP(Table8[[#This Row],[Mã khách hàng]],code_khach_hang[],3,0)</f>
        <v>Miền Nam đặc biệt 1</v>
      </c>
      <c r="H4998" t="str">
        <f>VLOOKUP(Table8[[#This Row],[Mã khách hàng]],'Khách hàng'!A:D,4,0)</f>
        <v>Food Đức Việt</v>
      </c>
      <c r="I4998" t="str">
        <f>VLOOKUP(Table8[[#This Row],[Mã khách hàng]],'Khách hàng'!A:E,5,0)</f>
        <v>HCVG80</v>
      </c>
    </row>
    <row r="4999" spans="1:9" x14ac:dyDescent="0.25">
      <c r="A4999" s="14" t="s">
        <v>14348</v>
      </c>
      <c r="B4999" s="15" t="s">
        <v>183</v>
      </c>
      <c r="C4999" s="16" t="s">
        <v>15474</v>
      </c>
      <c r="D4999" s="21"/>
      <c r="E4999" s="32" t="s">
        <v>15667</v>
      </c>
      <c r="F4999" s="22" t="str">
        <f>VLOOKUP(Table8[[#This Row],[Mã khách hàng]],code_khach_hang[],2,0)</f>
        <v>CÔNG TY CỔ PHẦN DỊCH VỤ THƯƠNG MẠI TỔNG HỢP WINCOMMERCE</v>
      </c>
      <c r="G4999" s="16" t="str">
        <f>VLOOKUP(Table8[[#This Row],[Mã khách hàng]],code_khach_hang[],3,0)</f>
        <v>Miền Nam đặc biệt 1</v>
      </c>
      <c r="H4999" t="str">
        <f>VLOOKUP(Table8[[#This Row],[Mã khách hàng]],'Khách hàng'!A:D,4,0)</f>
        <v>Food Đức Việt</v>
      </c>
      <c r="I4999" t="str">
        <f>VLOOKUP(Table8[[#This Row],[Mã khách hàng]],'Khách hàng'!A:E,5,0)</f>
        <v>HCVG80</v>
      </c>
    </row>
    <row r="5000" spans="1:9" x14ac:dyDescent="0.25">
      <c r="A5000" s="14" t="s">
        <v>14349</v>
      </c>
      <c r="B5000" s="15" t="s">
        <v>183</v>
      </c>
      <c r="C5000" s="16" t="s">
        <v>15475</v>
      </c>
      <c r="D5000" s="21"/>
      <c r="E5000" s="32" t="s">
        <v>15667</v>
      </c>
      <c r="F5000" s="22" t="str">
        <f>VLOOKUP(Table8[[#This Row],[Mã khách hàng]],code_khach_hang[],2,0)</f>
        <v>CÔNG TY CỔ PHẦN DỊCH VỤ THƯƠNG MẠI TỔNG HỢP WINCOMMERCE</v>
      </c>
      <c r="G5000" s="16" t="str">
        <f>VLOOKUP(Table8[[#This Row],[Mã khách hàng]],code_khach_hang[],3,0)</f>
        <v>Miền Nam đặc biệt 1</v>
      </c>
      <c r="H5000" t="str">
        <f>VLOOKUP(Table8[[#This Row],[Mã khách hàng]],'Khách hàng'!A:D,4,0)</f>
        <v>Food Đức Việt</v>
      </c>
      <c r="I5000" t="str">
        <f>VLOOKUP(Table8[[#This Row],[Mã khách hàng]],'Khách hàng'!A:E,5,0)</f>
        <v>HCVG80</v>
      </c>
    </row>
    <row r="5001" spans="1:9" x14ac:dyDescent="0.25">
      <c r="A5001" s="14" t="s">
        <v>14350</v>
      </c>
      <c r="B5001" s="15" t="s">
        <v>183</v>
      </c>
      <c r="C5001" s="16" t="s">
        <v>15476</v>
      </c>
      <c r="D5001" s="21"/>
      <c r="E5001" s="32" t="s">
        <v>15667</v>
      </c>
      <c r="F5001" s="22" t="str">
        <f>VLOOKUP(Table8[[#This Row],[Mã khách hàng]],code_khach_hang[],2,0)</f>
        <v>CÔNG TY CỔ PHẦN DỊCH VỤ THƯƠNG MẠI TỔNG HỢP WINCOMMERCE</v>
      </c>
      <c r="G5001" s="16" t="str">
        <f>VLOOKUP(Table8[[#This Row],[Mã khách hàng]],code_khach_hang[],3,0)</f>
        <v>Miền Nam đặc biệt 1</v>
      </c>
      <c r="H5001" t="str">
        <f>VLOOKUP(Table8[[#This Row],[Mã khách hàng]],'Khách hàng'!A:D,4,0)</f>
        <v>Food Đức Việt</v>
      </c>
      <c r="I5001" t="str">
        <f>VLOOKUP(Table8[[#This Row],[Mã khách hàng]],'Khách hàng'!A:E,5,0)</f>
        <v>HCVG80</v>
      </c>
    </row>
    <row r="5002" spans="1:9" x14ac:dyDescent="0.25">
      <c r="A5002" s="14" t="s">
        <v>14351</v>
      </c>
      <c r="B5002" s="15" t="s">
        <v>183</v>
      </c>
      <c r="C5002" s="16" t="s">
        <v>15477</v>
      </c>
      <c r="D5002" s="21"/>
      <c r="E5002" s="32" t="s">
        <v>15667</v>
      </c>
      <c r="F5002" s="22" t="str">
        <f>VLOOKUP(Table8[[#This Row],[Mã khách hàng]],code_khach_hang[],2,0)</f>
        <v>CÔNG TY CỔ PHẦN DỊCH VỤ THƯƠNG MẠI TỔNG HỢP WINCOMMERCE</v>
      </c>
      <c r="G5002" s="16" t="str">
        <f>VLOOKUP(Table8[[#This Row],[Mã khách hàng]],code_khach_hang[],3,0)</f>
        <v>Miền Nam đặc biệt 1</v>
      </c>
      <c r="H5002" t="str">
        <f>VLOOKUP(Table8[[#This Row],[Mã khách hàng]],'Khách hàng'!A:D,4,0)</f>
        <v>Food Đức Việt</v>
      </c>
      <c r="I5002" t="str">
        <f>VLOOKUP(Table8[[#This Row],[Mã khách hàng]],'Khách hàng'!A:E,5,0)</f>
        <v>HCVG80</v>
      </c>
    </row>
    <row r="5003" spans="1:9" x14ac:dyDescent="0.25">
      <c r="A5003" s="14" t="s">
        <v>14352</v>
      </c>
      <c r="B5003" s="15" t="s">
        <v>183</v>
      </c>
      <c r="C5003" s="16" t="s">
        <v>15478</v>
      </c>
      <c r="D5003" s="21"/>
      <c r="E5003" s="32" t="s">
        <v>15685</v>
      </c>
      <c r="F5003" s="22" t="str">
        <f>VLOOKUP(Table8[[#This Row],[Mã khách hàng]],code_khach_hang[],2,0)</f>
        <v>CHI NHÁNH BÀ RỊA - VŨNG TÀU - CÔNG TY CỔ PHẦN DỊCH VỤ THƯƠNG MẠI TỔNG HỢP WINCOMMERCE</v>
      </c>
      <c r="G5003" s="16" t="str">
        <f>VLOOKUP(Table8[[#This Row],[Mã khách hàng]],code_khach_hang[],3,0)</f>
        <v>Miền Nam đặc biệt 3</v>
      </c>
      <c r="H5003" t="str">
        <f>VLOOKUP(Table8[[#This Row],[Mã khách hàng]],'Khách hàng'!A:D,4,0)</f>
        <v>Food Đức Việt</v>
      </c>
      <c r="I5003" t="str">
        <f>VLOOKUP(Table8[[#This Row],[Mã khách hàng]],'Khách hàng'!A:E,5,0)</f>
        <v>HCVG80</v>
      </c>
    </row>
    <row r="5004" spans="1:9" x14ac:dyDescent="0.25">
      <c r="A5004" s="14" t="s">
        <v>14353</v>
      </c>
      <c r="B5004" s="15" t="s">
        <v>183</v>
      </c>
      <c r="C5004" s="16" t="s">
        <v>15479</v>
      </c>
      <c r="D5004" s="21"/>
      <c r="E5004" s="32" t="s">
        <v>15667</v>
      </c>
      <c r="F5004" s="22" t="str">
        <f>VLOOKUP(Table8[[#This Row],[Mã khách hàng]],code_khach_hang[],2,0)</f>
        <v>CÔNG TY CỔ PHẦN DỊCH VỤ THƯƠNG MẠI TỔNG HỢP WINCOMMERCE</v>
      </c>
      <c r="G5004" s="16" t="str">
        <f>VLOOKUP(Table8[[#This Row],[Mã khách hàng]],code_khach_hang[],3,0)</f>
        <v>Miền Nam đặc biệt 1</v>
      </c>
      <c r="H5004" t="str">
        <f>VLOOKUP(Table8[[#This Row],[Mã khách hàng]],'Khách hàng'!A:D,4,0)</f>
        <v>Food Đức Việt</v>
      </c>
      <c r="I5004" t="str">
        <f>VLOOKUP(Table8[[#This Row],[Mã khách hàng]],'Khách hàng'!A:E,5,0)</f>
        <v>HCVG80</v>
      </c>
    </row>
    <row r="5005" spans="1:9" x14ac:dyDescent="0.25">
      <c r="A5005" s="14" t="s">
        <v>14354</v>
      </c>
      <c r="B5005" s="15" t="s">
        <v>183</v>
      </c>
      <c r="C5005" s="16" t="s">
        <v>15480</v>
      </c>
      <c r="D5005" s="21"/>
      <c r="E5005" s="32" t="s">
        <v>15667</v>
      </c>
      <c r="F5005" s="22" t="str">
        <f>VLOOKUP(Table8[[#This Row],[Mã khách hàng]],code_khach_hang[],2,0)</f>
        <v>CÔNG TY CỔ PHẦN DỊCH VỤ THƯƠNG MẠI TỔNG HỢP WINCOMMERCE</v>
      </c>
      <c r="G5005" s="16" t="str">
        <f>VLOOKUP(Table8[[#This Row],[Mã khách hàng]],code_khach_hang[],3,0)</f>
        <v>Miền Nam đặc biệt 1</v>
      </c>
      <c r="H5005" t="str">
        <f>VLOOKUP(Table8[[#This Row],[Mã khách hàng]],'Khách hàng'!A:D,4,0)</f>
        <v>Food Đức Việt</v>
      </c>
      <c r="I5005" t="str">
        <f>VLOOKUP(Table8[[#This Row],[Mã khách hàng]],'Khách hàng'!A:E,5,0)</f>
        <v>HCVG80</v>
      </c>
    </row>
    <row r="5006" spans="1:9" x14ac:dyDescent="0.25">
      <c r="A5006" s="14" t="s">
        <v>14355</v>
      </c>
      <c r="B5006" s="15" t="s">
        <v>183</v>
      </c>
      <c r="C5006" s="16" t="s">
        <v>15481</v>
      </c>
      <c r="D5006" s="21"/>
      <c r="E5006" s="32" t="s">
        <v>15667</v>
      </c>
      <c r="F5006" s="22" t="str">
        <f>VLOOKUP(Table8[[#This Row],[Mã khách hàng]],code_khach_hang[],2,0)</f>
        <v>CÔNG TY CỔ PHẦN DỊCH VỤ THƯƠNG MẠI TỔNG HỢP WINCOMMERCE</v>
      </c>
      <c r="G5006" s="16" t="str">
        <f>VLOOKUP(Table8[[#This Row],[Mã khách hàng]],code_khach_hang[],3,0)</f>
        <v>Miền Nam đặc biệt 1</v>
      </c>
      <c r="H5006" t="str">
        <f>VLOOKUP(Table8[[#This Row],[Mã khách hàng]],'Khách hàng'!A:D,4,0)</f>
        <v>Food Đức Việt</v>
      </c>
      <c r="I5006" t="str">
        <f>VLOOKUP(Table8[[#This Row],[Mã khách hàng]],'Khách hàng'!A:E,5,0)</f>
        <v>HCVG80</v>
      </c>
    </row>
    <row r="5007" spans="1:9" x14ac:dyDescent="0.25">
      <c r="A5007" s="14" t="s">
        <v>14356</v>
      </c>
      <c r="B5007" s="15" t="s">
        <v>183</v>
      </c>
      <c r="C5007" s="16" t="s">
        <v>15482</v>
      </c>
      <c r="D5007" s="21"/>
      <c r="E5007" s="32" t="s">
        <v>15667</v>
      </c>
      <c r="F5007" s="22" t="str">
        <f>VLOOKUP(Table8[[#This Row],[Mã khách hàng]],code_khach_hang[],2,0)</f>
        <v>CÔNG TY CỔ PHẦN DỊCH VỤ THƯƠNG MẠI TỔNG HỢP WINCOMMERCE</v>
      </c>
      <c r="G5007" s="16" t="str">
        <f>VLOOKUP(Table8[[#This Row],[Mã khách hàng]],code_khach_hang[],3,0)</f>
        <v>Miền Nam đặc biệt 1</v>
      </c>
      <c r="H5007" t="str">
        <f>VLOOKUP(Table8[[#This Row],[Mã khách hàng]],'Khách hàng'!A:D,4,0)</f>
        <v>Food Đức Việt</v>
      </c>
      <c r="I5007" t="str">
        <f>VLOOKUP(Table8[[#This Row],[Mã khách hàng]],'Khách hàng'!A:E,5,0)</f>
        <v>HCVG80</v>
      </c>
    </row>
    <row r="5008" spans="1:9" x14ac:dyDescent="0.25">
      <c r="A5008" s="14" t="s">
        <v>14357</v>
      </c>
      <c r="B5008" s="15" t="s">
        <v>183</v>
      </c>
      <c r="C5008" s="16" t="s">
        <v>15483</v>
      </c>
      <c r="D5008" s="21"/>
      <c r="E5008" s="32" t="s">
        <v>15668</v>
      </c>
      <c r="F5008" s="22" t="str">
        <f>VLOOKUP(Table8[[#This Row],[Mã khách hàng]],code_khach_hang[],2,0)</f>
        <v>CHI NHÁNH ĐỒNG NAI - CÔNG TY CỔ PHẦN DỊCH VỤ THƯƠNG MẠI TỔNG HỢP WINCOMMERCE</v>
      </c>
      <c r="G5008" s="16" t="str">
        <f>VLOOKUP(Table8[[#This Row],[Mã khách hàng]],code_khach_hang[],3,0)</f>
        <v>Miền Nam đặc biệt 3</v>
      </c>
      <c r="H5008" t="str">
        <f>VLOOKUP(Table8[[#This Row],[Mã khách hàng]],'Khách hàng'!A:D,4,0)</f>
        <v>Food Đức Việt</v>
      </c>
      <c r="I5008" t="str">
        <f>VLOOKUP(Table8[[#This Row],[Mã khách hàng]],'Khách hàng'!A:E,5,0)</f>
        <v>HCVG80</v>
      </c>
    </row>
    <row r="5009" spans="1:9" x14ac:dyDescent="0.25">
      <c r="A5009" s="14" t="s">
        <v>14358</v>
      </c>
      <c r="B5009" s="15" t="s">
        <v>5</v>
      </c>
      <c r="C5009" s="16" t="s">
        <v>15484</v>
      </c>
      <c r="D5009" s="21"/>
      <c r="E5009" s="32" t="s">
        <v>15667</v>
      </c>
      <c r="F5009" s="22" t="str">
        <f>VLOOKUP(Table8[[#This Row],[Mã khách hàng]],code_khach_hang[],2,0)</f>
        <v>CÔNG TY CỔ PHẦN DỊCH VỤ THƯƠNG MẠI TỔNG HỢP WINCOMMERCE</v>
      </c>
      <c r="G5009" s="16" t="str">
        <f>VLOOKUP(Table8[[#This Row],[Mã khách hàng]],code_khach_hang[],3,0)</f>
        <v>Miền Nam đặc biệt 1</v>
      </c>
      <c r="H5009" t="str">
        <f>VLOOKUP(Table8[[#This Row],[Mã khách hàng]],'Khách hàng'!A:D,4,0)</f>
        <v>Food Đức Việt</v>
      </c>
      <c r="I5009" t="str">
        <f>VLOOKUP(Table8[[#This Row],[Mã khách hàng]],'Khách hàng'!A:E,5,0)</f>
        <v>HCVG80</v>
      </c>
    </row>
    <row r="5010" spans="1:9" x14ac:dyDescent="0.25">
      <c r="A5010" s="14" t="s">
        <v>14359</v>
      </c>
      <c r="B5010" s="15" t="s">
        <v>183</v>
      </c>
      <c r="C5010" s="16" t="s">
        <v>15485</v>
      </c>
      <c r="D5010" s="21"/>
      <c r="E5010" s="32" t="s">
        <v>15671</v>
      </c>
      <c r="F5010" s="22" t="str">
        <f>VLOOKUP(Table8[[#This Row],[Mã khách hàng]],code_khach_hang[],2,0)</f>
        <v>CHI NHÁNH BÌNH DƯƠNG - CÔNG TY CỔ PHẦN DỊCH VỤ THƯƠNG MẠI TỔNG HỢP WINCOMMERCE</v>
      </c>
      <c r="G5010" s="16" t="str">
        <f>VLOOKUP(Table8[[#This Row],[Mã khách hàng]],code_khach_hang[],3,0)</f>
        <v>Miền Nam đặc biệt 1</v>
      </c>
      <c r="H5010" t="str">
        <f>VLOOKUP(Table8[[#This Row],[Mã khách hàng]],'Khách hàng'!A:D,4,0)</f>
        <v>Food Đức Việt</v>
      </c>
      <c r="I5010" t="str">
        <f>VLOOKUP(Table8[[#This Row],[Mã khách hàng]],'Khách hàng'!A:E,5,0)</f>
        <v>HCVG80</v>
      </c>
    </row>
    <row r="5011" spans="1:9" x14ac:dyDescent="0.25">
      <c r="A5011" s="14" t="s">
        <v>14360</v>
      </c>
      <c r="B5011" s="15" t="s">
        <v>183</v>
      </c>
      <c r="C5011" s="16" t="s">
        <v>15486</v>
      </c>
      <c r="D5011" s="21"/>
      <c r="E5011" s="32" t="s">
        <v>15667</v>
      </c>
      <c r="F5011" s="22" t="str">
        <f>VLOOKUP(Table8[[#This Row],[Mã khách hàng]],code_khach_hang[],2,0)</f>
        <v>CÔNG TY CỔ PHẦN DỊCH VỤ THƯƠNG MẠI TỔNG HỢP WINCOMMERCE</v>
      </c>
      <c r="G5011" s="16" t="str">
        <f>VLOOKUP(Table8[[#This Row],[Mã khách hàng]],code_khach_hang[],3,0)</f>
        <v>Miền Nam đặc biệt 1</v>
      </c>
      <c r="H5011" t="str">
        <f>VLOOKUP(Table8[[#This Row],[Mã khách hàng]],'Khách hàng'!A:D,4,0)</f>
        <v>Food Đức Việt</v>
      </c>
      <c r="I5011" t="str">
        <f>VLOOKUP(Table8[[#This Row],[Mã khách hàng]],'Khách hàng'!A:E,5,0)</f>
        <v>HCVG80</v>
      </c>
    </row>
    <row r="5012" spans="1:9" x14ac:dyDescent="0.25">
      <c r="A5012" s="14" t="s">
        <v>14361</v>
      </c>
      <c r="B5012" s="15" t="s">
        <v>183</v>
      </c>
      <c r="C5012" s="16" t="s">
        <v>15487</v>
      </c>
      <c r="D5012" s="21"/>
      <c r="E5012" s="32" t="s">
        <v>15667</v>
      </c>
      <c r="F5012" s="22" t="str">
        <f>VLOOKUP(Table8[[#This Row],[Mã khách hàng]],code_khach_hang[],2,0)</f>
        <v>CÔNG TY CỔ PHẦN DỊCH VỤ THƯƠNG MẠI TỔNG HỢP WINCOMMERCE</v>
      </c>
      <c r="G5012" s="16" t="str">
        <f>VLOOKUP(Table8[[#This Row],[Mã khách hàng]],code_khach_hang[],3,0)</f>
        <v>Miền Nam đặc biệt 1</v>
      </c>
      <c r="H5012" t="str">
        <f>VLOOKUP(Table8[[#This Row],[Mã khách hàng]],'Khách hàng'!A:D,4,0)</f>
        <v>Food Đức Việt</v>
      </c>
      <c r="I5012" t="str">
        <f>VLOOKUP(Table8[[#This Row],[Mã khách hàng]],'Khách hàng'!A:E,5,0)</f>
        <v>HCVG80</v>
      </c>
    </row>
    <row r="5013" spans="1:9" x14ac:dyDescent="0.25">
      <c r="A5013" s="14" t="s">
        <v>14362</v>
      </c>
      <c r="B5013" s="15" t="s">
        <v>183</v>
      </c>
      <c r="C5013" s="16" t="s">
        <v>15488</v>
      </c>
      <c r="D5013" s="21"/>
      <c r="E5013" s="32" t="s">
        <v>15667</v>
      </c>
      <c r="F5013" s="22" t="str">
        <f>VLOOKUP(Table8[[#This Row],[Mã khách hàng]],code_khach_hang[],2,0)</f>
        <v>CÔNG TY CỔ PHẦN DỊCH VỤ THƯƠNG MẠI TỔNG HỢP WINCOMMERCE</v>
      </c>
      <c r="G5013" s="16" t="str">
        <f>VLOOKUP(Table8[[#This Row],[Mã khách hàng]],code_khach_hang[],3,0)</f>
        <v>Miền Nam đặc biệt 1</v>
      </c>
      <c r="H5013" t="str">
        <f>VLOOKUP(Table8[[#This Row],[Mã khách hàng]],'Khách hàng'!A:D,4,0)</f>
        <v>Food Đức Việt</v>
      </c>
      <c r="I5013" t="str">
        <f>VLOOKUP(Table8[[#This Row],[Mã khách hàng]],'Khách hàng'!A:E,5,0)</f>
        <v>HCVG80</v>
      </c>
    </row>
    <row r="5014" spans="1:9" x14ac:dyDescent="0.25">
      <c r="A5014" s="14" t="s">
        <v>14363</v>
      </c>
      <c r="B5014" s="15" t="s">
        <v>183</v>
      </c>
      <c r="C5014" s="16" t="s">
        <v>15489</v>
      </c>
      <c r="D5014" s="21"/>
      <c r="E5014" s="32" t="s">
        <v>15667</v>
      </c>
      <c r="F5014" s="22" t="str">
        <f>VLOOKUP(Table8[[#This Row],[Mã khách hàng]],code_khach_hang[],2,0)</f>
        <v>CÔNG TY CỔ PHẦN DỊCH VỤ THƯƠNG MẠI TỔNG HỢP WINCOMMERCE</v>
      </c>
      <c r="G5014" s="16" t="str">
        <f>VLOOKUP(Table8[[#This Row],[Mã khách hàng]],code_khach_hang[],3,0)</f>
        <v>Miền Nam đặc biệt 1</v>
      </c>
      <c r="H5014" t="str">
        <f>VLOOKUP(Table8[[#This Row],[Mã khách hàng]],'Khách hàng'!A:D,4,0)</f>
        <v>Food Đức Việt</v>
      </c>
      <c r="I5014" t="str">
        <f>VLOOKUP(Table8[[#This Row],[Mã khách hàng]],'Khách hàng'!A:E,5,0)</f>
        <v>HCVG80</v>
      </c>
    </row>
    <row r="5015" spans="1:9" x14ac:dyDescent="0.25">
      <c r="A5015" s="14" t="s">
        <v>14364</v>
      </c>
      <c r="B5015" s="15" t="s">
        <v>183</v>
      </c>
      <c r="C5015" s="16" t="s">
        <v>15490</v>
      </c>
      <c r="D5015" s="21"/>
      <c r="E5015" s="32" t="s">
        <v>15667</v>
      </c>
      <c r="F5015" s="22" t="str">
        <f>VLOOKUP(Table8[[#This Row],[Mã khách hàng]],code_khach_hang[],2,0)</f>
        <v>CÔNG TY CỔ PHẦN DỊCH VỤ THƯƠNG MẠI TỔNG HỢP WINCOMMERCE</v>
      </c>
      <c r="G5015" s="16" t="str">
        <f>VLOOKUP(Table8[[#This Row],[Mã khách hàng]],code_khach_hang[],3,0)</f>
        <v>Miền Nam đặc biệt 1</v>
      </c>
      <c r="H5015" t="str">
        <f>VLOOKUP(Table8[[#This Row],[Mã khách hàng]],'Khách hàng'!A:D,4,0)</f>
        <v>Food Đức Việt</v>
      </c>
      <c r="I5015" t="str">
        <f>VLOOKUP(Table8[[#This Row],[Mã khách hàng]],'Khách hàng'!A:E,5,0)</f>
        <v>HCVG80</v>
      </c>
    </row>
    <row r="5016" spans="1:9" x14ac:dyDescent="0.25">
      <c r="A5016" s="14" t="s">
        <v>14365</v>
      </c>
      <c r="B5016" s="15" t="s">
        <v>183</v>
      </c>
      <c r="C5016" s="16" t="s">
        <v>15491</v>
      </c>
      <c r="D5016" s="21"/>
      <c r="E5016" s="32" t="s">
        <v>15667</v>
      </c>
      <c r="F5016" s="22" t="str">
        <f>VLOOKUP(Table8[[#This Row],[Mã khách hàng]],code_khach_hang[],2,0)</f>
        <v>CÔNG TY CỔ PHẦN DỊCH VỤ THƯƠNG MẠI TỔNG HỢP WINCOMMERCE</v>
      </c>
      <c r="G5016" s="16" t="str">
        <f>VLOOKUP(Table8[[#This Row],[Mã khách hàng]],code_khach_hang[],3,0)</f>
        <v>Miền Nam đặc biệt 1</v>
      </c>
      <c r="H5016" t="str">
        <f>VLOOKUP(Table8[[#This Row],[Mã khách hàng]],'Khách hàng'!A:D,4,0)</f>
        <v>Food Đức Việt</v>
      </c>
      <c r="I5016" t="str">
        <f>VLOOKUP(Table8[[#This Row],[Mã khách hàng]],'Khách hàng'!A:E,5,0)</f>
        <v>HCVG80</v>
      </c>
    </row>
    <row r="5017" spans="1:9" x14ac:dyDescent="0.25">
      <c r="A5017" s="14" t="s">
        <v>14366</v>
      </c>
      <c r="B5017" s="15" t="s">
        <v>183</v>
      </c>
      <c r="C5017" s="16" t="s">
        <v>15492</v>
      </c>
      <c r="D5017" s="21"/>
      <c r="E5017" s="32" t="s">
        <v>15667</v>
      </c>
      <c r="F5017" s="22" t="str">
        <f>VLOOKUP(Table8[[#This Row],[Mã khách hàng]],code_khach_hang[],2,0)</f>
        <v>CÔNG TY CỔ PHẦN DỊCH VỤ THƯƠNG MẠI TỔNG HỢP WINCOMMERCE</v>
      </c>
      <c r="G5017" s="16" t="str">
        <f>VLOOKUP(Table8[[#This Row],[Mã khách hàng]],code_khach_hang[],3,0)</f>
        <v>Miền Nam đặc biệt 1</v>
      </c>
      <c r="H5017" t="str">
        <f>VLOOKUP(Table8[[#This Row],[Mã khách hàng]],'Khách hàng'!A:D,4,0)</f>
        <v>Food Đức Việt</v>
      </c>
      <c r="I5017" t="str">
        <f>VLOOKUP(Table8[[#This Row],[Mã khách hàng]],'Khách hàng'!A:E,5,0)</f>
        <v>HCVG80</v>
      </c>
    </row>
    <row r="5018" spans="1:9" x14ac:dyDescent="0.25">
      <c r="A5018" s="14" t="s">
        <v>14367</v>
      </c>
      <c r="B5018" s="15" t="s">
        <v>183</v>
      </c>
      <c r="C5018" s="16" t="s">
        <v>15493</v>
      </c>
      <c r="D5018" s="21"/>
      <c r="E5018" s="32" t="s">
        <v>15667</v>
      </c>
      <c r="F5018" s="22" t="str">
        <f>VLOOKUP(Table8[[#This Row],[Mã khách hàng]],code_khach_hang[],2,0)</f>
        <v>CÔNG TY CỔ PHẦN DỊCH VỤ THƯƠNG MẠI TỔNG HỢP WINCOMMERCE</v>
      </c>
      <c r="G5018" s="16" t="str">
        <f>VLOOKUP(Table8[[#This Row],[Mã khách hàng]],code_khach_hang[],3,0)</f>
        <v>Miền Nam đặc biệt 1</v>
      </c>
      <c r="H5018" t="str">
        <f>VLOOKUP(Table8[[#This Row],[Mã khách hàng]],'Khách hàng'!A:D,4,0)</f>
        <v>Food Đức Việt</v>
      </c>
      <c r="I5018" t="str">
        <f>VLOOKUP(Table8[[#This Row],[Mã khách hàng]],'Khách hàng'!A:E,5,0)</f>
        <v>HCVG80</v>
      </c>
    </row>
    <row r="5019" spans="1:9" x14ac:dyDescent="0.25">
      <c r="A5019" s="14" t="s">
        <v>14368</v>
      </c>
      <c r="B5019" s="15" t="s">
        <v>183</v>
      </c>
      <c r="C5019" s="16" t="s">
        <v>15494</v>
      </c>
      <c r="D5019" s="21"/>
      <c r="E5019" s="32" t="s">
        <v>15671</v>
      </c>
      <c r="F5019" s="22" t="str">
        <f>VLOOKUP(Table8[[#This Row],[Mã khách hàng]],code_khach_hang[],2,0)</f>
        <v>CHI NHÁNH BÌNH DƯƠNG - CÔNG TY CỔ PHẦN DỊCH VỤ THƯƠNG MẠI TỔNG HỢP WINCOMMERCE</v>
      </c>
      <c r="G5019" s="16" t="str">
        <f>VLOOKUP(Table8[[#This Row],[Mã khách hàng]],code_khach_hang[],3,0)</f>
        <v>Miền Nam đặc biệt 1</v>
      </c>
      <c r="H5019" t="str">
        <f>VLOOKUP(Table8[[#This Row],[Mã khách hàng]],'Khách hàng'!A:D,4,0)</f>
        <v>Food Đức Việt</v>
      </c>
      <c r="I5019" t="str">
        <f>VLOOKUP(Table8[[#This Row],[Mã khách hàng]],'Khách hàng'!A:E,5,0)</f>
        <v>HCVG80</v>
      </c>
    </row>
    <row r="5020" spans="1:9" x14ac:dyDescent="0.25">
      <c r="A5020" s="14" t="s">
        <v>14369</v>
      </c>
      <c r="B5020" s="15" t="s">
        <v>183</v>
      </c>
      <c r="C5020" s="16" t="s">
        <v>15495</v>
      </c>
      <c r="D5020" s="21"/>
      <c r="E5020" s="32" t="s">
        <v>15667</v>
      </c>
      <c r="F5020" s="22" t="str">
        <f>VLOOKUP(Table8[[#This Row],[Mã khách hàng]],code_khach_hang[],2,0)</f>
        <v>CÔNG TY CỔ PHẦN DỊCH VỤ THƯƠNG MẠI TỔNG HỢP WINCOMMERCE</v>
      </c>
      <c r="G5020" s="16" t="str">
        <f>VLOOKUP(Table8[[#This Row],[Mã khách hàng]],code_khach_hang[],3,0)</f>
        <v>Miền Nam đặc biệt 1</v>
      </c>
      <c r="H5020" t="str">
        <f>VLOOKUP(Table8[[#This Row],[Mã khách hàng]],'Khách hàng'!A:D,4,0)</f>
        <v>Food Đức Việt</v>
      </c>
      <c r="I5020" t="str">
        <f>VLOOKUP(Table8[[#This Row],[Mã khách hàng]],'Khách hàng'!A:E,5,0)</f>
        <v>HCVG80</v>
      </c>
    </row>
    <row r="5021" spans="1:9" x14ac:dyDescent="0.25">
      <c r="A5021" s="14" t="s">
        <v>14370</v>
      </c>
      <c r="B5021" s="15" t="s">
        <v>183</v>
      </c>
      <c r="C5021" s="16" t="s">
        <v>15496</v>
      </c>
      <c r="D5021" s="21"/>
      <c r="E5021" s="32" t="s">
        <v>15667</v>
      </c>
      <c r="F5021" s="22" t="str">
        <f>VLOOKUP(Table8[[#This Row],[Mã khách hàng]],code_khach_hang[],2,0)</f>
        <v>CÔNG TY CỔ PHẦN DỊCH VỤ THƯƠNG MẠI TỔNG HỢP WINCOMMERCE</v>
      </c>
      <c r="G5021" s="16" t="str">
        <f>VLOOKUP(Table8[[#This Row],[Mã khách hàng]],code_khach_hang[],3,0)</f>
        <v>Miền Nam đặc biệt 1</v>
      </c>
      <c r="H5021" t="str">
        <f>VLOOKUP(Table8[[#This Row],[Mã khách hàng]],'Khách hàng'!A:D,4,0)</f>
        <v>Food Đức Việt</v>
      </c>
      <c r="I5021" t="str">
        <f>VLOOKUP(Table8[[#This Row],[Mã khách hàng]],'Khách hàng'!A:E,5,0)</f>
        <v>HCVG80</v>
      </c>
    </row>
    <row r="5022" spans="1:9" x14ac:dyDescent="0.25">
      <c r="A5022" s="14" t="s">
        <v>14371</v>
      </c>
      <c r="B5022" s="15" t="s">
        <v>183</v>
      </c>
      <c r="C5022" s="16" t="s">
        <v>15497</v>
      </c>
      <c r="D5022" s="21"/>
      <c r="E5022" s="32" t="s">
        <v>15667</v>
      </c>
      <c r="F5022" s="22" t="str">
        <f>VLOOKUP(Table8[[#This Row],[Mã khách hàng]],code_khach_hang[],2,0)</f>
        <v>CÔNG TY CỔ PHẦN DỊCH VỤ THƯƠNG MẠI TỔNG HỢP WINCOMMERCE</v>
      </c>
      <c r="G5022" s="16" t="str">
        <f>VLOOKUP(Table8[[#This Row],[Mã khách hàng]],code_khach_hang[],3,0)</f>
        <v>Miền Nam đặc biệt 1</v>
      </c>
      <c r="H5022" t="str">
        <f>VLOOKUP(Table8[[#This Row],[Mã khách hàng]],'Khách hàng'!A:D,4,0)</f>
        <v>Food Đức Việt</v>
      </c>
      <c r="I5022" t="str">
        <f>VLOOKUP(Table8[[#This Row],[Mã khách hàng]],'Khách hàng'!A:E,5,0)</f>
        <v>HCVG80</v>
      </c>
    </row>
    <row r="5023" spans="1:9" x14ac:dyDescent="0.25">
      <c r="A5023" s="14" t="s">
        <v>14372</v>
      </c>
      <c r="B5023" s="15" t="s">
        <v>183</v>
      </c>
      <c r="C5023" s="16" t="s">
        <v>15498</v>
      </c>
      <c r="D5023" s="21"/>
      <c r="E5023" s="32" t="s">
        <v>15667</v>
      </c>
      <c r="F5023" s="22" t="str">
        <f>VLOOKUP(Table8[[#This Row],[Mã khách hàng]],code_khach_hang[],2,0)</f>
        <v>CÔNG TY CỔ PHẦN DỊCH VỤ THƯƠNG MẠI TỔNG HỢP WINCOMMERCE</v>
      </c>
      <c r="G5023" s="16" t="str">
        <f>VLOOKUP(Table8[[#This Row],[Mã khách hàng]],code_khach_hang[],3,0)</f>
        <v>Miền Nam đặc biệt 1</v>
      </c>
      <c r="H5023" t="str">
        <f>VLOOKUP(Table8[[#This Row],[Mã khách hàng]],'Khách hàng'!A:D,4,0)</f>
        <v>Food Đức Việt</v>
      </c>
      <c r="I5023" t="str">
        <f>VLOOKUP(Table8[[#This Row],[Mã khách hàng]],'Khách hàng'!A:E,5,0)</f>
        <v>HCVG80</v>
      </c>
    </row>
    <row r="5024" spans="1:9" x14ac:dyDescent="0.25">
      <c r="A5024" s="14" t="s">
        <v>14373</v>
      </c>
      <c r="B5024" s="15" t="s">
        <v>183</v>
      </c>
      <c r="C5024" s="16" t="s">
        <v>15499</v>
      </c>
      <c r="D5024" s="21"/>
      <c r="E5024" s="32" t="s">
        <v>15671</v>
      </c>
      <c r="F5024" s="22" t="str">
        <f>VLOOKUP(Table8[[#This Row],[Mã khách hàng]],code_khach_hang[],2,0)</f>
        <v>CHI NHÁNH BÌNH DƯƠNG - CÔNG TY CỔ PHẦN DỊCH VỤ THƯƠNG MẠI TỔNG HỢP WINCOMMERCE</v>
      </c>
      <c r="G5024" s="16" t="str">
        <f>VLOOKUP(Table8[[#This Row],[Mã khách hàng]],code_khach_hang[],3,0)</f>
        <v>Miền Nam đặc biệt 1</v>
      </c>
      <c r="H5024" t="str">
        <f>VLOOKUP(Table8[[#This Row],[Mã khách hàng]],'Khách hàng'!A:D,4,0)</f>
        <v>Food Đức Việt</v>
      </c>
      <c r="I5024" t="str">
        <f>VLOOKUP(Table8[[#This Row],[Mã khách hàng]],'Khách hàng'!A:E,5,0)</f>
        <v>HCVG80</v>
      </c>
    </row>
    <row r="5025" spans="1:9" x14ac:dyDescent="0.25">
      <c r="A5025" s="14" t="s">
        <v>14374</v>
      </c>
      <c r="B5025" s="15" t="s">
        <v>183</v>
      </c>
      <c r="C5025" s="16" t="s">
        <v>15500</v>
      </c>
      <c r="D5025" s="21"/>
      <c r="E5025" s="32" t="s">
        <v>15667</v>
      </c>
      <c r="F5025" s="22" t="str">
        <f>VLOOKUP(Table8[[#This Row],[Mã khách hàng]],code_khach_hang[],2,0)</f>
        <v>CÔNG TY CỔ PHẦN DỊCH VỤ THƯƠNG MẠI TỔNG HỢP WINCOMMERCE</v>
      </c>
      <c r="G5025" s="16" t="str">
        <f>VLOOKUP(Table8[[#This Row],[Mã khách hàng]],code_khach_hang[],3,0)</f>
        <v>Miền Nam đặc biệt 1</v>
      </c>
      <c r="H5025" t="str">
        <f>VLOOKUP(Table8[[#This Row],[Mã khách hàng]],'Khách hàng'!A:D,4,0)</f>
        <v>Food Đức Việt</v>
      </c>
      <c r="I5025" t="str">
        <f>VLOOKUP(Table8[[#This Row],[Mã khách hàng]],'Khách hàng'!A:E,5,0)</f>
        <v>HCVG80</v>
      </c>
    </row>
    <row r="5026" spans="1:9" x14ac:dyDescent="0.25">
      <c r="A5026" s="14" t="s">
        <v>14375</v>
      </c>
      <c r="B5026" s="15" t="s">
        <v>183</v>
      </c>
      <c r="C5026" s="16" t="s">
        <v>15501</v>
      </c>
      <c r="D5026" s="21"/>
      <c r="E5026" s="32" t="s">
        <v>15668</v>
      </c>
      <c r="F5026" s="22" t="str">
        <f>VLOOKUP(Table8[[#This Row],[Mã khách hàng]],code_khach_hang[],2,0)</f>
        <v>CHI NHÁNH ĐỒNG NAI - CÔNG TY CỔ PHẦN DỊCH VỤ THƯƠNG MẠI TỔNG HỢP WINCOMMERCE</v>
      </c>
      <c r="G5026" s="16" t="str">
        <f>VLOOKUP(Table8[[#This Row],[Mã khách hàng]],code_khach_hang[],3,0)</f>
        <v>Miền Nam đặc biệt 3</v>
      </c>
      <c r="H5026" t="str">
        <f>VLOOKUP(Table8[[#This Row],[Mã khách hàng]],'Khách hàng'!A:D,4,0)</f>
        <v>Food Đức Việt</v>
      </c>
      <c r="I5026" t="str">
        <f>VLOOKUP(Table8[[#This Row],[Mã khách hàng]],'Khách hàng'!A:E,5,0)</f>
        <v>HCVG80</v>
      </c>
    </row>
    <row r="5027" spans="1:9" x14ac:dyDescent="0.25">
      <c r="A5027" s="14" t="s">
        <v>14376</v>
      </c>
      <c r="B5027" s="15" t="s">
        <v>183</v>
      </c>
      <c r="C5027" s="16" t="s">
        <v>15502</v>
      </c>
      <c r="D5027" s="21"/>
      <c r="E5027" s="32" t="s">
        <v>15668</v>
      </c>
      <c r="F5027" s="22" t="str">
        <f>VLOOKUP(Table8[[#This Row],[Mã khách hàng]],code_khach_hang[],2,0)</f>
        <v>CHI NHÁNH ĐỒNG NAI - CÔNG TY CỔ PHẦN DỊCH VỤ THƯƠNG MẠI TỔNG HỢP WINCOMMERCE</v>
      </c>
      <c r="G5027" s="16" t="str">
        <f>VLOOKUP(Table8[[#This Row],[Mã khách hàng]],code_khach_hang[],3,0)</f>
        <v>Miền Nam đặc biệt 3</v>
      </c>
      <c r="H5027" t="str">
        <f>VLOOKUP(Table8[[#This Row],[Mã khách hàng]],'Khách hàng'!A:D,4,0)</f>
        <v>Food Đức Việt</v>
      </c>
      <c r="I5027" t="str">
        <f>VLOOKUP(Table8[[#This Row],[Mã khách hàng]],'Khách hàng'!A:E,5,0)</f>
        <v>HCVG80</v>
      </c>
    </row>
    <row r="5028" spans="1:9" x14ac:dyDescent="0.25">
      <c r="A5028" s="14" t="s">
        <v>14377</v>
      </c>
      <c r="B5028" s="15" t="s">
        <v>183</v>
      </c>
      <c r="C5028" s="16" t="s">
        <v>15503</v>
      </c>
      <c r="D5028" s="21"/>
      <c r="E5028" s="32" t="s">
        <v>15667</v>
      </c>
      <c r="F5028" s="22" t="str">
        <f>VLOOKUP(Table8[[#This Row],[Mã khách hàng]],code_khach_hang[],2,0)</f>
        <v>CÔNG TY CỔ PHẦN DỊCH VỤ THƯƠNG MẠI TỔNG HỢP WINCOMMERCE</v>
      </c>
      <c r="G5028" s="16" t="str">
        <f>VLOOKUP(Table8[[#This Row],[Mã khách hàng]],code_khach_hang[],3,0)</f>
        <v>Miền Nam đặc biệt 1</v>
      </c>
      <c r="H5028" t="str">
        <f>VLOOKUP(Table8[[#This Row],[Mã khách hàng]],'Khách hàng'!A:D,4,0)</f>
        <v>Food Đức Việt</v>
      </c>
      <c r="I5028" t="str">
        <f>VLOOKUP(Table8[[#This Row],[Mã khách hàng]],'Khách hàng'!A:E,5,0)</f>
        <v>HCVG80</v>
      </c>
    </row>
    <row r="5029" spans="1:9" x14ac:dyDescent="0.25">
      <c r="A5029" s="14" t="s">
        <v>14378</v>
      </c>
      <c r="B5029" s="15" t="s">
        <v>183</v>
      </c>
      <c r="C5029" s="16" t="s">
        <v>15504</v>
      </c>
      <c r="D5029" s="21"/>
      <c r="E5029" s="32" t="s">
        <v>15667</v>
      </c>
      <c r="F5029" s="22" t="str">
        <f>VLOOKUP(Table8[[#This Row],[Mã khách hàng]],code_khach_hang[],2,0)</f>
        <v>CÔNG TY CỔ PHẦN DỊCH VỤ THƯƠNG MẠI TỔNG HỢP WINCOMMERCE</v>
      </c>
      <c r="G5029" s="16" t="str">
        <f>VLOOKUP(Table8[[#This Row],[Mã khách hàng]],code_khach_hang[],3,0)</f>
        <v>Miền Nam đặc biệt 1</v>
      </c>
      <c r="H5029" t="str">
        <f>VLOOKUP(Table8[[#This Row],[Mã khách hàng]],'Khách hàng'!A:D,4,0)</f>
        <v>Food Đức Việt</v>
      </c>
      <c r="I5029" t="str">
        <f>VLOOKUP(Table8[[#This Row],[Mã khách hàng]],'Khách hàng'!A:E,5,0)</f>
        <v>HCVG80</v>
      </c>
    </row>
    <row r="5030" spans="1:9" x14ac:dyDescent="0.25">
      <c r="A5030" s="14" t="s">
        <v>14379</v>
      </c>
      <c r="B5030" s="15" t="s">
        <v>183</v>
      </c>
      <c r="C5030" s="16" t="s">
        <v>15505</v>
      </c>
      <c r="D5030" s="21"/>
      <c r="E5030" s="32" t="s">
        <v>15671</v>
      </c>
      <c r="F5030" s="22" t="str">
        <f>VLOOKUP(Table8[[#This Row],[Mã khách hàng]],code_khach_hang[],2,0)</f>
        <v>CHI NHÁNH BÌNH DƯƠNG - CÔNG TY CỔ PHẦN DỊCH VỤ THƯƠNG MẠI TỔNG HỢP WINCOMMERCE</v>
      </c>
      <c r="G5030" s="16" t="str">
        <f>VLOOKUP(Table8[[#This Row],[Mã khách hàng]],code_khach_hang[],3,0)</f>
        <v>Miền Nam đặc biệt 1</v>
      </c>
      <c r="H5030" t="str">
        <f>VLOOKUP(Table8[[#This Row],[Mã khách hàng]],'Khách hàng'!A:D,4,0)</f>
        <v>Food Đức Việt</v>
      </c>
      <c r="I5030" t="str">
        <f>VLOOKUP(Table8[[#This Row],[Mã khách hàng]],'Khách hàng'!A:E,5,0)</f>
        <v>HCVG80</v>
      </c>
    </row>
    <row r="5031" spans="1:9" x14ac:dyDescent="0.25">
      <c r="A5031" s="14" t="s">
        <v>14380</v>
      </c>
      <c r="B5031" s="15" t="s">
        <v>183</v>
      </c>
      <c r="C5031" s="16" t="s">
        <v>15506</v>
      </c>
      <c r="D5031" s="21"/>
      <c r="E5031" s="32" t="s">
        <v>15667</v>
      </c>
      <c r="F5031" s="22" t="str">
        <f>VLOOKUP(Table8[[#This Row],[Mã khách hàng]],code_khach_hang[],2,0)</f>
        <v>CÔNG TY CỔ PHẦN DỊCH VỤ THƯƠNG MẠI TỔNG HỢP WINCOMMERCE</v>
      </c>
      <c r="G5031" s="16" t="str">
        <f>VLOOKUP(Table8[[#This Row],[Mã khách hàng]],code_khach_hang[],3,0)</f>
        <v>Miền Nam đặc biệt 1</v>
      </c>
      <c r="H5031" t="str">
        <f>VLOOKUP(Table8[[#This Row],[Mã khách hàng]],'Khách hàng'!A:D,4,0)</f>
        <v>Food Đức Việt</v>
      </c>
      <c r="I5031" t="str">
        <f>VLOOKUP(Table8[[#This Row],[Mã khách hàng]],'Khách hàng'!A:E,5,0)</f>
        <v>HCVG80</v>
      </c>
    </row>
    <row r="5032" spans="1:9" x14ac:dyDescent="0.25">
      <c r="A5032" s="14" t="s">
        <v>14381</v>
      </c>
      <c r="B5032" s="15" t="s">
        <v>183</v>
      </c>
      <c r="C5032" s="16" t="s">
        <v>15507</v>
      </c>
      <c r="D5032" s="21"/>
      <c r="E5032" s="32" t="s">
        <v>15667</v>
      </c>
      <c r="F5032" s="22" t="str">
        <f>VLOOKUP(Table8[[#This Row],[Mã khách hàng]],code_khach_hang[],2,0)</f>
        <v>CÔNG TY CỔ PHẦN DỊCH VỤ THƯƠNG MẠI TỔNG HỢP WINCOMMERCE</v>
      </c>
      <c r="G5032" s="16" t="str">
        <f>VLOOKUP(Table8[[#This Row],[Mã khách hàng]],code_khach_hang[],3,0)</f>
        <v>Miền Nam đặc biệt 1</v>
      </c>
      <c r="H5032" t="str">
        <f>VLOOKUP(Table8[[#This Row],[Mã khách hàng]],'Khách hàng'!A:D,4,0)</f>
        <v>Food Đức Việt</v>
      </c>
      <c r="I5032" t="str">
        <f>VLOOKUP(Table8[[#This Row],[Mã khách hàng]],'Khách hàng'!A:E,5,0)</f>
        <v>HCVG80</v>
      </c>
    </row>
    <row r="5033" spans="1:9" x14ac:dyDescent="0.25">
      <c r="A5033" s="14" t="s">
        <v>14382</v>
      </c>
      <c r="B5033" s="15" t="s">
        <v>183</v>
      </c>
      <c r="C5033" s="16" t="s">
        <v>15508</v>
      </c>
      <c r="D5033" s="21"/>
      <c r="E5033" s="32" t="s">
        <v>15667</v>
      </c>
      <c r="F5033" s="22" t="str">
        <f>VLOOKUP(Table8[[#This Row],[Mã khách hàng]],code_khach_hang[],2,0)</f>
        <v>CÔNG TY CỔ PHẦN DỊCH VỤ THƯƠNG MẠI TỔNG HỢP WINCOMMERCE</v>
      </c>
      <c r="G5033" s="16" t="str">
        <f>VLOOKUP(Table8[[#This Row],[Mã khách hàng]],code_khach_hang[],3,0)</f>
        <v>Miền Nam đặc biệt 1</v>
      </c>
      <c r="H5033" t="str">
        <f>VLOOKUP(Table8[[#This Row],[Mã khách hàng]],'Khách hàng'!A:D,4,0)</f>
        <v>Food Đức Việt</v>
      </c>
      <c r="I5033" t="str">
        <f>VLOOKUP(Table8[[#This Row],[Mã khách hàng]],'Khách hàng'!A:E,5,0)</f>
        <v>HCVG80</v>
      </c>
    </row>
    <row r="5034" spans="1:9" x14ac:dyDescent="0.25">
      <c r="A5034" s="14" t="s">
        <v>14383</v>
      </c>
      <c r="B5034" s="15" t="s">
        <v>183</v>
      </c>
      <c r="C5034" s="16" t="s">
        <v>15509</v>
      </c>
      <c r="D5034" s="21"/>
      <c r="E5034" s="32" t="s">
        <v>15671</v>
      </c>
      <c r="F5034" s="22" t="str">
        <f>VLOOKUP(Table8[[#This Row],[Mã khách hàng]],code_khach_hang[],2,0)</f>
        <v>CHI NHÁNH BÌNH DƯƠNG - CÔNG TY CỔ PHẦN DỊCH VỤ THƯƠNG MẠI TỔNG HỢP WINCOMMERCE</v>
      </c>
      <c r="G5034" s="16" t="str">
        <f>VLOOKUP(Table8[[#This Row],[Mã khách hàng]],code_khach_hang[],3,0)</f>
        <v>Miền Nam đặc biệt 1</v>
      </c>
      <c r="H5034" t="str">
        <f>VLOOKUP(Table8[[#This Row],[Mã khách hàng]],'Khách hàng'!A:D,4,0)</f>
        <v>Food Đức Việt</v>
      </c>
      <c r="I5034" t="str">
        <f>VLOOKUP(Table8[[#This Row],[Mã khách hàng]],'Khách hàng'!A:E,5,0)</f>
        <v>HCVG80</v>
      </c>
    </row>
    <row r="5035" spans="1:9" x14ac:dyDescent="0.25">
      <c r="A5035" s="14" t="s">
        <v>14384</v>
      </c>
      <c r="B5035" s="15" t="s">
        <v>183</v>
      </c>
      <c r="C5035" s="16" t="s">
        <v>15510</v>
      </c>
      <c r="D5035" s="21"/>
      <c r="E5035" s="32" t="s">
        <v>15667</v>
      </c>
      <c r="F5035" s="22" t="str">
        <f>VLOOKUP(Table8[[#This Row],[Mã khách hàng]],code_khach_hang[],2,0)</f>
        <v>CÔNG TY CỔ PHẦN DỊCH VỤ THƯƠNG MẠI TỔNG HỢP WINCOMMERCE</v>
      </c>
      <c r="G5035" s="16" t="str">
        <f>VLOOKUP(Table8[[#This Row],[Mã khách hàng]],code_khach_hang[],3,0)</f>
        <v>Miền Nam đặc biệt 1</v>
      </c>
      <c r="H5035" t="str">
        <f>VLOOKUP(Table8[[#This Row],[Mã khách hàng]],'Khách hàng'!A:D,4,0)</f>
        <v>Food Đức Việt</v>
      </c>
      <c r="I5035" t="str">
        <f>VLOOKUP(Table8[[#This Row],[Mã khách hàng]],'Khách hàng'!A:E,5,0)</f>
        <v>HCVG80</v>
      </c>
    </row>
    <row r="5036" spans="1:9" x14ac:dyDescent="0.25">
      <c r="A5036" s="14" t="s">
        <v>14385</v>
      </c>
      <c r="B5036" s="15" t="s">
        <v>183</v>
      </c>
      <c r="C5036" s="16" t="s">
        <v>15511</v>
      </c>
      <c r="D5036" s="21"/>
      <c r="E5036" s="32" t="s">
        <v>15668</v>
      </c>
      <c r="F5036" s="22" t="str">
        <f>VLOOKUP(Table8[[#This Row],[Mã khách hàng]],code_khach_hang[],2,0)</f>
        <v>CHI NHÁNH ĐỒNG NAI - CÔNG TY CỔ PHẦN DỊCH VỤ THƯƠNG MẠI TỔNG HỢP WINCOMMERCE</v>
      </c>
      <c r="G5036" s="16" t="str">
        <f>VLOOKUP(Table8[[#This Row],[Mã khách hàng]],code_khach_hang[],3,0)</f>
        <v>Miền Nam đặc biệt 3</v>
      </c>
      <c r="H5036" t="str">
        <f>VLOOKUP(Table8[[#This Row],[Mã khách hàng]],'Khách hàng'!A:D,4,0)</f>
        <v>Food Đức Việt</v>
      </c>
      <c r="I5036" t="str">
        <f>VLOOKUP(Table8[[#This Row],[Mã khách hàng]],'Khách hàng'!A:E,5,0)</f>
        <v>HCVG80</v>
      </c>
    </row>
    <row r="5037" spans="1:9" x14ac:dyDescent="0.25">
      <c r="A5037" s="14" t="s">
        <v>14386</v>
      </c>
      <c r="B5037" s="15" t="s">
        <v>183</v>
      </c>
      <c r="C5037" s="16" t="s">
        <v>15512</v>
      </c>
      <c r="D5037" s="21"/>
      <c r="E5037" s="32" t="s">
        <v>15671</v>
      </c>
      <c r="F5037" s="22" t="str">
        <f>VLOOKUP(Table8[[#This Row],[Mã khách hàng]],code_khach_hang[],2,0)</f>
        <v>CHI NHÁNH BÌNH DƯƠNG - CÔNG TY CỔ PHẦN DỊCH VỤ THƯƠNG MẠI TỔNG HỢP WINCOMMERCE</v>
      </c>
      <c r="G5037" s="16" t="str">
        <f>VLOOKUP(Table8[[#This Row],[Mã khách hàng]],code_khach_hang[],3,0)</f>
        <v>Miền Nam đặc biệt 1</v>
      </c>
      <c r="H5037" t="str">
        <f>VLOOKUP(Table8[[#This Row],[Mã khách hàng]],'Khách hàng'!A:D,4,0)</f>
        <v>Food Đức Việt</v>
      </c>
      <c r="I5037" t="str">
        <f>VLOOKUP(Table8[[#This Row],[Mã khách hàng]],'Khách hàng'!A:E,5,0)</f>
        <v>HCVG80</v>
      </c>
    </row>
    <row r="5038" spans="1:9" x14ac:dyDescent="0.25">
      <c r="A5038" s="14" t="s">
        <v>14387</v>
      </c>
      <c r="B5038" s="15" t="s">
        <v>183</v>
      </c>
      <c r="C5038" s="16" t="s">
        <v>15513</v>
      </c>
      <c r="D5038" s="21"/>
      <c r="E5038" s="32" t="s">
        <v>15667</v>
      </c>
      <c r="F5038" s="22" t="str">
        <f>VLOOKUP(Table8[[#This Row],[Mã khách hàng]],code_khach_hang[],2,0)</f>
        <v>CÔNG TY CỔ PHẦN DỊCH VỤ THƯƠNG MẠI TỔNG HỢP WINCOMMERCE</v>
      </c>
      <c r="G5038" s="16" t="str">
        <f>VLOOKUP(Table8[[#This Row],[Mã khách hàng]],code_khach_hang[],3,0)</f>
        <v>Miền Nam đặc biệt 1</v>
      </c>
      <c r="H5038" t="str">
        <f>VLOOKUP(Table8[[#This Row],[Mã khách hàng]],'Khách hàng'!A:D,4,0)</f>
        <v>Food Đức Việt</v>
      </c>
      <c r="I5038" t="str">
        <f>VLOOKUP(Table8[[#This Row],[Mã khách hàng]],'Khách hàng'!A:E,5,0)</f>
        <v>HCVG80</v>
      </c>
    </row>
    <row r="5039" spans="1:9" x14ac:dyDescent="0.25">
      <c r="A5039" s="14" t="s">
        <v>14388</v>
      </c>
      <c r="B5039" s="15" t="s">
        <v>183</v>
      </c>
      <c r="C5039" s="16" t="s">
        <v>15514</v>
      </c>
      <c r="D5039" s="21"/>
      <c r="E5039" s="32" t="s">
        <v>15667</v>
      </c>
      <c r="F5039" s="22" t="str">
        <f>VLOOKUP(Table8[[#This Row],[Mã khách hàng]],code_khach_hang[],2,0)</f>
        <v>CÔNG TY CỔ PHẦN DỊCH VỤ THƯƠNG MẠI TỔNG HỢP WINCOMMERCE</v>
      </c>
      <c r="G5039" s="16" t="str">
        <f>VLOOKUP(Table8[[#This Row],[Mã khách hàng]],code_khach_hang[],3,0)</f>
        <v>Miền Nam đặc biệt 1</v>
      </c>
      <c r="H5039" t="str">
        <f>VLOOKUP(Table8[[#This Row],[Mã khách hàng]],'Khách hàng'!A:D,4,0)</f>
        <v>Food Đức Việt</v>
      </c>
      <c r="I5039" t="str">
        <f>VLOOKUP(Table8[[#This Row],[Mã khách hàng]],'Khách hàng'!A:E,5,0)</f>
        <v>HCVG80</v>
      </c>
    </row>
    <row r="5040" spans="1:9" x14ac:dyDescent="0.25">
      <c r="A5040" s="14" t="s">
        <v>14389</v>
      </c>
      <c r="B5040" s="15" t="s">
        <v>183</v>
      </c>
      <c r="C5040" s="16" t="s">
        <v>15515</v>
      </c>
      <c r="D5040" s="21"/>
      <c r="E5040" s="32" t="s">
        <v>15667</v>
      </c>
      <c r="F5040" s="22" t="str">
        <f>VLOOKUP(Table8[[#This Row],[Mã khách hàng]],code_khach_hang[],2,0)</f>
        <v>CÔNG TY CỔ PHẦN DỊCH VỤ THƯƠNG MẠI TỔNG HỢP WINCOMMERCE</v>
      </c>
      <c r="G5040" s="16" t="str">
        <f>VLOOKUP(Table8[[#This Row],[Mã khách hàng]],code_khach_hang[],3,0)</f>
        <v>Miền Nam đặc biệt 1</v>
      </c>
      <c r="H5040" t="str">
        <f>VLOOKUP(Table8[[#This Row],[Mã khách hàng]],'Khách hàng'!A:D,4,0)</f>
        <v>Food Đức Việt</v>
      </c>
      <c r="I5040" t="str">
        <f>VLOOKUP(Table8[[#This Row],[Mã khách hàng]],'Khách hàng'!A:E,5,0)</f>
        <v>HCVG80</v>
      </c>
    </row>
    <row r="5041" spans="1:9" x14ac:dyDescent="0.25">
      <c r="A5041" s="14" t="s">
        <v>14390</v>
      </c>
      <c r="B5041" s="15" t="s">
        <v>183</v>
      </c>
      <c r="C5041" s="16" t="s">
        <v>15516</v>
      </c>
      <c r="D5041" s="21"/>
      <c r="E5041" s="32" t="s">
        <v>15667</v>
      </c>
      <c r="F5041" s="22" t="str">
        <f>VLOOKUP(Table8[[#This Row],[Mã khách hàng]],code_khach_hang[],2,0)</f>
        <v>CÔNG TY CỔ PHẦN DỊCH VỤ THƯƠNG MẠI TỔNG HỢP WINCOMMERCE</v>
      </c>
      <c r="G5041" s="16" t="str">
        <f>VLOOKUP(Table8[[#This Row],[Mã khách hàng]],code_khach_hang[],3,0)</f>
        <v>Miền Nam đặc biệt 1</v>
      </c>
      <c r="H5041" t="str">
        <f>VLOOKUP(Table8[[#This Row],[Mã khách hàng]],'Khách hàng'!A:D,4,0)</f>
        <v>Food Đức Việt</v>
      </c>
      <c r="I5041" t="str">
        <f>VLOOKUP(Table8[[#This Row],[Mã khách hàng]],'Khách hàng'!A:E,5,0)</f>
        <v>HCVG80</v>
      </c>
    </row>
    <row r="5042" spans="1:9" x14ac:dyDescent="0.25">
      <c r="A5042" s="14" t="s">
        <v>14391</v>
      </c>
      <c r="B5042" s="15" t="s">
        <v>183</v>
      </c>
      <c r="C5042" s="16" t="s">
        <v>15517</v>
      </c>
      <c r="D5042" s="21"/>
      <c r="E5042" s="32" t="s">
        <v>15667</v>
      </c>
      <c r="F5042" s="22" t="str">
        <f>VLOOKUP(Table8[[#This Row],[Mã khách hàng]],code_khach_hang[],2,0)</f>
        <v>CÔNG TY CỔ PHẦN DỊCH VỤ THƯƠNG MẠI TỔNG HỢP WINCOMMERCE</v>
      </c>
      <c r="G5042" s="16" t="str">
        <f>VLOOKUP(Table8[[#This Row],[Mã khách hàng]],code_khach_hang[],3,0)</f>
        <v>Miền Nam đặc biệt 1</v>
      </c>
      <c r="H5042" t="str">
        <f>VLOOKUP(Table8[[#This Row],[Mã khách hàng]],'Khách hàng'!A:D,4,0)</f>
        <v>Food Đức Việt</v>
      </c>
      <c r="I5042" t="str">
        <f>VLOOKUP(Table8[[#This Row],[Mã khách hàng]],'Khách hàng'!A:E,5,0)</f>
        <v>HCVG80</v>
      </c>
    </row>
    <row r="5043" spans="1:9" x14ac:dyDescent="0.25">
      <c r="A5043" s="14" t="s">
        <v>14392</v>
      </c>
      <c r="B5043" s="15" t="s">
        <v>183</v>
      </c>
      <c r="C5043" s="16" t="s">
        <v>15518</v>
      </c>
      <c r="D5043" s="21"/>
      <c r="E5043" s="32" t="s">
        <v>15668</v>
      </c>
      <c r="F5043" s="22" t="str">
        <f>VLOOKUP(Table8[[#This Row],[Mã khách hàng]],code_khach_hang[],2,0)</f>
        <v>CHI NHÁNH ĐỒNG NAI - CÔNG TY CỔ PHẦN DỊCH VỤ THƯƠNG MẠI TỔNG HỢP WINCOMMERCE</v>
      </c>
      <c r="G5043" s="16" t="str">
        <f>VLOOKUP(Table8[[#This Row],[Mã khách hàng]],code_khach_hang[],3,0)</f>
        <v>Miền Nam đặc biệt 3</v>
      </c>
      <c r="H5043" t="str">
        <f>VLOOKUP(Table8[[#This Row],[Mã khách hàng]],'Khách hàng'!A:D,4,0)</f>
        <v>Food Đức Việt</v>
      </c>
      <c r="I5043" t="str">
        <f>VLOOKUP(Table8[[#This Row],[Mã khách hàng]],'Khách hàng'!A:E,5,0)</f>
        <v>HCVG80</v>
      </c>
    </row>
    <row r="5044" spans="1:9" x14ac:dyDescent="0.25">
      <c r="A5044" s="14" t="s">
        <v>14393</v>
      </c>
      <c r="B5044" s="15" t="s">
        <v>183</v>
      </c>
      <c r="C5044" s="16" t="s">
        <v>15519</v>
      </c>
      <c r="D5044" s="21"/>
      <c r="E5044" s="32" t="s">
        <v>15685</v>
      </c>
      <c r="F5044" s="22" t="str">
        <f>VLOOKUP(Table8[[#This Row],[Mã khách hàng]],code_khach_hang[],2,0)</f>
        <v>CHI NHÁNH BÀ RỊA - VŨNG TÀU - CÔNG TY CỔ PHẦN DỊCH VỤ THƯƠNG MẠI TỔNG HỢP WINCOMMERCE</v>
      </c>
      <c r="G5044" s="16" t="str">
        <f>VLOOKUP(Table8[[#This Row],[Mã khách hàng]],code_khach_hang[],3,0)</f>
        <v>Miền Nam đặc biệt 3</v>
      </c>
      <c r="H5044" t="str">
        <f>VLOOKUP(Table8[[#This Row],[Mã khách hàng]],'Khách hàng'!A:D,4,0)</f>
        <v>Food Đức Việt</v>
      </c>
      <c r="I5044" t="str">
        <f>VLOOKUP(Table8[[#This Row],[Mã khách hàng]],'Khách hàng'!A:E,5,0)</f>
        <v>HCVG80</v>
      </c>
    </row>
    <row r="5045" spans="1:9" x14ac:dyDescent="0.25">
      <c r="A5045" s="14" t="s">
        <v>14394</v>
      </c>
      <c r="B5045" s="15" t="s">
        <v>183</v>
      </c>
      <c r="C5045" s="16" t="s">
        <v>15520</v>
      </c>
      <c r="D5045" s="21"/>
      <c r="E5045" s="32" t="s">
        <v>15667</v>
      </c>
      <c r="F5045" s="22" t="str">
        <f>VLOOKUP(Table8[[#This Row],[Mã khách hàng]],code_khach_hang[],2,0)</f>
        <v>CÔNG TY CỔ PHẦN DỊCH VỤ THƯƠNG MẠI TỔNG HỢP WINCOMMERCE</v>
      </c>
      <c r="G5045" s="16" t="str">
        <f>VLOOKUP(Table8[[#This Row],[Mã khách hàng]],code_khach_hang[],3,0)</f>
        <v>Miền Nam đặc biệt 1</v>
      </c>
      <c r="H5045" t="str">
        <f>VLOOKUP(Table8[[#This Row],[Mã khách hàng]],'Khách hàng'!A:D,4,0)</f>
        <v>Food Đức Việt</v>
      </c>
      <c r="I5045" t="str">
        <f>VLOOKUP(Table8[[#This Row],[Mã khách hàng]],'Khách hàng'!A:E,5,0)</f>
        <v>HCVG80</v>
      </c>
    </row>
    <row r="5046" spans="1:9" x14ac:dyDescent="0.25">
      <c r="A5046" s="14" t="s">
        <v>14395</v>
      </c>
      <c r="B5046" s="15" t="s">
        <v>183</v>
      </c>
      <c r="C5046" s="16" t="s">
        <v>15521</v>
      </c>
      <c r="D5046" s="21"/>
      <c r="E5046" s="32" t="s">
        <v>15667</v>
      </c>
      <c r="F5046" s="22" t="str">
        <f>VLOOKUP(Table8[[#This Row],[Mã khách hàng]],code_khach_hang[],2,0)</f>
        <v>CÔNG TY CỔ PHẦN DỊCH VỤ THƯƠNG MẠI TỔNG HỢP WINCOMMERCE</v>
      </c>
      <c r="G5046" s="16" t="str">
        <f>VLOOKUP(Table8[[#This Row],[Mã khách hàng]],code_khach_hang[],3,0)</f>
        <v>Miền Nam đặc biệt 1</v>
      </c>
      <c r="H5046" t="str">
        <f>VLOOKUP(Table8[[#This Row],[Mã khách hàng]],'Khách hàng'!A:D,4,0)</f>
        <v>Food Đức Việt</v>
      </c>
      <c r="I5046" t="str">
        <f>VLOOKUP(Table8[[#This Row],[Mã khách hàng]],'Khách hàng'!A:E,5,0)</f>
        <v>HCVG80</v>
      </c>
    </row>
    <row r="5047" spans="1:9" x14ac:dyDescent="0.25">
      <c r="A5047" s="14" t="s">
        <v>14396</v>
      </c>
      <c r="B5047" s="15" t="s">
        <v>183</v>
      </c>
      <c r="C5047" s="16" t="s">
        <v>15522</v>
      </c>
      <c r="D5047" s="21"/>
      <c r="E5047" s="32" t="s">
        <v>15685</v>
      </c>
      <c r="F5047" s="22" t="str">
        <f>VLOOKUP(Table8[[#This Row],[Mã khách hàng]],code_khach_hang[],2,0)</f>
        <v>CHI NHÁNH BÀ RỊA - VŨNG TÀU - CÔNG TY CỔ PHẦN DỊCH VỤ THƯƠNG MẠI TỔNG HỢP WINCOMMERCE</v>
      </c>
      <c r="G5047" s="16" t="str">
        <f>VLOOKUP(Table8[[#This Row],[Mã khách hàng]],code_khach_hang[],3,0)</f>
        <v>Miền Nam đặc biệt 3</v>
      </c>
      <c r="H5047" t="str">
        <f>VLOOKUP(Table8[[#This Row],[Mã khách hàng]],'Khách hàng'!A:D,4,0)</f>
        <v>Food Đức Việt</v>
      </c>
      <c r="I5047" t="str">
        <f>VLOOKUP(Table8[[#This Row],[Mã khách hàng]],'Khách hàng'!A:E,5,0)</f>
        <v>HCVG80</v>
      </c>
    </row>
    <row r="5048" spans="1:9" x14ac:dyDescent="0.25">
      <c r="A5048" s="14" t="s">
        <v>14397</v>
      </c>
      <c r="B5048" s="15" t="s">
        <v>183</v>
      </c>
      <c r="C5048" s="16" t="s">
        <v>15523</v>
      </c>
      <c r="D5048" s="21"/>
      <c r="E5048" s="32" t="s">
        <v>15685</v>
      </c>
      <c r="F5048" s="22" t="str">
        <f>VLOOKUP(Table8[[#This Row],[Mã khách hàng]],code_khach_hang[],2,0)</f>
        <v>CHI NHÁNH BÀ RỊA - VŨNG TÀU - CÔNG TY CỔ PHẦN DỊCH VỤ THƯƠNG MẠI TỔNG HỢP WINCOMMERCE</v>
      </c>
      <c r="G5048" s="16" t="str">
        <f>VLOOKUP(Table8[[#This Row],[Mã khách hàng]],code_khach_hang[],3,0)</f>
        <v>Miền Nam đặc biệt 3</v>
      </c>
      <c r="H5048" t="str">
        <f>VLOOKUP(Table8[[#This Row],[Mã khách hàng]],'Khách hàng'!A:D,4,0)</f>
        <v>Food Đức Việt</v>
      </c>
      <c r="I5048" t="str">
        <f>VLOOKUP(Table8[[#This Row],[Mã khách hàng]],'Khách hàng'!A:E,5,0)</f>
        <v>HCVG80</v>
      </c>
    </row>
    <row r="5049" spans="1:9" x14ac:dyDescent="0.25">
      <c r="A5049" s="14" t="s">
        <v>14398</v>
      </c>
      <c r="B5049" s="15" t="s">
        <v>183</v>
      </c>
      <c r="C5049" s="16" t="s">
        <v>15524</v>
      </c>
      <c r="D5049" s="21"/>
      <c r="E5049" s="32" t="s">
        <v>15667</v>
      </c>
      <c r="F5049" s="22" t="str">
        <f>VLOOKUP(Table8[[#This Row],[Mã khách hàng]],code_khach_hang[],2,0)</f>
        <v>CÔNG TY CỔ PHẦN DỊCH VỤ THƯƠNG MẠI TỔNG HỢP WINCOMMERCE</v>
      </c>
      <c r="G5049" s="16" t="str">
        <f>VLOOKUP(Table8[[#This Row],[Mã khách hàng]],code_khach_hang[],3,0)</f>
        <v>Miền Nam đặc biệt 1</v>
      </c>
      <c r="H5049" t="str">
        <f>VLOOKUP(Table8[[#This Row],[Mã khách hàng]],'Khách hàng'!A:D,4,0)</f>
        <v>Food Đức Việt</v>
      </c>
      <c r="I5049" t="str">
        <f>VLOOKUP(Table8[[#This Row],[Mã khách hàng]],'Khách hàng'!A:E,5,0)</f>
        <v>HCVG80</v>
      </c>
    </row>
    <row r="5050" spans="1:9" x14ac:dyDescent="0.25">
      <c r="A5050" s="14" t="s">
        <v>14399</v>
      </c>
      <c r="B5050" s="15" t="s">
        <v>5</v>
      </c>
      <c r="C5050" s="16" t="s">
        <v>15525</v>
      </c>
      <c r="D5050" s="21"/>
      <c r="E5050" s="32" t="s">
        <v>15667</v>
      </c>
      <c r="F5050" s="22" t="str">
        <f>VLOOKUP(Table8[[#This Row],[Mã khách hàng]],code_khach_hang[],2,0)</f>
        <v>CÔNG TY CỔ PHẦN DỊCH VỤ THƯƠNG MẠI TỔNG HỢP WINCOMMERCE</v>
      </c>
      <c r="G5050" s="16" t="str">
        <f>VLOOKUP(Table8[[#This Row],[Mã khách hàng]],code_khach_hang[],3,0)</f>
        <v>Miền Nam đặc biệt 1</v>
      </c>
      <c r="H5050" t="str">
        <f>VLOOKUP(Table8[[#This Row],[Mã khách hàng]],'Khách hàng'!A:D,4,0)</f>
        <v>Food Đức Việt</v>
      </c>
      <c r="I5050" t="str">
        <f>VLOOKUP(Table8[[#This Row],[Mã khách hàng]],'Khách hàng'!A:E,5,0)</f>
        <v>HCVG80</v>
      </c>
    </row>
    <row r="5051" spans="1:9" x14ac:dyDescent="0.25">
      <c r="A5051" s="14" t="s">
        <v>14400</v>
      </c>
      <c r="B5051" s="15" t="s">
        <v>183</v>
      </c>
      <c r="C5051" s="16" t="s">
        <v>15526</v>
      </c>
      <c r="D5051" s="21"/>
      <c r="E5051" s="32" t="s">
        <v>15667</v>
      </c>
      <c r="F5051" s="22" t="str">
        <f>VLOOKUP(Table8[[#This Row],[Mã khách hàng]],code_khach_hang[],2,0)</f>
        <v>CÔNG TY CỔ PHẦN DỊCH VỤ THƯƠNG MẠI TỔNG HỢP WINCOMMERCE</v>
      </c>
      <c r="G5051" s="16" t="str">
        <f>VLOOKUP(Table8[[#This Row],[Mã khách hàng]],code_khach_hang[],3,0)</f>
        <v>Miền Nam đặc biệt 1</v>
      </c>
      <c r="H5051" t="str">
        <f>VLOOKUP(Table8[[#This Row],[Mã khách hàng]],'Khách hàng'!A:D,4,0)</f>
        <v>Food Đức Việt</v>
      </c>
      <c r="I5051" t="str">
        <f>VLOOKUP(Table8[[#This Row],[Mã khách hàng]],'Khách hàng'!A:E,5,0)</f>
        <v>HCVG80</v>
      </c>
    </row>
    <row r="5052" spans="1:9" x14ac:dyDescent="0.25">
      <c r="A5052" s="14" t="s">
        <v>14401</v>
      </c>
      <c r="B5052" s="15" t="s">
        <v>183</v>
      </c>
      <c r="C5052" s="16" t="s">
        <v>15527</v>
      </c>
      <c r="D5052" s="21"/>
      <c r="E5052" s="32" t="s">
        <v>15671</v>
      </c>
      <c r="F5052" s="22" t="str">
        <f>VLOOKUP(Table8[[#This Row],[Mã khách hàng]],code_khach_hang[],2,0)</f>
        <v>CHI NHÁNH BÌNH DƯƠNG - CÔNG TY CỔ PHẦN DỊCH VỤ THƯƠNG MẠI TỔNG HỢP WINCOMMERCE</v>
      </c>
      <c r="G5052" s="16" t="str">
        <f>VLOOKUP(Table8[[#This Row],[Mã khách hàng]],code_khach_hang[],3,0)</f>
        <v>Miền Nam đặc biệt 1</v>
      </c>
      <c r="H5052" t="str">
        <f>VLOOKUP(Table8[[#This Row],[Mã khách hàng]],'Khách hàng'!A:D,4,0)</f>
        <v>Food Đức Việt</v>
      </c>
      <c r="I5052" t="str">
        <f>VLOOKUP(Table8[[#This Row],[Mã khách hàng]],'Khách hàng'!A:E,5,0)</f>
        <v>HCVG80</v>
      </c>
    </row>
    <row r="5053" spans="1:9" x14ac:dyDescent="0.25">
      <c r="A5053" s="14" t="s">
        <v>14402</v>
      </c>
      <c r="B5053" s="15" t="s">
        <v>183</v>
      </c>
      <c r="C5053" s="16" t="s">
        <v>15528</v>
      </c>
      <c r="D5053" s="21"/>
      <c r="E5053" s="32" t="s">
        <v>15685</v>
      </c>
      <c r="F5053" s="22" t="str">
        <f>VLOOKUP(Table8[[#This Row],[Mã khách hàng]],code_khach_hang[],2,0)</f>
        <v>CHI NHÁNH BÀ RỊA - VŨNG TÀU - CÔNG TY CỔ PHẦN DỊCH VỤ THƯƠNG MẠI TỔNG HỢP WINCOMMERCE</v>
      </c>
      <c r="G5053" s="16" t="str">
        <f>VLOOKUP(Table8[[#This Row],[Mã khách hàng]],code_khach_hang[],3,0)</f>
        <v>Miền Nam đặc biệt 3</v>
      </c>
      <c r="H5053" t="str">
        <f>VLOOKUP(Table8[[#This Row],[Mã khách hàng]],'Khách hàng'!A:D,4,0)</f>
        <v>Food Đức Việt</v>
      </c>
      <c r="I5053" t="str">
        <f>VLOOKUP(Table8[[#This Row],[Mã khách hàng]],'Khách hàng'!A:E,5,0)</f>
        <v>HCVG80</v>
      </c>
    </row>
    <row r="5054" spans="1:9" x14ac:dyDescent="0.25">
      <c r="A5054" s="14" t="s">
        <v>14403</v>
      </c>
      <c r="B5054" s="15" t="s">
        <v>183</v>
      </c>
      <c r="C5054" s="16" t="s">
        <v>15529</v>
      </c>
      <c r="D5054" s="21"/>
      <c r="E5054" s="32" t="s">
        <v>15667</v>
      </c>
      <c r="F5054" s="22" t="str">
        <f>VLOOKUP(Table8[[#This Row],[Mã khách hàng]],code_khach_hang[],2,0)</f>
        <v>CÔNG TY CỔ PHẦN DỊCH VỤ THƯƠNG MẠI TỔNG HỢP WINCOMMERCE</v>
      </c>
      <c r="G5054" s="16" t="str">
        <f>VLOOKUP(Table8[[#This Row],[Mã khách hàng]],code_khach_hang[],3,0)</f>
        <v>Miền Nam đặc biệt 1</v>
      </c>
      <c r="H5054" t="str">
        <f>VLOOKUP(Table8[[#This Row],[Mã khách hàng]],'Khách hàng'!A:D,4,0)</f>
        <v>Food Đức Việt</v>
      </c>
      <c r="I5054" t="str">
        <f>VLOOKUP(Table8[[#This Row],[Mã khách hàng]],'Khách hàng'!A:E,5,0)</f>
        <v>HCVG80</v>
      </c>
    </row>
    <row r="5055" spans="1:9" x14ac:dyDescent="0.25">
      <c r="A5055" s="14" t="s">
        <v>14404</v>
      </c>
      <c r="B5055" s="15" t="s">
        <v>183</v>
      </c>
      <c r="C5055" s="16" t="s">
        <v>15530</v>
      </c>
      <c r="D5055" s="21"/>
      <c r="E5055" s="32" t="s">
        <v>15667</v>
      </c>
      <c r="F5055" s="22" t="str">
        <f>VLOOKUP(Table8[[#This Row],[Mã khách hàng]],code_khach_hang[],2,0)</f>
        <v>CÔNG TY CỔ PHẦN DỊCH VỤ THƯƠNG MẠI TỔNG HỢP WINCOMMERCE</v>
      </c>
      <c r="G5055" s="16" t="str">
        <f>VLOOKUP(Table8[[#This Row],[Mã khách hàng]],code_khach_hang[],3,0)</f>
        <v>Miền Nam đặc biệt 1</v>
      </c>
      <c r="H5055" t="str">
        <f>VLOOKUP(Table8[[#This Row],[Mã khách hàng]],'Khách hàng'!A:D,4,0)</f>
        <v>Food Đức Việt</v>
      </c>
      <c r="I5055" t="str">
        <f>VLOOKUP(Table8[[#This Row],[Mã khách hàng]],'Khách hàng'!A:E,5,0)</f>
        <v>HCVG80</v>
      </c>
    </row>
    <row r="5056" spans="1:9" x14ac:dyDescent="0.25">
      <c r="A5056" s="14" t="s">
        <v>14405</v>
      </c>
      <c r="B5056" s="15" t="s">
        <v>183</v>
      </c>
      <c r="C5056" s="16" t="s">
        <v>15531</v>
      </c>
      <c r="D5056" s="21"/>
      <c r="E5056" s="32" t="s">
        <v>15685</v>
      </c>
      <c r="F5056" s="22" t="str">
        <f>VLOOKUP(Table8[[#This Row],[Mã khách hàng]],code_khach_hang[],2,0)</f>
        <v>CHI NHÁNH BÀ RỊA - VŨNG TÀU - CÔNG TY CỔ PHẦN DỊCH VỤ THƯƠNG MẠI TỔNG HỢP WINCOMMERCE</v>
      </c>
      <c r="G5056" s="16" t="str">
        <f>VLOOKUP(Table8[[#This Row],[Mã khách hàng]],code_khach_hang[],3,0)</f>
        <v>Miền Nam đặc biệt 3</v>
      </c>
      <c r="H5056" t="str">
        <f>VLOOKUP(Table8[[#This Row],[Mã khách hàng]],'Khách hàng'!A:D,4,0)</f>
        <v>Food Đức Việt</v>
      </c>
      <c r="I5056" t="str">
        <f>VLOOKUP(Table8[[#This Row],[Mã khách hàng]],'Khách hàng'!A:E,5,0)</f>
        <v>HCVG80</v>
      </c>
    </row>
    <row r="5057" spans="1:9" x14ac:dyDescent="0.25">
      <c r="A5057" s="14" t="s">
        <v>14406</v>
      </c>
      <c r="B5057" s="15" t="s">
        <v>183</v>
      </c>
      <c r="C5057" s="16" t="s">
        <v>15532</v>
      </c>
      <c r="D5057" s="21"/>
      <c r="E5057" s="32" t="s">
        <v>15685</v>
      </c>
      <c r="F5057" s="22" t="str">
        <f>VLOOKUP(Table8[[#This Row],[Mã khách hàng]],code_khach_hang[],2,0)</f>
        <v>CHI NHÁNH BÀ RỊA - VŨNG TÀU - CÔNG TY CỔ PHẦN DỊCH VỤ THƯƠNG MẠI TỔNG HỢP WINCOMMERCE</v>
      </c>
      <c r="G5057" s="16" t="str">
        <f>VLOOKUP(Table8[[#This Row],[Mã khách hàng]],code_khach_hang[],3,0)</f>
        <v>Miền Nam đặc biệt 3</v>
      </c>
      <c r="H5057" t="str">
        <f>VLOOKUP(Table8[[#This Row],[Mã khách hàng]],'Khách hàng'!A:D,4,0)</f>
        <v>Food Đức Việt</v>
      </c>
      <c r="I5057" t="str">
        <f>VLOOKUP(Table8[[#This Row],[Mã khách hàng]],'Khách hàng'!A:E,5,0)</f>
        <v>HCVG80</v>
      </c>
    </row>
    <row r="5058" spans="1:9" x14ac:dyDescent="0.25">
      <c r="A5058" s="14" t="s">
        <v>14407</v>
      </c>
      <c r="B5058" s="15" t="s">
        <v>183</v>
      </c>
      <c r="C5058" s="16" t="s">
        <v>15533</v>
      </c>
      <c r="D5058" s="21"/>
      <c r="E5058" s="32" t="s">
        <v>15667</v>
      </c>
      <c r="F5058" s="22" t="str">
        <f>VLOOKUP(Table8[[#This Row],[Mã khách hàng]],code_khach_hang[],2,0)</f>
        <v>CÔNG TY CỔ PHẦN DỊCH VỤ THƯƠNG MẠI TỔNG HỢP WINCOMMERCE</v>
      </c>
      <c r="G5058" s="16" t="str">
        <f>VLOOKUP(Table8[[#This Row],[Mã khách hàng]],code_khach_hang[],3,0)</f>
        <v>Miền Nam đặc biệt 1</v>
      </c>
      <c r="H5058" t="str">
        <f>VLOOKUP(Table8[[#This Row],[Mã khách hàng]],'Khách hàng'!A:D,4,0)</f>
        <v>Food Đức Việt</v>
      </c>
      <c r="I5058" t="str">
        <f>VLOOKUP(Table8[[#This Row],[Mã khách hàng]],'Khách hàng'!A:E,5,0)</f>
        <v>HCVG80</v>
      </c>
    </row>
    <row r="5059" spans="1:9" x14ac:dyDescent="0.25">
      <c r="A5059" s="14" t="s">
        <v>14408</v>
      </c>
      <c r="B5059" s="15" t="s">
        <v>183</v>
      </c>
      <c r="C5059" s="16" t="s">
        <v>15534</v>
      </c>
      <c r="D5059" s="21"/>
      <c r="E5059" s="32" t="s">
        <v>15667</v>
      </c>
      <c r="F5059" s="22" t="str">
        <f>VLOOKUP(Table8[[#This Row],[Mã khách hàng]],code_khach_hang[],2,0)</f>
        <v>CÔNG TY CỔ PHẦN DỊCH VỤ THƯƠNG MẠI TỔNG HỢP WINCOMMERCE</v>
      </c>
      <c r="G5059" s="16" t="str">
        <f>VLOOKUP(Table8[[#This Row],[Mã khách hàng]],code_khach_hang[],3,0)</f>
        <v>Miền Nam đặc biệt 1</v>
      </c>
      <c r="H5059" t="str">
        <f>VLOOKUP(Table8[[#This Row],[Mã khách hàng]],'Khách hàng'!A:D,4,0)</f>
        <v>Food Đức Việt</v>
      </c>
      <c r="I5059" t="str">
        <f>VLOOKUP(Table8[[#This Row],[Mã khách hàng]],'Khách hàng'!A:E,5,0)</f>
        <v>HCVG80</v>
      </c>
    </row>
    <row r="5060" spans="1:9" x14ac:dyDescent="0.25">
      <c r="A5060" s="14" t="s">
        <v>14409</v>
      </c>
      <c r="B5060" s="15" t="s">
        <v>183</v>
      </c>
      <c r="C5060" s="16" t="s">
        <v>15535</v>
      </c>
      <c r="D5060" s="21"/>
      <c r="E5060" s="32" t="s">
        <v>15667</v>
      </c>
      <c r="F5060" s="22" t="str">
        <f>VLOOKUP(Table8[[#This Row],[Mã khách hàng]],code_khach_hang[],2,0)</f>
        <v>CÔNG TY CỔ PHẦN DỊCH VỤ THƯƠNG MẠI TỔNG HỢP WINCOMMERCE</v>
      </c>
      <c r="G5060" s="16" t="str">
        <f>VLOOKUP(Table8[[#This Row],[Mã khách hàng]],code_khach_hang[],3,0)</f>
        <v>Miền Nam đặc biệt 1</v>
      </c>
      <c r="H5060" t="str">
        <f>VLOOKUP(Table8[[#This Row],[Mã khách hàng]],'Khách hàng'!A:D,4,0)</f>
        <v>Food Đức Việt</v>
      </c>
      <c r="I5060" t="str">
        <f>VLOOKUP(Table8[[#This Row],[Mã khách hàng]],'Khách hàng'!A:E,5,0)</f>
        <v>HCVG80</v>
      </c>
    </row>
    <row r="5061" spans="1:9" x14ac:dyDescent="0.25">
      <c r="A5061" s="14" t="s">
        <v>14410</v>
      </c>
      <c r="B5061" s="15" t="s">
        <v>183</v>
      </c>
      <c r="C5061" s="16" t="s">
        <v>15536</v>
      </c>
      <c r="D5061" s="21"/>
      <c r="E5061" s="32" t="s">
        <v>15685</v>
      </c>
      <c r="F5061" s="22" t="str">
        <f>VLOOKUP(Table8[[#This Row],[Mã khách hàng]],code_khach_hang[],2,0)</f>
        <v>CHI NHÁNH BÀ RỊA - VŨNG TÀU - CÔNG TY CỔ PHẦN DỊCH VỤ THƯƠNG MẠI TỔNG HỢP WINCOMMERCE</v>
      </c>
      <c r="G5061" s="16" t="str">
        <f>VLOOKUP(Table8[[#This Row],[Mã khách hàng]],code_khach_hang[],3,0)</f>
        <v>Miền Nam đặc biệt 3</v>
      </c>
      <c r="H5061" t="str">
        <f>VLOOKUP(Table8[[#This Row],[Mã khách hàng]],'Khách hàng'!A:D,4,0)</f>
        <v>Food Đức Việt</v>
      </c>
      <c r="I5061" t="str">
        <f>VLOOKUP(Table8[[#This Row],[Mã khách hàng]],'Khách hàng'!A:E,5,0)</f>
        <v>HCVG80</v>
      </c>
    </row>
    <row r="5062" spans="1:9" x14ac:dyDescent="0.25">
      <c r="A5062" s="14" t="s">
        <v>14411</v>
      </c>
      <c r="B5062" s="15" t="s">
        <v>183</v>
      </c>
      <c r="C5062" s="16" t="s">
        <v>15537</v>
      </c>
      <c r="D5062" s="21"/>
      <c r="E5062" s="32" t="s">
        <v>15685</v>
      </c>
      <c r="F5062" s="22" t="str">
        <f>VLOOKUP(Table8[[#This Row],[Mã khách hàng]],code_khach_hang[],2,0)</f>
        <v>CHI NHÁNH BÀ RỊA - VŨNG TÀU - CÔNG TY CỔ PHẦN DỊCH VỤ THƯƠNG MẠI TỔNG HỢP WINCOMMERCE</v>
      </c>
      <c r="G5062" s="16" t="str">
        <f>VLOOKUP(Table8[[#This Row],[Mã khách hàng]],code_khach_hang[],3,0)</f>
        <v>Miền Nam đặc biệt 3</v>
      </c>
      <c r="H5062" t="str">
        <f>VLOOKUP(Table8[[#This Row],[Mã khách hàng]],'Khách hàng'!A:D,4,0)</f>
        <v>Food Đức Việt</v>
      </c>
      <c r="I5062" t="str">
        <f>VLOOKUP(Table8[[#This Row],[Mã khách hàng]],'Khách hàng'!A:E,5,0)</f>
        <v>HCVG80</v>
      </c>
    </row>
    <row r="5063" spans="1:9" x14ac:dyDescent="0.25">
      <c r="A5063" s="14" t="s">
        <v>14412</v>
      </c>
      <c r="B5063" s="15" t="s">
        <v>183</v>
      </c>
      <c r="C5063" s="16" t="s">
        <v>15538</v>
      </c>
      <c r="D5063" s="21"/>
      <c r="E5063" s="32" t="s">
        <v>15668</v>
      </c>
      <c r="F5063" s="22" t="str">
        <f>VLOOKUP(Table8[[#This Row],[Mã khách hàng]],code_khach_hang[],2,0)</f>
        <v>CHI NHÁNH ĐỒNG NAI - CÔNG TY CỔ PHẦN DỊCH VỤ THƯƠNG MẠI TỔNG HỢP WINCOMMERCE</v>
      </c>
      <c r="G5063" s="16" t="str">
        <f>VLOOKUP(Table8[[#This Row],[Mã khách hàng]],code_khach_hang[],3,0)</f>
        <v>Miền Nam đặc biệt 3</v>
      </c>
      <c r="H5063" t="str">
        <f>VLOOKUP(Table8[[#This Row],[Mã khách hàng]],'Khách hàng'!A:D,4,0)</f>
        <v>Food Đức Việt</v>
      </c>
      <c r="I5063" t="str">
        <f>VLOOKUP(Table8[[#This Row],[Mã khách hàng]],'Khách hàng'!A:E,5,0)</f>
        <v>HCVG80</v>
      </c>
    </row>
    <row r="5064" spans="1:9" x14ac:dyDescent="0.25">
      <c r="A5064" s="14" t="s">
        <v>14413</v>
      </c>
      <c r="B5064" s="15" t="s">
        <v>183</v>
      </c>
      <c r="C5064" s="16" t="s">
        <v>15539</v>
      </c>
      <c r="D5064" s="21"/>
      <c r="E5064" s="32" t="s">
        <v>15667</v>
      </c>
      <c r="F5064" s="22" t="str">
        <f>VLOOKUP(Table8[[#This Row],[Mã khách hàng]],code_khach_hang[],2,0)</f>
        <v>CÔNG TY CỔ PHẦN DỊCH VỤ THƯƠNG MẠI TỔNG HỢP WINCOMMERCE</v>
      </c>
      <c r="G5064" s="16" t="str">
        <f>VLOOKUP(Table8[[#This Row],[Mã khách hàng]],code_khach_hang[],3,0)</f>
        <v>Miền Nam đặc biệt 1</v>
      </c>
      <c r="H5064" t="str">
        <f>VLOOKUP(Table8[[#This Row],[Mã khách hàng]],'Khách hàng'!A:D,4,0)</f>
        <v>Food Đức Việt</v>
      </c>
      <c r="I5064" t="str">
        <f>VLOOKUP(Table8[[#This Row],[Mã khách hàng]],'Khách hàng'!A:E,5,0)</f>
        <v>HCVG80</v>
      </c>
    </row>
    <row r="5065" spans="1:9" x14ac:dyDescent="0.25">
      <c r="A5065" s="14" t="s">
        <v>14414</v>
      </c>
      <c r="B5065" s="15" t="s">
        <v>183</v>
      </c>
      <c r="C5065" s="16" t="s">
        <v>15540</v>
      </c>
      <c r="D5065" s="21"/>
      <c r="E5065" s="32" t="s">
        <v>15667</v>
      </c>
      <c r="F5065" s="22" t="str">
        <f>VLOOKUP(Table8[[#This Row],[Mã khách hàng]],code_khach_hang[],2,0)</f>
        <v>CÔNG TY CỔ PHẦN DỊCH VỤ THƯƠNG MẠI TỔNG HỢP WINCOMMERCE</v>
      </c>
      <c r="G5065" s="16" t="str">
        <f>VLOOKUP(Table8[[#This Row],[Mã khách hàng]],code_khach_hang[],3,0)</f>
        <v>Miền Nam đặc biệt 1</v>
      </c>
      <c r="H5065" t="str">
        <f>VLOOKUP(Table8[[#This Row],[Mã khách hàng]],'Khách hàng'!A:D,4,0)</f>
        <v>Food Đức Việt</v>
      </c>
      <c r="I5065" t="str">
        <f>VLOOKUP(Table8[[#This Row],[Mã khách hàng]],'Khách hàng'!A:E,5,0)</f>
        <v>HCVG80</v>
      </c>
    </row>
    <row r="5066" spans="1:9" x14ac:dyDescent="0.25">
      <c r="A5066" s="14" t="s">
        <v>14415</v>
      </c>
      <c r="B5066" s="15" t="s">
        <v>183</v>
      </c>
      <c r="C5066" s="16" t="s">
        <v>15541</v>
      </c>
      <c r="D5066" s="21"/>
      <c r="E5066" s="32" t="s">
        <v>15667</v>
      </c>
      <c r="F5066" s="22" t="str">
        <f>VLOOKUP(Table8[[#This Row],[Mã khách hàng]],code_khach_hang[],2,0)</f>
        <v>CÔNG TY CỔ PHẦN DỊCH VỤ THƯƠNG MẠI TỔNG HỢP WINCOMMERCE</v>
      </c>
      <c r="G5066" s="16" t="str">
        <f>VLOOKUP(Table8[[#This Row],[Mã khách hàng]],code_khach_hang[],3,0)</f>
        <v>Miền Nam đặc biệt 1</v>
      </c>
      <c r="H5066" t="str">
        <f>VLOOKUP(Table8[[#This Row],[Mã khách hàng]],'Khách hàng'!A:D,4,0)</f>
        <v>Food Đức Việt</v>
      </c>
      <c r="I5066" t="str">
        <f>VLOOKUP(Table8[[#This Row],[Mã khách hàng]],'Khách hàng'!A:E,5,0)</f>
        <v>HCVG80</v>
      </c>
    </row>
    <row r="5067" spans="1:9" x14ac:dyDescent="0.25">
      <c r="A5067" s="14" t="s">
        <v>14416</v>
      </c>
      <c r="B5067" s="15" t="s">
        <v>183</v>
      </c>
      <c r="C5067" s="16" t="s">
        <v>15542</v>
      </c>
      <c r="D5067" s="21"/>
      <c r="E5067" s="32" t="s">
        <v>15668</v>
      </c>
      <c r="F5067" s="22" t="str">
        <f>VLOOKUP(Table8[[#This Row],[Mã khách hàng]],code_khach_hang[],2,0)</f>
        <v>CHI NHÁNH ĐỒNG NAI - CÔNG TY CỔ PHẦN DỊCH VỤ THƯƠNG MẠI TỔNG HỢP WINCOMMERCE</v>
      </c>
      <c r="G5067" s="16" t="str">
        <f>VLOOKUP(Table8[[#This Row],[Mã khách hàng]],code_khach_hang[],3,0)</f>
        <v>Miền Nam đặc biệt 3</v>
      </c>
      <c r="H5067" t="str">
        <f>VLOOKUP(Table8[[#This Row],[Mã khách hàng]],'Khách hàng'!A:D,4,0)</f>
        <v>Food Đức Việt</v>
      </c>
      <c r="I5067" t="str">
        <f>VLOOKUP(Table8[[#This Row],[Mã khách hàng]],'Khách hàng'!A:E,5,0)</f>
        <v>HCVG80</v>
      </c>
    </row>
    <row r="5068" spans="1:9" x14ac:dyDescent="0.25">
      <c r="A5068" s="14" t="s">
        <v>14417</v>
      </c>
      <c r="B5068" s="15" t="s">
        <v>183</v>
      </c>
      <c r="C5068" s="16" t="s">
        <v>15543</v>
      </c>
      <c r="D5068" s="21"/>
      <c r="E5068" s="32" t="s">
        <v>15667</v>
      </c>
      <c r="F5068" s="22" t="str">
        <f>VLOOKUP(Table8[[#This Row],[Mã khách hàng]],code_khach_hang[],2,0)</f>
        <v>CÔNG TY CỔ PHẦN DỊCH VỤ THƯƠNG MẠI TỔNG HỢP WINCOMMERCE</v>
      </c>
      <c r="G5068" s="16" t="str">
        <f>VLOOKUP(Table8[[#This Row],[Mã khách hàng]],code_khach_hang[],3,0)</f>
        <v>Miền Nam đặc biệt 1</v>
      </c>
      <c r="H5068" t="str">
        <f>VLOOKUP(Table8[[#This Row],[Mã khách hàng]],'Khách hàng'!A:D,4,0)</f>
        <v>Food Đức Việt</v>
      </c>
      <c r="I5068" t="str">
        <f>VLOOKUP(Table8[[#This Row],[Mã khách hàng]],'Khách hàng'!A:E,5,0)</f>
        <v>HCVG80</v>
      </c>
    </row>
    <row r="5069" spans="1:9" x14ac:dyDescent="0.25">
      <c r="A5069" s="14" t="s">
        <v>14418</v>
      </c>
      <c r="B5069" s="15" t="s">
        <v>183</v>
      </c>
      <c r="C5069" s="16" t="s">
        <v>15544</v>
      </c>
      <c r="D5069" s="21"/>
      <c r="E5069" s="32" t="s">
        <v>15667</v>
      </c>
      <c r="F5069" s="22" t="str">
        <f>VLOOKUP(Table8[[#This Row],[Mã khách hàng]],code_khach_hang[],2,0)</f>
        <v>CÔNG TY CỔ PHẦN DỊCH VỤ THƯƠNG MẠI TỔNG HỢP WINCOMMERCE</v>
      </c>
      <c r="G5069" s="16" t="str">
        <f>VLOOKUP(Table8[[#This Row],[Mã khách hàng]],code_khach_hang[],3,0)</f>
        <v>Miền Nam đặc biệt 1</v>
      </c>
      <c r="H5069" t="str">
        <f>VLOOKUP(Table8[[#This Row],[Mã khách hàng]],'Khách hàng'!A:D,4,0)</f>
        <v>Food Đức Việt</v>
      </c>
      <c r="I5069" t="str">
        <f>VLOOKUP(Table8[[#This Row],[Mã khách hàng]],'Khách hàng'!A:E,5,0)</f>
        <v>HCVG80</v>
      </c>
    </row>
    <row r="5070" spans="1:9" x14ac:dyDescent="0.25">
      <c r="A5070" s="14" t="s">
        <v>14419</v>
      </c>
      <c r="B5070" s="15" t="s">
        <v>183</v>
      </c>
      <c r="C5070" s="16" t="s">
        <v>15545</v>
      </c>
      <c r="D5070" s="21"/>
      <c r="E5070" s="32" t="s">
        <v>15671</v>
      </c>
      <c r="F5070" s="22" t="str">
        <f>VLOOKUP(Table8[[#This Row],[Mã khách hàng]],code_khach_hang[],2,0)</f>
        <v>CHI NHÁNH BÌNH DƯƠNG - CÔNG TY CỔ PHẦN DỊCH VỤ THƯƠNG MẠI TỔNG HỢP WINCOMMERCE</v>
      </c>
      <c r="G5070" s="16" t="str">
        <f>VLOOKUP(Table8[[#This Row],[Mã khách hàng]],code_khach_hang[],3,0)</f>
        <v>Miền Nam đặc biệt 1</v>
      </c>
      <c r="H5070" t="str">
        <f>VLOOKUP(Table8[[#This Row],[Mã khách hàng]],'Khách hàng'!A:D,4,0)</f>
        <v>Food Đức Việt</v>
      </c>
      <c r="I5070" t="str">
        <f>VLOOKUP(Table8[[#This Row],[Mã khách hàng]],'Khách hàng'!A:E,5,0)</f>
        <v>HCVG80</v>
      </c>
    </row>
    <row r="5071" spans="1:9" x14ac:dyDescent="0.25">
      <c r="A5071" s="14" t="s">
        <v>14420</v>
      </c>
      <c r="B5071" s="15" t="s">
        <v>183</v>
      </c>
      <c r="C5071" s="16" t="s">
        <v>15546</v>
      </c>
      <c r="D5071" s="21"/>
      <c r="E5071" s="32" t="s">
        <v>15685</v>
      </c>
      <c r="F5071" s="22" t="str">
        <f>VLOOKUP(Table8[[#This Row],[Mã khách hàng]],code_khach_hang[],2,0)</f>
        <v>CHI NHÁNH BÀ RỊA - VŨNG TÀU - CÔNG TY CỔ PHẦN DỊCH VỤ THƯƠNG MẠI TỔNG HỢP WINCOMMERCE</v>
      </c>
      <c r="G5071" s="16" t="str">
        <f>VLOOKUP(Table8[[#This Row],[Mã khách hàng]],code_khach_hang[],3,0)</f>
        <v>Miền Nam đặc biệt 3</v>
      </c>
      <c r="H5071" t="str">
        <f>VLOOKUP(Table8[[#This Row],[Mã khách hàng]],'Khách hàng'!A:D,4,0)</f>
        <v>Food Đức Việt</v>
      </c>
      <c r="I5071" t="str">
        <f>VLOOKUP(Table8[[#This Row],[Mã khách hàng]],'Khách hàng'!A:E,5,0)</f>
        <v>HCVG80</v>
      </c>
    </row>
    <row r="5072" spans="1:9" x14ac:dyDescent="0.25">
      <c r="A5072" s="14" t="s">
        <v>14421</v>
      </c>
      <c r="B5072" s="15" t="s">
        <v>183</v>
      </c>
      <c r="C5072" s="16" t="s">
        <v>15547</v>
      </c>
      <c r="D5072" s="21"/>
      <c r="E5072" s="32" t="s">
        <v>15671</v>
      </c>
      <c r="F5072" s="22" t="str">
        <f>VLOOKUP(Table8[[#This Row],[Mã khách hàng]],code_khach_hang[],2,0)</f>
        <v>CHI NHÁNH BÌNH DƯƠNG - CÔNG TY CỔ PHẦN DỊCH VỤ THƯƠNG MẠI TỔNG HỢP WINCOMMERCE</v>
      </c>
      <c r="G5072" s="16" t="str">
        <f>VLOOKUP(Table8[[#This Row],[Mã khách hàng]],code_khach_hang[],3,0)</f>
        <v>Miền Nam đặc biệt 1</v>
      </c>
      <c r="H5072" t="str">
        <f>VLOOKUP(Table8[[#This Row],[Mã khách hàng]],'Khách hàng'!A:D,4,0)</f>
        <v>Food Đức Việt</v>
      </c>
      <c r="I5072" t="str">
        <f>VLOOKUP(Table8[[#This Row],[Mã khách hàng]],'Khách hàng'!A:E,5,0)</f>
        <v>HCVG80</v>
      </c>
    </row>
    <row r="5073" spans="1:9" x14ac:dyDescent="0.25">
      <c r="A5073" s="14" t="s">
        <v>14422</v>
      </c>
      <c r="B5073" s="15" t="s">
        <v>183</v>
      </c>
      <c r="C5073" s="16" t="s">
        <v>15548</v>
      </c>
      <c r="D5073" s="21"/>
      <c r="E5073" s="32" t="s">
        <v>15667</v>
      </c>
      <c r="F5073" s="22" t="str">
        <f>VLOOKUP(Table8[[#This Row],[Mã khách hàng]],code_khach_hang[],2,0)</f>
        <v>CÔNG TY CỔ PHẦN DỊCH VỤ THƯƠNG MẠI TỔNG HỢP WINCOMMERCE</v>
      </c>
      <c r="G5073" s="16" t="str">
        <f>VLOOKUP(Table8[[#This Row],[Mã khách hàng]],code_khach_hang[],3,0)</f>
        <v>Miền Nam đặc biệt 1</v>
      </c>
      <c r="H5073" t="str">
        <f>VLOOKUP(Table8[[#This Row],[Mã khách hàng]],'Khách hàng'!A:D,4,0)</f>
        <v>Food Đức Việt</v>
      </c>
      <c r="I5073" t="str">
        <f>VLOOKUP(Table8[[#This Row],[Mã khách hàng]],'Khách hàng'!A:E,5,0)</f>
        <v>HCVG80</v>
      </c>
    </row>
    <row r="5074" spans="1:9" x14ac:dyDescent="0.25">
      <c r="A5074" s="14" t="s">
        <v>14423</v>
      </c>
      <c r="B5074" s="15" t="s">
        <v>183</v>
      </c>
      <c r="C5074" s="16" t="s">
        <v>15549</v>
      </c>
      <c r="D5074" s="21"/>
      <c r="E5074" s="32" t="s">
        <v>15667</v>
      </c>
      <c r="F5074" s="22" t="str">
        <f>VLOOKUP(Table8[[#This Row],[Mã khách hàng]],code_khach_hang[],2,0)</f>
        <v>CÔNG TY CỔ PHẦN DỊCH VỤ THƯƠNG MẠI TỔNG HỢP WINCOMMERCE</v>
      </c>
      <c r="G5074" s="16" t="str">
        <f>VLOOKUP(Table8[[#This Row],[Mã khách hàng]],code_khach_hang[],3,0)</f>
        <v>Miền Nam đặc biệt 1</v>
      </c>
      <c r="H5074" t="str">
        <f>VLOOKUP(Table8[[#This Row],[Mã khách hàng]],'Khách hàng'!A:D,4,0)</f>
        <v>Food Đức Việt</v>
      </c>
      <c r="I5074" t="str">
        <f>VLOOKUP(Table8[[#This Row],[Mã khách hàng]],'Khách hàng'!A:E,5,0)</f>
        <v>HCVG80</v>
      </c>
    </row>
    <row r="5075" spans="1:9" x14ac:dyDescent="0.25">
      <c r="A5075" s="14" t="s">
        <v>14424</v>
      </c>
      <c r="B5075" s="15" t="s">
        <v>183</v>
      </c>
      <c r="C5075" s="16" t="s">
        <v>15550</v>
      </c>
      <c r="D5075" s="21"/>
      <c r="E5075" s="32" t="s">
        <v>15667</v>
      </c>
      <c r="F5075" s="22" t="str">
        <f>VLOOKUP(Table8[[#This Row],[Mã khách hàng]],code_khach_hang[],2,0)</f>
        <v>CÔNG TY CỔ PHẦN DỊCH VỤ THƯƠNG MẠI TỔNG HỢP WINCOMMERCE</v>
      </c>
      <c r="G5075" s="16" t="str">
        <f>VLOOKUP(Table8[[#This Row],[Mã khách hàng]],code_khach_hang[],3,0)</f>
        <v>Miền Nam đặc biệt 1</v>
      </c>
      <c r="H5075" t="str">
        <f>VLOOKUP(Table8[[#This Row],[Mã khách hàng]],'Khách hàng'!A:D,4,0)</f>
        <v>Food Đức Việt</v>
      </c>
      <c r="I5075" t="str">
        <f>VLOOKUP(Table8[[#This Row],[Mã khách hàng]],'Khách hàng'!A:E,5,0)</f>
        <v>HCVG80</v>
      </c>
    </row>
    <row r="5076" spans="1:9" x14ac:dyDescent="0.25">
      <c r="A5076" s="14" t="s">
        <v>14425</v>
      </c>
      <c r="B5076" s="15" t="s">
        <v>183</v>
      </c>
      <c r="C5076" s="16" t="s">
        <v>15551</v>
      </c>
      <c r="D5076" s="21"/>
      <c r="E5076" s="32" t="s">
        <v>15671</v>
      </c>
      <c r="F5076" s="22" t="str">
        <f>VLOOKUP(Table8[[#This Row],[Mã khách hàng]],code_khach_hang[],2,0)</f>
        <v>CHI NHÁNH BÌNH DƯƠNG - CÔNG TY CỔ PHẦN DỊCH VỤ THƯƠNG MẠI TỔNG HỢP WINCOMMERCE</v>
      </c>
      <c r="G5076" s="16" t="str">
        <f>VLOOKUP(Table8[[#This Row],[Mã khách hàng]],code_khach_hang[],3,0)</f>
        <v>Miền Nam đặc biệt 1</v>
      </c>
      <c r="H5076" t="str">
        <f>VLOOKUP(Table8[[#This Row],[Mã khách hàng]],'Khách hàng'!A:D,4,0)</f>
        <v>Food Đức Việt</v>
      </c>
      <c r="I5076" t="str">
        <f>VLOOKUP(Table8[[#This Row],[Mã khách hàng]],'Khách hàng'!A:E,5,0)</f>
        <v>HCVG80</v>
      </c>
    </row>
    <row r="5077" spans="1:9" x14ac:dyDescent="0.25">
      <c r="A5077" s="14" t="s">
        <v>14426</v>
      </c>
      <c r="B5077" s="15" t="s">
        <v>183</v>
      </c>
      <c r="C5077" s="16" t="s">
        <v>15552</v>
      </c>
      <c r="D5077" s="21"/>
      <c r="E5077" s="32" t="s">
        <v>15671</v>
      </c>
      <c r="F5077" s="22" t="str">
        <f>VLOOKUP(Table8[[#This Row],[Mã khách hàng]],code_khach_hang[],2,0)</f>
        <v>CHI NHÁNH BÌNH DƯƠNG - CÔNG TY CỔ PHẦN DỊCH VỤ THƯƠNG MẠI TỔNG HỢP WINCOMMERCE</v>
      </c>
      <c r="G5077" s="16" t="str">
        <f>VLOOKUP(Table8[[#This Row],[Mã khách hàng]],code_khach_hang[],3,0)</f>
        <v>Miền Nam đặc biệt 1</v>
      </c>
      <c r="H5077" t="str">
        <f>VLOOKUP(Table8[[#This Row],[Mã khách hàng]],'Khách hàng'!A:D,4,0)</f>
        <v>Food Đức Việt</v>
      </c>
      <c r="I5077" t="str">
        <f>VLOOKUP(Table8[[#This Row],[Mã khách hàng]],'Khách hàng'!A:E,5,0)</f>
        <v>HCVG80</v>
      </c>
    </row>
    <row r="5078" spans="1:9" x14ac:dyDescent="0.25">
      <c r="A5078" s="14" t="s">
        <v>14427</v>
      </c>
      <c r="B5078" s="15" t="s">
        <v>183</v>
      </c>
      <c r="C5078" s="16" t="s">
        <v>15553</v>
      </c>
      <c r="D5078" s="21"/>
      <c r="E5078" s="32" t="s">
        <v>15667</v>
      </c>
      <c r="F5078" s="22" t="str">
        <f>VLOOKUP(Table8[[#This Row],[Mã khách hàng]],code_khach_hang[],2,0)</f>
        <v>CÔNG TY CỔ PHẦN DỊCH VỤ THƯƠNG MẠI TỔNG HỢP WINCOMMERCE</v>
      </c>
      <c r="G5078" s="16" t="str">
        <f>VLOOKUP(Table8[[#This Row],[Mã khách hàng]],code_khach_hang[],3,0)</f>
        <v>Miền Nam đặc biệt 1</v>
      </c>
      <c r="H5078" t="str">
        <f>VLOOKUP(Table8[[#This Row],[Mã khách hàng]],'Khách hàng'!A:D,4,0)</f>
        <v>Food Đức Việt</v>
      </c>
      <c r="I5078" t="str">
        <f>VLOOKUP(Table8[[#This Row],[Mã khách hàng]],'Khách hàng'!A:E,5,0)</f>
        <v>HCVG80</v>
      </c>
    </row>
    <row r="5079" spans="1:9" x14ac:dyDescent="0.25">
      <c r="A5079" s="14" t="s">
        <v>14428</v>
      </c>
      <c r="B5079" s="15" t="s">
        <v>183</v>
      </c>
      <c r="C5079" s="16" t="s">
        <v>15554</v>
      </c>
      <c r="D5079" s="21"/>
      <c r="E5079" s="32" t="s">
        <v>15667</v>
      </c>
      <c r="F5079" s="22" t="str">
        <f>VLOOKUP(Table8[[#This Row],[Mã khách hàng]],code_khach_hang[],2,0)</f>
        <v>CÔNG TY CỔ PHẦN DỊCH VỤ THƯƠNG MẠI TỔNG HỢP WINCOMMERCE</v>
      </c>
      <c r="G5079" s="16" t="str">
        <f>VLOOKUP(Table8[[#This Row],[Mã khách hàng]],code_khach_hang[],3,0)</f>
        <v>Miền Nam đặc biệt 1</v>
      </c>
      <c r="H5079" t="str">
        <f>VLOOKUP(Table8[[#This Row],[Mã khách hàng]],'Khách hàng'!A:D,4,0)</f>
        <v>Food Đức Việt</v>
      </c>
      <c r="I5079" t="str">
        <f>VLOOKUP(Table8[[#This Row],[Mã khách hàng]],'Khách hàng'!A:E,5,0)</f>
        <v>HCVG80</v>
      </c>
    </row>
    <row r="5080" spans="1:9" x14ac:dyDescent="0.25">
      <c r="A5080" s="14" t="s">
        <v>14429</v>
      </c>
      <c r="B5080" s="15" t="s">
        <v>183</v>
      </c>
      <c r="C5080" s="16" t="s">
        <v>15555</v>
      </c>
      <c r="D5080" s="21"/>
      <c r="E5080" s="32" t="s">
        <v>15667</v>
      </c>
      <c r="F5080" s="22" t="str">
        <f>VLOOKUP(Table8[[#This Row],[Mã khách hàng]],code_khach_hang[],2,0)</f>
        <v>CÔNG TY CỔ PHẦN DỊCH VỤ THƯƠNG MẠI TỔNG HỢP WINCOMMERCE</v>
      </c>
      <c r="G5080" s="16" t="str">
        <f>VLOOKUP(Table8[[#This Row],[Mã khách hàng]],code_khach_hang[],3,0)</f>
        <v>Miền Nam đặc biệt 1</v>
      </c>
      <c r="H5080" t="str">
        <f>VLOOKUP(Table8[[#This Row],[Mã khách hàng]],'Khách hàng'!A:D,4,0)</f>
        <v>Food Đức Việt</v>
      </c>
      <c r="I5080" t="str">
        <f>VLOOKUP(Table8[[#This Row],[Mã khách hàng]],'Khách hàng'!A:E,5,0)</f>
        <v>HCVG80</v>
      </c>
    </row>
    <row r="5081" spans="1:9" x14ac:dyDescent="0.25">
      <c r="A5081" s="14" t="s">
        <v>14430</v>
      </c>
      <c r="B5081" s="15" t="s">
        <v>183</v>
      </c>
      <c r="C5081" s="16" t="s">
        <v>15556</v>
      </c>
      <c r="D5081" s="21"/>
      <c r="E5081" s="32" t="s">
        <v>15667</v>
      </c>
      <c r="F5081" s="22" t="str">
        <f>VLOOKUP(Table8[[#This Row],[Mã khách hàng]],code_khach_hang[],2,0)</f>
        <v>CÔNG TY CỔ PHẦN DỊCH VỤ THƯƠNG MẠI TỔNG HỢP WINCOMMERCE</v>
      </c>
      <c r="G5081" s="16" t="str">
        <f>VLOOKUP(Table8[[#This Row],[Mã khách hàng]],code_khach_hang[],3,0)</f>
        <v>Miền Nam đặc biệt 1</v>
      </c>
      <c r="H5081" t="str">
        <f>VLOOKUP(Table8[[#This Row],[Mã khách hàng]],'Khách hàng'!A:D,4,0)</f>
        <v>Food Đức Việt</v>
      </c>
      <c r="I5081" t="str">
        <f>VLOOKUP(Table8[[#This Row],[Mã khách hàng]],'Khách hàng'!A:E,5,0)</f>
        <v>HCVG80</v>
      </c>
    </row>
    <row r="5082" spans="1:9" x14ac:dyDescent="0.25">
      <c r="A5082" s="14" t="s">
        <v>14431</v>
      </c>
      <c r="B5082" s="15" t="s">
        <v>183</v>
      </c>
      <c r="C5082" s="16" t="s">
        <v>15557</v>
      </c>
      <c r="D5082" s="21"/>
      <c r="E5082" s="32" t="s">
        <v>15667</v>
      </c>
      <c r="F5082" s="22" t="str">
        <f>VLOOKUP(Table8[[#This Row],[Mã khách hàng]],code_khach_hang[],2,0)</f>
        <v>CÔNG TY CỔ PHẦN DỊCH VỤ THƯƠNG MẠI TỔNG HỢP WINCOMMERCE</v>
      </c>
      <c r="G5082" s="16" t="str">
        <f>VLOOKUP(Table8[[#This Row],[Mã khách hàng]],code_khach_hang[],3,0)</f>
        <v>Miền Nam đặc biệt 1</v>
      </c>
      <c r="H5082" t="str">
        <f>VLOOKUP(Table8[[#This Row],[Mã khách hàng]],'Khách hàng'!A:D,4,0)</f>
        <v>Food Đức Việt</v>
      </c>
      <c r="I5082" t="str">
        <f>VLOOKUP(Table8[[#This Row],[Mã khách hàng]],'Khách hàng'!A:E,5,0)</f>
        <v>HCVG80</v>
      </c>
    </row>
    <row r="5083" spans="1:9" x14ac:dyDescent="0.25">
      <c r="A5083" s="14" t="s">
        <v>14432</v>
      </c>
      <c r="B5083" s="15" t="s">
        <v>183</v>
      </c>
      <c r="C5083" s="16" t="s">
        <v>15558</v>
      </c>
      <c r="D5083" s="21"/>
      <c r="E5083" s="32" t="s">
        <v>15685</v>
      </c>
      <c r="F5083" s="22" t="str">
        <f>VLOOKUP(Table8[[#This Row],[Mã khách hàng]],code_khach_hang[],2,0)</f>
        <v>CHI NHÁNH BÀ RỊA - VŨNG TÀU - CÔNG TY CỔ PHẦN DỊCH VỤ THƯƠNG MẠI TỔNG HỢP WINCOMMERCE</v>
      </c>
      <c r="G5083" s="16" t="str">
        <f>VLOOKUP(Table8[[#This Row],[Mã khách hàng]],code_khach_hang[],3,0)</f>
        <v>Miền Nam đặc biệt 3</v>
      </c>
      <c r="H5083" t="str">
        <f>VLOOKUP(Table8[[#This Row],[Mã khách hàng]],'Khách hàng'!A:D,4,0)</f>
        <v>Food Đức Việt</v>
      </c>
      <c r="I5083" t="str">
        <f>VLOOKUP(Table8[[#This Row],[Mã khách hàng]],'Khách hàng'!A:E,5,0)</f>
        <v>HCVG80</v>
      </c>
    </row>
    <row r="5084" spans="1:9" x14ac:dyDescent="0.25">
      <c r="A5084" s="14" t="s">
        <v>14433</v>
      </c>
      <c r="B5084" s="15" t="s">
        <v>5</v>
      </c>
      <c r="C5084" s="16" t="s">
        <v>15559</v>
      </c>
      <c r="D5084" s="21"/>
      <c r="E5084" s="32" t="s">
        <v>15685</v>
      </c>
      <c r="F5084" s="22" t="str">
        <f>VLOOKUP(Table8[[#This Row],[Mã khách hàng]],code_khach_hang[],2,0)</f>
        <v>CHI NHÁNH BÀ RỊA - VŨNG TÀU - CÔNG TY CỔ PHẦN DỊCH VỤ THƯƠNG MẠI TỔNG HỢP WINCOMMERCE</v>
      </c>
      <c r="G5084" s="16" t="str">
        <f>VLOOKUP(Table8[[#This Row],[Mã khách hàng]],code_khach_hang[],3,0)</f>
        <v>Miền Nam đặc biệt 3</v>
      </c>
      <c r="H5084" t="str">
        <f>VLOOKUP(Table8[[#This Row],[Mã khách hàng]],'Khách hàng'!A:D,4,0)</f>
        <v>Food Đức Việt</v>
      </c>
      <c r="I5084" t="str">
        <f>VLOOKUP(Table8[[#This Row],[Mã khách hàng]],'Khách hàng'!A:E,5,0)</f>
        <v>HCVG80</v>
      </c>
    </row>
    <row r="5085" spans="1:9" x14ac:dyDescent="0.25">
      <c r="A5085" s="14" t="s">
        <v>14434</v>
      </c>
      <c r="B5085" s="15" t="s">
        <v>183</v>
      </c>
      <c r="C5085" s="16" t="s">
        <v>15560</v>
      </c>
      <c r="D5085" s="21"/>
      <c r="E5085" s="32" t="s">
        <v>15685</v>
      </c>
      <c r="F5085" s="22" t="str">
        <f>VLOOKUP(Table8[[#This Row],[Mã khách hàng]],code_khach_hang[],2,0)</f>
        <v>CHI NHÁNH BÀ RỊA - VŨNG TÀU - CÔNG TY CỔ PHẦN DỊCH VỤ THƯƠNG MẠI TỔNG HỢP WINCOMMERCE</v>
      </c>
      <c r="G5085" s="16" t="str">
        <f>VLOOKUP(Table8[[#This Row],[Mã khách hàng]],code_khach_hang[],3,0)</f>
        <v>Miền Nam đặc biệt 3</v>
      </c>
      <c r="H5085" t="str">
        <f>VLOOKUP(Table8[[#This Row],[Mã khách hàng]],'Khách hàng'!A:D,4,0)</f>
        <v>Food Đức Việt</v>
      </c>
      <c r="I5085" t="str">
        <f>VLOOKUP(Table8[[#This Row],[Mã khách hàng]],'Khách hàng'!A:E,5,0)</f>
        <v>HCVG80</v>
      </c>
    </row>
    <row r="5086" spans="1:9" x14ac:dyDescent="0.25">
      <c r="A5086" s="14" t="s">
        <v>14435</v>
      </c>
      <c r="B5086" s="15" t="s">
        <v>183</v>
      </c>
      <c r="C5086" s="16" t="s">
        <v>15561</v>
      </c>
      <c r="D5086" s="21"/>
      <c r="E5086" s="32" t="s">
        <v>15671</v>
      </c>
      <c r="F5086" s="22" t="str">
        <f>VLOOKUP(Table8[[#This Row],[Mã khách hàng]],code_khach_hang[],2,0)</f>
        <v>CHI NHÁNH BÌNH DƯƠNG - CÔNG TY CỔ PHẦN DỊCH VỤ THƯƠNG MẠI TỔNG HỢP WINCOMMERCE</v>
      </c>
      <c r="G5086" s="16" t="str">
        <f>VLOOKUP(Table8[[#This Row],[Mã khách hàng]],code_khach_hang[],3,0)</f>
        <v>Miền Nam đặc biệt 1</v>
      </c>
      <c r="H5086" t="str">
        <f>VLOOKUP(Table8[[#This Row],[Mã khách hàng]],'Khách hàng'!A:D,4,0)</f>
        <v>Food Đức Việt</v>
      </c>
      <c r="I5086" t="str">
        <f>VLOOKUP(Table8[[#This Row],[Mã khách hàng]],'Khách hàng'!A:E,5,0)</f>
        <v>HCVG80</v>
      </c>
    </row>
    <row r="5087" spans="1:9" x14ac:dyDescent="0.25">
      <c r="A5087" s="14" t="s">
        <v>14436</v>
      </c>
      <c r="B5087" s="15" t="s">
        <v>183</v>
      </c>
      <c r="C5087" s="16" t="s">
        <v>15562</v>
      </c>
      <c r="D5087" s="21"/>
      <c r="E5087" s="32" t="s">
        <v>15671</v>
      </c>
      <c r="F5087" s="22" t="str">
        <f>VLOOKUP(Table8[[#This Row],[Mã khách hàng]],code_khach_hang[],2,0)</f>
        <v>CHI NHÁNH BÌNH DƯƠNG - CÔNG TY CỔ PHẦN DỊCH VỤ THƯƠNG MẠI TỔNG HỢP WINCOMMERCE</v>
      </c>
      <c r="G5087" s="16" t="str">
        <f>VLOOKUP(Table8[[#This Row],[Mã khách hàng]],code_khach_hang[],3,0)</f>
        <v>Miền Nam đặc biệt 1</v>
      </c>
      <c r="H5087" t="str">
        <f>VLOOKUP(Table8[[#This Row],[Mã khách hàng]],'Khách hàng'!A:D,4,0)</f>
        <v>Food Đức Việt</v>
      </c>
      <c r="I5087" t="str">
        <f>VLOOKUP(Table8[[#This Row],[Mã khách hàng]],'Khách hàng'!A:E,5,0)</f>
        <v>HCVG80</v>
      </c>
    </row>
    <row r="5088" spans="1:9" x14ac:dyDescent="0.25">
      <c r="A5088" s="14" t="s">
        <v>14437</v>
      </c>
      <c r="B5088" s="15" t="s">
        <v>183</v>
      </c>
      <c r="C5088" s="16" t="s">
        <v>15563</v>
      </c>
      <c r="D5088" s="21"/>
      <c r="E5088" s="32" t="s">
        <v>15667</v>
      </c>
      <c r="F5088" s="22" t="str">
        <f>VLOOKUP(Table8[[#This Row],[Mã khách hàng]],code_khach_hang[],2,0)</f>
        <v>CÔNG TY CỔ PHẦN DỊCH VỤ THƯƠNG MẠI TỔNG HỢP WINCOMMERCE</v>
      </c>
      <c r="G5088" s="16" t="str">
        <f>VLOOKUP(Table8[[#This Row],[Mã khách hàng]],code_khach_hang[],3,0)</f>
        <v>Miền Nam đặc biệt 1</v>
      </c>
      <c r="H5088" t="str">
        <f>VLOOKUP(Table8[[#This Row],[Mã khách hàng]],'Khách hàng'!A:D,4,0)</f>
        <v>Food Đức Việt</v>
      </c>
      <c r="I5088" t="str">
        <f>VLOOKUP(Table8[[#This Row],[Mã khách hàng]],'Khách hàng'!A:E,5,0)</f>
        <v>HCVG80</v>
      </c>
    </row>
    <row r="5089" spans="1:9" x14ac:dyDescent="0.25">
      <c r="A5089" s="14" t="s">
        <v>14438</v>
      </c>
      <c r="B5089" s="15" t="s">
        <v>183</v>
      </c>
      <c r="C5089" s="16" t="s">
        <v>15564</v>
      </c>
      <c r="D5089" s="21"/>
      <c r="E5089" s="32" t="s">
        <v>15667</v>
      </c>
      <c r="F5089" s="22" t="str">
        <f>VLOOKUP(Table8[[#This Row],[Mã khách hàng]],code_khach_hang[],2,0)</f>
        <v>CÔNG TY CỔ PHẦN DỊCH VỤ THƯƠNG MẠI TỔNG HỢP WINCOMMERCE</v>
      </c>
      <c r="G5089" s="16" t="str">
        <f>VLOOKUP(Table8[[#This Row],[Mã khách hàng]],code_khach_hang[],3,0)</f>
        <v>Miền Nam đặc biệt 1</v>
      </c>
      <c r="H5089" t="str">
        <f>VLOOKUP(Table8[[#This Row],[Mã khách hàng]],'Khách hàng'!A:D,4,0)</f>
        <v>Food Đức Việt</v>
      </c>
      <c r="I5089" t="str">
        <f>VLOOKUP(Table8[[#This Row],[Mã khách hàng]],'Khách hàng'!A:E,5,0)</f>
        <v>HCVG80</v>
      </c>
    </row>
    <row r="5090" spans="1:9" x14ac:dyDescent="0.25">
      <c r="A5090" s="14" t="s">
        <v>14439</v>
      </c>
      <c r="B5090" s="15" t="s">
        <v>183</v>
      </c>
      <c r="C5090" s="16" t="s">
        <v>15565</v>
      </c>
      <c r="D5090" s="21"/>
      <c r="E5090" s="32" t="s">
        <v>15667</v>
      </c>
      <c r="F5090" s="22" t="str">
        <f>VLOOKUP(Table8[[#This Row],[Mã khách hàng]],code_khach_hang[],2,0)</f>
        <v>CÔNG TY CỔ PHẦN DỊCH VỤ THƯƠNG MẠI TỔNG HỢP WINCOMMERCE</v>
      </c>
      <c r="G5090" s="16" t="str">
        <f>VLOOKUP(Table8[[#This Row],[Mã khách hàng]],code_khach_hang[],3,0)</f>
        <v>Miền Nam đặc biệt 1</v>
      </c>
      <c r="H5090" t="str">
        <f>VLOOKUP(Table8[[#This Row],[Mã khách hàng]],'Khách hàng'!A:D,4,0)</f>
        <v>Food Đức Việt</v>
      </c>
      <c r="I5090" t="str">
        <f>VLOOKUP(Table8[[#This Row],[Mã khách hàng]],'Khách hàng'!A:E,5,0)</f>
        <v>HCVG80</v>
      </c>
    </row>
    <row r="5091" spans="1:9" x14ac:dyDescent="0.25">
      <c r="A5091" s="14" t="s">
        <v>14440</v>
      </c>
      <c r="B5091" s="15" t="s">
        <v>183</v>
      </c>
      <c r="C5091" s="16" t="s">
        <v>15566</v>
      </c>
      <c r="D5091" s="21"/>
      <c r="E5091" s="32" t="s">
        <v>15667</v>
      </c>
      <c r="F5091" s="22" t="str">
        <f>VLOOKUP(Table8[[#This Row],[Mã khách hàng]],code_khach_hang[],2,0)</f>
        <v>CÔNG TY CỔ PHẦN DỊCH VỤ THƯƠNG MẠI TỔNG HỢP WINCOMMERCE</v>
      </c>
      <c r="G5091" s="16" t="str">
        <f>VLOOKUP(Table8[[#This Row],[Mã khách hàng]],code_khach_hang[],3,0)</f>
        <v>Miền Nam đặc biệt 1</v>
      </c>
      <c r="H5091" t="str">
        <f>VLOOKUP(Table8[[#This Row],[Mã khách hàng]],'Khách hàng'!A:D,4,0)</f>
        <v>Food Đức Việt</v>
      </c>
      <c r="I5091" t="str">
        <f>VLOOKUP(Table8[[#This Row],[Mã khách hàng]],'Khách hàng'!A:E,5,0)</f>
        <v>HCVG80</v>
      </c>
    </row>
    <row r="5092" spans="1:9" x14ac:dyDescent="0.25">
      <c r="A5092" s="14" t="s">
        <v>14441</v>
      </c>
      <c r="B5092" s="15" t="s">
        <v>5</v>
      </c>
      <c r="C5092" s="16" t="s">
        <v>15567</v>
      </c>
      <c r="D5092" s="21"/>
      <c r="E5092" s="32" t="s">
        <v>15667</v>
      </c>
      <c r="F5092" s="22" t="str">
        <f>VLOOKUP(Table8[[#This Row],[Mã khách hàng]],code_khach_hang[],2,0)</f>
        <v>CÔNG TY CỔ PHẦN DỊCH VỤ THƯƠNG MẠI TỔNG HỢP WINCOMMERCE</v>
      </c>
      <c r="G5092" s="16" t="str">
        <f>VLOOKUP(Table8[[#This Row],[Mã khách hàng]],code_khach_hang[],3,0)</f>
        <v>Miền Nam đặc biệt 1</v>
      </c>
      <c r="H5092" t="str">
        <f>VLOOKUP(Table8[[#This Row],[Mã khách hàng]],'Khách hàng'!A:D,4,0)</f>
        <v>Food Đức Việt</v>
      </c>
      <c r="I5092" t="str">
        <f>VLOOKUP(Table8[[#This Row],[Mã khách hàng]],'Khách hàng'!A:E,5,0)</f>
        <v>HCVG80</v>
      </c>
    </row>
    <row r="5093" spans="1:9" x14ac:dyDescent="0.25">
      <c r="A5093" s="14" t="s">
        <v>14442</v>
      </c>
      <c r="B5093" s="15" t="s">
        <v>183</v>
      </c>
      <c r="C5093" s="16" t="s">
        <v>15568</v>
      </c>
      <c r="D5093" s="21"/>
      <c r="E5093" s="32" t="s">
        <v>15667</v>
      </c>
      <c r="F5093" s="22" t="str">
        <f>VLOOKUP(Table8[[#This Row],[Mã khách hàng]],code_khach_hang[],2,0)</f>
        <v>CÔNG TY CỔ PHẦN DỊCH VỤ THƯƠNG MẠI TỔNG HỢP WINCOMMERCE</v>
      </c>
      <c r="G5093" s="16" t="str">
        <f>VLOOKUP(Table8[[#This Row],[Mã khách hàng]],code_khach_hang[],3,0)</f>
        <v>Miền Nam đặc biệt 1</v>
      </c>
      <c r="H5093" t="str">
        <f>VLOOKUP(Table8[[#This Row],[Mã khách hàng]],'Khách hàng'!A:D,4,0)</f>
        <v>Food Đức Việt</v>
      </c>
      <c r="I5093" t="str">
        <f>VLOOKUP(Table8[[#This Row],[Mã khách hàng]],'Khách hàng'!A:E,5,0)</f>
        <v>HCVG80</v>
      </c>
    </row>
    <row r="5094" spans="1:9" x14ac:dyDescent="0.25">
      <c r="A5094" s="14" t="s">
        <v>14443</v>
      </c>
      <c r="B5094" s="15" t="s">
        <v>183</v>
      </c>
      <c r="C5094" s="16" t="s">
        <v>15569</v>
      </c>
      <c r="D5094" s="21"/>
      <c r="E5094" s="32" t="s">
        <v>15671</v>
      </c>
      <c r="F5094" s="22" t="str">
        <f>VLOOKUP(Table8[[#This Row],[Mã khách hàng]],code_khach_hang[],2,0)</f>
        <v>CHI NHÁNH BÌNH DƯƠNG - CÔNG TY CỔ PHẦN DỊCH VỤ THƯƠNG MẠI TỔNG HỢP WINCOMMERCE</v>
      </c>
      <c r="G5094" s="16" t="str">
        <f>VLOOKUP(Table8[[#This Row],[Mã khách hàng]],code_khach_hang[],3,0)</f>
        <v>Miền Nam đặc biệt 1</v>
      </c>
      <c r="H5094" t="str">
        <f>VLOOKUP(Table8[[#This Row],[Mã khách hàng]],'Khách hàng'!A:D,4,0)</f>
        <v>Food Đức Việt</v>
      </c>
      <c r="I5094" t="str">
        <f>VLOOKUP(Table8[[#This Row],[Mã khách hàng]],'Khách hàng'!A:E,5,0)</f>
        <v>HCVG80</v>
      </c>
    </row>
    <row r="5095" spans="1:9" x14ac:dyDescent="0.25">
      <c r="A5095" s="14" t="s">
        <v>14444</v>
      </c>
      <c r="B5095" s="15" t="s">
        <v>183</v>
      </c>
      <c r="C5095" s="16" t="s">
        <v>15570</v>
      </c>
      <c r="D5095" s="21"/>
      <c r="E5095" s="32" t="s">
        <v>15667</v>
      </c>
      <c r="F5095" s="22" t="str">
        <f>VLOOKUP(Table8[[#This Row],[Mã khách hàng]],code_khach_hang[],2,0)</f>
        <v>CÔNG TY CỔ PHẦN DỊCH VỤ THƯƠNG MẠI TỔNG HỢP WINCOMMERCE</v>
      </c>
      <c r="G5095" s="16" t="str">
        <f>VLOOKUP(Table8[[#This Row],[Mã khách hàng]],code_khach_hang[],3,0)</f>
        <v>Miền Nam đặc biệt 1</v>
      </c>
      <c r="H5095" t="str">
        <f>VLOOKUP(Table8[[#This Row],[Mã khách hàng]],'Khách hàng'!A:D,4,0)</f>
        <v>Food Đức Việt</v>
      </c>
      <c r="I5095" t="str">
        <f>VLOOKUP(Table8[[#This Row],[Mã khách hàng]],'Khách hàng'!A:E,5,0)</f>
        <v>HCVG80</v>
      </c>
    </row>
    <row r="5096" spans="1:9" x14ac:dyDescent="0.25">
      <c r="A5096" s="14" t="s">
        <v>14445</v>
      </c>
      <c r="B5096" s="15" t="s">
        <v>183</v>
      </c>
      <c r="C5096" s="16" t="s">
        <v>15571</v>
      </c>
      <c r="D5096" s="21"/>
      <c r="E5096" s="32" t="s">
        <v>15667</v>
      </c>
      <c r="F5096" s="22" t="str">
        <f>VLOOKUP(Table8[[#This Row],[Mã khách hàng]],code_khach_hang[],2,0)</f>
        <v>CÔNG TY CỔ PHẦN DỊCH VỤ THƯƠNG MẠI TỔNG HỢP WINCOMMERCE</v>
      </c>
      <c r="G5096" s="16" t="str">
        <f>VLOOKUP(Table8[[#This Row],[Mã khách hàng]],code_khach_hang[],3,0)</f>
        <v>Miền Nam đặc biệt 1</v>
      </c>
      <c r="H5096" t="str">
        <f>VLOOKUP(Table8[[#This Row],[Mã khách hàng]],'Khách hàng'!A:D,4,0)</f>
        <v>Food Đức Việt</v>
      </c>
      <c r="I5096" t="str">
        <f>VLOOKUP(Table8[[#This Row],[Mã khách hàng]],'Khách hàng'!A:E,5,0)</f>
        <v>HCVG80</v>
      </c>
    </row>
    <row r="5097" spans="1:9" x14ac:dyDescent="0.25">
      <c r="A5097" s="14" t="s">
        <v>14446</v>
      </c>
      <c r="B5097" s="15" t="s">
        <v>183</v>
      </c>
      <c r="C5097" s="16" t="s">
        <v>15572</v>
      </c>
      <c r="D5097" s="21"/>
      <c r="E5097" s="32" t="s">
        <v>15667</v>
      </c>
      <c r="F5097" s="22" t="str">
        <f>VLOOKUP(Table8[[#This Row],[Mã khách hàng]],code_khach_hang[],2,0)</f>
        <v>CÔNG TY CỔ PHẦN DỊCH VỤ THƯƠNG MẠI TỔNG HỢP WINCOMMERCE</v>
      </c>
      <c r="G5097" s="16" t="str">
        <f>VLOOKUP(Table8[[#This Row],[Mã khách hàng]],code_khach_hang[],3,0)</f>
        <v>Miền Nam đặc biệt 1</v>
      </c>
      <c r="H5097" t="str">
        <f>VLOOKUP(Table8[[#This Row],[Mã khách hàng]],'Khách hàng'!A:D,4,0)</f>
        <v>Food Đức Việt</v>
      </c>
      <c r="I5097" t="str">
        <f>VLOOKUP(Table8[[#This Row],[Mã khách hàng]],'Khách hàng'!A:E,5,0)</f>
        <v>HCVG80</v>
      </c>
    </row>
    <row r="5098" spans="1:9" x14ac:dyDescent="0.25">
      <c r="A5098" s="14" t="s">
        <v>14447</v>
      </c>
      <c r="B5098" s="15" t="s">
        <v>183</v>
      </c>
      <c r="C5098" s="16" t="s">
        <v>15573</v>
      </c>
      <c r="D5098" s="21"/>
      <c r="E5098" s="32" t="s">
        <v>15667</v>
      </c>
      <c r="F5098" s="22" t="str">
        <f>VLOOKUP(Table8[[#This Row],[Mã khách hàng]],code_khach_hang[],2,0)</f>
        <v>CÔNG TY CỔ PHẦN DỊCH VỤ THƯƠNG MẠI TỔNG HỢP WINCOMMERCE</v>
      </c>
      <c r="G5098" s="16" t="str">
        <f>VLOOKUP(Table8[[#This Row],[Mã khách hàng]],code_khach_hang[],3,0)</f>
        <v>Miền Nam đặc biệt 1</v>
      </c>
      <c r="H5098" t="str">
        <f>VLOOKUP(Table8[[#This Row],[Mã khách hàng]],'Khách hàng'!A:D,4,0)</f>
        <v>Food Đức Việt</v>
      </c>
      <c r="I5098" t="str">
        <f>VLOOKUP(Table8[[#This Row],[Mã khách hàng]],'Khách hàng'!A:E,5,0)</f>
        <v>HCVG80</v>
      </c>
    </row>
    <row r="5099" spans="1:9" x14ac:dyDescent="0.25">
      <c r="A5099" s="14" t="s">
        <v>14448</v>
      </c>
      <c r="B5099" s="15" t="s">
        <v>183</v>
      </c>
      <c r="C5099" s="16" t="s">
        <v>15574</v>
      </c>
      <c r="D5099" s="21"/>
      <c r="E5099" s="32" t="s">
        <v>15667</v>
      </c>
      <c r="F5099" s="22" t="str">
        <f>VLOOKUP(Table8[[#This Row],[Mã khách hàng]],code_khach_hang[],2,0)</f>
        <v>CÔNG TY CỔ PHẦN DỊCH VỤ THƯƠNG MẠI TỔNG HỢP WINCOMMERCE</v>
      </c>
      <c r="G5099" s="16" t="str">
        <f>VLOOKUP(Table8[[#This Row],[Mã khách hàng]],code_khach_hang[],3,0)</f>
        <v>Miền Nam đặc biệt 1</v>
      </c>
      <c r="H5099" t="str">
        <f>VLOOKUP(Table8[[#This Row],[Mã khách hàng]],'Khách hàng'!A:D,4,0)</f>
        <v>Food Đức Việt</v>
      </c>
      <c r="I5099" t="str">
        <f>VLOOKUP(Table8[[#This Row],[Mã khách hàng]],'Khách hàng'!A:E,5,0)</f>
        <v>HCVG80</v>
      </c>
    </row>
    <row r="5100" spans="1:9" x14ac:dyDescent="0.25">
      <c r="A5100" s="14" t="s">
        <v>14449</v>
      </c>
      <c r="B5100" s="15" t="s">
        <v>183</v>
      </c>
      <c r="C5100" s="16" t="s">
        <v>15575</v>
      </c>
      <c r="D5100" s="21"/>
      <c r="E5100" s="32" t="s">
        <v>15667</v>
      </c>
      <c r="F5100" s="22" t="str">
        <f>VLOOKUP(Table8[[#This Row],[Mã khách hàng]],code_khach_hang[],2,0)</f>
        <v>CÔNG TY CỔ PHẦN DỊCH VỤ THƯƠNG MẠI TỔNG HỢP WINCOMMERCE</v>
      </c>
      <c r="G5100" s="16" t="str">
        <f>VLOOKUP(Table8[[#This Row],[Mã khách hàng]],code_khach_hang[],3,0)</f>
        <v>Miền Nam đặc biệt 1</v>
      </c>
      <c r="H5100" t="str">
        <f>VLOOKUP(Table8[[#This Row],[Mã khách hàng]],'Khách hàng'!A:D,4,0)</f>
        <v>Food Đức Việt</v>
      </c>
      <c r="I5100" t="str">
        <f>VLOOKUP(Table8[[#This Row],[Mã khách hàng]],'Khách hàng'!A:E,5,0)</f>
        <v>HCVG80</v>
      </c>
    </row>
    <row r="5101" spans="1:9" x14ac:dyDescent="0.25">
      <c r="A5101" s="14" t="s">
        <v>14450</v>
      </c>
      <c r="B5101" s="15" t="s">
        <v>183</v>
      </c>
      <c r="C5101" s="16" t="s">
        <v>15576</v>
      </c>
      <c r="D5101" s="21"/>
      <c r="E5101" s="32" t="s">
        <v>15668</v>
      </c>
      <c r="F5101" s="22" t="str">
        <f>VLOOKUP(Table8[[#This Row],[Mã khách hàng]],code_khach_hang[],2,0)</f>
        <v>CHI NHÁNH ĐỒNG NAI - CÔNG TY CỔ PHẦN DỊCH VỤ THƯƠNG MẠI TỔNG HỢP WINCOMMERCE</v>
      </c>
      <c r="G5101" s="16" t="str">
        <f>VLOOKUP(Table8[[#This Row],[Mã khách hàng]],code_khach_hang[],3,0)</f>
        <v>Miền Nam đặc biệt 3</v>
      </c>
      <c r="H5101" t="str">
        <f>VLOOKUP(Table8[[#This Row],[Mã khách hàng]],'Khách hàng'!A:D,4,0)</f>
        <v>Food Đức Việt</v>
      </c>
      <c r="I5101" t="str">
        <f>VLOOKUP(Table8[[#This Row],[Mã khách hàng]],'Khách hàng'!A:E,5,0)</f>
        <v>HCVG80</v>
      </c>
    </row>
    <row r="5102" spans="1:9" x14ac:dyDescent="0.25">
      <c r="A5102" s="14" t="s">
        <v>14451</v>
      </c>
      <c r="B5102" s="15" t="s">
        <v>5</v>
      </c>
      <c r="C5102" s="16" t="s">
        <v>15577</v>
      </c>
      <c r="D5102" s="21"/>
      <c r="E5102" s="32" t="s">
        <v>15685</v>
      </c>
      <c r="F5102" s="22" t="str">
        <f>VLOOKUP(Table8[[#This Row],[Mã khách hàng]],code_khach_hang[],2,0)</f>
        <v>CHI NHÁNH BÀ RỊA - VŨNG TÀU - CÔNG TY CỔ PHẦN DỊCH VỤ THƯƠNG MẠI TỔNG HỢP WINCOMMERCE</v>
      </c>
      <c r="G5102" s="16" t="str">
        <f>VLOOKUP(Table8[[#This Row],[Mã khách hàng]],code_khach_hang[],3,0)</f>
        <v>Miền Nam đặc biệt 3</v>
      </c>
      <c r="H5102" t="str">
        <f>VLOOKUP(Table8[[#This Row],[Mã khách hàng]],'Khách hàng'!A:D,4,0)</f>
        <v>Food Đức Việt</v>
      </c>
      <c r="I5102" t="str">
        <f>VLOOKUP(Table8[[#This Row],[Mã khách hàng]],'Khách hàng'!A:E,5,0)</f>
        <v>HCVG80</v>
      </c>
    </row>
    <row r="5103" spans="1:9" x14ac:dyDescent="0.25">
      <c r="A5103" s="14" t="s">
        <v>14452</v>
      </c>
      <c r="B5103" s="15" t="s">
        <v>183</v>
      </c>
      <c r="C5103" s="16" t="s">
        <v>15578</v>
      </c>
      <c r="D5103" s="21"/>
      <c r="E5103" s="32" t="s">
        <v>15667</v>
      </c>
      <c r="F5103" s="22" t="str">
        <f>VLOOKUP(Table8[[#This Row],[Mã khách hàng]],code_khach_hang[],2,0)</f>
        <v>CÔNG TY CỔ PHẦN DỊCH VỤ THƯƠNG MẠI TỔNG HỢP WINCOMMERCE</v>
      </c>
      <c r="G5103" s="16" t="str">
        <f>VLOOKUP(Table8[[#This Row],[Mã khách hàng]],code_khach_hang[],3,0)</f>
        <v>Miền Nam đặc biệt 1</v>
      </c>
      <c r="H5103" t="str">
        <f>VLOOKUP(Table8[[#This Row],[Mã khách hàng]],'Khách hàng'!A:D,4,0)</f>
        <v>Food Đức Việt</v>
      </c>
      <c r="I5103" t="str">
        <f>VLOOKUP(Table8[[#This Row],[Mã khách hàng]],'Khách hàng'!A:E,5,0)</f>
        <v>HCVG80</v>
      </c>
    </row>
    <row r="5104" spans="1:9" x14ac:dyDescent="0.25">
      <c r="A5104" s="14" t="s">
        <v>14453</v>
      </c>
      <c r="B5104" s="15" t="s">
        <v>183</v>
      </c>
      <c r="C5104" s="16" t="s">
        <v>15579</v>
      </c>
      <c r="D5104" s="21"/>
      <c r="E5104" s="32" t="s">
        <v>15667</v>
      </c>
      <c r="F5104" s="22" t="str">
        <f>VLOOKUP(Table8[[#This Row],[Mã khách hàng]],code_khach_hang[],2,0)</f>
        <v>CÔNG TY CỔ PHẦN DỊCH VỤ THƯƠNG MẠI TỔNG HỢP WINCOMMERCE</v>
      </c>
      <c r="G5104" s="16" t="str">
        <f>VLOOKUP(Table8[[#This Row],[Mã khách hàng]],code_khach_hang[],3,0)</f>
        <v>Miền Nam đặc biệt 1</v>
      </c>
      <c r="H5104" t="str">
        <f>VLOOKUP(Table8[[#This Row],[Mã khách hàng]],'Khách hàng'!A:D,4,0)</f>
        <v>Food Đức Việt</v>
      </c>
      <c r="I5104" t="str">
        <f>VLOOKUP(Table8[[#This Row],[Mã khách hàng]],'Khách hàng'!A:E,5,0)</f>
        <v>HCVG80</v>
      </c>
    </row>
    <row r="5105" spans="1:9" x14ac:dyDescent="0.25">
      <c r="A5105" s="14" t="s">
        <v>14454</v>
      </c>
      <c r="B5105" s="15" t="s">
        <v>183</v>
      </c>
      <c r="C5105" s="16" t="s">
        <v>15580</v>
      </c>
      <c r="D5105" s="21"/>
      <c r="E5105" s="32" t="s">
        <v>15667</v>
      </c>
      <c r="F5105" s="22" t="str">
        <f>VLOOKUP(Table8[[#This Row],[Mã khách hàng]],code_khach_hang[],2,0)</f>
        <v>CÔNG TY CỔ PHẦN DỊCH VỤ THƯƠNG MẠI TỔNG HỢP WINCOMMERCE</v>
      </c>
      <c r="G5105" s="16" t="str">
        <f>VLOOKUP(Table8[[#This Row],[Mã khách hàng]],code_khach_hang[],3,0)</f>
        <v>Miền Nam đặc biệt 1</v>
      </c>
      <c r="H5105" t="str">
        <f>VLOOKUP(Table8[[#This Row],[Mã khách hàng]],'Khách hàng'!A:D,4,0)</f>
        <v>Food Đức Việt</v>
      </c>
      <c r="I5105" t="str">
        <f>VLOOKUP(Table8[[#This Row],[Mã khách hàng]],'Khách hàng'!A:E,5,0)</f>
        <v>HCVG80</v>
      </c>
    </row>
    <row r="5106" spans="1:9" x14ac:dyDescent="0.25">
      <c r="A5106" s="14" t="s">
        <v>14455</v>
      </c>
      <c r="B5106" s="15" t="s">
        <v>183</v>
      </c>
      <c r="C5106" s="16" t="s">
        <v>15581</v>
      </c>
      <c r="D5106" s="21"/>
      <c r="E5106" s="32" t="s">
        <v>15667</v>
      </c>
      <c r="F5106" s="22" t="str">
        <f>VLOOKUP(Table8[[#This Row],[Mã khách hàng]],code_khach_hang[],2,0)</f>
        <v>CÔNG TY CỔ PHẦN DỊCH VỤ THƯƠNG MẠI TỔNG HỢP WINCOMMERCE</v>
      </c>
      <c r="G5106" s="16" t="str">
        <f>VLOOKUP(Table8[[#This Row],[Mã khách hàng]],code_khach_hang[],3,0)</f>
        <v>Miền Nam đặc biệt 1</v>
      </c>
      <c r="H5106" t="str">
        <f>VLOOKUP(Table8[[#This Row],[Mã khách hàng]],'Khách hàng'!A:D,4,0)</f>
        <v>Food Đức Việt</v>
      </c>
      <c r="I5106" t="str">
        <f>VLOOKUP(Table8[[#This Row],[Mã khách hàng]],'Khách hàng'!A:E,5,0)</f>
        <v>HCVG80</v>
      </c>
    </row>
    <row r="5107" spans="1:9" x14ac:dyDescent="0.25">
      <c r="A5107" s="14" t="s">
        <v>14456</v>
      </c>
      <c r="B5107" s="15" t="s">
        <v>183</v>
      </c>
      <c r="C5107" s="16" t="s">
        <v>15582</v>
      </c>
      <c r="D5107" s="21"/>
      <c r="E5107" s="32" t="s">
        <v>15667</v>
      </c>
      <c r="F5107" s="22" t="str">
        <f>VLOOKUP(Table8[[#This Row],[Mã khách hàng]],code_khach_hang[],2,0)</f>
        <v>CÔNG TY CỔ PHẦN DỊCH VỤ THƯƠNG MẠI TỔNG HỢP WINCOMMERCE</v>
      </c>
      <c r="G5107" s="16" t="str">
        <f>VLOOKUP(Table8[[#This Row],[Mã khách hàng]],code_khach_hang[],3,0)</f>
        <v>Miền Nam đặc biệt 1</v>
      </c>
      <c r="H5107" t="str">
        <f>VLOOKUP(Table8[[#This Row],[Mã khách hàng]],'Khách hàng'!A:D,4,0)</f>
        <v>Food Đức Việt</v>
      </c>
      <c r="I5107" t="str">
        <f>VLOOKUP(Table8[[#This Row],[Mã khách hàng]],'Khách hàng'!A:E,5,0)</f>
        <v>HCVG80</v>
      </c>
    </row>
    <row r="5108" spans="1:9" x14ac:dyDescent="0.25">
      <c r="A5108" s="14" t="s">
        <v>14457</v>
      </c>
      <c r="B5108" s="15" t="s">
        <v>183</v>
      </c>
      <c r="C5108" s="16" t="s">
        <v>15583</v>
      </c>
      <c r="D5108" s="21"/>
      <c r="E5108" s="32" t="s">
        <v>15667</v>
      </c>
      <c r="F5108" s="22" t="str">
        <f>VLOOKUP(Table8[[#This Row],[Mã khách hàng]],code_khach_hang[],2,0)</f>
        <v>CÔNG TY CỔ PHẦN DỊCH VỤ THƯƠNG MẠI TỔNG HỢP WINCOMMERCE</v>
      </c>
      <c r="G5108" s="16" t="str">
        <f>VLOOKUP(Table8[[#This Row],[Mã khách hàng]],code_khach_hang[],3,0)</f>
        <v>Miền Nam đặc biệt 1</v>
      </c>
      <c r="H5108" t="str">
        <f>VLOOKUP(Table8[[#This Row],[Mã khách hàng]],'Khách hàng'!A:D,4,0)</f>
        <v>Food Đức Việt</v>
      </c>
      <c r="I5108" t="str">
        <f>VLOOKUP(Table8[[#This Row],[Mã khách hàng]],'Khách hàng'!A:E,5,0)</f>
        <v>HCVG80</v>
      </c>
    </row>
    <row r="5109" spans="1:9" x14ac:dyDescent="0.25">
      <c r="A5109" s="14" t="s">
        <v>14458</v>
      </c>
      <c r="B5109" s="15" t="s">
        <v>183</v>
      </c>
      <c r="C5109" s="16" t="s">
        <v>15584</v>
      </c>
      <c r="D5109" s="21"/>
      <c r="E5109" s="32" t="s">
        <v>15667</v>
      </c>
      <c r="F5109" s="22" t="str">
        <f>VLOOKUP(Table8[[#This Row],[Mã khách hàng]],code_khach_hang[],2,0)</f>
        <v>CÔNG TY CỔ PHẦN DỊCH VỤ THƯƠNG MẠI TỔNG HỢP WINCOMMERCE</v>
      </c>
      <c r="G5109" s="16" t="str">
        <f>VLOOKUP(Table8[[#This Row],[Mã khách hàng]],code_khach_hang[],3,0)</f>
        <v>Miền Nam đặc biệt 1</v>
      </c>
      <c r="H5109" t="str">
        <f>VLOOKUP(Table8[[#This Row],[Mã khách hàng]],'Khách hàng'!A:D,4,0)</f>
        <v>Food Đức Việt</v>
      </c>
      <c r="I5109" t="str">
        <f>VLOOKUP(Table8[[#This Row],[Mã khách hàng]],'Khách hàng'!A:E,5,0)</f>
        <v>HCVG80</v>
      </c>
    </row>
    <row r="5110" spans="1:9" x14ac:dyDescent="0.25">
      <c r="A5110" s="14" t="s">
        <v>14459</v>
      </c>
      <c r="B5110" s="15" t="s">
        <v>183</v>
      </c>
      <c r="C5110" s="16" t="s">
        <v>15585</v>
      </c>
      <c r="D5110" s="21"/>
      <c r="E5110" s="32" t="s">
        <v>15667</v>
      </c>
      <c r="F5110" s="22" t="str">
        <f>VLOOKUP(Table8[[#This Row],[Mã khách hàng]],code_khach_hang[],2,0)</f>
        <v>CÔNG TY CỔ PHẦN DỊCH VỤ THƯƠNG MẠI TỔNG HỢP WINCOMMERCE</v>
      </c>
      <c r="G5110" s="16" t="str">
        <f>VLOOKUP(Table8[[#This Row],[Mã khách hàng]],code_khach_hang[],3,0)</f>
        <v>Miền Nam đặc biệt 1</v>
      </c>
      <c r="H5110" t="str">
        <f>VLOOKUP(Table8[[#This Row],[Mã khách hàng]],'Khách hàng'!A:D,4,0)</f>
        <v>Food Đức Việt</v>
      </c>
      <c r="I5110" t="str">
        <f>VLOOKUP(Table8[[#This Row],[Mã khách hàng]],'Khách hàng'!A:E,5,0)</f>
        <v>HCVG80</v>
      </c>
    </row>
    <row r="5111" spans="1:9" x14ac:dyDescent="0.25">
      <c r="A5111" s="14" t="s">
        <v>14460</v>
      </c>
      <c r="B5111" s="15" t="s">
        <v>183</v>
      </c>
      <c r="C5111" s="16" t="s">
        <v>15586</v>
      </c>
      <c r="D5111" s="21"/>
      <c r="E5111" s="32" t="s">
        <v>15667</v>
      </c>
      <c r="F5111" s="22" t="str">
        <f>VLOOKUP(Table8[[#This Row],[Mã khách hàng]],code_khach_hang[],2,0)</f>
        <v>CÔNG TY CỔ PHẦN DỊCH VỤ THƯƠNG MẠI TỔNG HỢP WINCOMMERCE</v>
      </c>
      <c r="G5111" s="16" t="str">
        <f>VLOOKUP(Table8[[#This Row],[Mã khách hàng]],code_khach_hang[],3,0)</f>
        <v>Miền Nam đặc biệt 1</v>
      </c>
      <c r="H5111" t="str">
        <f>VLOOKUP(Table8[[#This Row],[Mã khách hàng]],'Khách hàng'!A:D,4,0)</f>
        <v>Food Đức Việt</v>
      </c>
      <c r="I5111" t="str">
        <f>VLOOKUP(Table8[[#This Row],[Mã khách hàng]],'Khách hàng'!A:E,5,0)</f>
        <v>HCVG80</v>
      </c>
    </row>
    <row r="5112" spans="1:9" x14ac:dyDescent="0.25">
      <c r="A5112" s="14" t="s">
        <v>14461</v>
      </c>
      <c r="B5112" s="15" t="s">
        <v>183</v>
      </c>
      <c r="C5112" s="16" t="s">
        <v>15587</v>
      </c>
      <c r="D5112" s="21"/>
      <c r="E5112" s="32" t="s">
        <v>15667</v>
      </c>
      <c r="F5112" s="22" t="str">
        <f>VLOOKUP(Table8[[#This Row],[Mã khách hàng]],code_khach_hang[],2,0)</f>
        <v>CÔNG TY CỔ PHẦN DỊCH VỤ THƯƠNG MẠI TỔNG HỢP WINCOMMERCE</v>
      </c>
      <c r="G5112" s="16" t="str">
        <f>VLOOKUP(Table8[[#This Row],[Mã khách hàng]],code_khach_hang[],3,0)</f>
        <v>Miền Nam đặc biệt 1</v>
      </c>
      <c r="H5112" t="str">
        <f>VLOOKUP(Table8[[#This Row],[Mã khách hàng]],'Khách hàng'!A:D,4,0)</f>
        <v>Food Đức Việt</v>
      </c>
      <c r="I5112" t="str">
        <f>VLOOKUP(Table8[[#This Row],[Mã khách hàng]],'Khách hàng'!A:E,5,0)</f>
        <v>HCVG80</v>
      </c>
    </row>
    <row r="5113" spans="1:9" x14ac:dyDescent="0.25">
      <c r="A5113" s="14" t="s">
        <v>14462</v>
      </c>
      <c r="B5113" s="15" t="s">
        <v>183</v>
      </c>
      <c r="C5113" s="16" t="s">
        <v>15588</v>
      </c>
      <c r="D5113" s="21"/>
      <c r="E5113" s="32" t="s">
        <v>15667</v>
      </c>
      <c r="F5113" s="22" t="str">
        <f>VLOOKUP(Table8[[#This Row],[Mã khách hàng]],code_khach_hang[],2,0)</f>
        <v>CÔNG TY CỔ PHẦN DỊCH VỤ THƯƠNG MẠI TỔNG HỢP WINCOMMERCE</v>
      </c>
      <c r="G5113" s="16" t="str">
        <f>VLOOKUP(Table8[[#This Row],[Mã khách hàng]],code_khach_hang[],3,0)</f>
        <v>Miền Nam đặc biệt 1</v>
      </c>
      <c r="H5113" t="str">
        <f>VLOOKUP(Table8[[#This Row],[Mã khách hàng]],'Khách hàng'!A:D,4,0)</f>
        <v>Food Đức Việt</v>
      </c>
      <c r="I5113" t="str">
        <f>VLOOKUP(Table8[[#This Row],[Mã khách hàng]],'Khách hàng'!A:E,5,0)</f>
        <v>HCVG80</v>
      </c>
    </row>
    <row r="5114" spans="1:9" x14ac:dyDescent="0.25">
      <c r="A5114" s="14" t="s">
        <v>14463</v>
      </c>
      <c r="B5114" s="15" t="s">
        <v>183</v>
      </c>
      <c r="C5114" s="16" t="s">
        <v>15589</v>
      </c>
      <c r="D5114" s="21"/>
      <c r="E5114" s="32" t="s">
        <v>15685</v>
      </c>
      <c r="F5114" s="22" t="str">
        <f>VLOOKUP(Table8[[#This Row],[Mã khách hàng]],code_khach_hang[],2,0)</f>
        <v>CHI NHÁNH BÀ RỊA - VŨNG TÀU - CÔNG TY CỔ PHẦN DỊCH VỤ THƯƠNG MẠI TỔNG HỢP WINCOMMERCE</v>
      </c>
      <c r="G5114" s="16" t="str">
        <f>VLOOKUP(Table8[[#This Row],[Mã khách hàng]],code_khach_hang[],3,0)</f>
        <v>Miền Nam đặc biệt 3</v>
      </c>
      <c r="H5114" t="str">
        <f>VLOOKUP(Table8[[#This Row],[Mã khách hàng]],'Khách hàng'!A:D,4,0)</f>
        <v>Food Đức Việt</v>
      </c>
      <c r="I5114" t="str">
        <f>VLOOKUP(Table8[[#This Row],[Mã khách hàng]],'Khách hàng'!A:E,5,0)</f>
        <v>HCVG80</v>
      </c>
    </row>
    <row r="5115" spans="1:9" x14ac:dyDescent="0.25">
      <c r="A5115" s="14" t="s">
        <v>14464</v>
      </c>
      <c r="B5115" s="15" t="s">
        <v>183</v>
      </c>
      <c r="C5115" s="16" t="s">
        <v>15590</v>
      </c>
      <c r="D5115" s="21"/>
      <c r="E5115" s="32" t="s">
        <v>15667</v>
      </c>
      <c r="F5115" s="22" t="str">
        <f>VLOOKUP(Table8[[#This Row],[Mã khách hàng]],code_khach_hang[],2,0)</f>
        <v>CÔNG TY CỔ PHẦN DỊCH VỤ THƯƠNG MẠI TỔNG HỢP WINCOMMERCE</v>
      </c>
      <c r="G5115" s="16" t="str">
        <f>VLOOKUP(Table8[[#This Row],[Mã khách hàng]],code_khach_hang[],3,0)</f>
        <v>Miền Nam đặc biệt 1</v>
      </c>
      <c r="H5115" t="str">
        <f>VLOOKUP(Table8[[#This Row],[Mã khách hàng]],'Khách hàng'!A:D,4,0)</f>
        <v>Food Đức Việt</v>
      </c>
      <c r="I5115" t="str">
        <f>VLOOKUP(Table8[[#This Row],[Mã khách hàng]],'Khách hàng'!A:E,5,0)</f>
        <v>HCVG80</v>
      </c>
    </row>
    <row r="5116" spans="1:9" x14ac:dyDescent="0.25">
      <c r="A5116" s="14" t="s">
        <v>14465</v>
      </c>
      <c r="B5116" s="15" t="s">
        <v>183</v>
      </c>
      <c r="C5116" s="16" t="s">
        <v>15591</v>
      </c>
      <c r="D5116" s="21"/>
      <c r="E5116" s="32" t="s">
        <v>15667</v>
      </c>
      <c r="F5116" s="22" t="str">
        <f>VLOOKUP(Table8[[#This Row],[Mã khách hàng]],code_khach_hang[],2,0)</f>
        <v>CÔNG TY CỔ PHẦN DỊCH VỤ THƯƠNG MẠI TỔNG HỢP WINCOMMERCE</v>
      </c>
      <c r="G5116" s="16" t="str">
        <f>VLOOKUP(Table8[[#This Row],[Mã khách hàng]],code_khach_hang[],3,0)</f>
        <v>Miền Nam đặc biệt 1</v>
      </c>
      <c r="H5116" t="str">
        <f>VLOOKUP(Table8[[#This Row],[Mã khách hàng]],'Khách hàng'!A:D,4,0)</f>
        <v>Food Đức Việt</v>
      </c>
      <c r="I5116" t="str">
        <f>VLOOKUP(Table8[[#This Row],[Mã khách hàng]],'Khách hàng'!A:E,5,0)</f>
        <v>HCVG80</v>
      </c>
    </row>
    <row r="5117" spans="1:9" x14ac:dyDescent="0.25">
      <c r="A5117" s="14" t="s">
        <v>14466</v>
      </c>
      <c r="B5117" s="15" t="s">
        <v>183</v>
      </c>
      <c r="C5117" s="16" t="s">
        <v>15592</v>
      </c>
      <c r="D5117" s="21"/>
      <c r="E5117" s="32" t="s">
        <v>15667</v>
      </c>
      <c r="F5117" s="22" t="str">
        <f>VLOOKUP(Table8[[#This Row],[Mã khách hàng]],code_khach_hang[],2,0)</f>
        <v>CÔNG TY CỔ PHẦN DỊCH VỤ THƯƠNG MẠI TỔNG HỢP WINCOMMERCE</v>
      </c>
      <c r="G5117" s="16" t="str">
        <f>VLOOKUP(Table8[[#This Row],[Mã khách hàng]],code_khach_hang[],3,0)</f>
        <v>Miền Nam đặc biệt 1</v>
      </c>
      <c r="H5117" t="str">
        <f>VLOOKUP(Table8[[#This Row],[Mã khách hàng]],'Khách hàng'!A:D,4,0)</f>
        <v>Food Đức Việt</v>
      </c>
      <c r="I5117" t="str">
        <f>VLOOKUP(Table8[[#This Row],[Mã khách hàng]],'Khách hàng'!A:E,5,0)</f>
        <v>HCVG80</v>
      </c>
    </row>
    <row r="5118" spans="1:9" x14ac:dyDescent="0.25">
      <c r="A5118" s="14" t="s">
        <v>14467</v>
      </c>
      <c r="B5118" s="15" t="s">
        <v>5</v>
      </c>
      <c r="C5118" s="16" t="s">
        <v>15593</v>
      </c>
      <c r="D5118" s="21"/>
      <c r="E5118" s="32" t="s">
        <v>15668</v>
      </c>
      <c r="F5118" s="22" t="str">
        <f>VLOOKUP(Table8[[#This Row],[Mã khách hàng]],code_khach_hang[],2,0)</f>
        <v>CHI NHÁNH ĐỒNG NAI - CÔNG TY CỔ PHẦN DỊCH VỤ THƯƠNG MẠI TỔNG HỢP WINCOMMERCE</v>
      </c>
      <c r="G5118" s="16" t="str">
        <f>VLOOKUP(Table8[[#This Row],[Mã khách hàng]],code_khach_hang[],3,0)</f>
        <v>Miền Nam đặc biệt 3</v>
      </c>
      <c r="H5118" t="str">
        <f>VLOOKUP(Table8[[#This Row],[Mã khách hàng]],'Khách hàng'!A:D,4,0)</f>
        <v>Food Đức Việt</v>
      </c>
      <c r="I5118" t="str">
        <f>VLOOKUP(Table8[[#This Row],[Mã khách hàng]],'Khách hàng'!A:E,5,0)</f>
        <v>HCVG80</v>
      </c>
    </row>
    <row r="5119" spans="1:9" x14ac:dyDescent="0.25">
      <c r="A5119" s="14" t="s">
        <v>14468</v>
      </c>
      <c r="B5119" s="15" t="s">
        <v>5</v>
      </c>
      <c r="C5119" s="16" t="s">
        <v>15594</v>
      </c>
      <c r="D5119" s="21"/>
      <c r="E5119" s="32" t="s">
        <v>15667</v>
      </c>
      <c r="F5119" s="22" t="str">
        <f>VLOOKUP(Table8[[#This Row],[Mã khách hàng]],code_khach_hang[],2,0)</f>
        <v>CÔNG TY CỔ PHẦN DỊCH VỤ THƯƠNG MẠI TỔNG HỢP WINCOMMERCE</v>
      </c>
      <c r="G5119" s="16" t="str">
        <f>VLOOKUP(Table8[[#This Row],[Mã khách hàng]],code_khach_hang[],3,0)</f>
        <v>Miền Nam đặc biệt 1</v>
      </c>
      <c r="H5119" t="str">
        <f>VLOOKUP(Table8[[#This Row],[Mã khách hàng]],'Khách hàng'!A:D,4,0)</f>
        <v>Food Đức Việt</v>
      </c>
      <c r="I5119" t="str">
        <f>VLOOKUP(Table8[[#This Row],[Mã khách hàng]],'Khách hàng'!A:E,5,0)</f>
        <v>HCVG80</v>
      </c>
    </row>
    <row r="5120" spans="1:9" x14ac:dyDescent="0.25">
      <c r="A5120" s="14" t="s">
        <v>14469</v>
      </c>
      <c r="B5120" s="15" t="s">
        <v>5</v>
      </c>
      <c r="C5120" s="16" t="s">
        <v>15595</v>
      </c>
      <c r="D5120" s="21"/>
      <c r="E5120" s="32" t="s">
        <v>15668</v>
      </c>
      <c r="F5120" s="22" t="str">
        <f>VLOOKUP(Table8[[#This Row],[Mã khách hàng]],code_khach_hang[],2,0)</f>
        <v>CHI NHÁNH ĐỒNG NAI - CÔNG TY CỔ PHẦN DỊCH VỤ THƯƠNG MẠI TỔNG HỢP WINCOMMERCE</v>
      </c>
      <c r="G5120" s="16" t="str">
        <f>VLOOKUP(Table8[[#This Row],[Mã khách hàng]],code_khach_hang[],3,0)</f>
        <v>Miền Nam đặc biệt 3</v>
      </c>
      <c r="H5120" t="str">
        <f>VLOOKUP(Table8[[#This Row],[Mã khách hàng]],'Khách hàng'!A:D,4,0)</f>
        <v>Food Đức Việt</v>
      </c>
      <c r="I5120" t="str">
        <f>VLOOKUP(Table8[[#This Row],[Mã khách hàng]],'Khách hàng'!A:E,5,0)</f>
        <v>HCVG80</v>
      </c>
    </row>
    <row r="5121" spans="1:9" x14ac:dyDescent="0.25">
      <c r="A5121" s="14" t="s">
        <v>14470</v>
      </c>
      <c r="B5121" s="15" t="s">
        <v>5</v>
      </c>
      <c r="C5121" s="16" t="s">
        <v>15596</v>
      </c>
      <c r="D5121" s="21"/>
      <c r="E5121" s="32" t="s">
        <v>15678</v>
      </c>
      <c r="F5121" s="22" t="str">
        <f>VLOOKUP(Table8[[#This Row],[Mã khách hàng]],code_khach_hang[],2,0)</f>
        <v>CHI NHÁNH LÂM ĐỒNG - CÔNG TY CỔ PHẦN DỊCH VỤ THƯƠNG MẠI TỔNG HỢP WINCOMMERCE</v>
      </c>
      <c r="G5121" s="16" t="str">
        <f>VLOOKUP(Table8[[#This Row],[Mã khách hàng]],code_khach_hang[],3,0)</f>
        <v>Miền Nam đặc biệt 2</v>
      </c>
      <c r="H5121" t="str">
        <f>VLOOKUP(Table8[[#This Row],[Mã khách hàng]],'Khách hàng'!A:D,4,0)</f>
        <v>Food Đức Việt</v>
      </c>
      <c r="I5121" t="str">
        <f>VLOOKUP(Table8[[#This Row],[Mã khách hàng]],'Khách hàng'!A:E,5,0)</f>
        <v>HCVG80</v>
      </c>
    </row>
    <row r="5122" spans="1:9" x14ac:dyDescent="0.25">
      <c r="A5122" s="14" t="s">
        <v>14471</v>
      </c>
      <c r="B5122" s="15" t="s">
        <v>5</v>
      </c>
      <c r="C5122" s="16" t="s">
        <v>15597</v>
      </c>
      <c r="D5122" s="21"/>
      <c r="E5122" s="32" t="s">
        <v>15675</v>
      </c>
      <c r="F5122" s="22" t="str">
        <f>VLOOKUP(Table8[[#This Row],[Mã khách hàng]],code_khach_hang[],2,0)</f>
        <v>CHI NHÁNH VĨNH LONG - CÔNG TY CỔ PHẦN DỊCH VỤ THƯƠNG MẠI TỔNG HỢP WINCOMMERCE</v>
      </c>
      <c r="G5122" s="16" t="str">
        <f>VLOOKUP(Table8[[#This Row],[Mã khách hàng]],code_khach_hang[],3,0)</f>
        <v>Miền Nam đặc biệt 2</v>
      </c>
      <c r="H5122" t="str">
        <f>VLOOKUP(Table8[[#This Row],[Mã khách hàng]],'Khách hàng'!A:D,4,0)</f>
        <v>Food Đức Việt</v>
      </c>
      <c r="I5122" t="str">
        <f>VLOOKUP(Table8[[#This Row],[Mã khách hàng]],'Khách hàng'!A:E,5,0)</f>
        <v>HC-CT120</v>
      </c>
    </row>
    <row r="5123" spans="1:9" x14ac:dyDescent="0.25">
      <c r="A5123" s="14" t="s">
        <v>14472</v>
      </c>
      <c r="B5123" s="15" t="s">
        <v>5</v>
      </c>
      <c r="C5123" s="16" t="s">
        <v>15598</v>
      </c>
      <c r="D5123" s="21"/>
      <c r="E5123" s="32" t="s">
        <v>15675</v>
      </c>
      <c r="F5123" s="22" t="str">
        <f>VLOOKUP(Table8[[#This Row],[Mã khách hàng]],code_khach_hang[],2,0)</f>
        <v>CHI NHÁNH VĨNH LONG - CÔNG TY CỔ PHẦN DỊCH VỤ THƯƠNG MẠI TỔNG HỢP WINCOMMERCE</v>
      </c>
      <c r="G5123" s="16" t="str">
        <f>VLOOKUP(Table8[[#This Row],[Mã khách hàng]],code_khach_hang[],3,0)</f>
        <v>Miền Nam đặc biệt 2</v>
      </c>
      <c r="H5123" t="str">
        <f>VLOOKUP(Table8[[#This Row],[Mã khách hàng]],'Khách hàng'!A:D,4,0)</f>
        <v>Food Đức Việt</v>
      </c>
      <c r="I5123" t="str">
        <f>VLOOKUP(Table8[[#This Row],[Mã khách hàng]],'Khách hàng'!A:E,5,0)</f>
        <v>HC-CT120</v>
      </c>
    </row>
    <row r="5124" spans="1:9" x14ac:dyDescent="0.25">
      <c r="A5124" s="14" t="s">
        <v>14473</v>
      </c>
      <c r="B5124" s="15" t="s">
        <v>5</v>
      </c>
      <c r="C5124" s="16" t="s">
        <v>15599</v>
      </c>
      <c r="D5124" s="21"/>
      <c r="E5124" s="32" t="s">
        <v>15667</v>
      </c>
      <c r="F5124" s="22" t="str">
        <f>VLOOKUP(Table8[[#This Row],[Mã khách hàng]],code_khach_hang[],2,0)</f>
        <v>CÔNG TY CỔ PHẦN DỊCH VỤ THƯƠNG MẠI TỔNG HỢP WINCOMMERCE</v>
      </c>
      <c r="G5124" s="16" t="str">
        <f>VLOOKUP(Table8[[#This Row],[Mã khách hàng]],code_khach_hang[],3,0)</f>
        <v>Miền Nam đặc biệt 1</v>
      </c>
      <c r="H5124" t="str">
        <f>VLOOKUP(Table8[[#This Row],[Mã khách hàng]],'Khách hàng'!A:D,4,0)</f>
        <v>Food Đức Việt</v>
      </c>
      <c r="I5124" t="str">
        <f>VLOOKUP(Table8[[#This Row],[Mã khách hàng]],'Khách hàng'!A:E,5,0)</f>
        <v>HCVG80</v>
      </c>
    </row>
    <row r="5125" spans="1:9" x14ac:dyDescent="0.25">
      <c r="A5125" s="14" t="s">
        <v>14474</v>
      </c>
      <c r="B5125" s="15" t="s">
        <v>5</v>
      </c>
      <c r="C5125" s="16" t="s">
        <v>15600</v>
      </c>
      <c r="D5125" s="21"/>
      <c r="E5125" s="32" t="s">
        <v>15667</v>
      </c>
      <c r="F5125" s="22" t="str">
        <f>VLOOKUP(Table8[[#This Row],[Mã khách hàng]],code_khach_hang[],2,0)</f>
        <v>CÔNG TY CỔ PHẦN DỊCH VỤ THƯƠNG MẠI TỔNG HỢP WINCOMMERCE</v>
      </c>
      <c r="G5125" s="16" t="str">
        <f>VLOOKUP(Table8[[#This Row],[Mã khách hàng]],code_khach_hang[],3,0)</f>
        <v>Miền Nam đặc biệt 1</v>
      </c>
      <c r="H5125" t="str">
        <f>VLOOKUP(Table8[[#This Row],[Mã khách hàng]],'Khách hàng'!A:D,4,0)</f>
        <v>Food Đức Việt</v>
      </c>
      <c r="I5125" t="str">
        <f>VLOOKUP(Table8[[#This Row],[Mã khách hàng]],'Khách hàng'!A:E,5,0)</f>
        <v>HCVG80</v>
      </c>
    </row>
    <row r="5126" spans="1:9" x14ac:dyDescent="0.25">
      <c r="A5126" s="14" t="s">
        <v>14475</v>
      </c>
      <c r="B5126" s="15" t="s">
        <v>5</v>
      </c>
      <c r="C5126" s="16" t="s">
        <v>15601</v>
      </c>
      <c r="D5126" s="21"/>
      <c r="E5126" s="32" t="s">
        <v>15669</v>
      </c>
      <c r="F5126" s="22" t="str">
        <f>VLOOKUP(Table8[[#This Row],[Mã khách hàng]],code_khach_hang[],2,0)</f>
        <v>CHI NHÁNH CẦN THƠ - CÔNG TY CỔ PHẦN DỊCH VỤ THƯƠNG MẠI TỔNG HỢP WINCOMMERCE</v>
      </c>
      <c r="G5126" s="16" t="str">
        <f>VLOOKUP(Table8[[#This Row],[Mã khách hàng]],code_khach_hang[],3,0)</f>
        <v>Miền Nam đặc biệt 2</v>
      </c>
      <c r="H5126" t="str">
        <f>VLOOKUP(Table8[[#This Row],[Mã khách hàng]],'Khách hàng'!A:D,4,0)</f>
        <v>Food Đức Việt</v>
      </c>
      <c r="I5126" t="str">
        <f>VLOOKUP(Table8[[#This Row],[Mã khách hàng]],'Khách hàng'!A:E,5,0)</f>
        <v>HC-CT120</v>
      </c>
    </row>
    <row r="5127" spans="1:9" x14ac:dyDescent="0.25">
      <c r="A5127" s="14" t="s">
        <v>14476</v>
      </c>
      <c r="B5127" s="15" t="s">
        <v>5</v>
      </c>
      <c r="C5127" s="16" t="s">
        <v>15602</v>
      </c>
      <c r="D5127" s="21"/>
      <c r="E5127" s="32" t="s">
        <v>15678</v>
      </c>
      <c r="F5127" s="22" t="str">
        <f>VLOOKUP(Table8[[#This Row],[Mã khách hàng]],code_khach_hang[],2,0)</f>
        <v>CHI NHÁNH LÂM ĐỒNG - CÔNG TY CỔ PHẦN DỊCH VỤ THƯƠNG MẠI TỔNG HỢP WINCOMMERCE</v>
      </c>
      <c r="G5127" s="16" t="str">
        <f>VLOOKUP(Table8[[#This Row],[Mã khách hàng]],code_khach_hang[],3,0)</f>
        <v>Miền Nam đặc biệt 2</v>
      </c>
      <c r="H5127" t="str">
        <f>VLOOKUP(Table8[[#This Row],[Mã khách hàng]],'Khách hàng'!A:D,4,0)</f>
        <v>Food Đức Việt</v>
      </c>
      <c r="I5127" t="str">
        <f>VLOOKUP(Table8[[#This Row],[Mã khách hàng]],'Khách hàng'!A:E,5,0)</f>
        <v>HCVG80</v>
      </c>
    </row>
    <row r="5128" spans="1:9" x14ac:dyDescent="0.25">
      <c r="A5128" s="14" t="s">
        <v>14477</v>
      </c>
      <c r="B5128" s="15" t="s">
        <v>5</v>
      </c>
      <c r="C5128" s="16" t="s">
        <v>15603</v>
      </c>
      <c r="D5128" s="21"/>
      <c r="E5128" s="32" t="s">
        <v>15667</v>
      </c>
      <c r="F5128" s="22" t="str">
        <f>VLOOKUP(Table8[[#This Row],[Mã khách hàng]],code_khach_hang[],2,0)</f>
        <v>CÔNG TY CỔ PHẦN DỊCH VỤ THƯƠNG MẠI TỔNG HỢP WINCOMMERCE</v>
      </c>
      <c r="G5128" s="16" t="str">
        <f>VLOOKUP(Table8[[#This Row],[Mã khách hàng]],code_khach_hang[],3,0)</f>
        <v>Miền Nam đặc biệt 1</v>
      </c>
      <c r="H5128" t="str">
        <f>VLOOKUP(Table8[[#This Row],[Mã khách hàng]],'Khách hàng'!A:D,4,0)</f>
        <v>Food Đức Việt</v>
      </c>
      <c r="I5128" t="str">
        <f>VLOOKUP(Table8[[#This Row],[Mã khách hàng]],'Khách hàng'!A:E,5,0)</f>
        <v>HCVG80</v>
      </c>
    </row>
    <row r="5129" spans="1:9" x14ac:dyDescent="0.25">
      <c r="A5129" s="14" t="s">
        <v>14478</v>
      </c>
      <c r="B5129" s="15" t="s">
        <v>5</v>
      </c>
      <c r="C5129" s="16" t="s">
        <v>15604</v>
      </c>
      <c r="D5129" s="21"/>
      <c r="E5129" s="32" t="s">
        <v>15668</v>
      </c>
      <c r="F5129" s="22" t="str">
        <f>VLOOKUP(Table8[[#This Row],[Mã khách hàng]],code_khach_hang[],2,0)</f>
        <v>CHI NHÁNH ĐỒNG NAI - CÔNG TY CỔ PHẦN DỊCH VỤ THƯƠNG MẠI TỔNG HỢP WINCOMMERCE</v>
      </c>
      <c r="G5129" s="16" t="str">
        <f>VLOOKUP(Table8[[#This Row],[Mã khách hàng]],code_khach_hang[],3,0)</f>
        <v>Miền Nam đặc biệt 3</v>
      </c>
      <c r="H5129" t="str">
        <f>VLOOKUP(Table8[[#This Row],[Mã khách hàng]],'Khách hàng'!A:D,4,0)</f>
        <v>Food Đức Việt</v>
      </c>
      <c r="I5129" t="str">
        <f>VLOOKUP(Table8[[#This Row],[Mã khách hàng]],'Khách hàng'!A:E,5,0)</f>
        <v>HCVG80</v>
      </c>
    </row>
    <row r="5130" spans="1:9" x14ac:dyDescent="0.25">
      <c r="A5130" s="14" t="s">
        <v>14479</v>
      </c>
      <c r="B5130" s="15" t="s">
        <v>5</v>
      </c>
      <c r="C5130" s="16" t="s">
        <v>15605</v>
      </c>
      <c r="D5130" s="21"/>
      <c r="E5130" s="32" t="s">
        <v>15667</v>
      </c>
      <c r="F5130" s="22" t="str">
        <f>VLOOKUP(Table8[[#This Row],[Mã khách hàng]],code_khach_hang[],2,0)</f>
        <v>CÔNG TY CỔ PHẦN DỊCH VỤ THƯƠNG MẠI TỔNG HỢP WINCOMMERCE</v>
      </c>
      <c r="G5130" s="16" t="str">
        <f>VLOOKUP(Table8[[#This Row],[Mã khách hàng]],code_khach_hang[],3,0)</f>
        <v>Miền Nam đặc biệt 1</v>
      </c>
      <c r="H5130" t="str">
        <f>VLOOKUP(Table8[[#This Row],[Mã khách hàng]],'Khách hàng'!A:D,4,0)</f>
        <v>Food Đức Việt</v>
      </c>
      <c r="I5130" t="str">
        <f>VLOOKUP(Table8[[#This Row],[Mã khách hàng]],'Khách hàng'!A:E,5,0)</f>
        <v>HCVG80</v>
      </c>
    </row>
    <row r="5131" spans="1:9" x14ac:dyDescent="0.25">
      <c r="A5131" s="14" t="s">
        <v>14480</v>
      </c>
      <c r="B5131" s="15" t="s">
        <v>5</v>
      </c>
      <c r="C5131" s="16" t="s">
        <v>15606</v>
      </c>
      <c r="D5131" s="21"/>
      <c r="E5131" s="32" t="s">
        <v>15668</v>
      </c>
      <c r="F5131" s="22" t="str">
        <f>VLOOKUP(Table8[[#This Row],[Mã khách hàng]],code_khach_hang[],2,0)</f>
        <v>CHI NHÁNH ĐỒNG NAI - CÔNG TY CỔ PHẦN DỊCH VỤ THƯƠNG MẠI TỔNG HỢP WINCOMMERCE</v>
      </c>
      <c r="G5131" s="16" t="str">
        <f>VLOOKUP(Table8[[#This Row],[Mã khách hàng]],code_khach_hang[],3,0)</f>
        <v>Miền Nam đặc biệt 3</v>
      </c>
      <c r="H5131" t="str">
        <f>VLOOKUP(Table8[[#This Row],[Mã khách hàng]],'Khách hàng'!A:D,4,0)</f>
        <v>Food Đức Việt</v>
      </c>
      <c r="I5131" t="str">
        <f>VLOOKUP(Table8[[#This Row],[Mã khách hàng]],'Khách hàng'!A:E,5,0)</f>
        <v>HCVG80</v>
      </c>
    </row>
    <row r="5132" spans="1:9" x14ac:dyDescent="0.25">
      <c r="A5132" s="14" t="s">
        <v>14481</v>
      </c>
      <c r="B5132" s="15" t="s">
        <v>5</v>
      </c>
      <c r="C5132" s="16" t="s">
        <v>15607</v>
      </c>
      <c r="D5132" s="21"/>
      <c r="E5132" s="32" t="s">
        <v>15672</v>
      </c>
      <c r="F5132" s="22" t="str">
        <f>VLOOKUP(Table8[[#This Row],[Mã khách hàng]],code_khach_hang[],2,0)</f>
        <v>CHI NHÁNH AN GIANG - CÔNG TY CỔ PHẦN DỊCH VỤ THƯƠNG MẠI TỔNG HỢP WINCOMMERCE</v>
      </c>
      <c r="G5132" s="16" t="str">
        <f>VLOOKUP(Table8[[#This Row],[Mã khách hàng]],code_khach_hang[],3,0)</f>
        <v>Miền Nam đặc biệt 2</v>
      </c>
      <c r="H5132" t="str">
        <f>VLOOKUP(Table8[[#This Row],[Mã khách hàng]],'Khách hàng'!A:D,4,0)</f>
        <v>Food Đức Việt</v>
      </c>
      <c r="I5132" t="str">
        <f>VLOOKUP(Table8[[#This Row],[Mã khách hàng]],'Khách hàng'!A:E,5,0)</f>
        <v>HC-CT120</v>
      </c>
    </row>
    <row r="5133" spans="1:9" x14ac:dyDescent="0.25">
      <c r="A5133" s="14" t="s">
        <v>14482</v>
      </c>
      <c r="B5133" s="15" t="s">
        <v>5</v>
      </c>
      <c r="C5133" s="16" t="s">
        <v>15608</v>
      </c>
      <c r="D5133" s="21"/>
      <c r="E5133" s="32" t="s">
        <v>15675</v>
      </c>
      <c r="F5133" s="22" t="str">
        <f>VLOOKUP(Table8[[#This Row],[Mã khách hàng]],code_khach_hang[],2,0)</f>
        <v>CHI NHÁNH VĨNH LONG - CÔNG TY CỔ PHẦN DỊCH VỤ THƯƠNG MẠI TỔNG HỢP WINCOMMERCE</v>
      </c>
      <c r="G5133" s="16" t="str">
        <f>VLOOKUP(Table8[[#This Row],[Mã khách hàng]],code_khach_hang[],3,0)</f>
        <v>Miền Nam đặc biệt 2</v>
      </c>
      <c r="H5133" t="str">
        <f>VLOOKUP(Table8[[#This Row],[Mã khách hàng]],'Khách hàng'!A:D,4,0)</f>
        <v>Food Đức Việt</v>
      </c>
      <c r="I5133" t="str">
        <f>VLOOKUP(Table8[[#This Row],[Mã khách hàng]],'Khách hàng'!A:E,5,0)</f>
        <v>HC-CT120</v>
      </c>
    </row>
    <row r="5134" spans="1:9" x14ac:dyDescent="0.25">
      <c r="A5134" s="14" t="s">
        <v>14483</v>
      </c>
      <c r="B5134" s="15" t="s">
        <v>5</v>
      </c>
      <c r="C5134" s="16" t="s">
        <v>15609</v>
      </c>
      <c r="D5134" s="21"/>
      <c r="E5134" s="32" t="s">
        <v>15669</v>
      </c>
      <c r="F5134" s="22" t="str">
        <f>VLOOKUP(Table8[[#This Row],[Mã khách hàng]],code_khach_hang[],2,0)</f>
        <v>CHI NHÁNH CẦN THƠ - CÔNG TY CỔ PHẦN DỊCH VỤ THƯƠNG MẠI TỔNG HỢP WINCOMMERCE</v>
      </c>
      <c r="G5134" s="16" t="str">
        <f>VLOOKUP(Table8[[#This Row],[Mã khách hàng]],code_khach_hang[],3,0)</f>
        <v>Miền Nam đặc biệt 2</v>
      </c>
      <c r="H5134" t="str">
        <f>VLOOKUP(Table8[[#This Row],[Mã khách hàng]],'Khách hàng'!A:D,4,0)</f>
        <v>Food Đức Việt</v>
      </c>
      <c r="I5134" t="str">
        <f>VLOOKUP(Table8[[#This Row],[Mã khách hàng]],'Khách hàng'!A:E,5,0)</f>
        <v>HC-CT120</v>
      </c>
    </row>
    <row r="5135" spans="1:9" x14ac:dyDescent="0.25">
      <c r="A5135" s="14" t="s">
        <v>14484</v>
      </c>
      <c r="B5135" s="15" t="s">
        <v>5</v>
      </c>
      <c r="C5135" s="16" t="s">
        <v>15610</v>
      </c>
      <c r="D5135" s="21"/>
      <c r="E5135" s="32" t="s">
        <v>15672</v>
      </c>
      <c r="F5135" s="22" t="str">
        <f>VLOOKUP(Table8[[#This Row],[Mã khách hàng]],code_khach_hang[],2,0)</f>
        <v>CHI NHÁNH AN GIANG - CÔNG TY CỔ PHẦN DỊCH VỤ THƯƠNG MẠI TỔNG HỢP WINCOMMERCE</v>
      </c>
      <c r="G5135" s="16" t="str">
        <f>VLOOKUP(Table8[[#This Row],[Mã khách hàng]],code_khach_hang[],3,0)</f>
        <v>Miền Nam đặc biệt 2</v>
      </c>
      <c r="H5135" t="str">
        <f>VLOOKUP(Table8[[#This Row],[Mã khách hàng]],'Khách hàng'!A:D,4,0)</f>
        <v>Food Đức Việt</v>
      </c>
      <c r="I5135" t="str">
        <f>VLOOKUP(Table8[[#This Row],[Mã khách hàng]],'Khách hàng'!A:E,5,0)</f>
        <v>HC-CT120</v>
      </c>
    </row>
    <row r="5136" spans="1:9" x14ac:dyDescent="0.25">
      <c r="A5136" s="14" t="s">
        <v>14485</v>
      </c>
      <c r="B5136" s="15" t="s">
        <v>5</v>
      </c>
      <c r="C5136" s="16" t="s">
        <v>15611</v>
      </c>
      <c r="D5136" s="21"/>
      <c r="E5136" s="32" t="s">
        <v>15667</v>
      </c>
      <c r="F5136" s="22" t="str">
        <f>VLOOKUP(Table8[[#This Row],[Mã khách hàng]],code_khach_hang[],2,0)</f>
        <v>CÔNG TY CỔ PHẦN DỊCH VỤ THƯƠNG MẠI TỔNG HỢP WINCOMMERCE</v>
      </c>
      <c r="G5136" s="16" t="str">
        <f>VLOOKUP(Table8[[#This Row],[Mã khách hàng]],code_khach_hang[],3,0)</f>
        <v>Miền Nam đặc biệt 1</v>
      </c>
      <c r="H5136" t="str">
        <f>VLOOKUP(Table8[[#This Row],[Mã khách hàng]],'Khách hàng'!A:D,4,0)</f>
        <v>Food Đức Việt</v>
      </c>
      <c r="I5136" t="str">
        <f>VLOOKUP(Table8[[#This Row],[Mã khách hàng]],'Khách hàng'!A:E,5,0)</f>
        <v>HCVG80</v>
      </c>
    </row>
    <row r="5137" spans="1:9" x14ac:dyDescent="0.25">
      <c r="A5137" s="14" t="s">
        <v>14486</v>
      </c>
      <c r="B5137" s="15" t="s">
        <v>183</v>
      </c>
      <c r="C5137" s="16" t="s">
        <v>15612</v>
      </c>
      <c r="D5137" s="21"/>
      <c r="E5137" s="32" t="s">
        <v>15667</v>
      </c>
      <c r="F5137" s="22" t="str">
        <f>VLOOKUP(Table8[[#This Row],[Mã khách hàng]],code_khach_hang[],2,0)</f>
        <v>CÔNG TY CỔ PHẦN DỊCH VỤ THƯƠNG MẠI TỔNG HỢP WINCOMMERCE</v>
      </c>
      <c r="G5137" s="16" t="str">
        <f>VLOOKUP(Table8[[#This Row],[Mã khách hàng]],code_khach_hang[],3,0)</f>
        <v>Miền Nam đặc biệt 1</v>
      </c>
      <c r="H5137" t="str">
        <f>VLOOKUP(Table8[[#This Row],[Mã khách hàng]],'Khách hàng'!A:D,4,0)</f>
        <v>Food Đức Việt</v>
      </c>
      <c r="I5137" t="str">
        <f>VLOOKUP(Table8[[#This Row],[Mã khách hàng]],'Khách hàng'!A:E,5,0)</f>
        <v>HCVG80</v>
      </c>
    </row>
    <row r="5138" spans="1:9" x14ac:dyDescent="0.25">
      <c r="A5138" s="14" t="s">
        <v>14487</v>
      </c>
      <c r="B5138" s="15" t="s">
        <v>5</v>
      </c>
      <c r="C5138" s="16" t="s">
        <v>15613</v>
      </c>
      <c r="D5138" s="21"/>
      <c r="E5138" s="32" t="s">
        <v>15675</v>
      </c>
      <c r="F5138" s="22" t="str">
        <f>VLOOKUP(Table8[[#This Row],[Mã khách hàng]],code_khach_hang[],2,0)</f>
        <v>CHI NHÁNH VĨNH LONG - CÔNG TY CỔ PHẦN DỊCH VỤ THƯƠNG MẠI TỔNG HỢP WINCOMMERCE</v>
      </c>
      <c r="G5138" s="16" t="str">
        <f>VLOOKUP(Table8[[#This Row],[Mã khách hàng]],code_khach_hang[],3,0)</f>
        <v>Miền Nam đặc biệt 2</v>
      </c>
      <c r="H5138" t="str">
        <f>VLOOKUP(Table8[[#This Row],[Mã khách hàng]],'Khách hàng'!A:D,4,0)</f>
        <v>Food Đức Việt</v>
      </c>
      <c r="I5138" t="str">
        <f>VLOOKUP(Table8[[#This Row],[Mã khách hàng]],'Khách hàng'!A:E,5,0)</f>
        <v>HC-CT120</v>
      </c>
    </row>
    <row r="5139" spans="1:9" x14ac:dyDescent="0.25">
      <c r="A5139" s="14" t="s">
        <v>14488</v>
      </c>
      <c r="B5139" s="15" t="s">
        <v>5</v>
      </c>
      <c r="C5139" s="16" t="s">
        <v>15614</v>
      </c>
      <c r="D5139" s="21"/>
      <c r="E5139" s="32" t="s">
        <v>15667</v>
      </c>
      <c r="F5139" s="22" t="str">
        <f>VLOOKUP(Table8[[#This Row],[Mã khách hàng]],code_khach_hang[],2,0)</f>
        <v>CÔNG TY CỔ PHẦN DỊCH VỤ THƯƠNG MẠI TỔNG HỢP WINCOMMERCE</v>
      </c>
      <c r="G5139" s="16" t="str">
        <f>VLOOKUP(Table8[[#This Row],[Mã khách hàng]],code_khach_hang[],3,0)</f>
        <v>Miền Nam đặc biệt 1</v>
      </c>
      <c r="H5139" t="str">
        <f>VLOOKUP(Table8[[#This Row],[Mã khách hàng]],'Khách hàng'!A:D,4,0)</f>
        <v>Food Đức Việt</v>
      </c>
      <c r="I5139" t="str">
        <f>VLOOKUP(Table8[[#This Row],[Mã khách hàng]],'Khách hàng'!A:E,5,0)</f>
        <v>HCVG80</v>
      </c>
    </row>
    <row r="5140" spans="1:9" x14ac:dyDescent="0.25">
      <c r="A5140" s="14" t="s">
        <v>14489</v>
      </c>
      <c r="B5140" s="15" t="s">
        <v>5</v>
      </c>
      <c r="C5140" s="16" t="s">
        <v>15615</v>
      </c>
      <c r="D5140" s="21"/>
      <c r="E5140" s="32" t="s">
        <v>15667</v>
      </c>
      <c r="F5140" s="22" t="str">
        <f>VLOOKUP(Table8[[#This Row],[Mã khách hàng]],code_khach_hang[],2,0)</f>
        <v>CÔNG TY CỔ PHẦN DỊCH VỤ THƯƠNG MẠI TỔNG HỢP WINCOMMERCE</v>
      </c>
      <c r="G5140" s="16" t="str">
        <f>VLOOKUP(Table8[[#This Row],[Mã khách hàng]],code_khach_hang[],3,0)</f>
        <v>Miền Nam đặc biệt 1</v>
      </c>
      <c r="H5140" t="str">
        <f>VLOOKUP(Table8[[#This Row],[Mã khách hàng]],'Khách hàng'!A:D,4,0)</f>
        <v>Food Đức Việt</v>
      </c>
      <c r="I5140" t="str">
        <f>VLOOKUP(Table8[[#This Row],[Mã khách hàng]],'Khách hàng'!A:E,5,0)</f>
        <v>HCVG80</v>
      </c>
    </row>
    <row r="5141" spans="1:9" x14ac:dyDescent="0.25">
      <c r="A5141" s="14" t="s">
        <v>14490</v>
      </c>
      <c r="B5141" s="15" t="s">
        <v>5</v>
      </c>
      <c r="C5141" s="16" t="s">
        <v>15616</v>
      </c>
      <c r="D5141" s="21"/>
      <c r="E5141" s="32" t="s">
        <v>15682</v>
      </c>
      <c r="F5141" s="22" t="str">
        <f>VLOOKUP(Table8[[#This Row],[Mã khách hàng]],code_khach_hang[],2,0)</f>
        <v>CHI NHÁNH CÀ MAU - CÔNG TY CỔ PHẦN DỊCH VỤ THƯƠNG MẠI TỔNG HỢP WINCOMMERCE</v>
      </c>
      <c r="G5141" s="16" t="str">
        <f>VLOOKUP(Table8[[#This Row],[Mã khách hàng]],code_khach_hang[],3,0)</f>
        <v>Miền Nam đặc biệt 1</v>
      </c>
      <c r="H5141" t="str">
        <f>VLOOKUP(Table8[[#This Row],[Mã khách hàng]],'Khách hàng'!A:D,4,0)</f>
        <v>Food Đức Việt</v>
      </c>
      <c r="I5141" t="str">
        <f>VLOOKUP(Table8[[#This Row],[Mã khách hàng]],'Khách hàng'!A:E,5,0)</f>
        <v>HC-CT120</v>
      </c>
    </row>
    <row r="5142" spans="1:9" x14ac:dyDescent="0.25">
      <c r="A5142" s="14" t="s">
        <v>14491</v>
      </c>
      <c r="B5142" s="15" t="s">
        <v>5</v>
      </c>
      <c r="C5142" s="16" t="s">
        <v>15617</v>
      </c>
      <c r="D5142" s="21"/>
      <c r="E5142" s="32" t="s">
        <v>15682</v>
      </c>
      <c r="F5142" s="22" t="str">
        <f>VLOOKUP(Table8[[#This Row],[Mã khách hàng]],code_khach_hang[],2,0)</f>
        <v>CHI NHÁNH CÀ MAU - CÔNG TY CỔ PHẦN DỊCH VỤ THƯƠNG MẠI TỔNG HỢP WINCOMMERCE</v>
      </c>
      <c r="G5142" s="16" t="str">
        <f>VLOOKUP(Table8[[#This Row],[Mã khách hàng]],code_khach_hang[],3,0)</f>
        <v>Miền Nam đặc biệt 1</v>
      </c>
      <c r="H5142" t="str">
        <f>VLOOKUP(Table8[[#This Row],[Mã khách hàng]],'Khách hàng'!A:D,4,0)</f>
        <v>Food Đức Việt</v>
      </c>
      <c r="I5142" t="str">
        <f>VLOOKUP(Table8[[#This Row],[Mã khách hàng]],'Khách hàng'!A:E,5,0)</f>
        <v>HC-CT120</v>
      </c>
    </row>
    <row r="5143" spans="1:9" x14ac:dyDescent="0.25">
      <c r="A5143" s="14" t="s">
        <v>14492</v>
      </c>
      <c r="B5143" s="15" t="s">
        <v>183</v>
      </c>
      <c r="C5143" s="16" t="s">
        <v>15618</v>
      </c>
      <c r="D5143" s="21"/>
      <c r="E5143" s="32" t="s">
        <v>15667</v>
      </c>
      <c r="F5143" s="22" t="str">
        <f>VLOOKUP(Table8[[#This Row],[Mã khách hàng]],code_khach_hang[],2,0)</f>
        <v>CÔNG TY CỔ PHẦN DỊCH VỤ THƯƠNG MẠI TỔNG HỢP WINCOMMERCE</v>
      </c>
      <c r="G5143" s="16" t="str">
        <f>VLOOKUP(Table8[[#This Row],[Mã khách hàng]],code_khach_hang[],3,0)</f>
        <v>Miền Nam đặc biệt 1</v>
      </c>
      <c r="H5143" t="str">
        <f>VLOOKUP(Table8[[#This Row],[Mã khách hàng]],'Khách hàng'!A:D,4,0)</f>
        <v>Food Đức Việt</v>
      </c>
      <c r="I5143" t="str">
        <f>VLOOKUP(Table8[[#This Row],[Mã khách hàng]],'Khách hàng'!A:E,5,0)</f>
        <v>HCVG80</v>
      </c>
    </row>
    <row r="5144" spans="1:9" x14ac:dyDescent="0.25">
      <c r="A5144" s="14" t="s">
        <v>14493</v>
      </c>
      <c r="B5144" s="15" t="s">
        <v>183</v>
      </c>
      <c r="C5144" s="16" t="s">
        <v>15619</v>
      </c>
      <c r="D5144" s="21"/>
      <c r="E5144" s="32" t="s">
        <v>15667</v>
      </c>
      <c r="F5144" s="22" t="str">
        <f>VLOOKUP(Table8[[#This Row],[Mã khách hàng]],code_khach_hang[],2,0)</f>
        <v>CÔNG TY CỔ PHẦN DỊCH VỤ THƯƠNG MẠI TỔNG HỢP WINCOMMERCE</v>
      </c>
      <c r="G5144" s="16" t="str">
        <f>VLOOKUP(Table8[[#This Row],[Mã khách hàng]],code_khach_hang[],3,0)</f>
        <v>Miền Nam đặc biệt 1</v>
      </c>
      <c r="H5144" t="str">
        <f>VLOOKUP(Table8[[#This Row],[Mã khách hàng]],'Khách hàng'!A:D,4,0)</f>
        <v>Food Đức Việt</v>
      </c>
      <c r="I5144" t="str">
        <f>VLOOKUP(Table8[[#This Row],[Mã khách hàng]],'Khách hàng'!A:E,5,0)</f>
        <v>HCVG80</v>
      </c>
    </row>
    <row r="5145" spans="1:9" x14ac:dyDescent="0.25">
      <c r="A5145" s="14" t="s">
        <v>14494</v>
      </c>
      <c r="B5145" s="15" t="s">
        <v>183</v>
      </c>
      <c r="C5145" s="16" t="s">
        <v>15620</v>
      </c>
      <c r="D5145" s="21"/>
      <c r="E5145" s="32" t="s">
        <v>15667</v>
      </c>
      <c r="F5145" s="22" t="str">
        <f>VLOOKUP(Table8[[#This Row],[Mã khách hàng]],code_khach_hang[],2,0)</f>
        <v>CÔNG TY CỔ PHẦN DỊCH VỤ THƯƠNG MẠI TỔNG HỢP WINCOMMERCE</v>
      </c>
      <c r="G5145" s="16" t="str">
        <f>VLOOKUP(Table8[[#This Row],[Mã khách hàng]],code_khach_hang[],3,0)</f>
        <v>Miền Nam đặc biệt 1</v>
      </c>
      <c r="H5145" t="str">
        <f>VLOOKUP(Table8[[#This Row],[Mã khách hàng]],'Khách hàng'!A:D,4,0)</f>
        <v>Food Đức Việt</v>
      </c>
      <c r="I5145" t="str">
        <f>VLOOKUP(Table8[[#This Row],[Mã khách hàng]],'Khách hàng'!A:E,5,0)</f>
        <v>HCVG80</v>
      </c>
    </row>
    <row r="5146" spans="1:9" x14ac:dyDescent="0.25">
      <c r="A5146" s="14" t="s">
        <v>14495</v>
      </c>
      <c r="B5146" s="15" t="s">
        <v>183</v>
      </c>
      <c r="C5146" s="16" t="s">
        <v>15621</v>
      </c>
      <c r="D5146" s="21"/>
      <c r="E5146" s="32" t="s">
        <v>15667</v>
      </c>
      <c r="F5146" s="22" t="str">
        <f>VLOOKUP(Table8[[#This Row],[Mã khách hàng]],code_khach_hang[],2,0)</f>
        <v>CÔNG TY CỔ PHẦN DỊCH VỤ THƯƠNG MẠI TỔNG HỢP WINCOMMERCE</v>
      </c>
      <c r="G5146" s="16" t="str">
        <f>VLOOKUP(Table8[[#This Row],[Mã khách hàng]],code_khach_hang[],3,0)</f>
        <v>Miền Nam đặc biệt 1</v>
      </c>
      <c r="H5146" t="str">
        <f>VLOOKUP(Table8[[#This Row],[Mã khách hàng]],'Khách hàng'!A:D,4,0)</f>
        <v>Food Đức Việt</v>
      </c>
      <c r="I5146" t="str">
        <f>VLOOKUP(Table8[[#This Row],[Mã khách hàng]],'Khách hàng'!A:E,5,0)</f>
        <v>HCVG80</v>
      </c>
    </row>
    <row r="5147" spans="1:9" x14ac:dyDescent="0.25">
      <c r="A5147" s="14" t="s">
        <v>14496</v>
      </c>
      <c r="B5147" s="15" t="s">
        <v>183</v>
      </c>
      <c r="C5147" s="16" t="s">
        <v>15622</v>
      </c>
      <c r="D5147" s="21"/>
      <c r="E5147" s="32" t="s">
        <v>15667</v>
      </c>
      <c r="F5147" s="22" t="str">
        <f>VLOOKUP(Table8[[#This Row],[Mã khách hàng]],code_khach_hang[],2,0)</f>
        <v>CÔNG TY CỔ PHẦN DỊCH VỤ THƯƠNG MẠI TỔNG HỢP WINCOMMERCE</v>
      </c>
      <c r="G5147" s="16" t="str">
        <f>VLOOKUP(Table8[[#This Row],[Mã khách hàng]],code_khach_hang[],3,0)</f>
        <v>Miền Nam đặc biệt 1</v>
      </c>
      <c r="H5147" t="str">
        <f>VLOOKUP(Table8[[#This Row],[Mã khách hàng]],'Khách hàng'!A:D,4,0)</f>
        <v>Food Đức Việt</v>
      </c>
      <c r="I5147" t="str">
        <f>VLOOKUP(Table8[[#This Row],[Mã khách hàng]],'Khách hàng'!A:E,5,0)</f>
        <v>HCVG80</v>
      </c>
    </row>
    <row r="5148" spans="1:9" x14ac:dyDescent="0.25">
      <c r="A5148" s="14" t="s">
        <v>14497</v>
      </c>
      <c r="B5148" s="15" t="s">
        <v>183</v>
      </c>
      <c r="C5148" s="16" t="s">
        <v>15623</v>
      </c>
      <c r="D5148" s="21"/>
      <c r="E5148" s="32" t="s">
        <v>15667</v>
      </c>
      <c r="F5148" s="22" t="str">
        <f>VLOOKUP(Table8[[#This Row],[Mã khách hàng]],code_khach_hang[],2,0)</f>
        <v>CÔNG TY CỔ PHẦN DỊCH VỤ THƯƠNG MẠI TỔNG HỢP WINCOMMERCE</v>
      </c>
      <c r="G5148" s="16" t="str">
        <f>VLOOKUP(Table8[[#This Row],[Mã khách hàng]],code_khach_hang[],3,0)</f>
        <v>Miền Nam đặc biệt 1</v>
      </c>
      <c r="H5148" t="str">
        <f>VLOOKUP(Table8[[#This Row],[Mã khách hàng]],'Khách hàng'!A:D,4,0)</f>
        <v>Food Đức Việt</v>
      </c>
      <c r="I5148" t="str">
        <f>VLOOKUP(Table8[[#This Row],[Mã khách hàng]],'Khách hàng'!A:E,5,0)</f>
        <v>HCVG80</v>
      </c>
    </row>
    <row r="5149" spans="1:9" x14ac:dyDescent="0.25">
      <c r="A5149" s="14" t="s">
        <v>14498</v>
      </c>
      <c r="B5149" s="15" t="s">
        <v>183</v>
      </c>
      <c r="C5149" s="16" t="s">
        <v>15624</v>
      </c>
      <c r="D5149" s="21"/>
      <c r="E5149" s="32" t="s">
        <v>15667</v>
      </c>
      <c r="F5149" s="22" t="str">
        <f>VLOOKUP(Table8[[#This Row],[Mã khách hàng]],code_khach_hang[],2,0)</f>
        <v>CÔNG TY CỔ PHẦN DỊCH VỤ THƯƠNG MẠI TỔNG HỢP WINCOMMERCE</v>
      </c>
      <c r="G5149" s="16" t="str">
        <f>VLOOKUP(Table8[[#This Row],[Mã khách hàng]],code_khach_hang[],3,0)</f>
        <v>Miền Nam đặc biệt 1</v>
      </c>
      <c r="H5149" t="str">
        <f>VLOOKUP(Table8[[#This Row],[Mã khách hàng]],'Khách hàng'!A:D,4,0)</f>
        <v>Food Đức Việt</v>
      </c>
      <c r="I5149" t="str">
        <f>VLOOKUP(Table8[[#This Row],[Mã khách hàng]],'Khách hàng'!A:E,5,0)</f>
        <v>HCVG80</v>
      </c>
    </row>
    <row r="5150" spans="1:9" x14ac:dyDescent="0.25">
      <c r="A5150" s="14" t="s">
        <v>14499</v>
      </c>
      <c r="B5150" s="15" t="s">
        <v>183</v>
      </c>
      <c r="C5150" s="16" t="s">
        <v>15625</v>
      </c>
      <c r="D5150" s="21"/>
      <c r="E5150" s="32" t="s">
        <v>15667</v>
      </c>
      <c r="F5150" s="22" t="str">
        <f>VLOOKUP(Table8[[#This Row],[Mã khách hàng]],code_khach_hang[],2,0)</f>
        <v>CÔNG TY CỔ PHẦN DỊCH VỤ THƯƠNG MẠI TỔNG HỢP WINCOMMERCE</v>
      </c>
      <c r="G5150" s="16" t="str">
        <f>VLOOKUP(Table8[[#This Row],[Mã khách hàng]],code_khach_hang[],3,0)</f>
        <v>Miền Nam đặc biệt 1</v>
      </c>
      <c r="H5150" t="str">
        <f>VLOOKUP(Table8[[#This Row],[Mã khách hàng]],'Khách hàng'!A:D,4,0)</f>
        <v>Food Đức Việt</v>
      </c>
      <c r="I5150" t="str">
        <f>VLOOKUP(Table8[[#This Row],[Mã khách hàng]],'Khách hàng'!A:E,5,0)</f>
        <v>HCVG80</v>
      </c>
    </row>
    <row r="5151" spans="1:9" x14ac:dyDescent="0.25">
      <c r="A5151" s="14" t="s">
        <v>14500</v>
      </c>
      <c r="B5151" s="15" t="s">
        <v>183</v>
      </c>
      <c r="C5151" s="16" t="s">
        <v>15626</v>
      </c>
      <c r="D5151" s="21"/>
      <c r="E5151" s="32" t="s">
        <v>15667</v>
      </c>
      <c r="F5151" s="22" t="str">
        <f>VLOOKUP(Table8[[#This Row],[Mã khách hàng]],code_khach_hang[],2,0)</f>
        <v>CÔNG TY CỔ PHẦN DỊCH VỤ THƯƠNG MẠI TỔNG HỢP WINCOMMERCE</v>
      </c>
      <c r="G5151" s="16" t="str">
        <f>VLOOKUP(Table8[[#This Row],[Mã khách hàng]],code_khach_hang[],3,0)</f>
        <v>Miền Nam đặc biệt 1</v>
      </c>
      <c r="H5151" t="str">
        <f>VLOOKUP(Table8[[#This Row],[Mã khách hàng]],'Khách hàng'!A:D,4,0)</f>
        <v>Food Đức Việt</v>
      </c>
      <c r="I5151" t="str">
        <f>VLOOKUP(Table8[[#This Row],[Mã khách hàng]],'Khách hàng'!A:E,5,0)</f>
        <v>HCVG80</v>
      </c>
    </row>
    <row r="5152" spans="1:9" x14ac:dyDescent="0.25">
      <c r="A5152" s="14" t="s">
        <v>14501</v>
      </c>
      <c r="B5152" s="15" t="s">
        <v>183</v>
      </c>
      <c r="C5152" s="16" t="s">
        <v>15627</v>
      </c>
      <c r="D5152" s="21"/>
      <c r="E5152" s="32" t="s">
        <v>15667</v>
      </c>
      <c r="F5152" s="22" t="str">
        <f>VLOOKUP(Table8[[#This Row],[Mã khách hàng]],code_khach_hang[],2,0)</f>
        <v>CÔNG TY CỔ PHẦN DỊCH VỤ THƯƠNG MẠI TỔNG HỢP WINCOMMERCE</v>
      </c>
      <c r="G5152" s="16" t="str">
        <f>VLOOKUP(Table8[[#This Row],[Mã khách hàng]],code_khach_hang[],3,0)</f>
        <v>Miền Nam đặc biệt 1</v>
      </c>
      <c r="H5152" t="str">
        <f>VLOOKUP(Table8[[#This Row],[Mã khách hàng]],'Khách hàng'!A:D,4,0)</f>
        <v>Food Đức Việt</v>
      </c>
      <c r="I5152" t="str">
        <f>VLOOKUP(Table8[[#This Row],[Mã khách hàng]],'Khách hàng'!A:E,5,0)</f>
        <v>HCVG80</v>
      </c>
    </row>
    <row r="5153" spans="1:9" x14ac:dyDescent="0.25">
      <c r="A5153" s="14" t="s">
        <v>14502</v>
      </c>
      <c r="B5153" s="15" t="s">
        <v>183</v>
      </c>
      <c r="C5153" s="16" t="s">
        <v>15628</v>
      </c>
      <c r="D5153" s="21"/>
      <c r="E5153" s="32" t="s">
        <v>15667</v>
      </c>
      <c r="F5153" s="22" t="str">
        <f>VLOOKUP(Table8[[#This Row],[Mã khách hàng]],code_khach_hang[],2,0)</f>
        <v>CÔNG TY CỔ PHẦN DỊCH VỤ THƯƠNG MẠI TỔNG HỢP WINCOMMERCE</v>
      </c>
      <c r="G5153" s="16" t="str">
        <f>VLOOKUP(Table8[[#This Row],[Mã khách hàng]],code_khach_hang[],3,0)</f>
        <v>Miền Nam đặc biệt 1</v>
      </c>
      <c r="H5153" t="str">
        <f>VLOOKUP(Table8[[#This Row],[Mã khách hàng]],'Khách hàng'!A:D,4,0)</f>
        <v>Food Đức Việt</v>
      </c>
      <c r="I5153" t="str">
        <f>VLOOKUP(Table8[[#This Row],[Mã khách hàng]],'Khách hàng'!A:E,5,0)</f>
        <v>HCVG80</v>
      </c>
    </row>
    <row r="5154" spans="1:9" x14ac:dyDescent="0.25">
      <c r="A5154" s="14" t="s">
        <v>14503</v>
      </c>
      <c r="B5154" s="15" t="s">
        <v>183</v>
      </c>
      <c r="C5154" s="16" t="s">
        <v>15629</v>
      </c>
      <c r="D5154" s="21"/>
      <c r="E5154" s="32" t="s">
        <v>15667</v>
      </c>
      <c r="F5154" s="22" t="str">
        <f>VLOOKUP(Table8[[#This Row],[Mã khách hàng]],code_khach_hang[],2,0)</f>
        <v>CÔNG TY CỔ PHẦN DỊCH VỤ THƯƠNG MẠI TỔNG HỢP WINCOMMERCE</v>
      </c>
      <c r="G5154" s="16" t="str">
        <f>VLOOKUP(Table8[[#This Row],[Mã khách hàng]],code_khach_hang[],3,0)</f>
        <v>Miền Nam đặc biệt 1</v>
      </c>
      <c r="H5154" t="str">
        <f>VLOOKUP(Table8[[#This Row],[Mã khách hàng]],'Khách hàng'!A:D,4,0)</f>
        <v>Food Đức Việt</v>
      </c>
      <c r="I5154" t="str">
        <f>VLOOKUP(Table8[[#This Row],[Mã khách hàng]],'Khách hàng'!A:E,5,0)</f>
        <v>HCVG80</v>
      </c>
    </row>
    <row r="5155" spans="1:9" x14ac:dyDescent="0.25">
      <c r="A5155" s="14" t="s">
        <v>14504</v>
      </c>
      <c r="B5155" s="15" t="s">
        <v>183</v>
      </c>
      <c r="C5155" s="16" t="s">
        <v>15630</v>
      </c>
      <c r="D5155" s="21"/>
      <c r="E5155" s="32" t="s">
        <v>15667</v>
      </c>
      <c r="F5155" s="22" t="str">
        <f>VLOOKUP(Table8[[#This Row],[Mã khách hàng]],code_khach_hang[],2,0)</f>
        <v>CÔNG TY CỔ PHẦN DỊCH VỤ THƯƠNG MẠI TỔNG HỢP WINCOMMERCE</v>
      </c>
      <c r="G5155" s="16" t="str">
        <f>VLOOKUP(Table8[[#This Row],[Mã khách hàng]],code_khach_hang[],3,0)</f>
        <v>Miền Nam đặc biệt 1</v>
      </c>
      <c r="H5155" t="str">
        <f>VLOOKUP(Table8[[#This Row],[Mã khách hàng]],'Khách hàng'!A:D,4,0)</f>
        <v>Food Đức Việt</v>
      </c>
      <c r="I5155" t="str">
        <f>VLOOKUP(Table8[[#This Row],[Mã khách hàng]],'Khách hàng'!A:E,5,0)</f>
        <v>HCVG80</v>
      </c>
    </row>
    <row r="5156" spans="1:9" x14ac:dyDescent="0.25">
      <c r="A5156" s="14" t="s">
        <v>14505</v>
      </c>
      <c r="B5156" s="15" t="s">
        <v>183</v>
      </c>
      <c r="C5156" s="16" t="s">
        <v>15631</v>
      </c>
      <c r="D5156" s="21"/>
      <c r="E5156" s="32" t="s">
        <v>15667</v>
      </c>
      <c r="F5156" s="22" t="str">
        <f>VLOOKUP(Table8[[#This Row],[Mã khách hàng]],code_khach_hang[],2,0)</f>
        <v>CÔNG TY CỔ PHẦN DỊCH VỤ THƯƠNG MẠI TỔNG HỢP WINCOMMERCE</v>
      </c>
      <c r="G5156" s="16" t="str">
        <f>VLOOKUP(Table8[[#This Row],[Mã khách hàng]],code_khach_hang[],3,0)</f>
        <v>Miền Nam đặc biệt 1</v>
      </c>
      <c r="H5156" t="str">
        <f>VLOOKUP(Table8[[#This Row],[Mã khách hàng]],'Khách hàng'!A:D,4,0)</f>
        <v>Food Đức Việt</v>
      </c>
      <c r="I5156" t="str">
        <f>VLOOKUP(Table8[[#This Row],[Mã khách hàng]],'Khách hàng'!A:E,5,0)</f>
        <v>HCVG80</v>
      </c>
    </row>
    <row r="5157" spans="1:9" x14ac:dyDescent="0.25">
      <c r="A5157" s="14" t="s">
        <v>14506</v>
      </c>
      <c r="B5157" s="15" t="s">
        <v>183</v>
      </c>
      <c r="C5157" s="16" t="s">
        <v>15632</v>
      </c>
      <c r="D5157" s="21"/>
      <c r="E5157" s="32" t="s">
        <v>15667</v>
      </c>
      <c r="F5157" s="22" t="str">
        <f>VLOOKUP(Table8[[#This Row],[Mã khách hàng]],code_khach_hang[],2,0)</f>
        <v>CÔNG TY CỔ PHẦN DỊCH VỤ THƯƠNG MẠI TỔNG HỢP WINCOMMERCE</v>
      </c>
      <c r="G5157" s="16" t="str">
        <f>VLOOKUP(Table8[[#This Row],[Mã khách hàng]],code_khach_hang[],3,0)</f>
        <v>Miền Nam đặc biệt 1</v>
      </c>
      <c r="H5157" t="str">
        <f>VLOOKUP(Table8[[#This Row],[Mã khách hàng]],'Khách hàng'!A:D,4,0)</f>
        <v>Food Đức Việt</v>
      </c>
      <c r="I5157" t="str">
        <f>VLOOKUP(Table8[[#This Row],[Mã khách hàng]],'Khách hàng'!A:E,5,0)</f>
        <v>HCVG80</v>
      </c>
    </row>
    <row r="5158" spans="1:9" x14ac:dyDescent="0.25">
      <c r="A5158" s="14" t="s">
        <v>14507</v>
      </c>
      <c r="B5158" s="15" t="s">
        <v>183</v>
      </c>
      <c r="C5158" s="16" t="s">
        <v>15633</v>
      </c>
      <c r="D5158" s="21"/>
      <c r="E5158" s="32" t="s">
        <v>15667</v>
      </c>
      <c r="F5158" s="22" t="str">
        <f>VLOOKUP(Table8[[#This Row],[Mã khách hàng]],code_khach_hang[],2,0)</f>
        <v>CÔNG TY CỔ PHẦN DỊCH VỤ THƯƠNG MẠI TỔNG HỢP WINCOMMERCE</v>
      </c>
      <c r="G5158" s="16" t="str">
        <f>VLOOKUP(Table8[[#This Row],[Mã khách hàng]],code_khach_hang[],3,0)</f>
        <v>Miền Nam đặc biệt 1</v>
      </c>
      <c r="H5158" t="str">
        <f>VLOOKUP(Table8[[#This Row],[Mã khách hàng]],'Khách hàng'!A:D,4,0)</f>
        <v>Food Đức Việt</v>
      </c>
      <c r="I5158" t="str">
        <f>VLOOKUP(Table8[[#This Row],[Mã khách hàng]],'Khách hàng'!A:E,5,0)</f>
        <v>HCVG80</v>
      </c>
    </row>
    <row r="5159" spans="1:9" x14ac:dyDescent="0.25">
      <c r="A5159" s="14" t="s">
        <v>14508</v>
      </c>
      <c r="B5159" s="15" t="s">
        <v>183</v>
      </c>
      <c r="C5159" s="16" t="s">
        <v>15634</v>
      </c>
      <c r="D5159" s="21"/>
      <c r="E5159" s="32" t="s">
        <v>15667</v>
      </c>
      <c r="F5159" s="22" t="str">
        <f>VLOOKUP(Table8[[#This Row],[Mã khách hàng]],code_khach_hang[],2,0)</f>
        <v>CÔNG TY CỔ PHẦN DỊCH VỤ THƯƠNG MẠI TỔNG HỢP WINCOMMERCE</v>
      </c>
      <c r="G5159" s="16" t="str">
        <f>VLOOKUP(Table8[[#This Row],[Mã khách hàng]],code_khach_hang[],3,0)</f>
        <v>Miền Nam đặc biệt 1</v>
      </c>
      <c r="H5159" t="str">
        <f>VLOOKUP(Table8[[#This Row],[Mã khách hàng]],'Khách hàng'!A:D,4,0)</f>
        <v>Food Đức Việt</v>
      </c>
      <c r="I5159" t="str">
        <f>VLOOKUP(Table8[[#This Row],[Mã khách hàng]],'Khách hàng'!A:E,5,0)</f>
        <v>HCVG80</v>
      </c>
    </row>
    <row r="5160" spans="1:9" x14ac:dyDescent="0.25">
      <c r="A5160" s="14" t="s">
        <v>14509</v>
      </c>
      <c r="B5160" s="15" t="s">
        <v>183</v>
      </c>
      <c r="C5160" s="16" t="s">
        <v>15635</v>
      </c>
      <c r="D5160" s="21"/>
      <c r="E5160" s="32" t="s">
        <v>15667</v>
      </c>
      <c r="F5160" s="22" t="str">
        <f>VLOOKUP(Table8[[#This Row],[Mã khách hàng]],code_khach_hang[],2,0)</f>
        <v>CÔNG TY CỔ PHẦN DỊCH VỤ THƯƠNG MẠI TỔNG HỢP WINCOMMERCE</v>
      </c>
      <c r="G5160" s="16" t="str">
        <f>VLOOKUP(Table8[[#This Row],[Mã khách hàng]],code_khach_hang[],3,0)</f>
        <v>Miền Nam đặc biệt 1</v>
      </c>
      <c r="H5160" t="str">
        <f>VLOOKUP(Table8[[#This Row],[Mã khách hàng]],'Khách hàng'!A:D,4,0)</f>
        <v>Food Đức Việt</v>
      </c>
      <c r="I5160" t="str">
        <f>VLOOKUP(Table8[[#This Row],[Mã khách hàng]],'Khách hàng'!A:E,5,0)</f>
        <v>HCVG80</v>
      </c>
    </row>
    <row r="5161" spans="1:9" x14ac:dyDescent="0.25">
      <c r="A5161" s="14" t="s">
        <v>14510</v>
      </c>
      <c r="B5161" s="15" t="s">
        <v>183</v>
      </c>
      <c r="C5161" s="16" t="s">
        <v>15636</v>
      </c>
      <c r="D5161" s="21"/>
      <c r="E5161" s="32" t="s">
        <v>15667</v>
      </c>
      <c r="F5161" s="22" t="str">
        <f>VLOOKUP(Table8[[#This Row],[Mã khách hàng]],code_khach_hang[],2,0)</f>
        <v>CÔNG TY CỔ PHẦN DỊCH VỤ THƯƠNG MẠI TỔNG HỢP WINCOMMERCE</v>
      </c>
      <c r="G5161" s="16" t="str">
        <f>VLOOKUP(Table8[[#This Row],[Mã khách hàng]],code_khach_hang[],3,0)</f>
        <v>Miền Nam đặc biệt 1</v>
      </c>
      <c r="H5161" t="str">
        <f>VLOOKUP(Table8[[#This Row],[Mã khách hàng]],'Khách hàng'!A:D,4,0)</f>
        <v>Food Đức Việt</v>
      </c>
      <c r="I5161" t="str">
        <f>VLOOKUP(Table8[[#This Row],[Mã khách hàng]],'Khách hàng'!A:E,5,0)</f>
        <v>HCVG80</v>
      </c>
    </row>
    <row r="5162" spans="1:9" x14ac:dyDescent="0.25">
      <c r="A5162" s="14" t="s">
        <v>14511</v>
      </c>
      <c r="B5162" s="15" t="s">
        <v>183</v>
      </c>
      <c r="C5162" s="16" t="s">
        <v>15637</v>
      </c>
      <c r="D5162" s="21"/>
      <c r="E5162" s="32" t="s">
        <v>15667</v>
      </c>
      <c r="F5162" s="22" t="str">
        <f>VLOOKUP(Table8[[#This Row],[Mã khách hàng]],code_khach_hang[],2,0)</f>
        <v>CÔNG TY CỔ PHẦN DỊCH VỤ THƯƠNG MẠI TỔNG HỢP WINCOMMERCE</v>
      </c>
      <c r="G5162" s="16" t="str">
        <f>VLOOKUP(Table8[[#This Row],[Mã khách hàng]],code_khach_hang[],3,0)</f>
        <v>Miền Nam đặc biệt 1</v>
      </c>
      <c r="H5162" t="str">
        <f>VLOOKUP(Table8[[#This Row],[Mã khách hàng]],'Khách hàng'!A:D,4,0)</f>
        <v>Food Đức Việt</v>
      </c>
      <c r="I5162" t="str">
        <f>VLOOKUP(Table8[[#This Row],[Mã khách hàng]],'Khách hàng'!A:E,5,0)</f>
        <v>HCVG80</v>
      </c>
    </row>
    <row r="5163" spans="1:9" x14ac:dyDescent="0.25">
      <c r="A5163" s="14" t="s">
        <v>14512</v>
      </c>
      <c r="B5163" s="15" t="s">
        <v>183</v>
      </c>
      <c r="C5163" s="16" t="s">
        <v>15638</v>
      </c>
      <c r="D5163" s="21"/>
      <c r="E5163" s="32" t="s">
        <v>15667</v>
      </c>
      <c r="F5163" s="22" t="str">
        <f>VLOOKUP(Table8[[#This Row],[Mã khách hàng]],code_khach_hang[],2,0)</f>
        <v>CÔNG TY CỔ PHẦN DỊCH VỤ THƯƠNG MẠI TỔNG HỢP WINCOMMERCE</v>
      </c>
      <c r="G5163" s="16" t="str">
        <f>VLOOKUP(Table8[[#This Row],[Mã khách hàng]],code_khach_hang[],3,0)</f>
        <v>Miền Nam đặc biệt 1</v>
      </c>
      <c r="H5163" t="str">
        <f>VLOOKUP(Table8[[#This Row],[Mã khách hàng]],'Khách hàng'!A:D,4,0)</f>
        <v>Food Đức Việt</v>
      </c>
      <c r="I5163" t="str">
        <f>VLOOKUP(Table8[[#This Row],[Mã khách hàng]],'Khách hàng'!A:E,5,0)</f>
        <v>HCVG80</v>
      </c>
    </row>
    <row r="5164" spans="1:9" x14ac:dyDescent="0.25">
      <c r="A5164" s="14" t="s">
        <v>14513</v>
      </c>
      <c r="B5164" s="15" t="s">
        <v>183</v>
      </c>
      <c r="C5164" s="16" t="s">
        <v>15639</v>
      </c>
      <c r="D5164" s="21"/>
      <c r="E5164" s="32" t="s">
        <v>15667</v>
      </c>
      <c r="F5164" s="22" t="str">
        <f>VLOOKUP(Table8[[#This Row],[Mã khách hàng]],code_khach_hang[],2,0)</f>
        <v>CÔNG TY CỔ PHẦN DỊCH VỤ THƯƠNG MẠI TỔNG HỢP WINCOMMERCE</v>
      </c>
      <c r="G5164" s="16" t="str">
        <f>VLOOKUP(Table8[[#This Row],[Mã khách hàng]],code_khach_hang[],3,0)</f>
        <v>Miền Nam đặc biệt 1</v>
      </c>
      <c r="H5164" t="str">
        <f>VLOOKUP(Table8[[#This Row],[Mã khách hàng]],'Khách hàng'!A:D,4,0)</f>
        <v>Food Đức Việt</v>
      </c>
      <c r="I5164" t="str">
        <f>VLOOKUP(Table8[[#This Row],[Mã khách hàng]],'Khách hàng'!A:E,5,0)</f>
        <v>HCVG80</v>
      </c>
    </row>
    <row r="5165" spans="1:9" x14ac:dyDescent="0.25">
      <c r="A5165" s="14" t="s">
        <v>14514</v>
      </c>
      <c r="B5165" s="15" t="s">
        <v>183</v>
      </c>
      <c r="C5165" s="16" t="s">
        <v>15640</v>
      </c>
      <c r="D5165" s="21"/>
      <c r="E5165" s="32" t="s">
        <v>15668</v>
      </c>
      <c r="F5165" s="22" t="str">
        <f>VLOOKUP(Table8[[#This Row],[Mã khách hàng]],code_khach_hang[],2,0)</f>
        <v>CHI NHÁNH ĐỒNG NAI - CÔNG TY CỔ PHẦN DỊCH VỤ THƯƠNG MẠI TỔNG HỢP WINCOMMERCE</v>
      </c>
      <c r="G5165" s="16" t="str">
        <f>VLOOKUP(Table8[[#This Row],[Mã khách hàng]],code_khach_hang[],3,0)</f>
        <v>Miền Nam đặc biệt 3</v>
      </c>
      <c r="H5165" t="str">
        <f>VLOOKUP(Table8[[#This Row],[Mã khách hàng]],'Khách hàng'!A:D,4,0)</f>
        <v>Food Đức Việt</v>
      </c>
      <c r="I5165" t="str">
        <f>VLOOKUP(Table8[[#This Row],[Mã khách hàng]],'Khách hàng'!A:E,5,0)</f>
        <v>HCVG80</v>
      </c>
    </row>
    <row r="5166" spans="1:9" x14ac:dyDescent="0.25">
      <c r="A5166" s="14" t="s">
        <v>14515</v>
      </c>
      <c r="B5166" s="15" t="s">
        <v>183</v>
      </c>
      <c r="C5166" s="16" t="s">
        <v>15641</v>
      </c>
      <c r="D5166" s="21"/>
      <c r="E5166" s="32" t="s">
        <v>15668</v>
      </c>
      <c r="F5166" s="22" t="str">
        <f>VLOOKUP(Table8[[#This Row],[Mã khách hàng]],code_khach_hang[],2,0)</f>
        <v>CHI NHÁNH ĐỒNG NAI - CÔNG TY CỔ PHẦN DỊCH VỤ THƯƠNG MẠI TỔNG HỢP WINCOMMERCE</v>
      </c>
      <c r="G5166" s="16" t="str">
        <f>VLOOKUP(Table8[[#This Row],[Mã khách hàng]],code_khach_hang[],3,0)</f>
        <v>Miền Nam đặc biệt 3</v>
      </c>
      <c r="H5166" t="str">
        <f>VLOOKUP(Table8[[#This Row],[Mã khách hàng]],'Khách hàng'!A:D,4,0)</f>
        <v>Food Đức Việt</v>
      </c>
      <c r="I5166" t="str">
        <f>VLOOKUP(Table8[[#This Row],[Mã khách hàng]],'Khách hàng'!A:E,5,0)</f>
        <v>HCVG80</v>
      </c>
    </row>
    <row r="5167" spans="1:9" x14ac:dyDescent="0.25">
      <c r="A5167" s="14" t="s">
        <v>14516</v>
      </c>
      <c r="B5167" s="15" t="s">
        <v>183</v>
      </c>
      <c r="C5167" s="16" t="s">
        <v>15642</v>
      </c>
      <c r="D5167" s="21"/>
      <c r="E5167" s="32" t="s">
        <v>15671</v>
      </c>
      <c r="F5167" s="22" t="str">
        <f>VLOOKUP(Table8[[#This Row],[Mã khách hàng]],code_khach_hang[],2,0)</f>
        <v>CHI NHÁNH BÌNH DƯƠNG - CÔNG TY CỔ PHẦN DỊCH VỤ THƯƠNG MẠI TỔNG HỢP WINCOMMERCE</v>
      </c>
      <c r="G5167" s="16" t="str">
        <f>VLOOKUP(Table8[[#This Row],[Mã khách hàng]],code_khach_hang[],3,0)</f>
        <v>Miền Nam đặc biệt 1</v>
      </c>
      <c r="H5167" t="str">
        <f>VLOOKUP(Table8[[#This Row],[Mã khách hàng]],'Khách hàng'!A:D,4,0)</f>
        <v>Food Đức Việt</v>
      </c>
      <c r="I5167" t="str">
        <f>VLOOKUP(Table8[[#This Row],[Mã khách hàng]],'Khách hàng'!A:E,5,0)</f>
        <v>HCVG80</v>
      </c>
    </row>
    <row r="5168" spans="1:9" x14ac:dyDescent="0.25">
      <c r="A5168" s="14" t="s">
        <v>14517</v>
      </c>
      <c r="B5168" s="15" t="s">
        <v>183</v>
      </c>
      <c r="C5168" s="16" t="s">
        <v>15643</v>
      </c>
      <c r="D5168" s="21"/>
      <c r="E5168" s="32" t="s">
        <v>15671</v>
      </c>
      <c r="F5168" s="22" t="str">
        <f>VLOOKUP(Table8[[#This Row],[Mã khách hàng]],code_khach_hang[],2,0)</f>
        <v>CHI NHÁNH BÌNH DƯƠNG - CÔNG TY CỔ PHẦN DỊCH VỤ THƯƠNG MẠI TỔNG HỢP WINCOMMERCE</v>
      </c>
      <c r="G5168" s="16" t="str">
        <f>VLOOKUP(Table8[[#This Row],[Mã khách hàng]],code_khach_hang[],3,0)</f>
        <v>Miền Nam đặc biệt 1</v>
      </c>
      <c r="H5168" t="str">
        <f>VLOOKUP(Table8[[#This Row],[Mã khách hàng]],'Khách hàng'!A:D,4,0)</f>
        <v>Food Đức Việt</v>
      </c>
      <c r="I5168" t="str">
        <f>VLOOKUP(Table8[[#This Row],[Mã khách hàng]],'Khách hàng'!A:E,5,0)</f>
        <v>HCVG80</v>
      </c>
    </row>
    <row r="5169" spans="1:9" x14ac:dyDescent="0.25">
      <c r="A5169" s="14" t="s">
        <v>14518</v>
      </c>
      <c r="B5169" s="15" t="s">
        <v>183</v>
      </c>
      <c r="C5169" s="16" t="s">
        <v>15644</v>
      </c>
      <c r="D5169" s="21"/>
      <c r="E5169" s="32" t="s">
        <v>15671</v>
      </c>
      <c r="F5169" s="22" t="str">
        <f>VLOOKUP(Table8[[#This Row],[Mã khách hàng]],code_khach_hang[],2,0)</f>
        <v>CHI NHÁNH BÌNH DƯƠNG - CÔNG TY CỔ PHẦN DỊCH VỤ THƯƠNG MẠI TỔNG HỢP WINCOMMERCE</v>
      </c>
      <c r="G5169" s="16" t="str">
        <f>VLOOKUP(Table8[[#This Row],[Mã khách hàng]],code_khach_hang[],3,0)</f>
        <v>Miền Nam đặc biệt 1</v>
      </c>
      <c r="H5169" t="str">
        <f>VLOOKUP(Table8[[#This Row],[Mã khách hàng]],'Khách hàng'!A:D,4,0)</f>
        <v>Food Đức Việt</v>
      </c>
      <c r="I5169" t="str">
        <f>VLOOKUP(Table8[[#This Row],[Mã khách hàng]],'Khách hàng'!A:E,5,0)</f>
        <v>HCVG80</v>
      </c>
    </row>
    <row r="5170" spans="1:9" x14ac:dyDescent="0.25">
      <c r="A5170" s="14" t="s">
        <v>14519</v>
      </c>
      <c r="B5170" s="15" t="s">
        <v>183</v>
      </c>
      <c r="C5170" s="16" t="s">
        <v>15645</v>
      </c>
      <c r="D5170" s="21"/>
      <c r="E5170" s="32" t="s">
        <v>15677</v>
      </c>
      <c r="F5170" s="22" t="str">
        <f>VLOOKUP(Table8[[#This Row],[Mã khách hàng]],code_khach_hang[],2,0)</f>
        <v>CHI NHÁNH TÂY NINH - CÔNG TY CỔ PHẦN DỊCH VỤ THƯƠNG MẠI TỔNG HỢP WINCOMMERCE</v>
      </c>
      <c r="G5170" s="16" t="str">
        <f>VLOOKUP(Table8[[#This Row],[Mã khách hàng]],code_khach_hang[],3,0)</f>
        <v>Miền Nam đặc biệt 2</v>
      </c>
      <c r="H5170" t="str">
        <f>VLOOKUP(Table8[[#This Row],[Mã khách hàng]],'Khách hàng'!A:D,4,0)</f>
        <v>Food Đức Việt</v>
      </c>
      <c r="I5170" t="str">
        <f>VLOOKUP(Table8[[#This Row],[Mã khách hàng]],'Khách hàng'!A:E,5,0)</f>
        <v>HCVG80</v>
      </c>
    </row>
    <row r="5171" spans="1:9" x14ac:dyDescent="0.25">
      <c r="A5171" s="14" t="s">
        <v>14520</v>
      </c>
      <c r="B5171" s="15" t="s">
        <v>183</v>
      </c>
      <c r="C5171" s="16" t="s">
        <v>15646</v>
      </c>
      <c r="D5171" s="21"/>
      <c r="E5171" s="32" t="s">
        <v>15685</v>
      </c>
      <c r="F5171" s="22" t="str">
        <f>VLOOKUP(Table8[[#This Row],[Mã khách hàng]],code_khach_hang[],2,0)</f>
        <v>CHI NHÁNH BÀ RỊA - VŨNG TÀU - CÔNG TY CỔ PHẦN DỊCH VỤ THƯƠNG MẠI TỔNG HỢP WINCOMMERCE</v>
      </c>
      <c r="G5171" s="16" t="str">
        <f>VLOOKUP(Table8[[#This Row],[Mã khách hàng]],code_khach_hang[],3,0)</f>
        <v>Miền Nam đặc biệt 3</v>
      </c>
      <c r="H5171" t="str">
        <f>VLOOKUP(Table8[[#This Row],[Mã khách hàng]],'Khách hàng'!A:D,4,0)</f>
        <v>Food Đức Việt</v>
      </c>
      <c r="I5171" t="str">
        <f>VLOOKUP(Table8[[#This Row],[Mã khách hàng]],'Khách hàng'!A:E,5,0)</f>
        <v>HCVG80</v>
      </c>
    </row>
    <row r="5172" spans="1:9" x14ac:dyDescent="0.25">
      <c r="A5172" s="14" t="s">
        <v>14521</v>
      </c>
      <c r="B5172" s="15" t="s">
        <v>183</v>
      </c>
      <c r="C5172" s="16" t="s">
        <v>15647</v>
      </c>
      <c r="D5172" s="21"/>
      <c r="E5172" s="32" t="s">
        <v>15669</v>
      </c>
      <c r="F5172" s="22" t="str">
        <f>VLOOKUP(Table8[[#This Row],[Mã khách hàng]],code_khach_hang[],2,0)</f>
        <v>CHI NHÁNH CẦN THƠ - CÔNG TY CỔ PHẦN DỊCH VỤ THƯƠNG MẠI TỔNG HỢP WINCOMMERCE</v>
      </c>
      <c r="G5172" s="16" t="str">
        <f>VLOOKUP(Table8[[#This Row],[Mã khách hàng]],code_khach_hang[],3,0)</f>
        <v>Miền Nam đặc biệt 2</v>
      </c>
      <c r="H5172" t="str">
        <f>VLOOKUP(Table8[[#This Row],[Mã khách hàng]],'Khách hàng'!A:D,4,0)</f>
        <v>Food Đức Việt</v>
      </c>
      <c r="I5172" t="str">
        <f>VLOOKUP(Table8[[#This Row],[Mã khách hàng]],'Khách hàng'!A:E,5,0)</f>
        <v>HC-CT120</v>
      </c>
    </row>
    <row r="5173" spans="1:9" x14ac:dyDescent="0.25">
      <c r="A5173" s="14" t="s">
        <v>14522</v>
      </c>
      <c r="B5173" s="15" t="s">
        <v>183</v>
      </c>
      <c r="C5173" s="16" t="s">
        <v>15648</v>
      </c>
      <c r="D5173" s="21"/>
      <c r="E5173" s="32" t="s">
        <v>15669</v>
      </c>
      <c r="F5173" s="22" t="str">
        <f>VLOOKUP(Table8[[#This Row],[Mã khách hàng]],code_khach_hang[],2,0)</f>
        <v>CHI NHÁNH CẦN THƠ - CÔNG TY CỔ PHẦN DỊCH VỤ THƯƠNG MẠI TỔNG HỢP WINCOMMERCE</v>
      </c>
      <c r="G5173" s="16" t="str">
        <f>VLOOKUP(Table8[[#This Row],[Mã khách hàng]],code_khach_hang[],3,0)</f>
        <v>Miền Nam đặc biệt 2</v>
      </c>
      <c r="H5173" t="str">
        <f>VLOOKUP(Table8[[#This Row],[Mã khách hàng]],'Khách hàng'!A:D,4,0)</f>
        <v>Food Đức Việt</v>
      </c>
      <c r="I5173" t="str">
        <f>VLOOKUP(Table8[[#This Row],[Mã khách hàng]],'Khách hàng'!A:E,5,0)</f>
        <v>HC-CT120</v>
      </c>
    </row>
    <row r="5174" spans="1:9" x14ac:dyDescent="0.25">
      <c r="A5174" s="14" t="s">
        <v>14523</v>
      </c>
      <c r="B5174" s="15" t="s">
        <v>183</v>
      </c>
      <c r="C5174" s="16" t="s">
        <v>15649</v>
      </c>
      <c r="D5174" s="21"/>
      <c r="E5174" s="32" t="s">
        <v>15669</v>
      </c>
      <c r="F5174" s="22" t="str">
        <f>VLOOKUP(Table8[[#This Row],[Mã khách hàng]],code_khach_hang[],2,0)</f>
        <v>CHI NHÁNH CẦN THƠ - CÔNG TY CỔ PHẦN DỊCH VỤ THƯƠNG MẠI TỔNG HỢP WINCOMMERCE</v>
      </c>
      <c r="G5174" s="16" t="str">
        <f>VLOOKUP(Table8[[#This Row],[Mã khách hàng]],code_khach_hang[],3,0)</f>
        <v>Miền Nam đặc biệt 2</v>
      </c>
      <c r="H5174" t="str">
        <f>VLOOKUP(Table8[[#This Row],[Mã khách hàng]],'Khách hàng'!A:D,4,0)</f>
        <v>Food Đức Việt</v>
      </c>
      <c r="I5174" t="str">
        <f>VLOOKUP(Table8[[#This Row],[Mã khách hàng]],'Khách hàng'!A:E,5,0)</f>
        <v>HC-CT120</v>
      </c>
    </row>
    <row r="5175" spans="1:9" x14ac:dyDescent="0.25">
      <c r="A5175" s="14" t="s">
        <v>14524</v>
      </c>
      <c r="B5175" s="15" t="s">
        <v>183</v>
      </c>
      <c r="C5175" s="16" t="s">
        <v>15650</v>
      </c>
      <c r="D5175" s="21"/>
      <c r="E5175" s="32" t="s">
        <v>15672</v>
      </c>
      <c r="F5175" s="22" t="str">
        <f>VLOOKUP(Table8[[#This Row],[Mã khách hàng]],code_khach_hang[],2,0)</f>
        <v>CHI NHÁNH AN GIANG - CÔNG TY CỔ PHẦN DỊCH VỤ THƯƠNG MẠI TỔNG HỢP WINCOMMERCE</v>
      </c>
      <c r="G5175" s="16" t="str">
        <f>VLOOKUP(Table8[[#This Row],[Mã khách hàng]],code_khach_hang[],3,0)</f>
        <v>Miền Nam đặc biệt 2</v>
      </c>
      <c r="H5175" t="str">
        <f>VLOOKUP(Table8[[#This Row],[Mã khách hàng]],'Khách hàng'!A:D,4,0)</f>
        <v>Food Đức Việt</v>
      </c>
      <c r="I5175" t="str">
        <f>VLOOKUP(Table8[[#This Row],[Mã khách hàng]],'Khách hàng'!A:E,5,0)</f>
        <v>HC-CT120</v>
      </c>
    </row>
    <row r="5176" spans="1:9" x14ac:dyDescent="0.25">
      <c r="A5176" s="14" t="s">
        <v>14525</v>
      </c>
      <c r="B5176" s="15" t="s">
        <v>183</v>
      </c>
      <c r="C5176" s="16" t="s">
        <v>15651</v>
      </c>
      <c r="D5176" s="21"/>
      <c r="E5176" s="32" t="s">
        <v>15683</v>
      </c>
      <c r="F5176" s="22" t="str">
        <f>VLOOKUP(Table8[[#This Row],[Mã khách hàng]],code_khach_hang[],2,0)</f>
        <v>CHI NHÁNH TRÀ VINH - CÔNG TY CỔ PHẦN DỊCH VỤ THƯƠNG MẠI TỔNG HỢP WINCOMMERCE</v>
      </c>
      <c r="G5176" s="16" t="str">
        <f>VLOOKUP(Table8[[#This Row],[Mã khách hàng]],code_khach_hang[],3,0)</f>
        <v>Miền Nam đặc biệt 1</v>
      </c>
      <c r="H5176" t="str">
        <f>VLOOKUP(Table8[[#This Row],[Mã khách hàng]],'Khách hàng'!A:D,4,0)</f>
        <v>Food Đức Việt</v>
      </c>
      <c r="I5176" t="str">
        <f>VLOOKUP(Table8[[#This Row],[Mã khách hàng]],'Khách hàng'!A:E,5,0)</f>
        <v>HC-CT120</v>
      </c>
    </row>
    <row r="5177" spans="1:9" x14ac:dyDescent="0.25">
      <c r="A5177" s="14" t="s">
        <v>14526</v>
      </c>
      <c r="B5177" s="15" t="s">
        <v>183</v>
      </c>
      <c r="C5177" s="16" t="s">
        <v>15652</v>
      </c>
      <c r="D5177" s="21"/>
      <c r="E5177" s="32" t="s">
        <v>15687</v>
      </c>
      <c r="F5177" s="22" t="str">
        <f>VLOOKUP(Table8[[#This Row],[Mã khách hàng]],code_khach_hang[],2,0)</f>
        <v>CHI NHÁNH BẠC LIÊU - CÔNG TY CỔ PHẦN DỊCH VỤ THƯƠNG MẠI TỔNG HỢP WINCOMMERCE</v>
      </c>
      <c r="G5177" s="16" t="str">
        <f>VLOOKUP(Table8[[#This Row],[Mã khách hàng]],code_khach_hang[],3,0)</f>
        <v>Miền Nam đặc biệt 1</v>
      </c>
      <c r="H5177" t="str">
        <f>VLOOKUP(Table8[[#This Row],[Mã khách hàng]],'Khách hàng'!A:D,4,0)</f>
        <v>Food Đức Việt</v>
      </c>
      <c r="I5177" t="str">
        <f>VLOOKUP(Table8[[#This Row],[Mã khách hàng]],'Khách hàng'!A:E,5,0)</f>
        <v>HC-CT120</v>
      </c>
    </row>
    <row r="5178" spans="1:9" x14ac:dyDescent="0.25">
      <c r="A5178" s="14" t="s">
        <v>14527</v>
      </c>
      <c r="B5178" s="15" t="s">
        <v>183</v>
      </c>
      <c r="C5178" s="16" t="s">
        <v>15653</v>
      </c>
      <c r="D5178" s="21"/>
      <c r="E5178" s="32" t="s">
        <v>15687</v>
      </c>
      <c r="F5178" s="22" t="str">
        <f>VLOOKUP(Table8[[#This Row],[Mã khách hàng]],code_khach_hang[],2,0)</f>
        <v>CHI NHÁNH BẠC LIÊU - CÔNG TY CỔ PHẦN DỊCH VỤ THƯƠNG MẠI TỔNG HỢP WINCOMMERCE</v>
      </c>
      <c r="G5178" s="16" t="str">
        <f>VLOOKUP(Table8[[#This Row],[Mã khách hàng]],code_khach_hang[],3,0)</f>
        <v>Miền Nam đặc biệt 1</v>
      </c>
      <c r="H5178" t="str">
        <f>VLOOKUP(Table8[[#This Row],[Mã khách hàng]],'Khách hàng'!A:D,4,0)</f>
        <v>Food Đức Việt</v>
      </c>
      <c r="I5178" t="str">
        <f>VLOOKUP(Table8[[#This Row],[Mã khách hàng]],'Khách hàng'!A:E,5,0)</f>
        <v>HC-CT120</v>
      </c>
    </row>
    <row r="5179" spans="1:9" x14ac:dyDescent="0.25">
      <c r="A5179" s="14" t="s">
        <v>14528</v>
      </c>
      <c r="B5179" s="15" t="s">
        <v>183</v>
      </c>
      <c r="C5179" s="16" t="s">
        <v>15654</v>
      </c>
      <c r="D5179" s="21"/>
      <c r="E5179" s="32" t="s">
        <v>15675</v>
      </c>
      <c r="F5179" s="22" t="str">
        <f>VLOOKUP(Table8[[#This Row],[Mã khách hàng]],code_khach_hang[],2,0)</f>
        <v>CHI NHÁNH VĨNH LONG - CÔNG TY CỔ PHẦN DỊCH VỤ THƯƠNG MẠI TỔNG HỢP WINCOMMERCE</v>
      </c>
      <c r="G5179" s="16" t="str">
        <f>VLOOKUP(Table8[[#This Row],[Mã khách hàng]],code_khach_hang[],3,0)</f>
        <v>Miền Nam đặc biệt 2</v>
      </c>
      <c r="H5179" t="str">
        <f>VLOOKUP(Table8[[#This Row],[Mã khách hàng]],'Khách hàng'!A:D,4,0)</f>
        <v>Food Đức Việt</v>
      </c>
      <c r="I5179" t="str">
        <f>VLOOKUP(Table8[[#This Row],[Mã khách hàng]],'Khách hàng'!A:E,5,0)</f>
        <v>HC-CT120</v>
      </c>
    </row>
    <row r="5180" spans="1:9" x14ac:dyDescent="0.25">
      <c r="A5180" s="14" t="s">
        <v>14529</v>
      </c>
      <c r="B5180" s="15" t="s">
        <v>183</v>
      </c>
      <c r="C5180" s="16" t="s">
        <v>15655</v>
      </c>
      <c r="D5180" s="21"/>
      <c r="E5180" s="32" t="s">
        <v>15676</v>
      </c>
      <c r="F5180" s="22" t="str">
        <f>VLOOKUP(Table8[[#This Row],[Mã khách hàng]],code_khach_hang[],2,0)</f>
        <v>CHI NHÁNH KIÊN GIANG - CÔNG TY CỔ PHẦN DỊCH VỤ THƯƠNG MẠI TỔNG HỢP WINCOMMERCE</v>
      </c>
      <c r="G5180" s="16" t="str">
        <f>VLOOKUP(Table8[[#This Row],[Mã khách hàng]],code_khach_hang[],3,0)</f>
        <v>Miền Nam đặc biệt 2</v>
      </c>
      <c r="H5180" t="str">
        <f>VLOOKUP(Table8[[#This Row],[Mã khách hàng]],'Khách hàng'!A:D,4,0)</f>
        <v>Food Đức Việt</v>
      </c>
      <c r="I5180" t="str">
        <f>VLOOKUP(Table8[[#This Row],[Mã khách hàng]],'Khách hàng'!A:E,5,0)</f>
        <v>HC-CT120</v>
      </c>
    </row>
    <row r="5181" spans="1:9" x14ac:dyDescent="0.25">
      <c r="A5181" s="14" t="s">
        <v>14530</v>
      </c>
      <c r="B5181" s="15" t="s">
        <v>183</v>
      </c>
      <c r="C5181" s="16" t="s">
        <v>15656</v>
      </c>
      <c r="D5181" s="21"/>
      <c r="E5181" s="32" t="s">
        <v>15688</v>
      </c>
      <c r="F5181" s="22" t="str">
        <f>VLOOKUP(Table8[[#This Row],[Mã khách hàng]],code_khach_hang[],2,0)</f>
        <v>CHI NHÁNH HẬU GIANG - CÔNG TY CỔ PHẦN DỊCH VỤ THƯƠNG MẠI TỔNG HỢP WINCOMMERCE</v>
      </c>
      <c r="G5181" s="16" t="str">
        <f>VLOOKUP(Table8[[#This Row],[Mã khách hàng]],code_khach_hang[],3,0)</f>
        <v>Miền Nam đặc biệt 3</v>
      </c>
      <c r="H5181" t="str">
        <f>VLOOKUP(Table8[[#This Row],[Mã khách hàng]],'Khách hàng'!A:D,4,0)</f>
        <v>Food Đức Việt</v>
      </c>
      <c r="I5181" t="str">
        <f>VLOOKUP(Table8[[#This Row],[Mã khách hàng]],'Khách hàng'!A:E,5,0)</f>
        <v>HC-CT120</v>
      </c>
    </row>
    <row r="5182" spans="1:9" x14ac:dyDescent="0.25">
      <c r="A5182" s="14" t="s">
        <v>14531</v>
      </c>
      <c r="B5182" s="15" t="s">
        <v>183</v>
      </c>
      <c r="C5182" s="16" t="s">
        <v>15657</v>
      </c>
      <c r="D5182" s="21"/>
      <c r="E5182" s="32" t="s">
        <v>15680</v>
      </c>
      <c r="F5182" s="22" t="str">
        <f>VLOOKUP(Table8[[#This Row],[Mã khách hàng]],code_khach_hang[],2,0)</f>
        <v>CHI NHÁNH SÓC TRĂNG - CÔNG TY CỔ PHẦN DỊCH VỤ THƯƠNG MẠI TỔNG HỢP WINCOMMERCE</v>
      </c>
      <c r="G5182" s="16" t="str">
        <f>VLOOKUP(Table8[[#This Row],[Mã khách hàng]],code_khach_hang[],3,0)</f>
        <v>Miền Nam đặc biệt 1</v>
      </c>
      <c r="H5182" t="str">
        <f>VLOOKUP(Table8[[#This Row],[Mã khách hàng]],'Khách hàng'!A:D,4,0)</f>
        <v>Food Đức Việt</v>
      </c>
      <c r="I5182" t="str">
        <f>VLOOKUP(Table8[[#This Row],[Mã khách hàng]],'Khách hàng'!A:E,5,0)</f>
        <v>HC-CT120</v>
      </c>
    </row>
    <row r="5183" spans="1:9" x14ac:dyDescent="0.25">
      <c r="A5183" s="14" t="s">
        <v>14532</v>
      </c>
      <c r="B5183" s="15" t="s">
        <v>183</v>
      </c>
      <c r="C5183" s="16" t="s">
        <v>15658</v>
      </c>
      <c r="D5183" s="21"/>
      <c r="E5183" s="32" t="s">
        <v>15667</v>
      </c>
      <c r="F5183" s="22" t="str">
        <f>VLOOKUP(Table8[[#This Row],[Mã khách hàng]],code_khach_hang[],2,0)</f>
        <v>CÔNG TY CỔ PHẦN DỊCH VỤ THƯƠNG MẠI TỔNG HỢP WINCOMMERCE</v>
      </c>
      <c r="G5183" s="16" t="str">
        <f>VLOOKUP(Table8[[#This Row],[Mã khách hàng]],code_khach_hang[],3,0)</f>
        <v>Miền Nam đặc biệt 1</v>
      </c>
      <c r="H5183" t="str">
        <f>VLOOKUP(Table8[[#This Row],[Mã khách hàng]],'Khách hàng'!A:D,4,0)</f>
        <v>Food Đức Việt</v>
      </c>
      <c r="I5183" t="str">
        <f>VLOOKUP(Table8[[#This Row],[Mã khách hàng]],'Khách hàng'!A:E,5,0)</f>
        <v>HCVG80</v>
      </c>
    </row>
    <row r="5184" spans="1:9" x14ac:dyDescent="0.25">
      <c r="A5184" s="14" t="s">
        <v>14533</v>
      </c>
      <c r="B5184" s="15" t="s">
        <v>183</v>
      </c>
      <c r="C5184" s="16" t="s">
        <v>15659</v>
      </c>
      <c r="D5184" s="21"/>
      <c r="E5184" s="32" t="s">
        <v>15674</v>
      </c>
      <c r="F5184" s="22" t="str">
        <f>VLOOKUP(Table8[[#This Row],[Mã khách hàng]],code_khach_hang[],2,0)</f>
        <v>CHI NHÁNH LONG AN - CÔNG TY CỔ PHẦN DỊCH VỤ THƯƠNG MẠI TỔNG HỢP WINCOMMERCE</v>
      </c>
      <c r="G5184" s="16" t="str">
        <f>VLOOKUP(Table8[[#This Row],[Mã khách hàng]],code_khach_hang[],3,0)</f>
        <v>Miền Nam đặc biệt 2</v>
      </c>
      <c r="H5184" t="str">
        <f>VLOOKUP(Table8[[#This Row],[Mã khách hàng]],'Khách hàng'!A:D,4,0)</f>
        <v>Food Đức Việt</v>
      </c>
      <c r="I5184" t="str">
        <f>VLOOKUP(Table8[[#This Row],[Mã khách hàng]],'Khách hàng'!A:E,5,0)</f>
        <v>HCVG80</v>
      </c>
    </row>
    <row r="5185" spans="1:9" x14ac:dyDescent="0.25">
      <c r="A5185" s="14" t="s">
        <v>14534</v>
      </c>
      <c r="B5185" s="15" t="s">
        <v>183</v>
      </c>
      <c r="C5185" s="16" t="s">
        <v>15660</v>
      </c>
      <c r="D5185" s="21"/>
      <c r="E5185" s="32" t="s">
        <v>15679</v>
      </c>
      <c r="F5185" s="22" t="str">
        <f>VLOOKUP(Table8[[#This Row],[Mã khách hàng]],code_khach_hang[],2,0)</f>
        <v>CHI NHÁNH ĐỒNG THÁP - CÔNG TY CỔ PHẦN DỊCH VỤ THƯƠNG MẠI TỔNG HỢP WINCOMMERCE</v>
      </c>
      <c r="G5185" s="16" t="str">
        <f>VLOOKUP(Table8[[#This Row],[Mã khách hàng]],code_khach_hang[],3,0)</f>
        <v>Miền Nam đặc biệt 2</v>
      </c>
      <c r="H5185" t="str">
        <f>VLOOKUP(Table8[[#This Row],[Mã khách hàng]],'Khách hàng'!A:D,4,0)</f>
        <v>Food Đức Việt</v>
      </c>
      <c r="I5185" t="str">
        <f>VLOOKUP(Table8[[#This Row],[Mã khách hàng]],'Khách hàng'!A:E,5,0)</f>
        <v>HC-CT120</v>
      </c>
    </row>
    <row r="5186" spans="1:9" x14ac:dyDescent="0.25">
      <c r="A5186" s="14" t="s">
        <v>14535</v>
      </c>
      <c r="B5186" s="15" t="s">
        <v>183</v>
      </c>
      <c r="C5186" s="16" t="s">
        <v>15661</v>
      </c>
      <c r="D5186" s="21"/>
      <c r="E5186" s="32" t="s">
        <v>15682</v>
      </c>
      <c r="F5186" s="22" t="str">
        <f>VLOOKUP(Table8[[#This Row],[Mã khách hàng]],code_khach_hang[],2,0)</f>
        <v>CHI NHÁNH CÀ MAU - CÔNG TY CỔ PHẦN DỊCH VỤ THƯƠNG MẠI TỔNG HỢP WINCOMMERCE</v>
      </c>
      <c r="G5186" s="16" t="str">
        <f>VLOOKUP(Table8[[#This Row],[Mã khách hàng]],code_khach_hang[],3,0)</f>
        <v>Miền Nam đặc biệt 1</v>
      </c>
      <c r="H5186" t="str">
        <f>VLOOKUP(Table8[[#This Row],[Mã khách hàng]],'Khách hàng'!A:D,4,0)</f>
        <v>Food Đức Việt</v>
      </c>
      <c r="I5186" t="str">
        <f>VLOOKUP(Table8[[#This Row],[Mã khách hàng]],'Khách hàng'!A:E,5,0)</f>
        <v>HC-CT120</v>
      </c>
    </row>
    <row r="5187" spans="1:9" x14ac:dyDescent="0.25">
      <c r="A5187" s="14" t="s">
        <v>14536</v>
      </c>
      <c r="B5187" s="15" t="s">
        <v>183</v>
      </c>
      <c r="C5187" s="16" t="s">
        <v>15662</v>
      </c>
      <c r="D5187" s="21"/>
      <c r="E5187" s="32" t="s">
        <v>15679</v>
      </c>
      <c r="F5187" s="22" t="str">
        <f>VLOOKUP(Table8[[#This Row],[Mã khách hàng]],code_khach_hang[],2,0)</f>
        <v>CHI NHÁNH ĐỒNG THÁP - CÔNG TY CỔ PHẦN DỊCH VỤ THƯƠNG MẠI TỔNG HỢP WINCOMMERCE</v>
      </c>
      <c r="G5187" s="16" t="str">
        <f>VLOOKUP(Table8[[#This Row],[Mã khách hàng]],code_khach_hang[],3,0)</f>
        <v>Miền Nam đặc biệt 2</v>
      </c>
      <c r="H5187" t="str">
        <f>VLOOKUP(Table8[[#This Row],[Mã khách hàng]],'Khách hàng'!A:D,4,0)</f>
        <v>Food Đức Việt</v>
      </c>
      <c r="I5187" t="str">
        <f>VLOOKUP(Table8[[#This Row],[Mã khách hàng]],'Khách hàng'!A:E,5,0)</f>
        <v>HC-CT120</v>
      </c>
    </row>
    <row r="5188" spans="1:9" x14ac:dyDescent="0.25">
      <c r="A5188" s="14" t="s">
        <v>14537</v>
      </c>
      <c r="B5188" s="15" t="s">
        <v>183</v>
      </c>
      <c r="C5188" s="16" t="s">
        <v>15663</v>
      </c>
      <c r="D5188" s="21"/>
      <c r="E5188" s="32" t="s">
        <v>15670</v>
      </c>
      <c r="F5188" s="22" t="str">
        <f>VLOOKUP(Table8[[#This Row],[Mã khách hàng]],code_khach_hang[],2,0)</f>
        <v>CHI NHÁNH TIỀN GIANG - CÔNG TY CỔ PHẦN DỊCH VỤ THƯƠNG MẠI TỔNG HỢP WINCOMMERCE</v>
      </c>
      <c r="G5188" s="16" t="str">
        <f>VLOOKUP(Table8[[#This Row],[Mã khách hàng]],code_khach_hang[],3,0)</f>
        <v>Miền Nam đặc biệt 1</v>
      </c>
      <c r="H5188" t="str">
        <f>VLOOKUP(Table8[[#This Row],[Mã khách hàng]],'Khách hàng'!A:D,4,0)</f>
        <v>Food Đức Việt</v>
      </c>
      <c r="I5188" t="str">
        <f>VLOOKUP(Table8[[#This Row],[Mã khách hàng]],'Khách hàng'!A:E,5,0)</f>
        <v>HCVG80</v>
      </c>
    </row>
    <row r="5189" spans="1:9" x14ac:dyDescent="0.25">
      <c r="A5189" s="14" t="s">
        <v>14538</v>
      </c>
      <c r="B5189" s="15" t="s">
        <v>183</v>
      </c>
      <c r="C5189" s="16" t="s">
        <v>15664</v>
      </c>
      <c r="D5189" s="21"/>
      <c r="E5189" s="32" t="s">
        <v>15684</v>
      </c>
      <c r="F5189" s="22" t="str">
        <f>VLOOKUP(Table8[[#This Row],[Mã khách hàng]],code_khach_hang[],2,0)</f>
        <v>CHI NHÁNH NINH THUẬN - CÔNG TY CỔ PHẦN DỊCH VỤ THƯƠNG MẠI TỔNG HỢP WINCOMMERCE</v>
      </c>
      <c r="G5189" s="16" t="str">
        <f>VLOOKUP(Table8[[#This Row],[Mã khách hàng]],code_khach_hang[],3,0)</f>
        <v>Miền Nam đặc biệt 3</v>
      </c>
      <c r="H5189" t="str">
        <f>VLOOKUP(Table8[[#This Row],[Mã khách hàng]],'Khách hàng'!A:D,4,0)</f>
        <v>Food Đức Việt</v>
      </c>
      <c r="I5189" t="str">
        <f>VLOOKUP(Table8[[#This Row],[Mã khách hàng]],'Khách hàng'!A:E,5,0)</f>
        <v>HCVG80</v>
      </c>
    </row>
    <row r="5190" spans="1:9" x14ac:dyDescent="0.25">
      <c r="A5190" s="14" t="s">
        <v>14539</v>
      </c>
      <c r="B5190" s="15" t="s">
        <v>183</v>
      </c>
      <c r="C5190" s="16" t="s">
        <v>15665</v>
      </c>
      <c r="D5190" s="21"/>
      <c r="E5190" s="32" t="s">
        <v>15678</v>
      </c>
      <c r="F5190" s="22" t="str">
        <f>VLOOKUP(Table8[[#This Row],[Mã khách hàng]],code_khach_hang[],2,0)</f>
        <v>CHI NHÁNH LÂM ĐỒNG - CÔNG TY CỔ PHẦN DỊCH VỤ THƯƠNG MẠI TỔNG HỢP WINCOMMERCE</v>
      </c>
      <c r="G5190" s="16" t="str">
        <f>VLOOKUP(Table8[[#This Row],[Mã khách hàng]],code_khach_hang[],3,0)</f>
        <v>Miền Nam đặc biệt 2</v>
      </c>
      <c r="H5190" t="str">
        <f>VLOOKUP(Table8[[#This Row],[Mã khách hàng]],'Khách hàng'!A:D,4,0)</f>
        <v>Food Đức Việt</v>
      </c>
      <c r="I5190" t="str">
        <f>VLOOKUP(Table8[[#This Row],[Mã khách hàng]],'Khách hàng'!A:E,5,0)</f>
        <v>HCVG80</v>
      </c>
    </row>
    <row r="5191" spans="1:9" x14ac:dyDescent="0.25">
      <c r="A5191" s="14" t="s">
        <v>14540</v>
      </c>
      <c r="B5191" s="15" t="s">
        <v>183</v>
      </c>
      <c r="C5191" s="16" t="s">
        <v>15666</v>
      </c>
      <c r="D5191" s="21"/>
      <c r="E5191" s="32" t="s">
        <v>15678</v>
      </c>
      <c r="F5191" s="22" t="str">
        <f>VLOOKUP(Table8[[#This Row],[Mã khách hàng]],code_khach_hang[],2,0)</f>
        <v>CHI NHÁNH LÂM ĐỒNG - CÔNG TY CỔ PHẦN DỊCH VỤ THƯƠNG MẠI TỔNG HỢP WINCOMMERCE</v>
      </c>
      <c r="G5191" s="16" t="str">
        <f>VLOOKUP(Table8[[#This Row],[Mã khách hàng]],code_khach_hang[],3,0)</f>
        <v>Miền Nam đặc biệt 2</v>
      </c>
      <c r="H5191" t="str">
        <f>VLOOKUP(Table8[[#This Row],[Mã khách hàng]],'Khách hàng'!A:D,4,0)</f>
        <v>Food Đức Việt</v>
      </c>
      <c r="I5191" t="str">
        <f>VLOOKUP(Table8[[#This Row],[Mã khách hàng]],'Khách hàng'!A:E,5,0)</f>
        <v>HCVG80</v>
      </c>
    </row>
    <row r="5192" spans="1:9" x14ac:dyDescent="0.25">
      <c r="A5192" s="71" t="s">
        <v>15716</v>
      </c>
      <c r="B5192" s="73" t="s">
        <v>5</v>
      </c>
      <c r="C5192" s="75" t="s">
        <v>15717</v>
      </c>
      <c r="D5192" s="77" t="s">
        <v>15718</v>
      </c>
      <c r="E5192" s="73" t="s">
        <v>15671</v>
      </c>
      <c r="F5192" s="78" t="str">
        <f>VLOOKUP(Table8[[#This Row],[Mã khách hàng]],code_khach_hang[],2,0)</f>
        <v>CHI NHÁNH BÌNH DƯƠNG - CÔNG TY CỔ PHẦN DỊCH VỤ THƯƠNG MẠI TỔNG HỢP WINCOMMERCE</v>
      </c>
      <c r="G5192" s="79" t="str">
        <f>VLOOKUP(Table8[[#This Row],[Mã khách hàng]],code_khach_hang[],3,0)</f>
        <v>Miền Nam đặc biệt 1</v>
      </c>
      <c r="H5192" s="81" t="str">
        <f>VLOOKUP(Table8[[#This Row],[Mã khách hàng]],'Khách hàng'!A:D,4,0)</f>
        <v>Food Đức Việt</v>
      </c>
      <c r="I5192" s="81" t="str">
        <f>VLOOKUP(Table8[[#This Row],[Mã khách hàng]],'Khách hàng'!A:E,5,0)</f>
        <v>HCVG80</v>
      </c>
    </row>
    <row r="5193" spans="1:9" x14ac:dyDescent="0.25">
      <c r="A5193" s="72" t="s">
        <v>15719</v>
      </c>
      <c r="B5193" s="74" t="s">
        <v>5</v>
      </c>
      <c r="C5193" s="76" t="s">
        <v>15720</v>
      </c>
      <c r="D5193" s="77" t="s">
        <v>15721</v>
      </c>
      <c r="E5193" s="74" t="s">
        <v>15668</v>
      </c>
      <c r="F5193" s="78" t="str">
        <f>VLOOKUP(Table8[[#This Row],[Mã khách hàng]],code_khach_hang[],2,0)</f>
        <v>CHI NHÁNH ĐỒNG NAI - CÔNG TY CỔ PHẦN DỊCH VỤ THƯƠNG MẠI TỔNG HỢP WINCOMMERCE</v>
      </c>
      <c r="G5193" s="80" t="str">
        <f>VLOOKUP(Table8[[#This Row],[Mã khách hàng]],code_khach_hang[],3,0)</f>
        <v>Miền Nam đặc biệt 3</v>
      </c>
      <c r="H5193" s="81" t="str">
        <f>VLOOKUP(Table8[[#This Row],[Mã khách hàng]],'Khách hàng'!A:D,4,0)</f>
        <v>Food Đức Việt</v>
      </c>
      <c r="I5193" s="81" t="str">
        <f>VLOOKUP(Table8[[#This Row],[Mã khách hàng]],'Khách hàng'!A:E,5,0)</f>
        <v>HCVG80</v>
      </c>
    </row>
    <row r="5194" spans="1:9" x14ac:dyDescent="0.25">
      <c r="A5194" s="72" t="s">
        <v>15722</v>
      </c>
      <c r="B5194" s="74" t="s">
        <v>183</v>
      </c>
      <c r="C5194" s="76" t="s">
        <v>15723</v>
      </c>
      <c r="D5194" s="77" t="s">
        <v>15724</v>
      </c>
      <c r="E5194" s="74" t="s">
        <v>15667</v>
      </c>
      <c r="F5194" s="78" t="str">
        <f>VLOOKUP(Table8[[#This Row],[Mã khách hàng]],code_khach_hang[],2,0)</f>
        <v>CÔNG TY CỔ PHẦN DỊCH VỤ THƯƠNG MẠI TỔNG HỢP WINCOMMERCE</v>
      </c>
      <c r="G5194" s="80" t="str">
        <f>VLOOKUP(Table8[[#This Row],[Mã khách hàng]],code_khach_hang[],3,0)</f>
        <v>Miền Nam đặc biệt 1</v>
      </c>
      <c r="H5194" s="81" t="str">
        <f>VLOOKUP(Table8[[#This Row],[Mã khách hàng]],'Khách hàng'!A:D,4,0)</f>
        <v>Food Đức Việt</v>
      </c>
      <c r="I5194" s="81" t="str">
        <f>VLOOKUP(Table8[[#This Row],[Mã khách hàng]],'Khách hàng'!A:E,5,0)</f>
        <v>HCVG80</v>
      </c>
    </row>
    <row r="5195" spans="1:9" x14ac:dyDescent="0.25">
      <c r="A5195" s="72" t="s">
        <v>15725</v>
      </c>
      <c r="B5195" s="74" t="s">
        <v>5</v>
      </c>
      <c r="C5195" s="76" t="s">
        <v>15726</v>
      </c>
      <c r="D5195" s="77" t="s">
        <v>15727</v>
      </c>
      <c r="E5195" s="74" t="s">
        <v>15667</v>
      </c>
      <c r="F5195" s="78" t="str">
        <f>VLOOKUP(Table8[[#This Row],[Mã khách hàng]],code_khach_hang[],2,0)</f>
        <v>CÔNG TY CỔ PHẦN DỊCH VỤ THƯƠNG MẠI TỔNG HỢP WINCOMMERCE</v>
      </c>
      <c r="G5195" s="80" t="str">
        <f>VLOOKUP(Table8[[#This Row],[Mã khách hàng]],code_khach_hang[],3,0)</f>
        <v>Miền Nam đặc biệt 1</v>
      </c>
      <c r="H5195" s="81" t="str">
        <f>VLOOKUP(Table8[[#This Row],[Mã khách hàng]],'Khách hàng'!A:D,4,0)</f>
        <v>Food Đức Việt</v>
      </c>
      <c r="I5195" s="81" t="str">
        <f>VLOOKUP(Table8[[#This Row],[Mã khách hàng]],'Khách hàng'!A:E,5,0)</f>
        <v>HCVG80</v>
      </c>
    </row>
  </sheetData>
  <phoneticPr fontId="5" type="noConversion"/>
  <conditionalFormatting sqref="A1:A5195">
    <cfRule type="duplicateValues" dxfId="3" priority="20"/>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7FE82A07-E9E7-476A-A5C3-2610B74CE638}">
          <x14:formula1>
            <xm:f>'Data Validation'!$C$2:$C$4</xm:f>
          </x14:formula1>
          <xm:sqref>C3113:C3114 B2:B5195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72"/>
  <sheetViews>
    <sheetView zoomScale="98" workbookViewId="0">
      <selection activeCell="D72" sqref="D72"/>
    </sheetView>
  </sheetViews>
  <sheetFormatPr defaultRowHeight="15" x14ac:dyDescent="0.25"/>
  <cols>
    <col min="1" max="1" width="16.7109375" bestFit="1" customWidth="1"/>
    <col min="2" max="2" width="93.5703125" bestFit="1"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row r="51" spans="1:5" x14ac:dyDescent="0.25">
      <c r="A51" t="s">
        <v>15667</v>
      </c>
      <c r="B51" t="s">
        <v>15689</v>
      </c>
      <c r="C51" t="s">
        <v>12311</v>
      </c>
      <c r="D51" t="s">
        <v>9369</v>
      </c>
      <c r="E51" t="s">
        <v>15711</v>
      </c>
    </row>
    <row r="52" spans="1:5" x14ac:dyDescent="0.25">
      <c r="A52" t="s">
        <v>15668</v>
      </c>
      <c r="B52" t="s">
        <v>15690</v>
      </c>
      <c r="C52" t="s">
        <v>12313</v>
      </c>
      <c r="D52" t="s">
        <v>9369</v>
      </c>
      <c r="E52" t="s">
        <v>15711</v>
      </c>
    </row>
    <row r="53" spans="1:5" x14ac:dyDescent="0.25">
      <c r="A53" t="s">
        <v>15669</v>
      </c>
      <c r="B53" t="s">
        <v>15691</v>
      </c>
      <c r="C53" t="s">
        <v>12312</v>
      </c>
      <c r="D53" t="s">
        <v>9369</v>
      </c>
      <c r="E53" t="s">
        <v>15712</v>
      </c>
    </row>
    <row r="54" spans="1:5" x14ac:dyDescent="0.25">
      <c r="A54" t="s">
        <v>15670</v>
      </c>
      <c r="B54" t="s">
        <v>15692</v>
      </c>
      <c r="C54" t="s">
        <v>12311</v>
      </c>
      <c r="D54" t="s">
        <v>9369</v>
      </c>
      <c r="E54" t="s">
        <v>15711</v>
      </c>
    </row>
    <row r="55" spans="1:5" x14ac:dyDescent="0.25">
      <c r="A55" t="s">
        <v>15671</v>
      </c>
      <c r="B55" t="s">
        <v>15693</v>
      </c>
      <c r="C55" t="s">
        <v>12311</v>
      </c>
      <c r="D55" t="s">
        <v>9369</v>
      </c>
      <c r="E55" t="s">
        <v>15711</v>
      </c>
    </row>
    <row r="56" spans="1:5" x14ac:dyDescent="0.25">
      <c r="A56" t="s">
        <v>15672</v>
      </c>
      <c r="B56" t="s">
        <v>15694</v>
      </c>
      <c r="C56" t="s">
        <v>12312</v>
      </c>
      <c r="D56" t="s">
        <v>9369</v>
      </c>
      <c r="E56" t="s">
        <v>15712</v>
      </c>
    </row>
    <row r="57" spans="1:5" x14ac:dyDescent="0.25">
      <c r="A57" t="s">
        <v>15673</v>
      </c>
      <c r="B57" t="s">
        <v>15695</v>
      </c>
      <c r="C57" t="s">
        <v>12313</v>
      </c>
      <c r="D57" t="s">
        <v>9369</v>
      </c>
      <c r="E57" t="s">
        <v>15711</v>
      </c>
    </row>
    <row r="58" spans="1:5" x14ac:dyDescent="0.25">
      <c r="A58" t="s">
        <v>15674</v>
      </c>
      <c r="B58" t="s">
        <v>15696</v>
      </c>
      <c r="C58" t="s">
        <v>12312</v>
      </c>
      <c r="D58" t="s">
        <v>9369</v>
      </c>
      <c r="E58" t="s">
        <v>15711</v>
      </c>
    </row>
    <row r="59" spans="1:5" x14ac:dyDescent="0.25">
      <c r="A59" t="s">
        <v>15675</v>
      </c>
      <c r="B59" t="s">
        <v>15697</v>
      </c>
      <c r="C59" t="s">
        <v>12312</v>
      </c>
      <c r="D59" t="s">
        <v>9369</v>
      </c>
      <c r="E59" t="s">
        <v>15712</v>
      </c>
    </row>
    <row r="60" spans="1:5" x14ac:dyDescent="0.25">
      <c r="A60" t="s">
        <v>15676</v>
      </c>
      <c r="B60" t="s">
        <v>15698</v>
      </c>
      <c r="C60" t="s">
        <v>12312</v>
      </c>
      <c r="D60" t="s">
        <v>9369</v>
      </c>
      <c r="E60" t="s">
        <v>15712</v>
      </c>
    </row>
    <row r="61" spans="1:5" x14ac:dyDescent="0.25">
      <c r="A61" t="s">
        <v>15677</v>
      </c>
      <c r="B61" t="s">
        <v>15699</v>
      </c>
      <c r="C61" t="s">
        <v>12312</v>
      </c>
      <c r="D61" t="s">
        <v>9369</v>
      </c>
      <c r="E61" t="s">
        <v>15711</v>
      </c>
    </row>
    <row r="62" spans="1:5" x14ac:dyDescent="0.25">
      <c r="A62" t="s">
        <v>15678</v>
      </c>
      <c r="B62" t="s">
        <v>15700</v>
      </c>
      <c r="C62" t="s">
        <v>12312</v>
      </c>
      <c r="D62" t="s">
        <v>9369</v>
      </c>
      <c r="E62" t="s">
        <v>15711</v>
      </c>
    </row>
    <row r="63" spans="1:5" x14ac:dyDescent="0.25">
      <c r="A63" t="s">
        <v>15679</v>
      </c>
      <c r="B63" t="s">
        <v>15701</v>
      </c>
      <c r="C63" t="s">
        <v>12312</v>
      </c>
      <c r="D63" t="s">
        <v>9369</v>
      </c>
      <c r="E63" t="s">
        <v>15712</v>
      </c>
    </row>
    <row r="64" spans="1:5" x14ac:dyDescent="0.25">
      <c r="A64" t="s">
        <v>15680</v>
      </c>
      <c r="B64" t="s">
        <v>15702</v>
      </c>
      <c r="C64" t="s">
        <v>12311</v>
      </c>
      <c r="D64" t="s">
        <v>9369</v>
      </c>
      <c r="E64" t="s">
        <v>15712</v>
      </c>
    </row>
    <row r="65" spans="1:5" x14ac:dyDescent="0.25">
      <c r="A65" t="s">
        <v>15681</v>
      </c>
      <c r="B65" t="s">
        <v>15703</v>
      </c>
      <c r="C65" t="s">
        <v>12311</v>
      </c>
      <c r="D65" t="s">
        <v>9369</v>
      </c>
      <c r="E65" t="s">
        <v>15711</v>
      </c>
    </row>
    <row r="66" spans="1:5" x14ac:dyDescent="0.25">
      <c r="A66" t="s">
        <v>15682</v>
      </c>
      <c r="B66" t="s">
        <v>15704</v>
      </c>
      <c r="C66" t="s">
        <v>12311</v>
      </c>
      <c r="D66" t="s">
        <v>9369</v>
      </c>
      <c r="E66" t="s">
        <v>15712</v>
      </c>
    </row>
    <row r="67" spans="1:5" x14ac:dyDescent="0.25">
      <c r="A67" t="s">
        <v>15683</v>
      </c>
      <c r="B67" t="s">
        <v>15705</v>
      </c>
      <c r="C67" t="s">
        <v>12311</v>
      </c>
      <c r="D67" t="s">
        <v>9369</v>
      </c>
      <c r="E67" t="s">
        <v>15712</v>
      </c>
    </row>
    <row r="68" spans="1:5" x14ac:dyDescent="0.25">
      <c r="A68" t="s">
        <v>15684</v>
      </c>
      <c r="B68" t="s">
        <v>15706</v>
      </c>
      <c r="C68" t="s">
        <v>12313</v>
      </c>
      <c r="D68" t="s">
        <v>9369</v>
      </c>
      <c r="E68" t="s">
        <v>15711</v>
      </c>
    </row>
    <row r="69" spans="1:5" x14ac:dyDescent="0.25">
      <c r="A69" t="s">
        <v>15685</v>
      </c>
      <c r="B69" t="s">
        <v>15707</v>
      </c>
      <c r="C69" t="s">
        <v>12313</v>
      </c>
      <c r="D69" t="s">
        <v>9369</v>
      </c>
      <c r="E69" t="s">
        <v>15711</v>
      </c>
    </row>
    <row r="70" spans="1:5" x14ac:dyDescent="0.25">
      <c r="A70" t="s">
        <v>15686</v>
      </c>
      <c r="B70" t="s">
        <v>15708</v>
      </c>
      <c r="C70" t="s">
        <v>12312</v>
      </c>
      <c r="D70" t="s">
        <v>9369</v>
      </c>
      <c r="E70" t="s">
        <v>15711</v>
      </c>
    </row>
    <row r="71" spans="1:5" x14ac:dyDescent="0.25">
      <c r="A71" t="s">
        <v>15687</v>
      </c>
      <c r="B71" t="s">
        <v>15709</v>
      </c>
      <c r="C71" t="s">
        <v>12311</v>
      </c>
      <c r="D71" t="s">
        <v>9369</v>
      </c>
      <c r="E71" t="s">
        <v>15712</v>
      </c>
    </row>
    <row r="72" spans="1:5" x14ac:dyDescent="0.25">
      <c r="A72" t="s">
        <v>15688</v>
      </c>
      <c r="B72" t="s">
        <v>15710</v>
      </c>
      <c r="C72" t="s">
        <v>12313</v>
      </c>
      <c r="D72" t="s">
        <v>9369</v>
      </c>
      <c r="E72" t="s">
        <v>15712</v>
      </c>
    </row>
  </sheetData>
  <conditionalFormatting sqref="A1:A1048576">
    <cfRule type="duplicateValues" dxfId="2"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D2:D72</xm:sqref>
        </x14:dataValidation>
        <x14:dataValidation type="list" allowBlank="1" showInputMessage="1" showErrorMessage="1" xr:uid="{195850E2-0F64-4238-99F4-28B65889AF8F}">
          <x14:formula1>
            <xm:f>'Data Validation'!$K$2:$K$6</xm:f>
          </x14:formula1>
          <xm:sqref>C2:C72</xm:sqref>
        </x14:dataValidation>
        <x14:dataValidation type="list" allowBlank="1" showInputMessage="1" showErrorMessage="1" xr:uid="{D2FEE0A9-12DA-4649-8558-95BEE4A9E4F9}">
          <x14:formula1>
            <xm:f>'Data Validation'!$M$2:$M$7</xm:f>
          </x14:formula1>
          <xm:sqref>E2:E72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8"/>
  <sheetViews>
    <sheetView zoomScale="123" workbookViewId="0">
      <selection activeCell="D8" sqref="D8"/>
    </sheetView>
  </sheetViews>
  <sheetFormatPr defaultRowHeight="15" x14ac:dyDescent="0.25"/>
  <cols>
    <col min="1" max="1" width="17.7109375" bestFit="1" customWidth="1"/>
    <col min="2" max="2" width="20.140625" customWidth="1"/>
    <col min="3" max="3" width="13.28515625" bestFit="1" customWidth="1"/>
    <col min="4" max="4" width="30.140625" bestFit="1" customWidth="1"/>
  </cols>
  <sheetData>
    <row r="1" spans="1:4" x14ac:dyDescent="0.25">
      <c r="A1" s="19" t="s">
        <v>9350</v>
      </c>
      <c r="B1" s="19" t="s">
        <v>514</v>
      </c>
      <c r="C1" s="19" t="s">
        <v>9351</v>
      </c>
      <c r="D1" s="19" t="s">
        <v>9352</v>
      </c>
    </row>
    <row r="2" spans="1:4" x14ac:dyDescent="0.25">
      <c r="A2" t="s">
        <v>9353</v>
      </c>
      <c r="B2" t="s">
        <v>650</v>
      </c>
      <c r="C2" s="14" t="s">
        <v>9354</v>
      </c>
      <c r="D2" t="s">
        <v>11056</v>
      </c>
    </row>
    <row r="3" spans="1:4" x14ac:dyDescent="0.25">
      <c r="A3" t="s">
        <v>9378</v>
      </c>
      <c r="B3" t="s">
        <v>650</v>
      </c>
      <c r="C3" s="14" t="s">
        <v>9355</v>
      </c>
      <c r="D3" t="s">
        <v>11057</v>
      </c>
    </row>
    <row r="4" spans="1:4" x14ac:dyDescent="0.25">
      <c r="A4" t="s">
        <v>9405</v>
      </c>
      <c r="B4" t="s">
        <v>650</v>
      </c>
      <c r="C4" s="14" t="s">
        <v>9356</v>
      </c>
      <c r="D4" t="s">
        <v>11058</v>
      </c>
    </row>
    <row r="5" spans="1:4" x14ac:dyDescent="0.25">
      <c r="A5" t="s">
        <v>9369</v>
      </c>
      <c r="B5" t="s">
        <v>650</v>
      </c>
      <c r="C5" s="14" t="s">
        <v>9357</v>
      </c>
      <c r="D5" t="s">
        <v>11059</v>
      </c>
    </row>
    <row r="6" spans="1:4" x14ac:dyDescent="0.25">
      <c r="A6" t="s">
        <v>9353</v>
      </c>
      <c r="B6" t="s">
        <v>519</v>
      </c>
      <c r="C6" s="14" t="s">
        <v>9358</v>
      </c>
      <c r="D6" t="s">
        <v>11060</v>
      </c>
    </row>
    <row r="7" spans="1:4" x14ac:dyDescent="0.25">
      <c r="A7" t="s">
        <v>9378</v>
      </c>
      <c r="B7" t="s">
        <v>519</v>
      </c>
      <c r="C7" s="14" t="s">
        <v>9359</v>
      </c>
      <c r="D7" t="s">
        <v>11061</v>
      </c>
    </row>
    <row r="8" spans="1:4" x14ac:dyDescent="0.25">
      <c r="A8" t="s">
        <v>9405</v>
      </c>
      <c r="B8" t="s">
        <v>519</v>
      </c>
      <c r="C8" s="14" t="s">
        <v>9360</v>
      </c>
      <c r="D8" t="s">
        <v>11062</v>
      </c>
    </row>
    <row r="9" spans="1:4" x14ac:dyDescent="0.25">
      <c r="A9" t="s">
        <v>9369</v>
      </c>
      <c r="B9" t="s">
        <v>519</v>
      </c>
      <c r="C9" s="14" t="s">
        <v>9361</v>
      </c>
      <c r="D9" t="s">
        <v>11063</v>
      </c>
    </row>
    <row r="10" spans="1:4" x14ac:dyDescent="0.25">
      <c r="A10" t="s">
        <v>9353</v>
      </c>
      <c r="B10" t="s">
        <v>1323</v>
      </c>
      <c r="C10" s="14" t="s">
        <v>9362</v>
      </c>
      <c r="D10" t="s">
        <v>11064</v>
      </c>
    </row>
    <row r="11" spans="1:4" x14ac:dyDescent="0.25">
      <c r="A11" t="s">
        <v>9378</v>
      </c>
      <c r="B11" t="s">
        <v>12313</v>
      </c>
      <c r="C11" s="14" t="s">
        <v>9363</v>
      </c>
      <c r="D11" t="s">
        <v>11065</v>
      </c>
    </row>
    <row r="12" spans="1:4"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row r="16" spans="1:4" x14ac:dyDescent="0.25">
      <c r="A16" t="s">
        <v>9369</v>
      </c>
      <c r="B16" t="s">
        <v>12311</v>
      </c>
      <c r="C16" t="s">
        <v>15713</v>
      </c>
    </row>
    <row r="17" spans="1:3" x14ac:dyDescent="0.25">
      <c r="A17" t="s">
        <v>9369</v>
      </c>
      <c r="B17" t="s">
        <v>12312</v>
      </c>
      <c r="C17" t="s">
        <v>15714</v>
      </c>
    </row>
    <row r="18" spans="1:3" x14ac:dyDescent="0.25">
      <c r="A18" t="s">
        <v>9369</v>
      </c>
      <c r="B18" t="s">
        <v>12313</v>
      </c>
      <c r="C18" t="s">
        <v>15715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61C2ED2-2D12-4020-A5B7-053BEBA6EB6E}">
          <x14:formula1>
            <xm:f>'Data Validation'!$I$2:$I$5</xm:f>
          </x14:formula1>
          <xm:sqref>A2:A18</xm:sqref>
        </x14:dataValidation>
        <x14:dataValidation type="list" allowBlank="1" showInputMessage="1" showErrorMessage="1" xr:uid="{3D81B563-C65D-4DF8-9DEF-DF2258853C0F}">
          <x14:formula1>
            <xm:f>'Data Validation'!$K$2:$K$9</xm:f>
          </x14:formula1>
          <xm:sqref>B2:B18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tabSelected="1" zoomScaleNormal="100" workbookViewId="0">
      <selection activeCell="I25" sqref="I25"/>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c r="M8" s="7" t="s">
        <v>15711</v>
      </c>
    </row>
    <row r="9" spans="1:14" x14ac:dyDescent="0.3">
      <c r="K9" s="7" t="s">
        <v>12313</v>
      </c>
      <c r="M9" s="7" t="s">
        <v>15712</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2026-08-25T07:59:52Z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